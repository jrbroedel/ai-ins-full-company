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roedel-my.sharepoint.com/personal/joshua_broedel_net/Documents/Desktop/kent deliverables/kents templates/"/>
    </mc:Choice>
  </mc:AlternateContent>
  <xr:revisionPtr revIDLastSave="0" documentId="8_{BDDCA517-75AE-4C4D-98ED-A464F55556D4}" xr6:coauthVersionLast="47" xr6:coauthVersionMax="47" xr10:uidLastSave="{00000000-0000-0000-0000-000000000000}"/>
  <bookViews>
    <workbookView xWindow="7320" yWindow="7320" windowWidth="14145" windowHeight="23445" tabRatio="500" xr2:uid="{00000000-000D-0000-FFFF-FFFF00000000}"/>
  </bookViews>
  <sheets>
    <sheet name="README" sheetId="1" r:id="rId1"/>
    <sheet name="Rate Definitions" sheetId="2" r:id="rId2"/>
    <sheet name="Rating Engine" sheetId="3" r:id="rId3"/>
    <sheet name="Premium Breakout" sheetId="4" r:id="rId4"/>
    <sheet name="Portfolio Register" sheetId="5" r:id="rId5"/>
    <sheet name="Portfolio Summary" sheetId="6" r:id="rId6"/>
    <sheet name="Referral Log" sheetId="7" r:id="rId7"/>
    <sheet name="Scenario Tests" sheetId="8" r:id="rId8"/>
    <sheet name="Base Rates" sheetId="9" r:id="rId9"/>
    <sheet name="Make Factors" sheetId="10" r:id="rId10"/>
    <sheet name="Driver Factors" sheetId="11" r:id="rId11"/>
    <sheet name="Claims History" sheetId="12" r:id="rId12"/>
    <sheet name="Territory Factors" sheetId="13" r:id="rId13"/>
    <sheet name="City Accident Ratings" sheetId="14" r:id="rId14"/>
    <sheet name="Cat Zone by ZIP" sheetId="15" r:id="rId15"/>
    <sheet name="Natural Catastrophe" sheetId="16" r:id="rId16"/>
    <sheet name="Deductibles" sheetId="17" r:id="rId17"/>
    <sheet name="Usage and Coverage" sheetId="18" r:id="rId18"/>
    <sheet name="Endorsements" sheetId="19" r:id="rId19"/>
    <sheet name="Sublimits and Parts" sheetId="20" r:id="rId20"/>
    <sheet name="Technical Premium" sheetId="21" r:id="rId21"/>
    <sheet name="Commission Structure" sheetId="22" r:id="rId22"/>
    <sheet name="Lloyds Markets" sheetId="23" r:id="rId23"/>
  </sheet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<sst xmlns="http://schemas.openxmlformats.org/spreadsheetml/2006/main" count="5752" uniqueCount="2886">
  <si>
    <t>EXOTIC, SUPERCAR &amp; COLLECTOR AUTOMOBILE  -  MGA RATING MATRIX</t>
  </si>
  <si>
    <t>Delegated authority rating structure for high-value private and commercial motor risks with agreed values of USD 250,000 and above</t>
  </si>
  <si>
    <t>HOW TO USE THIS WORKBOOK</t>
  </si>
  <si>
    <t>Rating Engine</t>
  </si>
  <si>
    <t>Single-risk quotation. Fill only the blue-on-yellow input cells in Section 1 (each has a drop-down). Everything below calculates automatically: factor pick-up, technical premium, gross written premium, taxes and the full commission split.</t>
  </si>
  <si>
    <t>Scenario Tests</t>
  </si>
  <si>
    <t>Six worked risks side by side using the identical formula chain. Use it to sense-check rate adequacy and relativities across the portfolio, or as a template for a quote sheet.</t>
  </si>
  <si>
    <t>Rate Definitions</t>
  </si>
  <si>
    <t>Plain-language definitions of every rate concept in the workbook - base rate, loss cost, pure risk premium, technical premium, technical rate, charged rate, rate adequacy - plus a live rate hierarchy for the specimen risk.</t>
  </si>
  <si>
    <t>Base Rates</t>
  </si>
  <si>
    <t>Physical-damage base rate per USD 100 of agreed value, by vehicle class and agreed-value band. This is the single biggest lever in the model.</t>
  </si>
  <si>
    <t>Make Factors</t>
  </si>
  <si>
    <t>Make-level modifier built from parts &amp; labour cost, theft attractiveness and repair-network scarcity. Combined factor feeds the engine.</t>
  </si>
  <si>
    <t>Driver Factors</t>
  </si>
  <si>
    <t>Age band, high-performance driving experience and MVR / violation record.</t>
  </si>
  <si>
    <t>Claims History</t>
  </si>
  <si>
    <t>At-fault and comprehensive claim relativities, plus loss-run and chargeable-period underwriting rules.</t>
  </si>
  <si>
    <t>Territory Factors</t>
  </si>
  <si>
    <t>All 50 states and DC: PD territory factor, liability base loss cost, catastrophe load, theft and litigation indices, no-fault status, surplus lines tax, and the named perils driving each state. Regional peril and coverage notes sit below the state table.</t>
  </si>
  <si>
    <t>City Accident Ratings</t>
  </si>
  <si>
    <t>Metro-level accident, theft and comprehensive relativities for 48 major US metros plus a rest-of-state default, blended by adjustable weights and applied on top of the statewide territory factor.</t>
  </si>
  <si>
    <t>Usage and Coverage</t>
  </si>
  <si>
    <t>Personal vs commercial usage, annual mileage, storage, security, deductible, valuation basis, collection size and liability increased-limit factors.</t>
  </si>
  <si>
    <t>Cat Zone by ZIP</t>
  </si>
  <si>
    <t>ZIP-3 prefix to catastrophe zone mapping with a state-default fallback. The Rating Engine reads the garaging ZIP and derives the zone automatically, disclosing how it was determined.</t>
  </si>
  <si>
    <t>Natural Catastrophe</t>
  </si>
  <si>
    <t>Catastrophe zone multipliers applied to the state cat load, catastrophe deductible options, peril-by-peril coverage treatment, a live aggregate and PML monitor, and the binding moratorium rules.</t>
  </si>
  <si>
    <t>Deductibles</t>
  </si>
  <si>
    <t>Value-banded physical damage deductible factor matrix, peril-specific deductibles, deductible rules, and the rateable deductible selections that drive the Rating Engine drop-downs.</t>
  </si>
  <si>
    <t>Sublimits and Parts</t>
  </si>
  <si>
    <t>Schedule of sub-limits, parts and labour provisions, how both interact with agreed value, and the rateable sub-limit selections that drive the Rating Engine drop-downs.</t>
  </si>
  <si>
    <t>Portfolio Register</t>
  </si>
  <si>
    <t>The book: one row per vehicle with the full rating chain run across 300 pre-built rows. Add a vehicle by completing the blue columns on the next empty row - no new files, no copying sheets.</t>
  </si>
  <si>
    <t>Referral Log</t>
  </si>
  <si>
    <t>Live audit record of every referred or declined risk, who approved it, on what basis, and whether they held the authority. Includes the approval authority matrix.</t>
  </si>
  <si>
    <t>Portfolio Summary</t>
  </si>
  <si>
    <t>Live totals for the whole register: GWP, technical premium, rate adequacy, referral counts, and breakdowns by vehicle class, garaging state and catastrophe zone.</t>
  </si>
  <si>
    <t>Premium Breakout</t>
  </si>
  <si>
    <t>Full derivation of the technical premium for the risk on the Rating Engine: factor-by-factor build with marginal dollar effects, a component waterfall, and an independent first-principles proof of the arithmetic.</t>
  </si>
  <si>
    <t>Endorsements</t>
  </si>
  <si>
    <t>The 25 most common endorsements on exotic and collector motor programmes with typical premium impact and underwriting rules, plus the classic and collector category definitions and eligibility rules.</t>
  </si>
  <si>
    <t>Technical Premium</t>
  </si>
  <si>
    <t>Loading assumptions (ALAE, ULAE, risk margin, target underwriting profit, reinsurance, admin) and the gross-up divisor. Below that, the technical premium matrix by class and value band, and the same matrix expressed as a rate per USD 100 of value.</t>
  </si>
  <si>
    <t>Commission Structure</t>
  </si>
  <si>
    <t>Ceding commission from capacity, retail and wholesale broker splits, MGA net retained commission, profit commission terms, fees and taxes, and an illustrative MGA operating P&amp;L.</t>
  </si>
  <si>
    <t>Lloyds Markets</t>
  </si>
  <si>
    <t>Ten Lloyd's syndicates with indicative line size, target share, binder type and commission terms, plus alternates and a placement checklist.</t>
  </si>
  <si>
    <t>CELL COLOUR LEGEND</t>
  </si>
  <si>
    <t>Blue text on yellow fill</t>
  </si>
  <si>
    <t>Input cell. Enter or select a value here. These are the only cells you should type into.</t>
  </si>
  <si>
    <t>Blue text</t>
  </si>
  <si>
    <t>Hardcoded assumption or scenario lever. Change deliberately - these drive the whole model.</t>
  </si>
  <si>
    <t>Black text</t>
  </si>
  <si>
    <t>Calculated on this sheet. Do not overwrite.</t>
  </si>
  <si>
    <t>Green text</t>
  </si>
  <si>
    <t>Linked from another sheet in this workbook.</t>
  </si>
  <si>
    <t>RATING ALGORITHM</t>
  </si>
  <si>
    <t>1.  PD base loss cost      =  Agreed Value / 100  x  base rate (vehicle class x value band)</t>
  </si>
  <si>
    <t>2.  Rated PD loss cost     =  PD base loss cost  x  14 core rating factors (make, age, experience, MVR, claims, state territory, city / metro accident territory, usage, mileage, storage, security, PD deductible, valuation basis, collection size)  x  14 coverage factors (5 deductible selections and 9 sub-limit selections)</t>
  </si>
  <si>
    <t>3.  Rated liability loss cost  =  state liability base loss cost  x  increased limit factor  x  usage  x  age  x  MVR  x  claims  x  mileage</t>
  </si>
  <si>
    <t>4.  Expected loss          =  rated PD  +  rated liability</t>
  </si>
  <si>
    <t>5.  Loss &amp; ALAE            =  expected loss  x  (1 + ALAE load)</t>
  </si>
  <si>
    <t>6.  Plus ULAE              =  Loss &amp; ALAE  x  ULAE load</t>
  </si>
  <si>
    <t>7.  Plus catastrophe load  =  rated PD loss cost  x  state cat load  x  catastrophe zone multiplier (from ZIP)  x  catastrophe deductible credit</t>
  </si>
  <si>
    <t>8.  Plus risk margin       =  subtotal  x  volatility / risk margin</t>
  </si>
  <si>
    <t>9.  Pure risk premium      =  sum of steps 5 - 8</t>
  </si>
  <si>
    <t>10. TECHNICAL PREMIUM      =  pure risk premium  /  (1 - acquisition - admin - reinsurance - target UW profit)</t>
  </si>
  <si>
    <t>11. Gross written premium  =  technical premium  x  (1 + underwriter judgement adjustment)</t>
  </si>
  <si>
    <t>12. Total due from insured =  GWP  +  policy fee  +  inspection fee  +  surplus lines tax  +  stamping fee</t>
  </si>
  <si>
    <t>IMPORTANT - READ BEFORE USE</t>
  </si>
  <si>
    <t>-  This workbook is an underwriting FRAMEWORK, not a filed or actuarially certified rating plan. Every base rate, factor and load in it is a starting benchmark constructed from general market logic and underwriting judgement - none of it is derived from a credible loss data set.</t>
  </si>
  <si>
    <t>-  Before this is used to bind live business it must be calibrated against (a) your own or your capacity provider's loss experience, (b) an actuarial rate indication signed by a qualified actuary, and (c) a benchmarking exercise against the incumbent markets in this class.</t>
  </si>
  <si>
    <t>-  Surplus lines tax rates and stamping fees in the Territory sheet are approximate and change frequently. Verify every rate with your surplus lines stamping office or filing service before invoicing. Several states restrict the export of personal lines business to the non-admitted market - diligent effort and export list rules must be checked state by state.</t>
  </si>
  <si>
    <t>-  The Lloyd's syndicate line sizes, target shares and commission terms are ILLUSTRATIVE PLACEHOLDERS for modelling only. Actual capacity, appetite and terms are negotiated with each managing agent and are subject to coverholder approval, Lloyd's binding authority requirements, and the syndicate's business plan for the year of account.</t>
  </si>
  <si>
    <t>-  Motor is a limited class at Lloyd's. Confirm each syndicate's current motor / specialty personal lines appetite through your Lloyd's broker before assuming capacity is available. A fronting arrangement with a US admitted or surplus lines carrier may be required in certain states.</t>
  </si>
  <si>
    <t>-  Nothing here is legal, tax or actuarial advice. Filing, licensing and compliance obligations differ in every state and must be confirmed with counsel and your compliance function.</t>
  </si>
  <si>
    <t>RATE DEFINITIONS AND RATE HIERARCHY</t>
  </si>
  <si>
    <t>What each rate in this workbook means, and how the specimen risk moves from base rate to charged rate.</t>
  </si>
  <si>
    <t>SECTION A  -  DEFINITIONS</t>
  </si>
  <si>
    <t>Term</t>
  </si>
  <si>
    <t>Definition</t>
  </si>
  <si>
    <t>Where it lives</t>
  </si>
  <si>
    <t>Base rate</t>
  </si>
  <si>
    <t>The starting physical damage rate per $100 of agreed value before any risk-specific adjustment. Set by vehicle class and agreed value band.</t>
  </si>
  <si>
    <t>Base Rates sheet</t>
  </si>
  <si>
    <t>Loss cost</t>
  </si>
  <si>
    <t>The expected dollar amount of claims for an exposure. Base PD loss cost = agreed value / 100 x base rate.</t>
  </si>
  <si>
    <t>Rating Engine, Section 2</t>
  </si>
  <si>
    <t>Rating factor</t>
  </si>
  <si>
    <t>A multiplicative relativity applied to the loss cost for a single risk characteristic (make, driver, territory, city, usage, etc.). 1.000 is neutral.</t>
  </si>
  <si>
    <t>Factor sheets</t>
  </si>
  <si>
    <t>Composite rating factor</t>
  </si>
  <si>
    <t>The product of all rating factors, subject to the maximum-factor cap. Applied to the base loss cost.</t>
  </si>
  <si>
    <t>Rating Engine, row 47</t>
  </si>
  <si>
    <t>ALAE</t>
  </si>
  <si>
    <t>Allocated loss adjustment expense: claim costs attributable to a specific claim (appraisers, specialists, defence counsel, salvage handling).</t>
  </si>
  <si>
    <t>Technical Premium, Section A</t>
  </si>
  <si>
    <t>ULAE</t>
  </si>
  <si>
    <t>Unallocated loss adjustment expense: claims-department overhead not attributable to individual claims.</t>
  </si>
  <si>
    <t>Catastrophe load</t>
  </si>
  <si>
    <t>Provision for low-frequency, high-severity events (hurricane, hail, wildfire) not credibly captured in base loss experience. Varies by state.</t>
  </si>
  <si>
    <t>Territory Factors, col G</t>
  </si>
  <si>
    <t>Risk margin</t>
  </si>
  <si>
    <t>Loading for volatility and parameter uncertainty in a low-frequency, very-high-severity class.</t>
  </si>
  <si>
    <t>Pure risk premium</t>
  </si>
  <si>
    <t>Expected loss plus ALAE, ULAE, catastrophe load and risk margin. No expense or profit content.</t>
  </si>
  <si>
    <t>Rating Engine, row 60</t>
  </si>
  <si>
    <t>Expense &amp; profit ratio</t>
  </si>
  <si>
    <t>Acquisition commission + administration + reinsurance net cost + target underwriting profit, expressed as a share of premium.</t>
  </si>
  <si>
    <t>Gross-up divisor</t>
  </si>
  <si>
    <t>1 minus the expense &amp; profit ratio. The pure risk premium is divided by this to gross it up to a premium.</t>
  </si>
  <si>
    <t>Technical Premium, row 13</t>
  </si>
  <si>
    <t>TECHNICAL PREMIUM</t>
  </si>
  <si>
    <t>The rate-adequate premium: pure risk premium divided by the gross-up divisor. The price at which the account is expected to hit its target loss ratio and profit. Writing below it erodes results dollar for dollar.</t>
  </si>
  <si>
    <t>Rating Engine, row 62</t>
  </si>
  <si>
    <t>TECHNICAL RATE</t>
  </si>
  <si>
    <t>The technical premium expressed per $100 of agreed value. The management metric for comparing rate adequacy across classes, states and time, independent of mix.</t>
  </si>
  <si>
    <t>Rating Engine row 69; Technical Premium, Section D</t>
  </si>
  <si>
    <t>Underwriter judgement adjustment</t>
  </si>
  <si>
    <t>A manual percentage deviation from the technical premium to reflect market conditions or risk features outside the plan. Beyond +/-15% requires senior sign-off.</t>
  </si>
  <si>
    <t>Rating Engine, row 27</t>
  </si>
  <si>
    <t>Gross written premium (charged rate)</t>
  </si>
  <si>
    <t>The premium actually charged: technical premium plus the judgement adjustment. Charged rate = GWP per $100 of value.</t>
  </si>
  <si>
    <t>Rating Engine, rows 64 and 76</t>
  </si>
  <si>
    <t>Rate adequacy</t>
  </si>
  <si>
    <t>Charged rate divided by technical rate. Below 100% the book is under-priced regardless of how competitive it looks.</t>
  </si>
  <si>
    <t>Compare rows 76 and 69</t>
  </si>
  <si>
    <t>Minimum premium</t>
  </si>
  <si>
    <t>The lowest premium acceptable per policy irrespective of the formula, reflecting fixed policy costs. Set per syndicate on the Lloyds Markets sheet.</t>
  </si>
  <si>
    <t>Ceding commission / net rate</t>
  </si>
  <si>
    <t>Commission retained from GWP by the distribution chain; net rate is what reaches capacity. Net premium = GWP x (1 - total ceding commission).</t>
  </si>
  <si>
    <t>SECTION B  -  LIVE RATE HIERARCHY  (specimen risk from the Rating Engine)</t>
  </si>
  <si>
    <t>Step</t>
  </si>
  <si>
    <t>What it is</t>
  </si>
  <si>
    <t>Rate per $100 of value</t>
  </si>
  <si>
    <t>Premium ($)</t>
  </si>
  <si>
    <t>1. Base rate</t>
  </si>
  <si>
    <t>Vehicle class x agreed value band starting rate</t>
  </si>
  <si>
    <t>2. Rated PD loss cost</t>
  </si>
  <si>
    <t>Base loss cost x core factors x coverage factors</t>
  </si>
  <si>
    <t>3. Pure risk premium</t>
  </si>
  <si>
    <t>Plus liability, ALAE, ULAE, catastrophe load and risk margin</t>
  </si>
  <si>
    <t>4. TECHNICAL RATE / PREMIUM</t>
  </si>
  <si>
    <t>Grossed up for expense and profit - the rate-adequate price</t>
  </si>
  <si>
    <t>5. Charged rate / GWP</t>
  </si>
  <si>
    <t>Technical premium plus underwriter judgement adjustment</t>
  </si>
  <si>
    <t>6. Rate adequacy</t>
  </si>
  <si>
    <t>Charged rate / technical rate (below 100% = under-priced)</t>
  </si>
  <si>
    <t>The hierarchy is live: change any input on the Rating Engine and this table follows. The two rates management should watch are step 4 (is the plan producing an adequate price?) and step 6 (are the underwriters charging it?). For the full component-by-component derivation of step 4, including the marginal dollar effect of every individual factor and an independent proof of the arithmetic, see the Premium Breakout sheet.</t>
  </si>
  <si>
    <t>RATING ENGINE  -  SINGLE RISK QUOTATION</t>
  </si>
  <si>
    <t>Complete the yellow input cells in Section 1 - every one is a drop-down except the free-text and numeric fields. The catastrophe zone is derived from the garaging ZIP. Do not type over any calculated cell.</t>
  </si>
  <si>
    <t>SECTION 1  -  RISK INPUTS   (complete every yellow cell)</t>
  </si>
  <si>
    <t>Insured / risk reference</t>
  </si>
  <si>
    <t>Specimen Risk - Miami</t>
  </si>
  <si>
    <t>Free text.</t>
  </si>
  <si>
    <t>Policy effective date</t>
  </si>
  <si>
    <t>Enter as a date.</t>
  </si>
  <si>
    <t>Vehicle year</t>
  </si>
  <si>
    <t>Free text - drives class selection.</t>
  </si>
  <si>
    <t>Vehicle make</t>
  </si>
  <si>
    <t>Ferrari</t>
  </si>
  <si>
    <t>Drop-down from the Make Factors sheet.</t>
  </si>
  <si>
    <t>Vehicle model</t>
  </si>
  <si>
    <t>296 GTB</t>
  </si>
  <si>
    <t>Free text. Refer any model not represented by the make factor.</t>
  </si>
  <si>
    <t>Vehicle class</t>
  </si>
  <si>
    <t>03 - Supercar</t>
  </si>
  <si>
    <t>Drop-down. Classic and collector eligibility rules are on the Endorsements sheet, Section B.</t>
  </si>
  <si>
    <t>Agreed value (USD)</t>
  </si>
  <si>
    <t>Appraised agreed value. Programme minimum is $100,000 - anything below is automatically declined. Independent appraisal required at or above $1m.</t>
  </si>
  <si>
    <t>Garaging state</t>
  </si>
  <si>
    <t>Florida</t>
  </si>
  <si>
    <t>Drop-down - all 50 states and DC. GARAGING address governs.</t>
  </si>
  <si>
    <t>Garaging ZIP code</t>
  </si>
  <si>
    <t>33131</t>
  </si>
  <si>
    <t>ENTER THE 5-DIGIT GARAGING ZIP. This drives the catastrophe zone in Section 2A. Leading zeros are handled.</t>
  </si>
  <si>
    <t>Policy type</t>
  </si>
  <si>
    <t>Personal</t>
  </si>
  <si>
    <t>Personal or Commercial. Must be consistent with the usage category below.</t>
  </si>
  <si>
    <t>Usage category</t>
  </si>
  <si>
    <t>Personal - regular use</t>
  </si>
  <si>
    <t>Drop-down. Commercial classes carry their own liability structure - refer.</t>
  </si>
  <si>
    <t>Annual mileage band</t>
  </si>
  <si>
    <t>2,500 - 5,000</t>
  </si>
  <si>
    <t>Drop-down. Mileage cap is a policy condition, not just a rating item.</t>
  </si>
  <si>
    <t>Storage / garaging</t>
  </si>
  <si>
    <t>Locked private garage w/ monitored alarm</t>
  </si>
  <si>
    <t>Drop-down. Storage is the single most effective loss control on this class.</t>
  </si>
  <si>
    <t>Security specification</t>
  </si>
  <si>
    <t>GPS tracker w/ recovery service</t>
  </si>
  <si>
    <t>Drop-down. GPS with recovery service is mandatory above $500k agreed value.</t>
  </si>
  <si>
    <t>Principal driver age band</t>
  </si>
  <si>
    <t>45 - 54</t>
  </si>
  <si>
    <t>Drop-down. Rate the worst-rated permitted driver, not the policyholder.</t>
  </si>
  <si>
    <t>High-performance experience</t>
  </si>
  <si>
    <t>5 - 10 years</t>
  </si>
  <si>
    <t>Drop-down. Accredited training certificate must be on file to take the credit.</t>
  </si>
  <si>
    <t>MVR record (3 yrs)</t>
  </si>
  <si>
    <t>Clean - no violations 3 yrs</t>
  </si>
  <si>
    <t>Drop-down. MVR ordered on every permitted driver at new business and renewal.</t>
  </si>
  <si>
    <t>Claims history (5 yrs)</t>
  </si>
  <si>
    <t>No at-fault claims - 5 yrs</t>
  </si>
  <si>
    <t>Drop-down. Five years of carrier loss runs required above $500k agreed value.</t>
  </si>
  <si>
    <t>Collection size</t>
  </si>
  <si>
    <t>2 - 3 vehicles</t>
  </si>
  <si>
    <t>Drop-down.</t>
  </si>
  <si>
    <t>Physical damage deductible</t>
  </si>
  <si>
    <t>$5,000</t>
  </si>
  <si>
    <t>Drop-down from the Deductibles sheet. Factor is banded by agreed value.</t>
  </si>
  <si>
    <t>Valuation basis</t>
  </si>
  <si>
    <t>Agreed Value</t>
  </si>
  <si>
    <t>Liability limit (CSL)</t>
  </si>
  <si>
    <t>$1,000,000 CSL</t>
  </si>
  <si>
    <t>Drop-down. Coordinate the attachment point with any personal umbrella.</t>
  </si>
  <si>
    <t>Rating city / metro (accident territory)</t>
  </si>
  <si>
    <t>Miami - Fort Lauderdale, FL</t>
  </si>
  <si>
    <t>Drop-down from the City Accident Ratings sheet.</t>
  </si>
  <si>
    <t>Catastrophe / named storm deductible</t>
  </si>
  <si>
    <t>2% of agreed value, minimum $10,000</t>
  </si>
  <si>
    <t>Drop-down. Credits the catastrophe load only, not the whole premium.</t>
  </si>
  <si>
    <t>DEDUCTIBLE SELECTIONS  -  Comprehensive deductible basis</t>
  </si>
  <si>
    <t>Same as physical damage deductible</t>
  </si>
  <si>
    <t>Drop-down. Options and factors on the Deductibles sheet, Section D.</t>
  </si>
  <si>
    <t>Glass deductible</t>
  </si>
  <si>
    <t>$500 flat, OEM glass</t>
  </si>
  <si>
    <t>Theft deductible</t>
  </si>
  <si>
    <t>Same as PD deductible</t>
  </si>
  <si>
    <t>Aggregate deductible (collections)</t>
  </si>
  <si>
    <t>Not applicable - per vehicle deductible</t>
  </si>
  <si>
    <t>Total loss deductible waiver</t>
  </si>
  <si>
    <t>Not purchased</t>
  </si>
  <si>
    <t>SUB-LIMIT SELECTIONS  -  Automatically acquired vehicle</t>
  </si>
  <si>
    <t>$500,000 / 30 days</t>
  </si>
  <si>
    <t>Drop-down. Options and factors on the Sublimits and Parts sheet, Section D.</t>
  </si>
  <si>
    <t>Spare parts, tools and automobilia</t>
  </si>
  <si>
    <t>$25,000</t>
  </si>
  <si>
    <t>Personal effects</t>
  </si>
  <si>
    <t>Loss of use / substitute vehicle</t>
  </si>
  <si>
    <t>$10,000</t>
  </si>
  <si>
    <t>Transit and transport</t>
  </si>
  <si>
    <t>Enclosed carrier only</t>
  </si>
  <si>
    <t>Worldwide territory extension</t>
  </si>
  <si>
    <t>Not required - US and Canada only</t>
  </si>
  <si>
    <t>Unobtainable parts fabrication</t>
  </si>
  <si>
    <t>$100,000</t>
  </si>
  <si>
    <t>Diminution in value</t>
  </si>
  <si>
    <t>10% of agreed value</t>
  </si>
  <si>
    <t>Per-location all-perils aggregate</t>
  </si>
  <si>
    <t>$10,000,000</t>
  </si>
  <si>
    <t>Catastrophe zone override (optional)</t>
  </si>
  <si>
    <t>OPTIONAL. Leave blank to let the ZIP drive the zone. Enter a zone here only to override the ZIP lookup - the override is disclosed on row 49.</t>
  </si>
  <si>
    <t>Manual market / judgement adjustment. The underwriter discount authority on the Technical Premium sheet (row 19) is a HARD LIMIT - anything beyond it forces a referral and cannot be bound alone.</t>
  </si>
  <si>
    <t>SECTION 2A  -  CATASTROPHE ZONE DETERMINATION  (driven by the garaging ZIP)</t>
  </si>
  <si>
    <t>ZIP-3 prefix</t>
  </si>
  <si>
    <t>First three digits of the garaging ZIP.</t>
  </si>
  <si>
    <t>CATASTROPHE ZONE (from ZIP)</t>
  </si>
  <si>
    <t>Derived. Manual override if entered, otherwise the ZIP-3 mapping, otherwise the state default.</t>
  </si>
  <si>
    <t>Zone determination source</t>
  </si>
  <si>
    <t>Shows exactly how the zone was determined so the result can be audited.</t>
  </si>
  <si>
    <t>Zone definition / primary perils</t>
  </si>
  <si>
    <t>Definition and primary perils for the zone, from the Natural Catastrophe sheet.</t>
  </si>
  <si>
    <t>Catastrophe zone multiplier</t>
  </si>
  <si>
    <t>Multiplies the statewide catastrophe load. INFORMATIONAL ONLY - the catastrophe zone never triggers a referral. Manage cat exposure through the aggregate monitor on the Natural Catastrophe sheet instead.</t>
  </si>
  <si>
    <t>Catastrophe deductible credit</t>
  </si>
  <si>
    <t>Catastrophe deductible credit. Applies to the catastrophe load only.</t>
  </si>
  <si>
    <t>SECTION 2B  -  RATING FACTOR PICK-UP</t>
  </si>
  <si>
    <t>Agreed value band</t>
  </si>
  <si>
    <t>Determined from agreed value.</t>
  </si>
  <si>
    <t>PD base rate per $100 of value</t>
  </si>
  <si>
    <t>From the Base Rates matrix.</t>
  </si>
  <si>
    <t>Base PD loss cost</t>
  </si>
  <si>
    <t>Agreed value / 100 x base rate.</t>
  </si>
  <si>
    <t>Make / model factor</t>
  </si>
  <si>
    <t>Driver age factor</t>
  </si>
  <si>
    <t>Experience factor</t>
  </si>
  <si>
    <t>MVR factor</t>
  </si>
  <si>
    <t>Claims history factor</t>
  </si>
  <si>
    <t>State territory factor</t>
  </si>
  <si>
    <t>City / metro accident factor</t>
  </si>
  <si>
    <t>Usage factor</t>
  </si>
  <si>
    <t>Mileage factor</t>
  </si>
  <si>
    <t>Storage factor</t>
  </si>
  <si>
    <t>Security factor</t>
  </si>
  <si>
    <t>PD deductible factor (value-banded)</t>
  </si>
  <si>
    <t>Valuation basis factor</t>
  </si>
  <si>
    <t>Collection size credit</t>
  </si>
  <si>
    <t>Comprehensive deductible factor</t>
  </si>
  <si>
    <t>Glass deductible factor</t>
  </si>
  <si>
    <t>Theft deductible factor</t>
  </si>
  <si>
    <t>Aggregate deductible factor</t>
  </si>
  <si>
    <t>Total loss waiver factor</t>
  </si>
  <si>
    <t>Newly acquired vehicle factor</t>
  </si>
  <si>
    <t>Spare parts factor</t>
  </si>
  <si>
    <t>Personal effects factor</t>
  </si>
  <si>
    <t>Loss of use factor</t>
  </si>
  <si>
    <t>Transit factor</t>
  </si>
  <si>
    <t>Worldwide territory factor</t>
  </si>
  <si>
    <t>Unobtainable parts factor</t>
  </si>
  <si>
    <t>Diminution in value factor</t>
  </si>
  <si>
    <t>Per-location aggregate factor</t>
  </si>
  <si>
    <t>CORE RATING FACTOR PRODUCT</t>
  </si>
  <si>
    <t>Product of the fourteen core risk factors (rows 58 - 71).</t>
  </si>
  <si>
    <t>COVERAGE &amp; SUB-LIMIT FACTOR PRODUCT</t>
  </si>
  <si>
    <t>Product of the fourteen deductible and sub-limit selections (rows 72 - 85).</t>
  </si>
  <si>
    <t>COMPOSITE PD FACTOR (capped)</t>
  </si>
  <si>
    <t>Core x coverage, subject to the maximum composite factor cap. A risk hitting the cap is automatically referred.</t>
  </si>
  <si>
    <t>SECTION 3  -  PREMIUM BUILD</t>
  </si>
  <si>
    <t>Rated PD loss cost</t>
  </si>
  <si>
    <t>Base PD loss cost x composite factor.</t>
  </si>
  <si>
    <t>Liability base loss cost (state)</t>
  </si>
  <si>
    <t>Increased limit factor</t>
  </si>
  <si>
    <t>Rated liability loss cost</t>
  </si>
  <si>
    <t>Liability is driven by driver, usage, mileage and metro - not by vehicle value.</t>
  </si>
  <si>
    <t>Total expected loss</t>
  </si>
  <si>
    <t>Plus ALAE</t>
  </si>
  <si>
    <t>Loss and ALAE</t>
  </si>
  <si>
    <t>Plus ULAE</t>
  </si>
  <si>
    <t>State catastrophe load (%)</t>
  </si>
  <si>
    <t>Statewide catastrophe load, from the Territory Factors sheet.</t>
  </si>
  <si>
    <t>Plus catastrophe load ($)</t>
  </si>
  <si>
    <t>PD loss cost x state cat load x zone multiplier x cat deductible credit.</t>
  </si>
  <si>
    <t>Subtotal loss cost</t>
  </si>
  <si>
    <t>Plus risk margin</t>
  </si>
  <si>
    <t>PURE RISK PREMIUM</t>
  </si>
  <si>
    <t>Loss, ALAE, ULAE, catastrophe and risk margin. No expense or profit yet.</t>
  </si>
  <si>
    <t>1 minus acquisition, admin, reinsurance and target underwriting profit.</t>
  </si>
  <si>
    <t>The rate-adequate premium. See the Premium Breakout sheet for the full derivation.</t>
  </si>
  <si>
    <t>TECHNICAL RATE per $100 of agreed value</t>
  </si>
  <si>
    <t>The TECHNICAL RATE. The management metric - compare across classes, states and time.</t>
  </si>
  <si>
    <t>GROSS WRITTEN PREMIUM</t>
  </si>
  <si>
    <t>Technical premium adjusted for underwriter judgement. This is the charged premium.</t>
  </si>
  <si>
    <t>Charged rate per $100 of agreed value</t>
  </si>
  <si>
    <t>The CHARGED RATE, on the same basis as the technical rate above.</t>
  </si>
  <si>
    <t>Rate adequacy (charged / technical)</t>
  </si>
  <si>
    <t>Charged rate divided by technical rate. Below 100% the risk is under-priced.</t>
  </si>
  <si>
    <t>Policy fee</t>
  </si>
  <si>
    <t>Inspection / appraisal fee</t>
  </si>
  <si>
    <t>Surplus lines tax and stamping fee</t>
  </si>
  <si>
    <t>State surplus lines tax plus stamping fee. VERIFY THE RATE BEFORE INVOICING.</t>
  </si>
  <si>
    <t>TOTAL DUE FROM INSURED</t>
  </si>
  <si>
    <t>Premium plus fees plus taxes.</t>
  </si>
  <si>
    <t>SECTION 4  -  COMMISSION ALLOCATION AND OUTCOME</t>
  </si>
  <si>
    <t>Total commission from capacity</t>
  </si>
  <si>
    <t xml:space="preserve">  Retail / producing broker</t>
  </si>
  <si>
    <t xml:space="preserve">  Wholesale / surplus lines broker</t>
  </si>
  <si>
    <t xml:space="preserve">  MGA NET RETAINED COMMISSION</t>
  </si>
  <si>
    <t>Net premium to Lloyd's capacity</t>
  </si>
  <si>
    <t>REFERRAL STATUS</t>
  </si>
  <si>
    <t>Driven by the underwriting position columns in the factor tables, the automatic bind limit and the composite factor cap. The catastrophe zone does NOT trigger a referral.</t>
  </si>
  <si>
    <t>TECHNICAL PREMIUM BREAKOUT  -  FULL DERIVATION</t>
  </si>
  <si>
    <t>Every component of the technical premium for the risk currently on the Rating Engine, shown step by step so the arithmetic can be checked by hand.</t>
  </si>
  <si>
    <t>SECTION A  -  FACTOR-BY-FACTOR BUILD OF THE PHYSICAL DAMAGE LOSS COST</t>
  </si>
  <si>
    <t>#</t>
  </si>
  <si>
    <t>Factor</t>
  </si>
  <si>
    <t>Running product</t>
  </si>
  <si>
    <t>Running loss cost ($)</t>
  </si>
  <si>
    <t>Marginal effect ($)</t>
  </si>
  <si>
    <t>Selection made</t>
  </si>
  <si>
    <t>0</t>
  </si>
  <si>
    <t>Base PD loss cost  (agreed value / 100 x base rate)</t>
  </si>
  <si>
    <t>RATED PD LOSS COST  (checks to Rating Engine row 91)</t>
  </si>
  <si>
    <t>SECTION B  -  PREMIUM WATERFALL</t>
  </si>
  <si>
    <t>Component</t>
  </si>
  <si>
    <t>Amount ($)</t>
  </si>
  <si>
    <t>Running total ($)</t>
  </si>
  <si>
    <t>% of technical premium</t>
  </si>
  <si>
    <t>Per $100 of agreed value</t>
  </si>
  <si>
    <t>Rated physical damage loss cost</t>
  </si>
  <si>
    <t>Allocated loss adjustment expense (ALAE)</t>
  </si>
  <si>
    <t>Unallocated loss adjustment expense (ULAE)</t>
  </si>
  <si>
    <t>Risk margin / volatility load</t>
  </si>
  <si>
    <t>Expense and profit gross-up</t>
  </si>
  <si>
    <t>GROSS WRITTEN PREMIUM (charged)</t>
  </si>
  <si>
    <t>SECTION C  -  INDEPENDENT PROOF  (recalculated from first principles, not copied)</t>
  </si>
  <si>
    <t>Agreed value / 100 x base rate</t>
  </si>
  <si>
    <t>x core rating factor product</t>
  </si>
  <si>
    <t>x coverage and sub-limit factor product</t>
  </si>
  <si>
    <t>+ liability base loss cost x ILF x liability modifier chain</t>
  </si>
  <si>
    <t>x (1 + ALAE load)</t>
  </si>
  <si>
    <t>x (1 + ULAE load)</t>
  </si>
  <si>
    <t>+ catastrophe load</t>
  </si>
  <si>
    <t>x (1 + risk margin)</t>
  </si>
  <si>
    <t>/ gross-up divisor  =  TECHNICAL PREMIUM</t>
  </si>
  <si>
    <t>VARIANCE against Rating Engine row 105</t>
  </si>
  <si>
    <t>How to read this sheet:</t>
  </si>
  <si>
    <t>-  Section A takes the base loss cost and applies the twenty-eight factors one at a time. The running product column is the composite factor building up; the marginal effect column shows what each individual selection cost or saved in dollars. The heavy line separates the fourteen core risk factors from the fourteen deductible and sub-limit selections.</t>
  </si>
  <si>
    <t>-  Section B is the same premium viewed as a waterfall of components rather than a chain of factors. The percentage column shows what share of the technical premium each component represents - if the expense and profit gross-up is the largest line, that is the model telling you the acquisition cost structure is doing more work than the loss cost.</t>
  </si>
  <si>
    <t>-  Section C rebuilds the technical premium from first principles down a single column, using only the raw inputs and loading assumptions, and differences it against the engine. If the variance cell does not read PROVED, a formula somewhere has been overwritten.</t>
  </si>
  <si>
    <t>-  All three sections are live. Change any input on the Rating Engine and all of them follow.</t>
  </si>
  <si>
    <t>PORTFOLIO REGISTER  -  ONE ROW PER VEHICLE</t>
  </si>
  <si>
    <t>The whole rating chain run across the book: add a vehicle by filling the blue columns on the next empty row. 300 rows are pre-built; grey columns calculate. To audit any single row in full detail, re-key it on the Rating Engine.</t>
  </si>
  <si>
    <t>VEHICLE / POLICY</t>
  </si>
  <si>
    <t>RISK INPUTS</t>
  </si>
  <si>
    <t>DEDUCTIBLE SELECTIONS</t>
  </si>
  <si>
    <t>SUB-LIMIT SELECTIONS</t>
  </si>
  <si>
    <t>CAT DETERMINATION</t>
  </si>
  <si>
    <t>BAND &amp; FACTORS</t>
  </si>
  <si>
    <t>PREMIUM BUILD</t>
  </si>
  <si>
    <t>COMMISSION &amp; OUTCOME</t>
  </si>
  <si>
    <t>APPROVAL AND AUDIT</t>
  </si>
  <si>
    <t>Vehicle ref / certificate no.</t>
  </si>
  <si>
    <t>Named insured</t>
  </si>
  <si>
    <t>Effective date</t>
  </si>
  <si>
    <t>Expiry date</t>
  </si>
  <si>
    <t>Make</t>
  </si>
  <si>
    <t>Model</t>
  </si>
  <si>
    <t>VIN / chassis</t>
  </si>
  <si>
    <t>Garaging ZIP</t>
  </si>
  <si>
    <t>Security</t>
  </si>
  <si>
    <t>Driver age band</t>
  </si>
  <si>
    <t>Performance experience</t>
  </si>
  <si>
    <t>MVR record</t>
  </si>
  <si>
    <t>Claims history</t>
  </si>
  <si>
    <t>PD deductible</t>
  </si>
  <si>
    <t>Liability limit</t>
  </si>
  <si>
    <t>Rating city / metro</t>
  </si>
  <si>
    <t>Cat deductible</t>
  </si>
  <si>
    <t>Comprehensive ded basis</t>
  </si>
  <si>
    <t>Aggregate deductible</t>
  </si>
  <si>
    <t>Total loss waiver</t>
  </si>
  <si>
    <t>Newly acquired vehicle</t>
  </si>
  <si>
    <t>Spare parts / automobilia</t>
  </si>
  <si>
    <t>Loss of use</t>
  </si>
  <si>
    <t>Transit / transport</t>
  </si>
  <si>
    <t>Worldwide territory</t>
  </si>
  <si>
    <t>Unobtainable parts</t>
  </si>
  <si>
    <t>Per-location aggregate</t>
  </si>
  <si>
    <t>Cat zone override (optional)</t>
  </si>
  <si>
    <t>UW judgement adj (%)</t>
  </si>
  <si>
    <t>ZIP-3</t>
  </si>
  <si>
    <t>CAT ZONE</t>
  </si>
  <si>
    <t>Zone source</t>
  </si>
  <si>
    <t>Zone mult</t>
  </si>
  <si>
    <t>Cat ded credit</t>
  </si>
  <si>
    <t>Value band</t>
  </si>
  <si>
    <t>Base rate /$100</t>
  </si>
  <si>
    <t>f Make</t>
  </si>
  <si>
    <t>f Age</t>
  </si>
  <si>
    <t>f Exp</t>
  </si>
  <si>
    <t>f MVR</t>
  </si>
  <si>
    <t>f Claims</t>
  </si>
  <si>
    <t>f State</t>
  </si>
  <si>
    <t>f Metro</t>
  </si>
  <si>
    <t>f Usage</t>
  </si>
  <si>
    <t>f Miles</t>
  </si>
  <si>
    <t>f Storage</t>
  </si>
  <si>
    <t>f Security</t>
  </si>
  <si>
    <t>f PD ded</t>
  </si>
  <si>
    <t>f Valuation</t>
  </si>
  <si>
    <t>f Collection</t>
  </si>
  <si>
    <t>f Comprehensive de</t>
  </si>
  <si>
    <t>f Glass deductible</t>
  </si>
  <si>
    <t>f Theft deductible</t>
  </si>
  <si>
    <t>f Aggregate deduct</t>
  </si>
  <si>
    <t>f Total loss deduc</t>
  </si>
  <si>
    <t>f Automatically ac</t>
  </si>
  <si>
    <t>f Spare parts, too</t>
  </si>
  <si>
    <t>f Personal effects</t>
  </si>
  <si>
    <t>f Loss of use / su</t>
  </si>
  <si>
    <t>f Transit and tran</t>
  </si>
  <si>
    <t>f Worldwide territ</t>
  </si>
  <si>
    <t>f Unobtainable par</t>
  </si>
  <si>
    <t>f Diminution in va</t>
  </si>
  <si>
    <t>f Per-location all</t>
  </si>
  <si>
    <t>CORE FACTOR PRODUCT</t>
  </si>
  <si>
    <t>COVERAGE FACTOR PRODUCT</t>
  </si>
  <si>
    <t>COMPOSITE (capped)</t>
  </si>
  <si>
    <t>Liab base</t>
  </si>
  <si>
    <t>ILF</t>
  </si>
  <si>
    <t>Rated liability</t>
  </si>
  <si>
    <t>Expected loss</t>
  </si>
  <si>
    <t>Loss + ALAE + ULAE</t>
  </si>
  <si>
    <t>Cat load $</t>
  </si>
  <si>
    <t>Technical rate /$100</t>
  </si>
  <si>
    <t>GWP (charged)</t>
  </si>
  <si>
    <t>Charged rate /$100</t>
  </si>
  <si>
    <t>Fees</t>
  </si>
  <si>
    <t>SL tax + stamping</t>
  </si>
  <si>
    <t>TOTAL DUE</t>
  </si>
  <si>
    <t>Broker commission</t>
  </si>
  <si>
    <t>MGA net commission</t>
  </si>
  <si>
    <t>Net to capacity</t>
  </si>
  <si>
    <t>STATUS</t>
  </si>
  <si>
    <t>Variance to technical</t>
  </si>
  <si>
    <t>Bind band</t>
  </si>
  <si>
    <t>Referral reason (auto)</t>
  </si>
  <si>
    <t>Approver name</t>
  </si>
  <si>
    <t>Approver role</t>
  </si>
  <si>
    <t>Approval date</t>
  </si>
  <si>
    <t>Approval basis / rationale</t>
  </si>
  <si>
    <t>Conditions imposed</t>
  </si>
  <si>
    <t>BIND PERMITTED?</t>
  </si>
  <si>
    <t>Ref seq</t>
  </si>
  <si>
    <t>Notes</t>
  </si>
  <si>
    <t>V-0001</t>
  </si>
  <si>
    <t>Carrera Holdings LLC</t>
  </si>
  <si>
    <t>ZFF01SMA5P0290114</t>
  </si>
  <si>
    <t>33139</t>
  </si>
  <si>
    <t>V-0002</t>
  </si>
  <si>
    <t>Sonoran Collection Trust</t>
  </si>
  <si>
    <t>Bugatti</t>
  </si>
  <si>
    <t>Chiron Pur Sport</t>
  </si>
  <si>
    <t>VF9SP3V33MM795112</t>
  </si>
  <si>
    <t>04 - Hypercar</t>
  </si>
  <si>
    <t>Arizona</t>
  </si>
  <si>
    <t>85253</t>
  </si>
  <si>
    <t>Collector - pleasure use only</t>
  </si>
  <si>
    <t>Under 1,000</t>
  </si>
  <si>
    <t>Secure collection facility - climate controlled</t>
  </si>
  <si>
    <t>Kill switch + GPS + monitored alarm</t>
  </si>
  <si>
    <t>55 - 64</t>
  </si>
  <si>
    <t>10 + years</t>
  </si>
  <si>
    <t>No claims + 3 yrs prior collector policy</t>
  </si>
  <si>
    <t>11 - 20 vehicles</t>
  </si>
  <si>
    <t>Agreed Value + Appreciation clause</t>
  </si>
  <si>
    <t>$5,000,000 CSL</t>
  </si>
  <si>
    <t>Phoenix - Scottsdale, AZ</t>
  </si>
  <si>
    <t>$250,000</t>
  </si>
  <si>
    <t>$2,000,000 per vehicle / 90 days</t>
  </si>
  <si>
    <t>20% of agreed value (EX-05)</t>
  </si>
  <si>
    <t>$25,000,000</t>
  </si>
  <si>
    <t>V-0003</t>
  </si>
  <si>
    <t>Shelby</t>
  </si>
  <si>
    <t>Cobra 427</t>
  </si>
  <si>
    <t>CSX3178</t>
  </si>
  <si>
    <t>07 - Post-War Classic (1946-1972)</t>
  </si>
  <si>
    <t>Club touring / rallies (non-timed)</t>
  </si>
  <si>
    <t>1,000 - 2,500</t>
  </si>
  <si>
    <t>$2,000,000 CSL</t>
  </si>
  <si>
    <t>1% of agreed value, minimum $5,000</t>
  </si>
  <si>
    <t>V-0004</t>
  </si>
  <si>
    <t>Meridian Motorcars LLC</t>
  </si>
  <si>
    <t>Lamborghini</t>
  </si>
  <si>
    <t>Huracan Tecnica</t>
  </si>
  <si>
    <t>ZHWUT4ZF2PLA20441</t>
  </si>
  <si>
    <t>Nevada</t>
  </si>
  <si>
    <t>89109</t>
  </si>
  <si>
    <t>Commercial</t>
  </si>
  <si>
    <t>Rental / exotic driving experience</t>
  </si>
  <si>
    <t>Over 15,000</t>
  </si>
  <si>
    <t>Shared / commercial garage</t>
  </si>
  <si>
    <t>30 - 34</t>
  </si>
  <si>
    <t>3 - 5 years</t>
  </si>
  <si>
    <t>1 minor moving violation</t>
  </si>
  <si>
    <t>1 at-fault claim under $25k</t>
  </si>
  <si>
    <t>7 - 10 vehicles</t>
  </si>
  <si>
    <t>Stated Value (up to)</t>
  </si>
  <si>
    <t>Las Vegas, NV</t>
  </si>
  <si>
    <t>None - flat PD deductible applies to cat perils</t>
  </si>
  <si>
    <t>Double the PD deductible</t>
  </si>
  <si>
    <t>Double PD deductible for theft</t>
  </si>
  <si>
    <t>Not covered</t>
  </si>
  <si>
    <t>V-0005</t>
  </si>
  <si>
    <t>K. Reyes</t>
  </si>
  <si>
    <t>Porsche</t>
  </si>
  <si>
    <t>911 GT3 (991.2)</t>
  </si>
  <si>
    <t>WP0AC2A94HS270118</t>
  </si>
  <si>
    <t>02 - Sports / GT</t>
  </si>
  <si>
    <t>Rhode Island</t>
  </si>
  <si>
    <t>02906</t>
  </si>
  <si>
    <t>35 - 44</t>
  </si>
  <si>
    <t>10 + yrs w/ accredited HPDE cert.</t>
  </si>
  <si>
    <t>Other / Rest of State</t>
  </si>
  <si>
    <t>V-0006</t>
  </si>
  <si>
    <t>Pacific Crest Garage LLC</t>
  </si>
  <si>
    <t>Singer Vehicle Design</t>
  </si>
  <si>
    <t>DLS Turbo Study</t>
  </si>
  <si>
    <t>SVD-TS-0042</t>
  </si>
  <si>
    <t>11 - Restomod / Coachbuilt / Bespoke</t>
  </si>
  <si>
    <t>California</t>
  </si>
  <si>
    <t>91302</t>
  </si>
  <si>
    <t>4 - 6 vehicles</t>
  </si>
  <si>
    <t>1% of agreed value</t>
  </si>
  <si>
    <t>Los Angeles - Long Beach, CA</t>
  </si>
  <si>
    <t>Nil deductible - full glass (EX-16)</t>
  </si>
  <si>
    <t>PORTFOLIO SUMMARY</t>
  </si>
  <si>
    <t>The whole book in one view. Every figure calculates live from the Portfolio Register.</t>
  </si>
  <si>
    <t>SECTION A  -  BOOK TOTALS</t>
  </si>
  <si>
    <t>Vehicles on register</t>
  </si>
  <si>
    <t>Total insured value (TIV)</t>
  </si>
  <si>
    <t>TOTAL TECHNICAL PREMIUM</t>
  </si>
  <si>
    <t>TOTAL GROSS WRITTEN PREMIUM</t>
  </si>
  <si>
    <t>Fees, surplus lines tax and stamping</t>
  </si>
  <si>
    <t>Total due from insureds</t>
  </si>
  <si>
    <t>Broker commission payable</t>
  </si>
  <si>
    <t>MGA NET COMMISSION</t>
  </si>
  <si>
    <t>Portfolio technical rate per $100 TIV</t>
  </si>
  <si>
    <t>Portfolio charged rate per $100 TIV</t>
  </si>
  <si>
    <t>PORTFOLIO RATE ADEQUACY</t>
  </si>
  <si>
    <t>Average premium per vehicle</t>
  </si>
  <si>
    <t>Largest single agreed value</t>
  </si>
  <si>
    <t>Risks AUTO-BIND</t>
  </si>
  <si>
    <t>Risks REFER</t>
  </si>
  <si>
    <t>Risks DECLINE</t>
  </si>
  <si>
    <t>Rows with incomplete inputs</t>
  </si>
  <si>
    <t>SECTION B  -  BY VEHICLE CLASS</t>
  </si>
  <si>
    <t>Count</t>
  </si>
  <si>
    <t>TIV</t>
  </si>
  <si>
    <t>Technical premium</t>
  </si>
  <si>
    <t>GWP</t>
  </si>
  <si>
    <t>Tech rate /$100</t>
  </si>
  <si>
    <t>SECTION C  -  BY GARAGING STATE</t>
  </si>
  <si>
    <t>State</t>
  </si>
  <si>
    <t>Avg charged rate /$100</t>
  </si>
  <si>
    <t>SECTION D  -  CATASTROPHE AGGREGATE BY ZONE  (feed these TIV figures into the Natural Catastrophe monitor)</t>
  </si>
  <si>
    <t>Catastrophe zone</t>
  </si>
  <si>
    <t>Vehicles</t>
  </si>
  <si>
    <t>TIV in zone</t>
  </si>
  <si>
    <t>GWP in zone</t>
  </si>
  <si>
    <t>The zone TIV column below feeds the Natural Catastrophe aggregate monitor LIVE - Section D of that sheet reads column D of this table directly, so the modelled loss, the percentage of the reinsurance attachment and the BREACH / WATCH / OK status all move the moment a vehicle is added to the register. Nothing needs to be transferred by hand.</t>
  </si>
  <si>
    <t>SECTION E  -  BINDING DISCIPLINE  (where the book is being written against technical rate)</t>
  </si>
  <si>
    <t>% of vehicles</t>
  </si>
  <si>
    <t>GWP bound</t>
  </si>
  <si>
    <t>% of GWP</t>
  </si>
  <si>
    <t>$ variance to technical</t>
  </si>
  <si>
    <t>Above technical</t>
  </si>
  <si>
    <t>At technical</t>
  </si>
  <si>
    <t>BELOW technical</t>
  </si>
  <si>
    <t>BEYOND AUTHORITY</t>
  </si>
  <si>
    <t>PORTFOLIO VARIANCE TO TECHNICAL</t>
  </si>
  <si>
    <t>Total $ written above technical</t>
  </si>
  <si>
    <t>Total $ given away below technical</t>
  </si>
  <si>
    <t>NET $ VARIANCE TO TECHNICAL</t>
  </si>
  <si>
    <t>Deepest single discount to technical</t>
  </si>
  <si>
    <t>Largest single load above technical</t>
  </si>
  <si>
    <t>Discount authority limit</t>
  </si>
  <si>
    <t>VEHICLES BREACHING DISCOUNT AUTHORITY</t>
  </si>
  <si>
    <t>GWP bound beyond discount authority</t>
  </si>
  <si>
    <t>SECTION F  -  RATE TREND BY MONTH BOUND  (charts to the right)</t>
  </si>
  <si>
    <t>Trend start month (enter)</t>
  </si>
  <si>
    <t>24 months from this date. Months with no business bound are left blank so the chart shows a gap rather than a drop to zero.</t>
  </si>
  <si>
    <t>Month bound</t>
  </si>
  <si>
    <t>Read the two charts together. The first shows whether the rating plan itself is producing a stable technical rate as the mix of the book changes - a technical rate that drifts is a mix signal, not a pricing decision. The second shows what the underwriters actually charged against it. Sustained readings below 100% mean the book is being written below the rate the plan says it needs, and that gap compounds into the loss ratio regardless of how competitive the market felt at the time. Section E above breaks the same picture down by vehicle rather than by month.</t>
  </si>
  <si>
    <t>REFERRAL LOG AND APPROVAL AUTHORITY</t>
  </si>
  <si>
    <t>Live audit record of every risk the rater referred or declined, who authorised it, on what basis, and whether that person held the authority to do so.</t>
  </si>
  <si>
    <t>SECTION A  -  APPROVAL AUTHORITY MATRIX</t>
  </si>
  <si>
    <t>Role</t>
  </si>
  <si>
    <t>Max discount to technical</t>
  </si>
  <si>
    <t>Max agreed value</t>
  </si>
  <si>
    <t>May approve composite factor at cap</t>
  </si>
  <si>
    <t>May override a DECLINE</t>
  </si>
  <si>
    <t>Underwriter</t>
  </si>
  <si>
    <t>No</t>
  </si>
  <si>
    <t>Senior Underwriter</t>
  </si>
  <si>
    <t>Yes</t>
  </si>
  <si>
    <t>Head of Underwriting</t>
  </si>
  <si>
    <t>Chief Underwriting Officer</t>
  </si>
  <si>
    <t>Unlimited</t>
  </si>
  <si>
    <t>Only with lead syndicate agreement</t>
  </si>
  <si>
    <t>Lloyd's lead syndicate</t>
  </si>
  <si>
    <t>The discount authority on the Technical Premium sheet (row 19) governs what an underwriter may bind ALONE. This matrix governs who may authorise going beyond it. Both are inputs - amend to match your delegated authority agreement.</t>
  </si>
  <si>
    <t>SECTION B  -  REFERRAL DASHBOARD</t>
  </si>
  <si>
    <t>Risks referred or declined</t>
  </si>
  <si>
    <t xml:space="preserve">  of which approved and bindable</t>
  </si>
  <si>
    <t xml:space="preserve">  AWAITING APPROVAL</t>
  </si>
  <si>
    <t xml:space="preserve">  declined - cannot be bound</t>
  </si>
  <si>
    <t>Discount authority breaches</t>
  </si>
  <si>
    <t xml:space="preserve">  breaches still awaiting approval</t>
  </si>
  <si>
    <t>GWP awaiting approval</t>
  </si>
  <si>
    <t>GWP approved out of authority</t>
  </si>
  <si>
    <t>Approvals recorded without a named approver</t>
  </si>
  <si>
    <t>Log capacity check</t>
  </si>
  <si>
    <t>SECTION C  -  LIVE REFERRAL LOG  (pulls automatically from the Portfolio Register - the blue approval columns are filled on the register, not here)</t>
  </si>
  <si>
    <t>Seq</t>
  </si>
  <si>
    <t>Vehicle ref</t>
  </si>
  <si>
    <t>Insured</t>
  </si>
  <si>
    <t>Agreed value</t>
  </si>
  <si>
    <t>Status</t>
  </si>
  <si>
    <t>Referral reason</t>
  </si>
  <si>
    <t>Approver</t>
  </si>
  <si>
    <t>Days outstanding</t>
  </si>
  <si>
    <t>Authority check</t>
  </si>
  <si>
    <t>Bind permitted</t>
  </si>
  <si>
    <t>How this works:</t>
  </si>
  <si>
    <t>-  Every risk the rater flags REFER or DECLINE is numbered on the register and appears here automatically. Nothing is typed into this sheet.</t>
  </si>
  <si>
    <t>-  Record the approval on the REGISTER, in the approval columns (approver name, role, date, basis, conditions). It appears here on the next recalculation and travels with the risk for the life of the file.</t>
  </si>
  <si>
    <t>-  A referred risk shows BIND PERMITTED only once both an approver name AND an approval date are present. Until then it reads NO - AWAITING APPROVAL, and it should not be bound.</t>
  </si>
  <si>
    <t>-  The authority check compares the discount actually given against the approver's authority in Section A. INSUFFICIENT AUTHORITY means the approval was recorded by someone who could not give it - escalate rather than rely on it.</t>
  </si>
  <si>
    <t>-  A DECLINE cannot be approved away on the register. Overriding a decline requires the lead syndicate under the matrix in Section A, and should be documented outside this workbook as well.</t>
  </si>
  <si>
    <t>-  The dashboard line 'Approvals recorded without a named approver' catches the commonest audit finding: a date entered but no person accountable.</t>
  </si>
  <si>
    <t>SCENARIO TESTS  -  SIX WORKED RISKS</t>
  </si>
  <si>
    <t>Identical formula chain to the Rating Engine, run across six representative risks with different ZIP codes, deductible structures and sub-limit selections.</t>
  </si>
  <si>
    <t>Miami daily-driver supercar</t>
  </si>
  <si>
    <t>Scottsdale hypercar collection</t>
  </si>
  <si>
    <t>Greenwich concours classic</t>
  </si>
  <si>
    <t>Las Vegas exotic rental fleet unit</t>
  </si>
  <si>
    <t>Dallas dealer inventory unit</t>
  </si>
  <si>
    <t>Los Angeles restomod, club touring</t>
  </si>
  <si>
    <t>McLaren</t>
  </si>
  <si>
    <t>275 GTB/4</t>
  </si>
  <si>
    <t>750S Spider</t>
  </si>
  <si>
    <t>Connecticut</t>
  </si>
  <si>
    <t>Texas</t>
  </si>
  <si>
    <t>06830</t>
  </si>
  <si>
    <t>75201</t>
  </si>
  <si>
    <t>Exhibition / static display only</t>
  </si>
  <si>
    <t>Dealer inventory / demonstration</t>
  </si>
  <si>
    <t>None / period-correct vintage</t>
  </si>
  <si>
    <t>GPS tracker - no recovery service</t>
  </si>
  <si>
    <t>65 - 74</t>
  </si>
  <si>
    <t>Comp-only claims (glass/animal/weather)</t>
  </si>
  <si>
    <t>21 + vehicles</t>
  </si>
  <si>
    <t>Dallas - Fort Worth, TX</t>
  </si>
  <si>
    <t>5% of agreed value, minimum $25,000</t>
  </si>
  <si>
    <t>1% of total schedule value, annual aggregate</t>
  </si>
  <si>
    <t>2% of total schedule value, annual aggregate</t>
  </si>
  <si>
    <t>Purchased (EX-15)</t>
  </si>
  <si>
    <t>Enclosed plus open transport to $250,000</t>
  </si>
  <si>
    <t>$5,000,000</t>
  </si>
  <si>
    <t>Assumption note:</t>
  </si>
  <si>
    <t>Each scenario carries a real garaging ZIP, so the catastrophe zone on row 48 is derived rather than assumed - note how 33139 (Miami Beach) and 91302 (Calabasas) pull different zones from the same states that would otherwise share a statewide average. Rows 49 and 50 disclose how each zone was determined and what perils it represents. Compare the technical rate on row 106 rather than the absolute premium; row 110 tells you whether the underwriter is actually charging it. The deductible and sub-limit selections differ across the six columns so the effect of the coverage factor product on row 87 can be seen directly.</t>
  </si>
  <si>
    <t>PHYSICAL DAMAGE BASE RATES</t>
  </si>
  <si>
    <t>Rate per USD 100 of agreed value, by vehicle class and agreed value band. Minimum acceptable agreed value is USD 100,000. Rates decline with value to reflect non-linear severity and repair-cost capping.</t>
  </si>
  <si>
    <t>MATCH lower bound -&gt;</t>
  </si>
  <si>
    <t>Vehicle Class</t>
  </si>
  <si>
    <t>$100k - $250k</t>
  </si>
  <si>
    <t>$250k - $500k</t>
  </si>
  <si>
    <t>$500k - $1.0M</t>
  </si>
  <si>
    <t>$1.0M - $2.0M</t>
  </si>
  <si>
    <t>$2.0M - $5.0M</t>
  </si>
  <si>
    <t>$5.0M - $10.0M</t>
  </si>
  <si>
    <t>$10.0M +</t>
  </si>
  <si>
    <t>Class definition and underwriting note</t>
  </si>
  <si>
    <t>01 - Luxury Sedan / SUV</t>
  </si>
  <si>
    <t>Rolls-Royce, Bentley, Maybach, Cullinan, Bentayga. Lower severity volatility; high parts cost, strong dealer network.</t>
  </si>
  <si>
    <t>911 Turbo S/GT3, AMG GT, Aston Martin DB/Vantage, Maserati MC20. Highest frequency of the modern classes.</t>
  </si>
  <si>
    <t>Ferrari 296/SF90, Lamborghini Revuelto/Huracan, McLaren 750S. Carbon monocoque = high total-loss propensity.</t>
  </si>
  <si>
    <t>Bugatti, Koenigsegg, Pagani, Rimac, Aston Valkyrie. Severity-driven; single-claim can exceed line size.</t>
  </si>
  <si>
    <t>05 - Limited Edition / Track-Focused</t>
  </si>
  <si>
    <t>918 Spyder, GT2 RS, 812 Competizione, Ford GT. Elevated driver-behaviour exposure and appreciation risk.</t>
  </si>
  <si>
    <t>06 - Vintage Pre-War (pre-1946)</t>
  </si>
  <si>
    <t>Duesenberg, Bugatti Type 57, Alfa 8C, Mercedes 540K. Very low mileage; irreplaceable-parts / restoration cost exposure.</t>
  </si>
  <si>
    <t>250 GTO/SWB, 300SL, Miura, GT40, Cobra. Low frequency; provenance and market-value volatility drive severity.</t>
  </si>
  <si>
    <t>08 - Modern Classic (1973-1999)</t>
  </si>
  <si>
    <t>F40/F50, 959, 288 GTO, Countach, XJ220, EB110. Rising values; parts scarcity extends repair cycle.</t>
  </si>
  <si>
    <t>09 - Youngtimer / Collectible (2000-2010)</t>
  </si>
  <si>
    <t>Enzo, Carrera GT, SLR, CGT-era. Driven more than older classics; higher frequency than classes 06-08.</t>
  </si>
  <si>
    <t>10 - Competition / Race Car (non-competitive use)</t>
  </si>
  <si>
    <t>Ex-works race cars used for display, demonstration or historic parade laps ONLY. Timed competition excluded.</t>
  </si>
  <si>
    <t>Singer, Eagle, Icon, Ringbrothers, Alfaholics, Kalmar. Bespoke build cost; no OEM parts channel; appraisal mandatory.</t>
  </si>
  <si>
    <t>12 - Performance EV / Electric Hyper</t>
  </si>
  <si>
    <t>Rimac Nevera, Lotus Evija, Pininfarina Battista, Tesla/Lucid halo. Battery damage = constructive total loss; salvage/fire risk.</t>
  </si>
  <si>
    <t>Base rates are underwriting benchmarks set by judgement, not fitted to a loss data set. They are the primary calibration lever: a 10% move here moves every premium in the book by 10%. The decline across value bands reflects that repair cost does not scale linearly with vehicle value and that higher-value vehicles are driven less and stored better. The $100k - $250k band prices the entry tier of the book, where frequency is higher and the vehicles are driven considerably more. Class 04, 05 and 12 carry the highest rates because carbon-fibre monocoques, bespoke bodywork and high-voltage battery packs convert moderate impacts into constructive total losses.</t>
  </si>
  <si>
    <t>MAKE AND MODEL FACTORS</t>
  </si>
  <si>
    <t>Combined factor = parts &amp; labour cost x theft attractiveness x repair-network scarcity. Feeds the Rating Engine directly.</t>
  </si>
  <si>
    <t>Normalisation divisor -&gt;</t>
  </si>
  <si>
    <t>Portfolio-average product of the three sub-factors. Dividing by it re-centres the combined factor near 1.000 so the make modifier measures relativity WITHIN a vehicle class and does not double count severity already priced into the class base rate.</t>
  </si>
  <si>
    <t>Primary vehicle class</t>
  </si>
  <si>
    <t>Parts &amp; labour</t>
  </si>
  <si>
    <t>Theft attractiveness</t>
  </si>
  <si>
    <t>Repair network scarcity</t>
  </si>
  <si>
    <t>COMBINED FACTOR</t>
  </si>
  <si>
    <t>Notable models</t>
  </si>
  <si>
    <t>296 GTB, SF90, F8, 812, Purosangue, LaFerrari</t>
  </si>
  <si>
    <t>Revuelto, Huracan STO, Aventador SVJ, Urus Performante</t>
  </si>
  <si>
    <t>750S, Artura, Senna, Speedtail, P1</t>
  </si>
  <si>
    <t>911 GT3 RS, GT2 RS, 918 Spyder, Carrera GT, 959</t>
  </si>
  <si>
    <t>Chiron, Veyron, Divo, Mistral, Type 57</t>
  </si>
  <si>
    <t>Koenigsegg</t>
  </si>
  <si>
    <t>Jesko, Regera, Gemera, Agera RS</t>
  </si>
  <si>
    <t>Pagani</t>
  </si>
  <si>
    <t>Huayra, Zonda, Utopia</t>
  </si>
  <si>
    <t>Rimac</t>
  </si>
  <si>
    <t>Nevera, Concept One</t>
  </si>
  <si>
    <t>Aston Martin</t>
  </si>
  <si>
    <t>Valkyrie, DBS, Vantage, DB12, One-77</t>
  </si>
  <si>
    <t>Bentley</t>
  </si>
  <si>
    <t>Continental GT, Bentayga, Flying Spur, Batur</t>
  </si>
  <si>
    <t>Rolls-Royce</t>
  </si>
  <si>
    <t>Phantom, Cullinan, Spectre, Ghost, Boat Tail</t>
  </si>
  <si>
    <t>Mercedes-Maybach</t>
  </si>
  <si>
    <t>S680, GLS600, Maybach EQS</t>
  </si>
  <si>
    <t>Mercedes-AMG</t>
  </si>
  <si>
    <t>AMG ONE, GT Black Series, SLR McLaren, 300SL</t>
  </si>
  <si>
    <t>BMW / BMW M</t>
  </si>
  <si>
    <t>M5 CS, XM Label, 507, 3.0 CSL, i8</t>
  </si>
  <si>
    <t>Audi / Audi Sport</t>
  </si>
  <si>
    <t>R8 GT, RS6 GT, Sport Quattro</t>
  </si>
  <si>
    <t>Maserati</t>
  </si>
  <si>
    <t>MC20, MCXtrema, Birdcage, A6GCS</t>
  </si>
  <si>
    <t>Lotus</t>
  </si>
  <si>
    <t>Evija, Emira, Esprit, Elan</t>
  </si>
  <si>
    <t>Alfa Romeo</t>
  </si>
  <si>
    <t>8C 2900, 33 Stradale, Giulia GTA</t>
  </si>
  <si>
    <t>Jaguar</t>
  </si>
  <si>
    <t>XKSS, D-Type, E-Type, XJ220, F-Type</t>
  </si>
  <si>
    <t>Land Rover</t>
  </si>
  <si>
    <t>Range Rover SV, Defender Works V8</t>
  </si>
  <si>
    <t>Ford</t>
  </si>
  <si>
    <t>GT (2005/2017), GT40, Shelby Mustang</t>
  </si>
  <si>
    <t>Chevrolet</t>
  </si>
  <si>
    <t>Corvette ZR1/Z06/E-Ray, Grand Sport, COPO</t>
  </si>
  <si>
    <t>Dodge / SRT</t>
  </si>
  <si>
    <t>Viper ACR, Demon 170, Hellcat</t>
  </si>
  <si>
    <t>Cobra 427, GT350/GT500, Daytona Coupe</t>
  </si>
  <si>
    <t>Cadillac</t>
  </si>
  <si>
    <t>Celestiq, CT5-V Blackwing, Eldorado Brougham</t>
  </si>
  <si>
    <t>Lexus</t>
  </si>
  <si>
    <t>LFA, LC500 Inspiration</t>
  </si>
  <si>
    <t>Nissan</t>
  </si>
  <si>
    <t>GT-R Nismo, R34 Skyline, 240Z</t>
  </si>
  <si>
    <t>Acura / Honda</t>
  </si>
  <si>
    <t>NSX Type S, NSX-R, S2000 CR</t>
  </si>
  <si>
    <t>Toyota</t>
  </si>
  <si>
    <t>2000GT, Supra Mk4, LFA-adjacent</t>
  </si>
  <si>
    <t>Bizzarrini</t>
  </si>
  <si>
    <t>5300 GT Strada, P538</t>
  </si>
  <si>
    <t>De Tomaso</t>
  </si>
  <si>
    <t>Pantera, Mangusta, P72</t>
  </si>
  <si>
    <t>Iso Rivolta</t>
  </si>
  <si>
    <t>Grifo, Lele</t>
  </si>
  <si>
    <t>Facel Vega</t>
  </si>
  <si>
    <t>HK500, Facel II</t>
  </si>
  <si>
    <t>Duesenberg</t>
  </si>
  <si>
    <t>Model J, SJ, SSJ</t>
  </si>
  <si>
    <t>Packard</t>
  </si>
  <si>
    <t>Twelve, Darrin, Caribbean</t>
  </si>
  <si>
    <t>Cord / Auburn</t>
  </si>
  <si>
    <t>810/812 Boattail, Speedster 851</t>
  </si>
  <si>
    <t>Talbot-Lago</t>
  </si>
  <si>
    <t>T150-C SS Teardrop</t>
  </si>
  <si>
    <t>Hispano-Suiza</t>
  </si>
  <si>
    <t>H6B, J12, Carmen</t>
  </si>
  <si>
    <t>Isotta Fraschini</t>
  </si>
  <si>
    <t>Tipo 8A</t>
  </si>
  <si>
    <t>Stutz / Mercer</t>
  </si>
  <si>
    <t>Bearcat, Raceabout</t>
  </si>
  <si>
    <t>Pierce-Arrow</t>
  </si>
  <si>
    <t>Silver Arrow, Model 1601</t>
  </si>
  <si>
    <t>Delahaye / Delage</t>
  </si>
  <si>
    <t>135 MS, D8-120</t>
  </si>
  <si>
    <t>Tucker</t>
  </si>
  <si>
    <t>Model 48 Torpedo</t>
  </si>
  <si>
    <t>Czinger</t>
  </si>
  <si>
    <t>21C, Hyper GT</t>
  </si>
  <si>
    <t>Hennessey</t>
  </si>
  <si>
    <t>Venom F5, Venom GT</t>
  </si>
  <si>
    <t>SSC North America</t>
  </si>
  <si>
    <t>Tuatara, Ultimate Aero</t>
  </si>
  <si>
    <t>Gordon Murray Auto.</t>
  </si>
  <si>
    <t>T.50, T.33, T.50s Niki Lauda</t>
  </si>
  <si>
    <t>Zenvo</t>
  </si>
  <si>
    <t>TSR-S, Aurora</t>
  </si>
  <si>
    <t>Apollo Automobil</t>
  </si>
  <si>
    <t>Intensa Emozione, EVO</t>
  </si>
  <si>
    <t>W Motors</t>
  </si>
  <si>
    <t>Lykan HyperSport, Fenyr</t>
  </si>
  <si>
    <t>Tesla</t>
  </si>
  <si>
    <t>Roadster (2nd gen), Model S Plaid</t>
  </si>
  <si>
    <t>Lucid</t>
  </si>
  <si>
    <t>Air Sapphire</t>
  </si>
  <si>
    <t>Pininfarina</t>
  </si>
  <si>
    <t>Battista, B95</t>
  </si>
  <si>
    <t>DLS, Turbo Study, Classic Study</t>
  </si>
  <si>
    <t>Eagle / E-Type UK</t>
  </si>
  <si>
    <t>Speedster, Lightweight GT, Spyder GT</t>
  </si>
  <si>
    <t>Icon 4x4</t>
  </si>
  <si>
    <t>FJ, BR, Derelict</t>
  </si>
  <si>
    <t>Ringbrothers</t>
  </si>
  <si>
    <t>Bespoke muscle restomods</t>
  </si>
  <si>
    <t>Alfaholics</t>
  </si>
  <si>
    <t>GTA-R 290, GTA-R 300</t>
  </si>
  <si>
    <t>Kalmar Automotive</t>
  </si>
  <si>
    <t>7-97, RS-6, 9x9</t>
  </si>
  <si>
    <t>RUF Automobile</t>
  </si>
  <si>
    <t>CTR Yellowbird, CTR3, SCR</t>
  </si>
  <si>
    <t>Alpina</t>
  </si>
  <si>
    <t>B7, B8 GT, Roadster S</t>
  </si>
  <si>
    <t>Brabus</t>
  </si>
  <si>
    <t>700, Rocket 900, G-Class builds</t>
  </si>
  <si>
    <t>Mansory / Techart</t>
  </si>
  <si>
    <t>Widebody &amp; bespoke conversions</t>
  </si>
  <si>
    <t>Novitec</t>
  </si>
  <si>
    <t>Ferrari / Lamborghini conversions</t>
  </si>
  <si>
    <t>Other / Bespoke</t>
  </si>
  <si>
    <t>Refer to underwriter - appraisal required</t>
  </si>
  <si>
    <t>Sub-factors are judgement-based. Parts &amp; labour reflects OEM parts pricing, certified-technician labour rates and typical cycle time. Theft attractiveness reflects US theft and export experience by marque (volume marques with strong aftermarket parts demand score higher than one-off hypercars, which are effectively unfencible). Repair-network scarcity reflects how far the vehicle must travel to a factory-authorised or marque-specialist repairer, which drives transport cost, storage cost and loss-of-use pressure. Recalibrate against your own paid-loss data once you have 24 months of experience.</t>
  </si>
  <si>
    <t>DRIVER FACTORS</t>
  </si>
  <si>
    <t>Principal operator age, high-performance driving experience and motor vehicle record. Rate the worst-rated permitted driver, not the named insured.</t>
  </si>
  <si>
    <t>TABLE A  -  PRINCIPAL DRIVER AGE BAND</t>
  </si>
  <si>
    <t>Age band</t>
  </si>
  <si>
    <t>Underwriting position</t>
  </si>
  <si>
    <t>Under 21</t>
  </si>
  <si>
    <t>DECLINE unless excluded driver / non-operator collector</t>
  </si>
  <si>
    <t>21 - 24</t>
  </si>
  <si>
    <t>Refer. Exclusion or named-driver restriction usually required</t>
  </si>
  <si>
    <t>25 - 29</t>
  </si>
  <si>
    <t>Refer if class 03/04/05</t>
  </si>
  <si>
    <t>Acceptable</t>
  </si>
  <si>
    <t>Base / preferred</t>
  </si>
  <si>
    <t>75 - 79</t>
  </si>
  <si>
    <t>Refer - medical / vision attestation</t>
  </si>
  <si>
    <t>80 +</t>
  </si>
  <si>
    <t>Refer - annual medical attestation required</t>
  </si>
  <si>
    <t>TABLE B  -  HIGH-PERFORMANCE DRIVING EXPERIENCE</t>
  </si>
  <si>
    <t>Experience</t>
  </si>
  <si>
    <t>Under 1 year on high-performance</t>
  </si>
  <si>
    <t>Refer if class 04. Advanced driver training credit available</t>
  </si>
  <si>
    <t>1 - 3 years</t>
  </si>
  <si>
    <t>Base</t>
  </si>
  <si>
    <t>Preferred</t>
  </si>
  <si>
    <t>Preferred - certificate on file</t>
  </si>
  <si>
    <t>TABLE C  -  MOTOR VEHICLE RECORD (3 YEARS)</t>
  </si>
  <si>
    <t>2 minor moving violations</t>
  </si>
  <si>
    <t>3 + minor moving violations</t>
  </si>
  <si>
    <t>Refer</t>
  </si>
  <si>
    <t>1 major (reckless / 25+ over)</t>
  </si>
  <si>
    <t>Refer - senior underwriter</t>
  </si>
  <si>
    <t>2 + major violations</t>
  </si>
  <si>
    <t>DECLINE</t>
  </si>
  <si>
    <t>DUI / DWI within 5 yrs</t>
  </si>
  <si>
    <t>Licence suspension / revocation</t>
  </si>
  <si>
    <t>Not available / foreign licence</t>
  </si>
  <si>
    <t>Refer - IDP + home-country MVR required</t>
  </si>
  <si>
    <t>Underwriting rules:</t>
  </si>
  <si>
    <t>-  Rate the highest-rated driver with regular access to the vehicle, not the policyholder. Where a household member falls in a DECLINE band, a signed named-driver exclusion is required before binding.</t>
  </si>
  <si>
    <t>-  MVR must be ordered on every permitted driver at new business and at each renewal. Foreign licences require an International Driving Permit plus a home-country record; otherwise apply the not-available factor and refer.</t>
  </si>
  <si>
    <t>-  Advanced driver training credit applies only where an accredited high-performance course (marque academy or recognised HPDE programme) has been completed within 36 months and the certificate is on file.</t>
  </si>
  <si>
    <t>-  For vehicles in classes 04 and 05, drivers under 30 are referred to a senior underwriter irrespective of MVR.</t>
  </si>
  <si>
    <t>CLAIMS HISTORY FACTORS</t>
  </si>
  <si>
    <t>Chargeable period is 5 years for at-fault losses and 3 years for comprehensive-only losses. Full loss runs required on every risk.</t>
  </si>
  <si>
    <t>CLAIMS EXPERIENCE  -  PRIOR 5 YEARS</t>
  </si>
  <si>
    <t>Claims record</t>
  </si>
  <si>
    <t>Preferred - loyalty / continuity credit</t>
  </si>
  <si>
    <t>1 at-fault claim $25k - $100k</t>
  </si>
  <si>
    <t>1 at-fault claim over $100k</t>
  </si>
  <si>
    <t>1 theft / total loss claim</t>
  </si>
  <si>
    <t>Refer - security upgrade condition</t>
  </si>
  <si>
    <t>2 at-fault claims - 5 yrs</t>
  </si>
  <si>
    <t>3 + at-fault claims - 5 yrs</t>
  </si>
  <si>
    <t>Prior carrier non-renewal / cancellation</t>
  </si>
  <si>
    <t>Refer - full loss run required</t>
  </si>
  <si>
    <t>Loss run and underwriting rules:</t>
  </si>
  <si>
    <t>-  Five years of carrier-issued loss runs are mandatory for any risk with an agreed value above USD 500,000, and for all commercial usage classes regardless of value.</t>
  </si>
  <si>
    <t>-  Where two or more separate factors would apply (for example a theft total loss plus an at-fault collision), apply the higher factor and refer the risk. Do not multiply claim factors together.</t>
  </si>
  <si>
    <t>-  Comprehensive-only losses caused by weather, glass or animal strike are not chargeable as at-fault but do count toward the frequency review at renewal.</t>
  </si>
  <si>
    <t>-  A prior carrier non-renewal or mid-term cancellation is a referral in every case. Obtain the reason in writing before quoting.</t>
  </si>
  <si>
    <t>-  Claims arising while the vehicle was on track, at a timed event, or in the custody of an unlisted driver are treated as coverage disputes, not rating items. Escalate to claims and compliance.</t>
  </si>
  <si>
    <t>-  At renewal, a single at-fault loss above 50% of the annual premium triggers a re-rate and a deductible review rather than an automatic surcharge.</t>
  </si>
  <si>
    <t>TERRITORY FACTORS AND STATE PERIL PROFILE</t>
  </si>
  <si>
    <t>All 50 states and the District of Columbia. Garaging address governs, not mailing address or state of titling.</t>
  </si>
  <si>
    <t>Code</t>
  </si>
  <si>
    <t>Region</t>
  </si>
  <si>
    <t>PD territory factor</t>
  </si>
  <si>
    <t>Liability base loss cost ($300k CSL)</t>
  </si>
  <si>
    <t>Cat load (% of PD loss cost)</t>
  </si>
  <si>
    <t>Theft index</t>
  </si>
  <si>
    <t>Litigation index</t>
  </si>
  <si>
    <t>No-fault / PIP</t>
  </si>
  <si>
    <t>Surplus lines tax</t>
  </si>
  <si>
    <t>Primary perils and underwriting notes</t>
  </si>
  <si>
    <t>Alabama</t>
  </si>
  <si>
    <t>AL</t>
  </si>
  <si>
    <t>Southeast</t>
  </si>
  <si>
    <t>Named storm (Gulf), hail, flood. Coastal wind deductible applies.</t>
  </si>
  <si>
    <t>Alaska</t>
  </si>
  <si>
    <t>AK</t>
  </si>
  <si>
    <t>Pacific / Non-Contiguous</t>
  </si>
  <si>
    <t>Freeze, animal strike, gravel road damage. Limited repair network - transport clause.</t>
  </si>
  <si>
    <t>AZ</t>
  </si>
  <si>
    <t>Southwest</t>
  </si>
  <si>
    <t>Hail (Phoenix), monsoon flash flood, UV/paint degradation, theft &amp; border export.</t>
  </si>
  <si>
    <t>Arkansas</t>
  </si>
  <si>
    <t>AR</t>
  </si>
  <si>
    <t>South Central</t>
  </si>
  <si>
    <t>Tornado, hail, river flood.</t>
  </si>
  <si>
    <t>CA</t>
  </si>
  <si>
    <t>West</t>
  </si>
  <si>
    <t>Wildfire, earthquake, mudslide, catalytic/parts theft, high litigation. Prop 103 - see notes.</t>
  </si>
  <si>
    <t>Colorado</t>
  </si>
  <si>
    <t>CO</t>
  </si>
  <si>
    <t>Mountain</t>
  </si>
  <si>
    <t>Severe hail (Front Range) is the dominant peril. Wildfire, wildlife strike.</t>
  </si>
  <si>
    <t>CT</t>
  </si>
  <si>
    <t>Northeast</t>
  </si>
  <si>
    <t>Freeze/ice, road salt corrosion, coastal wind (Long Island Sound).</t>
  </si>
  <si>
    <t>Delaware</t>
  </si>
  <si>
    <t>DE</t>
  </si>
  <si>
    <t>Mid-Atlantic</t>
  </si>
  <si>
    <t>Coastal flood, freeze, road salt.</t>
  </si>
  <si>
    <t>District of Columbia</t>
  </si>
  <si>
    <t>DC</t>
  </si>
  <si>
    <t>Urban theft &amp; vandalism, high density, litigation. Very limited secure storage.</t>
  </si>
  <si>
    <t>FL</t>
  </si>
  <si>
    <t>Hurricane, storm surge, flood, hail. Highest theft/export exposure (Port of Miami). AOB &amp; litigation.</t>
  </si>
  <si>
    <t>Georgia</t>
  </si>
  <si>
    <t>GA</t>
  </si>
  <si>
    <t>Hurricane (coastal), hail, urban theft (Atlanta), high severity BI.</t>
  </si>
  <si>
    <t>Hawaii</t>
  </si>
  <si>
    <t>HI</t>
  </si>
  <si>
    <t>Hurricane, volcanic, salt-air corrosion. Limited repair network - transport clause.</t>
  </si>
  <si>
    <t>Idaho</t>
  </si>
  <si>
    <t>ID</t>
  </si>
  <si>
    <t>Wildfire, hail, wildlife strike.</t>
  </si>
  <si>
    <t>Illinois</t>
  </si>
  <si>
    <t>IL</t>
  </si>
  <si>
    <t>Midwest</t>
  </si>
  <si>
    <t>Hail, tornado, freeze/salt, Chicago theft &amp; carjacking, litigation.</t>
  </si>
  <si>
    <t>Indiana</t>
  </si>
  <si>
    <t>IN</t>
  </si>
  <si>
    <t>Hail, tornado, freeze/road salt.</t>
  </si>
  <si>
    <t>Iowa</t>
  </si>
  <si>
    <t>IA</t>
  </si>
  <si>
    <t>Derecho, hail, tornado, freeze.</t>
  </si>
  <si>
    <t>Kansas</t>
  </si>
  <si>
    <t>KS</t>
  </si>
  <si>
    <t>Hail and tornado alley. Highest hail frequency band.</t>
  </si>
  <si>
    <t>Kentucky</t>
  </si>
  <si>
    <t>KY</t>
  </si>
  <si>
    <t>Tornado, flood, freeze/salt.</t>
  </si>
  <si>
    <t>Louisiana</t>
  </si>
  <si>
    <t>LA</t>
  </si>
  <si>
    <t>Hurricane, storm surge, flood. Highest-severity litigation environment in the US.</t>
  </si>
  <si>
    <t>Maine</t>
  </si>
  <si>
    <t>ME</t>
  </si>
  <si>
    <t>Freeze, ice, road salt corrosion, wildlife strike.</t>
  </si>
  <si>
    <t>Maryland</t>
  </si>
  <si>
    <t>MD</t>
  </si>
  <si>
    <t>Coastal flood, freeze/salt, Baltimore theft, litigation.</t>
  </si>
  <si>
    <t>Massachusetts</t>
  </si>
  <si>
    <t>MA</t>
  </si>
  <si>
    <t>Nor'easter, freeze, heavy road salt, coastal flood.</t>
  </si>
  <si>
    <t>Michigan</t>
  </si>
  <si>
    <t>MI</t>
  </si>
  <si>
    <t>Freeze/severe road salt corrosion, hail. Unique no-fault PIP regime - see notes.</t>
  </si>
  <si>
    <t>Minnesota</t>
  </si>
  <si>
    <t>MN</t>
  </si>
  <si>
    <t>Hail, extreme freeze, heavy road salt. Short driving season = low mileage.</t>
  </si>
  <si>
    <t>Mississippi</t>
  </si>
  <si>
    <t>MS</t>
  </si>
  <si>
    <t>Hurricane, storm surge, tornado, flood.</t>
  </si>
  <si>
    <t>Missouri</t>
  </si>
  <si>
    <t>MO</t>
  </si>
  <si>
    <t>Hail, tornado, flood, St. Louis / KC theft.</t>
  </si>
  <si>
    <t>Montana</t>
  </si>
  <si>
    <t>MT</t>
  </si>
  <si>
    <t>Hail, wildfire, wildlife strike, gravel damage. Popular LLC titling domicile - see notes.</t>
  </si>
  <si>
    <t>Nebraska</t>
  </si>
  <si>
    <t>NE</t>
  </si>
  <si>
    <t>Severe hail, tornado, derecho.</t>
  </si>
  <si>
    <t>NV</t>
  </si>
  <si>
    <t>Flash flood, UV/heat, Las Vegas theft &amp; exotic-rental exposure.</t>
  </si>
  <si>
    <t>New Hampshire</t>
  </si>
  <si>
    <t>NH</t>
  </si>
  <si>
    <t>Freeze, ice, road salt, wildlife strike. No mandatory FR - confirm limits.</t>
  </si>
  <si>
    <t>New Jersey</t>
  </si>
  <si>
    <t>NJ</t>
  </si>
  <si>
    <t>Coastal storm/flood, freeze/salt, very high density, theft &amp; litigation.</t>
  </si>
  <si>
    <t>New Mexico</t>
  </si>
  <si>
    <t>NM</t>
  </si>
  <si>
    <t>Hail, flash flood, UV, theft &amp; border export.</t>
  </si>
  <si>
    <t>New York</t>
  </si>
  <si>
    <t>NY</t>
  </si>
  <si>
    <t>Coastal storm, freeze/salt, NYC density, theft, highest-severity BI verdicts.</t>
  </si>
  <si>
    <t>North Carolina</t>
  </si>
  <si>
    <t>NC</t>
  </si>
  <si>
    <t>Hurricane, hail, flood. Contributory negligence regime.</t>
  </si>
  <si>
    <t>North Dakota</t>
  </si>
  <si>
    <t>ND</t>
  </si>
  <si>
    <t>Extreme freeze, hail, wildlife strike. Lowest exposure band.</t>
  </si>
  <si>
    <t>Ohio</t>
  </si>
  <si>
    <t>OH</t>
  </si>
  <si>
    <t>Hail, freeze/road salt, tornado.</t>
  </si>
  <si>
    <t>Oklahoma</t>
  </si>
  <si>
    <t>OK</t>
  </si>
  <si>
    <t>Highest combined hail/tornado load. Ice storm.</t>
  </si>
  <si>
    <t>Oregon</t>
  </si>
  <si>
    <t>OR</t>
  </si>
  <si>
    <t>Pacific Northwest</t>
  </si>
  <si>
    <t>Wildfire, landslide, flood, Portland theft.</t>
  </si>
  <si>
    <t>Pennsylvania</t>
  </si>
  <si>
    <t>PA</t>
  </si>
  <si>
    <t>Freeze/road salt, flood, Philadelphia theft &amp; litigation.</t>
  </si>
  <si>
    <t>RI</t>
  </si>
  <si>
    <t>Coastal storm/surge, freeze/salt.</t>
  </si>
  <si>
    <t>South Carolina</t>
  </si>
  <si>
    <t>SC</t>
  </si>
  <si>
    <t>Hurricane, storm surge, hail, flood.</t>
  </si>
  <si>
    <t>South Dakota</t>
  </si>
  <si>
    <t>SD</t>
  </si>
  <si>
    <t>Hail, extreme freeze, wildlife strike. Popular LLC/trust titling domicile.</t>
  </si>
  <si>
    <t>Tennessee</t>
  </si>
  <si>
    <t>TN</t>
  </si>
  <si>
    <t>Tornado, hail, flood, Nashville / Memphis theft.</t>
  </si>
  <si>
    <t>TX</t>
  </si>
  <si>
    <t>Hurricane (coast), extreme hail (DFW/Central), flood, freeze event, theft &amp; border export.</t>
  </si>
  <si>
    <t>Utah</t>
  </si>
  <si>
    <t>UT</t>
  </si>
  <si>
    <t>Hail, wildfire, canyon road hazard.</t>
  </si>
  <si>
    <t>Vermont</t>
  </si>
  <si>
    <t>VT</t>
  </si>
  <si>
    <t>Freeze, ice, heavy road salt, wildlife strike. Lowest PD band.</t>
  </si>
  <si>
    <t>Virginia</t>
  </si>
  <si>
    <t>VA</t>
  </si>
  <si>
    <t>Hurricane (coastal), freeze/salt, flood. Contributory negligence regime.</t>
  </si>
  <si>
    <t>Washington</t>
  </si>
  <si>
    <t>WA</t>
  </si>
  <si>
    <t>Wildfire, landslide, flood, earthquake, Seattle/Tacoma theft.</t>
  </si>
  <si>
    <t>West Virginia</t>
  </si>
  <si>
    <t>WV</t>
  </si>
  <si>
    <t>Flood, landslide, freeze, wildlife strike.</t>
  </si>
  <si>
    <t>Wisconsin</t>
  </si>
  <si>
    <t>WI</t>
  </si>
  <si>
    <t>Hail, extreme freeze, heavy road salt. Short driving season.</t>
  </si>
  <si>
    <t>Wyoming</t>
  </si>
  <si>
    <t>WY</t>
  </si>
  <si>
    <t>Hail, extreme wind, wildlife strike. Popular LLC titling domicile.</t>
  </si>
  <si>
    <t>REGIONAL PERIL, COVERAGE AND CONTROL PROFILE  -  RISKS INCLUDED BY PART OF THE UNITED STATES</t>
  </si>
  <si>
    <t>Perils driving loss cost</t>
  </si>
  <si>
    <t>Coverage / wording implications</t>
  </si>
  <si>
    <t>Underwriting controls and warranties</t>
  </si>
  <si>
    <t>Southeast / Gulf (FL GA AL MS LA SC NC)</t>
  </si>
  <si>
    <t>Named windstorm, storm surge, inland &amp; flash flood, hail, tornado</t>
  </si>
  <si>
    <t>Named-storm % deductible; 72-hr occurrence definition; flood sub-limit; hurricane-season binding moratorium (typically 72 hrs pre-landfall / named-storm watch)</t>
  </si>
  <si>
    <t>Aggregate cat PML by 3-digit ZIP; mandatory secure/elevated storage in surge zones; transport-away endorsement pre-storm</t>
  </si>
  <si>
    <t>South Central (TX OK AR TN KY)</t>
  </si>
  <si>
    <t>Extreme convective storm (hail), tornado, hurricane on TX coast, flood, winter freeze event</t>
  </si>
  <si>
    <t>Hail is the largest single PD driver; open-lot dealer exposure needs separate hail sub-limit</t>
  </si>
  <si>
    <t>Covered/indoor storage warranty for class 03-08; hail-season aggregate monitoring Mar-Jun</t>
  </si>
  <si>
    <t>Midwest (IL IN IA KS MI MN MO NE ND OH SD WI)</t>
  </si>
  <si>
    <t>Hail, tornado, derecho, extreme freeze, road-salt corrosion</t>
  </si>
  <si>
    <t>Corrosion/wear exclusion vs. sudden salt damage; seasonal lay-up credit available Nov-Mar</t>
  </si>
  <si>
    <t>Lay-up endorsement (comp-only) reduces PD factor; MI no-fault PIP election materially changes liability build</t>
  </si>
  <si>
    <t>Northeast (NY NJ CT MA RI NH VT ME)</t>
  </si>
  <si>
    <t>Nor'easter, coastal storm/flood, freeze &amp; ice, heavy road salt, urban theft, high-severity litigation</t>
  </si>
  <si>
    <t>Highest BI severity band in the US; excess/umbrella coordination essential</t>
  </si>
  <si>
    <t>NY &amp; NJ require careful surplus-lines export compliance for personal lines; garaging address verification</t>
  </si>
  <si>
    <t>Mid-Atlantic (PA MD DE VA WV DC)</t>
  </si>
  <si>
    <t>Coastal flood, freeze/salt, hurricane remnants, urban theft</t>
  </si>
  <si>
    <t>VA &amp; DC contributory-negligence / comparative rules alter liability outcomes</t>
  </si>
  <si>
    <t>Urban ZIP theft loading; DC storage scarcity drives street-parking declines</t>
  </si>
  <si>
    <t>Mountain (CO MT UT WY ID)</t>
  </si>
  <si>
    <t>Severe hail (Front Range), wildfire, wildlife strike, gravel/road hazard</t>
  </si>
  <si>
    <t>Wildfire defensible-space survey for collections over $5m; hail is the dominant frequency peril</t>
  </si>
  <si>
    <t>MT/WY/SD LLC-titled vehicles: verify actual garaging state - misrepresentation is the #1 rescission trigger</t>
  </si>
  <si>
    <t>Southwest (AZ NM NV)</t>
  </si>
  <si>
    <t>Hail, monsoon flash flood, extreme heat/UV, theft and cross-border export</t>
  </si>
  <si>
    <t>Cross-border export theft; UV/paint degradation excluded as wear</t>
  </si>
  <si>
    <t>GPS + recovery service mandatory over $500k; NV exotic-rental fleet exposure rated separately</t>
  </si>
  <si>
    <t>West / Pacific (CA)</t>
  </si>
  <si>
    <t>Wildfire, earthquake, mudslide/debris flow, catalytic &amp; parts theft, litigation</t>
  </si>
  <si>
    <t>Earthquake typically excluded or sub-limited; wildfire aggregate by county</t>
  </si>
  <si>
    <t>CA admitted-market rate regulation (Prop 103) - confirm surplus-lines eligibility and diligent-effort rules</t>
  </si>
  <si>
    <t>Pacific Northwest (WA OR)</t>
  </si>
  <si>
    <t>Wildfire, landslide, flood, earthquake (Cascadia), urban theft</t>
  </si>
  <si>
    <t>Cascadia subduction aggregate; landslide vs. flood causation wording</t>
  </si>
  <si>
    <t>Both states have PIP requirements affecting the liability build</t>
  </si>
  <si>
    <t>Non-Contiguous (AK HI)</t>
  </si>
  <si>
    <t>Hurricane (HI), volcanic, salt-air corrosion, freeze &amp; gravel (AK), transport exposure</t>
  </si>
  <si>
    <t>Repair-network scarcity: add transport-to-repairer sub-limit ($25k-$100k)</t>
  </si>
  <si>
    <t>Ocean marine transit cover should be arranged in parallel; total-loss settlement lead times extended</t>
  </si>
  <si>
    <t>Territory factors, liability base loss costs, catastrophe loads and the theft and litigation indices are underwriting benchmarks constructed by judgement, not fitted to loss data. Surplus lines tax rates are approximate as at the date of build and MUST be verified with the relevant state stamping office or your filing service before any invoice is issued; several states also levy stamping fees, fire marshal taxes or municipal charges not captured here. No-fault / PIP is flagged where a personal injury protection regime materially changes the liability build - Michigan in particular operates a unique regime with elected PIP levels. State factors are statewide averages: metropolitan accident relativities are applied separately and automatically through the City Accident Ratings sheet, selected on the Rating Engine.</t>
  </si>
  <si>
    <t>CITY / METRO ACCIDENT TERRITORY RATINGS</t>
  </si>
  <si>
    <t>Metro-level accident, theft and comprehensive relativities applied ON TOP of the statewide territory factor. Select the metro on the Rating Engine; use Other / Rest of State elsewhere.</t>
  </si>
  <si>
    <t>Blend weights (must sum to 1.000) -&gt;</t>
  </si>
  <si>
    <t>Check cell - must read 1.00. Accident frequency carries the largest weight because it drives both PD and liability.</t>
  </si>
  <si>
    <t>Metro area</t>
  </si>
  <si>
    <t>Accident frequency index</t>
  </si>
  <si>
    <t>Vandalism &amp; comprehensive index</t>
  </si>
  <si>
    <t>COMBINED METRO FACTOR</t>
  </si>
  <si>
    <t>New York City metro, NY</t>
  </si>
  <si>
    <t>Highest density; parking/vandalism; verified secure garaging mandatory</t>
  </si>
  <si>
    <t>Long Island / Westchester, NY</t>
  </si>
  <si>
    <t>Suburban collector belt; better storage profile than NYC proper</t>
  </si>
  <si>
    <t>Highest exotic concentration in the US; parts theft; freeway severity</t>
  </si>
  <si>
    <t>Riverside - San Bernardino, CA</t>
  </si>
  <si>
    <t>High-speed corridor losses; export theft via inland ports</t>
  </si>
  <si>
    <t>San Francisco - Oakland, CA</t>
  </si>
  <si>
    <t>Vehicle break-in capital; street exposure declines apply</t>
  </si>
  <si>
    <t>San Jose / Silicon Valley, CA</t>
  </si>
  <si>
    <t>Strong private-garage profile; supercar density high</t>
  </si>
  <si>
    <t>San Diego, CA</t>
  </si>
  <si>
    <t>Border-adjacent export theft</t>
  </si>
  <si>
    <t>Sacramento, CA</t>
  </si>
  <si>
    <t>Port export theft; rental-exotic collision frequency; flood/vandalism</t>
  </si>
  <si>
    <t>West Palm Beach - Boca Raton, FL</t>
  </si>
  <si>
    <t>Large seasonal collector population; storm exposure</t>
  </si>
  <si>
    <t>Tampa - St. Petersburg, FL</t>
  </si>
  <si>
    <t>Surge and flood comp losses</t>
  </si>
  <si>
    <t>Orlando, FL</t>
  </si>
  <si>
    <t>Tourist-corridor frequency</t>
  </si>
  <si>
    <t>Jacksonville, FL</t>
  </si>
  <si>
    <t>Naples - Fort Myers, FL</t>
  </si>
  <si>
    <t>Low frequency, elevated hurricane comp</t>
  </si>
  <si>
    <t>Chicago metro (Cook County), IL</t>
  </si>
  <si>
    <t>Carjacking of exotics documented; attended-garage warranty advised</t>
  </si>
  <si>
    <t>Houston, TX</t>
  </si>
  <si>
    <t>Flood comp losses; high uninsured-motorist rate</t>
  </si>
  <si>
    <t>Severe hail alley; indoor storage warranty</t>
  </si>
  <si>
    <t>Austin, TX</t>
  </si>
  <si>
    <t>San Antonio, TX</t>
  </si>
  <si>
    <t>Atlanta, GA</t>
  </si>
  <si>
    <t>High-speed interstate severity; street-racing seizures</t>
  </si>
  <si>
    <t>Philadelphia, PA</t>
  </si>
  <si>
    <t>Washington DC metro (DC-MD-VA)</t>
  </si>
  <si>
    <t>Storage scarcity; carjacking trend</t>
  </si>
  <si>
    <t>Baltimore, MD</t>
  </si>
  <si>
    <t>Boston metro, MA</t>
  </si>
  <si>
    <t>Dense urban frequency; low theft for class</t>
  </si>
  <si>
    <t>Auction-week accumulation (Jan); monsoon hail</t>
  </si>
  <si>
    <t>Tucson, AZ</t>
  </si>
  <si>
    <t>Exotic rental fleet frequency spillover; Strip vandalism</t>
  </si>
  <si>
    <t>Seattle - Tacoma, WA</t>
  </si>
  <si>
    <t>Port theft; catalytic/parts theft</t>
  </si>
  <si>
    <t>Portland, OR</t>
  </si>
  <si>
    <t>Denver - Front Range, CO</t>
  </si>
  <si>
    <t>Dominant hail comp exposure; indoor storage warranty</t>
  </si>
  <si>
    <t>Detroit metro, MI</t>
  </si>
  <si>
    <t>Minneapolis - St. Paul, MN</t>
  </si>
  <si>
    <t>St. Louis, MO</t>
  </si>
  <si>
    <t>Kansas City, MO-KS</t>
  </si>
  <si>
    <t>Hail</t>
  </si>
  <si>
    <t>Memphis, TN</t>
  </si>
  <si>
    <t>Highest metro theft index band</t>
  </si>
  <si>
    <t>Nashville, TN</t>
  </si>
  <si>
    <t>New Orleans, LA</t>
  </si>
  <si>
    <t>Flood comp; litigation severity</t>
  </si>
  <si>
    <t>Charlotte, NC</t>
  </si>
  <si>
    <t>Cleveland, OH</t>
  </si>
  <si>
    <t>Columbus, OH</t>
  </si>
  <si>
    <t>Cincinnati, OH</t>
  </si>
  <si>
    <t>Pittsburgh, PA</t>
  </si>
  <si>
    <t>Indianapolis, IN</t>
  </si>
  <si>
    <t>Milwaukee, WI</t>
  </si>
  <si>
    <t>Oklahoma City / Tulsa, OK</t>
  </si>
  <si>
    <t>Albuquerque, NM</t>
  </si>
  <si>
    <t>Salt Lake City, UT</t>
  </si>
  <si>
    <t>Honolulu, HI</t>
  </si>
  <si>
    <t>--</t>
  </si>
  <si>
    <t>Default where the garaging address is outside a listed metro</t>
  </si>
  <si>
    <t>Metro indices are judgement benchmarks, not fitted to loss data. They are applied MULTIPLICATIVELY on top of the statewide territory factor, which is a statewide average - so a listed metro is loaded above the state average while Other / Rest of State stays at the average. Strictly this slightly overstates the statewide total; recalibrate the state factors downward once metro mix is known. The blend weights are levers: accident frequency feeds both PD and liability, theft feeds theft severity (interacting with the make theft sub-factor - keep this weight moderate to avoid stacking), and vandalism &amp; comprehensive feeds non-cat comp losses. The underwriter must confirm the metro selected is consistent with the garaging state and ZIP.</t>
  </si>
  <si>
    <t>CATASTROPHE ZONE DETERMINATION BY ZIP CODE</t>
  </si>
  <si>
    <t>The Rating Engine reads the garaging ZIP, takes its first three digits, and looks the catastrophe zone up here. Where the prefix is not listed it falls back to the state default in Section B.</t>
  </si>
  <si>
    <t>SECTION A  -  ZIP-3 PREFIX TO CATASTROPHE ZONE</t>
  </si>
  <si>
    <t>Area description</t>
  </si>
  <si>
    <t>010</t>
  </si>
  <si>
    <t>Interior Northeast / New England</t>
  </si>
  <si>
    <t>Winter freeze / ice / severe road salt</t>
  </si>
  <si>
    <t>011</t>
  </si>
  <si>
    <t>012</t>
  </si>
  <si>
    <t>013</t>
  </si>
  <si>
    <t>014</t>
  </si>
  <si>
    <t>015</t>
  </si>
  <si>
    <t>016</t>
  </si>
  <si>
    <t>017</t>
  </si>
  <si>
    <t>018</t>
  </si>
  <si>
    <t>019</t>
  </si>
  <si>
    <t>020</t>
  </si>
  <si>
    <t>NYC / coastal CT / Boston metro</t>
  </si>
  <si>
    <t>Tier 3 - Coastal wind (25-100 miles)</t>
  </si>
  <si>
    <t>021</t>
  </si>
  <si>
    <t>022</t>
  </si>
  <si>
    <t>023</t>
  </si>
  <si>
    <t>024</t>
  </si>
  <si>
    <t>025</t>
  </si>
  <si>
    <t>Cape Cod, Nantucket, Hamptons, Cape May</t>
  </si>
  <si>
    <t>Tier 1 - Coastal wind / surge (0-1 mile, FEMA V or Coastal A)</t>
  </si>
  <si>
    <t>026</t>
  </si>
  <si>
    <t>027</t>
  </si>
  <si>
    <t>028</t>
  </si>
  <si>
    <t>NJ shore / Long Island / RI coast</t>
  </si>
  <si>
    <t>Tier 2 - Coastal wind (1-25 miles)</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</si>
  <si>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</si>
  <si>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</si>
  <si>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</si>
  <si>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</si>
  <si>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</si>
  <si>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</si>
  <si>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</si>
  <si>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</si>
  <si>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</si>
  <si>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</si>
  <si>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</si>
  <si>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</si>
  <si>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</si>
  <si>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</si>
  <si>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</si>
  <si>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</si>
  <si>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</si>
  <si>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</si>
  <si>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</si>
  <si>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</si>
  <si>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</si>
  <si>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</si>
  <si>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</si>
  <si>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</si>
  <si>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</si>
  <si>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</si>
  <si>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</si>
  <si>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</si>
  <si>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</si>
  <si>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</si>
  <si>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</si>
  <si>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</si>
  <si>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</si>
  <si>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</si>
  <si>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</si>
  <si>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</si>
  <si>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</si>
  <si>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</si>
  <si>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</si>
  <si>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</si>
  <si>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</si>
  <si>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</si>
  <si>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</si>
  <si>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</si>
  <si>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</si>
  <si>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</si>
  <si>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</si>
  <si>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</si>
  <si>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</si>
  <si>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</si>
  <si>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</si>
  <si>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</si>
  <si>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</si>
  <si>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</si>
  <si>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</si>
  <si>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</si>
  <si>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</si>
  <si>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</si>
  <si>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</si>
  <si>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</si>
  <si>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</si>
  <si>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</si>
  <si>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</si>
  <si>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</si>
  <si>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</si>
  <si>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</si>
  <si>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</si>
  <si>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</si>
  <si>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</si>
  <si>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</si>
  <si>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</si>
  <si>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</si>
  <si>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</si>
  <si>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</si>
  <si>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</si>
  <si>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</si>
  <si>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</si>
  <si>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</si>
  <si>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</si>
  <si>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</si>
  <si>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</si>
  <si>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</si>
  <si>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</si>
  <si>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</si>
  <si>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</si>
  <si>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</si>
  <si>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</si>
  <si>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</si>
  <si>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</si>
  <si>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</si>
  <si>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</si>
  <si>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</si>
  <si>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</si>
  <si>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</si>
  <si>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</si>
  <si>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</si>
  <si>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</si>
  <si>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</si>
  <si>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</si>
  <si>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</si>
  <si>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</si>
  <si>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</si>
  <si>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</si>
  <si>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</si>
  <si>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</si>
  <si>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</si>
  <si>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</si>
  <si>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</si>
  <si>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</si>
  <si>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</si>
  <si>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</si>
  <si>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VA / MD / PA / WV interior</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</si>
  <si>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</si>
  <si>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</si>
  <si>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</si>
  <si>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</si>
  <si>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</si>
  <si>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</si>
  <si>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</si>
  <si>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</si>
  <si>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</si>
  <si>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</si>
  <si>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</si>
  <si>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</si>
  <si>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</si>
  <si>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</si>
  <si>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</si>
  <si>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</si>
  <si>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</si>
  <si>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</si>
  <si>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</si>
  <si>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</si>
  <si>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</si>
  <si>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</si>
  <si>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</si>
  <si>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</si>
  <si>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</si>
  <si>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</si>
  <si>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</si>
  <si>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</si>
  <si>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</si>
  <si>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</si>
  <si>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</si>
  <si>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</si>
  <si>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</si>
  <si>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</si>
  <si>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</si>
  <si>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</si>
  <si>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</si>
  <si>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</si>
  <si>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</si>
  <si>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</si>
  <si>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</si>
  <si>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</si>
  <si>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</si>
  <si>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</si>
  <si>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</si>
  <si>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</si>
  <si>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</si>
  <si>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VA / MD / DE inland coastal</t>
  </si>
  <si>
    <t>198</t>
  </si>
  <si>
    <t>199</t>
  </si>
  <si>
    <t>201</t>
  </si>
  <si>
    <t>212</t>
  </si>
  <si>
    <t>214</t>
  </si>
  <si>
    <t>215</t>
  </si>
  <si>
    <t>216</t>
  </si>
  <si>
    <t>217</t>
  </si>
  <si>
    <t>218</t>
  </si>
  <si>
    <t>VA / MD / DE coastal</t>
  </si>
  <si>
    <t>219</t>
  </si>
  <si>
    <t>220</t>
  </si>
  <si>
    <t>221</t>
  </si>
  <si>
    <t>222</t>
  </si>
  <si>
    <t>223</t>
  </si>
  <si>
    <t>224</t>
  </si>
  <si>
    <t>225</t>
  </si>
  <si>
    <t>226</t>
  </si>
  <si>
    <t>227</t>
  </si>
  <si>
    <t>228</t>
  </si>
  <si>
    <t>229</t>
  </si>
  <si>
    <t>230</t>
  </si>
  <si>
    <t>231</t>
  </si>
  <si>
    <t>232</t>
  </si>
  <si>
    <t>233</t>
  </si>
  <si>
    <t>234</t>
  </si>
  <si>
    <t>235</t>
  </si>
  <si>
    <t>236</t>
  </si>
  <si>
    <t>237</t>
  </si>
  <si>
    <t>238</t>
  </si>
  <si>
    <t>240</t>
  </si>
  <si>
    <t>241</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</si>
  <si>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</si>
  <si>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</si>
  <si>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</si>
  <si>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</si>
  <si>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</si>
  <si>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</si>
  <si>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</si>
  <si>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</si>
  <si>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</si>
  <si>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</si>
  <si>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</si>
  <si>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</si>
  <si>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</si>
  <si>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</si>
  <si>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</si>
  <si>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</si>
  <si>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</si>
  <si>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</si>
  <si>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</si>
  <si>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</si>
  <si>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</si>
  <si>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</si>
  <si>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</si>
  <si>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</si>
  <si>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</si>
  <si>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275</t>
  </si>
  <si>
    <t>SC / GA / NC inland coastal plain</t>
  </si>
  <si>
    <t>276</t>
  </si>
  <si>
    <t>277</t>
  </si>
  <si>
    <t>278</t>
  </si>
  <si>
    <t>279</t>
  </si>
  <si>
    <t>SC / GA / NC near-coastal</t>
  </si>
  <si>
    <t>280</t>
  </si>
  <si>
    <t>GA / SC / NC piedmont convective</t>
  </si>
  <si>
    <t>Severe convective - hail / tornado (moderate)</t>
  </si>
  <si>
    <t>281</t>
  </si>
  <si>
    <t>282</t>
  </si>
  <si>
    <t>283</t>
  </si>
  <si>
    <t>284</t>
  </si>
  <si>
    <t>SC / GA / NC immediate coast</t>
  </si>
  <si>
    <t>285</t>
  </si>
  <si>
    <t>286</t>
  </si>
  <si>
    <t>287</t>
  </si>
  <si>
    <t>288</t>
  </si>
  <si>
    <t>289</t>
  </si>
  <si>
    <t>290</t>
  </si>
  <si>
    <t>291</t>
  </si>
  <si>
    <t>292</t>
  </si>
  <si>
    <t>293</t>
  </si>
  <si>
    <t>294</t>
  </si>
  <si>
    <t>295</t>
  </si>
  <si>
    <t>296</t>
  </si>
  <si>
    <t>299</t>
  </si>
  <si>
    <t>300</t>
  </si>
  <si>
    <t>301</t>
  </si>
  <si>
    <t>302</t>
  </si>
  <si>
    <t>303</t>
  </si>
  <si>
    <t>304</t>
  </si>
  <si>
    <t>305</t>
  </si>
  <si>
    <t>306</t>
  </si>
  <si>
    <t>308</t>
  </si>
  <si>
    <t>309</t>
  </si>
  <si>
    <t>310</t>
  </si>
  <si>
    <t>312</t>
  </si>
  <si>
    <t>313</t>
  </si>
  <si>
    <t>314</t>
  </si>
  <si>
    <t>315</t>
  </si>
  <si>
    <t>316</t>
  </si>
  <si>
    <t>317</t>
  </si>
  <si>
    <t>320</t>
  </si>
  <si>
    <t>FL near-coastal</t>
  </si>
  <si>
    <t>321</t>
  </si>
  <si>
    <t>322</t>
  </si>
  <si>
    <t>323</t>
  </si>
  <si>
    <t>FL inland peninsula</t>
  </si>
  <si>
    <t>324</t>
  </si>
  <si>
    <t>FL barrier island / immediate coast</t>
  </si>
  <si>
    <t>325</t>
  </si>
  <si>
    <t>326</t>
  </si>
  <si>
    <t>327</t>
  </si>
  <si>
    <t>328</t>
  </si>
  <si>
    <t>329</t>
  </si>
  <si>
    <t>330</t>
  </si>
  <si>
    <t>331</t>
  </si>
  <si>
    <t>332</t>
  </si>
  <si>
    <t>333</t>
  </si>
  <si>
    <t>334</t>
  </si>
  <si>
    <t>335</t>
  </si>
  <si>
    <t>336</t>
  </si>
  <si>
    <t>337</t>
  </si>
  <si>
    <t>338</t>
  </si>
  <si>
    <t>339</t>
  </si>
  <si>
    <t>341</t>
  </si>
  <si>
    <t>342</t>
  </si>
  <si>
    <t>344</t>
  </si>
  <si>
    <t>346</t>
  </si>
  <si>
    <t>347</t>
  </si>
  <si>
    <t>349</t>
  </si>
  <si>
    <t>350</t>
  </si>
  <si>
    <t>North LA / AL convective</t>
  </si>
  <si>
    <t>351</t>
  </si>
  <si>
    <t>352</t>
  </si>
  <si>
    <t>354</t>
  </si>
  <si>
    <t>355</t>
  </si>
  <si>
    <t>356</t>
  </si>
  <si>
    <t>360</t>
  </si>
  <si>
    <t>LA / MS / AL inland</t>
  </si>
  <si>
    <t>361</t>
  </si>
  <si>
    <t>365</t>
  </si>
  <si>
    <t>LA / MS / AL immediate coast</t>
  </si>
  <si>
    <t>366</t>
  </si>
  <si>
    <t>LA / MS / AL near-coastal</t>
  </si>
  <si>
    <t>370</t>
  </si>
  <si>
    <t>IA / MO / IL / IN / OH / TN / AR / KY convective</t>
  </si>
  <si>
    <t>371</t>
  </si>
  <si>
    <t>372</t>
  </si>
  <si>
    <t>373</t>
  </si>
  <si>
    <t>374</t>
  </si>
  <si>
    <t>376</t>
  </si>
  <si>
    <t>377</t>
  </si>
  <si>
    <t>378</t>
  </si>
  <si>
    <t>379</t>
  </si>
  <si>
    <t>380</t>
  </si>
  <si>
    <t>381</t>
  </si>
  <si>
    <t>382</t>
  </si>
  <si>
    <t>383</t>
  </si>
  <si>
    <t>384</t>
  </si>
  <si>
    <t>385</t>
  </si>
  <si>
    <t>386</t>
  </si>
  <si>
    <t>390</t>
  </si>
  <si>
    <t>391</t>
  </si>
  <si>
    <t>392</t>
  </si>
  <si>
    <t>393</t>
  </si>
  <si>
    <t>394</t>
  </si>
  <si>
    <t>395</t>
  </si>
  <si>
    <t>400</t>
  </si>
  <si>
    <t>401</t>
  </si>
  <si>
    <t>402</t>
  </si>
  <si>
    <t>403</t>
  </si>
  <si>
    <t>404</t>
  </si>
  <si>
    <t>405</t>
  </si>
  <si>
    <t>406</t>
  </si>
  <si>
    <t>407</t>
  </si>
  <si>
    <t>408</t>
  </si>
  <si>
    <t>409</t>
  </si>
  <si>
    <t>410</t>
  </si>
  <si>
    <t>411</t>
  </si>
  <si>
    <t>412</t>
  </si>
  <si>
    <t>413</t>
  </si>
  <si>
    <t>414</t>
  </si>
  <si>
    <t>415</t>
  </si>
  <si>
    <t>416</t>
  </si>
  <si>
    <t>417</t>
  </si>
  <si>
    <t>418</t>
  </si>
  <si>
    <t>420</t>
  </si>
  <si>
    <t>421</t>
  </si>
  <si>
    <t>422</t>
  </si>
  <si>
    <t>423</t>
  </si>
  <si>
    <t>424</t>
  </si>
  <si>
    <t>425</t>
  </si>
  <si>
    <t>426</t>
  </si>
  <si>
    <t>427</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</si>
  <si>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</si>
  <si>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</si>
  <si>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</si>
  <si>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</si>
  <si>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</si>
  <si>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</si>
  <si>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</si>
  <si>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</si>
  <si>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</si>
  <si>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</si>
  <si>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</si>
  <si>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</si>
  <si>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</si>
  <si>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</si>
  <si>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</si>
  <si>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</si>
  <si>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</si>
  <si>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</si>
  <si>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</si>
  <si>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</si>
  <si>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</si>
  <si>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</si>
  <si>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</si>
  <si>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</si>
  <si>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</si>
  <si>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</si>
  <si>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</si>
  <si>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</si>
  <si>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</si>
  <si>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460</t>
  </si>
  <si>
    <t>461</t>
  </si>
  <si>
    <t>462</t>
  </si>
  <si>
    <t>463</t>
  </si>
  <si>
    <t>464</t>
  </si>
  <si>
    <t>465</t>
  </si>
  <si>
    <t>466</t>
  </si>
  <si>
    <t>467</t>
  </si>
  <si>
    <t>468</t>
  </si>
  <si>
    <t>469</t>
  </si>
  <si>
    <t>470</t>
  </si>
  <si>
    <t>471</t>
  </si>
  <si>
    <t>472</t>
  </si>
  <si>
    <t>473</t>
  </si>
  <si>
    <t>474</t>
  </si>
  <si>
    <t>475</t>
  </si>
  <si>
    <t>476</t>
  </si>
  <si>
    <t>477</t>
  </si>
  <si>
    <t>478</t>
  </si>
  <si>
    <t>479</t>
  </si>
  <si>
    <t>480</t>
  </si>
  <si>
    <t>MI / MN / WI / ND / SD upper Midwest</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</si>
  <si>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</si>
  <si>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</si>
  <si>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</si>
  <si>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</si>
  <si>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</si>
  <si>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</si>
  <si>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</si>
  <si>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</si>
  <si>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</si>
  <si>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</si>
  <si>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</si>
  <si>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</si>
  <si>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</si>
  <si>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</si>
  <si>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</si>
  <si>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</si>
  <si>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</si>
  <si>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</si>
  <si>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</si>
  <si>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</si>
  <si>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</si>
  <si>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</si>
  <si>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</si>
  <si>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</si>
  <si>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</si>
  <si>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</si>
  <si>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</si>
  <si>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</si>
  <si>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</si>
  <si>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</si>
  <si>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</si>
  <si>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</si>
  <si>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</si>
  <si>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</si>
  <si>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</si>
  <si>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</si>
  <si>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520</t>
  </si>
  <si>
    <t>521</t>
  </si>
  <si>
    <t>522</t>
  </si>
  <si>
    <t>523</t>
  </si>
  <si>
    <t>524</t>
  </si>
  <si>
    <t>525</t>
  </si>
  <si>
    <t>526</t>
  </si>
  <si>
    <t>527</t>
  </si>
  <si>
    <t>528</t>
  </si>
  <si>
    <t>530</t>
  </si>
  <si>
    <t>531</t>
  </si>
  <si>
    <t>532</t>
  </si>
  <si>
    <t>534</t>
  </si>
  <si>
    <t>535</t>
  </si>
  <si>
    <t>537</t>
  </si>
  <si>
    <t>538</t>
  </si>
  <si>
    <t>539</t>
  </si>
  <si>
    <t>540</t>
  </si>
  <si>
    <t>541</t>
  </si>
  <si>
    <t>542</t>
  </si>
  <si>
    <t>543</t>
  </si>
  <si>
    <t>544</t>
  </si>
  <si>
    <t>545</t>
  </si>
  <si>
    <t>546</t>
  </si>
  <si>
    <t>547</t>
  </si>
  <si>
    <t>548</t>
  </si>
  <si>
    <t>549</t>
  </si>
  <si>
    <t>550</t>
  </si>
  <si>
    <t>551</t>
  </si>
  <si>
    <t>553</t>
  </si>
  <si>
    <t>554</t>
  </si>
  <si>
    <t>555</t>
  </si>
  <si>
    <t>556</t>
  </si>
  <si>
    <t>557</t>
  </si>
  <si>
    <t>558</t>
  </si>
  <si>
    <t>559</t>
  </si>
  <si>
    <t>560</t>
  </si>
  <si>
    <t>561</t>
  </si>
  <si>
    <t>562</t>
  </si>
  <si>
    <t>563</t>
  </si>
  <si>
    <t>564</t>
  </si>
  <si>
    <t>565</t>
  </si>
  <si>
    <t>566</t>
  </si>
  <si>
    <t>567</t>
  </si>
  <si>
    <t>570</t>
  </si>
  <si>
    <t>571</t>
  </si>
  <si>
    <t>572</t>
  </si>
  <si>
    <t>573</t>
  </si>
  <si>
    <t>574</t>
  </si>
  <si>
    <t>575</t>
  </si>
  <si>
    <t>576</t>
  </si>
  <si>
    <t>577</t>
  </si>
  <si>
    <t>580</t>
  </si>
  <si>
    <t>581</t>
  </si>
  <si>
    <t>582</t>
  </si>
  <si>
    <t>583</t>
  </si>
  <si>
    <t>584</t>
  </si>
  <si>
    <t>585</t>
  </si>
  <si>
    <t>586</t>
  </si>
  <si>
    <t>587</t>
  </si>
  <si>
    <t>588</t>
  </si>
  <si>
    <t>590</t>
  </si>
  <si>
    <t>CA / NV / OR / AZ moderate wildfire</t>
  </si>
  <si>
    <t>Wildfire - moderate hazard</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</si>
  <si>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</si>
  <si>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</si>
  <si>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</si>
  <si>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</si>
  <si>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</si>
  <si>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</si>
  <si>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</si>
  <si>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</si>
  <si>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</si>
  <si>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</si>
  <si>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</si>
  <si>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</si>
  <si>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</si>
  <si>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</si>
  <si>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</si>
  <si>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</si>
  <si>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</si>
  <si>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</si>
  <si>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</si>
  <si>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</si>
  <si>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</si>
  <si>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</si>
  <si>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</si>
  <si>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</si>
  <si>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</si>
  <si>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</si>
  <si>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</si>
  <si>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</si>
  <si>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</si>
  <si>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</si>
  <si>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622</t>
  </si>
  <si>
    <t>623</t>
  </si>
  <si>
    <t>624</t>
  </si>
  <si>
    <t>625</t>
  </si>
  <si>
    <t>626</t>
  </si>
  <si>
    <t>627</t>
  </si>
  <si>
    <t>628</t>
  </si>
  <si>
    <t>629</t>
  </si>
  <si>
    <t>630</t>
  </si>
  <si>
    <t>631</t>
  </si>
  <si>
    <t>633</t>
  </si>
  <si>
    <t>634</t>
  </si>
  <si>
    <t>635</t>
  </si>
  <si>
    <t>636</t>
  </si>
  <si>
    <t>637</t>
  </si>
  <si>
    <t>638</t>
  </si>
  <si>
    <t>639</t>
  </si>
  <si>
    <t>640</t>
  </si>
  <si>
    <t>641</t>
  </si>
  <si>
    <t>644</t>
  </si>
  <si>
    <t>645</t>
  </si>
  <si>
    <t>646</t>
  </si>
  <si>
    <t>647</t>
  </si>
  <si>
    <t>648</t>
  </si>
  <si>
    <t>650</t>
  </si>
  <si>
    <t>651</t>
  </si>
  <si>
    <t>652</t>
  </si>
  <si>
    <t>653</t>
  </si>
  <si>
    <t>654</t>
  </si>
  <si>
    <t>655</t>
  </si>
  <si>
    <t>656</t>
  </si>
  <si>
    <t>657</t>
  </si>
  <si>
    <t>658</t>
  </si>
  <si>
    <t>660</t>
  </si>
  <si>
    <t>CO Front Range / KS / NE / OK hail alley</t>
  </si>
  <si>
    <t>Severe convective - hail alley (high)</t>
  </si>
  <si>
    <t>661</t>
  </si>
  <si>
    <t>662</t>
  </si>
  <si>
    <t>664</t>
  </si>
  <si>
    <t>665</t>
  </si>
  <si>
    <t>666</t>
  </si>
  <si>
    <t>667</t>
  </si>
  <si>
    <t>668</t>
  </si>
  <si>
    <t>669</t>
  </si>
  <si>
    <t>670</t>
  </si>
  <si>
    <t>671</t>
  </si>
  <si>
    <t>672</t>
  </si>
  <si>
    <t>673</t>
  </si>
  <si>
    <t>674</t>
  </si>
  <si>
    <t>675</t>
  </si>
  <si>
    <t>676</t>
  </si>
  <si>
    <t>677</t>
  </si>
  <si>
    <t>678</t>
  </si>
  <si>
    <t>679</t>
  </si>
  <si>
    <t>680</t>
  </si>
  <si>
    <t>681</t>
  </si>
  <si>
    <t>683</t>
  </si>
  <si>
    <t>684</t>
  </si>
  <si>
    <t>685</t>
  </si>
  <si>
    <t>686</t>
  </si>
  <si>
    <t>687</t>
  </si>
  <si>
    <t>688</t>
  </si>
  <si>
    <t>689</t>
  </si>
  <si>
    <t>690</t>
  </si>
  <si>
    <t>691</t>
  </si>
  <si>
    <t>692</t>
  </si>
  <si>
    <t>693</t>
  </si>
  <si>
    <t>700</t>
  </si>
  <si>
    <t>701</t>
  </si>
  <si>
    <t>703</t>
  </si>
  <si>
    <t>704</t>
  </si>
  <si>
    <t>705</t>
  </si>
  <si>
    <t>706</t>
  </si>
  <si>
    <t>707</t>
  </si>
  <si>
    <t>708</t>
  </si>
  <si>
    <t>710</t>
  </si>
  <si>
    <t>711</t>
  </si>
  <si>
    <t>712</t>
  </si>
  <si>
    <t>713</t>
  </si>
  <si>
    <t>714</t>
  </si>
  <si>
    <t>716</t>
  </si>
  <si>
    <t>717</t>
  </si>
  <si>
    <t>718</t>
  </si>
  <si>
    <t>719</t>
  </si>
  <si>
    <t>720</t>
  </si>
  <si>
    <t>721</t>
  </si>
  <si>
    <t>722</t>
  </si>
  <si>
    <t>723</t>
  </si>
  <si>
    <t>724</t>
  </si>
  <si>
    <t>725</t>
  </si>
  <si>
    <t>726</t>
  </si>
  <si>
    <t>727</t>
  </si>
  <si>
    <t>728</t>
  </si>
  <si>
    <t>729</t>
  </si>
  <si>
    <t>730</t>
  </si>
  <si>
    <t>731</t>
  </si>
  <si>
    <t>734</t>
  </si>
  <si>
    <t>735</t>
  </si>
  <si>
    <t>736</t>
  </si>
  <si>
    <t>737</t>
  </si>
  <si>
    <t>738</t>
  </si>
  <si>
    <t>739</t>
  </si>
  <si>
    <t>740</t>
  </si>
  <si>
    <t>741</t>
  </si>
  <si>
    <t>743</t>
  </si>
  <si>
    <t>744</t>
  </si>
  <si>
    <t>745</t>
  </si>
  <si>
    <t>746</t>
  </si>
  <si>
    <t>747</t>
  </si>
  <si>
    <t>748</t>
  </si>
  <si>
    <t>749</t>
  </si>
  <si>
    <t>750</t>
  </si>
  <si>
    <t>TX hail alley (DFW / Central / Panhandle)</t>
  </si>
  <si>
    <t>751</t>
  </si>
  <si>
    <t>752</t>
  </si>
  <si>
    <t>753</t>
  </si>
  <si>
    <t>754</t>
  </si>
  <si>
    <t>756</t>
  </si>
  <si>
    <t>757</t>
  </si>
  <si>
    <t>760</t>
  </si>
  <si>
    <t>761</t>
  </si>
  <si>
    <t>762</t>
  </si>
  <si>
    <t>763</t>
  </si>
  <si>
    <t>764</t>
  </si>
  <si>
    <t>765</t>
  </si>
  <si>
    <t>766</t>
  </si>
  <si>
    <t>767</t>
  </si>
  <si>
    <t>768</t>
  </si>
  <si>
    <t>769</t>
  </si>
  <si>
    <t>770</t>
  </si>
  <si>
    <t>TX near-coastal</t>
  </si>
  <si>
    <t>772</t>
  </si>
  <si>
    <t>773</t>
  </si>
  <si>
    <t>774</t>
  </si>
  <si>
    <t>775</t>
  </si>
  <si>
    <t>TX immediate coast</t>
  </si>
  <si>
    <t>776</t>
  </si>
  <si>
    <t>777</t>
  </si>
  <si>
    <t>778</t>
  </si>
  <si>
    <t>779</t>
  </si>
  <si>
    <t>780</t>
  </si>
  <si>
    <t>TX Hill Country / South</t>
  </si>
  <si>
    <t>781</t>
  </si>
  <si>
    <t>782</t>
  </si>
  <si>
    <t>783</t>
  </si>
  <si>
    <t>784</t>
  </si>
  <si>
    <t>785</t>
  </si>
  <si>
    <t>786</t>
  </si>
  <si>
    <t>787</t>
  </si>
  <si>
    <t>788</t>
  </si>
  <si>
    <t>789</t>
  </si>
  <si>
    <t>790</t>
  </si>
  <si>
    <t>791</t>
  </si>
  <si>
    <t>793</t>
  </si>
  <si>
    <t>794</t>
  </si>
  <si>
    <t>795</t>
  </si>
  <si>
    <t>796</t>
  </si>
  <si>
    <t>797</t>
  </si>
  <si>
    <t>798</t>
  </si>
  <si>
    <t>799</t>
  </si>
  <si>
    <t>800</t>
  </si>
  <si>
    <t>801</t>
  </si>
  <si>
    <t>802</t>
  </si>
  <si>
    <t>803</t>
  </si>
  <si>
    <t>804</t>
  </si>
  <si>
    <t>805</t>
  </si>
  <si>
    <t>806</t>
  </si>
  <si>
    <t>807</t>
  </si>
  <si>
    <t>808</t>
  </si>
  <si>
    <t>809</t>
  </si>
  <si>
    <t>816</t>
  </si>
  <si>
    <t>820</t>
  </si>
  <si>
    <t>AZ / NM / UT / WY convective</t>
  </si>
  <si>
    <t>821</t>
  </si>
  <si>
    <t>822</t>
  </si>
  <si>
    <t>823</t>
  </si>
  <si>
    <t>824</t>
  </si>
  <si>
    <t>825</t>
  </si>
  <si>
    <t>826</t>
  </si>
  <si>
    <t>827</t>
  </si>
  <si>
    <t>828</t>
  </si>
  <si>
    <t>829</t>
  </si>
  <si>
    <t>830</t>
  </si>
  <si>
    <t>831</t>
  </si>
  <si>
    <t>832</t>
  </si>
  <si>
    <t>833</t>
  </si>
  <si>
    <t>834</t>
  </si>
  <si>
    <t>835</t>
  </si>
  <si>
    <t>836</t>
  </si>
  <si>
    <t>837</t>
  </si>
  <si>
    <t>838</t>
  </si>
  <si>
    <t>840</t>
  </si>
  <si>
    <t>841</t>
  </si>
  <si>
    <t>843</t>
  </si>
  <si>
    <t>844</t>
  </si>
  <si>
    <t>845</t>
  </si>
  <si>
    <t>846</t>
  </si>
  <si>
    <t>847</t>
  </si>
  <si>
    <t>850</t>
  </si>
  <si>
    <t>851</t>
  </si>
  <si>
    <t>852</t>
  </si>
  <si>
    <t>853</t>
  </si>
  <si>
    <t>855</t>
  </si>
  <si>
    <t>856</t>
  </si>
  <si>
    <t>857</t>
  </si>
  <si>
    <t>859</t>
  </si>
  <si>
    <t>860</t>
  </si>
  <si>
    <t>863</t>
  </si>
  <si>
    <t>864</t>
  </si>
  <si>
    <t>865</t>
  </si>
  <si>
    <t>870</t>
  </si>
  <si>
    <t>871</t>
  </si>
  <si>
    <t>873</t>
  </si>
  <si>
    <t>874</t>
  </si>
  <si>
    <t>875</t>
  </si>
  <si>
    <t>877</t>
  </si>
  <si>
    <t>878</t>
  </si>
  <si>
    <t>879</t>
  </si>
  <si>
    <t>880</t>
  </si>
  <si>
    <t>881</t>
  </si>
  <si>
    <t>882</t>
  </si>
  <si>
    <t>883</t>
  </si>
  <si>
    <t>884</t>
  </si>
  <si>
    <t>889</t>
  </si>
  <si>
    <t>NV low hazard / non-contiguous</t>
  </si>
  <si>
    <t>Low hazard - inland benign</t>
  </si>
  <si>
    <t>890</t>
  </si>
  <si>
    <t>891</t>
  </si>
  <si>
    <t>893</t>
  </si>
  <si>
    <t>894</t>
  </si>
  <si>
    <t>895</t>
  </si>
  <si>
    <t>896</t>
  </si>
  <si>
    <t>897</t>
  </si>
  <si>
    <t>898</t>
  </si>
  <si>
    <t>900</t>
  </si>
  <si>
    <t>901</t>
  </si>
  <si>
    <t>902</t>
  </si>
  <si>
    <t>903</t>
  </si>
  <si>
    <t>904</t>
  </si>
  <si>
    <t>905</t>
  </si>
  <si>
    <t>906</t>
  </si>
  <si>
    <t>907</t>
  </si>
  <si>
    <t>908</t>
  </si>
  <si>
    <t>910</t>
  </si>
  <si>
    <t>CA WUI high hazard</t>
  </si>
  <si>
    <t>Wildfire - WUI high hazard</t>
  </si>
  <si>
    <t>911</t>
  </si>
  <si>
    <t>912</t>
  </si>
  <si>
    <t>913</t>
  </si>
  <si>
    <t>914</t>
  </si>
  <si>
    <t>915</t>
  </si>
  <si>
    <t>916</t>
  </si>
  <si>
    <t>917</t>
  </si>
  <si>
    <t>918</t>
  </si>
  <si>
    <t>919</t>
  </si>
  <si>
    <t>920</t>
  </si>
  <si>
    <t>921</t>
  </si>
  <si>
    <t>922</t>
  </si>
  <si>
    <t>923</t>
  </si>
  <si>
    <t>924</t>
  </si>
  <si>
    <t>925</t>
  </si>
  <si>
    <t>926</t>
  </si>
  <si>
    <t>927</t>
  </si>
  <si>
    <t>928</t>
  </si>
  <si>
    <t>930</t>
  </si>
  <si>
    <t>931</t>
  </si>
  <si>
    <t>932</t>
  </si>
  <si>
    <t>933</t>
  </si>
  <si>
    <t>934</t>
  </si>
  <si>
    <t>935</t>
  </si>
  <si>
    <t>936</t>
  </si>
  <si>
    <t>937</t>
  </si>
  <si>
    <t>938</t>
  </si>
  <si>
    <t>939</t>
  </si>
  <si>
    <t>940</t>
  </si>
  <si>
    <t>CA / PNW earthquake high</t>
  </si>
  <si>
    <t>Earthquake - high (CA, Cascadia, New Madrid)</t>
  </si>
  <si>
    <t>941</t>
  </si>
  <si>
    <t>943</t>
  </si>
  <si>
    <t>944</t>
  </si>
  <si>
    <t>945</t>
  </si>
  <si>
    <t>946</t>
  </si>
  <si>
    <t>947</t>
  </si>
  <si>
    <t>948</t>
  </si>
  <si>
    <t>949</t>
  </si>
  <si>
    <t>950</t>
  </si>
  <si>
    <t>951</t>
  </si>
  <si>
    <t>952</t>
  </si>
  <si>
    <t>953</t>
  </si>
  <si>
    <t>954</t>
  </si>
  <si>
    <t>955</t>
  </si>
  <si>
    <t>956</t>
  </si>
  <si>
    <t>957</t>
  </si>
  <si>
    <t>958</t>
  </si>
  <si>
    <t>959</t>
  </si>
  <si>
    <t>960</t>
  </si>
  <si>
    <t>961</t>
  </si>
  <si>
    <t>967</t>
  </si>
  <si>
    <t>968</t>
  </si>
  <si>
    <t>970</t>
  </si>
  <si>
    <t>971</t>
  </si>
  <si>
    <t>972</t>
  </si>
  <si>
    <t>973</t>
  </si>
  <si>
    <t>974</t>
  </si>
  <si>
    <t>975</t>
  </si>
  <si>
    <t>976</t>
  </si>
  <si>
    <t>977</t>
  </si>
  <si>
    <t>978</t>
  </si>
  <si>
    <t>979</t>
  </si>
  <si>
    <t>980</t>
  </si>
  <si>
    <t>981</t>
  </si>
  <si>
    <t>982</t>
  </si>
  <si>
    <t>983</t>
  </si>
  <si>
    <t>984</t>
  </si>
  <si>
    <t>985</t>
  </si>
  <si>
    <t>986</t>
  </si>
  <si>
    <t>988</t>
  </si>
  <si>
    <t>989</t>
  </si>
  <si>
    <t>990</t>
  </si>
  <si>
    <t>991</t>
  </si>
  <si>
    <t>992</t>
  </si>
  <si>
    <t>993</t>
  </si>
  <si>
    <t>994</t>
  </si>
  <si>
    <t>995</t>
  </si>
  <si>
    <t>996</t>
  </si>
  <si>
    <t>997</t>
  </si>
  <si>
    <t>998</t>
  </si>
  <si>
    <t>999</t>
  </si>
  <si>
    <t>SECTION B  -  STATE DEFAULT ZONE  (used when the ZIP-3 prefix is not listed above)</t>
  </si>
  <si>
    <t>Default catastrophe zone</t>
  </si>
  <si>
    <t>THIS TABLE IS AN INDICATIVE SEED, NOT A CATASTROPHE ZONING SERVICE. Real catastrophe zoning is done by geocoding the garaging address to a latitude and longitude and running it against distance-to-coast, FEMA flood layers, wildfire hazard-potential layers and USGS seismic layers. A three-digit ZIP prefix spans a large area and will misclassify individual addresses - a prefix mapped to Tier 2 will contain some genuine Tier 1 waterfront and plenty of Tier 3 inland. Use this to get the model running and to route referrals, then replace column D with geocoded output from your cat vendor before binding at scale. The underwriter can always override by selecting the zone manually; the Rating Engine shows whether the zone came from the ZIP table, the state default, or a manual override.</t>
  </si>
  <si>
    <t>NATURAL CATASTROPHE  -  ZONES, PERIL TREATMENT AND AGGREGATE CONTROL</t>
  </si>
  <si>
    <t>Catastrophe zone multiplies the statewide cat load. Cat perils are the severity path in this class: a single storage building can hold more value than a hundred separate policies.</t>
  </si>
  <si>
    <t>SECTION A  -  CATASTROPHE ZONE MULTIPLIERS  (applied to the state cat load on the Rating Engine)</t>
  </si>
  <si>
    <t>Zone multiplier</t>
  </si>
  <si>
    <t>Typical cat deductible</t>
  </si>
  <si>
    <t>Storage warranty and underwriting control</t>
  </si>
  <si>
    <t>Barrier islands and immediate waterfront on the Gulf and South Atlantic coasts.</t>
  </si>
  <si>
    <t>DECLINE ground-level storage. Elevated or inland structure warranty plus mandatory pre-storm evacuation.</t>
  </si>
  <si>
    <t>Near-coastal exposure inside the primary hurricane wind band.</t>
  </si>
  <si>
    <t>2% - 5% of agreed value</t>
  </si>
  <si>
    <t>Enclosed structure above base flood elevation; evacuation plan on file.</t>
  </si>
  <si>
    <t>Secondary wind band; surge unlikely, sustained hurricane wind likely.</t>
  </si>
  <si>
    <t>2% of agreed value</t>
  </si>
  <si>
    <t>Enclosed permanent structure.</t>
  </si>
  <si>
    <t>Inland - hurricane remnant only (100+ miles)</t>
  </si>
  <si>
    <t>Tropical remnant wind and rainfall flooding only.</t>
  </si>
  <si>
    <t>Flat PD deductible acceptable</t>
  </si>
  <si>
    <t>Standard.</t>
  </si>
  <si>
    <t>TX, OK, KS, NE, CO Front Range, north TX. Highest hail frequency in the world.</t>
  </si>
  <si>
    <t>2% of agreed value for hail</t>
  </si>
  <si>
    <t>INDOOR STORAGE WARRANTY. Covered parking is not sufficient for classes 03-08.</t>
  </si>
  <si>
    <t>Midwest and mid-South convective corridor.</t>
  </si>
  <si>
    <t>1% - 2% of agreed value for hail</t>
  </si>
  <si>
    <t>Enclosed garage; no open or carport storage.</t>
  </si>
  <si>
    <t>Wildland-urban interface in CA, CO, OR, WA, MT, ID, AZ, UT.</t>
  </si>
  <si>
    <t>2% of agreed value; separate wildfire deductible</t>
  </si>
  <si>
    <t>Defensible-space survey for aggregate above $5m at one location; evacuation plan; no aggregation of a collection in a WUI zone.</t>
  </si>
  <si>
    <t>Fire-adjacent but not WUI-classified.</t>
  </si>
  <si>
    <t>Standard, plus evacuation plan above $10m.</t>
  </si>
  <si>
    <t>Near active fault systems or subduction zone.</t>
  </si>
  <si>
    <t>Earthquake typically EXCLUDED or 5% sub-limited</t>
  </si>
  <si>
    <t>Seismic restraint on multi-tier storage racking and lifts; no stacked storage above $2m per tier.</t>
  </si>
  <si>
    <t>Flood - FEMA SFHA (zone A / AE / V)</t>
  </si>
  <si>
    <t>Special Flood Hazard Area, 1% annual chance floodplain.</t>
  </si>
  <si>
    <t>Flood sub-limited; 2% - 5% deductible</t>
  </si>
  <si>
    <t>DECLINE at-grade storage in SFHA. Elevated structure or relocation required.</t>
  </si>
  <si>
    <t>Northeast and upper Midwest cold-weather corridor.</t>
  </si>
  <si>
    <t>Flat PD deductible</t>
  </si>
  <si>
    <t>Seasonal lay-up endorsement (EX-18) recommended.</t>
  </si>
  <si>
    <t>No material catastrophe accumulation.</t>
  </si>
  <si>
    <t>SECTION B  -  CATASTROPHE DEDUCTIBLE OPTIONS  (credit applied to the cat load only)</t>
  </si>
  <si>
    <t>Catastrophe deductible</t>
  </si>
  <si>
    <t>Cat load credit</t>
  </si>
  <si>
    <t>Underwriting note</t>
  </si>
  <si>
    <t>Default. Offers no cat mitigation and should not be offered in Tier 1 or hail-alley zones.</t>
  </si>
  <si>
    <t>Entry-level cat participation.</t>
  </si>
  <si>
    <t>Market standard for Tier 2/3 and moderate convective.</t>
  </si>
  <si>
    <t>Required in Tier 1 and hail-alley high zones.</t>
  </si>
  <si>
    <t>10% of agreed value, minimum $50,000</t>
  </si>
  <si>
    <t>Large collections and dealer open-lot exposures.</t>
  </si>
  <si>
    <t>Cat perils excluded (comprehensive named-peril only)</t>
  </si>
  <si>
    <t>Named-peril comprehensive with wind, hail, flood and wildfire excluded. REFER - rarely saleable.</t>
  </si>
  <si>
    <t>SECTION C  -  PERIL-BY-PERIL TREATMENT</t>
  </si>
  <si>
    <t>Peril</t>
  </si>
  <si>
    <t>Coverage treatment</t>
  </si>
  <si>
    <t>Deductible basis</t>
  </si>
  <si>
    <t>Sub-limit practice</t>
  </si>
  <si>
    <t>Aggregate control and moratorium</t>
  </si>
  <si>
    <t>Named windstorm / hurricane</t>
  </si>
  <si>
    <t>Full limit, subject to the named-storm deductible and the occurrence definition.</t>
  </si>
  <si>
    <t>Percentage of agreed value per vehicle, per occurrence.</t>
  </si>
  <si>
    <t>72-hour occurrence clause. Aggregate sub-limit per storage location above $10m TIV.</t>
  </si>
  <si>
    <t>Binding moratorium from the moment a named-storm watch is issued for the county, or 72 hours before forecast landfall, whichever is earlier.</t>
  </si>
  <si>
    <t>Storm surge</t>
  </si>
  <si>
    <t>Treated as flood, not wind. Surge is the largest single-event severity driver in this class.</t>
  </si>
  <si>
    <t>Flood deductible applies.</t>
  </si>
  <si>
    <t>Sub-limited to the lesser of agreed value or the scheduled flood sub-limit.</t>
  </si>
  <si>
    <t>Elevation certificate for at-grade coastal storage. Pre-storm relocation reimbursed under EX-20.</t>
  </si>
  <si>
    <t>Inland flood / flash flood</t>
  </si>
  <si>
    <t>Covered under comprehensive. Excluded where a vehicle is knowingly driven into standing water.</t>
  </si>
  <si>
    <t>Flood deductible.</t>
  </si>
  <si>
    <t>Sub-limit by location in FEMA SFHA.</t>
  </si>
  <si>
    <t>Aggregate by 3-digit ZIP. Storage below grade is a decline for classes 04-08.</t>
  </si>
  <si>
    <t>Full limit. The dominant comprehensive frequency peril in the central US.</t>
  </si>
  <si>
    <t>Percentage deductible in high-hail zones.</t>
  </si>
  <si>
    <t>No sub-limit where an indoor storage warranty is in force.</t>
  </si>
  <si>
    <t>Indoor storage warranty converts hail from a frequency peril to a near-nil exposure. Enforce it.</t>
  </si>
  <si>
    <t>Tornado</t>
  </si>
  <si>
    <t>Full limit under windstorm.</t>
  </si>
  <si>
    <t>Standard PD or named-storm deductible.</t>
  </si>
  <si>
    <t>Location aggregate.</t>
  </si>
  <si>
    <t>Structural rating of the storage building for collections above $5m.</t>
  </si>
  <si>
    <t>Wildfire</t>
  </si>
  <si>
    <t>Full limit. Severity risk is total destruction of a whole collection at one location.</t>
  </si>
  <si>
    <t>Percentage deductible in WUI zones.</t>
  </si>
  <si>
    <t>Per-location aggregate sub-limit is essential in WUI.</t>
  </si>
  <si>
    <t>Defensible space survey; no single-location accumulation above the reinsurance attachment point.</t>
  </si>
  <si>
    <t>Earthquake</t>
  </si>
  <si>
    <t>Usually EXCLUDED. Where granted, heavily sub-limited.</t>
  </si>
  <si>
    <t>5% of agreed value minimum.</t>
  </si>
  <si>
    <t>Hard per-location sub-limit.</t>
  </si>
  <si>
    <t>Seismic restraint of lifts and racking. Falling-object and collapse damage is the real exposure, not ground motion.</t>
  </si>
  <si>
    <t>Volcanic / ashfall</t>
  </si>
  <si>
    <t>Covered under comprehensive; ash abrasion to paint and intake often disputed.</t>
  </si>
  <si>
    <t>Standard deductible.</t>
  </si>
  <si>
    <t>Sub-limited in HI.</t>
  </si>
  <si>
    <t>Cleaning cost versus repaint dispute - agree the wording up front.</t>
  </si>
  <si>
    <t>Freeze / ice / snow load</t>
  </si>
  <si>
    <t>Covered. Roof collapse onto stored vehicles is the real severity path.</t>
  </si>
  <si>
    <t>Storage building roof-load review for collections in snow-load regions.</t>
  </si>
  <si>
    <t>Civil commotion / riot</t>
  </si>
  <si>
    <t>Covered under comprehensive; often the trigger for urban vandalism aggregation.</t>
  </si>
  <si>
    <t>Location aggregate in dense metros.</t>
  </si>
  <si>
    <t>Not a natural peril but accumulates the same way - monitor with the cat aggregate.</t>
  </si>
  <si>
    <t>SECTION D  -  LIVE AGGREGATE AND PML MONITOR</t>
  </si>
  <si>
    <t>Total insured value in zone ($)</t>
  </si>
  <si>
    <t>PML factor</t>
  </si>
  <si>
    <t>Modelled gross loss ($)</t>
  </si>
  <si>
    <t>% of reinsurance attachment</t>
  </si>
  <si>
    <t>LARGEST SINGLE-ZONE MODELLED LOSS</t>
  </si>
  <si>
    <t>Reinsurance attachment point ($)</t>
  </si>
  <si>
    <t>Any zone exceeding 100% breaches the programme. Stop binding in that zone.</t>
  </si>
  <si>
    <t>Per-location aggregate sub-limit ($)</t>
  </si>
  <si>
    <t>Must sit below the attachment point so no single location can produce a net loss capacity cannot absorb.</t>
  </si>
  <si>
    <t>LIVE FEED:</t>
  </si>
  <si>
    <t>Total insured value by zone is no longer entered by hand - it reads live from the cat-zone table on the Portfolio Summary sheet, which in turn aggregates the Portfolio Register by the catastrophe zone derived from each vehicle's garaging ZIP. Add a vehicle to the register and this monitor updates immediately. Only the PML factors, the reinsurance attachment point and the per-location aggregate remain manual inputs - replace the PML factors with vendor-model output when you have it.</t>
  </si>
  <si>
    <t>4.  Model the portfolio at least quarterly. RMS and Verisk Touchstone both handle motor as a fixed-location property exposure once vehicles are coded to the garaging address; the modelling error comes from vehicles that are not where the schedule says they are.</t>
  </si>
  <si>
    <t>5.  Reconcile the schedule to reality annually. Seasonal migration (northern collections wintering in Florida and Arizona) is the single largest source of undetected cat accumulation in collector motor.</t>
  </si>
  <si>
    <t>6.  Storm evacuation transport (EX-20) is cheaper than the claim. Pre-authorise it and pay it without argument.</t>
  </si>
  <si>
    <t>7.  Set the per-location aggregate sub-limit below the reinsurance attachment point so that no single location can produce a net loss the MGA's capacity cannot absorb.</t>
  </si>
  <si>
    <t>8.  Auction week accumulation (Scottsdale in January, Monterey in August, Amelia Island in March) creates a temporary single-location aggregate that no annual model will capture. Track it manually.</t>
  </si>
  <si>
    <t>Zone multipliers, PML factors and the specimen total insured values are judgement benchmarks for structuring, not modelled output. Replace the PML factors with vendor-model results (RMS or Verisk Touchstone) once the portfolio is coded to garaging addresses. The multiplier refines the statewide cat load, which is a state average - so within Florida, a Naples waterfront garage and an Orlando inland garage are separated by roughly a factor of six once the zone multiplier is applied. Where a risk sits in two zones (WUI wildfire and high hail, for example), select the higher-multiplier zone and refer.</t>
  </si>
  <si>
    <t>DEDUCTIBLES</t>
  </si>
  <si>
    <t>Value-banded physical damage deductible factors, peril-specific deductibles and the rules governing how they interact. Deductible relief is worth far less on a $10m car than on a $300k car - hence the banding.</t>
  </si>
  <si>
    <t>SECTION A  -  PHYSICAL DAMAGE DEDUCTIBLE FACTOR MATRIX  (by agreed value band)</t>
  </si>
  <si>
    <t>Deductible</t>
  </si>
  <si>
    <t>Note</t>
  </si>
  <si>
    <t>$1,000</t>
  </si>
  <si>
    <t>Not available on classes 03, 04, 05 or 12 - claim handling cost alone approaches it.</t>
  </si>
  <si>
    <t>$2,500</t>
  </si>
  <si>
    <t>Anchor of the table. Every column is a relativity to a $2,500 deductible in that value band.</t>
  </si>
  <si>
    <t>$50,000</t>
  </si>
  <si>
    <t>Percentage deductibles are calculated on the AGREED VALUE, not the repair cost.</t>
  </si>
  <si>
    <t>SECTION B  -  PERIL-SPECIFIC DEDUCTIBLES</t>
  </si>
  <si>
    <t>Peril / coverage</t>
  </si>
  <si>
    <t>Collision / upset</t>
  </si>
  <si>
    <t>As selected on the Rating Engine</t>
  </si>
  <si>
    <t>The scheduled physical damage deductible.</t>
  </si>
  <si>
    <t>Comprehensive - general</t>
  </si>
  <si>
    <t>As selected, or 50% of the PD deductible by endorsement</t>
  </si>
  <si>
    <t>Many collector forms run a lower comprehensive deductible than collision.</t>
  </si>
  <si>
    <t>Glass - repair</t>
  </si>
  <si>
    <t>Nil</t>
  </si>
  <si>
    <t>Chip repair with no deductible encourages repair over replacement. Cheap concession.</t>
  </si>
  <si>
    <t>Glass - replacement</t>
  </si>
  <si>
    <t>$500 flat, OEM glass only</t>
  </si>
  <si>
    <t>Full glass buy-back is EX-16.</t>
  </si>
  <si>
    <t>Theft of entire vehicle</t>
  </si>
  <si>
    <t>As selected PD deductible</t>
  </si>
  <si>
    <t>No separate theft deductible where GPS with recovery service is fitted.</t>
  </si>
  <si>
    <t>Theft of parts / accessories</t>
  </si>
  <si>
    <t>$2,500 minimum</t>
  </si>
  <si>
    <t>Catalytic converter, badge, wheel and light-unit theft is a frequency peril in urban metros.</t>
  </si>
  <si>
    <t>Percentage of agreed value - see cat deductible options</t>
  </si>
  <si>
    <t>Applies per vehicle per occurrence, 72-hour clause.</t>
  </si>
  <si>
    <t>1% - 2% of agreed value in high-hail zones</t>
  </si>
  <si>
    <t>Waived entirely where the indoor storage warranty is in force and evidenced.</t>
  </si>
  <si>
    <t>Flood / storm surge</t>
  </si>
  <si>
    <t>Never lower than the named-storm deductible.</t>
  </si>
  <si>
    <t>2% of agreed value in WUI zones</t>
  </si>
  <si>
    <t>Standard PD deductible outside WUI.</t>
  </si>
  <si>
    <t>5% of agreed value minimum where granted at all</t>
  </si>
  <si>
    <t>Usually excluded.</t>
  </si>
  <si>
    <t>Transit / enclosed transport</t>
  </si>
  <si>
    <t>$5,000 minimum</t>
  </si>
  <si>
    <t>Carrier's own cargo cover responds first; this sits excess.</t>
  </si>
  <si>
    <t>Track day / HPDE (EX-11 buy-back)</t>
  </si>
  <si>
    <t>5% of agreed value minimum, never less than $25,000</t>
  </si>
  <si>
    <t>Non-negotiable. Track damage is a certainty, not a risk.</t>
  </si>
  <si>
    <t>Restoration in progress (EX-07)</t>
  </si>
  <si>
    <t>$10,000 or 2% of declared value, whichever is greater</t>
  </si>
  <si>
    <t>Bailee's own cover responds first.</t>
  </si>
  <si>
    <t>Total loss</t>
  </si>
  <si>
    <t>Deductible waived where EX-15 is purchased</t>
  </si>
  <si>
    <t>Otherwise the scheduled deductible is deducted from the agreed value.</t>
  </si>
  <si>
    <t>SECTION C  -  DEDUCTIBLE RULES</t>
  </si>
  <si>
    <t>1.  One deductible applies per occurrence, per vehicle - not per policy. A hailstorm damaging six cars in one building produces six deductibles unless an aggregate deductible endorsement is in force.</t>
  </si>
  <si>
    <t>2.  Where two deductibles could apply (a named storm that also causes flood), apply the HIGHER. Say so in the wording; this is a common coverage dispute.</t>
  </si>
  <si>
    <t>3.  Percentage deductibles are calculated on the AGREED VALUE, not the repair cost or the actual cash value. State this explicitly.</t>
  </si>
  <si>
    <t>4.  Aggregate deductible option for collections of 10 or more vehicles: a single annual aggregate deductible (typically 1% - 2% of total schedule value) replaces per-vehicle deductibles. Rate as the weighted-average per-vehicle factor less 5%.</t>
  </si>
  <si>
    <t>5.  Deductible relief is worth far less on high-value vehicles - a $5,000 deductible on a $10m car is a rounding error. This is why the factor table is banded by value; a flat deductible table over-credits the top of the book.</t>
  </si>
  <si>
    <t>6.  Never offer a deductible below $5,000 on classes 03, 04, 05 or 12. The claim-handling cost alone approaches it.</t>
  </si>
  <si>
    <t>7.  Minimum deductible in Tier 1 coastal, hail-alley high and WUI high zones is the cat percentage deductible - a flat deductible is not an option there.</t>
  </si>
  <si>
    <t>8.  Disappearing / vanishing deductible features are not appropriate in this class. They erode the deductible's behavioural function exactly where severity is highest.</t>
  </si>
  <si>
    <t>SECTION D  -  RATEABLE DEDUCTIBLE SELECTIONS  (drop-downs on the Rating Engine)</t>
  </si>
  <si>
    <t>Comprehensive deductible basis</t>
  </si>
  <si>
    <t>Option</t>
  </si>
  <si>
    <t>Default.</t>
  </si>
  <si>
    <t>50% of the PD deductible</t>
  </si>
  <si>
    <t>Common collector concession; comprehensive is the frequency peril.</t>
  </si>
  <si>
    <t>Nil comprehensive deductible</t>
  </si>
  <si>
    <t>Refer above $1m agreed value.</t>
  </si>
  <si>
    <t>Used to buy down premium on hail-exposed risks.</t>
  </si>
  <si>
    <t>Encourages repair over replacement.</t>
  </si>
  <si>
    <t>Offer where GPS recovery is not fitted.</t>
  </si>
  <si>
    <t>Nil where GPS recovery fitted</t>
  </si>
  <si>
    <t>Only with a monitored recovery service on file.</t>
  </si>
  <si>
    <t>10+ scheduled vehicles only.</t>
  </si>
  <si>
    <t>Deductible is deducted from the agreed value.</t>
  </si>
  <si>
    <t>Not available with deductibles below $5,000.</t>
  </si>
  <si>
    <t>Factors are judgement benchmarks anchored so that a $2,500 deductible reads 1.000 in every value band. Read each column vertically: within the $250k - $500k band a $50,000 deductible earns a 30% credit, but in the $10m+ band the same dollar deductible earns only 6% because it is a trivial share of the value - which is why the percentage-of-value options exist for the top of the book. This matrix supersedes the flat deductible table on the Usage and Coverage sheet, which is retained there for reference only and is no longer read by the Rating Engine.</t>
  </si>
  <si>
    <t>USAGE, EXPOSURE AND COVERAGE FACTORS</t>
  </si>
  <si>
    <t>Personal and commercial usage classes, mileage, storage, security, deductible, valuation basis, collection size and liability increased limit factors.</t>
  </si>
  <si>
    <t>TABLE A  -  USAGE CLASS  (PERSONAL AND COMMERCIAL)</t>
  </si>
  <si>
    <t>Standard collector form. Mileage cap endorsement applies</t>
  </si>
  <si>
    <t>Concours, museum, private collection. Transit cover by endorsement</t>
  </si>
  <si>
    <t>Non-competitive road rallies and club runs</t>
  </si>
  <si>
    <t>Business / executive use</t>
  </si>
  <si>
    <t>Insured-driven, commuting or client transport</t>
  </si>
  <si>
    <t>Track day / HPDE (non-competitive)</t>
  </si>
  <si>
    <t>Refer. PD often excluded on-track - confirm form wording</t>
  </si>
  <si>
    <t>Garage liability + dealers open lot. Separate rating basis</t>
  </si>
  <si>
    <t>Refer - senior underwriter. High frequency + renter screening</t>
  </si>
  <si>
    <t>Livery / chauffeur / hire &amp; reward</t>
  </si>
  <si>
    <t>Refer. Federal/state filings may be required</t>
  </si>
  <si>
    <t>Film, TV and promotional use</t>
  </si>
  <si>
    <t>Production certificate + shot-list review required</t>
  </si>
  <si>
    <t>Museum / attraction fleet</t>
  </si>
  <si>
    <t>Predominantly static; transit and event exposure only</t>
  </si>
  <si>
    <t>Auction house / consignment stock</t>
  </si>
  <si>
    <t>Consignment values fluctuate - reporting form recommended</t>
  </si>
  <si>
    <t>Restoration shop / bailee stock</t>
  </si>
  <si>
    <t>Garagekeepers legal liability - separate limit basis</t>
  </si>
  <si>
    <t>Transport / logistics (motor truck cargo)</t>
  </si>
  <si>
    <t>Refer. Cargo legal liability, not physical damage</t>
  </si>
  <si>
    <t>Competition / timed events</t>
  </si>
  <si>
    <t>DECLINE on standard form - specialist racing market only</t>
  </si>
  <si>
    <t>TABLE B  -  ANNUAL MILEAGE</t>
  </si>
  <si>
    <t>5,000 - 7,500</t>
  </si>
  <si>
    <t>7,500 - 10,000</t>
  </si>
  <si>
    <t>10,000 - 15,000</t>
  </si>
  <si>
    <t>TABLE C  -  STORAGE AND GARAGING</t>
  </si>
  <si>
    <t>Storage arrangement</t>
  </si>
  <si>
    <t>Fire suppression + 24hr monitoring evidenced</t>
  </si>
  <si>
    <t>Locked private garage - no alarm</t>
  </si>
  <si>
    <t>Bailee interests to be reviewed</t>
  </si>
  <si>
    <t>Gated community driveway</t>
  </si>
  <si>
    <t>Carport / covered but open</t>
  </si>
  <si>
    <t>Street / unsecured parking</t>
  </si>
  <si>
    <t>DECLINE for class 04-08</t>
  </si>
  <si>
    <t>TABLE D  -  SECURITY AND ANTI-THEFT</t>
  </si>
  <si>
    <t>Best-in-class</t>
  </si>
  <si>
    <t>Factory immobiliser only</t>
  </si>
  <si>
    <t>Aftermarket alarm only</t>
  </si>
  <si>
    <t>Storage conditions become primary control</t>
  </si>
  <si>
    <t>TABLE E  -  PHYSICAL DAMAGE DEDUCTIBLE  (SUPERSEDED - the Rating Engine reads the value-banded matrix on the Deductibles sheet. Reference only.)</t>
  </si>
  <si>
    <t>Factor (reference only)</t>
  </si>
  <si>
    <t>TABLE F  -  VALUATION BASIS</t>
  </si>
  <si>
    <t>Standard for collector risks. Appraisal required over $1m</t>
  </si>
  <si>
    <t>Auto-uplift to 150% of AV on rising-market classes</t>
  </si>
  <si>
    <t>Lesser of stated value / ACV / cost to repair</t>
  </si>
  <si>
    <t>Actual Cash Value</t>
  </si>
  <si>
    <t>Rarely used above $250k - refer</t>
  </si>
  <si>
    <t>TABLE G  -  COLLECTION SIZE CREDIT</t>
  </si>
  <si>
    <t>Vehicles on policy</t>
  </si>
  <si>
    <t>1 vehicle</t>
  </si>
  <si>
    <t>TABLE H  -  LIABILITY INCREASED LIMIT FACTORS</t>
  </si>
  <si>
    <t>Combined single limit</t>
  </si>
  <si>
    <t>$300,000 CSL</t>
  </si>
  <si>
    <t>$500,000 CSL</t>
  </si>
  <si>
    <t>$10,000,000 CSL</t>
  </si>
  <si>
    <t>Usage and mileage are deliberately separated so they do not double count: the usage class describes the NATURE of the exposure and the mileage band describes the AMOUNT of it. Commercial usage classes are shown here for completeness but rental, livery and transport exposures should be rated on a fleet basis with their own liability structure rather than through this personal-lines chain. Increased limit factors are benchmark relativities; where a personal umbrella sits above the motor policy, coordinate the attachment point and confirm the umbrella carrier will follow form over a non-admitted primary.</t>
  </si>
  <si>
    <t>ENDORSEMENTS AND CLASSIC / COLLECTOR CATEGORY RULES</t>
  </si>
  <si>
    <t>The most common endorsements on exotic, luxury and collector motor programmes, with typical premium impact and underwriting rules.</t>
  </si>
  <si>
    <t>SECTION A  -  ENDORSEMENT SCHEDULE</t>
  </si>
  <si>
    <t>Endorsement</t>
  </si>
  <si>
    <t>Typical premium impact</t>
  </si>
  <si>
    <t>Coverage grant</t>
  </si>
  <si>
    <t>Underwriting rules</t>
  </si>
  <si>
    <t>EX-01</t>
  </si>
  <si>
    <t>Agreed Value Settlement</t>
  </si>
  <si>
    <t>Included</t>
  </si>
  <si>
    <t>Total loss settles at the full scheduled agreed value with no depreciation or negotiation.</t>
  </si>
  <si>
    <t>Independent appraisal mandatory at or above $1m agreed value; re-appraisal every 24 months.</t>
  </si>
  <si>
    <t>EX-02</t>
  </si>
  <si>
    <t>Automatic Newly Acquired Vehicle</t>
  </si>
  <si>
    <t>New acquisitions covered automatically for 30 days up to a $500,000 sub-limit.</t>
  </si>
  <si>
    <t>Vehicle must be reported and scheduled within 30 days; sub-limit is not increasable.</t>
  </si>
  <si>
    <t>EX-03</t>
  </si>
  <si>
    <t>Spare Parts, Tools &amp; Automobilia</t>
  </si>
  <si>
    <t>+$50 per $10,000 of limit</t>
  </si>
  <si>
    <t>Scheduled spare parts, period tools, badges, literature and automobilia at the storage location.</t>
  </si>
  <si>
    <t>Items over $25,000 individually scheduled with photographs and valuation.</t>
  </si>
  <si>
    <t>EX-04</t>
  </si>
  <si>
    <t>Appreciation / Inflation Guard</t>
  </si>
  <si>
    <t>+6% of PD premium</t>
  </si>
  <si>
    <t>Pays up to 150% of agreed value on a covered total loss where market value has risen since the last appraisal.</t>
  </si>
  <si>
    <t>Classes 06-09 and 11 only; capped at the most recent comparable-sale evidence.</t>
  </si>
  <si>
    <t>EX-05</t>
  </si>
  <si>
    <t>Diminution in Value</t>
  </si>
  <si>
    <t>+8% of PD premium</t>
  </si>
  <si>
    <t>Pays the post-repair reduction in market value after a covered partial loss.</t>
  </si>
  <si>
    <t>Capped at 20% of agreed value; panel appraiser determination is binding.</t>
  </si>
  <si>
    <t>EX-06</t>
  </si>
  <si>
    <t>Cherished Salvage / Buy-Back</t>
  </si>
  <si>
    <t>+3% of PD premium</t>
  </si>
  <si>
    <t>Insured retains the salvage and the title on a total loss (chassis number preservation).</t>
  </si>
  <si>
    <t>Classes 06-08 with documented provenance; salvage value deduction waived.</t>
  </si>
  <si>
    <t>EX-07</t>
  </si>
  <si>
    <t>Restoration / Build-Up Coverage</t>
  </si>
  <si>
    <t>Reporting-form rated</t>
  </si>
  <si>
    <t>Covers a vehicle under active restoration as its value grows through the build.</t>
  </si>
  <si>
    <t>Monthly declared-value bordereau; builder premises inspected; theft cover conditional on premises security.</t>
  </si>
  <si>
    <t>EX-08</t>
  </si>
  <si>
    <t>Transport &amp; Transit Extension</t>
  </si>
  <si>
    <t>+4% of PD premium</t>
  </si>
  <si>
    <t>Enclosed-carrier road transit including loading and unloading, nationwide.</t>
  </si>
  <si>
    <t>Approved enclosed carriers only; open transport excluded above $250k value.</t>
  </si>
  <si>
    <t>EX-09</t>
  </si>
  <si>
    <t>Worldwide Territory Extension</t>
  </si>
  <si>
    <t>+10% to +25% of PD premium</t>
  </si>
  <si>
    <t>Temporary international use for overseas rallies, tours and concours.</t>
  </si>
  <si>
    <t>Maximum 90 days per trip; itinerary approved in advance; war/confiscation excluded; REFER.</t>
  </si>
  <si>
    <t>EX-10</t>
  </si>
  <si>
    <t>Auto Show / Exhibition Extension</t>
  </si>
  <si>
    <t>Cover at shows, concours and museum loans including overnight display.</t>
  </si>
  <si>
    <t>Organiser security details required for events with values over $10m aggregate.</t>
  </si>
  <si>
    <t>EX-11</t>
  </si>
  <si>
    <t>Track Day PD Buy-Back</t>
  </si>
  <si>
    <t>+35% of PD premium per event-rated basis</t>
  </si>
  <si>
    <t>Buys back the on-track physical damage exclusion for non-timed HPDE days.</t>
  </si>
  <si>
    <t>REFER every case; minimum deductible 5% of agreed value; timed competition never covered.</t>
  </si>
  <si>
    <t>EX-12</t>
  </si>
  <si>
    <t>Trip Interruption / Disabled Vehicle</t>
  </si>
  <si>
    <t>Flat $150</t>
  </si>
  <si>
    <t>Lodging, onward transport and vehicle return after covered breakdown over 100 miles from home.</t>
  </si>
  <si>
    <t>$2,000 per occurrence sub-limit.</t>
  </si>
  <si>
    <t>EX-13</t>
  </si>
  <si>
    <t>Flatbed-Only Roadside &amp; Towing</t>
  </si>
  <si>
    <t>Flat $100</t>
  </si>
  <si>
    <t>Guaranteed flatbed recovery to the nearest marque-approved facility.</t>
  </si>
  <si>
    <t>No wheel-lift or dolly recovery; nationwide network.</t>
  </si>
  <si>
    <t>EX-14</t>
  </si>
  <si>
    <t>OEM / Original Parts Guarantee</t>
  </si>
  <si>
    <t>Repairs completed with OEM or period-correct parts; no aftermarket substitution.</t>
  </si>
  <si>
    <t>Extended cycle-time accepted; betterment not deducted on period-correct parts.</t>
  </si>
  <si>
    <t>EX-15</t>
  </si>
  <si>
    <t>Total Loss Deductible Waiver</t>
  </si>
  <si>
    <t>+2% of PD premium</t>
  </si>
  <si>
    <t>Physical damage deductible waived on a covered total loss.</t>
  </si>
  <si>
    <t>EX-16</t>
  </si>
  <si>
    <t>Full Glass - No Deductible</t>
  </si>
  <si>
    <t>+1.5% of PD premium</t>
  </si>
  <si>
    <t>Glass repair or replacement with no deductible, OEM glass only.</t>
  </si>
  <si>
    <t>EX-17</t>
  </si>
  <si>
    <t>Pair &amp; Set / Collection Value</t>
  </si>
  <si>
    <t>Recognises the loss in value of a documented matched pair or set when one item is lost.</t>
  </si>
  <si>
    <t>Provenance file required; applies to scheduled sets only.</t>
  </si>
  <si>
    <t>EX-18</t>
  </si>
  <si>
    <t>Seasonal Lay-Up (Comprehensive Only)</t>
  </si>
  <si>
    <t>Credit: -15% to -40% of PD premium</t>
  </si>
  <si>
    <t>Suspends collision and liability during declared storage months; comprehensive remains.</t>
  </si>
  <si>
    <t>Midwest / Northeast programmes; vehicle must not be driven during lay-up; date-stamped.</t>
  </si>
  <si>
    <t>EX-19</t>
  </si>
  <si>
    <t>Named Driver Exclusion</t>
  </si>
  <si>
    <t>Credit case-by-case</t>
  </si>
  <si>
    <t>Excludes a named household member from all coverage.</t>
  </si>
  <si>
    <t>Signed state-approved exclusion form; not available in all states.</t>
  </si>
  <si>
    <t>EX-20</t>
  </si>
  <si>
    <t>Storm Evacuation Transport</t>
  </si>
  <si>
    <t>Flat $250</t>
  </si>
  <si>
    <t>Reimburses pre-landfall enclosed transport away from a named-storm cone, up to $10,000.</t>
  </si>
  <si>
    <t>Gulf and Atlantic coastal garaging; invoice required; one movement per storm.</t>
  </si>
  <si>
    <t>EX-21</t>
  </si>
  <si>
    <t>EV Battery &amp; Charging Equipment</t>
  </si>
  <si>
    <t>+5% of PD premium</t>
  </si>
  <si>
    <t>High-voltage battery pack, home wallbox and cables; thermal-event damage.</t>
  </si>
  <si>
    <t>Class 12; manufacturer-certified repairer network only; storage-mode charging protocol warranty.</t>
  </si>
  <si>
    <t>EX-22</t>
  </si>
  <si>
    <t>Garagekeepers Legal Liability</t>
  </si>
  <si>
    <t>Separately rated</t>
  </si>
  <si>
    <t>Bailee cover for customer vehicles in the care of dealers, restorers and storage facilities.</t>
  </si>
  <si>
    <t>Commercial risks only; direct-primary basis recommended for exotic clientele.</t>
  </si>
  <si>
    <t>EX-23</t>
  </si>
  <si>
    <t>Hired &amp; Non-Owned Auto Liability</t>
  </si>
  <si>
    <t>Liability for vehicles hired or borrowed by a commercial insured.</t>
  </si>
  <si>
    <t>Commercial risks only.</t>
  </si>
  <si>
    <t>EX-24</t>
  </si>
  <si>
    <t>Umbrella / Excess Coordination</t>
  </si>
  <si>
    <t>No charge</t>
  </si>
  <si>
    <t>Confirms the policy acts as scheduled underlying insurance for a personal umbrella.</t>
  </si>
  <si>
    <t>Obtain written follow-form confirmation from the umbrella carrier over a non-admitted primary.</t>
  </si>
  <si>
    <t>EX-25</t>
  </si>
  <si>
    <t>Lienholder / Loss Payee &amp; Additional Insured</t>
  </si>
  <si>
    <t>Standard loss payable and additional insured wording for financiers and lessors.</t>
  </si>
  <si>
    <t>Notice-of-cancellation period per lender requirement.</t>
  </si>
  <si>
    <t>SECTION B  -  CLASSIC AND COLLECTOR CATEGORY DEFINITIONS AND ELIGIBILITY</t>
  </si>
  <si>
    <t>Class</t>
  </si>
  <si>
    <t>Model years</t>
  </si>
  <si>
    <t>Eligibility</t>
  </si>
  <si>
    <t>Usage and mileage rules</t>
  </si>
  <si>
    <t>Appraisal and documentation</t>
  </si>
  <si>
    <t>Pre-1946</t>
  </si>
  <si>
    <t>Documented history; matching numbers or documented period-correct restoration</t>
  </si>
  <si>
    <t>Pleasure, exhibition and club events only; max 2,500 miles</t>
  </si>
  <si>
    <t>Appraisal every 24 months; full photographic condition file; provenance dossier</t>
  </si>
  <si>
    <t>1946 - 1972</t>
  </si>
  <si>
    <t>Original, restored or documented period-competition specification</t>
  </si>
  <si>
    <t>Pleasure and club touring; max 5,000 miles</t>
  </si>
  <si>
    <t>Appraisal every 24 months; marque-registry or heritage certification where available</t>
  </si>
  <si>
    <t>1973 - 1999</t>
  </si>
  <si>
    <t>Collector-grade condition; limited-production or landmark models</t>
  </si>
  <si>
    <t>Pleasure use; max 5,000 miles standard, 7,500 by referral</t>
  </si>
  <si>
    <t>Appraisal every 24 months above $500k; service history file</t>
  </si>
  <si>
    <t>2000 - 2010</t>
  </si>
  <si>
    <t>Limited-production, halo or motorsport-derived models</t>
  </si>
  <si>
    <t>Pleasure or regular use; mileage rated per Usage tables</t>
  </si>
  <si>
    <t>Appraisal every 36 months above $500k</t>
  </si>
  <si>
    <t>10 - Competition / Race Car</t>
  </si>
  <si>
    <t>Any year</t>
  </si>
  <si>
    <t>FIA HTP papers, chassis-plate verification or marque race-department documentation</t>
  </si>
  <si>
    <t>Display, demonstration and parade laps only; timed competition excluded absolutely</t>
  </si>
  <si>
    <t>Appraisal every 12 months; storage and transport plan on file</t>
  </si>
  <si>
    <t>Recognised builder; full build documentation and invoicing</t>
  </si>
  <si>
    <t>Per Usage tables</t>
  </si>
  <si>
    <t>Appraisal every 12 months (value volatility); builder invoice as value floor</t>
  </si>
  <si>
    <t>Notes:</t>
  </si>
  <si>
    <t>Premium impacts here are indicative descriptions. Where an endorsement is rateable through a drop-down it appears on the Rating Engine and its factor is on the Deductibles or Sublimits and Parts sheet, Section D - those factors govern. Endorsements EX-22 and EX-23 are commercial coverages with their own rating basis and sit outside the personal-lines premium chain. Wording availability differs by state; the named driver exclusion (EX-19) and fully-earned fees are not permitted everywhere. Section B governs class selection; where a vehicle could sit in two classes, rate in the higher-rated class and refer.</t>
  </si>
  <si>
    <t>SUB-LIMITS AND PARTS / LABOUR PROVISIONS</t>
  </si>
  <si>
    <t>The scheduled vehicle is never sub-limited - that is the product. Sub-limits live on the ancillary grants, on catastrophe accumulation, and on the parts and labour provisions below.</t>
  </si>
  <si>
    <t>SECTION A  -  SCHEDULE OF SUB-LIMITS</t>
  </si>
  <si>
    <t>Item</t>
  </si>
  <si>
    <t>Standard sub-limit</t>
  </si>
  <si>
    <t>Maximum by referral</t>
  </si>
  <si>
    <t>Basis</t>
  </si>
  <si>
    <t>The scheduled vehicle itself</t>
  </si>
  <si>
    <t>NO SUB-LIMIT - full agreed value</t>
  </si>
  <si>
    <t>n/a</t>
  </si>
  <si>
    <t>Agreed value, no depreciation</t>
  </si>
  <si>
    <t>This is the product. Any sub-limit on the scheduled vehicle destroys the proposition and should never be offered on a collector or exotic form.</t>
  </si>
  <si>
    <t>Automatically acquired vehicle</t>
  </si>
  <si>
    <t>$1,000,000 / 60 days</t>
  </si>
  <si>
    <t>Per vehicle</t>
  </si>
  <si>
    <t>Sub-limit is the norm across the whole market. Not increasable without scheduling.</t>
  </si>
  <si>
    <t>Per occurrence, at the scheduled location</t>
  </si>
  <si>
    <t>Personal effects in the vehicle</t>
  </si>
  <si>
    <t>Per occurrence</t>
  </si>
  <si>
    <t>Excludes cash, securities, jewellery and firearms.</t>
  </si>
  <si>
    <t>Trailer / transporter</t>
  </si>
  <si>
    <t>Scheduled item</t>
  </si>
  <si>
    <t>Rate separately if used commercially.</t>
  </si>
  <si>
    <t>$500 per day / $10,000</t>
  </si>
  <si>
    <t>Rarely offered on pre-war and competition classes.</t>
  </si>
  <si>
    <t>Trip interruption (EX-12)</t>
  </si>
  <si>
    <t>$2,000</t>
  </si>
  <si>
    <t>Triggered beyond 100 miles from the garaging address.</t>
  </si>
  <si>
    <t>Transit and transport (EX-08)</t>
  </si>
  <si>
    <t>Full agreed value, enclosed carrier only</t>
  </si>
  <si>
    <t>Per vehicle in transit</t>
  </si>
  <si>
    <t>Open transport sub-limited to $250,000 or excluded above that value.</t>
  </si>
  <si>
    <t>Worldwide territory (EX-09)</t>
  </si>
  <si>
    <t>By referral</t>
  </si>
  <si>
    <t>Per trip</t>
  </si>
  <si>
    <t>War, confiscation, nationalisation and customs seizure excluded.</t>
  </si>
  <si>
    <t>Lesser of agreed value or $2,000,000 per location</t>
  </si>
  <si>
    <t>Per location per occurrence</t>
  </si>
  <si>
    <t>The key cat control alongside the percentage deductible.</t>
  </si>
  <si>
    <t>Earthquake, where granted</t>
  </si>
  <si>
    <t>$1,000,000 per location</t>
  </si>
  <si>
    <t>Usually excluded outright.</t>
  </si>
  <si>
    <t>Wildfire, WUI zones</t>
  </si>
  <si>
    <t>$5,000,000 per location</t>
  </si>
  <si>
    <t>Set below the reinsurance attachment point.</t>
  </si>
  <si>
    <t>Any one storage location - all perils aggregate</t>
  </si>
  <si>
    <t>By referral to the lead syndicate</t>
  </si>
  <si>
    <t>Annual aggregate per location</t>
  </si>
  <si>
    <t>The single most important sub-limit in the whole programme. Collections are the severity path.</t>
  </si>
  <si>
    <t>Diminution in value (EX-05)</t>
  </si>
  <si>
    <t>20% of agreed value</t>
  </si>
  <si>
    <t>25% by referral</t>
  </si>
  <si>
    <t>Panel appraiser determination is binding.</t>
  </si>
  <si>
    <t>Appreciation / inflation guard (EX-04)</t>
  </si>
  <si>
    <t>150% of agreed value</t>
  </si>
  <si>
    <t>Per total loss</t>
  </si>
  <si>
    <t>Requires comparable-sale evidence at the date of loss.</t>
  </si>
  <si>
    <t>$100,000 per vehicle</t>
  </si>
  <si>
    <t>See the parts and labour section below - this is where pre-war claims go wrong.</t>
  </si>
  <si>
    <t>EV high-voltage battery pack (EX-21)</t>
  </si>
  <si>
    <t>Full agreed value; charging equipment $25,000</t>
  </si>
  <si>
    <t>Battery replacement frequently exceeds 50% of vehicle value and triggers the total loss threshold.</t>
  </si>
  <si>
    <t>Emergency storm evacuation transport (EX-20)</t>
  </si>
  <si>
    <t>$10,000 per storm</t>
  </si>
  <si>
    <t>Per storm, per insured</t>
  </si>
  <si>
    <t>One movement per named storm.</t>
  </si>
  <si>
    <t>Garagekeepers legal liability (EX-22)</t>
  </si>
  <si>
    <t>$1,000,000 any one location</t>
  </si>
  <si>
    <t>Per location</t>
  </si>
  <si>
    <t>SECTION B  -  PARTS AND LABOUR PROVISIONS</t>
  </si>
  <si>
    <t>Provision</t>
  </si>
  <si>
    <t>Treatment on a retail exotic / collector form</t>
  </si>
  <si>
    <t>Why it matters</t>
  </si>
  <si>
    <t>Where it differs by market</t>
  </si>
  <si>
    <t>Labour rate</t>
  </si>
  <si>
    <t>NOT capped on retail collector and exotic forms. Marque-specialist labour at the prevailing rate is the point of the product.</t>
  </si>
  <si>
    <t>Capping the labour rate is the fastest way to lose this account at renewal. Where a Lloyd's binder imposes a maximum hourly rate, negotiate it out or disclose it prominently.</t>
  </si>
  <si>
    <t>Commercial, dealer and bailee forms DO commonly cap the hourly rate. Restoration and garagekeepers wordings routinely carry an agreed schedule of rates.</t>
  </si>
  <si>
    <t>OEM / original parts</t>
  </si>
  <si>
    <t>Guaranteed on the retail form (EX-14). No aftermarket or pattern substitution without the insured's written consent.</t>
  </si>
  <si>
    <t>This is a coverage grant, not a sub-limit. Betterment is not deducted on period-correct parts.</t>
  </si>
  <si>
    <t>Standard personal auto forms permit aftermarket parts; specialty forms must not, or the value proposition collapses.</t>
  </si>
  <si>
    <t>Pattern / reproduction parts</t>
  </si>
  <si>
    <t>Permitted only where the OEM part is genuinely unavailable and the insured consents in writing.</t>
  </si>
  <si>
    <t>Document the unavailability. A reproduction part fitted without consent is a bad-faith exposure.</t>
  </si>
  <si>
    <t>Common and accepted on post-war classics where marque registries approve specific reproduction suppliers.</t>
  </si>
  <si>
    <t>Unobtainable / irreplaceable parts</t>
  </si>
  <si>
    <t>SUB-LIMITED. Typically $100,000 per vehicle for fabrication of a part that no longer exists.</t>
  </si>
  <si>
    <t>This is where pre-war and competition claims go wrong. Hand-fabricating a body panel, a casting or a period instrument can cost more than the market value of the whole car. The sub-limit is essential and must be explained at quotation.</t>
  </si>
  <si>
    <t>Universal in the pre-war and competition market. Some forms instead defer to an agreed schedule of fabrication rates.</t>
  </si>
  <si>
    <t>Paint and refinish</t>
  </si>
  <si>
    <t>Not sub-limited on the retail form, but bespoke and multi-stage finishes must be declared at inception.</t>
  </si>
  <si>
    <t>A concours-level refinish on a coachbuilt car can exceed $150,000. Undeclared bespoke finishes are the second most common total-loss dispute.</t>
  </si>
  <si>
    <t>Some markets impose a per-panel or total refinish sub-limit on restomod and coachbuilt classes.</t>
  </si>
  <si>
    <t>EV high-voltage battery</t>
  </si>
  <si>
    <t>Full agreed value, but manufacturer-certified repairer network only (EX-21).</t>
  </si>
  <si>
    <t>Battery replacement commonly exceeds 50% of the vehicle's value on its own, so battery damage usually triggers the total loss threshold rather than a repair. Underwrite it as a severity peril, not a parts peril.</t>
  </si>
  <si>
    <t>Increasingly sub-limited or subject to a certified-network warranty across the market.</t>
  </si>
  <si>
    <t>Repair versus total loss threshold</t>
  </si>
  <si>
    <t>Repair cost exceeding 75% of agreed value entitles the insurer to declare a constructive total loss.</t>
  </si>
  <si>
    <t>This IS functionally a cap on parts and labour, and it is the one that actually bites. Set the threshold explicitly in the wording - 70% to 80% is the market range - and note that carbon monocoque supercars reach it on comparatively light impacts.</t>
  </si>
  <si>
    <t>Universal. The threshold percentage is one of the most negotiated terms in the wording.</t>
  </si>
  <si>
    <t>Betterment / depreciation on parts</t>
  </si>
  <si>
    <t>Not applied on scheduled collector vehicles.</t>
  </si>
  <si>
    <t>Applying betterment on an agreed-value policy is contradictory and will not survive a complaint.</t>
  </si>
  <si>
    <t>Standard auto forms apply betterment to wear items; specialty collector forms should not.</t>
  </si>
  <si>
    <t>Diagnostic, calibration and ADAS recalibration</t>
  </si>
  <si>
    <t>Covered in full; not sub-limited.</t>
  </si>
  <si>
    <t>Modern hypercars require factory-tool recalibration after even minor structural work. Budget for it in the loss cost, not in a sub-limit.</t>
  </si>
  <si>
    <t>Rarely sub-limited but frequently underestimated in reserving.</t>
  </si>
  <si>
    <t>Storage and transport during repair</t>
  </si>
  <si>
    <t>Covered up to 180 days; $25,000 sub-limit.</t>
  </si>
  <si>
    <t>Marque-specialist backlogs of 6 to 12 months are routine. This sub-limit is genuinely tested.</t>
  </si>
  <si>
    <t>Common sub-limit across the market.</t>
  </si>
  <si>
    <t>SECTION C  -  HOW SUB-LIMITS INTERACT WITH AGREED VALUE</t>
  </si>
  <si>
    <t>-  The agreed value is the settlement basis for the scheduled vehicle and is never reduced by a sub-limit. Every sub-limit in Section A sits OUTSIDE that figure, on ancillary property or on an accumulation control.</t>
  </si>
  <si>
    <t>-  The one provision that does function as a cap on the vehicle itself is the repair-versus-total-loss threshold. Once repair cost passes the stated percentage of agreed value, the insurer may declare a constructive total loss and settle at agreed value less salvage - so parts and labour are effectively capped at that percentage, not at a stated dollar figure.</t>
  </si>
  <si>
    <t>-  Unobtainable-parts fabrication is the exception that catches people out. On pre-war and competition cars the fabrication of a single missing casting or body panel can exceed the agreed value of the entire car, so it carries a hard dollar sub-limit that must be explained at quotation rather than discovered at claim.</t>
  </si>
  <si>
    <t>-  Catastrophe sub-limits are per LOCATION, not per vehicle. A collection in one building shares one aggregate. This is the sub-limit that protects the programme, and it is the one most likely to be tested.</t>
  </si>
  <si>
    <t>-  Never allow a sub-limit to be quoted verbally without the schedule attached. The commonest complaint in this class is an insured who believed agreed value meant everything was covered in full.</t>
  </si>
  <si>
    <t>SECTION D  -  RATEABLE SUB-LIMIT SELECTIONS  (drop-downs on the Rating Engine)</t>
  </si>
  <si>
    <t>$250,000 / 30 days</t>
  </si>
  <si>
    <t>Market standard default.</t>
  </si>
  <si>
    <t>$2,000,000 / 60 days</t>
  </si>
  <si>
    <t>Refer.</t>
  </si>
  <si>
    <t>Individual scheduling required.</t>
  </si>
  <si>
    <t>Common on pre-war and competition classes.</t>
  </si>
  <si>
    <t>Worldwide marine transit included</t>
  </si>
  <si>
    <t>Refer - coordinate with ocean marine cover.</t>
  </si>
  <si>
    <t>Full agreed value / 90 days</t>
  </si>
  <si>
    <t>Full agreed value / 180 days</t>
  </si>
  <si>
    <t>Refer - senior underwriter.</t>
  </si>
  <si>
    <t>Pre-war and competition classes.</t>
  </si>
  <si>
    <t>$500,000</t>
  </si>
  <si>
    <t>Refer - fabrication schedule required.</t>
  </si>
  <si>
    <t>25% of agreed value</t>
  </si>
  <si>
    <t>Tightest accumulation control.</t>
  </si>
  <si>
    <t>Default - must sit below the reinsurance attachment point.</t>
  </si>
  <si>
    <t>Refer to the lead syndicate.</t>
  </si>
  <si>
    <t>$50,000,000</t>
  </si>
  <si>
    <t>Unlimited - no location aggregate</t>
  </si>
  <si>
    <t>REFER. Removes the programme's principal cat control.</t>
  </si>
  <si>
    <t>Sub-limit amounts are market-typical starting points, not quoted terms, and they vary materially between carriers and between retail and Lloyd's binder wordings. Confirm every figure against the actual policy form before it is used in a quotation, and confirm with the lead syndicate that the per-location aggregate sub-limit sits below the reinsurance attachment point on the Natural Catastrophe sheet.</t>
  </si>
  <si>
    <t>TECHNICAL PREMIUM  -  LOADINGS AND MATRIX</t>
  </si>
  <si>
    <t>Expense and profit loadings, the gross-up divisor, and the resulting technical premium by vehicle class and agreed value band.</t>
  </si>
  <si>
    <t>SECTION A  -  LOADING ASSUMPTIONS</t>
  </si>
  <si>
    <t>ALAE load (% of expected loss)</t>
  </si>
  <si>
    <t>Allocated loss adjustment expense: appraisers, marque specialists, salvage, legal defence.</t>
  </si>
  <si>
    <t>ULAE load (% of loss &amp; ALAE)</t>
  </si>
  <si>
    <t>Unallocated loss adjustment expense: claims handling / TPA overhead.</t>
  </si>
  <si>
    <t>Severity volatility in a low-frequency, very-high-severity class. Raise for hypercar-weighted portfolios.</t>
  </si>
  <si>
    <t>Target underwriting profit</t>
  </si>
  <si>
    <t>Capacity provider's required margin. Negotiated with the syndicate.</t>
  </si>
  <si>
    <t>Reinsurance net cost</t>
  </si>
  <si>
    <t>Net cost of the excess of loss / cat programme protecting the binder.</t>
  </si>
  <si>
    <t>Policy administration and TPA</t>
  </si>
  <si>
    <t>Policy admin system, bordereaux production, TPA fee not recovered through ULAE.</t>
  </si>
  <si>
    <t>Total acquisition commission</t>
  </si>
  <si>
    <t>Linked from Commission Structure - total ceding commission allowed by capacity.</t>
  </si>
  <si>
    <t>Total expense and profit ratio</t>
  </si>
  <si>
    <t>Sum of target profit, reinsurance, admin and acquisition. ALAE and ULAE are loaded onto loss, not here.</t>
  </si>
  <si>
    <t>GROSS-UP DIVISOR  (1 - total ratio)</t>
  </si>
  <si>
    <t>Pure risk premium is divided by this to produce the technical premium.</t>
  </si>
  <si>
    <t>Policy fee (fully earned)</t>
  </si>
  <si>
    <t>Charged in addition to premium. Fully earned at inception, subject to state rules.</t>
  </si>
  <si>
    <t>Inspection / appraisal fee (AV &gt;= $1m)</t>
  </si>
  <si>
    <t>Independent appraisal mandatory above USD 1m agreed value.</t>
  </si>
  <si>
    <t>Automatic bind limit - agreed value</t>
  </si>
  <si>
    <t>Risks at or above this value are referred to a senior underwriter regardless of score. Minimum acceptable agreed value for the programme is $100,000.</t>
  </si>
  <si>
    <t>Maximum composite rating factor (cap)</t>
  </si>
  <si>
    <t>Caps the multiplicative factor chain. Without a cap, a chain of 13 factors compounds implausibly in the tails - a Las Vegas rental supercar reaches 7.6x uncapped. Any risk hitting the cap is referred and should be individually rated.</t>
  </si>
  <si>
    <t>Minimum acceptable agreed value</t>
  </si>
  <si>
    <t>Programme eligibility floor. A risk below this value is automatically declined rather than rated.</t>
  </si>
  <si>
    <t>Underwriter discount authority (max % below technical)</t>
  </si>
  <si>
    <t>HARD AUTHORITY LIMIT. A risk priced more than this far below technical premium is automatically referred - the underwriter cannot bind it alone. Enter as a negative number.</t>
  </si>
  <si>
    <t>Underwriter load authority (max % above technical)</t>
  </si>
  <si>
    <t>Loading well above technical is not a solvency risk but is a conduct and treating-customers-fairly question. Beyond this, refer.</t>
  </si>
  <si>
    <t>SECTION B  -  BENCHMARK ASSUMPTIONS FOR THE MATRIX BELOW</t>
  </si>
  <si>
    <t>Benchmark composite risk factor</t>
  </si>
  <si>
    <t>Product of all 13 rating factors for the benchmark risk. 1.000 = neutral driver, territory, usage and coverage.</t>
  </si>
  <si>
    <t>Benchmark liability loss cost ($)</t>
  </si>
  <si>
    <t>State liability base loss cost x increased limit factor for the benchmark risk.</t>
  </si>
  <si>
    <t>Benchmark catastrophe load</t>
  </si>
  <si>
    <t>Portfolio-average cat load. Florida, Louisiana and Texas run materially higher.</t>
  </si>
  <si>
    <t>Benchmark agreed value used</t>
  </si>
  <si>
    <t>SECTION C  -  TECHNICAL PREMIUM MATRIX  ($ per vehicle, per annum, at benchmark assumptions)</t>
  </si>
  <si>
    <t>SECTION D  -  TECHNICAL RATE PER USD 100 OF AGREED VALUE</t>
  </si>
  <si>
    <t>The matrix is a rate-adequacy reference, not a quote. It assumes a neutral composite risk factor of 1.000, a portfolio-average catastrophe load and a single benchmark liability loss cost. A real quote is produced on the Rating Engine sheet, where the composite factor typically ranges from about 0.35 for a static pre-war collection in Vermont to over 4.00 for a rental-fleet supercar in Miami. Section D is the useful management metric: it lets you compare rate adequacy across classes on a like-for-like basis and track rate change over time independent of mix.</t>
  </si>
  <si>
    <t>COMMISSION, FEE AND MGA ECONOMICS</t>
  </si>
  <si>
    <t>Ceding commission from capacity, broker splits, MGA retained commission, profit commission and an illustrative MGA operating model.</t>
  </si>
  <si>
    <t>SECTION A  -  COMMISSION WATERFALL  (% OF GROSS WRITTEN PREMIUM)</t>
  </si>
  <si>
    <t>Total ceding commission allowed by capacity</t>
  </si>
  <si>
    <t>Negotiated with the lead syndicate. Market range for a delegated specialty motor binder is typically 25% - 30%.</t>
  </si>
  <si>
    <t xml:space="preserve">  Retail / producing broker commission</t>
  </si>
  <si>
    <t>Paid by the MGA to the producing retail agent.</t>
  </si>
  <si>
    <t xml:space="preserve">  Wholesale / surplus lines broker commission</t>
  </si>
  <si>
    <t>Set to zero where the MGA writes direct or holds its own surplus lines licence.</t>
  </si>
  <si>
    <t>The MGA's core revenue line. Must cover all operating cost plus margin.</t>
  </si>
  <si>
    <t>Net premium ceded to capacity</t>
  </si>
  <si>
    <t>Premium reaching the syndicate, out of which it pays Lloyd's brokerage, central fund, members' costs and reinsurance.</t>
  </si>
  <si>
    <t>SECTION B  -  PROFIT COMMISSION</t>
  </si>
  <si>
    <t>Profit commission share to MGA</t>
  </si>
  <si>
    <t>Share of the underwriting profit returned to the MGA once the hurdle is met.</t>
  </si>
  <si>
    <t>Net loss ratio hurdle</t>
  </si>
  <si>
    <t>Profit commission accrues only below this net loss ratio.</t>
  </si>
  <si>
    <t>Syndicate expense allowance</t>
  </si>
  <si>
    <t>Deducted before the profit commission calculation.</t>
  </si>
  <si>
    <t>Deficit carry-forward (years)</t>
  </si>
  <si>
    <t>Prior-year deficits offset before profit commission is released.</t>
  </si>
  <si>
    <t>SECTION C  -  FEES AND TAXES  (CHARGED IN ADDITION TO PREMIUM)</t>
  </si>
  <si>
    <t>Fully earned at inception where state law permits.</t>
  </si>
  <si>
    <t>Independent marque-specialist appraisal.</t>
  </si>
  <si>
    <t>By state</t>
  </si>
  <si>
    <t>State specific - see column K of the Territory Factors sheet. Applied to premium plus fees in most states.</t>
  </si>
  <si>
    <t>Stamping fee</t>
  </si>
  <si>
    <t>Stamping office fee where applicable. Verify current rate by state.</t>
  </si>
  <si>
    <t>SECTION D  -  ILLUSTRATIVE MGA OPERATING MODEL</t>
  </si>
  <si>
    <t>Gross written premium (input)</t>
  </si>
  <si>
    <t>Average premium per policy (input)</t>
  </si>
  <si>
    <t>Policy count</t>
  </si>
  <si>
    <t>Projected net loss ratio (input)</t>
  </si>
  <si>
    <t>Line item</t>
  </si>
  <si>
    <t>Gross written premium</t>
  </si>
  <si>
    <t>Binder GWP.</t>
  </si>
  <si>
    <t>Total commission income from capacity</t>
  </si>
  <si>
    <t>Ceding commission.</t>
  </si>
  <si>
    <t>less: retail broker commission</t>
  </si>
  <si>
    <t>Paid away to producing agents.</t>
  </si>
  <si>
    <t>less: wholesale broker commission</t>
  </si>
  <si>
    <t>Paid away to wholesale / surplus lines brokers.</t>
  </si>
  <si>
    <t>MGA net commission income</t>
  </si>
  <si>
    <t>Core revenue.</t>
  </si>
  <si>
    <t>Policy and inspection fee income</t>
  </si>
  <si>
    <t>Assumes 25% of policies attract the inspection fee.</t>
  </si>
  <si>
    <t>Profit commission (accrued)</t>
  </si>
  <si>
    <t>Accrued only; typically settled 24-36 months after year of account close.</t>
  </si>
  <si>
    <t>TOTAL MGA REVENUE</t>
  </si>
  <si>
    <t>Underwriting and actuarial staff</t>
  </si>
  <si>
    <t>Underwriters, technicians, pricing support.</t>
  </si>
  <si>
    <t>Claims handling / TPA</t>
  </si>
  <si>
    <t>Net of any ULAE recovery.</t>
  </si>
  <si>
    <t>Technology and policy administration</t>
  </si>
  <si>
    <t>Policy admin system, rating engine, bordereaux automation.</t>
  </si>
  <si>
    <t>Errors &amp; omissions / professional indemnity</t>
  </si>
  <si>
    <t>Coverholder E&amp;O.</t>
  </si>
  <si>
    <t>Compliance, licensing, Lloyd's audit</t>
  </si>
  <si>
    <t>Coverholder approval, annual audit, surplus lines filings in every state.</t>
  </si>
  <si>
    <t>Rent, travel, marketing, general overhead</t>
  </si>
  <si>
    <t>TOTAL OPERATING EXPENSE</t>
  </si>
  <si>
    <t>EBITDA</t>
  </si>
  <si>
    <t>EBITDA margin (% of total revenue)</t>
  </si>
  <si>
    <t>Commission levels, expense ratios and the profit commission formula are illustrative and must be replaced with the terms actually agreed in your binding authority agreement. The profit commission line is a simplified accrual: real binder wordings define the calculation precisely, usually on a year-of-account basis with a deficit carry-forward, and settle long after the year closes - do not treat it as cash. Expense ratios are expressed as a percentage of GWP, which flatters a small book: at USD 10m GWP a specialty MGA of this type will realistically run a higher fixed-cost base than the percentages here imply until it scales past USD 25m - 30m.</t>
  </si>
  <si>
    <t>LLOYD'S OF LONDON  -  TARGET CAPACITY PANEL</t>
  </si>
  <si>
    <t>Ten syndicates for a delegated authority placement. ALL TERMS BELOW ARE ILLUSTRATIVE PLACEHOLDERS FOR MODELLING ONLY - actual appetite and terms are negotiated with each managing agent.</t>
  </si>
  <si>
    <t>Syndicate</t>
  </si>
  <si>
    <t>Managing agent</t>
  </si>
  <si>
    <t>Class focus / appetite</t>
  </si>
  <si>
    <t>Max line ($m)</t>
  </si>
  <si>
    <t>Target share (%)</t>
  </si>
  <si>
    <t>Delegation type</t>
  </si>
  <si>
    <t>Total commission</t>
  </si>
  <si>
    <t>Profit commission</t>
  </si>
  <si>
    <t>Net LR hurdle</t>
  </si>
  <si>
    <t>Min premium ($)</t>
  </si>
  <si>
    <t>2623 / 623</t>
  </si>
  <si>
    <t>Beazley Furlonge Ltd</t>
  </si>
  <si>
    <t>Lead</t>
  </si>
  <si>
    <t>Specialty / HNW personal lines, fine art &amp; collections</t>
  </si>
  <si>
    <t>Binding Authority (Coverholder)</t>
  </si>
  <si>
    <t>Strong HNW &amp; collections appetite; cross-sell with fine art and specie.</t>
  </si>
  <si>
    <t>33</t>
  </si>
  <si>
    <t>Hiscox Syndicates Ltd</t>
  </si>
  <si>
    <t>HNW household, fine art, classic &amp; collector motor</t>
  </si>
  <si>
    <t>Natural home for collector motor alongside HNW household.</t>
  </si>
  <si>
    <t>1084</t>
  </si>
  <si>
    <t>Chaucer Syndicates Ltd</t>
  </si>
  <si>
    <t>Lead / Follow</t>
  </si>
  <si>
    <t>Motor, specialty casualty, nuclear &amp; political risk</t>
  </si>
  <si>
    <t>One of the few Lloyd's syndicates with a dedicated motor account.</t>
  </si>
  <si>
    <t>4020</t>
  </si>
  <si>
    <t>Ark Syndicate Management Ltd</t>
  </si>
  <si>
    <t>Follow</t>
  </si>
  <si>
    <t>Specialty property, accident &amp; health, binders</t>
  </si>
  <si>
    <t>Active binder market; supportive of new coverholder ventures.</t>
  </si>
  <si>
    <t>2987</t>
  </si>
  <si>
    <t>Brit Syndicates Ltd</t>
  </si>
  <si>
    <t>Property, specialty, US E&amp;S binders</t>
  </si>
  <si>
    <t>Large US E&amp;S binder book; strong delegated-authority infrastructure.</t>
  </si>
  <si>
    <t>4444</t>
  </si>
  <si>
    <t>Canopius Managing Agents Ltd</t>
  </si>
  <si>
    <t>Property, specialty lines, delegated authority</t>
  </si>
  <si>
    <t>Delegated-authority focus; will consider start-up MGAs with track record.</t>
  </si>
  <si>
    <t>1969</t>
  </si>
  <si>
    <t>Apollo Syndicate Management Ltd</t>
  </si>
  <si>
    <t>Follow / Innovation</t>
  </si>
  <si>
    <t>Specialty, ibott innovation, non-standard risk</t>
  </si>
  <si>
    <t>Binding Authority / Consortium</t>
  </si>
  <si>
    <t>ibott 1971 innovation cell - relevant for new/atypical exposures such as EV hypercars.</t>
  </si>
  <si>
    <t>1274</t>
  </si>
  <si>
    <t>Antares Managing Agency Ltd</t>
  </si>
  <si>
    <t>Specialty property, marine, fine art &amp; specie</t>
  </si>
  <si>
    <t>Fine art &amp; specie synergy for static-display and museum collections.</t>
  </si>
  <si>
    <t>2001</t>
  </si>
  <si>
    <t>MS Amlin Underwriting Ltd</t>
  </si>
  <si>
    <t>Property, marine, reinsurance, specialty binders</t>
  </si>
  <si>
    <t>Large capacity; typically requires demonstrated loss history before increasing line.</t>
  </si>
  <si>
    <t>1414</t>
  </si>
  <si>
    <t>Ascot Underwriting Ltd</t>
  </si>
  <si>
    <t>Property, specialty, US E&amp;S</t>
  </si>
  <si>
    <t>Strong US E&amp;S platform (Ascot US) for domestic fronting alternatives.</t>
  </si>
  <si>
    <t>PANEL TOTAL</t>
  </si>
  <si>
    <t>Share-weighted average commission -&gt;</t>
  </si>
  <si>
    <t>Panel must total 100% signed share. Adjust target shares until row above reads 100.0%.</t>
  </si>
  <si>
    <t>ALTERNATE / SECOND-TIER MARKETS</t>
  </si>
  <si>
    <t>Focus</t>
  </si>
  <si>
    <t>Tokio Marine Kiln</t>
  </si>
  <si>
    <t>Specialty property &amp; binders</t>
  </si>
  <si>
    <t>Atrium Underwriters</t>
  </si>
  <si>
    <t>Specialty, marine, binders</t>
  </si>
  <si>
    <t>1301</t>
  </si>
  <si>
    <t>Inigo Ltd</t>
  </si>
  <si>
    <t>Specialty property &amp; casualty</t>
  </si>
  <si>
    <t>QBE Underwriting Ltd</t>
  </si>
  <si>
    <t>Property, specialty, binders</t>
  </si>
  <si>
    <t>Munich Re Syndicate Ltd</t>
  </si>
  <si>
    <t>Specialty &amp; delegated authority</t>
  </si>
  <si>
    <t>2010</t>
  </si>
  <si>
    <t>Lancashire Syndicates Ltd</t>
  </si>
  <si>
    <t>Property, energy, specialty</t>
  </si>
  <si>
    <t>PLACEMENT AND COVERHOLDER CHECKLIST</t>
  </si>
  <si>
    <t>1.  Appoint a Lloyd's registered broker. An MGA cannot approach syndicates directly for a binding authority - the placement must go through an accredited Lloyd's broker.</t>
  </si>
  <si>
    <t>2.  Obtain Lloyd's coverholder approval before any authority is delegated. Expect scrutiny of the business plan, the underwriting team's CVs, systems, complaints handling, sanctions screening and financial standing.</t>
  </si>
  <si>
    <t>3.  Confirm each syndicate's current motor / specialty personal lines appetite for the year of account. Motor is a small class at Lloyd's and appetite moves year to year.</t>
  </si>
  <si>
    <t>4.  Agree the binding authority wording (LMA form), including the underwriting guidelines, referral matrix, limits of authority, claims authority and the bordereaux reporting standard (Lloyd's Coverholder Reporting Standards v5.2 or later).</t>
  </si>
  <si>
    <t>5.  Confirm Lloyd's surplus lines eligibility and trust fund arrangements in every state you intend to write, and whether personal lines can be exported in that state or requires an admitted front.</t>
  </si>
  <si>
    <t>6.  Establish the surplus lines filing and tax process - either in-house licensed surplus lines brokers or an external filing service - before the first policy is bound.</t>
  </si>
  <si>
    <t>7.  Arrange coverholder errors &amp; omissions cover, and confirm the syndicates' requirements for a fidelity / crime bond.</t>
  </si>
  <si>
    <t>8.  Agree the claims protocol: syndicate-appointed adjusters, delegated claims authority limits, and the marque-specialist appraiser panel. Total-loss settlement on agreed-value collector risks is the single largest reputational exposure.</t>
  </si>
  <si>
    <t>9.  Build the aggregate management process before binding: catastrophe accumulation by ZIP for the Gulf and Atlantic coasts, wildfire aggregate for California, and single-location accumulation for collections and storage facilities.</t>
  </si>
  <si>
    <t>Syndicate numbers and managing agent names are real Lloyd's entities. Their stated role, line size, target share, commission, profit commission, loss ratio hurdle and minimum premium in this sheet are NOT quoted terms - they are placeholders chosen to make the placement model work, and each syndicate's class focus is described in general terms only. Do not present this panel to a broker or investor as an indication of available capacity. Approach the market through your Lloyd's broker and replace every figure here with the terms actually offered.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</si>
</sst>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
    <numFmt numFmtId="165" formatCode="\$0.00"/>
    <numFmt numFmtId="166" formatCode="\$#,##0;&quot;($&quot;#,##0\);\-"/>
    <numFmt numFmtId="167" formatCode="0.0%"/>
    <numFmt numFmtId="168" formatCode="dd\-mmm\-yyyy"/>
    <numFmt numFmtId="169" formatCode="0.0%;\(0.0%\);\-"/>
    <numFmt numFmtId="170" formatCode="0.000"/>
    <numFmt numFmtId="171" formatCode="\$#,##0.0000"/>
    <numFmt numFmtId="172" formatCode="\+0.0%;\-0.0%;0.0%"/>
    <numFmt numFmtId="173" formatCode="mmm\-yyyy"/>
    <numFmt numFmtId="174" formatCode="0.00%;\(0.00%\);\-"/>
    <numFmt numFmtId="175" formatCode="\$#,##0.0\m"/>
  </numFmts>
  <fonts count="27" x14ac:knownFonts="1">
    <font>
      <sz val="11"/>
      <color theme="1"/>
      <name val="Calibri"/>
      <family val="2"/>
      <charset val="1"/>
    </font>
    <font>
      <b/>
      <sz val="14"/>
      <color rgb="FFFFFFFF"/>
      <name val="Arial"/>
      <charset val="1"/>
    </font>
    <font>
      <i/>
      <sz val="9"/>
      <color rgb="FFFFFFFF"/>
      <name val="Arial"/>
      <charset val="1"/>
    </font>
    <font>
      <b/>
      <sz val="11"/>
      <color rgb="FFFFFFFF"/>
      <name val="Arial"/>
      <charset val="1"/>
    </font>
    <font>
      <b/>
      <sz val="10"/>
      <name val="Arial"/>
      <charset val="1"/>
    </font>
    <font>
      <sz val="9"/>
      <name val="Arial"/>
      <charset val="1"/>
    </font>
    <font>
      <sz val="10"/>
      <color rgb="FF0000FF"/>
      <name val="Arial"/>
      <charset val="1"/>
    </font>
    <font>
      <sz val="10"/>
      <color rgb="FF008000"/>
      <name val="Arial"/>
      <charset val="1"/>
    </font>
    <font>
      <i/>
      <sz val="9"/>
      <color rgb="FF595959"/>
      <name val="Arial"/>
      <charset val="1"/>
    </font>
    <font>
      <b/>
      <sz val="9"/>
      <color rgb="FFFFFFFF"/>
      <name val="Arial"/>
      <charset val="1"/>
    </font>
    <font>
      <b/>
      <sz val="11"/>
      <color rgb="FF1F3864"/>
      <name val="Arial"/>
      <charset val="1"/>
    </font>
    <font>
      <b/>
      <sz val="11"/>
      <color rgb="FF008000"/>
      <name val="Arial"/>
      <charset val="1"/>
    </font>
    <font>
      <sz val="10"/>
      <name val="Arial"/>
      <charset val="1"/>
    </font>
    <font>
      <b/>
      <i/>
      <sz val="9"/>
      <color rgb="FFC00000"/>
      <name val="Arial"/>
      <charset val="1"/>
    </font>
    <font>
      <b/>
      <sz val="10"/>
      <color rgb="FF1F3864"/>
      <name val="Arial"/>
      <charset val="1"/>
    </font>
    <font>
      <b/>
      <sz val="12"/>
      <color rgb="FF1F3864"/>
      <name val="Arial"/>
      <charset val="1"/>
    </font>
    <font>
      <b/>
      <sz val="9"/>
      <color rgb="FF008000"/>
      <name val="Arial"/>
      <charset val="1"/>
    </font>
    <font>
      <b/>
      <sz val="10"/>
      <color rgb="FF008000"/>
      <name val="Arial"/>
      <charset val="1"/>
    </font>
    <font>
      <sz val="8"/>
      <color rgb="FF0000FF"/>
      <name val="Arial"/>
      <charset val="1"/>
    </font>
    <font>
      <sz val="8"/>
      <name val="Arial"/>
      <charset val="1"/>
    </font>
    <font>
      <b/>
      <sz val="8"/>
      <color rgb="FF1F3864"/>
      <name val="Arial"/>
      <charset val="1"/>
    </font>
    <font>
      <b/>
      <sz val="10"/>
      <color rgb="FFC00000"/>
      <name val="Arial"/>
      <charset val="1"/>
    </font>
    <font>
      <b/>
      <sz val="8"/>
      <name val="Arial"/>
      <charset val="1"/>
    </font>
    <font>
      <i/>
      <sz val="8"/>
      <color rgb="FF808080"/>
      <name val="Arial"/>
      <charset val="1"/>
    </font>
    <font>
      <sz val="8"/>
      <color rgb="FF808080"/>
      <name val="Arial"/>
      <charset val="1"/>
    </font>
    <font>
      <b/>
      <sz val="9"/>
      <name val="Arial"/>
      <charset val="1"/>
    </font>
    <font>
      <b/>
      <sz val="9"/>
      <color rgb="FFC00000"/>
      <name val="Arial"/>
      <charset val="1"/>
    </font>
  </fonts>
  <fills count="8">
    <fill>
      <patternFill patternType="none"/>
    </fill>
    <fill>
      <patternFill patternType="gray125"/>
    </fill>
    <fill>
      <patternFill patternType="solid">
        <fgColor rgb="FF1F3864"/>
        <bgColor rgb="FF333333"/>
      </patternFill>
    </fill>
    <fill>
      <patternFill patternType="solid">
        <fgColor rgb="FF2E5A88"/>
        <bgColor rgb="FF595959"/>
      </patternFill>
    </fill>
    <fill>
      <patternFill patternType="solid">
        <fgColor rgb="FFFFF2CC"/>
        <bgColor rgb="FFEDEDED"/>
      </patternFill>
    </fill>
    <fill>
      <patternFill patternType="solid">
        <fgColor rgb="FFF2F5FA"/>
        <bgColor rgb="FFEDEDED"/>
      </patternFill>
    </fill>
    <fill>
      <patternFill patternType="solid">
        <fgColor rgb="FFD9E2F3"/>
        <bgColor rgb="FFD9D9D9"/>
      </patternFill>
    </fill>
    <fill>
      <patternFill patternType="solid">
        <fgColor rgb="FFEDEDED"/>
        <bgColor rgb="FFF2F5FA"/>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medium">
        <color rgb="FF1F3864"/>
      </top>
      <bottom style="thin">
        <color rgb="FFBFBFBF"/>
      </bottom>
      <diagonal/>
    </border>
  </borders>
  <cellStyleXfs count="1">
    <xf numFmtId="0" fontId="0" fillId="0" borderId="0"/>
  </cellStyleXfs>
  <cellXfs count="217">
    <xf numFmtId="0" fontId="0" fillId="0" borderId="0" xfId="0"/>
    <xf numFmtId="0" fontId="5" fillId="0" borderId="1" xfId="0" applyFont="1" applyBorder="1" applyAlignment="1">
      <alignment vertical="top" wrapText="1"/>
    </xf>
    <xf numFmtId="170" fontId="6" fillId="4" borderId="1" xfId="0" applyNumberFormat="1" applyFont="1" applyFill="1" applyBorder="1" applyAlignment="1">
      <alignment horizontal="center"/>
    </xf>
    <xf numFmtId="0" fontId="8" fillId="0" borderId="0" xfId="0" applyFont="1"/>
    <xf numFmtId="0" fontId="9" fillId="3" borderId="0" xfId="0" applyFont="1" applyFill="1" applyAlignment="1">
      <alignment horizontal="center"/>
    </xf>
    <xf numFmtId="0" fontId="17" fillId="6" borderId="0" xfId="0" applyFont="1" applyFill="1"/>
    <xf numFmtId="0" fontId="5" fillId="6" borderId="1" xfId="0" applyFont="1" applyFill="1" applyBorder="1"/>
    <xf numFmtId="0" fontId="5" fillId="0" borderId="1" xfId="0" applyFont="1" applyBorder="1"/>
    <xf numFmtId="0" fontId="5" fillId="5" borderId="1" xfId="0" applyFont="1" applyFill="1" applyBorder="1" applyAlignment="1">
      <alignment vertical="center" wrapText="1"/>
    </xf>
    <xf numFmtId="0" fontId="5" fillId="0" borderId="1" xfId="0" applyFont="1" applyBorder="1" applyAlignment="1">
      <alignment vertical="center" wrapText="1"/>
    </xf>
    <xf numFmtId="0" fontId="8" fillId="0" borderId="0" xfId="0" applyFont="1" applyAlignment="1">
      <alignment vertical="top" wrapText="1"/>
    </xf>
    <xf numFmtId="0" fontId="5" fillId="0" borderId="0" xfId="0" applyFont="1"/>
    <xf numFmtId="0" fontId="3" fillId="3" borderId="0" xfId="0" applyFont="1" applyFill="1"/>
    <xf numFmtId="0" fontId="2" fillId="2" borderId="0" xfId="0" applyFont="1" applyFill="1"/>
    <xf numFmtId="0" fontId="1" fillId="2" borderId="0" xfId="0" applyFont="1" applyFill="1" applyAlignment="1">
      <alignment vertical="center"/>
    </xf>
    <xf numFmtId="0" fontId="4" fillId="0" borderId="0" xfId="0" applyFont="1"/>
    <xf numFmtId="0" fontId="5" fillId="0" borderId="0" xfId="0" applyFont="1" applyAlignment="1">
      <alignment vertical="top" wrapText="1"/>
    </xf>
    <xf numFmtId="0" fontId="6" fillId="4" borderId="1" xfId="0" applyFont="1" applyFill="1" applyBorder="1"/>
    <xf numFmtId="0" fontId="5" fillId="0" borderId="0" xfId="0" applyFont="1"/>
    <xf numFmtId="0" fontId="6" fillId="0" borderId="1" xfId="0" applyFont="1" applyBorder="1"/>
    <xf numFmtId="0" fontId="4" fillId="0" borderId="1" xfId="0" applyFont="1" applyBorder="1"/>
    <xf numFmtId="0" fontId="7" fillId="0" borderId="1" xfId="0" applyFont="1" applyBorder="1"/>
    <xf numFmtId="0" fontId="9" fillId="3" borderId="1" xfId="0" applyFont="1" applyFill="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vertical="center" wrapText="1"/>
    </xf>
    <xf numFmtId="0" fontId="4" fillId="5" borderId="1" xfId="0" applyFont="1" applyFill="1" applyBorder="1" applyAlignment="1">
      <alignment vertical="center" wrapText="1"/>
    </xf>
    <xf numFmtId="0" fontId="5" fillId="5" borderId="1" xfId="0" applyFont="1" applyFill="1" applyBorder="1" applyAlignment="1">
      <alignment vertical="center" wrapText="1"/>
    </xf>
    <xf numFmtId="0" fontId="5" fillId="0" borderId="1" xfId="0" applyFont="1" applyBorder="1"/>
    <xf numFmtId="164" fontId="7" fillId="0" borderId="1" xfId="0" applyNumberFormat="1" applyFont="1" applyBorder="1" applyAlignment="1">
      <alignment horizontal="center"/>
    </xf>
    <xf numFmtId="0" fontId="0" fillId="0" borderId="1" xfId="0" applyBorder="1"/>
    <xf numFmtId="165" fontId="7" fillId="0" borderId="1" xfId="0" applyNumberFormat="1" applyFont="1" applyBorder="1" applyAlignment="1">
      <alignment horizontal="center"/>
    </xf>
    <xf numFmtId="166" fontId="7" fillId="0" borderId="1" xfId="0" applyNumberFormat="1" applyFont="1" applyBorder="1" applyAlignment="1">
      <alignment horizontal="center"/>
    </xf>
    <xf numFmtId="0" fontId="10" fillId="6" borderId="1" xfId="0" applyFont="1" applyFill="1" applyBorder="1"/>
    <xf numFmtId="165" fontId="11" fillId="6" borderId="1" xfId="0" applyNumberFormat="1" applyFont="1" applyFill="1" applyBorder="1" applyAlignment="1">
      <alignment horizontal="center"/>
    </xf>
    <xf numFmtId="166" fontId="7" fillId="6" borderId="1" xfId="0" applyNumberFormat="1" applyFont="1" applyFill="1" applyBorder="1" applyAlignment="1">
      <alignment horizontal="center"/>
    </xf>
    <xf numFmtId="167" fontId="7" fillId="0" borderId="1" xfId="0" applyNumberFormat="1" applyFont="1" applyBorder="1" applyAlignment="1">
      <alignment horizontal="center"/>
    </xf>
    <xf numFmtId="0" fontId="12" fillId="0" borderId="1" xfId="0" applyFont="1" applyBorder="1"/>
    <xf numFmtId="0" fontId="6" fillId="4" borderId="1" xfId="0" applyFont="1" applyFill="1" applyBorder="1" applyAlignment="1">
      <alignment horizontal="center" wrapText="1"/>
    </xf>
    <xf numFmtId="0" fontId="8" fillId="0" borderId="0" xfId="0" applyFont="1" applyAlignment="1">
      <alignment vertical="center" wrapText="1"/>
    </xf>
    <xf numFmtId="168" fontId="6" fillId="4" borderId="1" xfId="0" applyNumberFormat="1" applyFont="1" applyFill="1" applyBorder="1" applyAlignment="1">
      <alignment horizontal="center" wrapText="1"/>
    </xf>
    <xf numFmtId="166" fontId="6" fillId="4" borderId="1" xfId="0" applyNumberFormat="1" applyFont="1" applyFill="1" applyBorder="1" applyAlignment="1">
      <alignment horizontal="center" wrapText="1"/>
    </xf>
    <xf numFmtId="0" fontId="13" fillId="0" borderId="0" xfId="0" applyFont="1" applyAlignment="1">
      <alignment vertical="center" wrapText="1"/>
    </xf>
    <xf numFmtId="0" fontId="14" fillId="0" borderId="1" xfId="0" applyFont="1" applyBorder="1"/>
    <xf numFmtId="169" fontId="6" fillId="4" borderId="1" xfId="0" applyNumberFormat="1" applyFont="1" applyFill="1" applyBorder="1" applyAlignment="1">
      <alignment horizontal="center" wrapText="1"/>
    </xf>
    <xf numFmtId="0" fontId="12" fillId="0" borderId="1" xfId="0" applyFont="1" applyBorder="1" applyAlignment="1">
      <alignment horizontal="center" wrapText="1"/>
    </xf>
    <xf numFmtId="0" fontId="15" fillId="6" borderId="1" xfId="0" applyFont="1" applyFill="1" applyBorder="1" applyAlignment="1">
      <alignment horizontal="center" wrapText="1"/>
    </xf>
    <xf numFmtId="170" fontId="12" fillId="0" borderId="1" xfId="0" applyNumberFormat="1" applyFont="1" applyBorder="1" applyAlignment="1">
      <alignment horizontal="center" wrapText="1"/>
    </xf>
    <xf numFmtId="164" fontId="12" fillId="0" borderId="1" xfId="0" applyNumberFormat="1" applyFont="1" applyBorder="1" applyAlignment="1">
      <alignment horizontal="center" wrapText="1"/>
    </xf>
    <xf numFmtId="166" fontId="12" fillId="0" borderId="1" xfId="0" applyNumberFormat="1" applyFont="1" applyBorder="1" applyAlignment="1">
      <alignment horizontal="center" wrapText="1"/>
    </xf>
    <xf numFmtId="170" fontId="10" fillId="6" borderId="1" xfId="0" applyNumberFormat="1" applyFont="1" applyFill="1" applyBorder="1" applyAlignment="1">
      <alignment horizontal="center" wrapText="1"/>
    </xf>
    <xf numFmtId="169" fontId="12" fillId="0" borderId="1" xfId="0" applyNumberFormat="1" applyFont="1" applyBorder="1" applyAlignment="1">
      <alignment horizontal="center" wrapText="1"/>
    </xf>
    <xf numFmtId="166" fontId="10" fillId="6" borderId="1" xfId="0" applyNumberFormat="1" applyFont="1" applyFill="1" applyBorder="1" applyAlignment="1">
      <alignment horizontal="center" wrapText="1"/>
    </xf>
    <xf numFmtId="166" fontId="15" fillId="6" borderId="1" xfId="0" applyNumberFormat="1" applyFont="1" applyFill="1" applyBorder="1" applyAlignment="1">
      <alignment horizontal="center" wrapText="1"/>
    </xf>
    <xf numFmtId="165" fontId="15" fillId="6"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167" fontId="12" fillId="0" borderId="1" xfId="0" applyNumberFormat="1" applyFont="1" applyBorder="1" applyAlignment="1">
      <alignment horizontal="center" wrapText="1"/>
    </xf>
    <xf numFmtId="0" fontId="5" fillId="0" borderId="1" xfId="0" applyFont="1" applyBorder="1" applyAlignment="1">
      <alignment horizontal="center"/>
    </xf>
    <xf numFmtId="170" fontId="12" fillId="0" borderId="1" xfId="0" applyNumberFormat="1" applyFont="1" applyBorder="1" applyAlignment="1">
      <alignment horizontal="center"/>
    </xf>
    <xf numFmtId="166" fontId="12" fillId="0" borderId="1" xfId="0" applyNumberFormat="1" applyFont="1" applyBorder="1" applyAlignment="1">
      <alignment horizontal="center"/>
    </xf>
    <xf numFmtId="0" fontId="7" fillId="0" borderId="1" xfId="0" applyFont="1" applyBorder="1" applyAlignment="1">
      <alignment vertical="center" wrapText="1"/>
    </xf>
    <xf numFmtId="170" fontId="7" fillId="0" borderId="1" xfId="0" applyNumberFormat="1" applyFont="1" applyBorder="1" applyAlignment="1">
      <alignment horizontal="center"/>
    </xf>
    <xf numFmtId="170" fontId="0" fillId="0" borderId="1" xfId="0" applyNumberFormat="1" applyBorder="1" applyAlignment="1">
      <alignment horizontal="center"/>
    </xf>
    <xf numFmtId="166" fontId="0" fillId="0" borderId="1" xfId="0" applyNumberFormat="1" applyBorder="1" applyAlignment="1">
      <alignment horizontal="center"/>
    </xf>
    <xf numFmtId="0" fontId="5" fillId="5" borderId="1" xfId="0" applyFont="1" applyFill="1" applyBorder="1" applyAlignment="1">
      <alignment horizontal="center"/>
    </xf>
    <xf numFmtId="0" fontId="7" fillId="5" borderId="1" xfId="0" applyFont="1" applyFill="1" applyBorder="1"/>
    <xf numFmtId="170" fontId="7" fillId="5" borderId="1" xfId="0" applyNumberFormat="1" applyFont="1" applyFill="1" applyBorder="1" applyAlignment="1">
      <alignment horizontal="center"/>
    </xf>
    <xf numFmtId="170" fontId="0" fillId="5" borderId="1" xfId="0" applyNumberFormat="1" applyFill="1" applyBorder="1" applyAlignment="1">
      <alignment horizontal="center"/>
    </xf>
    <xf numFmtId="166" fontId="0" fillId="5" borderId="1" xfId="0" applyNumberFormat="1" applyFill="1" applyBorder="1" applyAlignment="1">
      <alignment horizontal="center"/>
    </xf>
    <xf numFmtId="0" fontId="7" fillId="5" borderId="1" xfId="0" applyFont="1" applyFill="1" applyBorder="1" applyAlignment="1">
      <alignment vertical="center" wrapText="1"/>
    </xf>
    <xf numFmtId="0" fontId="5" fillId="0" borderId="2" xfId="0" applyFont="1" applyBorder="1" applyAlignment="1">
      <alignment horizontal="center"/>
    </xf>
    <xf numFmtId="0" fontId="7" fillId="0" borderId="2" xfId="0" applyFont="1" applyBorder="1"/>
    <xf numFmtId="170" fontId="7" fillId="0" borderId="2" xfId="0" applyNumberFormat="1" applyFont="1" applyBorder="1" applyAlignment="1">
      <alignment horizontal="center"/>
    </xf>
    <xf numFmtId="170" fontId="0" fillId="0" borderId="2" xfId="0" applyNumberFormat="1" applyBorder="1" applyAlignment="1">
      <alignment horizontal="center"/>
    </xf>
    <xf numFmtId="166" fontId="0" fillId="0" borderId="2" xfId="0" applyNumberFormat="1" applyBorder="1" applyAlignment="1">
      <alignment horizontal="center"/>
    </xf>
    <xf numFmtId="0" fontId="7" fillId="0" borderId="2" xfId="0" applyFont="1" applyBorder="1" applyAlignment="1">
      <alignment vertical="center" wrapText="1"/>
    </xf>
    <xf numFmtId="170" fontId="10" fillId="6" borderId="1" xfId="0" applyNumberFormat="1" applyFont="1" applyFill="1" applyBorder="1" applyAlignment="1">
      <alignment horizontal="center"/>
    </xf>
    <xf numFmtId="166" fontId="10" fillId="6" borderId="1" xfId="0" applyNumberFormat="1" applyFont="1" applyFill="1" applyBorder="1" applyAlignment="1">
      <alignment horizontal="center"/>
    </xf>
    <xf numFmtId="0" fontId="16" fillId="0" borderId="1" xfId="0" applyFont="1" applyBorder="1" applyAlignment="1">
      <alignment horizontal="center"/>
    </xf>
    <xf numFmtId="169" fontId="0" fillId="0" borderId="1" xfId="0" applyNumberFormat="1" applyBorder="1" applyAlignment="1">
      <alignment horizontal="center"/>
    </xf>
    <xf numFmtId="164" fontId="0" fillId="0" borderId="1" xfId="0" applyNumberFormat="1" applyBorder="1" applyAlignment="1">
      <alignment horizontal="center"/>
    </xf>
    <xf numFmtId="0" fontId="12" fillId="5" borderId="1" xfId="0" applyFont="1" applyFill="1" applyBorder="1"/>
    <xf numFmtId="0" fontId="0" fillId="5" borderId="0" xfId="0" applyFill="1"/>
    <xf numFmtId="166" fontId="7" fillId="5" borderId="1" xfId="0" applyNumberFormat="1" applyFont="1" applyFill="1" applyBorder="1" applyAlignment="1">
      <alignment horizontal="center"/>
    </xf>
    <xf numFmtId="169"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6" borderId="1" xfId="0" applyFill="1" applyBorder="1"/>
    <xf numFmtId="169" fontId="10" fillId="6" borderId="1" xfId="0" applyNumberFormat="1" applyFont="1" applyFill="1" applyBorder="1" applyAlignment="1">
      <alignment horizontal="center"/>
    </xf>
    <xf numFmtId="164" fontId="10" fillId="6" borderId="1" xfId="0" applyNumberFormat="1" applyFont="1" applyFill="1" applyBorder="1" applyAlignment="1">
      <alignment horizontal="center"/>
    </xf>
    <xf numFmtId="166" fontId="12" fillId="5" borderId="1" xfId="0" applyNumberFormat="1" applyFont="1" applyFill="1" applyBorder="1" applyAlignment="1">
      <alignment horizontal="center"/>
    </xf>
    <xf numFmtId="0" fontId="10" fillId="6" borderId="0" xfId="0" applyFont="1" applyFill="1"/>
    <xf numFmtId="0" fontId="0" fillId="6" borderId="0" xfId="0" applyFill="1"/>
    <xf numFmtId="171" fontId="10" fillId="6" borderId="1" xfId="0" applyNumberFormat="1" applyFont="1" applyFill="1" applyBorder="1" applyAlignment="1">
      <alignment horizontal="center"/>
    </xf>
    <xf numFmtId="0" fontId="18" fillId="0" borderId="1" xfId="0" applyFont="1" applyBorder="1"/>
    <xf numFmtId="168" fontId="18" fillId="0" borderId="1" xfId="0" applyNumberFormat="1" applyFont="1" applyBorder="1"/>
    <xf numFmtId="3" fontId="18" fillId="0" borderId="1" xfId="0" applyNumberFormat="1" applyFont="1" applyBorder="1"/>
    <xf numFmtId="166" fontId="18" fillId="0" borderId="1" xfId="0" applyNumberFormat="1" applyFont="1" applyBorder="1"/>
    <xf numFmtId="169" fontId="18" fillId="0" borderId="1" xfId="0" applyNumberFormat="1" applyFont="1" applyBorder="1"/>
    <xf numFmtId="0" fontId="19" fillId="7" borderId="1" xfId="0" applyFont="1" applyFill="1" applyBorder="1"/>
    <xf numFmtId="170" fontId="19" fillId="7" borderId="1" xfId="0" applyNumberFormat="1" applyFont="1" applyFill="1" applyBorder="1"/>
    <xf numFmtId="164" fontId="19" fillId="7" borderId="1" xfId="0" applyNumberFormat="1" applyFont="1" applyFill="1" applyBorder="1"/>
    <xf numFmtId="166" fontId="19" fillId="7" borderId="1" xfId="0" applyNumberFormat="1" applyFont="1" applyFill="1" applyBorder="1"/>
    <xf numFmtId="170" fontId="20" fillId="7" borderId="1" xfId="0" applyNumberFormat="1" applyFont="1" applyFill="1" applyBorder="1"/>
    <xf numFmtId="166" fontId="20" fillId="7" borderId="1" xfId="0" applyNumberFormat="1" applyFont="1" applyFill="1" applyBorder="1"/>
    <xf numFmtId="165" fontId="19" fillId="7" borderId="1" xfId="0" applyNumberFormat="1" applyFont="1" applyFill="1" applyBorder="1"/>
    <xf numFmtId="167" fontId="19" fillId="7" borderId="1" xfId="0" applyNumberFormat="1" applyFont="1" applyFill="1" applyBorder="1"/>
    <xf numFmtId="0" fontId="20" fillId="7" borderId="1" xfId="0" applyFont="1" applyFill="1" applyBorder="1"/>
    <xf numFmtId="172" fontId="19" fillId="7" borderId="1" xfId="0" applyNumberFormat="1" applyFont="1" applyFill="1" applyBorder="1"/>
    <xf numFmtId="3" fontId="12" fillId="0" borderId="1" xfId="0" applyNumberFormat="1" applyFont="1" applyBorder="1" applyAlignment="1">
      <alignment horizontal="center"/>
    </xf>
    <xf numFmtId="165" fontId="12" fillId="0" borderId="1" xfId="0" applyNumberFormat="1" applyFont="1" applyBorder="1" applyAlignment="1">
      <alignment horizontal="center"/>
    </xf>
    <xf numFmtId="167" fontId="10" fillId="6" borderId="1" xfId="0" applyNumberFormat="1" applyFont="1" applyFill="1" applyBorder="1" applyAlignment="1">
      <alignment horizontal="center"/>
    </xf>
    <xf numFmtId="0" fontId="9" fillId="3" borderId="1" xfId="0" applyFont="1" applyFill="1" applyBorder="1" applyAlignment="1">
      <alignment horizontal="center" wrapText="1"/>
    </xf>
    <xf numFmtId="3" fontId="5" fillId="0" borderId="1" xfId="0" applyNumberFormat="1" applyFont="1" applyBorder="1" applyAlignment="1">
      <alignment horizontal="center"/>
    </xf>
    <xf numFmtId="166"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5" borderId="1" xfId="0" applyFont="1" applyFill="1" applyBorder="1"/>
    <xf numFmtId="3" fontId="5" fillId="5" borderId="1" xfId="0" applyNumberFormat="1" applyFont="1" applyFill="1" applyBorder="1" applyAlignment="1">
      <alignment horizontal="center"/>
    </xf>
    <xf numFmtId="166" fontId="5" fillId="5" borderId="1" xfId="0" applyNumberFormat="1" applyFont="1" applyFill="1" applyBorder="1" applyAlignment="1">
      <alignment horizontal="center"/>
    </xf>
    <xf numFmtId="165" fontId="5" fillId="5" borderId="1" xfId="0" applyNumberFormat="1" applyFont="1" applyFill="1" applyBorder="1" applyAlignment="1">
      <alignment horizontal="center"/>
    </xf>
    <xf numFmtId="169" fontId="5" fillId="0" borderId="1" xfId="0" applyNumberFormat="1" applyFont="1" applyBorder="1" applyAlignment="1">
      <alignment horizontal="center"/>
    </xf>
    <xf numFmtId="0" fontId="4" fillId="5" borderId="1" xfId="0" applyFont="1" applyFill="1" applyBorder="1"/>
    <xf numFmtId="169" fontId="5" fillId="5" borderId="1" xfId="0" applyNumberFormat="1" applyFont="1" applyFill="1" applyBorder="1" applyAlignment="1">
      <alignment horizontal="center"/>
    </xf>
    <xf numFmtId="0" fontId="21" fillId="0" borderId="1" xfId="0" applyFont="1" applyBorder="1"/>
    <xf numFmtId="172" fontId="10" fillId="6" borderId="1" xfId="0" applyNumberFormat="1" applyFont="1" applyFill="1" applyBorder="1" applyAlignment="1">
      <alignment horizontal="center"/>
    </xf>
    <xf numFmtId="172" fontId="12" fillId="0" borderId="1" xfId="0" applyNumberFormat="1" applyFont="1" applyBorder="1" applyAlignment="1">
      <alignment horizontal="center"/>
    </xf>
    <xf numFmtId="3" fontId="10" fillId="6" borderId="1" xfId="0" applyNumberFormat="1" applyFont="1" applyFill="1" applyBorder="1" applyAlignment="1">
      <alignment horizontal="center"/>
    </xf>
    <xf numFmtId="0" fontId="12" fillId="0" borderId="0" xfId="0" applyFont="1"/>
    <xf numFmtId="173" fontId="6" fillId="4" borderId="1" xfId="0" applyNumberFormat="1" applyFont="1" applyFill="1" applyBorder="1" applyAlignment="1">
      <alignment horizontal="center"/>
    </xf>
    <xf numFmtId="0" fontId="8" fillId="0" borderId="0" xfId="0" applyFont="1"/>
    <xf numFmtId="17" fontId="5" fillId="0" borderId="1" xfId="0" applyNumberFormat="1" applyFont="1" applyBorder="1" applyAlignment="1">
      <alignment horizontal="center"/>
    </xf>
    <xf numFmtId="167" fontId="5" fillId="0" borderId="1" xfId="0" applyNumberFormat="1" applyFont="1" applyBorder="1" applyAlignment="1">
      <alignment horizontal="center"/>
    </xf>
    <xf numFmtId="17" fontId="5" fillId="5" borderId="1" xfId="0" applyNumberFormat="1" applyFont="1" applyFill="1" applyBorder="1" applyAlignment="1">
      <alignment horizontal="center"/>
    </xf>
    <xf numFmtId="167" fontId="5" fillId="5" borderId="1" xfId="0" applyNumberFormat="1" applyFont="1" applyFill="1" applyBorder="1" applyAlignment="1">
      <alignment horizontal="center"/>
    </xf>
    <xf numFmtId="172" fontId="6" fillId="0" borderId="1" xfId="0" applyNumberFormat="1" applyFont="1" applyBorder="1" applyAlignment="1">
      <alignment horizontal="center"/>
    </xf>
    <xf numFmtId="166" fontId="6" fillId="0" borderId="1" xfId="0" applyNumberFormat="1" applyFont="1" applyBorder="1" applyAlignment="1">
      <alignment horizontal="center"/>
    </xf>
    <xf numFmtId="172" fontId="6" fillId="5" borderId="1" xfId="0" applyNumberFormat="1" applyFont="1" applyFill="1" applyBorder="1" applyAlignment="1">
      <alignment horizontal="center"/>
    </xf>
    <xf numFmtId="166" fontId="6" fillId="5" borderId="1" xfId="0" applyNumberFormat="1" applyFont="1" applyFill="1" applyBorder="1" applyAlignment="1">
      <alignment horizontal="center"/>
    </xf>
    <xf numFmtId="0" fontId="6" fillId="5" borderId="1" xfId="0" applyFont="1" applyFill="1" applyBorder="1" applyAlignment="1">
      <alignment horizontal="center"/>
    </xf>
    <xf numFmtId="0" fontId="6" fillId="0" borderId="1" xfId="0" applyFont="1" applyBorder="1" applyAlignment="1">
      <alignment horizontal="center"/>
    </xf>
    <xf numFmtId="0" fontId="21" fillId="6" borderId="1" xfId="0" applyFont="1" applyFill="1" applyBorder="1"/>
    <xf numFmtId="0" fontId="12" fillId="0" borderId="1" xfId="0" applyFont="1" applyBorder="1" applyAlignment="1">
      <alignment horizontal="center"/>
    </xf>
    <xf numFmtId="0" fontId="19" fillId="0" borderId="1" xfId="0" applyFont="1" applyBorder="1" applyAlignment="1">
      <alignment vertical="center" wrapText="1"/>
    </xf>
    <xf numFmtId="166" fontId="19" fillId="0" borderId="1" xfId="0" applyNumberFormat="1" applyFont="1" applyBorder="1" applyAlignment="1">
      <alignment vertical="center" wrapText="1"/>
    </xf>
    <xf numFmtId="172" fontId="19" fillId="0" borderId="1" xfId="0" applyNumberFormat="1" applyFont="1" applyBorder="1" applyAlignment="1">
      <alignment vertical="center" wrapText="1"/>
    </xf>
    <xf numFmtId="168" fontId="19" fillId="0" borderId="1" xfId="0" applyNumberFormat="1" applyFont="1" applyBorder="1" applyAlignment="1">
      <alignment vertical="center" wrapText="1"/>
    </xf>
    <xf numFmtId="3" fontId="19" fillId="0" borderId="1" xfId="0" applyNumberFormat="1" applyFont="1" applyBorder="1" applyAlignment="1">
      <alignment horizontal="center"/>
    </xf>
    <xf numFmtId="0" fontId="22" fillId="0" borderId="1" xfId="0" applyFont="1" applyBorder="1" applyAlignment="1">
      <alignment horizontal="center"/>
    </xf>
    <xf numFmtId="0" fontId="19" fillId="5" borderId="1" xfId="0" applyFont="1" applyFill="1" applyBorder="1" applyAlignment="1">
      <alignment vertical="center" wrapText="1"/>
    </xf>
    <xf numFmtId="166" fontId="19" fillId="5" borderId="1" xfId="0" applyNumberFormat="1" applyFont="1" applyFill="1" applyBorder="1" applyAlignment="1">
      <alignment vertical="center" wrapText="1"/>
    </xf>
    <xf numFmtId="172" fontId="19" fillId="5" borderId="1" xfId="0" applyNumberFormat="1" applyFont="1" applyFill="1" applyBorder="1" applyAlignment="1">
      <alignment vertical="center" wrapText="1"/>
    </xf>
    <xf numFmtId="168" fontId="19" fillId="5" borderId="1" xfId="0" applyNumberFormat="1" applyFont="1" applyFill="1" applyBorder="1" applyAlignment="1">
      <alignment vertical="center" wrapText="1"/>
    </xf>
    <xf numFmtId="3" fontId="19" fillId="5" borderId="1" xfId="0" applyNumberFormat="1" applyFont="1" applyFill="1" applyBorder="1" applyAlignment="1">
      <alignment horizontal="center"/>
    </xf>
    <xf numFmtId="0" fontId="22" fillId="5" borderId="1" xfId="0" applyFont="1" applyFill="1" applyBorder="1" applyAlignment="1">
      <alignment horizontal="center"/>
    </xf>
    <xf numFmtId="0" fontId="14" fillId="6" borderId="1" xfId="0" applyFont="1" applyFill="1" applyBorder="1" applyAlignment="1">
      <alignment horizontal="center" wrapText="1"/>
    </xf>
    <xf numFmtId="166" fontId="14" fillId="6" borderId="1" xfId="0" applyNumberFormat="1" applyFont="1" applyFill="1" applyBorder="1" applyAlignment="1">
      <alignment horizontal="center" wrapText="1"/>
    </xf>
    <xf numFmtId="165" fontId="14" fillId="6" borderId="1" xfId="0" applyNumberFormat="1" applyFont="1" applyFill="1" applyBorder="1" applyAlignment="1">
      <alignment horizontal="center" wrapText="1"/>
    </xf>
    <xf numFmtId="0" fontId="23" fillId="0" borderId="0" xfId="0" applyFont="1" applyAlignment="1">
      <alignment horizontal="right"/>
    </xf>
    <xf numFmtId="3" fontId="24" fillId="0" borderId="0" xfId="0" applyNumberFormat="1" applyFont="1" applyAlignment="1">
      <alignment horizontal="center"/>
    </xf>
    <xf numFmtId="164" fontId="6" fillId="0" borderId="1" xfId="0" applyNumberFormat="1" applyFont="1" applyBorder="1" applyAlignment="1">
      <alignment horizontal="center"/>
    </xf>
    <xf numFmtId="164" fontId="6" fillId="5" borderId="1" xfId="0" applyNumberFormat="1" applyFont="1" applyFill="1" applyBorder="1" applyAlignment="1">
      <alignment horizontal="center"/>
    </xf>
    <xf numFmtId="0" fontId="25" fillId="0" borderId="0" xfId="0" applyFont="1" applyAlignment="1">
      <alignment horizontal="right"/>
    </xf>
    <xf numFmtId="170" fontId="6" fillId="4" borderId="1" xfId="0" applyNumberFormat="1" applyFont="1" applyFill="1" applyBorder="1" applyAlignment="1">
      <alignment horizontal="center"/>
    </xf>
    <xf numFmtId="170" fontId="6" fillId="0" borderId="1" xfId="0" applyNumberFormat="1" applyFont="1" applyBorder="1" applyAlignment="1">
      <alignment horizontal="center"/>
    </xf>
    <xf numFmtId="170" fontId="4" fillId="0" borderId="1" xfId="0" applyNumberFormat="1" applyFont="1" applyBorder="1" applyAlignment="1">
      <alignment horizontal="center"/>
    </xf>
    <xf numFmtId="170" fontId="6" fillId="5" borderId="1" xfId="0" applyNumberFormat="1" applyFont="1" applyFill="1" applyBorder="1" applyAlignment="1">
      <alignment horizontal="center"/>
    </xf>
    <xf numFmtId="170" fontId="4" fillId="5" borderId="1" xfId="0" applyNumberFormat="1" applyFont="1" applyFill="1" applyBorder="1" applyAlignment="1">
      <alignment horizontal="center"/>
    </xf>
    <xf numFmtId="169" fontId="6" fillId="0" borderId="1" xfId="0" applyNumberFormat="1" applyFont="1" applyBorder="1" applyAlignment="1">
      <alignment horizontal="center"/>
    </xf>
    <xf numFmtId="169" fontId="6" fillId="5" borderId="1" xfId="0" applyNumberFormat="1" applyFont="1" applyFill="1" applyBorder="1" applyAlignment="1">
      <alignment horizontal="center"/>
    </xf>
    <xf numFmtId="0" fontId="4" fillId="0" borderId="1" xfId="0" applyFont="1" applyBorder="1" applyAlignment="1">
      <alignment vertical="top" wrapText="1"/>
    </xf>
    <xf numFmtId="0" fontId="4" fillId="5" borderId="1" xfId="0" applyFont="1" applyFill="1" applyBorder="1" applyAlignment="1">
      <alignment vertical="top" wrapText="1"/>
    </xf>
    <xf numFmtId="0" fontId="4" fillId="0" borderId="0" xfId="0" applyFont="1" applyAlignment="1">
      <alignment horizontal="right"/>
    </xf>
    <xf numFmtId="2" fontId="6" fillId="4" borderId="1" xfId="0" applyNumberFormat="1" applyFont="1" applyFill="1" applyBorder="1" applyAlignment="1">
      <alignment horizontal="center"/>
    </xf>
    <xf numFmtId="2" fontId="4" fillId="0" borderId="1" xfId="0" applyNumberFormat="1" applyFont="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169" fontId="6" fillId="4" borderId="1" xfId="0" applyNumberFormat="1" applyFont="1" applyFill="1" applyBorder="1" applyAlignment="1">
      <alignment horizontal="center"/>
    </xf>
    <xf numFmtId="169" fontId="12" fillId="0" borderId="1" xfId="0" applyNumberFormat="1" applyFont="1" applyBorder="1" applyAlignment="1">
      <alignment horizontal="center"/>
    </xf>
    <xf numFmtId="166" fontId="6" fillId="4" borderId="1" xfId="0" applyNumberFormat="1" applyFont="1" applyFill="1" applyBorder="1" applyAlignment="1">
      <alignment horizontal="center"/>
    </xf>
    <xf numFmtId="0" fontId="8" fillId="0" borderId="1" xfId="0" applyFont="1" applyBorder="1" applyAlignment="1">
      <alignment vertical="center" wrapText="1"/>
    </xf>
    <xf numFmtId="0" fontId="8" fillId="5" borderId="1" xfId="0" applyFont="1" applyFill="1" applyBorder="1" applyAlignment="1">
      <alignment vertical="center" wrapText="1"/>
    </xf>
    <xf numFmtId="0" fontId="6" fillId="0" borderId="1" xfId="0" applyFont="1" applyBorder="1" applyAlignment="1">
      <alignment horizontal="center" wrapText="1"/>
    </xf>
    <xf numFmtId="0" fontId="6" fillId="5" borderId="1" xfId="0" applyFont="1" applyFill="1" applyBorder="1" applyAlignment="1">
      <alignment horizontal="center" wrapText="1"/>
    </xf>
    <xf numFmtId="0" fontId="4" fillId="4" borderId="1" xfId="0" applyFont="1" applyFill="1" applyBorder="1" applyAlignment="1">
      <alignment vertical="center" wrapText="1"/>
    </xf>
    <xf numFmtId="0" fontId="26" fillId="4" borderId="1" xfId="0" applyFont="1" applyFill="1" applyBorder="1" applyAlignment="1">
      <alignment vertical="center" wrapText="1"/>
    </xf>
    <xf numFmtId="0" fontId="5" fillId="4" borderId="1" xfId="0" applyFont="1" applyFill="1" applyBorder="1" applyAlignment="1">
      <alignment vertical="center" wrapText="1"/>
    </xf>
    <xf numFmtId="0" fontId="6" fillId="5" borderId="1" xfId="0" applyFont="1" applyFill="1" applyBorder="1" applyAlignment="1">
      <alignment vertical="center" wrapText="1"/>
    </xf>
    <xf numFmtId="0" fontId="6" fillId="0" borderId="1" xfId="0" applyFont="1" applyBorder="1" applyAlignment="1">
      <alignment vertical="center" wrapText="1"/>
    </xf>
    <xf numFmtId="169" fontId="7" fillId="0" borderId="1" xfId="0" applyNumberFormat="1" applyFont="1" applyBorder="1" applyAlignment="1">
      <alignment horizontal="center"/>
    </xf>
    <xf numFmtId="169" fontId="4" fillId="6" borderId="1" xfId="0" applyNumberFormat="1" applyFont="1" applyFill="1" applyBorder="1" applyAlignment="1">
      <alignment horizontal="center"/>
    </xf>
    <xf numFmtId="0" fontId="10" fillId="0" borderId="0" xfId="0" applyFont="1"/>
    <xf numFmtId="172" fontId="6" fillId="4" borderId="1" xfId="0" applyNumberFormat="1" applyFont="1" applyFill="1" applyBorder="1" applyAlignment="1">
      <alignment horizontal="center"/>
    </xf>
    <xf numFmtId="0" fontId="13" fillId="0" borderId="0" xfId="0" applyFont="1"/>
    <xf numFmtId="1" fontId="6" fillId="4" borderId="1" xfId="0" applyNumberFormat="1" applyFont="1" applyFill="1" applyBorder="1" applyAlignment="1">
      <alignment horizontal="center"/>
    </xf>
    <xf numFmtId="0" fontId="7" fillId="0" borderId="1" xfId="0" applyFont="1" applyBorder="1" applyAlignment="1">
      <alignment horizontal="center"/>
    </xf>
    <xf numFmtId="174" fontId="6" fillId="4" borderId="1" xfId="0" applyNumberFormat="1" applyFont="1" applyFill="1" applyBorder="1" applyAlignment="1">
      <alignment horizontal="center"/>
    </xf>
    <xf numFmtId="166" fontId="12" fillId="0" borderId="1" xfId="0" applyNumberFormat="1" applyFont="1" applyBorder="1"/>
    <xf numFmtId="166" fontId="10" fillId="6" borderId="1" xfId="0" applyNumberFormat="1" applyFont="1" applyFill="1" applyBorder="1"/>
    <xf numFmtId="169" fontId="4" fillId="0" borderId="1" xfId="0" applyNumberFormat="1" applyFont="1" applyBorder="1" applyAlignment="1">
      <alignment horizontal="center"/>
    </xf>
    <xf numFmtId="175" fontId="6" fillId="0" borderId="1" xfId="0" applyNumberFormat="1" applyFont="1" applyBorder="1" applyAlignment="1">
      <alignment horizontal="center"/>
    </xf>
    <xf numFmtId="175" fontId="6" fillId="5" borderId="1" xfId="0" applyNumberFormat="1" applyFont="1" applyFill="1" applyBorder="1" applyAlignment="1">
      <alignment horizontal="center"/>
    </xf>
    <xf numFmtId="0" fontId="8" fillId="0" borderId="0" xfId="0" applyFont="1" applyAlignment="1">
      <alignment horizontal="right"/>
    </xf>
    <xf numFmtId="175" fontId="10" fillId="6" borderId="1" xfId="0" applyNumberFormat="1" applyFont="1" applyFill="1" applyBorder="1" applyAlignment="1">
      <alignment horizontal="center"/>
    </xf>
    <xf numFmtId="0" fontId="5" fillId="5" borderId="1" xfId="0" applyFont="1" applyFill="1" applyBorder="1" applyAlignment="1">
      <alignment vertical="top" wrapText="1"/>
    </xf>
    <xf numFmtId="0" fontId="5" fillId="5" borderId="1" xfId="0" applyFont="1" applyFill="1" applyBorder="1"/>
    <xf numFmtId="0" fontId="13" fillId="0" borderId="0" xfId="0" applyFont="1" applyAlignment="1">
      <alignment vertical="top" wrapText="1"/>
    </xf>
    <xf numFmtId="166" fontId="7" fillId="0" borderId="1" xfId="0" applyNumberFormat="1" applyFont="1" applyBorder="1" applyAlignment="1">
      <alignment horizontal="center"/>
    </xf>
    <xf numFmtId="166" fontId="12" fillId="0" borderId="1" xfId="0" applyNumberFormat="1" applyFont="1" applyBorder="1" applyAlignment="1">
      <alignment horizontal="center"/>
    </xf>
    <xf numFmtId="166" fontId="10" fillId="6" borderId="1" xfId="0" applyNumberFormat="1" applyFont="1" applyFill="1" applyBorder="1" applyAlignment="1">
      <alignment horizontal="center"/>
    </xf>
    <xf numFmtId="166" fontId="6" fillId="4" borderId="1" xfId="0" applyNumberFormat="1" applyFont="1" applyFill="1" applyBorder="1" applyAlignment="1">
      <alignment horizontal="center"/>
    </xf>
    <xf numFmtId="0" fontId="4" fillId="3" borderId="0" xfId="0" applyFont="1" applyFill="1"/>
    <xf numFmtId="0" fontId="0" fillId="0" borderId="0" xfId="0"/>
    <xf numFmtId="0" fontId="5" fillId="0" borderId="0" xfId="0" applyFont="1" applyAlignment="1">
      <alignment vertical="top" wrapText="1"/>
    </xf>
    <xf numFmtId="0" fontId="14" fillId="6" borderId="0" xfId="0" applyFont="1" applyFill="1"/>
    <xf numFmtId="0" fontId="8" fillId="0" borderId="1" xfId="0" applyFont="1" applyBorder="1" applyAlignment="1">
      <alignment vertical="center" wrapText="1"/>
    </xf>
    <xf numFmtId="0" fontId="8" fillId="5" borderId="1" xfId="0" applyFont="1" applyFill="1" applyBorder="1" applyAlignment="1">
      <alignment vertical="center" wrapText="1"/>
    </xf>
    <xf numFmtId="0" fontId="0" fillId="0" borderId="1" xfId="0" applyBorder="1"/>
    <xf numFmtId="0" fontId="0" fillId="5" borderId="1" xfId="0" applyFill="1" applyBorder="1"/>
    <xf numFmtId="0" fontId="5" fillId="4"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BE4B48"/>
      <rgbColor rgb="FFFFF2CC"/>
      <rgbColor rgb="FFF2F5F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D9E2F3"/>
      <rgbColor rgb="FFFFFF99"/>
      <rgbColor rgb="FF99CCFF"/>
      <rgbColor rgb="FFFF99CC"/>
      <rgbColor rgb="FFCC99FF"/>
      <rgbColor rgb="FFFFCC99"/>
      <rgbColor rgb="FF4A7EBB"/>
      <rgbColor rgb="FF33CCCC"/>
      <rgbColor rgb="FF99CC00"/>
      <rgbColor rgb="FFFFCC00"/>
      <rgbColor rgb="FFFF9900"/>
      <rgbColor rgb="FFFF6600"/>
      <rgbColor rgb="FF595959"/>
      <rgbColor rgb="FF878787"/>
      <rgbColor rgb="FF1F3864"/>
      <rgbColor rgb="FF339966"/>
      <rgbColor rgb="FF003300"/>
      <rgbColor rgb="FF333300"/>
      <rgbColor rgb="FF993300"/>
      <rgbColor rgb="FF993366"/>
      <rgbColor rgb="FF2E5A8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Technical rate vs charged rate per $100 of TIV</a:t>
            </a:r>
          </a:p>
        </c:rich>
      </c:tx>
      <c:overlay val="0"/>
      <c:spPr>
        <a:noFill/>
        <a:ln w="0">
          <a:noFill/>
        </a:ln>
      </c:spPr>
    </c:title>
    <c:autoTitleDeleted val="0"/>
    <c:plotArea>
      <c:layout/>
      <c:lineChart>
        <c:grouping val="standard"/>
        <c:varyColors val="0"/>
        <c:ser>
          <c:idx val="0"/>
          <c:order val="0"/>
          <c:tx>
            <c:strRef>
              <c:f>'Portfolio Summary'!$G$133</c:f>
              <c:strCache>
                <c:ptCount val="1"/>
                <c:pt idx="0">
                  <c:v>Technical rate /$100</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Summary'!$G$134:$G$157</c:f>
              <c:numCache>
                <c:formatCode>\$0.00</c:formatCode>
                <c:ptCount val="24"/>
                <c:pt idx="0">
                  <c:v>0</c:v>
                </c:pt>
                <c:pt idx="1">
                  <c:v>0</c:v>
                </c:pt>
                <c:pt idx="2">
                  <c:v>5.8958985810820721</c:v>
                </c:pt>
                <c:pt idx="3">
                  <c:v>1.257767447083918</c:v>
                </c:pt>
                <c:pt idx="4">
                  <c:v>0.68333832416774365</c:v>
                </c:pt>
                <c:pt idx="5">
                  <c:v>16.495308445945948</c:v>
                </c:pt>
                <c:pt idx="6">
                  <c:v>1.882417066905032</c:v>
                </c:pt>
                <c:pt idx="7">
                  <c:v>3.4772238737658165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2E12-46CF-A9E6-BDD1F10902EB}"/>
            </c:ext>
          </c:extLst>
        </c:ser>
        <c:ser>
          <c:idx val="1"/>
          <c:order val="1"/>
          <c:tx>
            <c:strRef>
              <c:f>'Portfolio Summary'!$H$133</c:f>
              <c:strCache>
                <c:ptCount val="1"/>
                <c:pt idx="0">
                  <c:v>Charged rate /$100</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Summary'!$H$134:$H$157</c:f>
              <c:numCache>
                <c:formatCode>\$0.00</c:formatCode>
                <c:ptCount val="24"/>
                <c:pt idx="0">
                  <c:v>0</c:v>
                </c:pt>
                <c:pt idx="1">
                  <c:v>0</c:v>
                </c:pt>
                <c:pt idx="2">
                  <c:v>5.8958985810820721</c:v>
                </c:pt>
                <c:pt idx="3">
                  <c:v>1.257767447083918</c:v>
                </c:pt>
                <c:pt idx="4">
                  <c:v>0.62867125823432413</c:v>
                </c:pt>
                <c:pt idx="5">
                  <c:v>18.144839290540542</c:v>
                </c:pt>
                <c:pt idx="6">
                  <c:v>1.6565270188764283</c:v>
                </c:pt>
                <c:pt idx="7">
                  <c:v>3.6510850674541082</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1-2E12-46CF-A9E6-BDD1F10902EB}"/>
            </c:ext>
          </c:extLst>
        </c:ser>
        <c:dLbls>
          <c:showLegendKey val="0"/>
          <c:showVal val="0"/>
          <c:showCatName val="0"/>
          <c:showSerName val="0"/>
          <c:showPercent val="0"/>
          <c:showBubbleSize val="0"/>
        </c:dLbls>
        <c:hiLowLines>
          <c:spPr>
            <a:ln w="0">
              <a:noFill/>
            </a:ln>
          </c:spPr>
        </c:hiLowLines>
        <c:smooth val="0"/>
        <c:axId val="8962127"/>
        <c:axId val="55513459"/>
      </c:lineChart>
      <c:dateAx>
        <c:axId val="896212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513459"/>
        <c:crosses val="autoZero"/>
        <c:auto val="1"/>
        <c:lblOffset val="100"/>
        <c:baseTimeUnit val="months"/>
      </c:dateAx>
      <c:valAx>
        <c:axId val="5551345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per $100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962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Rate adequacy by month (charged premium / technical premium)</a:t>
            </a:r>
          </a:p>
        </c:rich>
      </c:tx>
      <c:overlay val="0"/>
      <c:spPr>
        <a:noFill/>
        <a:ln w="0">
          <a:noFill/>
        </a:ln>
      </c:spPr>
    </c:title>
    <c:autoTitleDeleted val="0"/>
    <c:plotArea>
      <c:layout/>
      <c:lineChart>
        <c:grouping val="standard"/>
        <c:varyColors val="0"/>
        <c:ser>
          <c:idx val="0"/>
          <c:order val="0"/>
          <c:tx>
            <c:strRef>
              <c:f>'Portfolio Summary'!$I$133</c:f>
              <c:strCache>
                <c:ptCount val="1"/>
                <c:pt idx="0">
                  <c:v>Rate adequacy</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'Portfolio Summary'!$B$134:$B$157</c:f>
              <c:numCache>
                <c:formatCode>mmm\-yy</c:formatCode>
                <c:ptCount val="24"/>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numCache>
            </c:numRef>
          </c:cat>
          <c:val>
            <c:numRef>
              <c:f>'Portfolio Summary'!$I$134:$I$157</c:f>
              <c:numCache>
                <c:formatCode>0.0%</c:formatCode>
                <c:ptCount val="24"/>
                <c:pt idx="0">
                  <c:v>0</c:v>
                </c:pt>
                <c:pt idx="1">
                  <c:v>0</c:v>
                </c:pt>
                <c:pt idx="2">
                  <c:v>1</c:v>
                </c:pt>
                <c:pt idx="3">
                  <c:v>1</c:v>
                </c:pt>
                <c:pt idx="4">
                  <c:v>0.91999999999999993</c:v>
                </c:pt>
                <c:pt idx="5">
                  <c:v>1.1000000000000001</c:v>
                </c:pt>
                <c:pt idx="6">
                  <c:v>0.88</c:v>
                </c:pt>
                <c:pt idx="7">
                  <c:v>1.05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1"/>
          <c:extLst>
            <c:ext xmlns:c16="http://schemas.microsoft.com/office/drawing/2014/chart" uri="{C3380CC4-5D6E-409C-BE32-E72D297353CC}">
              <c16:uniqueId val="{00000000-6357-4212-8462-82C705A8F741}"/>
            </c:ext>
          </c:extLst>
        </c:ser>
        <c:dLbls>
          <c:showLegendKey val="0"/>
          <c:showVal val="0"/>
          <c:showCatName val="0"/>
          <c:showSerName val="0"/>
          <c:showPercent val="0"/>
          <c:showBubbleSize val="0"/>
        </c:dLbls>
        <c:hiLowLines>
          <c:spPr>
            <a:ln w="0">
              <a:noFill/>
            </a:ln>
          </c:spPr>
        </c:hiLowLines>
        <c:smooth val="0"/>
        <c:axId val="10649547"/>
        <c:axId val="55464198"/>
      </c:lineChart>
      <c:dateAx>
        <c:axId val="10649547"/>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Month bound</a:t>
                </a:r>
              </a:p>
            </c:rich>
          </c:tx>
          <c:overlay val="0"/>
          <c:spPr>
            <a:noFill/>
            <a:ln w="0">
              <a:noFill/>
            </a:ln>
          </c:spPr>
        </c:title>
        <c:numFmt formatCode="mmm\-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64198"/>
        <c:crosses val="autoZero"/>
        <c:auto val="1"/>
        <c:lblOffset val="100"/>
        <c:baseTimeUnit val="months"/>
      </c:dateAx>
      <c:valAx>
        <c:axId val="5546419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Rate adequacy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064954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132</xdr:row>
      <xdr:rowOff>0</xdr:rowOff>
    </xdr:from>
    <xdr:to>
      <xdr:col>21</xdr:col>
      <xdr:colOff>581760</xdr:colOff>
      <xdr:row>148</xdr:row>
      <xdr:rowOff>1440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151</xdr:row>
      <xdr:rowOff>0</xdr:rowOff>
    </xdr:from>
    <xdr:to>
      <xdr:col>21</xdr:col>
      <xdr:colOff>581760</xdr:colOff>
      <xdr:row>168</xdr:row>
      <xdr:rowOff>1080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58"/>
  <sheetViews>
    <sheetView showGridLines="0" tabSelected="1" zoomScaleNormal="100" workbookViewId="0"/>
  </sheetViews>
  <sheetFormatPr defaultColWidth="8.7109375" defaultRowHeight="15" x14ac:dyDescent="0.25"/>
  <cols>
    <col min="1" max="1" width="2" customWidth="1"/>
    <col min="2" max="2" width="34" customWidth="1"/>
    <col min="3" max="3" width="92" customWidth="1"/>
    <col min="4" max="7" width="14" customWidth="1"/>
  </cols>
  <sheetData>
    <row r="1" spans="2:7" ht="25.5" customHeight="1" x14ac:dyDescent="0.25">
      <c r="B1" s="14" t="s">
        <v>0</v>
      </c>
      <c r="C1" s="14"/>
      <c r="D1" s="14"/>
      <c r="E1" s="14"/>
      <c r="F1" s="14"/>
      <c r="G1" s="14"/>
    </row>
    <row r="2" spans="2:7" ht="15" customHeight="1" x14ac:dyDescent="0.25">
      <c r="B2" s="13" t="s">
        <v>1</v>
      </c>
      <c r="C2" s="13"/>
      <c r="D2" s="13"/>
      <c r="E2" s="13"/>
      <c r="F2" s="13"/>
      <c r="G2" s="13"/>
    </row>
    <row r="4" spans="2:7" ht="18" customHeight="1" x14ac:dyDescent="0.25">
      <c r="B4" s="12" t="s">
        <v>2</v>
      </c>
      <c r="C4" s="12"/>
      <c r="D4" s="12"/>
      <c r="E4" s="12"/>
      <c r="F4" s="12"/>
      <c r="G4" s="12"/>
    </row>
    <row r="6" spans="2:7" ht="42" customHeight="1" x14ac:dyDescent="0.25">
      <c r="B6" s="15" t="s">
        <v>3</v>
      </c>
      <c r="C6" s="16" t="s">
        <v>4</v>
      </c>
    </row>
    <row r="7" spans="2:7" ht="30" customHeight="1" x14ac:dyDescent="0.25">
      <c r="B7" s="15" t="s">
        <v>5</v>
      </c>
      <c r="C7" s="16" t="s">
        <v>6</v>
      </c>
    </row>
    <row r="8" spans="2:7" ht="42" customHeight="1" x14ac:dyDescent="0.25">
      <c r="B8" s="15" t="s">
        <v>7</v>
      </c>
      <c r="C8" s="16" t="s">
        <v>8</v>
      </c>
    </row>
    <row r="9" spans="2:7" ht="30" customHeight="1" x14ac:dyDescent="0.25">
      <c r="B9" s="15" t="s">
        <v>9</v>
      </c>
      <c r="C9" s="16" t="s">
        <v>10</v>
      </c>
    </row>
    <row r="10" spans="2:7" ht="30" customHeight="1" x14ac:dyDescent="0.25">
      <c r="B10" s="15" t="s">
        <v>11</v>
      </c>
      <c r="C10" s="16" t="s">
        <v>12</v>
      </c>
    </row>
    <row r="11" spans="2:7" ht="30" customHeight="1" x14ac:dyDescent="0.25">
      <c r="B11" s="15" t="s">
        <v>13</v>
      </c>
      <c r="C11" s="16" t="s">
        <v>14</v>
      </c>
    </row>
    <row r="12" spans="2:7" ht="30" customHeight="1" x14ac:dyDescent="0.25">
      <c r="B12" s="15" t="s">
        <v>15</v>
      </c>
      <c r="C12" s="16" t="s">
        <v>16</v>
      </c>
    </row>
    <row r="13" spans="2:7" ht="42" customHeight="1" x14ac:dyDescent="0.25">
      <c r="B13" s="15" t="s">
        <v>17</v>
      </c>
      <c r="C13" s="16" t="s">
        <v>18</v>
      </c>
    </row>
    <row r="14" spans="2:7" ht="42" customHeight="1" x14ac:dyDescent="0.25">
      <c r="B14" s="15" t="s">
        <v>19</v>
      </c>
      <c r="C14" s="16" t="s">
        <v>20</v>
      </c>
    </row>
    <row r="15" spans="2:7" ht="30" customHeight="1" x14ac:dyDescent="0.25">
      <c r="B15" s="15" t="s">
        <v>21</v>
      </c>
      <c r="C15" s="16" t="s">
        <v>22</v>
      </c>
    </row>
    <row r="16" spans="2:7" ht="30" customHeight="1" x14ac:dyDescent="0.25">
      <c r="B16" s="15" t="s">
        <v>23</v>
      </c>
      <c r="C16" s="16" t="s">
        <v>24</v>
      </c>
    </row>
    <row r="17" spans="2:7" ht="42" customHeight="1" x14ac:dyDescent="0.25">
      <c r="B17" s="15" t="s">
        <v>25</v>
      </c>
      <c r="C17" s="16" t="s">
        <v>26</v>
      </c>
    </row>
    <row r="18" spans="2:7" ht="30" customHeight="1" x14ac:dyDescent="0.25">
      <c r="B18" s="15" t="s">
        <v>27</v>
      </c>
      <c r="C18" s="16" t="s">
        <v>28</v>
      </c>
    </row>
    <row r="19" spans="2:7" ht="30" customHeight="1" x14ac:dyDescent="0.25">
      <c r="B19" s="15" t="s">
        <v>29</v>
      </c>
      <c r="C19" s="16" t="s">
        <v>30</v>
      </c>
    </row>
    <row r="20" spans="2:7" ht="30" customHeight="1" x14ac:dyDescent="0.25">
      <c r="B20" s="15" t="s">
        <v>31</v>
      </c>
      <c r="C20" s="16" t="s">
        <v>32</v>
      </c>
    </row>
    <row r="21" spans="2:7" ht="30" customHeight="1" x14ac:dyDescent="0.25">
      <c r="B21" s="15" t="s">
        <v>33</v>
      </c>
      <c r="C21" s="16" t="s">
        <v>34</v>
      </c>
    </row>
    <row r="22" spans="2:7" ht="30" customHeight="1" x14ac:dyDescent="0.25">
      <c r="B22" s="15" t="s">
        <v>35</v>
      </c>
      <c r="C22" s="16" t="s">
        <v>36</v>
      </c>
    </row>
    <row r="23" spans="2:7" ht="42" customHeight="1" x14ac:dyDescent="0.25">
      <c r="B23" s="15" t="s">
        <v>37</v>
      </c>
      <c r="C23" s="16" t="s">
        <v>38</v>
      </c>
    </row>
    <row r="24" spans="2:7" ht="42" customHeight="1" x14ac:dyDescent="0.25">
      <c r="B24" s="15" t="s">
        <v>39</v>
      </c>
      <c r="C24" s="16" t="s">
        <v>40</v>
      </c>
    </row>
    <row r="25" spans="2:7" ht="42" customHeight="1" x14ac:dyDescent="0.25">
      <c r="B25" s="15" t="s">
        <v>41</v>
      </c>
      <c r="C25" s="16" t="s">
        <v>42</v>
      </c>
    </row>
    <row r="26" spans="2:7" ht="30" customHeight="1" x14ac:dyDescent="0.25">
      <c r="B26" s="15" t="s">
        <v>43</v>
      </c>
      <c r="C26" s="16" t="s">
        <v>44</v>
      </c>
    </row>
    <row r="27" spans="2:7" ht="30" customHeight="1" x14ac:dyDescent="0.25">
      <c r="B27" s="15" t="s">
        <v>45</v>
      </c>
      <c r="C27" s="16" t="s">
        <v>46</v>
      </c>
    </row>
    <row r="29" spans="2:7" ht="18" customHeight="1" x14ac:dyDescent="0.25">
      <c r="B29" s="12" t="s">
        <v>47</v>
      </c>
      <c r="C29" s="12"/>
      <c r="D29" s="12"/>
      <c r="E29" s="12"/>
      <c r="F29" s="12"/>
      <c r="G29" s="12"/>
    </row>
    <row r="31" spans="2:7" x14ac:dyDescent="0.25">
      <c r="B31" s="17" t="s">
        <v>48</v>
      </c>
      <c r="C31" s="18" t="s">
        <v>49</v>
      </c>
    </row>
    <row r="32" spans="2:7" x14ac:dyDescent="0.25">
      <c r="B32" s="19" t="s">
        <v>50</v>
      </c>
      <c r="C32" s="18" t="s">
        <v>51</v>
      </c>
    </row>
    <row r="33" spans="2:7" x14ac:dyDescent="0.25">
      <c r="B33" s="20" t="s">
        <v>52</v>
      </c>
      <c r="C33" s="18" t="s">
        <v>53</v>
      </c>
    </row>
    <row r="34" spans="2:7" x14ac:dyDescent="0.25">
      <c r="B34" s="21" t="s">
        <v>54</v>
      </c>
      <c r="C34" s="18" t="s">
        <v>55</v>
      </c>
    </row>
    <row r="36" spans="2:7" ht="18" customHeight="1" x14ac:dyDescent="0.25">
      <c r="B36" s="12" t="s">
        <v>56</v>
      </c>
      <c r="C36" s="12"/>
      <c r="D36" s="12"/>
      <c r="E36" s="12"/>
      <c r="F36" s="12"/>
      <c r="G36" s="12"/>
    </row>
    <row r="38" spans="2:7" x14ac:dyDescent="0.25">
      <c r="B38" s="11" t="s">
        <v>57</v>
      </c>
      <c r="C38" s="11"/>
      <c r="D38" s="11"/>
      <c r="E38" s="11"/>
      <c r="F38" s="11"/>
      <c r="G38" s="11"/>
    </row>
    <row r="39" spans="2:7" x14ac:dyDescent="0.25">
      <c r="B39" s="11" t="s">
        <v>58</v>
      </c>
      <c r="C39" s="11"/>
      <c r="D39" s="11"/>
      <c r="E39" s="11"/>
      <c r="F39" s="11"/>
      <c r="G39" s="11"/>
    </row>
    <row r="40" spans="2:7" x14ac:dyDescent="0.25">
      <c r="B40" s="11" t="s">
        <v>59</v>
      </c>
      <c r="C40" s="11"/>
      <c r="D40" s="11"/>
      <c r="E40" s="11"/>
      <c r="F40" s="11"/>
      <c r="G40" s="11"/>
    </row>
    <row r="41" spans="2:7" x14ac:dyDescent="0.25">
      <c r="B41" s="11" t="s">
        <v>60</v>
      </c>
      <c r="C41" s="11"/>
      <c r="D41" s="11"/>
      <c r="E41" s="11"/>
      <c r="F41" s="11"/>
      <c r="G41" s="11"/>
    </row>
    <row r="42" spans="2:7" x14ac:dyDescent="0.25">
      <c r="B42" s="11" t="s">
        <v>61</v>
      </c>
      <c r="C42" s="11"/>
      <c r="D42" s="11"/>
      <c r="E42" s="11"/>
      <c r="F42" s="11"/>
      <c r="G42" s="11"/>
    </row>
    <row r="43" spans="2:7" x14ac:dyDescent="0.25">
      <c r="B43" s="11" t="s">
        <v>62</v>
      </c>
      <c r="C43" s="11"/>
      <c r="D43" s="11"/>
      <c r="E43" s="11"/>
      <c r="F43" s="11"/>
      <c r="G43" s="11"/>
    </row>
    <row r="44" spans="2:7" x14ac:dyDescent="0.25">
      <c r="B44" s="11" t="s">
        <v>63</v>
      </c>
      <c r="C44" s="11"/>
      <c r="D44" s="11"/>
      <c r="E44" s="11"/>
      <c r="F44" s="11"/>
      <c r="G44" s="11"/>
    </row>
    <row r="45" spans="2:7" x14ac:dyDescent="0.25">
      <c r="B45" s="11" t="s">
        <v>64</v>
      </c>
      <c r="C45" s="11"/>
      <c r="D45" s="11"/>
      <c r="E45" s="11"/>
      <c r="F45" s="11"/>
      <c r="G45" s="11"/>
    </row>
    <row r="46" spans="2:7" x14ac:dyDescent="0.25">
      <c r="B46" s="11" t="s">
        <v>65</v>
      </c>
      <c r="C46" s="11"/>
      <c r="D46" s="11"/>
      <c r="E46" s="11"/>
      <c r="F46" s="11"/>
      <c r="G46" s="11"/>
    </row>
    <row r="47" spans="2:7" x14ac:dyDescent="0.25">
      <c r="B47" s="11" t="s">
        <v>66</v>
      </c>
      <c r="C47" s="11"/>
      <c r="D47" s="11"/>
      <c r="E47" s="11"/>
      <c r="F47" s="11"/>
      <c r="G47" s="11"/>
    </row>
    <row r="48" spans="2:7" x14ac:dyDescent="0.25">
      <c r="B48" s="11" t="s">
        <v>67</v>
      </c>
      <c r="C48" s="11"/>
      <c r="D48" s="11"/>
      <c r="E48" s="11"/>
      <c r="F48" s="11"/>
      <c r="G48" s="11"/>
    </row>
    <row r="49" spans="2:7" x14ac:dyDescent="0.25">
      <c r="B49" s="11" t="s">
        <v>68</v>
      </c>
      <c r="C49" s="11"/>
      <c r="D49" s="11"/>
      <c r="E49" s="11"/>
      <c r="F49" s="11"/>
      <c r="G49" s="11"/>
    </row>
    <row r="51" spans="2:7" ht="18" customHeight="1" x14ac:dyDescent="0.25">
      <c r="B51" s="12" t="s">
        <v>69</v>
      </c>
      <c r="C51" s="12"/>
      <c r="D51" s="12"/>
      <c r="E51" s="12"/>
      <c r="F51" s="12"/>
      <c r="G51" s="12"/>
    </row>
    <row r="53" spans="2:7" ht="39.75" customHeight="1" x14ac:dyDescent="0.25">
      <c r="B53" s="10" t="s">
        <v>70</v>
      </c>
      <c r="C53" s="10"/>
      <c r="D53" s="10"/>
      <c r="E53" s="10"/>
      <c r="F53" s="10"/>
      <c r="G53" s="10"/>
    </row>
    <row r="54" spans="2:7" ht="39.75" customHeight="1" x14ac:dyDescent="0.25">
      <c r="B54" s="10" t="s">
        <v>71</v>
      </c>
      <c r="C54" s="10"/>
      <c r="D54" s="10"/>
      <c r="E54" s="10"/>
      <c r="F54" s="10"/>
      <c r="G54" s="10"/>
    </row>
    <row r="55" spans="2:7" ht="39.75" customHeight="1" x14ac:dyDescent="0.25">
      <c r="B55" s="10" t="s">
        <v>72</v>
      </c>
      <c r="C55" s="10"/>
      <c r="D55" s="10"/>
      <c r="E55" s="10"/>
      <c r="F55" s="10"/>
      <c r="G55" s="10"/>
    </row>
    <row r="56" spans="2:7" ht="39.75" customHeight="1" x14ac:dyDescent="0.25">
      <c r="B56" s="10" t="s">
        <v>73</v>
      </c>
      <c r="C56" s="10"/>
      <c r="D56" s="10"/>
      <c r="E56" s="10"/>
      <c r="F56" s="10"/>
      <c r="G56" s="10"/>
    </row>
    <row r="57" spans="2:7" ht="39.75" customHeight="1" x14ac:dyDescent="0.25">
      <c r="B57" s="10" t="s">
        <v>74</v>
      </c>
      <c r="C57" s="10"/>
      <c r="D57" s="10"/>
      <c r="E57" s="10"/>
      <c r="F57" s="10"/>
      <c r="G57" s="10"/>
    </row>
    <row r="58" spans="2:7" ht="39.75" customHeight="1" x14ac:dyDescent="0.25">
      <c r="B58" s="10" t="s">
        <v>75</v>
      </c>
      <c r="C58" s="10"/>
      <c r="D58" s="10"/>
      <c r="E58" s="10"/>
      <c r="F58" s="10"/>
      <c r="G58" s="10"/>
    </row>
  </sheetData>
  <mergeCells count="24">
    <mergeCell ref="B55:G55"/>
    <mergeCell ref="B56:G56"/>
    <mergeCell ref="B57:G57"/>
    <mergeCell ref="B58:G58"/>
    <mergeCell ref="B48:G48"/>
    <mergeCell ref="B49:G49"/>
    <mergeCell ref="B51:G51"/>
    <mergeCell ref="B53:G53"/>
    <mergeCell ref="B54:G54"/>
    <mergeCell ref="B43:G43"/>
    <mergeCell ref="B44:G44"/>
    <mergeCell ref="B45:G45"/>
    <mergeCell ref="B46:G46"/>
    <mergeCell ref="B47:G47"/>
    <mergeCell ref="B38:G38"/>
    <mergeCell ref="B39:G39"/>
    <mergeCell ref="B40:G40"/>
    <mergeCell ref="B41:G41"/>
    <mergeCell ref="B42:G42"/>
    <mergeCell ref="B1:G1"/>
    <mergeCell ref="B2:G2"/>
    <mergeCell ref="B4:G4"/>
    <mergeCell ref="B29:G29"/>
    <mergeCell ref="B36:G3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6"/>
  <sheetViews>
    <sheetView showGridLines="0" zoomScaleNormal="100" workbookViewId="0"/>
  </sheetViews>
  <sheetFormatPr defaultColWidth="8.7109375" defaultRowHeight="15" x14ac:dyDescent="0.25"/>
  <cols>
    <col min="1" max="1" width="2" customWidth="1"/>
    <col min="2" max="2" width="32" customWidth="1"/>
    <col min="3" max="3" width="68" customWidth="1"/>
    <col min="4" max="4" width="30" customWidth="1"/>
    <col min="5" max="5" width="20" customWidth="1"/>
    <col min="6" max="6" width="18" customWidth="1"/>
  </cols>
  <sheetData>
    <row r="1" spans="2:6" ht="25.5" customHeight="1" x14ac:dyDescent="0.25">
      <c r="B1" s="14" t="s">
        <v>76</v>
      </c>
      <c r="C1" s="14"/>
      <c r="D1" s="14"/>
      <c r="E1" s="14"/>
      <c r="F1" s="14"/>
    </row>
    <row r="2" spans="2:6" ht="15" customHeight="1" x14ac:dyDescent="0.25">
      <c r="B2" s="13" t="s">
        <v>77</v>
      </c>
      <c r="C2" s="13"/>
      <c r="D2" s="13"/>
      <c r="E2" s="13"/>
      <c r="F2" s="13"/>
    </row>
    <row r="4" spans="2:6" ht="18" customHeight="1" x14ac:dyDescent="0.25">
      <c r="B4" s="12" t="s">
        <v>78</v>
      </c>
      <c r="C4" s="12"/>
      <c r="D4" s="12"/>
      <c r="E4" s="12"/>
      <c r="F4" s="12"/>
    </row>
    <row r="5" spans="2:6" ht="30" customHeight="1" x14ac:dyDescent="0.25">
      <c r="B5" s="22" t="s">
        <v>79</v>
      </c>
      <c r="C5" s="22" t="s">
        <v>80</v>
      </c>
      <c r="D5" s="22" t="s">
        <v>81</v>
      </c>
    </row>
    <row r="6" spans="2:6" ht="31.5" customHeight="1" x14ac:dyDescent="0.25">
      <c r="B6" s="23" t="s">
        <v>82</v>
      </c>
      <c r="C6" s="9" t="s">
        <v>83</v>
      </c>
      <c r="D6" s="9"/>
      <c r="E6" s="9" t="s">
        <v>84</v>
      </c>
      <c r="F6" s="9"/>
    </row>
    <row r="7" spans="2:6" ht="31.5" customHeight="1" x14ac:dyDescent="0.25">
      <c r="B7" s="25" t="s">
        <v>85</v>
      </c>
      <c r="C7" s="8" t="s">
        <v>86</v>
      </c>
      <c r="D7" s="8"/>
      <c r="E7" s="8" t="s">
        <v>87</v>
      </c>
      <c r="F7" s="8"/>
    </row>
    <row r="8" spans="2:6" ht="31.5" customHeight="1" x14ac:dyDescent="0.25">
      <c r="B8" s="23" t="s">
        <v>88</v>
      </c>
      <c r="C8" s="9" t="s">
        <v>89</v>
      </c>
      <c r="D8" s="9"/>
      <c r="E8" s="9" t="s">
        <v>90</v>
      </c>
      <c r="F8" s="9"/>
    </row>
    <row r="9" spans="2:6" ht="31.5" customHeight="1" x14ac:dyDescent="0.25">
      <c r="B9" s="25" t="s">
        <v>91</v>
      </c>
      <c r="C9" s="8" t="s">
        <v>92</v>
      </c>
      <c r="D9" s="8"/>
      <c r="E9" s="8" t="s">
        <v>93</v>
      </c>
      <c r="F9" s="8"/>
    </row>
    <row r="10" spans="2:6" ht="31.5" customHeight="1" x14ac:dyDescent="0.25">
      <c r="B10" s="23" t="s">
        <v>94</v>
      </c>
      <c r="C10" s="9" t="s">
        <v>95</v>
      </c>
      <c r="D10" s="9"/>
      <c r="E10" s="9" t="s">
        <v>96</v>
      </c>
      <c r="F10" s="9"/>
    </row>
    <row r="11" spans="2:6" ht="31.5" customHeight="1" x14ac:dyDescent="0.25">
      <c r="B11" s="25" t="s">
        <v>97</v>
      </c>
      <c r="C11" s="8" t="s">
        <v>98</v>
      </c>
      <c r="D11" s="8"/>
      <c r="E11" s="8" t="s">
        <v>96</v>
      </c>
      <c r="F11" s="8"/>
    </row>
    <row r="12" spans="2:6" ht="31.5" customHeight="1" x14ac:dyDescent="0.25">
      <c r="B12" s="23" t="s">
        <v>99</v>
      </c>
      <c r="C12" s="9" t="s">
        <v>100</v>
      </c>
      <c r="D12" s="9"/>
      <c r="E12" s="9" t="s">
        <v>101</v>
      </c>
      <c r="F12" s="9"/>
    </row>
    <row r="13" spans="2:6" ht="31.5" customHeight="1" x14ac:dyDescent="0.25">
      <c r="B13" s="25" t="s">
        <v>102</v>
      </c>
      <c r="C13" s="8" t="s">
        <v>103</v>
      </c>
      <c r="D13" s="8"/>
      <c r="E13" s="8" t="s">
        <v>96</v>
      </c>
      <c r="F13" s="8"/>
    </row>
    <row r="14" spans="2:6" ht="31.5" customHeight="1" x14ac:dyDescent="0.25">
      <c r="B14" s="23" t="s">
        <v>104</v>
      </c>
      <c r="C14" s="9" t="s">
        <v>105</v>
      </c>
      <c r="D14" s="9"/>
      <c r="E14" s="9" t="s">
        <v>106</v>
      </c>
      <c r="F14" s="9"/>
    </row>
    <row r="15" spans="2:6" ht="31.5" customHeight="1" x14ac:dyDescent="0.25">
      <c r="B15" s="25" t="s">
        <v>107</v>
      </c>
      <c r="C15" s="8" t="s">
        <v>108</v>
      </c>
      <c r="D15" s="8"/>
      <c r="E15" s="8" t="s">
        <v>96</v>
      </c>
      <c r="F15" s="8"/>
    </row>
    <row r="16" spans="2:6" ht="31.5" customHeight="1" x14ac:dyDescent="0.25">
      <c r="B16" s="23" t="s">
        <v>109</v>
      </c>
      <c r="C16" s="9" t="s">
        <v>110</v>
      </c>
      <c r="D16" s="9"/>
      <c r="E16" s="9" t="s">
        <v>111</v>
      </c>
      <c r="F16" s="9"/>
    </row>
    <row r="17" spans="2:6" ht="31.5" customHeight="1" x14ac:dyDescent="0.25">
      <c r="B17" s="25" t="s">
        <v>112</v>
      </c>
      <c r="C17" s="8" t="s">
        <v>113</v>
      </c>
      <c r="D17" s="8"/>
      <c r="E17" s="8" t="s">
        <v>114</v>
      </c>
      <c r="F17" s="8"/>
    </row>
    <row r="18" spans="2:6" ht="31.5" customHeight="1" x14ac:dyDescent="0.25">
      <c r="B18" s="23" t="s">
        <v>115</v>
      </c>
      <c r="C18" s="9" t="s">
        <v>116</v>
      </c>
      <c r="D18" s="9"/>
      <c r="E18" s="9" t="s">
        <v>117</v>
      </c>
      <c r="F18" s="9"/>
    </row>
    <row r="19" spans="2:6" ht="31.5" customHeight="1" x14ac:dyDescent="0.25">
      <c r="B19" s="25" t="s">
        <v>118</v>
      </c>
      <c r="C19" s="8" t="s">
        <v>119</v>
      </c>
      <c r="D19" s="8"/>
      <c r="E19" s="8" t="s">
        <v>120</v>
      </c>
      <c r="F19" s="8"/>
    </row>
    <row r="20" spans="2:6" ht="31.5" customHeight="1" x14ac:dyDescent="0.25">
      <c r="B20" s="23" t="s">
        <v>121</v>
      </c>
      <c r="C20" s="9" t="s">
        <v>122</v>
      </c>
      <c r="D20" s="9"/>
      <c r="E20" s="9" t="s">
        <v>123</v>
      </c>
      <c r="F20" s="9"/>
    </row>
    <row r="21" spans="2:6" ht="31.5" customHeight="1" x14ac:dyDescent="0.25">
      <c r="B21" s="25" t="s">
        <v>124</v>
      </c>
      <c r="C21" s="8" t="s">
        <v>125</v>
      </c>
      <c r="D21" s="8"/>
      <c r="E21" s="8" t="s">
        <v>126</v>
      </c>
      <c r="F21" s="8"/>
    </row>
    <row r="22" spans="2:6" ht="31.5" customHeight="1" x14ac:dyDescent="0.25">
      <c r="B22" s="23" t="s">
        <v>127</v>
      </c>
      <c r="C22" s="9" t="s">
        <v>128</v>
      </c>
      <c r="D22" s="9"/>
      <c r="E22" s="9" t="s">
        <v>45</v>
      </c>
      <c r="F22" s="9"/>
    </row>
    <row r="23" spans="2:6" ht="31.5" customHeight="1" x14ac:dyDescent="0.25">
      <c r="B23" s="25" t="s">
        <v>129</v>
      </c>
      <c r="C23" s="8" t="s">
        <v>130</v>
      </c>
      <c r="D23" s="8"/>
      <c r="E23" s="8" t="s">
        <v>43</v>
      </c>
      <c r="F23" s="8"/>
    </row>
    <row r="25" spans="2:6" ht="18" customHeight="1" x14ac:dyDescent="0.25">
      <c r="B25" s="12" t="s">
        <v>131</v>
      </c>
      <c r="C25" s="12"/>
      <c r="D25" s="12"/>
      <c r="E25" s="12"/>
      <c r="F25" s="12"/>
    </row>
    <row r="26" spans="2:6" ht="30" customHeight="1" x14ac:dyDescent="0.25">
      <c r="B26" s="22" t="s">
        <v>132</v>
      </c>
      <c r="C26" s="22" t="s">
        <v>133</v>
      </c>
      <c r="D26" s="22"/>
      <c r="E26" s="22" t="s">
        <v>134</v>
      </c>
      <c r="F26" s="22" t="s">
        <v>135</v>
      </c>
    </row>
    <row r="27" spans="2:6" x14ac:dyDescent="0.25">
      <c r="B27" s="20" t="s">
        <v>136</v>
      </c>
      <c r="C27" s="7" t="s">
        <v>137</v>
      </c>
      <c r="D27" s="7"/>
      <c r="E27" s="28">
        <f>'Rating Engine'!C56</f>
        <v>1.1499999999999999</v>
      </c>
      <c r="F27" s="29"/>
    </row>
    <row r="28" spans="2:6" x14ac:dyDescent="0.25">
      <c r="B28" s="20" t="s">
        <v>138</v>
      </c>
      <c r="C28" s="7" t="s">
        <v>139</v>
      </c>
      <c r="D28" s="7"/>
      <c r="E28" s="30">
        <f>'Rating Engine'!C91/'Rating Engine'!C11*100</f>
        <v>1.6460710673965873</v>
      </c>
      <c r="F28" s="31">
        <f>'Rating Engine'!C91</f>
        <v>6995.8020364354952</v>
      </c>
    </row>
    <row r="29" spans="2:6" x14ac:dyDescent="0.25">
      <c r="B29" s="20" t="s">
        <v>140</v>
      </c>
      <c r="C29" s="7" t="s">
        <v>141</v>
      </c>
      <c r="D29" s="7"/>
      <c r="E29" s="30">
        <f>'Rating Engine'!C103/'Rating Engine'!C11*100</f>
        <v>3.27222371250055</v>
      </c>
      <c r="F29" s="31">
        <f>'Rating Engine'!C103</f>
        <v>13906.950778127337</v>
      </c>
    </row>
    <row r="30" spans="2:6" x14ac:dyDescent="0.25">
      <c r="B30" s="32" t="s">
        <v>142</v>
      </c>
      <c r="C30" s="6" t="s">
        <v>143</v>
      </c>
      <c r="D30" s="6"/>
      <c r="E30" s="33">
        <f>'Rating Engine'!C106</f>
        <v>5.8958985810820721</v>
      </c>
      <c r="F30" s="34">
        <f>'Rating Engine'!C105</f>
        <v>25057.568969598808</v>
      </c>
    </row>
    <row r="31" spans="2:6" x14ac:dyDescent="0.25">
      <c r="B31" s="20" t="s">
        <v>144</v>
      </c>
      <c r="C31" s="7" t="s">
        <v>145</v>
      </c>
      <c r="D31" s="7"/>
      <c r="E31" s="30">
        <f>'Rating Engine'!C109</f>
        <v>5.8958985810820721</v>
      </c>
      <c r="F31" s="31">
        <f>'Rating Engine'!C108</f>
        <v>25057.568969598808</v>
      </c>
    </row>
    <row r="32" spans="2:6" x14ac:dyDescent="0.25">
      <c r="B32" s="20" t="s">
        <v>146</v>
      </c>
      <c r="C32" s="7" t="s">
        <v>147</v>
      </c>
      <c r="D32" s="7"/>
      <c r="E32" s="35">
        <f>'Rating Engine'!C110</f>
        <v>1</v>
      </c>
      <c r="F32" s="29"/>
    </row>
    <row r="34" spans="2:6" ht="15" customHeight="1" x14ac:dyDescent="0.25">
      <c r="B34" s="10" t="s">
        <v>148</v>
      </c>
      <c r="C34" s="10"/>
      <c r="D34" s="10"/>
      <c r="E34" s="10"/>
      <c r="F34" s="10"/>
    </row>
    <row r="35" spans="2:6" x14ac:dyDescent="0.25">
      <c r="B35" s="10"/>
      <c r="C35" s="10"/>
      <c r="D35" s="10"/>
      <c r="E35" s="10"/>
      <c r="F35" s="10"/>
    </row>
    <row r="36" spans="2:6" x14ac:dyDescent="0.25">
      <c r="B36" s="10"/>
      <c r="C36" s="10"/>
      <c r="D36" s="10"/>
      <c r="E36" s="10"/>
      <c r="F36" s="10"/>
    </row>
  </sheetData>
  <mergeCells count="47">
    <mergeCell ref="C32:D32"/>
    <mergeCell ref="B34:F36"/>
    <mergeCell ref="C27:D27"/>
    <mergeCell ref="C28:D28"/>
    <mergeCell ref="C29:D29"/>
    <mergeCell ref="C30:D30"/>
    <mergeCell ref="C31:D31"/>
    <mergeCell ref="C22:D22"/>
    <mergeCell ref="E22:F22"/>
    <mergeCell ref="C23:D23"/>
    <mergeCell ref="E23:F23"/>
    <mergeCell ref="B25:F25"/>
    <mergeCell ref="C19:D19"/>
    <mergeCell ref="E19:F19"/>
    <mergeCell ref="C20:D20"/>
    <mergeCell ref="E20:F20"/>
    <mergeCell ref="C21:D21"/>
    <mergeCell ref="E21:F21"/>
    <mergeCell ref="C16:D16"/>
    <mergeCell ref="E16:F16"/>
    <mergeCell ref="C17:D17"/>
    <mergeCell ref="E17:F17"/>
    <mergeCell ref="C18:D18"/>
    <mergeCell ref="E18:F18"/>
    <mergeCell ref="C13:D13"/>
    <mergeCell ref="E13:F13"/>
    <mergeCell ref="C14:D14"/>
    <mergeCell ref="E14:F14"/>
    <mergeCell ref="C15:D15"/>
    <mergeCell ref="E15:F15"/>
    <mergeCell ref="C10:D10"/>
    <mergeCell ref="E10:F10"/>
    <mergeCell ref="C11:D11"/>
    <mergeCell ref="E11:F11"/>
    <mergeCell ref="C12:D12"/>
    <mergeCell ref="E12:F12"/>
    <mergeCell ref="C7:D7"/>
    <mergeCell ref="E7:F7"/>
    <mergeCell ref="C8:D8"/>
    <mergeCell ref="E8:F8"/>
    <mergeCell ref="C9:D9"/>
    <mergeCell ref="E9:F9"/>
    <mergeCell ref="B1:F1"/>
    <mergeCell ref="B2:F2"/>
    <mergeCell ref="B4:F4"/>
    <mergeCell ref="C6:D6"/>
    <mergeCell ref="E6:F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22"/>
  <sheetViews>
    <sheetView showGridLines="0" zoomScaleNormal="100" workbookViewId="0"/>
  </sheetViews>
  <sheetFormatPr defaultColWidth="8.7109375" defaultRowHeight="15" x14ac:dyDescent="0.25"/>
  <cols>
    <col min="1" max="1" width="2" customWidth="1"/>
    <col min="2" max="2" width="44" customWidth="1"/>
    <col min="3" max="3" width="34" customWidth="1"/>
    <col min="4" max="4" width="96" customWidth="1"/>
  </cols>
  <sheetData>
    <row r="1" spans="2:4" ht="25.5" customHeight="1" x14ac:dyDescent="0.25">
      <c r="B1" s="14" t="s">
        <v>149</v>
      </c>
      <c r="C1" s="14"/>
      <c r="D1" s="14"/>
    </row>
    <row r="2" spans="2:4" ht="15" customHeight="1" x14ac:dyDescent="0.25">
      <c r="B2" s="13" t="s">
        <v>150</v>
      </c>
      <c r="C2" s="13"/>
      <c r="D2" s="13"/>
    </row>
    <row r="4" spans="2:4" ht="18" customHeight="1" x14ac:dyDescent="0.25">
      <c r="B4" s="12" t="s">
        <v>151</v>
      </c>
      <c r="C4" s="12"/>
      <c r="D4" s="12"/>
    </row>
    <row r="5" spans="2:4" x14ac:dyDescent="0.25">
      <c r="B5" s="36" t="s">
        <v>152</v>
      </c>
      <c r="C5" s="37" t="inlineStr">
        <is>
          <t xml:space="preserve">CANON-202607-009534 - Thaddeus Castellanos</t>
        </is>
      </c>
      <c r="D5" s="38" t="s">
        <v>154</v>
      </c>
    </row>
    <row r="6" spans="2:4" x14ac:dyDescent="0.25">
      <c r="B6" s="36" t="s">
        <v>155</v>
      </c>
      <c r="C6" s="39">
        <v>46227</v>
      </c>
      <c r="D6" s="38" t="s">
        <v>156</v>
      </c>
    </row>
    <row r="7" spans="2:4" x14ac:dyDescent="0.25">
      <c r="B7" s="36" t="s">
        <v>157</v>
      </c>
      <c r="C7" s="37">
        <v>1984</v>
      </c>
      <c r="D7" s="38" t="s">
        <v>158</v>
      </c>
    </row>
    <row r="8" spans="2:4" x14ac:dyDescent="0.25">
      <c r="B8" s="36" t="s">
        <v>159</v>
      </c>
      <c r="C8" s="37" t="inlineStr">
        <is>
          <t xml:space="preserve">Ferrari</t>
        </is>
      </c>
      <c r="D8" s="38" t="s">
        <v>161</v>
      </c>
    </row>
    <row r="9" spans="2:4" x14ac:dyDescent="0.25">
      <c r="B9" s="36" t="s">
        <v>162</v>
      </c>
      <c r="C9" s="37" t="inlineStr">
        <is>
          <t xml:space="preserve">275 GTB/4</t>
        </is>
      </c>
      <c r="D9" s="38" t="s">
        <v>164</v>
      </c>
    </row>
    <row r="10" spans="2:4" x14ac:dyDescent="0.25">
      <c r="B10" s="36" t="s">
        <v>165</v>
      </c>
      <c r="C10" s="37" t="inlineStr">
        <is>
          <t xml:space="preserve">08 - Modern Classic (1973-1999)</t>
        </is>
      </c>
      <c r="D10" s="38" t="s">
        <v>167</v>
      </c>
    </row>
    <row r="11" spans="2:4" ht="24" x14ac:dyDescent="0.25">
      <c r="B11" s="36" t="s">
        <v>168</v>
      </c>
      <c r="C11" s="40">
        <v>1950000</v>
      </c>
      <c r="D11" s="38" t="s">
        <v>169</v>
      </c>
    </row>
    <row r="12" spans="2:4" x14ac:dyDescent="0.25">
      <c r="B12" s="36" t="s">
        <v>170</v>
      </c>
      <c r="C12" s="37" t="inlineStr">
        <is>
          <t xml:space="preserve">Iowa</t>
        </is>
      </c>
      <c r="D12" s="38" t="s">
        <v>172</v>
      </c>
    </row>
    <row r="13" spans="2:4" x14ac:dyDescent="0.25">
      <c r="B13" s="36" t="s">
        <v>173</v>
      </c>
      <c r="C13" s="37" t="inlineStr">
        <is>
          <t xml:space="preserve">50309</t>
        </is>
      </c>
      <c r="D13" s="41" t="s">
        <v>175</v>
      </c>
    </row>
    <row r="14" spans="2:4" x14ac:dyDescent="0.25">
      <c r="B14" s="36" t="s">
        <v>176</v>
      </c>
      <c r="C14" s="37" t="s">
        <v>177</v>
      </c>
      <c r="D14" s="38" t="s">
        <v>178</v>
      </c>
    </row>
    <row r="15" spans="2:4" x14ac:dyDescent="0.25">
      <c r="B15" s="36" t="s">
        <v>179</v>
      </c>
      <c r="C15" s="37" t="inlineStr">
        <is>
          <t xml:space="preserve">Personal - regular use</t>
        </is>
      </c>
      <c r="D15" s="38" t="s">
        <v>181</v>
      </c>
    </row>
    <row r="16" spans="2:4" x14ac:dyDescent="0.25">
      <c r="B16" s="36" t="s">
        <v>182</v>
      </c>
      <c r="C16" s="37" t="inlineStr">
        <is>
          <t xml:space="preserve">1,000 - 2,500</t>
        </is>
      </c>
      <c r="D16" s="38" t="s">
        <v>184</v>
      </c>
    </row>
    <row r="17" spans="2:4" ht="26.25" x14ac:dyDescent="0.25">
      <c r="B17" s="36" t="s">
        <v>185</v>
      </c>
      <c r="C17" s="37" t="s">
        <v>186</v>
      </c>
      <c r="D17" s="38" t="s">
        <v>187</v>
      </c>
    </row>
    <row r="18" spans="2:4" x14ac:dyDescent="0.25">
      <c r="B18" s="36" t="s">
        <v>188</v>
      </c>
      <c r="C18" s="37" t="s">
        <v>189</v>
      </c>
      <c r="D18" s="38" t="s">
        <v>190</v>
      </c>
    </row>
    <row r="19" spans="2:4" x14ac:dyDescent="0.25">
      <c r="B19" s="36" t="s">
        <v>191</v>
      </c>
      <c r="C19" s="37" t="s">
        <v>192</v>
      </c>
      <c r="D19" s="38" t="s">
        <v>193</v>
      </c>
    </row>
    <row r="20" spans="2:4" x14ac:dyDescent="0.25">
      <c r="B20" s="36" t="s">
        <v>194</v>
      </c>
      <c r="C20" s="37" t="s">
        <v>195</v>
      </c>
      <c r="D20" s="38" t="s">
        <v>196</v>
      </c>
    </row>
    <row r="21" spans="2:4" x14ac:dyDescent="0.25">
      <c r="B21" s="36" t="s">
        <v>197</v>
      </c>
      <c r="C21" s="37" t="s">
        <v>198</v>
      </c>
      <c r="D21" s="38" t="s">
        <v>199</v>
      </c>
    </row>
    <row r="22" spans="2:4" x14ac:dyDescent="0.25">
      <c r="B22" s="36" t="s">
        <v>200</v>
      </c>
      <c r="C22" s="37" t="inlineStr">
        <is>
          <t xml:space="preserve">No at-fault claims - 5 yrs</t>
        </is>
      </c>
      <c r="D22" s="38" t="s">
        <v>202</v>
      </c>
    </row>
    <row r="23" spans="2:4" x14ac:dyDescent="0.25">
      <c r="B23" s="36" t="s">
        <v>203</v>
      </c>
      <c r="C23" s="37" t="s">
        <v>204</v>
      </c>
      <c r="D23" s="38" t="s">
        <v>205</v>
      </c>
    </row>
    <row r="24" spans="2:4" x14ac:dyDescent="0.25">
      <c r="B24" s="36" t="s">
        <v>206</v>
      </c>
      <c r="C24" s="37" t="inlineStr">
        <is>
          <t xml:space="preserve">$1,000</t>
        </is>
      </c>
      <c r="D24" s="38" t="s">
        <v>208</v>
      </c>
    </row>
    <row r="25" spans="2:4" x14ac:dyDescent="0.25">
      <c r="B25" s="36" t="s">
        <v>209</v>
      </c>
      <c r="C25" s="37" t="inlineStr">
        <is>
          <t xml:space="preserve">Agreed Value</t>
        </is>
      </c>
      <c r="D25" s="38" t="s">
        <v>205</v>
      </c>
    </row>
    <row r="26" spans="2:4" x14ac:dyDescent="0.25">
      <c r="B26" s="36" t="s">
        <v>211</v>
      </c>
      <c r="C26" s="37" t="inlineStr">
        <is>
          <t xml:space="preserve">$1,000,000 CSL</t>
        </is>
      </c>
      <c r="D26" s="38" t="s">
        <v>213</v>
      </c>
    </row>
    <row r="27" spans="2:4" x14ac:dyDescent="0.25">
      <c r="B27" s="36" t="s">
        <v>214</v>
      </c>
      <c r="C27" s="37" t="inlineStr">
        <is>
          <t xml:space="preserve">Other / Rest of State</t>
        </is>
      </c>
      <c r="D27" s="38" t="s">
        <v>216</v>
      </c>
    </row>
    <row r="28" spans="2:4" x14ac:dyDescent="0.25">
      <c r="B28" s="36" t="s">
        <v>217</v>
      </c>
      <c r="C28" s="37" t="inlineStr">
        <is>
          <t xml:space="preserve">1% of agreed value, minimum $5,000</t>
        </is>
      </c>
      <c r="D28" s="38" t="s">
        <v>219</v>
      </c>
    </row>
    <row r="29" spans="2:4" x14ac:dyDescent="0.25">
      <c r="B29" s="42" t="s">
        <v>220</v>
      </c>
      <c r="C29" s="37" t="s">
        <v>221</v>
      </c>
      <c r="D29" s="38" t="s">
        <v>222</v>
      </c>
    </row>
    <row r="30" spans="2:4" x14ac:dyDescent="0.25">
      <c r="B30" s="36" t="s">
        <v>223</v>
      </c>
      <c r="C30" s="37" t="s">
        <v>224</v>
      </c>
      <c r="D30" s="38" t="inlineStr">
        <is>
          <t xml:space="preserve">Risk inputs populated from demo submission; premium computed by this rater's own engine.</t>
        </is>
      </c>
    </row>
    <row r="31" spans="2:4" x14ac:dyDescent="0.25">
      <c r="B31" s="36" t="s">
        <v>225</v>
      </c>
      <c r="C31" s="37" t="s">
        <v>226</v>
      </c>
    </row>
    <row r="32" spans="2:4" x14ac:dyDescent="0.25">
      <c r="B32" s="36" t="s">
        <v>227</v>
      </c>
      <c r="C32" s="37" t="s">
        <v>228</v>
      </c>
    </row>
    <row r="33" spans="2:4" x14ac:dyDescent="0.25">
      <c r="B33" s="36" t="s">
        <v>229</v>
      </c>
      <c r="C33" s="37" t="s">
        <v>230</v>
      </c>
    </row>
    <row r="34" spans="2:4" x14ac:dyDescent="0.25">
      <c r="B34" s="42" t="s">
        <v>231</v>
      </c>
      <c r="C34" s="37" t="s">
        <v>232</v>
      </c>
      <c r="D34" s="38" t="s">
        <v>233</v>
      </c>
    </row>
    <row r="35" spans="2:4" x14ac:dyDescent="0.25">
      <c r="B35" s="36" t="s">
        <v>234</v>
      </c>
      <c r="C35" s="37" t="s">
        <v>235</v>
      </c>
    </row>
    <row r="36" spans="2:4" x14ac:dyDescent="0.25">
      <c r="B36" s="36" t="s">
        <v>236</v>
      </c>
      <c r="C36" s="37" t="s">
        <v>207</v>
      </c>
    </row>
    <row r="37" spans="2:4" x14ac:dyDescent="0.25">
      <c r="B37" s="36" t="s">
        <v>237</v>
      </c>
      <c r="C37" s="37" t="s">
        <v>238</v>
      </c>
    </row>
    <row r="38" spans="2:4" x14ac:dyDescent="0.25">
      <c r="B38" s="36" t="s">
        <v>239</v>
      </c>
      <c r="C38" s="37" t="s">
        <v>240</v>
      </c>
    </row>
    <row r="39" spans="2:4" x14ac:dyDescent="0.25">
      <c r="B39" s="36" t="s">
        <v>241</v>
      </c>
      <c r="C39" s="37" t="s">
        <v>242</v>
      </c>
    </row>
    <row r="40" spans="2:4" x14ac:dyDescent="0.25">
      <c r="B40" s="36" t="s">
        <v>243</v>
      </c>
      <c r="C40" s="37" t="s">
        <v>244</v>
      </c>
    </row>
    <row r="41" spans="2:4" x14ac:dyDescent="0.25">
      <c r="B41" s="36" t="s">
        <v>245</v>
      </c>
      <c r="C41" s="37" t="s">
        <v>246</v>
      </c>
    </row>
    <row r="42" spans="2:4" x14ac:dyDescent="0.25">
      <c r="B42" s="36" t="s">
        <v>247</v>
      </c>
      <c r="C42" s="37" t="s">
        <v>248</v>
      </c>
    </row>
    <row r="43" spans="2:4" ht="24" x14ac:dyDescent="0.25">
      <c r="B43" s="36" t="s">
        <v>249</v>
      </c>
      <c r="C43" s="37"/>
      <c r="D43" s="38" t="s">
        <v>250</v>
      </c>
    </row>
    <row r="44" spans="2:4" ht="24" x14ac:dyDescent="0.25">
      <c r="B44" s="36" t="s">
        <v>118</v>
      </c>
      <c r="C44" s="43">
        <v>0</v>
      </c>
      <c r="D44" s="38" t="s">
        <v>251</v>
      </c>
    </row>
    <row r="46" spans="2:4" ht="18" customHeight="1" x14ac:dyDescent="0.25">
      <c r="B46" s="12" t="s">
        <v>252</v>
      </c>
      <c r="C46" s="12"/>
      <c r="D46" s="12"/>
    </row>
    <row r="47" spans="2:4" x14ac:dyDescent="0.25">
      <c r="B47" s="36" t="s">
        <v>253</v>
      </c>
      <c r="C47" s="44" t="str">
        <f>IFERROR(LEFT(TEXT(VALUE(C13),"00000"),3),"---")</f>
      </c>
      <c r="D47" s="38" t="s">
        <v>254</v>
      </c>
    </row>
    <row r="48" spans="2:4" ht="47.25" x14ac:dyDescent="0.25">
      <c r="B48" s="32" t="s">
        <v>255</v>
      </c>
      <c r="C48" s="45" t="str">
        <f>IF(C43&lt;&gt;"",C43,IFERROR(INDEX('Cat Zone by ZIP'!$D$6:$D$856,MATCH(C47,'Cat Zone by ZIP'!$B$6:$B$856,0)),IFERROR(INDEX('Cat Zone by ZIP'!$C$860:$C$910,MATCH(C12,'Cat Zone by ZIP'!$B$860:$B$910,0)),"NOT FOUND - select an override")))</f>
      </c>
      <c r="D48" s="38" t="s">
        <v>256</v>
      </c>
    </row>
    <row r="49" spans="2:4" x14ac:dyDescent="0.25">
      <c r="B49" s="36" t="s">
        <v>257</v>
      </c>
      <c r="C49" s="44" t="str">
        <f>IF(C43&lt;&gt;"","Manual underwriter override",IF(ISNUMBER(MATCH(C47,'Cat Zone by ZIP'!$B$6:$B$856,0)),"ZIP-3 prefix "&amp;C47&amp;" mapped","State default for "&amp;C12))</f>
      </c>
      <c r="D49" s="38" t="s">
        <v>258</v>
      </c>
    </row>
    <row r="50" spans="2:4" ht="39" x14ac:dyDescent="0.25">
      <c r="B50" s="36" t="s">
        <v>259</v>
      </c>
      <c r="C50" s="44" t="str">
        <f>INDEX('Natural Catastrophe'!$C$6:$C$17,MATCH(C48,'Natural Catastrophe'!$B$6:$B$17,0))</f>
      </c>
      <c r="D50" s="38" t="s">
        <v>260</v>
      </c>
    </row>
    <row r="51" spans="2:4" ht="24" x14ac:dyDescent="0.25">
      <c r="B51" s="36" t="s">
        <v>261</v>
      </c>
      <c r="C51" s="46">
        <f>INDEX('Natural Catastrophe'!$D$6:$D$17,MATCH(C48,'Natural Catastrophe'!$B$6:$B$17,0))</f>
      </c>
      <c r="D51" s="38" t="s">
        <v>262</v>
      </c>
    </row>
    <row r="52" spans="2:4" x14ac:dyDescent="0.25">
      <c r="B52" s="36" t="s">
        <v>263</v>
      </c>
      <c r="C52" s="46">
        <f>INDEX('Natural Catastrophe'!$C$21:$C$26,MATCH(C28,'Natural Catastrophe'!$B$21:$B$26,0))</f>
      </c>
      <c r="D52" s="38" t="s">
        <v>264</v>
      </c>
    </row>
    <row r="54" spans="2:4" ht="18" customHeight="1" x14ac:dyDescent="0.25">
      <c r="B54" s="12" t="s">
        <v>265</v>
      </c>
      <c r="C54" s="12"/>
      <c r="D54" s="12"/>
    </row>
    <row r="55" spans="2:4" x14ac:dyDescent="0.25">
      <c r="B55" s="36" t="s">
        <v>266</v>
      </c>
      <c r="C55" s="44" t="str">
        <f>INDEX('Base Rates'!$C$4:$I$4,MATCH(MAX(C11,'Technical Premium'!$C$18),'Base Rates'!$C$3:$I$3,1))</f>
      </c>
      <c r="D55" s="38" t="s">
        <v>267</v>
      </c>
    </row>
    <row r="56" spans="2:4" x14ac:dyDescent="0.25">
      <c r="B56" s="36" t="s">
        <v>268</v>
      </c>
      <c r="C56" s="47">
        <f>INDEX('Base Rates'!$C$5:$I$16,MATCH(C10,'Base Rates'!$B$5:$B$16,0),MATCH(MAX(C11,'Technical Premium'!$C$18),'Base Rates'!$C$3:$I$3,1))</f>
      </c>
      <c r="D56" s="38" t="s">
        <v>269</v>
      </c>
    </row>
    <row r="57" spans="2:4" x14ac:dyDescent="0.25">
      <c r="B57" s="36" t="s">
        <v>270</v>
      </c>
      <c r="C57" s="48">
        <f>C11/100*C56</f>
      </c>
      <c r="D57" s="38" t="s">
        <v>271</v>
      </c>
    </row>
    <row r="58" spans="2:4" x14ac:dyDescent="0.25">
      <c r="B58" s="36" t="s">
        <v>272</v>
      </c>
      <c r="C58" s="46">
        <f>INDEX('Make Factors'!$G$5:$G$69,MATCH(C8,'Make Factors'!$B$5:$B$69,0))</f>
      </c>
    </row>
    <row r="59" spans="2:4" x14ac:dyDescent="0.25">
      <c r="B59" s="36" t="s">
        <v>273</v>
      </c>
      <c r="C59" s="46">
        <f>INDEX('Driver Factors'!$C$6:$C$15,MATCH(C19,'Driver Factors'!$B$6:$B$15,0))</f>
      </c>
    </row>
    <row r="60" spans="2:4" x14ac:dyDescent="0.25">
      <c r="B60" s="36" t="s">
        <v>274</v>
      </c>
      <c r="C60" s="46">
        <f>INDEX('Driver Factors'!$C$19:$C$24,MATCH(C20,'Driver Factors'!$B$19:$B$24,0))</f>
      </c>
    </row>
    <row r="61" spans="2:4" x14ac:dyDescent="0.25">
      <c r="B61" s="36" t="s">
        <v>275</v>
      </c>
      <c r="C61" s="46">
        <f>INDEX('Driver Factors'!$C$28:$C$36,MATCH(C21,'Driver Factors'!$B$28:$B$36,0))</f>
      </c>
    </row>
    <row r="62" spans="2:4" x14ac:dyDescent="0.25">
      <c r="B62" s="36" t="s">
        <v>276</v>
      </c>
      <c r="C62" s="46">
        <f>INDEX('Claims History'!$C$6:$C$15,MATCH(C22,'Claims History'!$B$6:$B$15,0))</f>
      </c>
    </row>
    <row r="63" spans="2:4" x14ac:dyDescent="0.25">
      <c r="B63" s="36" t="s">
        <v>277</v>
      </c>
      <c r="C63" s="46">
        <f>INDEX('Territory Factors'!$E$6:$E$56,MATCH(C12,'Territory Factors'!$B$6:$B$56,0))</f>
      </c>
    </row>
    <row r="64" spans="2:4" x14ac:dyDescent="0.25">
      <c r="B64" s="36" t="s">
        <v>278</v>
      </c>
      <c r="C64" s="46">
        <f>INDEX('City Accident Ratings'!$G$6:$G$54,MATCH(C27,'City Accident Ratings'!$B$6:$B$54,0))</f>
      </c>
    </row>
    <row r="65" spans="2:3" x14ac:dyDescent="0.25">
      <c r="B65" s="36" t="s">
        <v>279</v>
      </c>
      <c r="C65" s="46">
        <f>INDEX('Usage and Coverage'!$D$6:$D$20,MATCH(C15,'Usage and Coverage'!$C$6:$C$20,0))</f>
      </c>
    </row>
    <row r="66" spans="2:3" x14ac:dyDescent="0.25">
      <c r="B66" s="36" t="s">
        <v>280</v>
      </c>
      <c r="C66" s="46">
        <f>INDEX('Usage and Coverage'!$C$24:$C$30,MATCH(C16,'Usage and Coverage'!$B$24:$B$30,0))</f>
      </c>
    </row>
    <row r="67" spans="2:3" x14ac:dyDescent="0.25">
      <c r="B67" s="36" t="s">
        <v>281</v>
      </c>
      <c r="C67" s="46">
        <f>INDEX('Usage and Coverage'!$C$34:$C$40,MATCH(C17,'Usage and Coverage'!$B$34:$B$40,0))</f>
      </c>
    </row>
    <row r="68" spans="2:3" x14ac:dyDescent="0.25">
      <c r="B68" s="36" t="s">
        <v>282</v>
      </c>
      <c r="C68" s="46">
        <f>INDEX('Usage and Coverage'!$C$44:$C$49,MATCH(C18,'Usage and Coverage'!$B$44:$B$49,0))</f>
      </c>
    </row>
    <row r="69" spans="2:3" x14ac:dyDescent="0.25">
      <c r="B69" s="36" t="s">
        <v>283</v>
      </c>
      <c r="C69" s="46">
        <f>INDEX(Deductibles!$C$6:$I$15,MATCH(C24,Deductibles!$B$6:$B$15,0),MATCH(MAX(C11,'Technical Premium'!$C$18),'Base Rates'!$C$3:$I$3,1))</f>
      </c>
    </row>
    <row r="70" spans="2:3" x14ac:dyDescent="0.25">
      <c r="B70" s="36" t="s">
        <v>284</v>
      </c>
      <c r="C70" s="46">
        <f>INDEX('Usage and Coverage'!$C$63:$C$66,MATCH(C25,'Usage and Coverage'!$B$63:$B$66,0))</f>
      </c>
    </row>
    <row r="71" spans="2:3" x14ac:dyDescent="0.25">
      <c r="B71" s="36" t="s">
        <v>285</v>
      </c>
      <c r="C71" s="46">
        <f>INDEX('Usage and Coverage'!$C$70:$C$75,MATCH(C23,'Usage and Coverage'!$B$70:$B$75,0))</f>
      </c>
    </row>
    <row r="72" spans="2:3" x14ac:dyDescent="0.25">
      <c r="B72" s="36" t="s">
        <v>286</v>
      </c>
      <c r="C72" s="46">
        <f>INDEX(Deductibles!$C$48:$C$51,MATCH(C29,Deductibles!$B$48:$B$51,0))</f>
      </c>
    </row>
    <row r="73" spans="2:3" x14ac:dyDescent="0.25">
      <c r="B73" s="36" t="s">
        <v>287</v>
      </c>
      <c r="C73" s="46">
        <f>INDEX(Deductibles!$C$55:$C$57,MATCH(C30,Deductibles!$B$55:$B$57,0))</f>
      </c>
    </row>
    <row r="74" spans="2:3" x14ac:dyDescent="0.25">
      <c r="B74" s="36" t="s">
        <v>288</v>
      </c>
      <c r="C74" s="46">
        <f>INDEX(Deductibles!$C$61:$C$63,MATCH(C31,Deductibles!$B$61:$B$63,0))</f>
      </c>
    </row>
    <row r="75" spans="2:3" x14ac:dyDescent="0.25">
      <c r="B75" s="36" t="s">
        <v>289</v>
      </c>
      <c r="C75" s="46">
        <f>INDEX(Deductibles!$C$67:$C$69,MATCH(C32,Deductibles!$B$67:$B$69,0))</f>
      </c>
    </row>
    <row r="76" spans="2:3" x14ac:dyDescent="0.25">
      <c r="B76" s="36" t="s">
        <v>290</v>
      </c>
      <c r="C76" s="46">
        <f>INDEX(Deductibles!$C$73:$C$74,MATCH(C33,Deductibles!$B$73:$B$74,0))</f>
      </c>
    </row>
    <row r="77" spans="2:3" x14ac:dyDescent="0.25">
      <c r="B77" s="36" t="s">
        <v>291</v>
      </c>
      <c r="C77" s="46">
        <f>INDEX('Sublimits and Parts'!$C$49:$C$52,MATCH(C34,'Sublimits and Parts'!$B$49:$B$52,0))</f>
      </c>
    </row>
    <row r="78" spans="2:3" x14ac:dyDescent="0.25">
      <c r="B78" s="36" t="s">
        <v>292</v>
      </c>
      <c r="C78" s="46">
        <f>INDEX('Sublimits and Parts'!$C$56:$C$60,MATCH(C35,'Sublimits and Parts'!$B$56:$B$60,0))</f>
      </c>
    </row>
    <row r="79" spans="2:3" x14ac:dyDescent="0.25">
      <c r="B79" s="36" t="s">
        <v>293</v>
      </c>
      <c r="C79" s="46">
        <f>INDEX('Sublimits and Parts'!$C$64:$C$67,MATCH(C36,'Sublimits and Parts'!$B$64:$B$67,0))</f>
      </c>
    </row>
    <row r="80" spans="2:3" x14ac:dyDescent="0.25">
      <c r="B80" s="36" t="s">
        <v>294</v>
      </c>
      <c r="C80" s="46">
        <f>INDEX('Sublimits and Parts'!$C$71:$C$74,MATCH(C37,'Sublimits and Parts'!$B$71:$B$74,0))</f>
      </c>
    </row>
    <row r="81" spans="2:4" x14ac:dyDescent="0.25">
      <c r="B81" s="36" t="s">
        <v>295</v>
      </c>
      <c r="C81" s="46">
        <f>INDEX('Sublimits and Parts'!$C$78:$C$80,MATCH(C38,'Sublimits and Parts'!$B$78:$B$80,0))</f>
      </c>
    </row>
    <row r="82" spans="2:4" x14ac:dyDescent="0.25">
      <c r="B82" s="36" t="s">
        <v>296</v>
      </c>
      <c r="C82" s="46">
        <f>INDEX('Sublimits and Parts'!$C$84:$C$87,MATCH(C39,'Sublimits and Parts'!$B$84:$B$87,0))</f>
      </c>
    </row>
    <row r="83" spans="2:4" x14ac:dyDescent="0.25">
      <c r="B83" s="36" t="s">
        <v>297</v>
      </c>
      <c r="C83" s="46">
        <f>INDEX('Sublimits and Parts'!$C$91:$C$94,MATCH(C40,'Sublimits and Parts'!$B$91:$B$94,0))</f>
      </c>
    </row>
    <row r="84" spans="2:4" x14ac:dyDescent="0.25">
      <c r="B84" s="36" t="s">
        <v>298</v>
      </c>
      <c r="C84" s="46">
        <f>INDEX('Sublimits and Parts'!$C$98:$C$101,MATCH(C41,'Sublimits and Parts'!$B$98:$B$101,0))</f>
      </c>
    </row>
    <row r="85" spans="2:4" x14ac:dyDescent="0.25">
      <c r="B85" s="36" t="s">
        <v>299</v>
      </c>
      <c r="C85" s="46">
        <f>INDEX('Sublimits and Parts'!$C$105:$C$109,MATCH(C42,'Sublimits and Parts'!$B$105:$B$109,0))</f>
      </c>
    </row>
    <row r="86" spans="2:4" x14ac:dyDescent="0.25">
      <c r="B86" s="32" t="s">
        <v>300</v>
      </c>
      <c r="C86" s="49">
        <f>PRODUCT(C58:C71)</f>
      </c>
      <c r="D86" s="38" t="s">
        <v>301</v>
      </c>
    </row>
    <row r="87" spans="2:4" x14ac:dyDescent="0.25">
      <c r="B87" s="32" t="s">
        <v>302</v>
      </c>
      <c r="C87" s="49">
        <f>PRODUCT(C72:C85)</f>
      </c>
      <c r="D87" s="38" t="s">
        <v>303</v>
      </c>
    </row>
    <row r="88" spans="2:4" x14ac:dyDescent="0.25">
      <c r="B88" s="32" t="s">
        <v>304</v>
      </c>
      <c r="C88" s="49">
        <f>MIN(C86*C87,'Technical Premium'!$C$17)</f>
      </c>
      <c r="D88" s="38" t="s">
        <v>305</v>
      </c>
    </row>
    <row r="90" spans="2:4" ht="18" customHeight="1" x14ac:dyDescent="0.25">
      <c r="B90" s="12" t="s">
        <v>306</v>
      </c>
      <c r="C90" s="12"/>
      <c r="D90" s="12"/>
    </row>
    <row r="91" spans="2:4" x14ac:dyDescent="0.25">
      <c r="B91" s="36" t="s">
        <v>307</v>
      </c>
      <c r="C91" s="48">
        <f>C57*C88</f>
      </c>
      <c r="D91" s="38" t="s">
        <v>308</v>
      </c>
    </row>
    <row r="92" spans="2:4" x14ac:dyDescent="0.25">
      <c r="B92" s="36" t="s">
        <v>309</v>
      </c>
      <c r="C92" s="48">
        <f>INDEX('Territory Factors'!$F$6:$F$56,MATCH(C12,'Territory Factors'!$B$6:$B$56,0))</f>
      </c>
    </row>
    <row r="93" spans="2:4" x14ac:dyDescent="0.25">
      <c r="B93" s="36" t="s">
        <v>310</v>
      </c>
      <c r="C93" s="46">
        <f>INDEX('Usage and Coverage'!$C$79:$C$84,MATCH(C26,'Usage and Coverage'!$B$79:$B$84,0))</f>
      </c>
    </row>
    <row r="94" spans="2:4" x14ac:dyDescent="0.25">
      <c r="B94" s="36" t="s">
        <v>311</v>
      </c>
      <c r="C94" s="48">
        <f>C92*C93*MIN(C65*C59*C61*C62*C66*C64,'Technical Premium'!$C$17)</f>
      </c>
      <c r="D94" s="38" t="s">
        <v>312</v>
      </c>
    </row>
    <row r="95" spans="2:4" x14ac:dyDescent="0.25">
      <c r="B95" s="36" t="s">
        <v>313</v>
      </c>
      <c r="C95" s="48">
        <f>C91+C94</f>
      </c>
    </row>
    <row r="96" spans="2:4" x14ac:dyDescent="0.25">
      <c r="B96" s="36" t="s">
        <v>314</v>
      </c>
      <c r="C96" s="48">
        <f>C95*'Technical Premium'!$C$5</f>
      </c>
    </row>
    <row r="97" spans="2:4" x14ac:dyDescent="0.25">
      <c r="B97" s="36" t="s">
        <v>315</v>
      </c>
      <c r="C97" s="48">
        <f>C95+C96</f>
      </c>
    </row>
    <row r="98" spans="2:4" x14ac:dyDescent="0.25">
      <c r="B98" s="36" t="s">
        <v>316</v>
      </c>
      <c r="C98" s="48">
        <f>C97*'Technical Premium'!$C$6</f>
      </c>
    </row>
    <row r="99" spans="2:4" x14ac:dyDescent="0.25">
      <c r="B99" s="36" t="s">
        <v>317</v>
      </c>
      <c r="C99" s="50">
        <f>INDEX('Territory Factors'!$G$6:$G$56,MATCH(C12,'Territory Factors'!$B$6:$B$56,0))</f>
      </c>
      <c r="D99" s="38" t="s">
        <v>318</v>
      </c>
    </row>
    <row r="100" spans="2:4" x14ac:dyDescent="0.25">
      <c r="B100" s="36" t="s">
        <v>319</v>
      </c>
      <c r="C100" s="48">
        <f>C91*C99*C51*C52</f>
      </c>
      <c r="D100" s="38" t="s">
        <v>320</v>
      </c>
    </row>
    <row r="101" spans="2:4" x14ac:dyDescent="0.25">
      <c r="B101" s="36" t="s">
        <v>321</v>
      </c>
      <c r="C101" s="48">
        <f>C97+C98+C100</f>
      </c>
    </row>
    <row r="102" spans="2:4" x14ac:dyDescent="0.25">
      <c r="B102" s="36" t="s">
        <v>322</v>
      </c>
      <c r="C102" s="48">
        <f>C101*'Technical Premium'!$C$7</f>
      </c>
    </row>
    <row r="103" spans="2:4" x14ac:dyDescent="0.25">
      <c r="B103" s="32" t="s">
        <v>323</v>
      </c>
      <c r="C103" s="51">
        <f>C101+C102</f>
      </c>
      <c r="D103" s="38" t="s">
        <v>324</v>
      </c>
    </row>
    <row r="104" spans="2:4" x14ac:dyDescent="0.25">
      <c r="B104" s="36" t="s">
        <v>109</v>
      </c>
      <c r="C104" s="46">
        <f>'Technical Premium'!$C$13</f>
      </c>
      <c r="D104" s="38" t="s">
        <v>325</v>
      </c>
    </row>
    <row r="105" spans="2:4" ht="15.75" x14ac:dyDescent="0.25">
      <c r="B105" s="32" t="s">
        <v>112</v>
      </c>
      <c r="C105" s="52">
        <f>C103/C104</f>
      </c>
      <c r="D105" s="38" t="s">
        <v>326</v>
      </c>
    </row>
    <row r="106" spans="2:4" ht="15.75" x14ac:dyDescent="0.25">
      <c r="B106" s="32" t="s">
        <v>327</v>
      </c>
      <c r="C106" s="53">
        <f>C105/C11*100</f>
      </c>
      <c r="D106" s="38" t="s">
        <v>328</v>
      </c>
    </row>
    <row r="107" spans="2:4" x14ac:dyDescent="0.25">
      <c r="B107" s="36" t="s">
        <v>118</v>
      </c>
      <c r="C107" s="48">
        <f>C105*C44</f>
      </c>
    </row>
    <row r="108" spans="2:4" ht="15.75" x14ac:dyDescent="0.25">
      <c r="B108" s="32" t="s">
        <v>329</v>
      </c>
      <c r="C108" s="52">
        <f>C105+C107</f>
      </c>
      <c r="D108" s="38" t="s">
        <v>330</v>
      </c>
    </row>
    <row r="109" spans="2:4" x14ac:dyDescent="0.25">
      <c r="B109" s="36" t="s">
        <v>331</v>
      </c>
      <c r="C109" s="54">
        <f>C108/C11*100</f>
      </c>
      <c r="D109" s="38" t="s">
        <v>332</v>
      </c>
    </row>
    <row r="110" spans="2:4" x14ac:dyDescent="0.25">
      <c r="B110" s="36" t="s">
        <v>333</v>
      </c>
      <c r="C110" s="55">
        <f>C109/C106</f>
      </c>
      <c r="D110" s="38" t="s">
        <v>334</v>
      </c>
    </row>
    <row r="111" spans="2:4" x14ac:dyDescent="0.25">
      <c r="B111" s="36" t="s">
        <v>335</v>
      </c>
      <c r="C111" s="48">
        <f>'Technical Premium'!$C$14</f>
      </c>
    </row>
    <row r="112" spans="2:4" x14ac:dyDescent="0.25">
      <c r="B112" s="36" t="s">
        <v>336</v>
      </c>
      <c r="C112" s="48">
        <f>IF(C11&gt;=1000000,'Technical Premium'!$C$15,0)</f>
      </c>
    </row>
    <row r="113" spans="2:4" x14ac:dyDescent="0.25">
      <c r="B113" s="36" t="s">
        <v>337</v>
      </c>
      <c r="C113" s="48">
        <f>(C108+C111+C112)*(INDEX('Territory Factors'!$K$6:$K$56,MATCH(C12,'Territory Factors'!$B$6:$B$56,0))+'Commission Structure'!$C$21)</f>
      </c>
      <c r="D113" s="38" t="s">
        <v>338</v>
      </c>
    </row>
    <row r="114" spans="2:4" ht="15.75" x14ac:dyDescent="0.25">
      <c r="B114" s="32" t="s">
        <v>339</v>
      </c>
      <c r="C114" s="52">
        <f>C108+C111+C112+C113</f>
      </c>
      <c r="D114" s="38" t="s">
        <v>340</v>
      </c>
    </row>
    <row r="116" spans="2:4" ht="18" customHeight="1" x14ac:dyDescent="0.25">
      <c r="B116" s="12" t="s">
        <v>341</v>
      </c>
      <c r="C116" s="12"/>
      <c r="D116" s="12"/>
    </row>
    <row r="117" spans="2:4" x14ac:dyDescent="0.25">
      <c r="B117" s="36" t="s">
        <v>342</v>
      </c>
      <c r="C117" s="48">
        <f>C108*'Commission Structure'!$C$5</f>
      </c>
    </row>
    <row r="118" spans="2:4" x14ac:dyDescent="0.25">
      <c r="B118" s="36" t="s">
        <v>343</v>
      </c>
      <c r="C118" s="48">
        <f>C108*'Commission Structure'!$C$6</f>
      </c>
    </row>
    <row r="119" spans="2:4" x14ac:dyDescent="0.25">
      <c r="B119" s="36" t="s">
        <v>344</v>
      </c>
      <c r="C119" s="48">
        <f>C108*'Commission Structure'!$C$7</f>
      </c>
    </row>
    <row r="120" spans="2:4" x14ac:dyDescent="0.25">
      <c r="B120" s="32" t="s">
        <v>345</v>
      </c>
      <c r="C120" s="51">
        <f>C117-C118-C119</f>
      </c>
    </row>
    <row r="121" spans="2:4" x14ac:dyDescent="0.25">
      <c r="B121" s="36" t="s">
        <v>346</v>
      </c>
      <c r="C121" s="48">
        <f>C108-C117</f>
      </c>
    </row>
    <row r="122" spans="2:4" ht="24" x14ac:dyDescent="0.25">
      <c r="B122" s="32" t="s">
        <v>347</v>
      </c>
      <c r="C122" s="45"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c>
      <c r="D122" s="38" t="s">
        <v>348</v>
      </c>
    </row>
  </sheetData>
  <mergeCells count="7">
    <mergeCell ref="B90:D90"/>
    <mergeCell ref="B116:D116"/>
    <mergeCell ref="B1:D1"/>
    <mergeCell ref="B2:D2"/>
    <mergeCell ref="B4:D4"/>
    <mergeCell ref="B46:D46"/>
    <mergeCell ref="B54:D54"/>
  </mergeCells>
  <dataValidations count="1">
    <dataValidation type="list" allowBlank="1" sqref="C14" xr:uid="{00000000-0002-0000-02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200-000000000000}">
          <x14:formula1>
            <xm:f>'Make Factors'!$B$5:$B$69</xm:f>
          </x14:formula1>
          <x14:formula2>
            <xm:f>0</xm:f>
          </x14:formula2>
          <xm:sqref>C8</xm:sqref>
        </x14:dataValidation>
        <x14:dataValidation type="list" allowBlank="1" xr:uid="{00000000-0002-0000-0200-000001000000}">
          <x14:formula1>
            <xm:f>'Base Rates'!$B$5:$B$16</xm:f>
          </x14:formula1>
          <x14:formula2>
            <xm:f>0</xm:f>
          </x14:formula2>
          <xm:sqref>C10</xm:sqref>
        </x14:dataValidation>
        <x14:dataValidation type="list" allowBlank="1" xr:uid="{00000000-0002-0000-0200-000002000000}">
          <x14:formula1>
            <xm:f>'Territory Factors'!$B$6:$B$56</xm:f>
          </x14:formula1>
          <x14:formula2>
            <xm:f>0</xm:f>
          </x14:formula2>
          <xm:sqref>C12</xm:sqref>
        </x14:dataValidation>
        <x14:dataValidation type="list" allowBlank="1" xr:uid="{00000000-0002-0000-0200-000004000000}">
          <x14:formula1>
            <xm:f>'Usage and Coverage'!$C$6:$C$20</xm:f>
          </x14:formula1>
          <x14:formula2>
            <xm:f>0</xm:f>
          </x14:formula2>
          <xm:sqref>C15</xm:sqref>
        </x14:dataValidation>
        <x14:dataValidation type="list" allowBlank="1" xr:uid="{00000000-0002-0000-0200-000005000000}">
          <x14:formula1>
            <xm:f>'Usage and Coverage'!$B$24:$B$30</xm:f>
          </x14:formula1>
          <x14:formula2>
            <xm:f>0</xm:f>
          </x14:formula2>
          <xm:sqref>C16</xm:sqref>
        </x14:dataValidation>
        <x14:dataValidation type="list" allowBlank="1" xr:uid="{00000000-0002-0000-0200-000006000000}">
          <x14:formula1>
            <xm:f>'Usage and Coverage'!$B$34:$B$40</xm:f>
          </x14:formula1>
          <x14:formula2>
            <xm:f>0</xm:f>
          </x14:formula2>
          <xm:sqref>C17</xm:sqref>
        </x14:dataValidation>
        <x14:dataValidation type="list" allowBlank="1" xr:uid="{00000000-0002-0000-0200-000007000000}">
          <x14:formula1>
            <xm:f>'Usage and Coverage'!$B$44:$B$49</xm:f>
          </x14:formula1>
          <x14:formula2>
            <xm:f>0</xm:f>
          </x14:formula2>
          <xm:sqref>C18</xm:sqref>
        </x14:dataValidation>
        <x14:dataValidation type="list" allowBlank="1" xr:uid="{00000000-0002-0000-0200-000008000000}">
          <x14:formula1>
            <xm:f>'Driver Factors'!$B$6:$B$15</xm:f>
          </x14:formula1>
          <x14:formula2>
            <xm:f>0</xm:f>
          </x14:formula2>
          <xm:sqref>C19</xm:sqref>
        </x14:dataValidation>
        <x14:dataValidation type="list" allowBlank="1" xr:uid="{00000000-0002-0000-0200-000009000000}">
          <x14:formula1>
            <xm:f>'Driver Factors'!$B$19:$B$24</xm:f>
          </x14:formula1>
          <x14:formula2>
            <xm:f>0</xm:f>
          </x14:formula2>
          <xm:sqref>C20</xm:sqref>
        </x14:dataValidation>
        <x14:dataValidation type="list" allowBlank="1" xr:uid="{00000000-0002-0000-0200-00000A000000}">
          <x14:formula1>
            <xm:f>'Driver Factors'!$B$28:$B$36</xm:f>
          </x14:formula1>
          <x14:formula2>
            <xm:f>0</xm:f>
          </x14:formula2>
          <xm:sqref>C21</xm:sqref>
        </x14:dataValidation>
        <x14:dataValidation type="list" allowBlank="1" xr:uid="{00000000-0002-0000-0200-00000B000000}">
          <x14:formula1>
            <xm:f>'Claims History'!$B$6:$B$15</xm:f>
          </x14:formula1>
          <x14:formula2>
            <xm:f>0</xm:f>
          </x14:formula2>
          <xm:sqref>C22</xm:sqref>
        </x14:dataValidation>
        <x14:dataValidation type="list" allowBlank="1" xr:uid="{00000000-0002-0000-0200-00000C000000}">
          <x14:formula1>
            <xm:f>'Usage and Coverage'!$B$70:$B$75</xm:f>
          </x14:formula1>
          <x14:formula2>
            <xm:f>0</xm:f>
          </x14:formula2>
          <xm:sqref>C23</xm:sqref>
        </x14:dataValidation>
        <x14:dataValidation type="list" allowBlank="1" xr:uid="{00000000-0002-0000-0200-00000D000000}">
          <x14:formula1>
            <xm:f>Deductibles!$B$6:$B$15</xm:f>
          </x14:formula1>
          <x14:formula2>
            <xm:f>0</xm:f>
          </x14:formula2>
          <xm:sqref>C24</xm:sqref>
        </x14:dataValidation>
        <x14:dataValidation type="list" allowBlank="1" xr:uid="{00000000-0002-0000-0200-00000E000000}">
          <x14:formula1>
            <xm:f>'Usage and Coverage'!$B$63:$B$66</xm:f>
          </x14:formula1>
          <x14:formula2>
            <xm:f>0</xm:f>
          </x14:formula2>
          <xm:sqref>C25</xm:sqref>
        </x14:dataValidation>
        <x14:dataValidation type="list" allowBlank="1" xr:uid="{00000000-0002-0000-0200-00000F000000}">
          <x14:formula1>
            <xm:f>'Usage and Coverage'!$B$79:$B$84</xm:f>
          </x14:formula1>
          <x14:formula2>
            <xm:f>0</xm:f>
          </x14:formula2>
          <xm:sqref>C26</xm:sqref>
        </x14:dataValidation>
        <x14:dataValidation type="list" allowBlank="1" xr:uid="{00000000-0002-0000-0200-000010000000}">
          <x14:formula1>
            <xm:f>'City Accident Ratings'!$B$6:$B$54</xm:f>
          </x14:formula1>
          <x14:formula2>
            <xm:f>0</xm:f>
          </x14:formula2>
          <xm:sqref>C27</xm:sqref>
        </x14:dataValidation>
        <x14:dataValidation type="list" allowBlank="1" xr:uid="{00000000-0002-0000-0200-000011000000}">
          <x14:formula1>
            <xm:f>'Natural Catastrophe'!$B$21:$B$26</xm:f>
          </x14:formula1>
          <x14:formula2>
            <xm:f>0</xm:f>
          </x14:formula2>
          <xm:sqref>C28</xm:sqref>
        </x14:dataValidation>
        <x14:dataValidation type="list" allowBlank="1" xr:uid="{00000000-0002-0000-0200-000012000000}">
          <x14:formula1>
            <xm:f>'Natural Catastrophe'!$B$6:$B$17</xm:f>
          </x14:formula1>
          <x14:formula2>
            <xm:f>0</xm:f>
          </x14:formula2>
          <xm:sqref>C43</xm:sqref>
        </x14:dataValidation>
        <x14:dataValidation type="list" allowBlank="1" xr:uid="{00000000-0002-0000-0200-000013000000}">
          <x14:formula1>
            <xm:f>Deductibles!$B$48:$B$51</xm:f>
          </x14:formula1>
          <x14:formula2>
            <xm:f>0</xm:f>
          </x14:formula2>
          <xm:sqref>C29</xm:sqref>
        </x14:dataValidation>
        <x14:dataValidation type="list" allowBlank="1" xr:uid="{00000000-0002-0000-0200-000014000000}">
          <x14:formula1>
            <xm:f>Deductibles!$B$55:$B$57</xm:f>
          </x14:formula1>
          <x14:formula2>
            <xm:f>0</xm:f>
          </x14:formula2>
          <xm:sqref>C30</xm:sqref>
        </x14:dataValidation>
        <x14:dataValidation type="list" allowBlank="1" xr:uid="{00000000-0002-0000-0200-000015000000}">
          <x14:formula1>
            <xm:f>Deductibles!$B$61:$B$63</xm:f>
          </x14:formula1>
          <x14:formula2>
            <xm:f>0</xm:f>
          </x14:formula2>
          <xm:sqref>C31</xm:sqref>
        </x14:dataValidation>
        <x14:dataValidation type="list" allowBlank="1" xr:uid="{00000000-0002-0000-0200-000016000000}">
          <x14:formula1>
            <xm:f>Deductibles!$B$67:$B$69</xm:f>
          </x14:formula1>
          <x14:formula2>
            <xm:f>0</xm:f>
          </x14:formula2>
          <xm:sqref>C32</xm:sqref>
        </x14:dataValidation>
        <x14:dataValidation type="list" allowBlank="1" xr:uid="{00000000-0002-0000-0200-000017000000}">
          <x14:formula1>
            <xm:f>Deductibles!$B$73:$B$74</xm:f>
          </x14:formula1>
          <x14:formula2>
            <xm:f>0</xm:f>
          </x14:formula2>
          <xm:sqref>C33</xm:sqref>
        </x14:dataValidation>
        <x14:dataValidation type="list" allowBlank="1" xr:uid="{00000000-0002-0000-0200-000018000000}">
          <x14:formula1>
            <xm:f>'Sublimits and Parts'!$B$49:$B$52</xm:f>
          </x14:formula1>
          <x14:formula2>
            <xm:f>0</xm:f>
          </x14:formula2>
          <xm:sqref>C34</xm:sqref>
        </x14:dataValidation>
        <x14:dataValidation type="list" allowBlank="1" xr:uid="{00000000-0002-0000-0200-000019000000}">
          <x14:formula1>
            <xm:f>'Sublimits and Parts'!$B$56:$B$60</xm:f>
          </x14:formula1>
          <x14:formula2>
            <xm:f>0</xm:f>
          </x14:formula2>
          <xm:sqref>C35</xm:sqref>
        </x14:dataValidation>
        <x14:dataValidation type="list" allowBlank="1" xr:uid="{00000000-0002-0000-0200-00001A000000}">
          <x14:formula1>
            <xm:f>'Sublimits and Parts'!$B$64:$B$67</xm:f>
          </x14:formula1>
          <x14:formula2>
            <xm:f>0</xm:f>
          </x14:formula2>
          <xm:sqref>C36</xm:sqref>
        </x14:dataValidation>
        <x14:dataValidation type="list" allowBlank="1" xr:uid="{00000000-0002-0000-0200-00001B000000}">
          <x14:formula1>
            <xm:f>'Sublimits and Parts'!$B$71:$B$74</xm:f>
          </x14:formula1>
          <x14:formula2>
            <xm:f>0</xm:f>
          </x14:formula2>
          <xm:sqref>C37</xm:sqref>
        </x14:dataValidation>
        <x14:dataValidation type="list" allowBlank="1" xr:uid="{00000000-0002-0000-0200-00001C000000}">
          <x14:formula1>
            <xm:f>'Sublimits and Parts'!$B$78:$B$80</xm:f>
          </x14:formula1>
          <x14:formula2>
            <xm:f>0</xm:f>
          </x14:formula2>
          <xm:sqref>C38</xm:sqref>
        </x14:dataValidation>
        <x14:dataValidation type="list" allowBlank="1" xr:uid="{00000000-0002-0000-0200-00001D000000}">
          <x14:formula1>
            <xm:f>'Sublimits and Parts'!$B$84:$B$87</xm:f>
          </x14:formula1>
          <x14:formula2>
            <xm:f>0</xm:f>
          </x14:formula2>
          <xm:sqref>C39</xm:sqref>
        </x14:dataValidation>
        <x14:dataValidation type="list" allowBlank="1" xr:uid="{00000000-0002-0000-0200-00001E000000}">
          <x14:formula1>
            <xm:f>'Sublimits and Parts'!$B$91:$B$94</xm:f>
          </x14:formula1>
          <x14:formula2>
            <xm:f>0</xm:f>
          </x14:formula2>
          <xm:sqref>C40</xm:sqref>
        </x14:dataValidation>
        <x14:dataValidation type="list" allowBlank="1" xr:uid="{00000000-0002-0000-0200-00001F000000}">
          <x14:formula1>
            <xm:f>'Sublimits and Parts'!$B$98:$B$101</xm:f>
          </x14:formula1>
          <x14:formula2>
            <xm:f>0</xm:f>
          </x14:formula2>
          <xm:sqref>C41</xm:sqref>
        </x14:dataValidation>
        <x14:dataValidation type="list" allowBlank="1" xr:uid="{00000000-0002-0000-0200-000020000000}">
          <x14:formula1>
            <xm:f>'Sublimits and Parts'!$B$105:$B$109</xm:f>
          </x14:formula1>
          <x14:formula2>
            <xm:f>0</xm:f>
          </x14:formula2>
          <xm:sqref>C42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70"/>
  <sheetViews>
    <sheetView showGridLines="0" zoomScaleNormal="100" workbookViewId="0"/>
  </sheetViews>
  <sheetFormatPr defaultColWidth="8.7109375" defaultRowHeight="15" x14ac:dyDescent="0.25"/>
  <cols>
    <col min="1" max="1" width="2" customWidth="1"/>
    <col min="2" max="2" width="6" customWidth="1"/>
    <col min="3" max="3" width="44" customWidth="1"/>
    <col min="4" max="4" width="14" customWidth="1"/>
    <col min="5" max="7" width="16" customWidth="1"/>
    <col min="8" max="8" width="60" customWidth="1"/>
  </cols>
  <sheetData>
    <row r="1" spans="2:8" ht="25.5" customHeight="1" x14ac:dyDescent="0.25">
      <c r="B1" s="14" t="s">
        <v>349</v>
      </c>
      <c r="C1" s="14"/>
      <c r="D1" s="14"/>
      <c r="E1" s="14"/>
      <c r="F1" s="14"/>
      <c r="G1" s="14"/>
      <c r="H1" s="14"/>
    </row>
    <row r="2" spans="2:8" ht="15" customHeight="1" x14ac:dyDescent="0.25">
      <c r="B2" s="13" t="s">
        <v>350</v>
      </c>
      <c r="C2" s="13"/>
      <c r="D2" s="13"/>
      <c r="E2" s="13"/>
      <c r="F2" s="13"/>
      <c r="G2" s="13"/>
      <c r="H2" s="13"/>
    </row>
    <row r="4" spans="2:8" ht="18" customHeight="1" x14ac:dyDescent="0.25">
      <c r="B4" s="12" t="s">
        <v>351</v>
      </c>
      <c r="C4" s="12"/>
      <c r="D4" s="12"/>
      <c r="E4" s="12"/>
      <c r="F4" s="12"/>
      <c r="G4" s="12"/>
      <c r="H4" s="12"/>
    </row>
    <row r="5" spans="2:8" ht="30" customHeight="1" x14ac:dyDescent="0.25">
      <c r="B5" s="22" t="s">
        <v>352</v>
      </c>
      <c r="C5" s="22" t="s">
        <v>88</v>
      </c>
      <c r="D5" s="22" t="s">
        <v>353</v>
      </c>
      <c r="E5" s="22" t="s">
        <v>354</v>
      </c>
      <c r="F5" s="22" t="s">
        <v>355</v>
      </c>
      <c r="G5" s="22" t="s">
        <v>356</v>
      </c>
      <c r="H5" s="22" t="s">
        <v>357</v>
      </c>
    </row>
    <row r="6" spans="2:8" x14ac:dyDescent="0.25">
      <c r="B6" s="56" t="s">
        <v>358</v>
      </c>
      <c r="C6" s="20" t="s">
        <v>359</v>
      </c>
      <c r="D6" s="28">
        <f>'Rating Engine'!C56</f>
        <v>1.1499999999999999</v>
      </c>
      <c r="E6" s="57">
        <v>1</v>
      </c>
      <c r="F6" s="31">
        <f>'Rating Engine'!C57</f>
        <v>4887.5</v>
      </c>
      <c r="G6" s="58"/>
      <c r="H6" s="59" t="str">
        <f>'Rating Engine'!C10&amp;"  |  "&amp;'Rating Engine'!C55</f>
        <v>03 - Supercar  |  $250k - $500k</v>
      </c>
    </row>
    <row r="7" spans="2:8" x14ac:dyDescent="0.25">
      <c r="B7" s="56">
        <v>1</v>
      </c>
      <c r="C7" s="21" t="str">
        <f>'Rating Engine'!B58</f>
        <v>Make / model factor</v>
      </c>
      <c r="D7" s="60">
        <f>'Rating Engine'!C58</f>
        <v>1.087</v>
      </c>
      <c r="E7" s="61">
        <f t="shared" ref="E7:E34" si="0">E6*D7</f>
        <v>1.087</v>
      </c>
      <c r="F7" s="62">
        <f t="shared" ref="F7:F34" si="1">$F$6*E7</f>
        <v>5312.7124999999996</v>
      </c>
      <c r="G7" s="62">
        <f t="shared" ref="G7:G34" si="2">F7-F6</f>
        <v>425.21249999999964</v>
      </c>
      <c r="H7" s="59" t="str">
        <f>'Rating Engine'!C8</f>
        <v>Ferrari</v>
      </c>
    </row>
    <row r="8" spans="2:8" x14ac:dyDescent="0.25">
      <c r="B8" s="63">
        <v>2</v>
      </c>
      <c r="C8" s="64" t="str">
        <f>'Rating Engine'!B59</f>
        <v>Driver age factor</v>
      </c>
      <c r="D8" s="65">
        <f>'Rating Engine'!C59</f>
        <v>1</v>
      </c>
      <c r="E8" s="66">
        <f t="shared" si="0"/>
        <v>1.087</v>
      </c>
      <c r="F8" s="67">
        <f t="shared" si="1"/>
        <v>5312.7124999999996</v>
      </c>
      <c r="G8" s="67">
        <f t="shared" si="2"/>
        <v>0</v>
      </c>
      <c r="H8" s="68" t="str">
        <f>'Rating Engine'!C19</f>
        <v>45 - 54</v>
      </c>
    </row>
    <row r="9" spans="2:8" x14ac:dyDescent="0.25">
      <c r="B9" s="56">
        <v>3</v>
      </c>
      <c r="C9" s="21" t="str">
        <f>'Rating Engine'!B60</f>
        <v>Experience factor</v>
      </c>
      <c r="D9" s="60">
        <f>'Rating Engine'!C60</f>
        <v>1</v>
      </c>
      <c r="E9" s="61">
        <f t="shared" si="0"/>
        <v>1.087</v>
      </c>
      <c r="F9" s="62">
        <f t="shared" si="1"/>
        <v>5312.7124999999996</v>
      </c>
      <c r="G9" s="62">
        <f t="shared" si="2"/>
        <v>0</v>
      </c>
      <c r="H9" s="59" t="str">
        <f>'Rating Engine'!C20</f>
        <v>5 - 10 years</v>
      </c>
    </row>
    <row r="10" spans="2:8" x14ac:dyDescent="0.25">
      <c r="B10" s="63">
        <v>4</v>
      </c>
      <c r="C10" s="64" t="str">
        <f>'Rating Engine'!B61</f>
        <v>MVR factor</v>
      </c>
      <c r="D10" s="65">
        <f>'Rating Engine'!C61</f>
        <v>1</v>
      </c>
      <c r="E10" s="66">
        <f t="shared" si="0"/>
        <v>1.087</v>
      </c>
      <c r="F10" s="67">
        <f t="shared" si="1"/>
        <v>5312.7124999999996</v>
      </c>
      <c r="G10" s="67">
        <f t="shared" si="2"/>
        <v>0</v>
      </c>
      <c r="H10" s="68" t="str">
        <f>'Rating Engine'!C21</f>
        <v>Clean - no violations 3 yrs</v>
      </c>
    </row>
    <row r="11" spans="2:8" x14ac:dyDescent="0.25">
      <c r="B11" s="56">
        <v>5</v>
      </c>
      <c r="C11" s="21" t="str">
        <f>'Rating Engine'!B62</f>
        <v>Claims history factor</v>
      </c>
      <c r="D11" s="60">
        <f>'Rating Engine'!C62</f>
        <v>0.9</v>
      </c>
      <c r="E11" s="61">
        <f t="shared" si="0"/>
        <v>0.97829999999999995</v>
      </c>
      <c r="F11" s="62">
        <f t="shared" si="1"/>
        <v>4781.4412499999999</v>
      </c>
      <c r="G11" s="62">
        <f t="shared" si="2"/>
        <v>-531.27124999999978</v>
      </c>
      <c r="H11" s="59" t="str">
        <f>'Rating Engine'!C22</f>
        <v>No at-fault claims - 5 yrs</v>
      </c>
    </row>
    <row r="12" spans="2:8" x14ac:dyDescent="0.25">
      <c r="B12" s="63">
        <v>6</v>
      </c>
      <c r="C12" s="64" t="str">
        <f>'Rating Engine'!B63</f>
        <v>State territory factor</v>
      </c>
      <c r="D12" s="65">
        <f>'Rating Engine'!C63</f>
        <v>1.45</v>
      </c>
      <c r="E12" s="66">
        <f t="shared" si="0"/>
        <v>1.4185349999999999</v>
      </c>
      <c r="F12" s="67">
        <f t="shared" si="1"/>
        <v>6933.0898124999994</v>
      </c>
      <c r="G12" s="67">
        <f t="shared" si="2"/>
        <v>2151.6485624999996</v>
      </c>
      <c r="H12" s="68" t="str">
        <f>'Rating Engine'!C12</f>
        <v>Florida</v>
      </c>
    </row>
    <row r="13" spans="2:8" x14ac:dyDescent="0.25">
      <c r="B13" s="56">
        <v>7</v>
      </c>
      <c r="C13" s="21" t="str">
        <f>'Rating Engine'!B64</f>
        <v>City / metro accident factor</v>
      </c>
      <c r="D13" s="60">
        <f>'Rating Engine'!C64</f>
        <v>1.395</v>
      </c>
      <c r="E13" s="61">
        <f t="shared" si="0"/>
        <v>1.9788563249999997</v>
      </c>
      <c r="F13" s="62">
        <f t="shared" si="1"/>
        <v>9671.6602884374988</v>
      </c>
      <c r="G13" s="62">
        <f t="shared" si="2"/>
        <v>2738.5704759374994</v>
      </c>
      <c r="H13" s="59" t="str">
        <f>'Rating Engine'!C27</f>
        <v>Miami - Fort Lauderdale, FL</v>
      </c>
    </row>
    <row r="14" spans="2:8" x14ac:dyDescent="0.25">
      <c r="B14" s="63">
        <v>8</v>
      </c>
      <c r="C14" s="64" t="str">
        <f>'Rating Engine'!B65</f>
        <v>Usage factor</v>
      </c>
      <c r="D14" s="65">
        <f>'Rating Engine'!C65</f>
        <v>1</v>
      </c>
      <c r="E14" s="66">
        <f t="shared" si="0"/>
        <v>1.9788563249999997</v>
      </c>
      <c r="F14" s="67">
        <f t="shared" si="1"/>
        <v>9671.6602884374988</v>
      </c>
      <c r="G14" s="67">
        <f t="shared" si="2"/>
        <v>0</v>
      </c>
      <c r="H14" s="68" t="str">
        <f>'Rating Engine'!C15</f>
        <v>Personal - regular use</v>
      </c>
    </row>
    <row r="15" spans="2:8" x14ac:dyDescent="0.25">
      <c r="B15" s="56">
        <v>9</v>
      </c>
      <c r="C15" s="21" t="str">
        <f>'Rating Engine'!B66</f>
        <v>Mileage factor</v>
      </c>
      <c r="D15" s="60">
        <f>'Rating Engine'!C66</f>
        <v>1</v>
      </c>
      <c r="E15" s="61">
        <f t="shared" si="0"/>
        <v>1.9788563249999997</v>
      </c>
      <c r="F15" s="62">
        <f t="shared" si="1"/>
        <v>9671.6602884374988</v>
      </c>
      <c r="G15" s="62">
        <f t="shared" si="2"/>
        <v>0</v>
      </c>
      <c r="H15" s="59" t="str">
        <f>'Rating Engine'!C16</f>
        <v>2,500 - 5,000</v>
      </c>
    </row>
    <row r="16" spans="2:8" x14ac:dyDescent="0.25">
      <c r="B16" s="63">
        <v>10</v>
      </c>
      <c r="C16" s="64" t="str">
        <f>'Rating Engine'!B67</f>
        <v>Storage factor</v>
      </c>
      <c r="D16" s="65">
        <f>'Rating Engine'!C67</f>
        <v>0.9</v>
      </c>
      <c r="E16" s="66">
        <f t="shared" si="0"/>
        <v>1.7809706924999997</v>
      </c>
      <c r="F16" s="67">
        <f t="shared" si="1"/>
        <v>8704.4942595937482</v>
      </c>
      <c r="G16" s="67">
        <f t="shared" si="2"/>
        <v>-967.16602884375061</v>
      </c>
      <c r="H16" s="68" t="str">
        <f>'Rating Engine'!C17</f>
        <v>Locked private garage w/ monitored alarm</v>
      </c>
    </row>
    <row r="17" spans="2:8" x14ac:dyDescent="0.25">
      <c r="B17" s="56">
        <v>11</v>
      </c>
      <c r="C17" s="21" t="str">
        <f>'Rating Engine'!B68</f>
        <v>Security factor</v>
      </c>
      <c r="D17" s="60">
        <f>'Rating Engine'!C68</f>
        <v>0.9</v>
      </c>
      <c r="E17" s="61">
        <f t="shared" si="0"/>
        <v>1.6028736232499998</v>
      </c>
      <c r="F17" s="62">
        <f t="shared" si="1"/>
        <v>7834.0448336343743</v>
      </c>
      <c r="G17" s="62">
        <f t="shared" si="2"/>
        <v>-870.44942595937391</v>
      </c>
      <c r="H17" s="59" t="str">
        <f>'Rating Engine'!C18</f>
        <v>GPS tracker w/ recovery service</v>
      </c>
    </row>
    <row r="18" spans="2:8" x14ac:dyDescent="0.25">
      <c r="B18" s="63">
        <v>12</v>
      </c>
      <c r="C18" s="64" t="str">
        <f>'Rating Engine'!B69</f>
        <v>PD deductible factor (value-banded)</v>
      </c>
      <c r="D18" s="65">
        <f>'Rating Engine'!C69</f>
        <v>0.94</v>
      </c>
      <c r="E18" s="66">
        <f t="shared" si="0"/>
        <v>1.5067012058549998</v>
      </c>
      <c r="F18" s="67">
        <f t="shared" si="1"/>
        <v>7364.0021436163115</v>
      </c>
      <c r="G18" s="67">
        <f t="shared" si="2"/>
        <v>-470.04269001806279</v>
      </c>
      <c r="H18" s="68" t="str">
        <f>'Rating Engine'!C24</f>
        <v>$5,000</v>
      </c>
    </row>
    <row r="19" spans="2:8" x14ac:dyDescent="0.25">
      <c r="B19" s="56">
        <v>13</v>
      </c>
      <c r="C19" s="21" t="str">
        <f>'Rating Engine'!B70</f>
        <v>Valuation basis factor</v>
      </c>
      <c r="D19" s="60">
        <f>'Rating Engine'!C70</f>
        <v>1</v>
      </c>
      <c r="E19" s="61">
        <f t="shared" si="0"/>
        <v>1.5067012058549998</v>
      </c>
      <c r="F19" s="62">
        <f t="shared" si="1"/>
        <v>7364.0021436163115</v>
      </c>
      <c r="G19" s="62">
        <f t="shared" si="2"/>
        <v>0</v>
      </c>
      <c r="H19" s="59" t="str">
        <f>'Rating Engine'!C25</f>
        <v>Agreed Value</v>
      </c>
    </row>
    <row r="20" spans="2:8" x14ac:dyDescent="0.25">
      <c r="B20" s="63">
        <v>14</v>
      </c>
      <c r="C20" s="64" t="str">
        <f>'Rating Engine'!B71</f>
        <v>Collection size credit</v>
      </c>
      <c r="D20" s="65">
        <f>'Rating Engine'!C71</f>
        <v>0.95</v>
      </c>
      <c r="E20" s="66">
        <f t="shared" si="0"/>
        <v>1.4313661455622497</v>
      </c>
      <c r="F20" s="67">
        <f t="shared" si="1"/>
        <v>6995.8020364354952</v>
      </c>
      <c r="G20" s="67">
        <f t="shared" si="2"/>
        <v>-368.2001071808163</v>
      </c>
      <c r="H20" s="68" t="str">
        <f>'Rating Engine'!C23</f>
        <v>2 - 3 vehicles</v>
      </c>
    </row>
    <row r="21" spans="2:8" x14ac:dyDescent="0.25">
      <c r="B21" s="69">
        <v>15</v>
      </c>
      <c r="C21" s="70" t="str">
        <f>'Rating Engine'!B72</f>
        <v>Comprehensive deductible factor</v>
      </c>
      <c r="D21" s="71">
        <f>'Rating Engine'!C72</f>
        <v>1</v>
      </c>
      <c r="E21" s="72">
        <f t="shared" si="0"/>
        <v>1.4313661455622497</v>
      </c>
      <c r="F21" s="73">
        <f t="shared" si="1"/>
        <v>6995.8020364354952</v>
      </c>
      <c r="G21" s="73">
        <f t="shared" si="2"/>
        <v>0</v>
      </c>
      <c r="H21" s="74" t="str">
        <f>'Rating Engine'!C29</f>
        <v>Same as physical damage deductible</v>
      </c>
    </row>
    <row r="22" spans="2:8" x14ac:dyDescent="0.25">
      <c r="B22" s="63">
        <v>16</v>
      </c>
      <c r="C22" s="64" t="str">
        <f>'Rating Engine'!B73</f>
        <v>Glass deductible factor</v>
      </c>
      <c r="D22" s="65">
        <f>'Rating Engine'!C73</f>
        <v>1</v>
      </c>
      <c r="E22" s="66">
        <f t="shared" si="0"/>
        <v>1.4313661455622497</v>
      </c>
      <c r="F22" s="67">
        <f t="shared" si="1"/>
        <v>6995.8020364354952</v>
      </c>
      <c r="G22" s="67">
        <f t="shared" si="2"/>
        <v>0</v>
      </c>
      <c r="H22" s="68" t="str">
        <f>'Rating Engine'!C30</f>
        <v>$500 flat, OEM glass</v>
      </c>
    </row>
    <row r="23" spans="2:8" x14ac:dyDescent="0.25">
      <c r="B23" s="56">
        <v>17</v>
      </c>
      <c r="C23" s="21" t="str">
        <f>'Rating Engine'!B74</f>
        <v>Theft deductible factor</v>
      </c>
      <c r="D23" s="60">
        <f>'Rating Engine'!C74</f>
        <v>1</v>
      </c>
      <c r="E23" s="61">
        <f t="shared" si="0"/>
        <v>1.4313661455622497</v>
      </c>
      <c r="F23" s="62">
        <f t="shared" si="1"/>
        <v>6995.8020364354952</v>
      </c>
      <c r="G23" s="62">
        <f t="shared" si="2"/>
        <v>0</v>
      </c>
      <c r="H23" s="59" t="str">
        <f>'Rating Engine'!C31</f>
        <v>Same as PD deductible</v>
      </c>
    </row>
    <row r="24" spans="2:8" x14ac:dyDescent="0.25">
      <c r="B24" s="63">
        <v>18</v>
      </c>
      <c r="C24" s="64" t="str">
        <f>'Rating Engine'!B75</f>
        <v>Aggregate deductible factor</v>
      </c>
      <c r="D24" s="65">
        <f>'Rating Engine'!C75</f>
        <v>1</v>
      </c>
      <c r="E24" s="66">
        <f t="shared" si="0"/>
        <v>1.4313661455622497</v>
      </c>
      <c r="F24" s="67">
        <f t="shared" si="1"/>
        <v>6995.8020364354952</v>
      </c>
      <c r="G24" s="67">
        <f t="shared" si="2"/>
        <v>0</v>
      </c>
      <c r="H24" s="68" t="str">
        <f>'Rating Engine'!C32</f>
        <v>Not applicable - per vehicle deductible</v>
      </c>
    </row>
    <row r="25" spans="2:8" x14ac:dyDescent="0.25">
      <c r="B25" s="56">
        <v>19</v>
      </c>
      <c r="C25" s="21" t="str">
        <f>'Rating Engine'!B76</f>
        <v>Total loss waiver factor</v>
      </c>
      <c r="D25" s="60">
        <f>'Rating Engine'!C76</f>
        <v>1</v>
      </c>
      <c r="E25" s="61">
        <f t="shared" si="0"/>
        <v>1.4313661455622497</v>
      </c>
      <c r="F25" s="62">
        <f t="shared" si="1"/>
        <v>6995.8020364354952</v>
      </c>
      <c r="G25" s="62">
        <f t="shared" si="2"/>
        <v>0</v>
      </c>
      <c r="H25" s="59" t="str">
        <f>'Rating Engine'!C33</f>
        <v>Not purchased</v>
      </c>
    </row>
    <row r="26" spans="2:8" x14ac:dyDescent="0.25">
      <c r="B26" s="63">
        <v>20</v>
      </c>
      <c r="C26" s="64" t="str">
        <f>'Rating Engine'!B77</f>
        <v>Newly acquired vehicle factor</v>
      </c>
      <c r="D26" s="65">
        <f>'Rating Engine'!C77</f>
        <v>1</v>
      </c>
      <c r="E26" s="66">
        <f t="shared" si="0"/>
        <v>1.4313661455622497</v>
      </c>
      <c r="F26" s="67">
        <f t="shared" si="1"/>
        <v>6995.8020364354952</v>
      </c>
      <c r="G26" s="67">
        <f t="shared" si="2"/>
        <v>0</v>
      </c>
      <c r="H26" s="68" t="str">
        <f>'Rating Engine'!C34</f>
        <v>$500,000 / 30 days</v>
      </c>
    </row>
    <row r="27" spans="2:8" x14ac:dyDescent="0.25">
      <c r="B27" s="56">
        <v>21</v>
      </c>
      <c r="C27" s="21" t="str">
        <f>'Rating Engine'!B78</f>
        <v>Spare parts factor</v>
      </c>
      <c r="D27" s="60">
        <f>'Rating Engine'!C78</f>
        <v>1</v>
      </c>
      <c r="E27" s="61">
        <f t="shared" si="0"/>
        <v>1.4313661455622497</v>
      </c>
      <c r="F27" s="62">
        <f t="shared" si="1"/>
        <v>6995.8020364354952</v>
      </c>
      <c r="G27" s="62">
        <f t="shared" si="2"/>
        <v>0</v>
      </c>
      <c r="H27" s="59" t="str">
        <f>'Rating Engine'!C35</f>
        <v>$25,000</v>
      </c>
    </row>
    <row r="28" spans="2:8" x14ac:dyDescent="0.25">
      <c r="B28" s="63">
        <v>22</v>
      </c>
      <c r="C28" s="64" t="str">
        <f>'Rating Engine'!B79</f>
        <v>Personal effects factor</v>
      </c>
      <c r="D28" s="65">
        <f>'Rating Engine'!C79</f>
        <v>1</v>
      </c>
      <c r="E28" s="66">
        <f t="shared" si="0"/>
        <v>1.4313661455622497</v>
      </c>
      <c r="F28" s="67">
        <f t="shared" si="1"/>
        <v>6995.8020364354952</v>
      </c>
      <c r="G28" s="67">
        <f t="shared" si="2"/>
        <v>0</v>
      </c>
      <c r="H28" s="68" t="str">
        <f>'Rating Engine'!C36</f>
        <v>$5,000</v>
      </c>
    </row>
    <row r="29" spans="2:8" x14ac:dyDescent="0.25">
      <c r="B29" s="56">
        <v>23</v>
      </c>
      <c r="C29" s="21" t="str">
        <f>'Rating Engine'!B80</f>
        <v>Loss of use factor</v>
      </c>
      <c r="D29" s="60">
        <f>'Rating Engine'!C80</f>
        <v>1</v>
      </c>
      <c r="E29" s="61">
        <f t="shared" si="0"/>
        <v>1.4313661455622497</v>
      </c>
      <c r="F29" s="62">
        <f t="shared" si="1"/>
        <v>6995.8020364354952</v>
      </c>
      <c r="G29" s="62">
        <f t="shared" si="2"/>
        <v>0</v>
      </c>
      <c r="H29" s="59" t="str">
        <f>'Rating Engine'!C37</f>
        <v>$10,000</v>
      </c>
    </row>
    <row r="30" spans="2:8" x14ac:dyDescent="0.25">
      <c r="B30" s="63">
        <v>24</v>
      </c>
      <c r="C30" s="64" t="str">
        <f>'Rating Engine'!B81</f>
        <v>Transit factor</v>
      </c>
      <c r="D30" s="65">
        <f>'Rating Engine'!C81</f>
        <v>1</v>
      </c>
      <c r="E30" s="66">
        <f t="shared" si="0"/>
        <v>1.4313661455622497</v>
      </c>
      <c r="F30" s="67">
        <f t="shared" si="1"/>
        <v>6995.8020364354952</v>
      </c>
      <c r="G30" s="67">
        <f t="shared" si="2"/>
        <v>0</v>
      </c>
      <c r="H30" s="68" t="str">
        <f>'Rating Engine'!C38</f>
        <v>Enclosed carrier only</v>
      </c>
    </row>
    <row r="31" spans="2:8" x14ac:dyDescent="0.25">
      <c r="B31" s="56">
        <v>25</v>
      </c>
      <c r="C31" s="21" t="str">
        <f>'Rating Engine'!B82</f>
        <v>Worldwide territory factor</v>
      </c>
      <c r="D31" s="60">
        <f>'Rating Engine'!C82</f>
        <v>1</v>
      </c>
      <c r="E31" s="61">
        <f t="shared" si="0"/>
        <v>1.4313661455622497</v>
      </c>
      <c r="F31" s="62">
        <f t="shared" si="1"/>
        <v>6995.8020364354952</v>
      </c>
      <c r="G31" s="62">
        <f t="shared" si="2"/>
        <v>0</v>
      </c>
      <c r="H31" s="59" t="str">
        <f>'Rating Engine'!C39</f>
        <v>Not required - US and Canada only</v>
      </c>
    </row>
    <row r="32" spans="2:8" x14ac:dyDescent="0.25">
      <c r="B32" s="63">
        <v>26</v>
      </c>
      <c r="C32" s="64" t="str">
        <f>'Rating Engine'!B83</f>
        <v>Unobtainable parts factor</v>
      </c>
      <c r="D32" s="65">
        <f>'Rating Engine'!C83</f>
        <v>1</v>
      </c>
      <c r="E32" s="66">
        <f t="shared" si="0"/>
        <v>1.4313661455622497</v>
      </c>
      <c r="F32" s="67">
        <f t="shared" si="1"/>
        <v>6995.8020364354952</v>
      </c>
      <c r="G32" s="67">
        <f t="shared" si="2"/>
        <v>0</v>
      </c>
      <c r="H32" s="68" t="str">
        <f>'Rating Engine'!C40</f>
        <v>$100,000</v>
      </c>
    </row>
    <row r="33" spans="2:8" x14ac:dyDescent="0.25">
      <c r="B33" s="56">
        <v>27</v>
      </c>
      <c r="C33" s="21" t="str">
        <f>'Rating Engine'!B84</f>
        <v>Diminution in value factor</v>
      </c>
      <c r="D33" s="60">
        <f>'Rating Engine'!C84</f>
        <v>1</v>
      </c>
      <c r="E33" s="61">
        <f t="shared" si="0"/>
        <v>1.4313661455622497</v>
      </c>
      <c r="F33" s="62">
        <f t="shared" si="1"/>
        <v>6995.8020364354952</v>
      </c>
      <c r="G33" s="62">
        <f t="shared" si="2"/>
        <v>0</v>
      </c>
      <c r="H33" s="59" t="str">
        <f>'Rating Engine'!C41</f>
        <v>10% of agreed value</v>
      </c>
    </row>
    <row r="34" spans="2:8" x14ac:dyDescent="0.25">
      <c r="B34" s="63">
        <v>28</v>
      </c>
      <c r="C34" s="64" t="str">
        <f>'Rating Engine'!B85</f>
        <v>Per-location aggregate factor</v>
      </c>
      <c r="D34" s="65">
        <f>'Rating Engine'!C85</f>
        <v>1</v>
      </c>
      <c r="E34" s="66">
        <f t="shared" si="0"/>
        <v>1.4313661455622497</v>
      </c>
      <c r="F34" s="67">
        <f t="shared" si="1"/>
        <v>6995.8020364354952</v>
      </c>
      <c r="G34" s="67">
        <f t="shared" si="2"/>
        <v>0</v>
      </c>
      <c r="H34" s="68" t="str">
        <f>'Rating Engine'!C42</f>
        <v>$10,000,000</v>
      </c>
    </row>
    <row r="35" spans="2:8" x14ac:dyDescent="0.25">
      <c r="C35" s="32" t="s">
        <v>360</v>
      </c>
      <c r="E35" s="75">
        <f>E34</f>
        <v>1.4313661455622497</v>
      </c>
      <c r="F35" s="76">
        <f>F34</f>
        <v>6995.8020364354952</v>
      </c>
      <c r="H35" s="77" t="str">
        <f>IF(ROUND(F35-'Rating Engine'!C91,2)=0,"AGREES with Rating Engine row 91","VARIANCE - investigate")</f>
        <v>AGREES with Rating Engine row 91</v>
      </c>
    </row>
    <row r="37" spans="2:8" ht="18" customHeight="1" x14ac:dyDescent="0.25">
      <c r="B37" s="12" t="s">
        <v>361</v>
      </c>
      <c r="C37" s="12"/>
      <c r="D37" s="12"/>
      <c r="E37" s="12"/>
      <c r="F37" s="12"/>
      <c r="G37" s="12"/>
      <c r="H37" s="12"/>
    </row>
    <row r="38" spans="2:8" ht="30" customHeight="1" x14ac:dyDescent="0.25">
      <c r="B38" s="22"/>
      <c r="C38" s="22" t="s">
        <v>362</v>
      </c>
      <c r="D38" s="22"/>
      <c r="E38" s="22" t="s">
        <v>363</v>
      </c>
      <c r="F38" s="22" t="s">
        <v>364</v>
      </c>
      <c r="G38" s="22" t="s">
        <v>365</v>
      </c>
      <c r="H38" s="22" t="s">
        <v>366</v>
      </c>
    </row>
    <row r="39" spans="2:8" x14ac:dyDescent="0.25">
      <c r="C39" s="36" t="s">
        <v>367</v>
      </c>
      <c r="E39" s="31">
        <f>'Rating Engine'!C91</f>
        <v>6995.8020364354952</v>
      </c>
      <c r="F39" s="62">
        <f>E39</f>
        <v>6995.8020364354952</v>
      </c>
      <c r="G39" s="78">
        <f>E39/'Rating Engine'!C105</f>
        <v>0.27918917612970273</v>
      </c>
      <c r="H39" s="79">
        <f>E39/'Rating Engine'!C11*100</f>
        <v>1.6460710673965873</v>
      </c>
    </row>
    <row r="40" spans="2:8" x14ac:dyDescent="0.25">
      <c r="C40" s="80" t="s">
        <v>311</v>
      </c>
      <c r="D40" s="81"/>
      <c r="E40" s="82">
        <f>'Rating Engine'!C94</f>
        <v>1747.1538</v>
      </c>
      <c r="F40" s="67">
        <f t="shared" ref="F40:F45" si="3">F39+E40</f>
        <v>8742.9558364354962</v>
      </c>
      <c r="G40" s="83">
        <f>E40/'Rating Engine'!C105</f>
        <v>6.9725590783357355E-2</v>
      </c>
      <c r="H40" s="84">
        <f>E40/'Rating Engine'!C11*100</f>
        <v>0.41109501176470592</v>
      </c>
    </row>
    <row r="41" spans="2:8" x14ac:dyDescent="0.25">
      <c r="C41" s="36" t="s">
        <v>368</v>
      </c>
      <c r="E41" s="31">
        <f>'Rating Engine'!C96</f>
        <v>699.43646691483968</v>
      </c>
      <c r="F41" s="62">
        <f t="shared" si="3"/>
        <v>9442.3923033503361</v>
      </c>
      <c r="G41" s="78">
        <f>E41/'Rating Engine'!C105</f>
        <v>2.7913181353044811E-2</v>
      </c>
      <c r="H41" s="79">
        <f>E41/'Rating Engine'!C11*100</f>
        <v>0.16457328633290347</v>
      </c>
    </row>
    <row r="42" spans="2:8" x14ac:dyDescent="0.25">
      <c r="C42" s="80" t="s">
        <v>369</v>
      </c>
      <c r="D42" s="81"/>
      <c r="E42" s="82">
        <f>'Rating Engine'!C98</f>
        <v>472.11961516751683</v>
      </c>
      <c r="F42" s="67">
        <f t="shared" si="3"/>
        <v>9914.5119185178537</v>
      </c>
      <c r="G42" s="83">
        <f>E42/'Rating Engine'!C105</f>
        <v>1.8841397413305247E-2</v>
      </c>
      <c r="H42" s="84">
        <f>E42/'Rating Engine'!C11*100</f>
        <v>0.11108696827470985</v>
      </c>
    </row>
    <row r="43" spans="2:8" x14ac:dyDescent="0.25">
      <c r="C43" s="36" t="s">
        <v>99</v>
      </c>
      <c r="E43" s="31">
        <f>'Rating Engine'!C100</f>
        <v>3022.186479740134</v>
      </c>
      <c r="F43" s="62">
        <f t="shared" si="3"/>
        <v>12936.698398257988</v>
      </c>
      <c r="G43" s="78">
        <f>E43/'Rating Engine'!C105</f>
        <v>0.12060972408803158</v>
      </c>
      <c r="H43" s="79">
        <f>E43/'Rating Engine'!C11*100</f>
        <v>0.7111027011153257</v>
      </c>
    </row>
    <row r="44" spans="2:8" x14ac:dyDescent="0.25">
      <c r="C44" s="80" t="s">
        <v>370</v>
      </c>
      <c r="D44" s="81"/>
      <c r="E44" s="82">
        <f>'Rating Engine'!C102</f>
        <v>970.25237986934906</v>
      </c>
      <c r="F44" s="67">
        <f t="shared" si="3"/>
        <v>13906.950778127337</v>
      </c>
      <c r="G44" s="83">
        <f>E44/'Rating Engine'!C105</f>
        <v>3.8720930232558133E-2</v>
      </c>
      <c r="H44" s="84">
        <f>E44/'Rating Engine'!C11*100</f>
        <v>0.22829467761631742</v>
      </c>
    </row>
    <row r="45" spans="2:8" x14ac:dyDescent="0.25">
      <c r="C45" s="36" t="s">
        <v>371</v>
      </c>
      <c r="E45" s="31">
        <f>'Rating Engine'!C105-'Rating Engine'!C103</f>
        <v>11150.618191471471</v>
      </c>
      <c r="F45" s="62">
        <f t="shared" si="3"/>
        <v>25057.568969598808</v>
      </c>
      <c r="G45" s="78">
        <f>E45/'Rating Engine'!C105</f>
        <v>0.44500000000000006</v>
      </c>
      <c r="H45" s="79">
        <f>E45/'Rating Engine'!C11*100</f>
        <v>2.6236748685815225</v>
      </c>
    </row>
    <row r="46" spans="2:8" x14ac:dyDescent="0.25">
      <c r="C46" s="32" t="s">
        <v>112</v>
      </c>
      <c r="D46" s="85"/>
      <c r="E46" s="85"/>
      <c r="F46" s="76">
        <f>F45</f>
        <v>25057.568969598808</v>
      </c>
      <c r="G46" s="86">
        <f>SUM(G39:G45)</f>
        <v>1</v>
      </c>
      <c r="H46" s="87">
        <f>'Rating Engine'!C106</f>
        <v>5.8958985810820721</v>
      </c>
    </row>
    <row r="47" spans="2:8" x14ac:dyDescent="0.25">
      <c r="C47" s="36" t="s">
        <v>118</v>
      </c>
      <c r="F47" s="31">
        <f>'Rating Engine'!C107</f>
        <v>0</v>
      </c>
    </row>
    <row r="48" spans="2:8" x14ac:dyDescent="0.25">
      <c r="C48" s="32" t="s">
        <v>372</v>
      </c>
      <c r="F48" s="76">
        <f>'Rating Engine'!C108</f>
        <v>25057.568969598808</v>
      </c>
    </row>
    <row r="49" spans="2:8" x14ac:dyDescent="0.25">
      <c r="C49" s="36" t="s">
        <v>335</v>
      </c>
      <c r="F49" s="31">
        <f>'Rating Engine'!C111</f>
        <v>350</v>
      </c>
    </row>
    <row r="50" spans="2:8" x14ac:dyDescent="0.25">
      <c r="C50" s="36" t="s">
        <v>336</v>
      </c>
      <c r="F50" s="31">
        <f>'Rating Engine'!C112</f>
        <v>0</v>
      </c>
    </row>
    <row r="51" spans="2:8" x14ac:dyDescent="0.25">
      <c r="C51" s="36" t="s">
        <v>337</v>
      </c>
      <c r="F51" s="31">
        <f>'Rating Engine'!C113</f>
        <v>1300.8675312434591</v>
      </c>
    </row>
    <row r="52" spans="2:8" x14ac:dyDescent="0.25">
      <c r="C52" s="32" t="s">
        <v>339</v>
      </c>
      <c r="F52" s="76">
        <f>'Rating Engine'!C114</f>
        <v>26708.436500842268</v>
      </c>
    </row>
    <row r="54" spans="2:8" ht="18" customHeight="1" x14ac:dyDescent="0.25">
      <c r="B54" s="12" t="s">
        <v>373</v>
      </c>
      <c r="C54" s="12"/>
      <c r="D54" s="12"/>
      <c r="E54" s="12"/>
      <c r="F54" s="12"/>
      <c r="G54" s="12"/>
      <c r="H54" s="12"/>
    </row>
    <row r="55" spans="2:8" x14ac:dyDescent="0.25">
      <c r="C55" s="36" t="s">
        <v>374</v>
      </c>
      <c r="E55" s="58">
        <f>'Rating Engine'!C11/100*'Rating Engine'!C56</f>
        <v>4887.5</v>
      </c>
    </row>
    <row r="56" spans="2:8" x14ac:dyDescent="0.25">
      <c r="C56" s="80" t="s">
        <v>375</v>
      </c>
      <c r="D56" s="81"/>
      <c r="E56" s="88">
        <f>E55*'Rating Engine'!C86</f>
        <v>6995.8020364354952</v>
      </c>
    </row>
    <row r="57" spans="2:8" x14ac:dyDescent="0.25">
      <c r="C57" s="36" t="s">
        <v>376</v>
      </c>
      <c r="E57" s="58">
        <f>E56*'Rating Engine'!C87</f>
        <v>6995.8020364354952</v>
      </c>
    </row>
    <row r="58" spans="2:8" x14ac:dyDescent="0.25">
      <c r="C58" s="80" t="s">
        <v>377</v>
      </c>
      <c r="D58" s="81"/>
      <c r="E58" s="88">
        <f>E57+'Rating Engine'!C92*'Rating Engine'!C93*MIN('Rating Engine'!C65*'Rating Engine'!C59*'Rating Engine'!C61*'Rating Engine'!C62*'Rating Engine'!C66*'Rating Engine'!C64,'Technical Premium'!C17)</f>
        <v>8742.9558364354962</v>
      </c>
    </row>
    <row r="59" spans="2:8" x14ac:dyDescent="0.25">
      <c r="C59" s="36" t="s">
        <v>378</v>
      </c>
      <c r="E59" s="58">
        <f>E58*(1+'Technical Premium'!C5)</f>
        <v>9442.3923033503361</v>
      </c>
    </row>
    <row r="60" spans="2:8" x14ac:dyDescent="0.25">
      <c r="C60" s="80" t="s">
        <v>379</v>
      </c>
      <c r="D60" s="81"/>
      <c r="E60" s="88">
        <f>E59*(1+'Technical Premium'!C6)</f>
        <v>9914.5119185178537</v>
      </c>
    </row>
    <row r="61" spans="2:8" x14ac:dyDescent="0.25">
      <c r="C61" s="36" t="s">
        <v>380</v>
      </c>
      <c r="E61" s="58">
        <f>E60+'Rating Engine'!C91*'Rating Engine'!C99*'Rating Engine'!C51*'Rating Engine'!C52</f>
        <v>12936.698398257988</v>
      </c>
    </row>
    <row r="62" spans="2:8" x14ac:dyDescent="0.25">
      <c r="C62" s="80" t="s">
        <v>381</v>
      </c>
      <c r="D62" s="81"/>
      <c r="E62" s="88">
        <f>E61*(1+'Technical Premium'!C7)</f>
        <v>13906.950778127337</v>
      </c>
    </row>
    <row r="63" spans="2:8" x14ac:dyDescent="0.25">
      <c r="C63" s="32" t="s">
        <v>382</v>
      </c>
      <c r="E63" s="76">
        <f>E62/'Technical Premium'!C13</f>
        <v>25057.568969598808</v>
      </c>
    </row>
    <row r="64" spans="2:8" x14ac:dyDescent="0.25">
      <c r="C64" s="89" t="s">
        <v>383</v>
      </c>
      <c r="D64" s="90"/>
      <c r="E64" s="91">
        <f>E63-'Rating Engine'!C105</f>
        <v>0</v>
      </c>
      <c r="F64" s="5" t="str">
        <f>IF(ABS(E64)&lt;0.01,"PROVED - the two routes agree","VARIANCE - investigate")</f>
        <v>PROVED - the two routes agree</v>
      </c>
      <c r="G64" s="5"/>
      <c r="H64" s="5"/>
    </row>
    <row r="66" spans="3:8" x14ac:dyDescent="0.25">
      <c r="C66" s="15" t="s">
        <v>384</v>
      </c>
    </row>
    <row r="67" spans="3:8" ht="42" customHeight="1" x14ac:dyDescent="0.25">
      <c r="C67" s="10" t="s">
        <v>385</v>
      </c>
      <c r="D67" s="10"/>
      <c r="E67" s="10"/>
      <c r="F67" s="10"/>
      <c r="G67" s="10"/>
      <c r="H67" s="10"/>
    </row>
    <row r="68" spans="3:8" ht="42" customHeight="1" x14ac:dyDescent="0.25">
      <c r="C68" s="10" t="s">
        <v>386</v>
      </c>
      <c r="D68" s="10"/>
      <c r="E68" s="10"/>
      <c r="F68" s="10"/>
      <c r="G68" s="10"/>
      <c r="H68" s="10"/>
    </row>
    <row r="69" spans="3:8" ht="42" customHeight="1" x14ac:dyDescent="0.25">
      <c r="C69" s="10" t="s">
        <v>387</v>
      </c>
      <c r="D69" s="10"/>
      <c r="E69" s="10"/>
      <c r="F69" s="10"/>
      <c r="G69" s="10"/>
      <c r="H69" s="10"/>
    </row>
    <row r="70" spans="3:8" ht="42" customHeight="1" x14ac:dyDescent="0.25">
      <c r="C70" s="10" t="s">
        <v>388</v>
      </c>
      <c r="D70" s="10"/>
      <c r="E70" s="10"/>
      <c r="F70" s="10"/>
      <c r="G70" s="10"/>
      <c r="H70" s="10"/>
    </row>
  </sheetData>
  <mergeCells count="10">
    <mergeCell ref="F64:H64"/>
    <mergeCell ref="C67:H67"/>
    <mergeCell ref="C68:H68"/>
    <mergeCell ref="C69:H69"/>
    <mergeCell ref="C70:H70"/>
    <mergeCell ref="B1:H1"/>
    <mergeCell ref="B2:H2"/>
    <mergeCell ref="B4:H4"/>
    <mergeCell ref="B37:H37"/>
    <mergeCell ref="B54:H54"/>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304"/>
  <sheetViews>
    <sheetView showGridLines="0" zoomScaleNormal="100" workbookViewId="0">
      <pane xSplit="10" ySplit="4" topLeftCell="K5" activePane="bottomRight" state="frozen"/>
      <selection pane="topRight" activeCell="K1" sqref="K1"/>
      <selection pane="bottomLeft" activeCell="A5" sqref="A5"/>
      <selection pane="bottomRight"/>
    </sheetView>
  </sheetViews>
  <sheetFormatPr defaultColWidth="8.7109375" defaultRowHeight="15" x14ac:dyDescent="0.25"/>
  <cols>
    <col min="1" max="1" width="15" customWidth="1"/>
    <col min="2" max="2" width="22" customWidth="1"/>
    <col min="3" max="4" width="12" customWidth="1"/>
    <col min="5" max="5" width="8" customWidth="1"/>
    <col min="6" max="6" width="17" customWidth="1"/>
    <col min="7" max="7" width="20" customWidth="1"/>
    <col min="8" max="8" width="18" customWidth="1"/>
    <col min="9" max="9" width="24" customWidth="1"/>
    <col min="10" max="10" width="13" customWidth="1"/>
    <col min="11" max="11" width="14" customWidth="1"/>
    <col min="12" max="12" width="10" customWidth="1"/>
    <col min="13" max="13" width="11" customWidth="1"/>
    <col min="14" max="14" width="24" customWidth="1"/>
    <col min="15" max="15" width="13" customWidth="1"/>
    <col min="16" max="16" width="24" customWidth="1"/>
    <col min="17" max="17" width="22" customWidth="1"/>
    <col min="18" max="18" width="11" customWidth="1"/>
    <col min="19" max="20" width="18" customWidth="1"/>
    <col min="21" max="21" width="22" customWidth="1"/>
    <col min="22" max="22" width="12" customWidth="1"/>
    <col min="23" max="23" width="13" customWidth="1"/>
    <col min="24" max="24" width="18" customWidth="1"/>
    <col min="25" max="25" width="13" customWidth="1"/>
    <col min="26" max="27" width="22" customWidth="1"/>
    <col min="28" max="28" width="18" customWidth="1"/>
    <col min="29" max="30" width="16" customWidth="1"/>
    <col min="31" max="31" width="18" customWidth="1"/>
    <col min="32" max="32" width="13" customWidth="1"/>
    <col min="33" max="33" width="15" customWidth="1"/>
    <col min="34" max="34" width="14" customWidth="1"/>
    <col min="35" max="36" width="12" customWidth="1"/>
    <col min="37" max="38" width="18" customWidth="1"/>
    <col min="39" max="39" width="12" customWidth="1"/>
    <col min="40" max="41" width="14" customWidth="1"/>
    <col min="42" max="42" width="20" customWidth="1"/>
    <col min="43" max="43" width="10" customWidth="1"/>
    <col min="44" max="44" width="7" customWidth="1"/>
    <col min="45" max="45" width="24" customWidth="1"/>
    <col min="46" max="46" width="12" customWidth="1"/>
    <col min="47" max="48" width="9" customWidth="1"/>
    <col min="49" max="49" width="13" customWidth="1"/>
    <col min="50" max="50" width="9" customWidth="1"/>
    <col min="51" max="51" width="12" customWidth="1"/>
    <col min="52" max="79" width="8" customWidth="1"/>
    <col min="80" max="82" width="10" customWidth="1"/>
    <col min="83" max="83" width="12" customWidth="1"/>
    <col min="84" max="84" width="10" customWidth="1"/>
    <col min="85" max="85" width="8" customWidth="1"/>
    <col min="86" max="86" width="11" customWidth="1"/>
    <col min="87" max="88" width="12" customWidth="1"/>
    <col min="89" max="89" width="11" customWidth="1"/>
    <col min="90" max="90" width="12" customWidth="1"/>
    <col min="91" max="91" width="13" customWidth="1"/>
    <col min="92" max="92" width="10" customWidth="1"/>
    <col min="93" max="93" width="13" customWidth="1"/>
    <col min="94" max="94" width="10" customWidth="1"/>
    <col min="95" max="96" width="9" customWidth="1"/>
    <col min="97" max="97" width="11" customWidth="1"/>
    <col min="98" max="98" width="13" customWidth="1"/>
    <col min="99" max="100" width="11" customWidth="1"/>
    <col min="101" max="101" width="12" customWidth="1"/>
    <col min="102" max="102" width="16" customWidth="1"/>
    <col min="103" max="103" width="10" customWidth="1"/>
    <col min="104" max="104" width="15" customWidth="1"/>
    <col min="105" max="105" width="42" customWidth="1"/>
    <col min="106" max="106" width="18" customWidth="1"/>
    <col min="107" max="107" width="22" customWidth="1"/>
    <col min="108" max="108" width="12" customWidth="1"/>
    <col min="109" max="109" width="40" customWidth="1"/>
    <col min="110" max="110" width="30" customWidth="1"/>
    <col min="111" max="111" width="22" customWidth="1"/>
    <col min="112" max="112" width="8" customWidth="1"/>
    <col min="113" max="113" width="34" customWidth="1"/>
  </cols>
  <sheetData>
    <row r="1" spans="1:113" ht="25.5" customHeight="1" x14ac:dyDescent="0.25">
      <c r="B1" s="14" t="s">
        <v>389</v>
      </c>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113" ht="15" customHeight="1" x14ac:dyDescent="0.25">
      <c r="B2" s="13" t="s">
        <v>390</v>
      </c>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row>
    <row r="3" spans="1:113" x14ac:dyDescent="0.25">
      <c r="A3" s="4" t="s">
        <v>391</v>
      </c>
      <c r="B3" s="4"/>
      <c r="C3" s="4"/>
      <c r="D3" s="4"/>
      <c r="E3" s="4"/>
      <c r="F3" s="4"/>
      <c r="G3" s="4"/>
      <c r="H3" s="4"/>
      <c r="I3" s="4"/>
      <c r="J3" s="4"/>
      <c r="K3" s="4"/>
      <c r="L3" s="4"/>
      <c r="M3" s="4"/>
      <c r="N3" s="4" t="s">
        <v>392</v>
      </c>
      <c r="O3" s="4"/>
      <c r="P3" s="4"/>
      <c r="Q3" s="4"/>
      <c r="R3" s="4"/>
      <c r="S3" s="4"/>
      <c r="T3" s="4"/>
      <c r="U3" s="4"/>
      <c r="V3" s="4"/>
      <c r="W3" s="4"/>
      <c r="X3" s="4"/>
      <c r="Y3" s="4"/>
      <c r="Z3" s="4"/>
      <c r="AA3" s="4"/>
      <c r="AB3" s="4" t="s">
        <v>393</v>
      </c>
      <c r="AC3" s="4"/>
      <c r="AD3" s="4"/>
      <c r="AE3" s="4"/>
      <c r="AF3" s="4"/>
      <c r="AG3" s="4" t="s">
        <v>394</v>
      </c>
      <c r="AH3" s="4"/>
      <c r="AI3" s="4"/>
      <c r="AJ3" s="4"/>
      <c r="AK3" s="4"/>
      <c r="AL3" s="4"/>
      <c r="AM3" s="4"/>
      <c r="AN3" s="4"/>
      <c r="AO3" s="4"/>
      <c r="AP3" s="4"/>
      <c r="AR3" s="4" t="s">
        <v>395</v>
      </c>
      <c r="AS3" s="4"/>
      <c r="AT3" s="4"/>
      <c r="AU3" s="4"/>
      <c r="AV3" s="4"/>
      <c r="AW3" s="4" t="s">
        <v>396</v>
      </c>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t="s">
        <v>397</v>
      </c>
      <c r="CC3" s="4"/>
      <c r="CD3" s="4"/>
      <c r="CE3" s="4"/>
      <c r="CF3" s="4"/>
      <c r="CG3" s="4"/>
      <c r="CH3" s="4"/>
      <c r="CI3" s="4"/>
      <c r="CJ3" s="4"/>
      <c r="CK3" s="4"/>
      <c r="CL3" s="4"/>
      <c r="CM3" s="4"/>
      <c r="CN3" s="4"/>
      <c r="CO3" s="4"/>
      <c r="CP3" s="4"/>
      <c r="CQ3" s="4"/>
      <c r="CR3" s="4"/>
      <c r="CS3" s="4"/>
      <c r="CT3" s="4"/>
      <c r="CU3" s="4" t="s">
        <v>398</v>
      </c>
      <c r="CV3" s="4"/>
      <c r="CW3" s="4"/>
      <c r="CX3" s="4"/>
      <c r="CY3" s="4"/>
      <c r="CZ3" s="4"/>
      <c r="DA3" s="4" t="s">
        <v>399</v>
      </c>
      <c r="DB3" s="4"/>
      <c r="DC3" s="4"/>
      <c r="DD3" s="4"/>
      <c r="DE3" s="4"/>
      <c r="DF3" s="4"/>
      <c r="DG3" s="4"/>
      <c r="DH3" s="4"/>
      <c r="DI3" s="4"/>
    </row>
    <row r="4" spans="1:113" ht="42" customHeight="1" x14ac:dyDescent="0.25">
      <c r="A4" s="22" t="s">
        <v>400</v>
      </c>
      <c r="B4" s="22" t="s">
        <v>401</v>
      </c>
      <c r="C4" s="22" t="s">
        <v>402</v>
      </c>
      <c r="D4" s="22" t="s">
        <v>403</v>
      </c>
      <c r="E4" s="22" t="s">
        <v>157</v>
      </c>
      <c r="F4" s="22" t="s">
        <v>404</v>
      </c>
      <c r="G4" s="22" t="s">
        <v>405</v>
      </c>
      <c r="H4" s="22" t="s">
        <v>406</v>
      </c>
      <c r="I4" s="22" t="s">
        <v>165</v>
      </c>
      <c r="J4" s="22" t="s">
        <v>168</v>
      </c>
      <c r="K4" s="22" t="s">
        <v>170</v>
      </c>
      <c r="L4" s="22" t="s">
        <v>407</v>
      </c>
      <c r="M4" s="22" t="s">
        <v>176</v>
      </c>
      <c r="N4" s="22" t="s">
        <v>179</v>
      </c>
      <c r="O4" s="22" t="s">
        <v>182</v>
      </c>
      <c r="P4" s="22" t="s">
        <v>185</v>
      </c>
      <c r="Q4" s="22" t="s">
        <v>408</v>
      </c>
      <c r="R4" s="22" t="s">
        <v>409</v>
      </c>
      <c r="S4" s="22" t="s">
        <v>410</v>
      </c>
      <c r="T4" s="22" t="s">
        <v>411</v>
      </c>
      <c r="U4" s="22" t="s">
        <v>412</v>
      </c>
      <c r="V4" s="22" t="s">
        <v>203</v>
      </c>
      <c r="W4" s="22" t="s">
        <v>413</v>
      </c>
      <c r="X4" s="22" t="s">
        <v>209</v>
      </c>
      <c r="Y4" s="22" t="s">
        <v>414</v>
      </c>
      <c r="Z4" s="22" t="s">
        <v>415</v>
      </c>
      <c r="AA4" s="22" t="s">
        <v>416</v>
      </c>
      <c r="AB4" s="22" t="s">
        <v>417</v>
      </c>
      <c r="AC4" s="22" t="s">
        <v>223</v>
      </c>
      <c r="AD4" s="22" t="s">
        <v>225</v>
      </c>
      <c r="AE4" s="22" t="s">
        <v>418</v>
      </c>
      <c r="AF4" s="22" t="s">
        <v>419</v>
      </c>
      <c r="AG4" s="22" t="s">
        <v>420</v>
      </c>
      <c r="AH4" s="22" t="s">
        <v>421</v>
      </c>
      <c r="AI4" s="22" t="s">
        <v>236</v>
      </c>
      <c r="AJ4" s="22" t="s">
        <v>422</v>
      </c>
      <c r="AK4" s="22" t="s">
        <v>423</v>
      </c>
      <c r="AL4" s="22" t="s">
        <v>424</v>
      </c>
      <c r="AM4" s="22" t="s">
        <v>425</v>
      </c>
      <c r="AN4" s="22" t="s">
        <v>245</v>
      </c>
      <c r="AO4" s="22" t="s">
        <v>426</v>
      </c>
      <c r="AP4" s="22" t="s">
        <v>427</v>
      </c>
      <c r="AQ4" s="22" t="s">
        <v>428</v>
      </c>
      <c r="AR4" s="22" t="s">
        <v>429</v>
      </c>
      <c r="AS4" s="22" t="s">
        <v>430</v>
      </c>
      <c r="AT4" s="22" t="s">
        <v>431</v>
      </c>
      <c r="AU4" s="22" t="s">
        <v>432</v>
      </c>
      <c r="AV4" s="22" t="s">
        <v>433</v>
      </c>
      <c r="AW4" s="22" t="s">
        <v>434</v>
      </c>
      <c r="AX4" s="22" t="s">
        <v>435</v>
      </c>
      <c r="AY4" s="22" t="s">
        <v>270</v>
      </c>
      <c r="AZ4" s="22" t="s">
        <v>436</v>
      </c>
      <c r="BA4" s="22" t="s">
        <v>437</v>
      </c>
      <c r="BB4" s="22" t="s">
        <v>438</v>
      </c>
      <c r="BC4" s="22" t="s">
        <v>439</v>
      </c>
      <c r="BD4" s="22" t="s">
        <v>440</v>
      </c>
      <c r="BE4" s="22" t="s">
        <v>441</v>
      </c>
      <c r="BF4" s="22" t="s">
        <v>442</v>
      </c>
      <c r="BG4" s="22" t="s">
        <v>443</v>
      </c>
      <c r="BH4" s="22" t="s">
        <v>444</v>
      </c>
      <c r="BI4" s="22" t="s">
        <v>445</v>
      </c>
      <c r="BJ4" s="22" t="s">
        <v>446</v>
      </c>
      <c r="BK4" s="22" t="s">
        <v>447</v>
      </c>
      <c r="BL4" s="22" t="s">
        <v>448</v>
      </c>
      <c r="BM4" s="22" t="s">
        <v>449</v>
      </c>
      <c r="BN4" s="22" t="s">
        <v>450</v>
      </c>
      <c r="BO4" s="22" t="s">
        <v>451</v>
      </c>
      <c r="BP4" s="22" t="s">
        <v>452</v>
      </c>
      <c r="BQ4" s="22" t="s">
        <v>453</v>
      </c>
      <c r="BR4" s="22" t="s">
        <v>454</v>
      </c>
      <c r="BS4" s="22" t="s">
        <v>455</v>
      </c>
      <c r="BT4" s="22" t="s">
        <v>456</v>
      </c>
      <c r="BU4" s="22" t="s">
        <v>457</v>
      </c>
      <c r="BV4" s="22" t="s">
        <v>458</v>
      </c>
      <c r="BW4" s="22" t="s">
        <v>459</v>
      </c>
      <c r="BX4" s="22" t="s">
        <v>460</v>
      </c>
      <c r="BY4" s="22" t="s">
        <v>461</v>
      </c>
      <c r="BZ4" s="22" t="s">
        <v>462</v>
      </c>
      <c r="CA4" s="22" t="s">
        <v>463</v>
      </c>
      <c r="CB4" s="22" t="s">
        <v>464</v>
      </c>
      <c r="CC4" s="22" t="s">
        <v>465</v>
      </c>
      <c r="CD4" s="22" t="s">
        <v>466</v>
      </c>
      <c r="CE4" s="22" t="s">
        <v>307</v>
      </c>
      <c r="CF4" s="22" t="s">
        <v>467</v>
      </c>
      <c r="CG4" s="22" t="s">
        <v>468</v>
      </c>
      <c r="CH4" s="22" t="s">
        <v>469</v>
      </c>
      <c r="CI4" s="22" t="s">
        <v>470</v>
      </c>
      <c r="CJ4" s="22" t="s">
        <v>471</v>
      </c>
      <c r="CK4" s="22" t="s">
        <v>472</v>
      </c>
      <c r="CL4" s="22" t="s">
        <v>323</v>
      </c>
      <c r="CM4" s="22" t="s">
        <v>112</v>
      </c>
      <c r="CN4" s="22" t="s">
        <v>473</v>
      </c>
      <c r="CO4" s="22" t="s">
        <v>474</v>
      </c>
      <c r="CP4" s="22" t="s">
        <v>475</v>
      </c>
      <c r="CQ4" s="22" t="s">
        <v>124</v>
      </c>
      <c r="CR4" s="22" t="s">
        <v>476</v>
      </c>
      <c r="CS4" s="22" t="s">
        <v>477</v>
      </c>
      <c r="CT4" s="22" t="s">
        <v>478</v>
      </c>
      <c r="CU4" s="22" t="s">
        <v>479</v>
      </c>
      <c r="CV4" s="22" t="s">
        <v>480</v>
      </c>
      <c r="CW4" s="22" t="s">
        <v>481</v>
      </c>
      <c r="CX4" s="22" t="s">
        <v>482</v>
      </c>
      <c r="CY4" s="22" t="s">
        <v>483</v>
      </c>
      <c r="CZ4" s="22" t="s">
        <v>484</v>
      </c>
      <c r="DA4" s="22" t="s">
        <v>485</v>
      </c>
      <c r="DB4" s="22" t="s">
        <v>486</v>
      </c>
      <c r="DC4" s="22" t="s">
        <v>487</v>
      </c>
      <c r="DD4" s="22" t="s">
        <v>488</v>
      </c>
      <c r="DE4" s="22" t="s">
        <v>489</v>
      </c>
      <c r="DF4" s="22" t="s">
        <v>490</v>
      </c>
      <c r="DG4" s="22" t="s">
        <v>491</v>
      </c>
      <c r="DH4" s="22" t="s">
        <v>492</v>
      </c>
      <c r="DI4" s="22" t="s">
        <v>493</v>
      </c>
    </row>
    <row r="5" spans="1:113" x14ac:dyDescent="0.25">
      <c r="A5" s="92" t="s">
        <v>494</v>
      </c>
      <c r="B5" s="92" t="s">
        <v>495</v>
      </c>
      <c r="C5" s="93">
        <v>46082</v>
      </c>
      <c r="D5" s="93">
        <v>46631</v>
      </c>
      <c r="E5" s="94">
        <v>2024</v>
      </c>
      <c r="F5" s="92" t="s">
        <v>160</v>
      </c>
      <c r="G5" s="92" t="s">
        <v>163</v>
      </c>
      <c r="H5" s="92" t="s">
        <v>496</v>
      </c>
      <c r="I5" s="92" t="s">
        <v>166</v>
      </c>
      <c r="J5" s="95">
        <v>425000</v>
      </c>
      <c r="K5" s="92" t="s">
        <v>171</v>
      </c>
      <c r="L5" s="92" t="s">
        <v>497</v>
      </c>
      <c r="M5" s="92" t="s">
        <v>177</v>
      </c>
      <c r="N5" s="92" t="s">
        <v>180</v>
      </c>
      <c r="O5" s="92" t="s">
        <v>183</v>
      </c>
      <c r="P5" s="92" t="s">
        <v>186</v>
      </c>
      <c r="Q5" s="92" t="s">
        <v>189</v>
      </c>
      <c r="R5" s="92" t="s">
        <v>192</v>
      </c>
      <c r="S5" s="92" t="s">
        <v>195</v>
      </c>
      <c r="T5" s="92" t="s">
        <v>198</v>
      </c>
      <c r="U5" s="92" t="s">
        <v>201</v>
      </c>
      <c r="V5" s="92" t="s">
        <v>204</v>
      </c>
      <c r="W5" s="92" t="s">
        <v>207</v>
      </c>
      <c r="X5" s="92" t="s">
        <v>210</v>
      </c>
      <c r="Y5" s="92" t="s">
        <v>212</v>
      </c>
      <c r="Z5" s="92" t="s">
        <v>215</v>
      </c>
      <c r="AA5" s="92" t="s">
        <v>218</v>
      </c>
      <c r="AB5" s="92"/>
      <c r="AC5" s="92"/>
      <c r="AD5" s="92"/>
      <c r="AE5" s="92"/>
      <c r="AF5" s="92"/>
      <c r="AG5" s="92"/>
      <c r="AH5" s="92"/>
      <c r="AI5" s="92"/>
      <c r="AJ5" s="92"/>
      <c r="AK5" s="92"/>
      <c r="AL5" s="92"/>
      <c r="AM5" s="92"/>
      <c r="AN5" s="92"/>
      <c r="AO5" s="92"/>
      <c r="AP5" s="92"/>
      <c r="AQ5" s="96">
        <v>0</v>
      </c>
      <c r="AR5" s="97" t="str">
        <f t="shared" ref="AR5:AR68" si="0">IF($A5="","",IFERROR(LEFT(TEXT(VALUE($L5),"00000"),3),"---"))</f>
        <v>331</v>
      </c>
      <c r="AS5" s="97" t="str">
        <f>IF($A5="","",IF($AP5&lt;&gt;"",$AP5,IFERROR(INDEX('Cat Zone by ZIP'!$D$6:$D$856,MATCH($AR5,'Cat Zone by ZIP'!$B$6:$B$856,0)),IFERROR(INDEX('Cat Zone by ZIP'!$C$860:$C$910,MATCH($K5,'Cat Zone by ZIP'!$B$860:$B$910,0)),"NOT FOUND"))))</f>
        <v>Tier 1 - Coastal wind / surge (0-1 mile, FEMA V or Coastal A)</v>
      </c>
      <c r="AT5" s="97" t="str">
        <f>IF($A5="","",IF($AP5&lt;&gt;"","Override",IF(ISNUMBER(MATCH($AR5,'Cat Zone by ZIP'!$B$6:$B$856,0)),"ZIP-3","State default")))</f>
        <v>ZIP-3</v>
      </c>
      <c r="AU5" s="98">
        <f>IF($A5="","",IFERROR(INDEX('Natural Catastrophe'!$D$6:$D$17,MATCH($AS5,'Natural Catastrophe'!$B$6:$B$17,0)),"?"))</f>
        <v>3</v>
      </c>
      <c r="AV5" s="98">
        <f>IF($A5="","",IFERROR(INDEX('Natural Catastrophe'!$C$21:$C$26,MATCH($AA5,'Natural Catastrophe'!$B$21:$B$26,0)),"?"))</f>
        <v>0.8</v>
      </c>
      <c r="AW5" s="97" t="str">
        <f>IF($A5="","",IFERROR(INDEX('Base Rates'!$C$4:$I$4,MATCH(MAX($J5,'Technical Premium'!$C$18),'Base Rates'!$C$3:$I$3,1)),"?"))</f>
        <v>$250k - $500k</v>
      </c>
      <c r="AX5" s="99">
        <f>IF($A5="","",IFERROR(INDEX('Base Rates'!$C$5:$I$16,MATCH($I5,'Base Rates'!$B$5:$B$16,0),MATCH(MAX($J5,'Technical Premium'!$C$18),'Base Rates'!$C$3:$I$3,1)),"?"))</f>
        <v>1.1499999999999999</v>
      </c>
      <c r="AY5" s="100">
        <f t="shared" ref="AY5:AY68" si="1">IF(ISNUMBER($AX5),$J5/100*$AX5,"")</f>
        <v>4887.5</v>
      </c>
      <c r="AZ5" s="98">
        <f>IF($A5="","",IFERROR(INDEX('Make Factors'!$G$5:$G$69,MATCH($F5,'Make Factors'!$B$5:$B$69,0)),"?"))</f>
        <v>1.087</v>
      </c>
      <c r="BA5" s="98">
        <f>IF($A5="","",IFERROR(INDEX('Driver Factors'!$C$6:$C$15,MATCH($R5,'Driver Factors'!$B$6:$B$15,0)),"?"))</f>
        <v>1</v>
      </c>
      <c r="BB5" s="98">
        <f>IF($A5="","",IFERROR(INDEX('Driver Factors'!$C$19:$C$24,MATCH($S5,'Driver Factors'!$B$19:$B$24,0)),"?"))</f>
        <v>1</v>
      </c>
      <c r="BC5" s="98">
        <f>IF($A5="","",IFERROR(INDEX('Driver Factors'!$C$28:$C$36,MATCH($T5,'Driver Factors'!$B$28:$B$36,0)),"?"))</f>
        <v>1</v>
      </c>
      <c r="BD5" s="98">
        <f>IF($A5="","",IFERROR(INDEX('Claims History'!$C$6:$C$15,MATCH($U5,'Claims History'!$B$6:$B$15,0)),"?"))</f>
        <v>0.9</v>
      </c>
      <c r="BE5" s="98">
        <f>IF($A5="","",IFERROR(INDEX('Territory Factors'!$E$6:$E$56,MATCH($K5,'Territory Factors'!$B$6:$B$56,0)),"?"))</f>
        <v>1.45</v>
      </c>
      <c r="BF5" s="98">
        <f>IF($A5="","",IFERROR(INDEX('City Accident Ratings'!$G$6:$G$54,MATCH($Z5,'City Accident Ratings'!$B$6:$B$54,0)),"?"))</f>
        <v>1.395</v>
      </c>
      <c r="BG5" s="98">
        <f>IF($A5="","",IFERROR(INDEX('Usage and Coverage'!$D$6:$D$20,MATCH($N5,'Usage and Coverage'!$C$6:$C$20,0)),"?"))</f>
        <v>1</v>
      </c>
      <c r="BH5" s="98">
        <f>IF($A5="","",IFERROR(INDEX('Usage and Coverage'!$C$24:$C$30,MATCH($O5,'Usage and Coverage'!$B$24:$B$30,0)),"?"))</f>
        <v>1</v>
      </c>
      <c r="BI5" s="98">
        <f>IF($A5="","",IFERROR(INDEX('Usage and Coverage'!$C$34:$C$40,MATCH($P5,'Usage and Coverage'!$B$34:$B$40,0)),"?"))</f>
        <v>0.9</v>
      </c>
      <c r="BJ5" s="98">
        <f>IF($A5="","",IFERROR(INDEX('Usage and Coverage'!$C$44:$C$49,MATCH($Q5,'Usage and Coverage'!$B$44:$B$49,0)),"?"))</f>
        <v>0.9</v>
      </c>
      <c r="BK5" s="98">
        <f>IF($A5="","",IFERROR(INDEX(Deductibles!$C$6:$I$15,MATCH($W5,Deductibles!$B$6:$B$15,0),MATCH(MAX($J5,'Technical Premium'!$C$18),'Base Rates'!$C$3:$I$3,1)),"?"))</f>
        <v>0.94</v>
      </c>
      <c r="BL5" s="98">
        <f>IF($A5="","",IFERROR(INDEX('Usage and Coverage'!$C$63:$C$66,MATCH($X5,'Usage and Coverage'!$B$63:$B$66,0)),"?"))</f>
        <v>1</v>
      </c>
      <c r="BM5" s="98">
        <f>IF($A5="","",IFERROR(INDEX('Usage and Coverage'!$C$70:$C$75,MATCH($V5,'Usage and Coverage'!$B$70:$B$75,0)),"?"))</f>
        <v>0.95</v>
      </c>
      <c r="BN5" s="97">
        <f>IF($A5="","",IF($AB5="",1,IFERROR(INDEX(Deductibles!$C$48:$C$51,MATCH($AB5,Deductibles!$B$48:$B$51,0)),"?")))</f>
        <v>1</v>
      </c>
      <c r="BO5" s="97">
        <f>IF($A5="","",IF($AC5="",1,IFERROR(INDEX(Deductibles!$C$55:$C$57,MATCH($AC5,Deductibles!$B$55:$B$57,0)),"?")))</f>
        <v>1</v>
      </c>
      <c r="BP5" s="97">
        <f>IF($A5="","",IF($AD5="",1,IFERROR(INDEX(Deductibles!$C$61:$C$63,MATCH($AD5,Deductibles!$B$61:$B$63,0)),"?")))</f>
        <v>1</v>
      </c>
      <c r="BQ5" s="97">
        <f>IF($A5="","",IF($AE5="",1,IFERROR(INDEX(Deductibles!$C$67:$C$69,MATCH($AE5,Deductibles!$B$67:$B$69,0)),"?")))</f>
        <v>1</v>
      </c>
      <c r="BR5" s="97">
        <f>IF($A5="","",IF($AF5="",1,IFERROR(INDEX(Deductibles!$C$73:$C$74,MATCH($AF5,Deductibles!$B$73:$B$74,0)),"?")))</f>
        <v>1</v>
      </c>
      <c r="BS5" s="97">
        <f>IF($A5="","",IF($AG5="",1,IFERROR(INDEX('Sublimits and Parts'!$C$49:$C$52,MATCH($AG5,'Sublimits and Parts'!$B$49:$B$52,0)),"?")))</f>
        <v>1</v>
      </c>
      <c r="BT5" s="97">
        <f>IF($A5="","",IF($AH5="",1,IFERROR(INDEX('Sublimits and Parts'!$C$56:$C$60,MATCH($AH5,'Sublimits and Parts'!$B$56:$B$60,0)),"?")))</f>
        <v>1</v>
      </c>
      <c r="BU5" s="97">
        <f>IF($A5="","",IF($AI5="",1,IFERROR(INDEX('Sublimits and Parts'!$C$64:$C$67,MATCH($AI5,'Sublimits and Parts'!$B$64:$B$67,0)),"?")))</f>
        <v>1</v>
      </c>
      <c r="BV5" s="97">
        <f>IF($A5="","",IF($AJ5="",1,IFERROR(INDEX('Sublimits and Parts'!$C$71:$C$74,MATCH($AJ5,'Sublimits and Parts'!$B$71:$B$74,0)),"?")))</f>
        <v>1</v>
      </c>
      <c r="BW5" s="97">
        <f>IF($A5="","",IF($AK5="",1,IFERROR(INDEX('Sublimits and Parts'!$C$78:$C$80,MATCH($AK5,'Sublimits and Parts'!$B$78:$B$80,0)),"?")))</f>
        <v>1</v>
      </c>
      <c r="BX5" s="97">
        <f>IF($A5="","",IF($AL5="",1,IFERROR(INDEX('Sublimits and Parts'!$C$84:$C$87,MATCH($AL5,'Sublimits and Parts'!$B$84:$B$87,0)),"?")))</f>
        <v>1</v>
      </c>
      <c r="BY5" s="97">
        <f>IF($A5="","",IF($AM5="",1,IFERROR(INDEX('Sublimits and Parts'!$C$91:$C$94,MATCH($AM5,'Sublimits and Parts'!$B$91:$B$94,0)),"?")))</f>
        <v>1</v>
      </c>
      <c r="BZ5" s="97">
        <f>IF($A5="","",IF($AN5="",1,IFERROR(INDEX('Sublimits and Parts'!$C$98:$C$101,MATCH($AN5,'Sublimits and Parts'!$B$98:$B$101,0)),"?")))</f>
        <v>1</v>
      </c>
      <c r="CA5" s="97">
        <f>IF($A5="","",IF($AO5="",1,IFERROR(INDEX('Sublimits and Parts'!$C$105:$C$109,MATCH($AO5,'Sublimits and Parts'!$B$105:$B$109,0)),"?")))</f>
        <v>1</v>
      </c>
      <c r="CB5" s="98">
        <f t="shared" ref="CB5:CB68" si="2">IF($A5="","",IF(SUMPRODUCT(--ISTEXT($AZ5:$BM5))&gt;0,"?",PRODUCT($AZ5:$BM5)))</f>
        <v>1.4313661455622497</v>
      </c>
      <c r="CC5" s="98">
        <f t="shared" ref="CC5:CC68" si="3">IF($A5="","",IF(SUMPRODUCT(--ISTEXT($BN5:$CA5))&gt;0,"?",PRODUCT($BN5:$CA5)))</f>
        <v>1</v>
      </c>
      <c r="CD5" s="101">
        <f>IF($A5="","",IF(OR($CB5="?",$CC5="?"),"?",MIN($CB5*$CC5,'Technical Premium'!$C$17)))</f>
        <v>1.4313661455622497</v>
      </c>
      <c r="CE5" s="100">
        <f t="shared" ref="CE5:CE68" si="4">IF(ISNUMBER($CD5),$AY5*$CD5,"")</f>
        <v>6995.8020364354952</v>
      </c>
      <c r="CF5" s="100">
        <f>IF($A5="","",IFERROR(INDEX('Territory Factors'!$F$6:$F$56,MATCH($K5,'Territory Factors'!$B$6:$B$56,0)),"?"))</f>
        <v>980</v>
      </c>
      <c r="CG5" s="98">
        <f>IF($A5="","",IFERROR(INDEX('Usage and Coverage'!$C$79:$C$84,MATCH($Y5,'Usage and Coverage'!$B$79:$B$84,0)),"?"))</f>
        <v>1.42</v>
      </c>
      <c r="CH5" s="100">
        <f>IFERROR(IF(ISNUMBER($CD5),$CF5*$CG5*MIN($BG5*$BA5*$BC5*$BD5*$BH5*$BF5,'Technical Premium'!$C$17),""),"")</f>
        <v>1747.1538</v>
      </c>
      <c r="CI5" s="100">
        <f t="shared" ref="CI5:CI68" si="5">IFERROR($CE5+$CH5,"")</f>
        <v>8742.9558364354962</v>
      </c>
      <c r="CJ5" s="100">
        <f>IFERROR($CI5*(1+'Technical Premium'!$C$5)*(1+'Technical Premium'!$C$6),"")</f>
        <v>9914.5119185178537</v>
      </c>
      <c r="CK5" s="100">
        <f>IFERROR($CE5*INDEX('Territory Factors'!$G$6:$G$56,MATCH($K5,'Territory Factors'!$B$6:$B$56,0))*$AU5*$AV5,"")</f>
        <v>3022.186479740134</v>
      </c>
      <c r="CL5" s="100">
        <f>IFERROR(($CJ5+$CK5)*(1+'Technical Premium'!$C$7),"")</f>
        <v>13906.950778127337</v>
      </c>
      <c r="CM5" s="102">
        <f>IFERROR($CL5/'Technical Premium'!$C$13,"")</f>
        <v>25057.568969598808</v>
      </c>
      <c r="CN5" s="103">
        <f t="shared" ref="CN5:CN68" si="6">IFERROR($CM5/$J5*100,"")</f>
        <v>5.8958985810820721</v>
      </c>
      <c r="CO5" s="102">
        <f t="shared" ref="CO5:CO68" si="7">IFERROR($CM5*(1+N($AQ5)),"")</f>
        <v>25057.568969598808</v>
      </c>
      <c r="CP5" s="103">
        <f t="shared" ref="CP5:CP68" si="8">IFERROR($CO5/$J5*100,"")</f>
        <v>5.8958985810820721</v>
      </c>
      <c r="CQ5" s="104">
        <f t="shared" ref="CQ5:CQ68" si="9">IFERROR($CP5/$CN5,"")</f>
        <v>1</v>
      </c>
      <c r="CR5" s="100">
        <f>IF(ISNUMBER($CM5),'Technical Premium'!$C$14+IF($J5&gt;=1000000,'Technical Premium'!$C$15,0),"")</f>
        <v>350</v>
      </c>
      <c r="CS5" s="100">
        <f>IFERROR(($CO5+$CR5)*(INDEX('Territory Factors'!$K$6:$K$56,MATCH($K5,'Territory Factors'!$B$6:$B$56,0))+'Commission Structure'!$C$21),"")</f>
        <v>1300.8675312434591</v>
      </c>
      <c r="CT5" s="102">
        <f t="shared" ref="CT5:CT68" si="10">IFERROR($CO5+$CR5+$CS5,"")</f>
        <v>26708.436500842268</v>
      </c>
      <c r="CU5" s="100">
        <f>IFERROR($CO5*('Commission Structure'!$C$6+'Commission Structure'!$C$7),"")</f>
        <v>4385.0745696797912</v>
      </c>
      <c r="CV5" s="100">
        <f>IFERROR($CO5*'Commission Structure'!$C$5-$CU5,"")</f>
        <v>2505.7568969598815</v>
      </c>
      <c r="CW5" s="100">
        <f>IFERROR($CO5*(1-'Commission Structure'!$C$5),"")</f>
        <v>18166.737502959135</v>
      </c>
      <c r="CX5" s="105" t="str">
        <f>IF($A5="","",IF(OR($CB5="?",$CC5="?",NOT(ISNUMBER($AU5))),"CHECK INPUTS",IF(OR($J5&lt;'Technical Premium'!$C$18,LEFT(IFERROR(INDEX('Driver Factors'!$D$6:$D$15,MATCH($R5,'Driver Factors'!$B$6:$B$15,0)),""),7)="DECLINE",LEFT(IFERROR(INDEX('Driver Factors'!$D$28:$D$36,MATCH($T5,'Driver Factors'!$B$28:$B$36,0)),""),7)="DECLINE",LEFT(IFERROR(INDEX('Claims History'!$D$6:$D$15,MATCH($U5,'Claims History'!$B$6:$B$15,0)),""),7)="DECLINE",LEFT(IFERROR(INDEX('Usage and Coverage'!$E$6:$E$20,MATCH($N5,'Usage and Coverage'!$C$6:$C$20,0)),""),7)="DECLINE"),"DECLINE",IF(OR($CD5&gt;2.5,$CD5&gt;='Technical Premium'!$C$17,$J5&gt;='Technical Premium'!$C$16,N($AQ5)&lt;'Technical Premium'!$C$19,N($AQ5)&gt;'Technical Premium'!$C$20,LEFT(IFERROR(INDEX('Driver Factors'!$D$6:$D$15,MATCH($R5,'Driver Factors'!$B$6:$B$15,0)),""),5)="Refer",LEFT(IFERROR(INDEX('Driver Factors'!$D$28:$D$36,MATCH($T5,'Driver Factors'!$B$28:$B$36,0)),""),5)="Refer",LEFT(IFERROR(INDEX('Claims History'!$D$6:$D$15,MATCH($U5,'Claims History'!$B$6:$B$15,0)),""),5)="Refer",LEFT(IFERROR(INDEX('Usage and Coverage'!$E$6:$E$20,MATCH($N5,'Usage and Coverage'!$C$6:$C$20,0)),""),5)="Refer"),"REFER","AUTO-BIND"))))</f>
        <v>AUTO-BIND</v>
      </c>
      <c r="CY5" s="106">
        <f t="shared" ref="CY5:CY68" si="11">IFERROR($CO5/$CM5-1,"")</f>
        <v>0</v>
      </c>
      <c r="CZ5" s="97" t="str">
        <f>IF($CY5="","",IF($CY5&lt;'Technical Premium'!$C$19,"BEYOND AUTHORITY",IF($CY5&gt;0.005,"Above technical",IF($CY5&lt;-0.005,"BELOW technical","At technical"))))</f>
        <v>At technical</v>
      </c>
      <c r="DA5" s="97" t="str">
        <f>IF($A5="","",IF($CX5="AUTO-BIND","",TRIM(IF($J5&lt;'Technical Premium'!$C$18,"Below programme minimum agreed value. ","")&amp;IF(N($AQ5)&lt;'Technical Premium'!$C$19,"DISCOUNT AUTHORITY BREACH. ","")&amp;IF(N($AQ5)&gt;'Technical Premium'!$C$20,"Load authority breach. ","")&amp;IF($J5&gt;='Technical Premium'!$C$16,"Agreed value at or above auto-bind limit. ","")&amp;IF(AND(ISNUMBER($CD5),$CD5&gt;='Technical Premium'!$C$17),"Composite factor at cap. ","")&amp;IF(AND(ISNUMBER($CD5),$CD5&gt;2.5),"Composite factor above 2.50. ","")&amp;IF(LEFT(IFERROR(INDEX('Driver Factors'!$D$6:$D$15,MATCH($R5,'Driver Factors'!$B$6:$B$15,0)),""),7)="DECLINE","DECLINE - driver age. ",IF(LEFT(IFERROR(INDEX('Driver Factors'!$D$6:$D$15,MATCH($R5,'Driver Factors'!$B$6:$B$15,0)),""),5)="Refer","Driver age band. ",""))&amp;IF(LEFT(IFERROR(INDEX('Driver Factors'!$D$28:$D$36,MATCH($T5,'Driver Factors'!$B$28:$B$36,0)),""),7)="DECLINE","DECLINE - MVR. ",IF(LEFT(IFERROR(INDEX('Driver Factors'!$D$28:$D$36,MATCH($T5,'Driver Factors'!$B$28:$B$36,0)),""),5)="Refer","MVR record. ",""))&amp;IF(LEFT(IFERROR(INDEX('Claims History'!$D$6:$D$15,MATCH($U5,'Claims History'!$B$6:$B$15,0)),""),7)="DECLINE","DECLINE - claims. ",IF(LEFT(IFERROR(INDEX('Claims History'!$D$6:$D$15,MATCH($U5,'Claims History'!$B$6:$B$15,0)),""),5)="Refer","Claims history. ",""))&amp;IF(LEFT(IFERROR(INDEX('Usage and Coverage'!$E$6:$E$20,MATCH($N5,'Usage and Coverage'!$C$6:$C$20,0)),""),7)="DECLINE","DECLINE - usage class. ",IF(LEFT(IFERROR(INDEX('Usage and Coverage'!$E$6:$E$20,MATCH($N5,'Usage and Coverage'!$C$6:$C$20,0)),""),5)="Refer","Usage class. ",""))&amp;IF($CX5="CHECK INPUTS","Incomplete inputs. ",""))))</f>
        <v/>
      </c>
      <c r="DB5" s="92"/>
      <c r="DC5" s="92"/>
      <c r="DD5" s="93"/>
      <c r="DE5" s="92"/>
      <c r="DF5" s="92"/>
      <c r="DG5" s="97" t="str">
        <f t="shared" ref="DG5:DG68" si="12">IF($A5="","",IF($CX5="DECLINE","NO - DECLINED",IF($CX5="CHECK INPUTS","NO - INCOMPLETE INPUTS",IF($CX5="AUTO-BIND","YES - within authority",IF(AND($DB5&lt;&gt;"",$DD5&lt;&gt;""),"YES - approved "&amp;TEXT($DD5,"dd-mmm-yy"),"NO - AWAITING APPROVAL")))))</f>
        <v>YES - within authority</v>
      </c>
      <c r="DH5" s="97" t="str">
        <f>IF($A5="","",IF(OR($CX5="REFER",$CX5="DECLINE"),COUNTIF($CX$5:$CX5,"REFER")+COUNTIF($CX$5:$CX5,"DECLINE"),""))</f>
        <v/>
      </c>
      <c r="DI5" s="92"/>
    </row>
    <row r="6" spans="1:113" x14ac:dyDescent="0.25">
      <c r="A6" s="92" t="s">
        <v>498</v>
      </c>
      <c r="B6" s="92" t="s">
        <v>499</v>
      </c>
      <c r="C6" s="93">
        <v>46113</v>
      </c>
      <c r="D6" s="93">
        <v>46631</v>
      </c>
      <c r="E6" s="94">
        <v>2021</v>
      </c>
      <c r="F6" s="92" t="s">
        <v>500</v>
      </c>
      <c r="G6" s="92" t="s">
        <v>501</v>
      </c>
      <c r="H6" s="92" t="s">
        <v>502</v>
      </c>
      <c r="I6" s="92" t="s">
        <v>503</v>
      </c>
      <c r="J6" s="95">
        <v>3600000</v>
      </c>
      <c r="K6" s="92" t="s">
        <v>504</v>
      </c>
      <c r="L6" s="92" t="s">
        <v>505</v>
      </c>
      <c r="M6" s="92" t="s">
        <v>177</v>
      </c>
      <c r="N6" s="92" t="s">
        <v>506</v>
      </c>
      <c r="O6" s="92" t="s">
        <v>507</v>
      </c>
      <c r="P6" s="92" t="s">
        <v>508</v>
      </c>
      <c r="Q6" s="92" t="s">
        <v>509</v>
      </c>
      <c r="R6" s="92" t="s">
        <v>510</v>
      </c>
      <c r="S6" s="92" t="s">
        <v>511</v>
      </c>
      <c r="T6" s="92" t="s">
        <v>198</v>
      </c>
      <c r="U6" s="92" t="s">
        <v>512</v>
      </c>
      <c r="V6" s="92" t="s">
        <v>513</v>
      </c>
      <c r="W6" s="92" t="s">
        <v>244</v>
      </c>
      <c r="X6" s="92" t="s">
        <v>514</v>
      </c>
      <c r="Y6" s="92" t="s">
        <v>515</v>
      </c>
      <c r="Z6" s="92" t="s">
        <v>516</v>
      </c>
      <c r="AA6" s="92" t="s">
        <v>218</v>
      </c>
      <c r="AB6" s="92"/>
      <c r="AC6" s="92"/>
      <c r="AD6" s="92"/>
      <c r="AE6" s="92"/>
      <c r="AF6" s="92"/>
      <c r="AG6" s="92"/>
      <c r="AH6" s="92" t="s">
        <v>517</v>
      </c>
      <c r="AI6" s="92"/>
      <c r="AJ6" s="92"/>
      <c r="AK6" s="92"/>
      <c r="AL6" s="92" t="s">
        <v>518</v>
      </c>
      <c r="AM6" s="92"/>
      <c r="AN6" s="92" t="s">
        <v>519</v>
      </c>
      <c r="AO6" s="92" t="s">
        <v>520</v>
      </c>
      <c r="AP6" s="92"/>
      <c r="AQ6" s="96">
        <v>0</v>
      </c>
      <c r="AR6" s="97" t="str">
        <f t="shared" si="0"/>
        <v>852</v>
      </c>
      <c r="AS6" s="97" t="str">
        <f>IF($A6="","",IF($AP6&lt;&gt;"",$AP6,IFERROR(INDEX('Cat Zone by ZIP'!$D$6:$D$856,MATCH($AR6,'Cat Zone by ZIP'!$B$6:$B$856,0)),IFERROR(INDEX('Cat Zone by ZIP'!$C$860:$C$910,MATCH($K6,'Cat Zone by ZIP'!$B$860:$B$910,0)),"NOT FOUND"))))</f>
        <v>Severe convective - hail / tornado (moderate)</v>
      </c>
      <c r="AT6" s="97" t="str">
        <f>IF($A6="","",IF($AP6&lt;&gt;"","Override",IF(ISNUMBER(MATCH($AR6,'Cat Zone by ZIP'!$B$6:$B$856,0)),"ZIP-3","State default")))</f>
        <v>ZIP-3</v>
      </c>
      <c r="AU6" s="98">
        <f>IF($A6="","",IFERROR(INDEX('Natural Catastrophe'!$D$6:$D$17,MATCH($AS6,'Natural Catastrophe'!$B$6:$B$17,0)),"?"))</f>
        <v>1.5</v>
      </c>
      <c r="AV6" s="98">
        <f>IF($A6="","",IFERROR(INDEX('Natural Catastrophe'!$C$21:$C$26,MATCH($AA6,'Natural Catastrophe'!$B$21:$B$26,0)),"?"))</f>
        <v>0.8</v>
      </c>
      <c r="AW6" s="97" t="str">
        <f>IF($A6="","",IFERROR(INDEX('Base Rates'!$C$4:$I$4,MATCH(MAX($J6,'Technical Premium'!$C$18),'Base Rates'!$C$3:$I$3,1)),"?"))</f>
        <v>$2.0M - $5.0M</v>
      </c>
      <c r="AX6" s="99">
        <f>IF($A6="","",IFERROR(INDEX('Base Rates'!$C$5:$I$16,MATCH($I6,'Base Rates'!$B$5:$B$16,0),MATCH(MAX($J6,'Technical Premium'!$C$18),'Base Rates'!$C$3:$I$3,1)),"?"))</f>
        <v>0.82</v>
      </c>
      <c r="AY6" s="100">
        <f t="shared" si="1"/>
        <v>29520</v>
      </c>
      <c r="AZ6" s="98">
        <f>IF($A6="","",IFERROR(INDEX('Make Factors'!$G$5:$G$69,MATCH($F6,'Make Factors'!$B$5:$B$69,0)),"?"))</f>
        <v>1.607</v>
      </c>
      <c r="BA6" s="98">
        <f>IF($A6="","",IFERROR(INDEX('Driver Factors'!$C$6:$C$15,MATCH($R6,'Driver Factors'!$B$6:$B$15,0)),"?"))</f>
        <v>1</v>
      </c>
      <c r="BB6" s="98">
        <f>IF($A6="","",IFERROR(INDEX('Driver Factors'!$C$19:$C$24,MATCH($S6,'Driver Factors'!$B$19:$B$24,0)),"?"))</f>
        <v>0.95</v>
      </c>
      <c r="BC6" s="98">
        <f>IF($A6="","",IFERROR(INDEX('Driver Factors'!$C$28:$C$36,MATCH($T6,'Driver Factors'!$B$28:$B$36,0)),"?"))</f>
        <v>1</v>
      </c>
      <c r="BD6" s="98">
        <f>IF($A6="","",IFERROR(INDEX('Claims History'!$C$6:$C$15,MATCH($U6,'Claims History'!$B$6:$B$15,0)),"?"))</f>
        <v>0.85</v>
      </c>
      <c r="BE6" s="98">
        <f>IF($A6="","",IFERROR(INDEX('Territory Factors'!$E$6:$E$56,MATCH($K6,'Territory Factors'!$B$6:$B$56,0)),"?"))</f>
        <v>1.1000000000000001</v>
      </c>
      <c r="BF6" s="98">
        <f>IF($A6="","",IFERROR(INDEX('City Accident Ratings'!$G$6:$G$54,MATCH($Z6,'City Accident Ratings'!$B$6:$B$54,0)),"?"))</f>
        <v>1.18</v>
      </c>
      <c r="BG6" s="98">
        <f>IF($A6="","",IFERROR(INDEX('Usage and Coverage'!$D$6:$D$20,MATCH($N6,'Usage and Coverage'!$C$6:$C$20,0)),"?"))</f>
        <v>0.85</v>
      </c>
      <c r="BH6" s="98">
        <f>IF($A6="","",IFERROR(INDEX('Usage and Coverage'!$C$24:$C$30,MATCH($O6,'Usage and Coverage'!$B$24:$B$30,0)),"?"))</f>
        <v>0.75</v>
      </c>
      <c r="BI6" s="98">
        <f>IF($A6="","",IFERROR(INDEX('Usage and Coverage'!$C$34:$C$40,MATCH($P6,'Usage and Coverage'!$B$34:$B$40,0)),"?"))</f>
        <v>0.85</v>
      </c>
      <c r="BJ6" s="98">
        <f>IF($A6="","",IFERROR(INDEX('Usage and Coverage'!$C$44:$C$49,MATCH($Q6,'Usage and Coverage'!$B$44:$B$49,0)),"?"))</f>
        <v>0.85</v>
      </c>
      <c r="BK6" s="98">
        <f>IF($A6="","",IFERROR(INDEX(Deductibles!$C$6:$I$15,MATCH($W6,Deductibles!$B$6:$B$15,0),MATCH(MAX($J6,'Technical Premium'!$C$18),'Base Rates'!$C$3:$I$3,1)),"?"))</f>
        <v>0.78</v>
      </c>
      <c r="BL6" s="98">
        <f>IF($A6="","",IFERROR(INDEX('Usage and Coverage'!$C$63:$C$66,MATCH($X6,'Usage and Coverage'!$B$63:$B$66,0)),"?"))</f>
        <v>1.06</v>
      </c>
      <c r="BM6" s="98">
        <f>IF($A6="","",IFERROR(INDEX('Usage and Coverage'!$C$70:$C$75,MATCH($V6,'Usage and Coverage'!$B$70:$B$75,0)),"?"))</f>
        <v>0.82</v>
      </c>
      <c r="BN6" s="97">
        <f>IF($A6="","",IF($AB6="",1,IFERROR(INDEX(Deductibles!$C$48:$C$51,MATCH($AB6,Deductibles!$B$48:$B$51,0)),"?")))</f>
        <v>1</v>
      </c>
      <c r="BO6" s="97">
        <f>IF($A6="","",IF($AC6="",1,IFERROR(INDEX(Deductibles!$C$55:$C$57,MATCH($AC6,Deductibles!$B$55:$B$57,0)),"?")))</f>
        <v>1</v>
      </c>
      <c r="BP6" s="97">
        <f>IF($A6="","",IF($AD6="",1,IFERROR(INDEX(Deductibles!$C$61:$C$63,MATCH($AD6,Deductibles!$B$61:$B$63,0)),"?")))</f>
        <v>1</v>
      </c>
      <c r="BQ6" s="97">
        <f>IF($A6="","",IF($AE6="",1,IFERROR(INDEX(Deductibles!$C$67:$C$69,MATCH($AE6,Deductibles!$B$67:$B$69,0)),"?")))</f>
        <v>1</v>
      </c>
      <c r="BR6" s="97">
        <f>IF($A6="","",IF($AF6="",1,IFERROR(INDEX(Deductibles!$C$73:$C$74,MATCH($AF6,Deductibles!$B$73:$B$74,0)),"?")))</f>
        <v>1</v>
      </c>
      <c r="BS6" s="97">
        <f>IF($A6="","",IF($AG6="",1,IFERROR(INDEX('Sublimits and Parts'!$C$49:$C$52,MATCH($AG6,'Sublimits and Parts'!$B$49:$B$52,0)),"?")))</f>
        <v>1</v>
      </c>
      <c r="BT6" s="98">
        <f>IF($A6="","",IF($AH6="",1,IFERROR(INDEX('Sublimits and Parts'!$C$56:$C$60,MATCH($AH6,'Sublimits and Parts'!$B$56:$B$60,0)),"?")))</f>
        <v>1.0349999999999999</v>
      </c>
      <c r="BU6" s="97">
        <f>IF($A6="","",IF($AI6="",1,IFERROR(INDEX('Sublimits and Parts'!$C$64:$C$67,MATCH($AI6,'Sublimits and Parts'!$B$64:$B$67,0)),"?")))</f>
        <v>1</v>
      </c>
      <c r="BV6" s="97">
        <f>IF($A6="","",IF($AJ6="",1,IFERROR(INDEX('Sublimits and Parts'!$C$71:$C$74,MATCH($AJ6,'Sublimits and Parts'!$B$71:$B$74,0)),"?")))</f>
        <v>1</v>
      </c>
      <c r="BW6" s="97">
        <f>IF($A6="","",IF($AK6="",1,IFERROR(INDEX('Sublimits and Parts'!$C$78:$C$80,MATCH($AK6,'Sublimits and Parts'!$B$78:$B$80,0)),"?")))</f>
        <v>1</v>
      </c>
      <c r="BX6" s="98">
        <f>IF($A6="","",IF($AL6="",1,IFERROR(INDEX('Sublimits and Parts'!$C$84:$C$87,MATCH($AL6,'Sublimits and Parts'!$B$84:$B$87,0)),"?")))</f>
        <v>1.1000000000000001</v>
      </c>
      <c r="BY6" s="97">
        <f>IF($A6="","",IF($AM6="",1,IFERROR(INDEX('Sublimits and Parts'!$C$91:$C$94,MATCH($AM6,'Sublimits and Parts'!$B$91:$B$94,0)),"?")))</f>
        <v>1</v>
      </c>
      <c r="BZ6" s="98">
        <f>IF($A6="","",IF($AN6="",1,IFERROR(INDEX('Sublimits and Parts'!$C$98:$C$101,MATCH($AN6,'Sublimits and Parts'!$B$98:$B$101,0)),"?")))</f>
        <v>1.0449999999999999</v>
      </c>
      <c r="CA6" s="98">
        <f>IF($A6="","",IF($AO6="",1,IFERROR(INDEX('Sublimits and Parts'!$C$105:$C$109,MATCH($AO6,'Sublimits and Parts'!$B$105:$B$109,0)),"?")))</f>
        <v>1.03</v>
      </c>
      <c r="CB6" s="98">
        <f t="shared" si="2"/>
        <v>0.52597543456047924</v>
      </c>
      <c r="CC6" s="98">
        <f t="shared" si="3"/>
        <v>1.2254244750000001</v>
      </c>
      <c r="CD6" s="101">
        <f>IF($A6="","",IF(OR($CB6="?",$CC6="?"),"?",MIN($CB6*$CC6,'Technical Premium'!$C$17)))</f>
        <v>0.64454317075917211</v>
      </c>
      <c r="CE6" s="100">
        <f t="shared" si="4"/>
        <v>19026.914400810761</v>
      </c>
      <c r="CF6" s="100">
        <f>IF($A6="","",IFERROR(INDEX('Territory Factors'!$F$6:$F$56,MATCH($K6,'Territory Factors'!$B$6:$B$56,0)),"?"))</f>
        <v>520</v>
      </c>
      <c r="CG6" s="98">
        <f>IF($A6="","",IFERROR(INDEX('Usage and Coverage'!$C$79:$C$84,MATCH($Y6,'Usage and Coverage'!$B$79:$B$84,0)),"?"))</f>
        <v>2.0499999999999998</v>
      </c>
      <c r="CH6" s="100">
        <f>IFERROR(IF(ISNUMBER($CD6),$CF6*$CG6*MIN($BG6*$BA6*$BC6*$BD6*$BH6*$BF6,'Technical Premium'!$C$17),""),"")</f>
        <v>681.61372499999982</v>
      </c>
      <c r="CI6" s="100">
        <f t="shared" si="5"/>
        <v>19708.528125810761</v>
      </c>
      <c r="CJ6" s="100">
        <f>IFERROR($CI6*(1+'Technical Premium'!$C$5)*(1+'Technical Premium'!$C$6),"")</f>
        <v>22349.470894669405</v>
      </c>
      <c r="CK6" s="100">
        <f>IFERROR($CE6*INDEX('Territory Factors'!$G$6:$G$56,MATCH($K6,'Territory Factors'!$B$6:$B$56,0))*$AU6*$AV6,"")</f>
        <v>1027.4533776437811</v>
      </c>
      <c r="CL6" s="100">
        <f>IFERROR(($CJ6+$CK6)*(1+'Technical Premium'!$C$7),"")</f>
        <v>25130.193592736676</v>
      </c>
      <c r="CM6" s="102">
        <f>IFERROR($CL6/'Technical Premium'!$C$13,"")</f>
        <v>45279.628095021042</v>
      </c>
      <c r="CN6" s="103">
        <f t="shared" si="6"/>
        <v>1.257767447083918</v>
      </c>
      <c r="CO6" s="102">
        <f t="shared" si="7"/>
        <v>45279.628095021042</v>
      </c>
      <c r="CP6" s="103">
        <f t="shared" si="8"/>
        <v>1.257767447083918</v>
      </c>
      <c r="CQ6" s="104">
        <f t="shared" si="9"/>
        <v>1</v>
      </c>
      <c r="CR6" s="100">
        <f>IF(ISNUMBER($CM6),'Technical Premium'!$C$14+IF($J6&gt;=1000000,'Technical Premium'!$C$15,0),"")</f>
        <v>600</v>
      </c>
      <c r="CS6" s="100">
        <f>IFERROR(($CO6+$CR6)*(INDEX('Territory Factors'!$K$6:$K$56,MATCH($K6,'Territory Factors'!$B$6:$B$56,0))+'Commission Structure'!$C$21),"")</f>
        <v>1458.9721734216691</v>
      </c>
      <c r="CT6" s="102">
        <f t="shared" si="10"/>
        <v>47338.600268442708</v>
      </c>
      <c r="CU6" s="100">
        <f>IFERROR($CO6*('Commission Structure'!$C$6+'Commission Structure'!$C$7),"")</f>
        <v>7923.934916628682</v>
      </c>
      <c r="CV6" s="100">
        <f>IFERROR($CO6*'Commission Structure'!$C$5-$CU6,"")</f>
        <v>4527.9628095021062</v>
      </c>
      <c r="CW6" s="100">
        <f>IFERROR($CO6*(1-'Commission Structure'!$C$5),"")</f>
        <v>32827.730368890254</v>
      </c>
      <c r="CX6" s="105" t="str">
        <f>IF($A6="","",IF(OR($CB6="?",$CC6="?",NOT(ISNUMBER($AU6))),"CHECK INPUTS",IF(OR($J6&lt;'Technical Premium'!$C$18,LEFT(IFERROR(INDEX('Driver Factors'!$D$6:$D$15,MATCH($R6,'Driver Factors'!$B$6:$B$15,0)),""),7)="DECLINE",LEFT(IFERROR(INDEX('Driver Factors'!$D$28:$D$36,MATCH($T6,'Driver Factors'!$B$28:$B$36,0)),""),7)="DECLINE",LEFT(IFERROR(INDEX('Claims History'!$D$6:$D$15,MATCH($U6,'Claims History'!$B$6:$B$15,0)),""),7)="DECLINE",LEFT(IFERROR(INDEX('Usage and Coverage'!$E$6:$E$20,MATCH($N6,'Usage and Coverage'!$C$6:$C$20,0)),""),7)="DECLINE"),"DECLINE",IF(OR($CD6&gt;2.5,$CD6&gt;='Technical Premium'!$C$17,$J6&gt;='Technical Premium'!$C$16,N($AQ6)&lt;'Technical Premium'!$C$19,N($AQ6)&gt;'Technical Premium'!$C$20,LEFT(IFERROR(INDEX('Driver Factors'!$D$6:$D$15,MATCH($R6,'Driver Factors'!$B$6:$B$15,0)),""),5)="Refer",LEFT(IFERROR(INDEX('Driver Factors'!$D$28:$D$36,MATCH($T6,'Driver Factors'!$B$28:$B$36,0)),""),5)="Refer",LEFT(IFERROR(INDEX('Claims History'!$D$6:$D$15,MATCH($U6,'Claims History'!$B$6:$B$15,0)),""),5)="Refer",LEFT(IFERROR(INDEX('Usage and Coverage'!$E$6:$E$20,MATCH($N6,'Usage and Coverage'!$C$6:$C$20,0)),""),5)="Refer"),"REFER","AUTO-BIND"))))</f>
        <v>REFER</v>
      </c>
      <c r="CY6" s="106">
        <f t="shared" si="11"/>
        <v>0</v>
      </c>
      <c r="CZ6" s="97" t="str">
        <f>IF($CY6="","",IF($CY6&lt;'Technical Premium'!$C$19,"BEYOND AUTHORITY",IF($CY6&gt;0.005,"Above technical",IF($CY6&lt;-0.005,"BELOW technical","At technical"))))</f>
        <v>At technical</v>
      </c>
      <c r="DA6" s="97" t="str">
        <f>IF($A6="","",IF($CX6="AUTO-BIND","",TRIM(IF($J6&lt;'Technical Premium'!$C$18,"Below programme minimum agreed value. ","")&amp;IF(N($AQ6)&lt;'Technical Premium'!$C$19,"DISCOUNT AUTHORITY BREACH. ","")&amp;IF(N($AQ6)&gt;'Technical Premium'!$C$20,"Load authority breach. ","")&amp;IF($J6&gt;='Technical Premium'!$C$16,"Agreed value at or above auto-bind limit. ","")&amp;IF(AND(ISNUMBER($CD6),$CD6&gt;='Technical Premium'!$C$17),"Composite factor at cap. ","")&amp;IF(AND(ISNUMBER($CD6),$CD6&gt;2.5),"Composite factor above 2.50. ","")&amp;IF(LEFT(IFERROR(INDEX('Driver Factors'!$D$6:$D$15,MATCH($R6,'Driver Factors'!$B$6:$B$15,0)),""),7)="DECLINE","DECLINE - driver age. ",IF(LEFT(IFERROR(INDEX('Driver Factors'!$D$6:$D$15,MATCH($R6,'Driver Factors'!$B$6:$B$15,0)),""),5)="Refer","Driver age band. ",""))&amp;IF(LEFT(IFERROR(INDEX('Driver Factors'!$D$28:$D$36,MATCH($T6,'Driver Factors'!$B$28:$B$36,0)),""),7)="DECLINE","DECLINE - MVR. ",IF(LEFT(IFERROR(INDEX('Driver Factors'!$D$28:$D$36,MATCH($T6,'Driver Factors'!$B$28:$B$36,0)),""),5)="Refer","MVR record. ",""))&amp;IF(LEFT(IFERROR(INDEX('Claims History'!$D$6:$D$15,MATCH($U6,'Claims History'!$B$6:$B$15,0)),""),7)="DECLINE","DECLINE - claims. ",IF(LEFT(IFERROR(INDEX('Claims History'!$D$6:$D$15,MATCH($U6,'Claims History'!$B$6:$B$15,0)),""),5)="Refer","Claims history. ",""))&amp;IF(LEFT(IFERROR(INDEX('Usage and Coverage'!$E$6:$E$20,MATCH($N6,'Usage and Coverage'!$C$6:$C$20,0)),""),7)="DECLINE","DECLINE - usage class. ",IF(LEFT(IFERROR(INDEX('Usage and Coverage'!$E$6:$E$20,MATCH($N6,'Usage and Coverage'!$C$6:$C$20,0)),""),5)="Refer","Usage class. ",""))&amp;IF($CX6="CHECK INPUTS","Incomplete inputs. ",""))))</f>
        <v>Agreed value at or above auto-bind limit.</v>
      </c>
      <c r="DB6" s="92"/>
      <c r="DC6" s="92"/>
      <c r="DD6" s="93"/>
      <c r="DE6" s="92"/>
      <c r="DF6" s="92"/>
      <c r="DG6" s="97" t="str">
        <f t="shared" si="12"/>
        <v>NO - AWAITING APPROVAL</v>
      </c>
      <c r="DH6" s="97">
        <f>IF($A6="","",IF(OR($CX6="REFER",$CX6="DECLINE"),COUNTIF($CX$5:$CX6,"REFER")+COUNTIF($CX$5:$CX6,"DECLINE"),""))</f>
        <v>1</v>
      </c>
      <c r="DI6" s="92"/>
    </row>
    <row r="7" spans="1:113" x14ac:dyDescent="0.25">
      <c r="A7" s="92" t="s">
        <v>521</v>
      </c>
      <c r="B7" s="92" t="s">
        <v>499</v>
      </c>
      <c r="C7" s="93">
        <v>46143</v>
      </c>
      <c r="D7" s="93">
        <v>46631</v>
      </c>
      <c r="E7" s="94">
        <v>1965</v>
      </c>
      <c r="F7" s="92" t="s">
        <v>522</v>
      </c>
      <c r="G7" s="92" t="s">
        <v>523</v>
      </c>
      <c r="H7" s="92" t="s">
        <v>524</v>
      </c>
      <c r="I7" s="92" t="s">
        <v>525</v>
      </c>
      <c r="J7" s="95">
        <v>1450000</v>
      </c>
      <c r="K7" s="92" t="s">
        <v>504</v>
      </c>
      <c r="L7" s="92" t="s">
        <v>505</v>
      </c>
      <c r="M7" s="92" t="s">
        <v>177</v>
      </c>
      <c r="N7" s="92" t="s">
        <v>526</v>
      </c>
      <c r="O7" s="92" t="s">
        <v>527</v>
      </c>
      <c r="P7" s="92" t="s">
        <v>508</v>
      </c>
      <c r="Q7" s="92" t="s">
        <v>189</v>
      </c>
      <c r="R7" s="92" t="s">
        <v>510</v>
      </c>
      <c r="S7" s="92" t="s">
        <v>511</v>
      </c>
      <c r="T7" s="92" t="s">
        <v>198</v>
      </c>
      <c r="U7" s="92" t="s">
        <v>512</v>
      </c>
      <c r="V7" s="92" t="s">
        <v>513</v>
      </c>
      <c r="W7" s="92" t="s">
        <v>235</v>
      </c>
      <c r="X7" s="92" t="s">
        <v>514</v>
      </c>
      <c r="Y7" s="92" t="s">
        <v>528</v>
      </c>
      <c r="Z7" s="92" t="s">
        <v>516</v>
      </c>
      <c r="AA7" s="92" t="s">
        <v>529</v>
      </c>
      <c r="AB7" s="92"/>
      <c r="AC7" s="92"/>
      <c r="AD7" s="92"/>
      <c r="AE7" s="92"/>
      <c r="AF7" s="92"/>
      <c r="AG7" s="92"/>
      <c r="AH7" s="92"/>
      <c r="AI7" s="92"/>
      <c r="AJ7" s="92"/>
      <c r="AK7" s="92"/>
      <c r="AL7" s="92"/>
      <c r="AM7" s="92"/>
      <c r="AN7" s="92"/>
      <c r="AO7" s="92"/>
      <c r="AP7" s="92"/>
      <c r="AQ7" s="96">
        <v>-0.08</v>
      </c>
      <c r="AR7" s="97" t="str">
        <f t="shared" si="0"/>
        <v>852</v>
      </c>
      <c r="AS7" s="97" t="str">
        <f>IF($A7="","",IF($AP7&lt;&gt;"",$AP7,IFERROR(INDEX('Cat Zone by ZIP'!$D$6:$D$856,MATCH($AR7,'Cat Zone by ZIP'!$B$6:$B$856,0)),IFERROR(INDEX('Cat Zone by ZIP'!$C$860:$C$910,MATCH($K7,'Cat Zone by ZIP'!$B$860:$B$910,0)),"NOT FOUND"))))</f>
        <v>Severe convective - hail / tornado (moderate)</v>
      </c>
      <c r="AT7" s="97" t="str">
        <f>IF($A7="","",IF($AP7&lt;&gt;"","Override",IF(ISNUMBER(MATCH($AR7,'Cat Zone by ZIP'!$B$6:$B$856,0)),"ZIP-3","State default")))</f>
        <v>ZIP-3</v>
      </c>
      <c r="AU7" s="98">
        <f>IF($A7="","",IFERROR(INDEX('Natural Catastrophe'!$D$6:$D$17,MATCH($AS7,'Natural Catastrophe'!$B$6:$B$17,0)),"?"))</f>
        <v>1.5</v>
      </c>
      <c r="AV7" s="98">
        <f>IF($A7="","",IFERROR(INDEX('Natural Catastrophe'!$C$21:$C$26,MATCH($AA7,'Natural Catastrophe'!$B$21:$B$26,0)),"?"))</f>
        <v>0.9</v>
      </c>
      <c r="AW7" s="97" t="str">
        <f>IF($A7="","",IFERROR(INDEX('Base Rates'!$C$4:$I$4,MATCH(MAX($J7,'Technical Premium'!$C$18),'Base Rates'!$C$3:$I$3,1)),"?"))</f>
        <v>$1.0M - $2.0M</v>
      </c>
      <c r="AX7" s="99">
        <f>IF($A7="","",IFERROR(INDEX('Base Rates'!$C$5:$I$16,MATCH($I7,'Base Rates'!$B$5:$B$16,0),MATCH(MAX($J7,'Technical Premium'!$C$18),'Base Rates'!$C$3:$I$3,1)),"?"))</f>
        <v>0.38</v>
      </c>
      <c r="AY7" s="100">
        <f t="shared" si="1"/>
        <v>5510</v>
      </c>
      <c r="AZ7" s="98">
        <f>IF($A7="","",IFERROR(INDEX('Make Factors'!$G$5:$G$69,MATCH($F7,'Make Factors'!$B$5:$B$69,0)),"?"))</f>
        <v>1.1870000000000001</v>
      </c>
      <c r="BA7" s="98">
        <f>IF($A7="","",IFERROR(INDEX('Driver Factors'!$C$6:$C$15,MATCH($R7,'Driver Factors'!$B$6:$B$15,0)),"?"))</f>
        <v>1</v>
      </c>
      <c r="BB7" s="98">
        <f>IF($A7="","",IFERROR(INDEX('Driver Factors'!$C$19:$C$24,MATCH($S7,'Driver Factors'!$B$19:$B$24,0)),"?"))</f>
        <v>0.95</v>
      </c>
      <c r="BC7" s="98">
        <f>IF($A7="","",IFERROR(INDEX('Driver Factors'!$C$28:$C$36,MATCH($T7,'Driver Factors'!$B$28:$B$36,0)),"?"))</f>
        <v>1</v>
      </c>
      <c r="BD7" s="98">
        <f>IF($A7="","",IFERROR(INDEX('Claims History'!$C$6:$C$15,MATCH($U7,'Claims History'!$B$6:$B$15,0)),"?"))</f>
        <v>0.85</v>
      </c>
      <c r="BE7" s="98">
        <f>IF($A7="","",IFERROR(INDEX('Territory Factors'!$E$6:$E$56,MATCH($K7,'Territory Factors'!$B$6:$B$56,0)),"?"))</f>
        <v>1.1000000000000001</v>
      </c>
      <c r="BF7" s="98">
        <f>IF($A7="","",IFERROR(INDEX('City Accident Ratings'!$G$6:$G$54,MATCH($Z7,'City Accident Ratings'!$B$6:$B$54,0)),"?"))</f>
        <v>1.18</v>
      </c>
      <c r="BG7" s="98">
        <f>IF($A7="","",IFERROR(INDEX('Usage and Coverage'!$D$6:$D$20,MATCH($N7,'Usage and Coverage'!$C$6:$C$20,0)),"?"))</f>
        <v>1.05</v>
      </c>
      <c r="BH7" s="98">
        <f>IF($A7="","",IFERROR(INDEX('Usage and Coverage'!$C$24:$C$30,MATCH($O7,'Usage and Coverage'!$B$24:$B$30,0)),"?"))</f>
        <v>0.85</v>
      </c>
      <c r="BI7" s="98">
        <f>IF($A7="","",IFERROR(INDEX('Usage and Coverage'!$C$34:$C$40,MATCH($P7,'Usage and Coverage'!$B$34:$B$40,0)),"?"))</f>
        <v>0.85</v>
      </c>
      <c r="BJ7" s="98">
        <f>IF($A7="","",IFERROR(INDEX('Usage and Coverage'!$C$44:$C$49,MATCH($Q7,'Usage and Coverage'!$B$44:$B$49,0)),"?"))</f>
        <v>0.9</v>
      </c>
      <c r="BK7" s="98">
        <f>IF($A7="","",IFERROR(INDEX(Deductibles!$C$6:$I$15,MATCH($W7,Deductibles!$B$6:$B$15,0),MATCH(MAX($J7,'Technical Premium'!$C$18),'Base Rates'!$C$3:$I$3,1)),"?"))</f>
        <v>0.87</v>
      </c>
      <c r="BL7" s="98">
        <f>IF($A7="","",IFERROR(INDEX('Usage and Coverage'!$C$63:$C$66,MATCH($X7,'Usage and Coverage'!$B$63:$B$66,0)),"?"))</f>
        <v>1.06</v>
      </c>
      <c r="BM7" s="98">
        <f>IF($A7="","",IFERROR(INDEX('Usage and Coverage'!$C$70:$C$75,MATCH($V7,'Usage and Coverage'!$B$70:$B$75,0)),"?"))</f>
        <v>0.82</v>
      </c>
      <c r="BN7" s="97">
        <f>IF($A7="","",IF($AB7="",1,IFERROR(INDEX(Deductibles!$C$48:$C$51,MATCH($AB7,Deductibles!$B$48:$B$51,0)),"?")))</f>
        <v>1</v>
      </c>
      <c r="BO7" s="97">
        <f>IF($A7="","",IF($AC7="",1,IFERROR(INDEX(Deductibles!$C$55:$C$57,MATCH($AC7,Deductibles!$B$55:$B$57,0)),"?")))</f>
        <v>1</v>
      </c>
      <c r="BP7" s="97">
        <f>IF($A7="","",IF($AD7="",1,IFERROR(INDEX(Deductibles!$C$61:$C$63,MATCH($AD7,Deductibles!$B$61:$B$63,0)),"?")))</f>
        <v>1</v>
      </c>
      <c r="BQ7" s="97">
        <f>IF($A7="","",IF($AE7="",1,IFERROR(INDEX(Deductibles!$C$67:$C$69,MATCH($AE7,Deductibles!$B$67:$B$69,0)),"?")))</f>
        <v>1</v>
      </c>
      <c r="BR7" s="97">
        <f>IF($A7="","",IF($AF7="",1,IFERROR(INDEX(Deductibles!$C$73:$C$74,MATCH($AF7,Deductibles!$B$73:$B$74,0)),"?")))</f>
        <v>1</v>
      </c>
      <c r="BS7" s="97">
        <f>IF($A7="","",IF($AG7="",1,IFERROR(INDEX('Sublimits and Parts'!$C$49:$C$52,MATCH($AG7,'Sublimits and Parts'!$B$49:$B$52,0)),"?")))</f>
        <v>1</v>
      </c>
      <c r="BT7" s="97">
        <f>IF($A7="","",IF($AH7="",1,IFERROR(INDEX('Sublimits and Parts'!$C$56:$C$60,MATCH($AH7,'Sublimits and Parts'!$B$56:$B$60,0)),"?")))</f>
        <v>1</v>
      </c>
      <c r="BU7" s="97">
        <f>IF($A7="","",IF($AI7="",1,IFERROR(INDEX('Sublimits and Parts'!$C$64:$C$67,MATCH($AI7,'Sublimits and Parts'!$B$64:$B$67,0)),"?")))</f>
        <v>1</v>
      </c>
      <c r="BV7" s="97">
        <f>IF($A7="","",IF($AJ7="",1,IFERROR(INDEX('Sublimits and Parts'!$C$71:$C$74,MATCH($AJ7,'Sublimits and Parts'!$B$71:$B$74,0)),"?")))</f>
        <v>1</v>
      </c>
      <c r="BW7" s="97">
        <f>IF($A7="","",IF($AK7="",1,IFERROR(INDEX('Sublimits and Parts'!$C$78:$C$80,MATCH($AK7,'Sublimits and Parts'!$B$78:$B$80,0)),"?")))</f>
        <v>1</v>
      </c>
      <c r="BX7" s="97">
        <f>IF($A7="","",IF($AL7="",1,IFERROR(INDEX('Sublimits and Parts'!$C$84:$C$87,MATCH($AL7,'Sublimits and Parts'!$B$84:$B$87,0)),"?")))</f>
        <v>1</v>
      </c>
      <c r="BY7" s="97">
        <f>IF($A7="","",IF($AM7="",1,IFERROR(INDEX('Sublimits and Parts'!$C$91:$C$94,MATCH($AM7,'Sublimits and Parts'!$B$91:$B$94,0)),"?")))</f>
        <v>1</v>
      </c>
      <c r="BZ7" s="97">
        <f>IF($A7="","",IF($AN7="",1,IFERROR(INDEX('Sublimits and Parts'!$C$98:$C$101,MATCH($AN7,'Sublimits and Parts'!$B$98:$B$101,0)),"?")))</f>
        <v>1</v>
      </c>
      <c r="CA7" s="97">
        <f>IF($A7="","",IF($AO7="",1,IFERROR(INDEX('Sublimits and Parts'!$C$105:$C$109,MATCH($AO7,'Sublimits and Parts'!$B$105:$B$109,0)),"?")))</f>
        <v>1</v>
      </c>
      <c r="CB7" s="98">
        <f t="shared" si="2"/>
        <v>0.64235716488335748</v>
      </c>
      <c r="CC7" s="98">
        <f t="shared" si="3"/>
        <v>1</v>
      </c>
      <c r="CD7" s="101">
        <f>IF($A7="","",IF(OR($CB7="?",$CC7="?"),"?",MIN($CB7*$CC7,'Technical Premium'!$C$17)))</f>
        <v>0.64235716488335748</v>
      </c>
      <c r="CE7" s="100">
        <f t="shared" si="4"/>
        <v>3539.3879785072995</v>
      </c>
      <c r="CF7" s="100">
        <f>IF($A7="","",IFERROR(INDEX('Territory Factors'!$F$6:$F$56,MATCH($K7,'Territory Factors'!$B$6:$B$56,0)),"?"))</f>
        <v>520</v>
      </c>
      <c r="CG7" s="98">
        <f>IF($A7="","",IFERROR(INDEX('Usage and Coverage'!$C$79:$C$84,MATCH($Y7,'Usage and Coverage'!$B$79:$B$84,0)),"?"))</f>
        <v>1.68</v>
      </c>
      <c r="CH7" s="100">
        <f>IFERROR(IF(ISNUMBER($CD7),$CF7*$CG7*MIN($BG7*$BA7*$BC7*$BD7*$BH7*$BF7,'Technical Premium'!$C$17),""),"")</f>
        <v>782.027064</v>
      </c>
      <c r="CI7" s="100">
        <f t="shared" si="5"/>
        <v>4321.4150425072994</v>
      </c>
      <c r="CJ7" s="100">
        <f>IFERROR($CI7*(1+'Technical Premium'!$C$5)*(1+'Technical Premium'!$C$6),"")</f>
        <v>4900.4846582032778</v>
      </c>
      <c r="CK7" s="100">
        <f>IFERROR($CE7*INDEX('Territory Factors'!$G$6:$G$56,MATCH($K7,'Territory Factors'!$B$6:$B$56,0))*$AU7*$AV7,"")</f>
        <v>215.01781969431843</v>
      </c>
      <c r="CL7" s="100">
        <f>IFERROR(($CJ7+$CK7)*(1+'Technical Premium'!$C$7),"")</f>
        <v>5499.1651637399164</v>
      </c>
      <c r="CM7" s="102">
        <f>IFERROR($CL7/'Technical Premium'!$C$13,"")</f>
        <v>9908.4057004322822</v>
      </c>
      <c r="CN7" s="103">
        <f t="shared" si="6"/>
        <v>0.68333832416774365</v>
      </c>
      <c r="CO7" s="102">
        <f t="shared" si="7"/>
        <v>9115.7332443976993</v>
      </c>
      <c r="CP7" s="103">
        <f t="shared" si="8"/>
        <v>0.62867125823432413</v>
      </c>
      <c r="CQ7" s="104">
        <f t="shared" si="9"/>
        <v>0.91999999999999993</v>
      </c>
      <c r="CR7" s="100">
        <f>IF(ISNUMBER($CM7),'Technical Premium'!$C$14+IF($J7&gt;=1000000,'Technical Premium'!$C$15,0),"")</f>
        <v>600</v>
      </c>
      <c r="CS7" s="100">
        <f>IFERROR(($CO7+$CR7)*(INDEX('Territory Factors'!$K$6:$K$56,MATCH($K7,'Territory Factors'!$B$6:$B$56,0))+'Commission Structure'!$C$21),"")</f>
        <v>308.96031717184684</v>
      </c>
      <c r="CT7" s="102">
        <f t="shared" si="10"/>
        <v>10024.693561569546</v>
      </c>
      <c r="CU7" s="100">
        <f>IFERROR($CO7*('Commission Structure'!$C$6+'Commission Structure'!$C$7),"")</f>
        <v>1595.2533177695973</v>
      </c>
      <c r="CV7" s="100">
        <f>IFERROR($CO7*'Commission Structure'!$C$5-$CU7,"")</f>
        <v>911.5733244397702</v>
      </c>
      <c r="CW7" s="100">
        <f>IFERROR($CO7*(1-'Commission Structure'!$C$5),"")</f>
        <v>6608.9066021883318</v>
      </c>
      <c r="CX7" s="105" t="str">
        <f>IF($A7="","",IF(OR($CB7="?",$CC7="?",NOT(ISNUMBER($AU7))),"CHECK INPUTS",IF(OR($J7&lt;'Technical Premium'!$C$18,LEFT(IFERROR(INDEX('Driver Factors'!$D$6:$D$15,MATCH($R7,'Driver Factors'!$B$6:$B$15,0)),""),7)="DECLINE",LEFT(IFERROR(INDEX('Driver Factors'!$D$28:$D$36,MATCH($T7,'Driver Factors'!$B$28:$B$36,0)),""),7)="DECLINE",LEFT(IFERROR(INDEX('Claims History'!$D$6:$D$15,MATCH($U7,'Claims History'!$B$6:$B$15,0)),""),7)="DECLINE",LEFT(IFERROR(INDEX('Usage and Coverage'!$E$6:$E$20,MATCH($N7,'Usage and Coverage'!$C$6:$C$20,0)),""),7)="DECLINE"),"DECLINE",IF(OR($CD7&gt;2.5,$CD7&gt;='Technical Premium'!$C$17,$J7&gt;='Technical Premium'!$C$16,N($AQ7)&lt;'Technical Premium'!$C$19,N($AQ7)&gt;'Technical Premium'!$C$20,LEFT(IFERROR(INDEX('Driver Factors'!$D$6:$D$15,MATCH($R7,'Driver Factors'!$B$6:$B$15,0)),""),5)="Refer",LEFT(IFERROR(INDEX('Driver Factors'!$D$28:$D$36,MATCH($T7,'Driver Factors'!$B$28:$B$36,0)),""),5)="Refer",LEFT(IFERROR(INDEX('Claims History'!$D$6:$D$15,MATCH($U7,'Claims History'!$B$6:$B$15,0)),""),5)="Refer",LEFT(IFERROR(INDEX('Usage and Coverage'!$E$6:$E$20,MATCH($N7,'Usage and Coverage'!$C$6:$C$20,0)),""),5)="Refer"),"REFER","AUTO-BIND"))))</f>
        <v>AUTO-BIND</v>
      </c>
      <c r="CY7" s="106">
        <f t="shared" si="11"/>
        <v>-8.0000000000000071E-2</v>
      </c>
      <c r="CZ7" s="97" t="str">
        <f>IF($CY7="","",IF($CY7&lt;'Technical Premium'!$C$19,"BEYOND AUTHORITY",IF($CY7&gt;0.005,"Above technical",IF($CY7&lt;-0.005,"BELOW technical","At technical"))))</f>
        <v>BELOW technical</v>
      </c>
      <c r="DA7" s="97" t="str">
        <f>IF($A7="","",IF($CX7="AUTO-BIND","",TRIM(IF($J7&lt;'Technical Premium'!$C$18,"Below programme minimum agreed value. ","")&amp;IF(N($AQ7)&lt;'Technical Premium'!$C$19,"DISCOUNT AUTHORITY BREACH. ","")&amp;IF(N($AQ7)&gt;'Technical Premium'!$C$20,"Load authority breach. ","")&amp;IF($J7&gt;='Technical Premium'!$C$16,"Agreed value at or above auto-bind limit. ","")&amp;IF(AND(ISNUMBER($CD7),$CD7&gt;='Technical Premium'!$C$17),"Composite factor at cap. ","")&amp;IF(AND(ISNUMBER($CD7),$CD7&gt;2.5),"Composite factor above 2.50. ","")&amp;IF(LEFT(IFERROR(INDEX('Driver Factors'!$D$6:$D$15,MATCH($R7,'Driver Factors'!$B$6:$B$15,0)),""),7)="DECLINE","DECLINE - driver age. ",IF(LEFT(IFERROR(INDEX('Driver Factors'!$D$6:$D$15,MATCH($R7,'Driver Factors'!$B$6:$B$15,0)),""),5)="Refer","Driver age band. ",""))&amp;IF(LEFT(IFERROR(INDEX('Driver Factors'!$D$28:$D$36,MATCH($T7,'Driver Factors'!$B$28:$B$36,0)),""),7)="DECLINE","DECLINE - MVR. ",IF(LEFT(IFERROR(INDEX('Driver Factors'!$D$28:$D$36,MATCH($T7,'Driver Factors'!$B$28:$B$36,0)),""),5)="Refer","MVR record. ",""))&amp;IF(LEFT(IFERROR(INDEX('Claims History'!$D$6:$D$15,MATCH($U7,'Claims History'!$B$6:$B$15,0)),""),7)="DECLINE","DECLINE - claims. ",IF(LEFT(IFERROR(INDEX('Claims History'!$D$6:$D$15,MATCH($U7,'Claims History'!$B$6:$B$15,0)),""),5)="Refer","Claims history. ",""))&amp;IF(LEFT(IFERROR(INDEX('Usage and Coverage'!$E$6:$E$20,MATCH($N7,'Usage and Coverage'!$C$6:$C$20,0)),""),7)="DECLINE","DECLINE - usage class. ",IF(LEFT(IFERROR(INDEX('Usage and Coverage'!$E$6:$E$20,MATCH($N7,'Usage and Coverage'!$C$6:$C$20,0)),""),5)="Refer","Usage class. ",""))&amp;IF($CX7="CHECK INPUTS","Incomplete inputs. ",""))))</f>
        <v/>
      </c>
      <c r="DB7" s="92"/>
      <c r="DC7" s="92"/>
      <c r="DD7" s="93"/>
      <c r="DE7" s="92"/>
      <c r="DF7" s="92"/>
      <c r="DG7" s="97" t="str">
        <f t="shared" si="12"/>
        <v>YES - within authority</v>
      </c>
      <c r="DH7" s="97" t="str">
        <f>IF($A7="","",IF(OR($CX7="REFER",$CX7="DECLINE"),COUNTIF($CX$5:$CX7,"REFER")+COUNTIF($CX$5:$CX7,"DECLINE"),""))</f>
        <v/>
      </c>
      <c r="DI7" s="92"/>
    </row>
    <row r="8" spans="1:113" x14ac:dyDescent="0.25">
      <c r="A8" s="92" t="s">
        <v>530</v>
      </c>
      <c r="B8" s="92" t="s">
        <v>531</v>
      </c>
      <c r="C8" s="93">
        <v>46174</v>
      </c>
      <c r="D8" s="93">
        <v>46631</v>
      </c>
      <c r="E8" s="94">
        <v>2023</v>
      </c>
      <c r="F8" s="92" t="s">
        <v>532</v>
      </c>
      <c r="G8" s="92" t="s">
        <v>533</v>
      </c>
      <c r="H8" s="92" t="s">
        <v>534</v>
      </c>
      <c r="I8" s="92" t="s">
        <v>166</v>
      </c>
      <c r="J8" s="95">
        <v>280000</v>
      </c>
      <c r="K8" s="92" t="s">
        <v>535</v>
      </c>
      <c r="L8" s="92" t="s">
        <v>536</v>
      </c>
      <c r="M8" s="92" t="s">
        <v>537</v>
      </c>
      <c r="N8" s="92" t="s">
        <v>538</v>
      </c>
      <c r="O8" s="92" t="s">
        <v>539</v>
      </c>
      <c r="P8" s="92" t="s">
        <v>540</v>
      </c>
      <c r="Q8" s="92" t="s">
        <v>509</v>
      </c>
      <c r="R8" s="92" t="s">
        <v>541</v>
      </c>
      <c r="S8" s="92" t="s">
        <v>542</v>
      </c>
      <c r="T8" s="92" t="s">
        <v>543</v>
      </c>
      <c r="U8" s="92" t="s">
        <v>544</v>
      </c>
      <c r="V8" s="92" t="s">
        <v>545</v>
      </c>
      <c r="W8" s="92" t="s">
        <v>238</v>
      </c>
      <c r="X8" s="92" t="s">
        <v>546</v>
      </c>
      <c r="Y8" s="92" t="s">
        <v>528</v>
      </c>
      <c r="Z8" s="92" t="s">
        <v>547</v>
      </c>
      <c r="AA8" s="92" t="s">
        <v>548</v>
      </c>
      <c r="AB8" s="92" t="s">
        <v>549</v>
      </c>
      <c r="AC8" s="92"/>
      <c r="AD8" s="92" t="s">
        <v>550</v>
      </c>
      <c r="AE8" s="92"/>
      <c r="AF8" s="92"/>
      <c r="AG8" s="92"/>
      <c r="AH8" s="92"/>
      <c r="AI8" s="92" t="s">
        <v>551</v>
      </c>
      <c r="AJ8" s="92" t="s">
        <v>551</v>
      </c>
      <c r="AK8" s="92"/>
      <c r="AL8" s="92"/>
      <c r="AM8" s="92"/>
      <c r="AN8" s="92" t="s">
        <v>551</v>
      </c>
      <c r="AO8" s="92"/>
      <c r="AP8" s="92"/>
      <c r="AQ8" s="96">
        <v>0.1</v>
      </c>
      <c r="AR8" s="97" t="str">
        <f t="shared" si="0"/>
        <v>891</v>
      </c>
      <c r="AS8" s="97" t="str">
        <f>IF($A8="","",IF($AP8&lt;&gt;"",$AP8,IFERROR(INDEX('Cat Zone by ZIP'!$D$6:$D$856,MATCH($AR8,'Cat Zone by ZIP'!$B$6:$B$856,0)),IFERROR(INDEX('Cat Zone by ZIP'!$C$860:$C$910,MATCH($K8,'Cat Zone by ZIP'!$B$860:$B$910,0)),"NOT FOUND"))))</f>
        <v>Low hazard - inland benign</v>
      </c>
      <c r="AT8" s="97" t="str">
        <f>IF($A8="","",IF($AP8&lt;&gt;"","Override",IF(ISNUMBER(MATCH($AR8,'Cat Zone by ZIP'!$B$6:$B$856,0)),"ZIP-3","State default")))</f>
        <v>ZIP-3</v>
      </c>
      <c r="AU8" s="98">
        <f>IF($A8="","",IFERROR(INDEX('Natural Catastrophe'!$D$6:$D$17,MATCH($AS8,'Natural Catastrophe'!$B$6:$B$17,0)),"?"))</f>
        <v>0.45</v>
      </c>
      <c r="AV8" s="98">
        <f>IF($A8="","",IFERROR(INDEX('Natural Catastrophe'!$C$21:$C$26,MATCH($AA8,'Natural Catastrophe'!$B$21:$B$26,0)),"?"))</f>
        <v>1</v>
      </c>
      <c r="AW8" s="97" t="str">
        <f>IF($A8="","",IFERROR(INDEX('Base Rates'!$C$4:$I$4,MATCH(MAX($J8,'Technical Premium'!$C$18),'Base Rates'!$C$3:$I$3,1)),"?"))</f>
        <v>$250k - $500k</v>
      </c>
      <c r="AX8" s="99">
        <f>IF($A8="","",IFERROR(INDEX('Base Rates'!$C$5:$I$16,MATCH($I8,'Base Rates'!$B$5:$B$16,0),MATCH(MAX($J8,'Technical Premium'!$C$18),'Base Rates'!$C$3:$I$3,1)),"?"))</f>
        <v>1.1499999999999999</v>
      </c>
      <c r="AY8" s="100">
        <f t="shared" si="1"/>
        <v>3219.9999999999995</v>
      </c>
      <c r="AZ8" s="98">
        <f>IF($A8="","",IFERROR(INDEX('Make Factors'!$G$5:$G$69,MATCH($F8,'Make Factors'!$B$5:$B$69,0)),"?"))</f>
        <v>1.127</v>
      </c>
      <c r="BA8" s="98">
        <f>IF($A8="","",IFERROR(INDEX('Driver Factors'!$C$6:$C$15,MATCH($R8,'Driver Factors'!$B$6:$B$15,0)),"?"))</f>
        <v>1.35</v>
      </c>
      <c r="BB8" s="98">
        <f>IF($A8="","",IFERROR(INDEX('Driver Factors'!$C$19:$C$24,MATCH($S8,'Driver Factors'!$B$19:$B$24,0)),"?"))</f>
        <v>1.05</v>
      </c>
      <c r="BC8" s="98">
        <f>IF($A8="","",IFERROR(INDEX('Driver Factors'!$C$28:$C$36,MATCH($T8,'Driver Factors'!$B$28:$B$36,0)),"?"))</f>
        <v>1.1499999999999999</v>
      </c>
      <c r="BD8" s="98">
        <f>IF($A8="","",IFERROR(INDEX('Claims History'!$C$6:$C$15,MATCH($U8,'Claims History'!$B$6:$B$15,0)),"?"))</f>
        <v>1.1000000000000001</v>
      </c>
      <c r="BE8" s="98">
        <f>IF($A8="","",IFERROR(INDEX('Territory Factors'!$E$6:$E$56,MATCH($K8,'Territory Factors'!$B$6:$B$56,0)),"?"))</f>
        <v>1.1499999999999999</v>
      </c>
      <c r="BF8" s="98">
        <f>IF($A8="","",IFERROR(INDEX('City Accident Ratings'!$G$6:$G$54,MATCH($Z8,'City Accident Ratings'!$B$6:$B$54,0)),"?"))</f>
        <v>1.2250000000000001</v>
      </c>
      <c r="BG8" s="98">
        <f>IF($A8="","",IFERROR(INDEX('Usage and Coverage'!$D$6:$D$20,MATCH($N8,'Usage and Coverage'!$C$6:$C$20,0)),"?"))</f>
        <v>2.9</v>
      </c>
      <c r="BH8" s="98">
        <f>IF($A8="","",IFERROR(INDEX('Usage and Coverage'!$C$24:$C$30,MATCH($O8,'Usage and Coverage'!$B$24:$B$30,0)),"?"))</f>
        <v>1.85</v>
      </c>
      <c r="BI8" s="98">
        <f>IF($A8="","",IFERROR(INDEX('Usage and Coverage'!$C$34:$C$40,MATCH($P8,'Usage and Coverage'!$B$34:$B$40,0)),"?"))</f>
        <v>1.05</v>
      </c>
      <c r="BJ8" s="98">
        <f>IF($A8="","",IFERROR(INDEX('Usage and Coverage'!$C$44:$C$49,MATCH($Q8,'Usage and Coverage'!$B$44:$B$49,0)),"?"))</f>
        <v>0.85</v>
      </c>
      <c r="BK8" s="98">
        <f>IF($A8="","",IFERROR(INDEX(Deductibles!$C$6:$I$15,MATCH($W8,Deductibles!$B$6:$B$15,0),MATCH(MAX($J8,'Technical Premium'!$C$18),'Base Rates'!$C$3:$I$3,1)),"?"))</f>
        <v>0.87</v>
      </c>
      <c r="BL8" s="98">
        <f>IF($A8="","",IFERROR(INDEX('Usage and Coverage'!$C$63:$C$66,MATCH($X8,'Usage and Coverage'!$B$63:$B$66,0)),"?"))</f>
        <v>0.92</v>
      </c>
      <c r="BM8" s="98">
        <f>IF($A8="","",IFERROR(INDEX('Usage and Coverage'!$C$70:$C$75,MATCH($V8,'Usage and Coverage'!$B$70:$B$75,0)),"?"))</f>
        <v>0.86</v>
      </c>
      <c r="BN8" s="98">
        <f>IF($A8="","",IF($AB8="",1,IFERROR(INDEX(Deductibles!$C$48:$C$51,MATCH($AB8,Deductibles!$B$48:$B$51,0)),"?")))</f>
        <v>0.97499999999999998</v>
      </c>
      <c r="BO8" s="97">
        <f>IF($A8="","",IF($AC8="",1,IFERROR(INDEX(Deductibles!$C$55:$C$57,MATCH($AC8,Deductibles!$B$55:$B$57,0)),"?")))</f>
        <v>1</v>
      </c>
      <c r="BP8" s="98">
        <f>IF($A8="","",IF($AD8="",1,IFERROR(INDEX(Deductibles!$C$61:$C$63,MATCH($AD8,Deductibles!$B$61:$B$63,0)),"?")))</f>
        <v>0.97499999999999998</v>
      </c>
      <c r="BQ8" s="97">
        <f>IF($A8="","",IF($AE8="",1,IFERROR(INDEX(Deductibles!$C$67:$C$69,MATCH($AE8,Deductibles!$B$67:$B$69,0)),"?")))</f>
        <v>1</v>
      </c>
      <c r="BR8" s="97">
        <f>IF($A8="","",IF($AF8="",1,IFERROR(INDEX(Deductibles!$C$73:$C$74,MATCH($AF8,Deductibles!$B$73:$B$74,0)),"?")))</f>
        <v>1</v>
      </c>
      <c r="BS8" s="97">
        <f>IF($A8="","",IF($AG8="",1,IFERROR(INDEX('Sublimits and Parts'!$C$49:$C$52,MATCH($AG8,'Sublimits and Parts'!$B$49:$B$52,0)),"?")))</f>
        <v>1</v>
      </c>
      <c r="BT8" s="97">
        <f>IF($A8="","",IF($AH8="",1,IFERROR(INDEX('Sublimits and Parts'!$C$56:$C$60,MATCH($AH8,'Sublimits and Parts'!$B$56:$B$60,0)),"?")))</f>
        <v>1</v>
      </c>
      <c r="BU8" s="98">
        <f>IF($A8="","",IF($AI8="",1,IFERROR(INDEX('Sublimits and Parts'!$C$64:$C$67,MATCH($AI8,'Sublimits and Parts'!$B$64:$B$67,0)),"?")))</f>
        <v>0.997</v>
      </c>
      <c r="BV8" s="98">
        <f>IF($A8="","",IF($AJ8="",1,IFERROR(INDEX('Sublimits and Parts'!$C$71:$C$74,MATCH($AJ8,'Sublimits and Parts'!$B$71:$B$74,0)),"?")))</f>
        <v>0.98499999999999999</v>
      </c>
      <c r="BW8" s="97">
        <f>IF($A8="","",IF($AK8="",1,IFERROR(INDEX('Sublimits and Parts'!$C$78:$C$80,MATCH($AK8,'Sublimits and Parts'!$B$78:$B$80,0)),"?")))</f>
        <v>1</v>
      </c>
      <c r="BX8" s="97">
        <f>IF($A8="","",IF($AL8="",1,IFERROR(INDEX('Sublimits and Parts'!$C$84:$C$87,MATCH($AL8,'Sublimits and Parts'!$B$84:$B$87,0)),"?")))</f>
        <v>1</v>
      </c>
      <c r="BY8" s="97">
        <f>IF($A8="","",IF($AM8="",1,IFERROR(INDEX('Sublimits and Parts'!$C$91:$C$94,MATCH($AM8,'Sublimits and Parts'!$B$91:$B$94,0)),"?")))</f>
        <v>1</v>
      </c>
      <c r="BZ8" s="98">
        <f>IF($A8="","",IF($AN8="",1,IFERROR(INDEX('Sublimits and Parts'!$C$98:$C$101,MATCH($AN8,'Sublimits and Parts'!$B$98:$B$101,0)),"?")))</f>
        <v>0.96</v>
      </c>
      <c r="CA8" s="97">
        <f>IF($A8="","",IF($AO8="",1,IFERROR(INDEX('Sublimits and Parts'!$C$105:$C$109,MATCH($AO8,'Sublimits and Parts'!$B$105:$B$109,0)),"?")))</f>
        <v>1</v>
      </c>
      <c r="CB8" s="98">
        <f t="shared" si="2"/>
        <v>9.3832852819536914</v>
      </c>
      <c r="CC8" s="98">
        <f t="shared" si="3"/>
        <v>0.89621426699999995</v>
      </c>
      <c r="CD8" s="101">
        <f>IF($A8="","",IF(OR($CB8="?",$CC8="?"),"?",MIN($CB8*$CC8,'Technical Premium'!$C$17)))</f>
        <v>5</v>
      </c>
      <c r="CE8" s="100">
        <f t="shared" si="4"/>
        <v>16099.999999999998</v>
      </c>
      <c r="CF8" s="100">
        <f>IF($A8="","",IFERROR(INDEX('Territory Factors'!$F$6:$F$56,MATCH($K8,'Territory Factors'!$B$6:$B$56,0)),"?"))</f>
        <v>560</v>
      </c>
      <c r="CG8" s="98">
        <f>IF($A8="","",IFERROR(INDEX('Usage and Coverage'!$C$79:$C$84,MATCH($Y8,'Usage and Coverage'!$B$79:$B$84,0)),"?"))</f>
        <v>1.68</v>
      </c>
      <c r="CH8" s="100">
        <f>IFERROR(IF(ISNUMBER($CD8),$CF8*$CG8*MIN($BG8*$BA8*$BC8*$BD8*$BH8*$BF8,'Technical Premium'!$C$17),""),"")</f>
        <v>4704</v>
      </c>
      <c r="CI8" s="100">
        <f t="shared" si="5"/>
        <v>20804</v>
      </c>
      <c r="CJ8" s="100">
        <f>IFERROR($CI8*(1+'Technical Premium'!$C$5)*(1+'Technical Premium'!$C$6),"")</f>
        <v>23591.736000000001</v>
      </c>
      <c r="CK8" s="100">
        <f>IFERROR($CE8*INDEX('Territory Factors'!$G$6:$G$56,MATCH($K8,'Territory Factors'!$B$6:$B$56,0))*$AU8*$AV8,"")</f>
        <v>253.57500000000002</v>
      </c>
      <c r="CL8" s="100">
        <f>IFERROR(($CJ8+$CK8)*(1+'Technical Premium'!$C$7),"")</f>
        <v>25633.709325</v>
      </c>
      <c r="CM8" s="102">
        <f>IFERROR($CL8/'Technical Premium'!$C$13,"")</f>
        <v>46186.86364864865</v>
      </c>
      <c r="CN8" s="103">
        <f t="shared" si="6"/>
        <v>16.495308445945948</v>
      </c>
      <c r="CO8" s="102">
        <f t="shared" si="7"/>
        <v>50805.550013513523</v>
      </c>
      <c r="CP8" s="103">
        <f t="shared" si="8"/>
        <v>18.144839290540542</v>
      </c>
      <c r="CQ8" s="104">
        <f t="shared" si="9"/>
        <v>1.0999999999999999</v>
      </c>
      <c r="CR8" s="100">
        <f>IF(ISNUMBER($CM8),'Technical Premium'!$C$14+IF($J8&gt;=1000000,'Technical Premium'!$C$15,0),"")</f>
        <v>350</v>
      </c>
      <c r="CS8" s="100">
        <f>IFERROR(($CO8+$CR8)*(INDEX('Territory Factors'!$K$6:$K$56,MATCH($K8,'Territory Factors'!$B$6:$B$56,0))+'Commission Structure'!$C$21),"")</f>
        <v>1882.524240497298</v>
      </c>
      <c r="CT8" s="102">
        <f t="shared" si="10"/>
        <v>53038.074254010819</v>
      </c>
      <c r="CU8" s="100">
        <f>IFERROR($CO8*('Commission Structure'!$C$6+'Commission Structure'!$C$7),"")</f>
        <v>8890.971252364865</v>
      </c>
      <c r="CV8" s="100">
        <f>IFERROR($CO8*'Commission Structure'!$C$5-$CU8,"")</f>
        <v>5080.5550013513548</v>
      </c>
      <c r="CW8" s="100">
        <f>IFERROR($CO8*(1-'Commission Structure'!$C$5),"")</f>
        <v>36834.023759797303</v>
      </c>
      <c r="CX8" s="105" t="str">
        <f>IF($A8="","",IF(OR($CB8="?",$CC8="?",NOT(ISNUMBER($AU8))),"CHECK INPUTS",IF(OR($J8&lt;'Technical Premium'!$C$18,LEFT(IFERROR(INDEX('Driver Factors'!$D$6:$D$15,MATCH($R8,'Driver Factors'!$B$6:$B$15,0)),""),7)="DECLINE",LEFT(IFERROR(INDEX('Driver Factors'!$D$28:$D$36,MATCH($T8,'Driver Factors'!$B$28:$B$36,0)),""),7)="DECLINE",LEFT(IFERROR(INDEX('Claims History'!$D$6:$D$15,MATCH($U8,'Claims History'!$B$6:$B$15,0)),""),7)="DECLINE",LEFT(IFERROR(INDEX('Usage and Coverage'!$E$6:$E$20,MATCH($N8,'Usage and Coverage'!$C$6:$C$20,0)),""),7)="DECLINE"),"DECLINE",IF(OR($CD8&gt;2.5,$CD8&gt;='Technical Premium'!$C$17,$J8&gt;='Technical Premium'!$C$16,N($AQ8)&lt;'Technical Premium'!$C$19,N($AQ8)&gt;'Technical Premium'!$C$20,LEFT(IFERROR(INDEX('Driver Factors'!$D$6:$D$15,MATCH($R8,'Driver Factors'!$B$6:$B$15,0)),""),5)="Refer",LEFT(IFERROR(INDEX('Driver Factors'!$D$28:$D$36,MATCH($T8,'Driver Factors'!$B$28:$B$36,0)),""),5)="Refer",LEFT(IFERROR(INDEX('Claims History'!$D$6:$D$15,MATCH($U8,'Claims History'!$B$6:$B$15,0)),""),5)="Refer",LEFT(IFERROR(INDEX('Usage and Coverage'!$E$6:$E$20,MATCH($N8,'Usage and Coverage'!$C$6:$C$20,0)),""),5)="Refer"),"REFER","AUTO-BIND"))))</f>
        <v>REFER</v>
      </c>
      <c r="CY8" s="106">
        <f t="shared" si="11"/>
        <v>0.10000000000000009</v>
      </c>
      <c r="CZ8" s="97" t="str">
        <f>IF($CY8="","",IF($CY8&lt;'Technical Premium'!$C$19,"BEYOND AUTHORITY",IF($CY8&gt;0.005,"Above technical",IF($CY8&lt;-0.005,"BELOW technical","At technical"))))</f>
        <v>Above technical</v>
      </c>
      <c r="DA8" s="97" t="str">
        <f>IF($A8="","",IF($CX8="AUTO-BIND","",TRIM(IF($J8&lt;'Technical Premium'!$C$18,"Below programme minimum agreed value. ","")&amp;IF(N($AQ8)&lt;'Technical Premium'!$C$19,"DISCOUNT AUTHORITY BREACH. ","")&amp;IF(N($AQ8)&gt;'Technical Premium'!$C$20,"Load authority breach. ","")&amp;IF($J8&gt;='Technical Premium'!$C$16,"Agreed value at or above auto-bind limit. ","")&amp;IF(AND(ISNUMBER($CD8),$CD8&gt;='Technical Premium'!$C$17),"Composite factor at cap. ","")&amp;IF(AND(ISNUMBER($CD8),$CD8&gt;2.5),"Composite factor above 2.50. ","")&amp;IF(LEFT(IFERROR(INDEX('Driver Factors'!$D$6:$D$15,MATCH($R8,'Driver Factors'!$B$6:$B$15,0)),""),7)="DECLINE","DECLINE - driver age. ",IF(LEFT(IFERROR(INDEX('Driver Factors'!$D$6:$D$15,MATCH($R8,'Driver Factors'!$B$6:$B$15,0)),""),5)="Refer","Driver age band. ",""))&amp;IF(LEFT(IFERROR(INDEX('Driver Factors'!$D$28:$D$36,MATCH($T8,'Driver Factors'!$B$28:$B$36,0)),""),7)="DECLINE","DECLINE - MVR. ",IF(LEFT(IFERROR(INDEX('Driver Factors'!$D$28:$D$36,MATCH($T8,'Driver Factors'!$B$28:$B$36,0)),""),5)="Refer","MVR record. ",""))&amp;IF(LEFT(IFERROR(INDEX('Claims History'!$D$6:$D$15,MATCH($U8,'Claims History'!$B$6:$B$15,0)),""),7)="DECLINE","DECLINE - claims. ",IF(LEFT(IFERROR(INDEX('Claims History'!$D$6:$D$15,MATCH($U8,'Claims History'!$B$6:$B$15,0)),""),5)="Refer","Claims history. ",""))&amp;IF(LEFT(IFERROR(INDEX('Usage and Coverage'!$E$6:$E$20,MATCH($N8,'Usage and Coverage'!$C$6:$C$20,0)),""),7)="DECLINE","DECLINE - usage class. ",IF(LEFT(IFERROR(INDEX('Usage and Coverage'!$E$6:$E$20,MATCH($N8,'Usage and Coverage'!$C$6:$C$20,0)),""),5)="Refer","Usage class. ",""))&amp;IF($CX8="CHECK INPUTS","Incomplete inputs. ",""))))</f>
        <v>Composite factor at cap. Composite factor above 2.50. Usage class.</v>
      </c>
      <c r="DB8" s="92"/>
      <c r="DC8" s="92"/>
      <c r="DD8" s="93"/>
      <c r="DE8" s="92"/>
      <c r="DF8" s="92"/>
      <c r="DG8" s="97" t="str">
        <f t="shared" si="12"/>
        <v>NO - AWAITING APPROVAL</v>
      </c>
      <c r="DH8" s="97">
        <f>IF($A8="","",IF(OR($CX8="REFER",$CX8="DECLINE"),COUNTIF($CX$5:$CX8,"REFER")+COUNTIF($CX$5:$CX8,"DECLINE"),""))</f>
        <v>2</v>
      </c>
      <c r="DI8" s="92"/>
    </row>
    <row r="9" spans="1:113" x14ac:dyDescent="0.25">
      <c r="A9" s="92" t="s">
        <v>552</v>
      </c>
      <c r="B9" s="92" t="s">
        <v>553</v>
      </c>
      <c r="C9" s="93">
        <v>46204</v>
      </c>
      <c r="D9" s="93">
        <v>46631</v>
      </c>
      <c r="E9" s="94">
        <v>2017</v>
      </c>
      <c r="F9" s="92" t="s">
        <v>554</v>
      </c>
      <c r="G9" s="92" t="s">
        <v>555</v>
      </c>
      <c r="H9" s="92" t="s">
        <v>556</v>
      </c>
      <c r="I9" s="92" t="s">
        <v>557</v>
      </c>
      <c r="J9" s="95">
        <v>185000</v>
      </c>
      <c r="K9" s="92" t="s">
        <v>558</v>
      </c>
      <c r="L9" s="92" t="s">
        <v>559</v>
      </c>
      <c r="M9" s="92" t="s">
        <v>177</v>
      </c>
      <c r="N9" s="92" t="s">
        <v>506</v>
      </c>
      <c r="O9" s="92" t="s">
        <v>527</v>
      </c>
      <c r="P9" s="92" t="s">
        <v>186</v>
      </c>
      <c r="Q9" s="92" t="s">
        <v>189</v>
      </c>
      <c r="R9" s="92" t="s">
        <v>560</v>
      </c>
      <c r="S9" s="92" t="s">
        <v>561</v>
      </c>
      <c r="T9" s="92" t="s">
        <v>198</v>
      </c>
      <c r="U9" s="92" t="s">
        <v>201</v>
      </c>
      <c r="V9" s="92" t="s">
        <v>204</v>
      </c>
      <c r="W9" s="92" t="s">
        <v>207</v>
      </c>
      <c r="X9" s="92" t="s">
        <v>210</v>
      </c>
      <c r="Y9" s="92" t="s">
        <v>212</v>
      </c>
      <c r="Z9" s="92" t="s">
        <v>562</v>
      </c>
      <c r="AA9" s="92" t="s">
        <v>548</v>
      </c>
      <c r="AB9" s="92"/>
      <c r="AC9" s="92"/>
      <c r="AD9" s="92"/>
      <c r="AE9" s="92"/>
      <c r="AF9" s="92"/>
      <c r="AG9" s="92"/>
      <c r="AH9" s="92"/>
      <c r="AI9" s="92"/>
      <c r="AJ9" s="92"/>
      <c r="AK9" s="92"/>
      <c r="AL9" s="92"/>
      <c r="AM9" s="92"/>
      <c r="AN9" s="92"/>
      <c r="AO9" s="92"/>
      <c r="AP9" s="92"/>
      <c r="AQ9" s="96">
        <v>-0.12</v>
      </c>
      <c r="AR9" s="97" t="str">
        <f t="shared" si="0"/>
        <v>029</v>
      </c>
      <c r="AS9" s="97" t="str">
        <f>IF($A9="","",IF($AP9&lt;&gt;"",$AP9,IFERROR(INDEX('Cat Zone by ZIP'!$D$6:$D$856,MATCH($AR9,'Cat Zone by ZIP'!$B$6:$B$856,0)),IFERROR(INDEX('Cat Zone by ZIP'!$C$860:$C$910,MATCH($K9,'Cat Zone by ZIP'!$B$860:$B$910,0)),"NOT FOUND"))))</f>
        <v>Tier 2 - Coastal wind (1-25 miles)</v>
      </c>
      <c r="AT9" s="97" t="str">
        <f>IF($A9="","",IF($AP9&lt;&gt;"","Override",IF(ISNUMBER(MATCH($AR9,'Cat Zone by ZIP'!$B$6:$B$856,0)),"ZIP-3","State default")))</f>
        <v>ZIP-3</v>
      </c>
      <c r="AU9" s="98">
        <f>IF($A9="","",IFERROR(INDEX('Natural Catastrophe'!$D$6:$D$17,MATCH($AS9,'Natural Catastrophe'!$B$6:$B$17,0)),"?"))</f>
        <v>2.1</v>
      </c>
      <c r="AV9" s="98">
        <f>IF($A9="","",IFERROR(INDEX('Natural Catastrophe'!$C$21:$C$26,MATCH($AA9,'Natural Catastrophe'!$B$21:$B$26,0)),"?"))</f>
        <v>1</v>
      </c>
      <c r="AW9" s="97" t="str">
        <f>IF($A9="","",IFERROR(INDEX('Base Rates'!$C$4:$I$4,MATCH(MAX($J9,'Technical Premium'!$C$18),'Base Rates'!$C$3:$I$3,1)),"?"))</f>
        <v>$100k - $250k</v>
      </c>
      <c r="AX9" s="99">
        <f>IF($A9="","",IFERROR(INDEX('Base Rates'!$C$5:$I$16,MATCH($I9,'Base Rates'!$B$5:$B$16,0),MATCH(MAX($J9,'Technical Premium'!$C$18),'Base Rates'!$C$3:$I$3,1)),"?"))</f>
        <v>1.18</v>
      </c>
      <c r="AY9" s="100">
        <f t="shared" si="1"/>
        <v>2183</v>
      </c>
      <c r="AZ9" s="98">
        <f>IF($A9="","",IFERROR(INDEX('Make Factors'!$G$5:$G$69,MATCH($F9,'Make Factors'!$B$5:$B$69,0)),"?"))</f>
        <v>0.80500000000000005</v>
      </c>
      <c r="BA9" s="98">
        <f>IF($A9="","",IFERROR(INDEX('Driver Factors'!$C$6:$C$15,MATCH($R9,'Driver Factors'!$B$6:$B$15,0)),"?"))</f>
        <v>1.1000000000000001</v>
      </c>
      <c r="BB9" s="98">
        <f>IF($A9="","",IFERROR(INDEX('Driver Factors'!$C$19:$C$24,MATCH($S9,'Driver Factors'!$B$19:$B$24,0)),"?"))</f>
        <v>0.9</v>
      </c>
      <c r="BC9" s="98">
        <f>IF($A9="","",IFERROR(INDEX('Driver Factors'!$C$28:$C$36,MATCH($T9,'Driver Factors'!$B$28:$B$36,0)),"?"))</f>
        <v>1</v>
      </c>
      <c r="BD9" s="98">
        <f>IF($A9="","",IFERROR(INDEX('Claims History'!$C$6:$C$15,MATCH($U9,'Claims History'!$B$6:$B$15,0)),"?"))</f>
        <v>0.9</v>
      </c>
      <c r="BE9" s="98">
        <f>IF($A9="","",IFERROR(INDEX('Territory Factors'!$E$6:$E$56,MATCH($K9,'Territory Factors'!$B$6:$B$56,0)),"?"))</f>
        <v>1.1499999999999999</v>
      </c>
      <c r="BF9" s="98">
        <f>IF($A9="","",IFERROR(INDEX('City Accident Ratings'!$G$6:$G$54,MATCH($Z9,'City Accident Ratings'!$B$6:$B$54,0)),"?"))</f>
        <v>1</v>
      </c>
      <c r="BG9" s="98">
        <f>IF($A9="","",IFERROR(INDEX('Usage and Coverage'!$D$6:$D$20,MATCH($N9,'Usage and Coverage'!$C$6:$C$20,0)),"?"))</f>
        <v>0.85</v>
      </c>
      <c r="BH9" s="98">
        <f>IF($A9="","",IFERROR(INDEX('Usage and Coverage'!$C$24:$C$30,MATCH($O9,'Usage and Coverage'!$B$24:$B$30,0)),"?"))</f>
        <v>0.85</v>
      </c>
      <c r="BI9" s="98">
        <f>IF($A9="","",IFERROR(INDEX('Usage and Coverage'!$C$34:$C$40,MATCH($P9,'Usage and Coverage'!$B$34:$B$40,0)),"?"))</f>
        <v>0.9</v>
      </c>
      <c r="BJ9" s="98">
        <f>IF($A9="","",IFERROR(INDEX('Usage and Coverage'!$C$44:$C$49,MATCH($Q9,'Usage and Coverage'!$B$44:$B$49,0)),"?"))</f>
        <v>0.9</v>
      </c>
      <c r="BK9" s="98">
        <f>IF($A9="","",IFERROR(INDEX(Deductibles!$C$6:$I$15,MATCH($W9,Deductibles!$B$6:$B$15,0),MATCH(MAX($J9,'Technical Premium'!$C$18),'Base Rates'!$C$3:$I$3,1)),"?"))</f>
        <v>0.9</v>
      </c>
      <c r="BL9" s="98">
        <f>IF($A9="","",IFERROR(INDEX('Usage and Coverage'!$C$63:$C$66,MATCH($X9,'Usage and Coverage'!$B$63:$B$66,0)),"?"))</f>
        <v>1</v>
      </c>
      <c r="BM9" s="98">
        <f>IF($A9="","",IFERROR(INDEX('Usage and Coverage'!$C$70:$C$75,MATCH($V9,'Usage and Coverage'!$B$70:$B$75,0)),"?"))</f>
        <v>0.95</v>
      </c>
      <c r="BN9" s="97">
        <f>IF($A9="","",IF($AB9="",1,IFERROR(INDEX(Deductibles!$C$48:$C$51,MATCH($AB9,Deductibles!$B$48:$B$51,0)),"?")))</f>
        <v>1</v>
      </c>
      <c r="BO9" s="97">
        <f>IF($A9="","",IF($AC9="",1,IFERROR(INDEX(Deductibles!$C$55:$C$57,MATCH($AC9,Deductibles!$B$55:$B$57,0)),"?")))</f>
        <v>1</v>
      </c>
      <c r="BP9" s="97">
        <f>IF($A9="","",IF($AD9="",1,IFERROR(INDEX(Deductibles!$C$61:$C$63,MATCH($AD9,Deductibles!$B$61:$B$63,0)),"?")))</f>
        <v>1</v>
      </c>
      <c r="BQ9" s="97">
        <f>IF($A9="","",IF($AE9="",1,IFERROR(INDEX(Deductibles!$C$67:$C$69,MATCH($AE9,Deductibles!$B$67:$B$69,0)),"?")))</f>
        <v>1</v>
      </c>
      <c r="BR9" s="97">
        <f>IF($A9="","",IF($AF9="",1,IFERROR(INDEX(Deductibles!$C$73:$C$74,MATCH($AF9,Deductibles!$B$73:$B$74,0)),"?")))</f>
        <v>1</v>
      </c>
      <c r="BS9" s="97">
        <f>IF($A9="","",IF($AG9="",1,IFERROR(INDEX('Sublimits and Parts'!$C$49:$C$52,MATCH($AG9,'Sublimits and Parts'!$B$49:$B$52,0)),"?")))</f>
        <v>1</v>
      </c>
      <c r="BT9" s="97">
        <f>IF($A9="","",IF($AH9="",1,IFERROR(INDEX('Sublimits and Parts'!$C$56:$C$60,MATCH($AH9,'Sublimits and Parts'!$B$56:$B$60,0)),"?")))</f>
        <v>1</v>
      </c>
      <c r="BU9" s="97">
        <f>IF($A9="","",IF($AI9="",1,IFERROR(INDEX('Sublimits and Parts'!$C$64:$C$67,MATCH($AI9,'Sublimits and Parts'!$B$64:$B$67,0)),"?")))</f>
        <v>1</v>
      </c>
      <c r="BV9" s="97">
        <f>IF($A9="","",IF($AJ9="",1,IFERROR(INDEX('Sublimits and Parts'!$C$71:$C$74,MATCH($AJ9,'Sublimits and Parts'!$B$71:$B$74,0)),"?")))</f>
        <v>1</v>
      </c>
      <c r="BW9" s="97">
        <f>IF($A9="","",IF($AK9="",1,IFERROR(INDEX('Sublimits and Parts'!$C$78:$C$80,MATCH($AK9,'Sublimits and Parts'!$B$78:$B$80,0)),"?")))</f>
        <v>1</v>
      </c>
      <c r="BX9" s="97">
        <f>IF($A9="","",IF($AL9="",1,IFERROR(INDEX('Sublimits and Parts'!$C$84:$C$87,MATCH($AL9,'Sublimits and Parts'!$B$84:$B$87,0)),"?")))</f>
        <v>1</v>
      </c>
      <c r="BY9" s="97">
        <f>IF($A9="","",IF($AM9="",1,IFERROR(INDEX('Sublimits and Parts'!$C$91:$C$94,MATCH($AM9,'Sublimits and Parts'!$B$91:$B$94,0)),"?")))</f>
        <v>1</v>
      </c>
      <c r="BZ9" s="97">
        <f>IF($A9="","",IF($AN9="",1,IFERROR(INDEX('Sublimits and Parts'!$C$98:$C$101,MATCH($AN9,'Sublimits and Parts'!$B$98:$B$101,0)),"?")))</f>
        <v>1</v>
      </c>
      <c r="CA9" s="97">
        <f>IF($A9="","",IF($AO9="",1,IFERROR(INDEX('Sublimits and Parts'!$C$105:$C$109,MATCH($AO9,'Sublimits and Parts'!$B$105:$B$109,0)),"?")))</f>
        <v>1</v>
      </c>
      <c r="CB9" s="98">
        <f t="shared" si="2"/>
        <v>0.41272465178896878</v>
      </c>
      <c r="CC9" s="98">
        <f t="shared" si="3"/>
        <v>1</v>
      </c>
      <c r="CD9" s="101">
        <f>IF($A9="","",IF(OR($CB9="?",$CC9="?"),"?",MIN($CB9*$CC9,'Technical Premium'!$C$17)))</f>
        <v>0.41272465178896878</v>
      </c>
      <c r="CE9" s="100">
        <f t="shared" si="4"/>
        <v>900.97791485531889</v>
      </c>
      <c r="CF9" s="100">
        <f>IF($A9="","",IFERROR(INDEX('Territory Factors'!$F$6:$F$56,MATCH($K9,'Territory Factors'!$B$6:$B$56,0)),"?"))</f>
        <v>600</v>
      </c>
      <c r="CG9" s="98">
        <f>IF($A9="","",IFERROR(INDEX('Usage and Coverage'!$C$79:$C$84,MATCH($Y9,'Usage and Coverage'!$B$79:$B$84,0)),"?"))</f>
        <v>1.42</v>
      </c>
      <c r="CH9" s="100">
        <f>IFERROR(IF(ISNUMBER($CD9),$CF9*$CG9*MIN($BG9*$BA9*$BC9*$BD9*$BH9*$BF9,'Technical Premium'!$C$17),""),"")</f>
        <v>609.41430000000003</v>
      </c>
      <c r="CI9" s="100">
        <f t="shared" si="5"/>
        <v>1510.3922148553188</v>
      </c>
      <c r="CJ9" s="100">
        <f>IFERROR($CI9*(1+'Technical Premium'!$C$5)*(1+'Technical Premium'!$C$6),"")</f>
        <v>1712.7847716459319</v>
      </c>
      <c r="CK9" s="100">
        <f>IFERROR($CE9*INDEX('Territory Factors'!$G$6:$G$56,MATCH($K9,'Territory Factors'!$B$6:$B$56,0))*$AU9*$AV9,"")</f>
        <v>85.14241295382763</v>
      </c>
      <c r="CL9" s="100">
        <f>IFERROR(($CJ9+$CK9)*(1+'Technical Premium'!$C$7),"")</f>
        <v>1932.7717234447414</v>
      </c>
      <c r="CM9" s="102">
        <f>IFERROR($CL9/'Technical Premium'!$C$13,"")</f>
        <v>3482.471573774309</v>
      </c>
      <c r="CN9" s="103">
        <f t="shared" si="6"/>
        <v>1.882417066905032</v>
      </c>
      <c r="CO9" s="102">
        <f t="shared" si="7"/>
        <v>3064.5749849213921</v>
      </c>
      <c r="CP9" s="103">
        <f t="shared" si="8"/>
        <v>1.6565270188764283</v>
      </c>
      <c r="CQ9" s="104">
        <f t="shared" si="9"/>
        <v>0.88000000000000012</v>
      </c>
      <c r="CR9" s="100">
        <f>IF(ISNUMBER($CM9),'Technical Premium'!$C$14+IF($J9&gt;=1000000,'Technical Premium'!$C$15,0),"")</f>
        <v>350</v>
      </c>
      <c r="CS9" s="100">
        <f>IFERROR(($CO9+$CR9)*(INDEX('Territory Factors'!$K$6:$K$56,MATCH($K9,'Territory Factors'!$B$6:$B$56,0))+'Commission Structure'!$C$21),"")</f>
        <v>142.72923436971419</v>
      </c>
      <c r="CT9" s="102">
        <f t="shared" si="10"/>
        <v>3557.3042192911062</v>
      </c>
      <c r="CU9" s="100">
        <f>IFERROR($CO9*('Commission Structure'!$C$6+'Commission Structure'!$C$7),"")</f>
        <v>536.30062236124354</v>
      </c>
      <c r="CV9" s="100">
        <f>IFERROR($CO9*'Commission Structure'!$C$5-$CU9,"")</f>
        <v>306.45749849213939</v>
      </c>
      <c r="CW9" s="100">
        <f>IFERROR($CO9*(1-'Commission Structure'!$C$5),"")</f>
        <v>2221.8168640680092</v>
      </c>
      <c r="CX9" s="105" t="str">
        <f>IF($A9="","",IF(OR($CB9="?",$CC9="?",NOT(ISNUMBER($AU9))),"CHECK INPUTS",IF(OR($J9&lt;'Technical Premium'!$C$18,LEFT(IFERROR(INDEX('Driver Factors'!$D$6:$D$15,MATCH($R9,'Driver Factors'!$B$6:$B$15,0)),""),7)="DECLINE",LEFT(IFERROR(INDEX('Driver Factors'!$D$28:$D$36,MATCH($T9,'Driver Factors'!$B$28:$B$36,0)),""),7)="DECLINE",LEFT(IFERROR(INDEX('Claims History'!$D$6:$D$15,MATCH($U9,'Claims History'!$B$6:$B$15,0)),""),7)="DECLINE",LEFT(IFERROR(INDEX('Usage and Coverage'!$E$6:$E$20,MATCH($N9,'Usage and Coverage'!$C$6:$C$20,0)),""),7)="DECLINE"),"DECLINE",IF(OR($CD9&gt;2.5,$CD9&gt;='Technical Premium'!$C$17,$J9&gt;='Technical Premium'!$C$16,N($AQ9)&lt;'Technical Premium'!$C$19,N($AQ9)&gt;'Technical Premium'!$C$20,LEFT(IFERROR(INDEX('Driver Factors'!$D$6:$D$15,MATCH($R9,'Driver Factors'!$B$6:$B$15,0)),""),5)="Refer",LEFT(IFERROR(INDEX('Driver Factors'!$D$28:$D$36,MATCH($T9,'Driver Factors'!$B$28:$B$36,0)),""),5)="Refer",LEFT(IFERROR(INDEX('Claims History'!$D$6:$D$15,MATCH($U9,'Claims History'!$B$6:$B$15,0)),""),5)="Refer",LEFT(IFERROR(INDEX('Usage and Coverage'!$E$6:$E$20,MATCH($N9,'Usage and Coverage'!$C$6:$C$20,0)),""),5)="Refer"),"REFER","AUTO-BIND"))))</f>
        <v>AUTO-BIND</v>
      </c>
      <c r="CY9" s="106">
        <f t="shared" si="11"/>
        <v>-0.12</v>
      </c>
      <c r="CZ9" s="97" t="str">
        <f>IF($CY9="","",IF($CY9&lt;'Technical Premium'!$C$19,"BEYOND AUTHORITY",IF($CY9&gt;0.005,"Above technical",IF($CY9&lt;-0.005,"BELOW technical","At technical"))))</f>
        <v>BELOW technical</v>
      </c>
      <c r="DA9" s="97" t="str">
        <f>IF($A9="","",IF($CX9="AUTO-BIND","",TRIM(IF($J9&lt;'Technical Premium'!$C$18,"Below programme minimum agreed value. ","")&amp;IF(N($AQ9)&lt;'Technical Premium'!$C$19,"DISCOUNT AUTHORITY BREACH. ","")&amp;IF(N($AQ9)&gt;'Technical Premium'!$C$20,"Load authority breach. ","")&amp;IF($J9&gt;='Technical Premium'!$C$16,"Agreed value at or above auto-bind limit. ","")&amp;IF(AND(ISNUMBER($CD9),$CD9&gt;='Technical Premium'!$C$17),"Composite factor at cap. ","")&amp;IF(AND(ISNUMBER($CD9),$CD9&gt;2.5),"Composite factor above 2.50. ","")&amp;IF(LEFT(IFERROR(INDEX('Driver Factors'!$D$6:$D$15,MATCH($R9,'Driver Factors'!$B$6:$B$15,0)),""),7)="DECLINE","DECLINE - driver age. ",IF(LEFT(IFERROR(INDEX('Driver Factors'!$D$6:$D$15,MATCH($R9,'Driver Factors'!$B$6:$B$15,0)),""),5)="Refer","Driver age band. ",""))&amp;IF(LEFT(IFERROR(INDEX('Driver Factors'!$D$28:$D$36,MATCH($T9,'Driver Factors'!$B$28:$B$36,0)),""),7)="DECLINE","DECLINE - MVR. ",IF(LEFT(IFERROR(INDEX('Driver Factors'!$D$28:$D$36,MATCH($T9,'Driver Factors'!$B$28:$B$36,0)),""),5)="Refer","MVR record. ",""))&amp;IF(LEFT(IFERROR(INDEX('Claims History'!$D$6:$D$15,MATCH($U9,'Claims History'!$B$6:$B$15,0)),""),7)="DECLINE","DECLINE - claims. ",IF(LEFT(IFERROR(INDEX('Claims History'!$D$6:$D$15,MATCH($U9,'Claims History'!$B$6:$B$15,0)),""),5)="Refer","Claims history. ",""))&amp;IF(LEFT(IFERROR(INDEX('Usage and Coverage'!$E$6:$E$20,MATCH($N9,'Usage and Coverage'!$C$6:$C$20,0)),""),7)="DECLINE","DECLINE - usage class. ",IF(LEFT(IFERROR(INDEX('Usage and Coverage'!$E$6:$E$20,MATCH($N9,'Usage and Coverage'!$C$6:$C$20,0)),""),5)="Refer","Usage class. ",""))&amp;IF($CX9="CHECK INPUTS","Incomplete inputs. ",""))))</f>
        <v/>
      </c>
      <c r="DB9" s="92"/>
      <c r="DC9" s="92"/>
      <c r="DD9" s="93"/>
      <c r="DE9" s="92"/>
      <c r="DF9" s="92"/>
      <c r="DG9" s="97" t="str">
        <f t="shared" si="12"/>
        <v>YES - within authority</v>
      </c>
      <c r="DH9" s="97" t="str">
        <f>IF($A9="","",IF(OR($CX9="REFER",$CX9="DECLINE"),COUNTIF($CX$5:$CX9,"REFER")+COUNTIF($CX$5:$CX9,"DECLINE"),""))</f>
        <v/>
      </c>
      <c r="DI9" s="92"/>
    </row>
    <row r="10" spans="1:113" x14ac:dyDescent="0.25">
      <c r="A10" s="92" t="s">
        <v>563</v>
      </c>
      <c r="B10" s="92" t="s">
        <v>564</v>
      </c>
      <c r="C10" s="93">
        <v>46235</v>
      </c>
      <c r="D10" s="93">
        <v>46631</v>
      </c>
      <c r="E10" s="94">
        <v>2022</v>
      </c>
      <c r="F10" s="92" t="s">
        <v>565</v>
      </c>
      <c r="G10" s="92" t="s">
        <v>566</v>
      </c>
      <c r="H10" s="92" t="s">
        <v>567</v>
      </c>
      <c r="I10" s="92" t="s">
        <v>568</v>
      </c>
      <c r="J10" s="95">
        <v>2200000</v>
      </c>
      <c r="K10" s="92" t="s">
        <v>569</v>
      </c>
      <c r="L10" s="92" t="s">
        <v>570</v>
      </c>
      <c r="M10" s="92" t="s">
        <v>177</v>
      </c>
      <c r="N10" s="92" t="s">
        <v>526</v>
      </c>
      <c r="O10" s="92" t="s">
        <v>183</v>
      </c>
      <c r="P10" s="92" t="s">
        <v>186</v>
      </c>
      <c r="Q10" s="92" t="s">
        <v>189</v>
      </c>
      <c r="R10" s="92" t="s">
        <v>560</v>
      </c>
      <c r="S10" s="92" t="s">
        <v>561</v>
      </c>
      <c r="T10" s="92" t="s">
        <v>543</v>
      </c>
      <c r="U10" s="92" t="s">
        <v>201</v>
      </c>
      <c r="V10" s="92" t="s">
        <v>571</v>
      </c>
      <c r="W10" s="92" t="s">
        <v>572</v>
      </c>
      <c r="X10" s="92" t="s">
        <v>514</v>
      </c>
      <c r="Y10" s="92" t="s">
        <v>528</v>
      </c>
      <c r="Z10" s="92" t="s">
        <v>573</v>
      </c>
      <c r="AA10" s="92" t="s">
        <v>218</v>
      </c>
      <c r="AB10" s="92"/>
      <c r="AC10" s="92" t="s">
        <v>574</v>
      </c>
      <c r="AD10" s="92"/>
      <c r="AE10" s="92"/>
      <c r="AF10" s="92"/>
      <c r="AG10" s="92"/>
      <c r="AH10" s="92" t="s">
        <v>244</v>
      </c>
      <c r="AI10" s="92"/>
      <c r="AJ10" s="92"/>
      <c r="AK10" s="92"/>
      <c r="AL10" s="92"/>
      <c r="AM10" s="92" t="s">
        <v>517</v>
      </c>
      <c r="AN10" s="92" t="s">
        <v>519</v>
      </c>
      <c r="AO10" s="92"/>
      <c r="AP10" s="92"/>
      <c r="AQ10" s="96">
        <v>0.05</v>
      </c>
      <c r="AR10" s="97" t="str">
        <f t="shared" si="0"/>
        <v>913</v>
      </c>
      <c r="AS10" s="97" t="str">
        <f>IF($A10="","",IF($AP10&lt;&gt;"",$AP10,IFERROR(INDEX('Cat Zone by ZIP'!$D$6:$D$856,MATCH($AR10,'Cat Zone by ZIP'!$B$6:$B$856,0)),IFERROR(INDEX('Cat Zone by ZIP'!$C$860:$C$910,MATCH($K10,'Cat Zone by ZIP'!$B$860:$B$910,0)),"NOT FOUND"))))</f>
        <v>Wildfire - WUI high hazard</v>
      </c>
      <c r="AT10" s="97" t="str">
        <f>IF($A10="","",IF($AP10&lt;&gt;"","Override",IF(ISNUMBER(MATCH($AR10,'Cat Zone by ZIP'!$B$6:$B$856,0)),"ZIP-3","State default")))</f>
        <v>ZIP-3</v>
      </c>
      <c r="AU10" s="98">
        <f>IF($A10="","",IFERROR(INDEX('Natural Catastrophe'!$D$6:$D$17,MATCH($AS10,'Natural Catastrophe'!$B$6:$B$17,0)),"?"))</f>
        <v>2.6</v>
      </c>
      <c r="AV10" s="98">
        <f>IF($A10="","",IFERROR(INDEX('Natural Catastrophe'!$C$21:$C$26,MATCH($AA10,'Natural Catastrophe'!$B$21:$B$26,0)),"?"))</f>
        <v>0.8</v>
      </c>
      <c r="AW10" s="97" t="str">
        <f>IF($A10="","",IFERROR(INDEX('Base Rates'!$C$4:$I$4,MATCH(MAX($J10,'Technical Premium'!$C$18),'Base Rates'!$C$3:$I$3,1)),"?"))</f>
        <v>$2.0M - $5.0M</v>
      </c>
      <c r="AX10" s="99">
        <f>IF($A10="","",IFERROR(INDEX('Base Rates'!$C$5:$I$16,MATCH($I10,'Base Rates'!$B$5:$B$16,0),MATCH(MAX($J10,'Technical Premium'!$C$18),'Base Rates'!$C$3:$I$3,1)),"?"))</f>
        <v>0.57999999999999996</v>
      </c>
      <c r="AY10" s="100">
        <f t="shared" si="1"/>
        <v>12760</v>
      </c>
      <c r="AZ10" s="98">
        <f>IF($A10="","",IFERROR(INDEX('Make Factors'!$G$5:$G$69,MATCH($F10,'Make Factors'!$B$5:$B$69,0)),"?"))</f>
        <v>1.6539999999999999</v>
      </c>
      <c r="BA10" s="98">
        <f>IF($A10="","",IFERROR(INDEX('Driver Factors'!$C$6:$C$15,MATCH($R10,'Driver Factors'!$B$6:$B$15,0)),"?"))</f>
        <v>1.1000000000000001</v>
      </c>
      <c r="BB10" s="98">
        <f>IF($A10="","",IFERROR(INDEX('Driver Factors'!$C$19:$C$24,MATCH($S10,'Driver Factors'!$B$19:$B$24,0)),"?"))</f>
        <v>0.9</v>
      </c>
      <c r="BC10" s="98">
        <f>IF($A10="","",IFERROR(INDEX('Driver Factors'!$C$28:$C$36,MATCH($T10,'Driver Factors'!$B$28:$B$36,0)),"?"))</f>
        <v>1.1499999999999999</v>
      </c>
      <c r="BD10" s="98">
        <f>IF($A10="","",IFERROR(INDEX('Claims History'!$C$6:$C$15,MATCH($U10,'Claims History'!$B$6:$B$15,0)),"?"))</f>
        <v>0.9</v>
      </c>
      <c r="BE10" s="98">
        <f>IF($A10="","",IFERROR(INDEX('Territory Factors'!$E$6:$E$56,MATCH($K10,'Territory Factors'!$B$6:$B$56,0)),"?"))</f>
        <v>1.35</v>
      </c>
      <c r="BF10" s="98">
        <f>IF($A10="","",IFERROR(INDEX('City Accident Ratings'!$G$6:$G$54,MATCH($Z10,'City Accident Ratings'!$B$6:$B$54,0)),"?"))</f>
        <v>1.35</v>
      </c>
      <c r="BG10" s="98">
        <f>IF($A10="","",IFERROR(INDEX('Usage and Coverage'!$D$6:$D$20,MATCH($N10,'Usage and Coverage'!$C$6:$C$20,0)),"?"))</f>
        <v>1.05</v>
      </c>
      <c r="BH10" s="98">
        <f>IF($A10="","",IFERROR(INDEX('Usage and Coverage'!$C$24:$C$30,MATCH($O10,'Usage and Coverage'!$B$24:$B$30,0)),"?"))</f>
        <v>1</v>
      </c>
      <c r="BI10" s="98">
        <f>IF($A10="","",IFERROR(INDEX('Usage and Coverage'!$C$34:$C$40,MATCH($P10,'Usage and Coverage'!$B$34:$B$40,0)),"?"))</f>
        <v>0.9</v>
      </c>
      <c r="BJ10" s="98">
        <f>IF($A10="","",IFERROR(INDEX('Usage and Coverage'!$C$44:$C$49,MATCH($Q10,'Usage and Coverage'!$B$44:$B$49,0)),"?"))</f>
        <v>0.9</v>
      </c>
      <c r="BK10" s="98">
        <f>IF($A10="","",IFERROR(INDEX(Deductibles!$C$6:$I$15,MATCH($W10,Deductibles!$B$6:$B$15,0),MATCH(MAX($J10,'Technical Premium'!$C$18),'Base Rates'!$C$3:$I$3,1)),"?"))</f>
        <v>0.83</v>
      </c>
      <c r="BL10" s="98">
        <f>IF($A10="","",IFERROR(INDEX('Usage and Coverage'!$C$63:$C$66,MATCH($X10,'Usage and Coverage'!$B$63:$B$66,0)),"?"))</f>
        <v>1.06</v>
      </c>
      <c r="BM10" s="98">
        <f>IF($A10="","",IFERROR(INDEX('Usage and Coverage'!$C$70:$C$75,MATCH($V10,'Usage and Coverage'!$B$70:$B$75,0)),"?"))</f>
        <v>0.9</v>
      </c>
      <c r="BN10" s="97">
        <f>IF($A10="","",IF($AB10="",1,IFERROR(INDEX(Deductibles!$C$48:$C$51,MATCH($AB10,Deductibles!$B$48:$B$51,0)),"?")))</f>
        <v>1</v>
      </c>
      <c r="BO10" s="98">
        <f>IF($A10="","",IF($AC10="",1,IFERROR(INDEX(Deductibles!$C$55:$C$57,MATCH($AC10,Deductibles!$B$55:$B$57,0)),"?")))</f>
        <v>1.0149999999999999</v>
      </c>
      <c r="BP10" s="97">
        <f>IF($A10="","",IF($AD10="",1,IFERROR(INDEX(Deductibles!$C$61:$C$63,MATCH($AD10,Deductibles!$B$61:$B$63,0)),"?")))</f>
        <v>1</v>
      </c>
      <c r="BQ10" s="97">
        <f>IF($A10="","",IF($AE10="",1,IFERROR(INDEX(Deductibles!$C$67:$C$69,MATCH($AE10,Deductibles!$B$67:$B$69,0)),"?")))</f>
        <v>1</v>
      </c>
      <c r="BR10" s="97">
        <f>IF($A10="","",IF($AF10="",1,IFERROR(INDEX(Deductibles!$C$73:$C$74,MATCH($AF10,Deductibles!$B$73:$B$74,0)),"?")))</f>
        <v>1</v>
      </c>
      <c r="BS10" s="97">
        <f>IF($A10="","",IF($AG10="",1,IFERROR(INDEX('Sublimits and Parts'!$C$49:$C$52,MATCH($AG10,'Sublimits and Parts'!$B$49:$B$52,0)),"?")))</f>
        <v>1</v>
      </c>
      <c r="BT10" s="98">
        <f>IF($A10="","",IF($AH10="",1,IFERROR(INDEX('Sublimits and Parts'!$C$56:$C$60,MATCH($AH10,'Sublimits and Parts'!$B$56:$B$60,0)),"?")))</f>
        <v>1.018</v>
      </c>
      <c r="BU10" s="97">
        <f>IF($A10="","",IF($AI10="",1,IFERROR(INDEX('Sublimits and Parts'!$C$64:$C$67,MATCH($AI10,'Sublimits and Parts'!$B$64:$B$67,0)),"?")))</f>
        <v>1</v>
      </c>
      <c r="BV10" s="97">
        <f>IF($A10="","",IF($AJ10="",1,IFERROR(INDEX('Sublimits and Parts'!$C$71:$C$74,MATCH($AJ10,'Sublimits and Parts'!$B$71:$B$74,0)),"?")))</f>
        <v>1</v>
      </c>
      <c r="BW10" s="97">
        <f>IF($A10="","",IF($AK10="",1,IFERROR(INDEX('Sublimits and Parts'!$C$78:$C$80,MATCH($AK10,'Sublimits and Parts'!$B$78:$B$80,0)),"?")))</f>
        <v>1</v>
      </c>
      <c r="BX10" s="97">
        <f>IF($A10="","",IF($AL10="",1,IFERROR(INDEX('Sublimits and Parts'!$C$84:$C$87,MATCH($AL10,'Sublimits and Parts'!$B$84:$B$87,0)),"?")))</f>
        <v>1</v>
      </c>
      <c r="BY10" s="98">
        <f>IF($A10="","",IF($AM10="",1,IFERROR(INDEX('Sublimits and Parts'!$C$91:$C$94,MATCH($AM10,'Sublimits and Parts'!$B$91:$B$94,0)),"?")))</f>
        <v>1.03</v>
      </c>
      <c r="BZ10" s="98">
        <f>IF($A10="","",IF($AN10="",1,IFERROR(INDEX('Sublimits and Parts'!$C$98:$C$101,MATCH($AN10,'Sublimits and Parts'!$B$98:$B$101,0)),"?")))</f>
        <v>1.0449999999999999</v>
      </c>
      <c r="CA10" s="97">
        <f>IF($A10="","",IF($AO10="",1,IFERROR(INDEX('Sublimits and Parts'!$C$105:$C$109,MATCH($AO10,'Sublimits and Parts'!$B$105:$B$109,0)),"?")))</f>
        <v>1</v>
      </c>
      <c r="CB10" s="98">
        <f t="shared" si="2"/>
        <v>2.0800768070430005</v>
      </c>
      <c r="CC10" s="98">
        <f t="shared" si="3"/>
        <v>1.1121601644999997</v>
      </c>
      <c r="CD10" s="101">
        <f>IF($A10="","",IF(OR($CB10="?",$CC10="?"),"?",MIN($CB10*$CC10,'Technical Premium'!$C$17)))</f>
        <v>2.3133785638935773</v>
      </c>
      <c r="CE10" s="100">
        <f t="shared" si="4"/>
        <v>29518.710475282045</v>
      </c>
      <c r="CF10" s="100">
        <f>IF($A10="","",IFERROR(INDEX('Territory Factors'!$F$6:$F$56,MATCH($K10,'Territory Factors'!$B$6:$B$56,0)),"?"))</f>
        <v>760</v>
      </c>
      <c r="CG10" s="98">
        <f>IF($A10="","",IFERROR(INDEX('Usage and Coverage'!$C$79:$C$84,MATCH($Y10,'Usage and Coverage'!$B$79:$B$84,0)),"?"))</f>
        <v>1.68</v>
      </c>
      <c r="CH10" s="100">
        <f>IFERROR(IF(ISNUMBER($CD10),$CF10*$CG10*MIN($BG10*$BA10*$BC10*$BD10*$BH10*$BF10,'Technical Premium'!$C$17),""),"")</f>
        <v>2060.5301640000002</v>
      </c>
      <c r="CI10" s="100">
        <f t="shared" si="5"/>
        <v>31579.240639282045</v>
      </c>
      <c r="CJ10" s="100">
        <f>IFERROR($CI10*(1+'Technical Premium'!$C$5)*(1+'Technical Premium'!$C$6),"")</f>
        <v>35810.858884945847</v>
      </c>
      <c r="CK10" s="100">
        <f>IFERROR($CE10*INDEX('Territory Factors'!$G$6:$G$56,MATCH($K10,'Territory Factors'!$B$6:$B$56,0))*$AU10*$AV10,"")</f>
        <v>3683.9350673151989</v>
      </c>
      <c r="CL10" s="100">
        <f>IFERROR(($CJ10+$CK10)*(1+'Technical Premium'!$C$7),"")</f>
        <v>42456.903498680622</v>
      </c>
      <c r="CM10" s="102">
        <f>IFERROR($CL10/'Technical Premium'!$C$13,"")</f>
        <v>76498.925222847975</v>
      </c>
      <c r="CN10" s="103">
        <f t="shared" si="6"/>
        <v>3.4772238737658165</v>
      </c>
      <c r="CO10" s="102">
        <f t="shared" si="7"/>
        <v>80323.87148399037</v>
      </c>
      <c r="CP10" s="103">
        <f t="shared" si="8"/>
        <v>3.6510850674541082</v>
      </c>
      <c r="CQ10" s="104">
        <f t="shared" si="9"/>
        <v>1.0500000000000003</v>
      </c>
      <c r="CR10" s="100">
        <f>IF(ISNUMBER($CM10),'Technical Premium'!$C$14+IF($J10&gt;=1000000,'Technical Premium'!$C$15,0),"")</f>
        <v>600</v>
      </c>
      <c r="CS10" s="100">
        <f>IFERROR(($CO10+$CR10)*(INDEX('Territory Factors'!$K$6:$K$56,MATCH($K10,'Territory Factors'!$B$6:$B$56,0))+'Commission Structure'!$C$21),"")</f>
        <v>2573.3791131908938</v>
      </c>
      <c r="CT10" s="102">
        <f t="shared" si="10"/>
        <v>83497.250597181264</v>
      </c>
      <c r="CU10" s="100">
        <f>IFERROR($CO10*('Commission Structure'!$C$6+'Commission Structure'!$C$7),"")</f>
        <v>14056.677509698315</v>
      </c>
      <c r="CV10" s="100">
        <f>IFERROR($CO10*'Commission Structure'!$C$5-$CU10,"")</f>
        <v>8032.387148399037</v>
      </c>
      <c r="CW10" s="100">
        <f>IFERROR($CO10*(1-'Commission Structure'!$C$5),"")</f>
        <v>58234.806825893014</v>
      </c>
      <c r="CX10" s="105" t="str">
        <f>IF($A10="","",IF(OR($CB10="?",$CC10="?",NOT(ISNUMBER($AU10))),"CHECK INPUTS",IF(OR($J10&lt;'Technical Premium'!$C$18,LEFT(IFERROR(INDEX('Driver Factors'!$D$6:$D$15,MATCH($R10,'Driver Factors'!$B$6:$B$15,0)),""),7)="DECLINE",LEFT(IFERROR(INDEX('Driver Factors'!$D$28:$D$36,MATCH($T10,'Driver Factors'!$B$28:$B$36,0)),""),7)="DECLINE",LEFT(IFERROR(INDEX('Claims History'!$D$6:$D$15,MATCH($U10,'Claims History'!$B$6:$B$15,0)),""),7)="DECLINE",LEFT(IFERROR(INDEX('Usage and Coverage'!$E$6:$E$20,MATCH($N10,'Usage and Coverage'!$C$6:$C$20,0)),""),7)="DECLINE"),"DECLINE",IF(OR($CD10&gt;2.5,$CD10&gt;='Technical Premium'!$C$17,$J10&gt;='Technical Premium'!$C$16,N($AQ10)&lt;'Technical Premium'!$C$19,N($AQ10)&gt;'Technical Premium'!$C$20,LEFT(IFERROR(INDEX('Driver Factors'!$D$6:$D$15,MATCH($R10,'Driver Factors'!$B$6:$B$15,0)),""),5)="Refer",LEFT(IFERROR(INDEX('Driver Factors'!$D$28:$D$36,MATCH($T10,'Driver Factors'!$B$28:$B$36,0)),""),5)="Refer",LEFT(IFERROR(INDEX('Claims History'!$D$6:$D$15,MATCH($U10,'Claims History'!$B$6:$B$15,0)),""),5)="Refer",LEFT(IFERROR(INDEX('Usage and Coverage'!$E$6:$E$20,MATCH($N10,'Usage and Coverage'!$C$6:$C$20,0)),""),5)="Refer"),"REFER","AUTO-BIND"))))</f>
        <v>REFER</v>
      </c>
      <c r="CY10" s="106">
        <f t="shared" si="11"/>
        <v>5.0000000000000044E-2</v>
      </c>
      <c r="CZ10" s="97" t="str">
        <f>IF($CY10="","",IF($CY10&lt;'Technical Premium'!$C$19,"BEYOND AUTHORITY",IF($CY10&gt;0.005,"Above technical",IF($CY10&lt;-0.005,"BELOW technical","At technical"))))</f>
        <v>Above technical</v>
      </c>
      <c r="DA10" s="97" t="str">
        <f>IF($A10="","",IF($CX10="AUTO-BIND","",TRIM(IF($J10&lt;'Technical Premium'!$C$18,"Below programme minimum agreed value. ","")&amp;IF(N($AQ10)&lt;'Technical Premium'!$C$19,"DISCOUNT AUTHORITY BREACH. ","")&amp;IF(N($AQ10)&gt;'Technical Premium'!$C$20,"Load authority breach. ","")&amp;IF($J10&gt;='Technical Premium'!$C$16,"Agreed value at or above auto-bind limit. ","")&amp;IF(AND(ISNUMBER($CD10),$CD10&gt;='Technical Premium'!$C$17),"Composite factor at cap. ","")&amp;IF(AND(ISNUMBER($CD10),$CD10&gt;2.5),"Composite factor above 2.50. ","")&amp;IF(LEFT(IFERROR(INDEX('Driver Factors'!$D$6:$D$15,MATCH($R10,'Driver Factors'!$B$6:$B$15,0)),""),7)="DECLINE","DECLINE - driver age. ",IF(LEFT(IFERROR(INDEX('Driver Factors'!$D$6:$D$15,MATCH($R10,'Driver Factors'!$B$6:$B$15,0)),""),5)="Refer","Driver age band. ",""))&amp;IF(LEFT(IFERROR(INDEX('Driver Factors'!$D$28:$D$36,MATCH($T10,'Driver Factors'!$B$28:$B$36,0)),""),7)="DECLINE","DECLINE - MVR. ",IF(LEFT(IFERROR(INDEX('Driver Factors'!$D$28:$D$36,MATCH($T10,'Driver Factors'!$B$28:$B$36,0)),""),5)="Refer","MVR record. ",""))&amp;IF(LEFT(IFERROR(INDEX('Claims History'!$D$6:$D$15,MATCH($U10,'Claims History'!$B$6:$B$15,0)),""),7)="DECLINE","DECLINE - claims. ",IF(LEFT(IFERROR(INDEX('Claims History'!$D$6:$D$15,MATCH($U10,'Claims History'!$B$6:$B$15,0)),""),5)="Refer","Claims history. ",""))&amp;IF(LEFT(IFERROR(INDEX('Usage and Coverage'!$E$6:$E$20,MATCH($N10,'Usage and Coverage'!$C$6:$C$20,0)),""),7)="DECLINE","DECLINE - usage class. ",IF(LEFT(IFERROR(INDEX('Usage and Coverage'!$E$6:$E$20,MATCH($N10,'Usage and Coverage'!$C$6:$C$20,0)),""),5)="Refer","Usage class. ",""))&amp;IF($CX10="CHECK INPUTS","Incomplete inputs. ",""))))</f>
        <v>Agreed value at or above auto-bind limit.</v>
      </c>
      <c r="DB10" s="92"/>
      <c r="DC10" s="92"/>
      <c r="DD10" s="93"/>
      <c r="DE10" s="92"/>
      <c r="DF10" s="92"/>
      <c r="DG10" s="97" t="str">
        <f t="shared" si="12"/>
        <v>NO - AWAITING APPROVAL</v>
      </c>
      <c r="DH10" s="97">
        <f>IF($A10="","",IF(OR($CX10="REFER",$CX10="DECLINE"),COUNTIF($CX$5:$CX10,"REFER")+COUNTIF($CX$5:$CX10,"DECLINE"),""))</f>
        <v>3</v>
      </c>
      <c r="DI10" s="92"/>
    </row>
    <row r="11" spans="1:113" x14ac:dyDescent="0.25">
      <c r="A11" s="92"/>
      <c r="B11" s="92"/>
      <c r="C11" s="93"/>
      <c r="D11" s="93"/>
      <c r="E11" s="94"/>
      <c r="F11" s="92"/>
      <c r="G11" s="92"/>
      <c r="H11" s="92"/>
      <c r="I11" s="92"/>
      <c r="J11" s="95"/>
      <c r="K11" s="92"/>
      <c r="L11" s="92"/>
      <c r="M11" s="92"/>
      <c r="N11" s="92"/>
      <c r="O11" s="92"/>
      <c r="P11" s="92"/>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6"/>
      <c r="AR11" s="97" t="str">
        <f t="shared" si="0"/>
        <v/>
      </c>
      <c r="AS11" s="97" t="str">
        <f>IF($A11="","",IF($AP11&lt;&gt;"",$AP11,IFERROR(INDEX('Cat Zone by ZIP'!$D$6:$D$856,MATCH($AR11,'Cat Zone by ZIP'!$B$6:$B$856,0)),IFERROR(INDEX('Cat Zone by ZIP'!$C$860:$C$910,MATCH($K11,'Cat Zone by ZIP'!$B$860:$B$910,0)),"NOT FOUND"))))</f>
        <v/>
      </c>
      <c r="AT11" s="97" t="str">
        <f>IF($A11="","",IF($AP11&lt;&gt;"","Override",IF(ISNUMBER(MATCH($AR11,'Cat Zone by ZIP'!$B$6:$B$856,0)),"ZIP-3","State default")))</f>
        <v/>
      </c>
      <c r="AU11" s="98" t="str">
        <f>IF($A11="","",IFERROR(INDEX('Natural Catastrophe'!$D$6:$D$17,MATCH($AS11,'Natural Catastrophe'!$B$6:$B$17,0)),"?"))</f>
        <v/>
      </c>
      <c r="AV11" s="98" t="str">
        <f>IF($A11="","",IFERROR(INDEX('Natural Catastrophe'!$C$21:$C$26,MATCH($AA11,'Natural Catastrophe'!$B$21:$B$26,0)),"?"))</f>
        <v/>
      </c>
      <c r="AW11" s="97" t="str">
        <f>IF($A11="","",IFERROR(INDEX('Base Rates'!$C$4:$I$4,MATCH(MAX($J11,'Technical Premium'!$C$18),'Base Rates'!$C$3:$I$3,1)),"?"))</f>
        <v/>
      </c>
      <c r="AX11" s="99" t="str">
        <f>IF($A11="","",IFERROR(INDEX('Base Rates'!$C$5:$I$16,MATCH($I11,'Base Rates'!$B$5:$B$16,0),MATCH(MAX($J11,'Technical Premium'!$C$18),'Base Rates'!$C$3:$I$3,1)),"?"))</f>
        <v/>
      </c>
      <c r="AY11" s="100" t="str">
        <f t="shared" si="1"/>
        <v/>
      </c>
      <c r="AZ11" s="97" t="str">
        <f>IF($A11="","",IFERROR(INDEX('Make Factors'!$G$5:$G$69,MATCH($F11,'Make Factors'!$B$5:$B$69,0)),"?"))</f>
        <v/>
      </c>
      <c r="BA11" s="97" t="str">
        <f>IF($A11="","",IFERROR(INDEX('Driver Factors'!$C$6:$C$15,MATCH($R11,'Driver Factors'!$B$6:$B$15,0)),"?"))</f>
        <v/>
      </c>
      <c r="BB11" s="97" t="str">
        <f>IF($A11="","",IFERROR(INDEX('Driver Factors'!$C$19:$C$24,MATCH($S11,'Driver Factors'!$B$19:$B$24,0)),"?"))</f>
        <v/>
      </c>
      <c r="BC11" s="97" t="str">
        <f>IF($A11="","",IFERROR(INDEX('Driver Factors'!$C$28:$C$36,MATCH($T11,'Driver Factors'!$B$28:$B$36,0)),"?"))</f>
        <v/>
      </c>
      <c r="BD11" s="97" t="str">
        <f>IF($A11="","",IFERROR(INDEX('Claims History'!$C$6:$C$15,MATCH($U11,'Claims History'!$B$6:$B$15,0)),"?"))</f>
        <v/>
      </c>
      <c r="BE11" s="97" t="str">
        <f>IF($A11="","",IFERROR(INDEX('Territory Factors'!$E$6:$E$56,MATCH($K11,'Territory Factors'!$B$6:$B$56,0)),"?"))</f>
        <v/>
      </c>
      <c r="BF11" s="97" t="str">
        <f>IF($A11="","",IFERROR(INDEX('City Accident Ratings'!$G$6:$G$54,MATCH($Z11,'City Accident Ratings'!$B$6:$B$54,0)),"?"))</f>
        <v/>
      </c>
      <c r="BG11" s="97" t="str">
        <f>IF($A11="","",IFERROR(INDEX('Usage and Coverage'!$D$6:$D$20,MATCH($N11,'Usage and Coverage'!$C$6:$C$20,0)),"?"))</f>
        <v/>
      </c>
      <c r="BH11" s="97" t="str">
        <f>IF($A11="","",IFERROR(INDEX('Usage and Coverage'!$C$24:$C$30,MATCH($O11,'Usage and Coverage'!$B$24:$B$30,0)),"?"))</f>
        <v/>
      </c>
      <c r="BI11" s="97" t="str">
        <f>IF($A11="","",IFERROR(INDEX('Usage and Coverage'!$C$34:$C$40,MATCH($P11,'Usage and Coverage'!$B$34:$B$40,0)),"?"))</f>
        <v/>
      </c>
      <c r="BJ11" s="97" t="str">
        <f>IF($A11="","",IFERROR(INDEX('Usage and Coverage'!$C$44:$C$49,MATCH($Q11,'Usage and Coverage'!$B$44:$B$49,0)),"?"))</f>
        <v/>
      </c>
      <c r="BK11" s="97" t="str">
        <f>IF($A11="","",IFERROR(INDEX(Deductibles!$C$6:$I$15,MATCH($W11,Deductibles!$B$6:$B$15,0),MATCH(MAX($J11,'Technical Premium'!$C$18),'Base Rates'!$C$3:$I$3,1)),"?"))</f>
        <v/>
      </c>
      <c r="BL11" s="97" t="str">
        <f>IF($A11="","",IFERROR(INDEX('Usage and Coverage'!$C$63:$C$66,MATCH($X11,'Usage and Coverage'!$B$63:$B$66,0)),"?"))</f>
        <v/>
      </c>
      <c r="BM11" s="97" t="str">
        <f>IF($A11="","",IFERROR(INDEX('Usage and Coverage'!$C$70:$C$75,MATCH($V11,'Usage and Coverage'!$B$70:$B$75,0)),"?"))</f>
        <v/>
      </c>
      <c r="BN11" s="97" t="str">
        <f>IF($A11="","",IF($AB11="",1,IFERROR(INDEX(Deductibles!$C$48:$C$51,MATCH($AB11,Deductibles!$B$48:$B$51,0)),"?")))</f>
        <v/>
      </c>
      <c r="BO11" s="97" t="str">
        <f>IF($A11="","",IF($AC11="",1,IFERROR(INDEX(Deductibles!$C$55:$C$57,MATCH($AC11,Deductibles!$B$55:$B$57,0)),"?")))</f>
        <v/>
      </c>
      <c r="BP11" s="97" t="str">
        <f>IF($A11="","",IF($AD11="",1,IFERROR(INDEX(Deductibles!$C$61:$C$63,MATCH($AD11,Deductibles!$B$61:$B$63,0)),"?")))</f>
        <v/>
      </c>
      <c r="BQ11" s="97" t="str">
        <f>IF($A11="","",IF($AE11="",1,IFERROR(INDEX(Deductibles!$C$67:$C$69,MATCH($AE11,Deductibles!$B$67:$B$69,0)),"?")))</f>
        <v/>
      </c>
      <c r="BR11" s="97" t="str">
        <f>IF($A11="","",IF($AF11="",1,IFERROR(INDEX(Deductibles!$C$73:$C$74,MATCH($AF11,Deductibles!$B$73:$B$74,0)),"?")))</f>
        <v/>
      </c>
      <c r="BS11" s="97" t="str">
        <f>IF($A11="","",IF($AG11="",1,IFERROR(INDEX('Sublimits and Parts'!$C$49:$C$52,MATCH($AG11,'Sublimits and Parts'!$B$49:$B$52,0)),"?")))</f>
        <v/>
      </c>
      <c r="BT11" s="97" t="str">
        <f>IF($A11="","",IF($AH11="",1,IFERROR(INDEX('Sublimits and Parts'!$C$56:$C$60,MATCH($AH11,'Sublimits and Parts'!$B$56:$B$60,0)),"?")))</f>
        <v/>
      </c>
      <c r="BU11" s="97" t="str">
        <f>IF($A11="","",IF($AI11="",1,IFERROR(INDEX('Sublimits and Parts'!$C$64:$C$67,MATCH($AI11,'Sublimits and Parts'!$B$64:$B$67,0)),"?")))</f>
        <v/>
      </c>
      <c r="BV11" s="97" t="str">
        <f>IF($A11="","",IF($AJ11="",1,IFERROR(INDEX('Sublimits and Parts'!$C$71:$C$74,MATCH($AJ11,'Sublimits and Parts'!$B$71:$B$74,0)),"?")))</f>
        <v/>
      </c>
      <c r="BW11" s="97" t="str">
        <f>IF($A11="","",IF($AK11="",1,IFERROR(INDEX('Sublimits and Parts'!$C$78:$C$80,MATCH($AK11,'Sublimits and Parts'!$B$78:$B$80,0)),"?")))</f>
        <v/>
      </c>
      <c r="BX11" s="97" t="str">
        <f>IF($A11="","",IF($AL11="",1,IFERROR(INDEX('Sublimits and Parts'!$C$84:$C$87,MATCH($AL11,'Sublimits and Parts'!$B$84:$B$87,0)),"?")))</f>
        <v/>
      </c>
      <c r="BY11" s="97" t="str">
        <f>IF($A11="","",IF($AM11="",1,IFERROR(INDEX('Sublimits and Parts'!$C$91:$C$94,MATCH($AM11,'Sublimits and Parts'!$B$91:$B$94,0)),"?")))</f>
        <v/>
      </c>
      <c r="BZ11" s="97" t="str">
        <f>IF($A11="","",IF($AN11="",1,IFERROR(INDEX('Sublimits and Parts'!$C$98:$C$101,MATCH($AN11,'Sublimits and Parts'!$B$98:$B$101,0)),"?")))</f>
        <v/>
      </c>
      <c r="CA11" s="97" t="str">
        <f>IF($A11="","",IF($AO11="",1,IFERROR(INDEX('Sublimits and Parts'!$C$105:$C$109,MATCH($AO11,'Sublimits and Parts'!$B$105:$B$109,0)),"?")))</f>
        <v/>
      </c>
      <c r="CB11" s="98" t="str">
        <f t="shared" si="2"/>
        <v/>
      </c>
      <c r="CC11" s="98" t="str">
        <f t="shared" si="3"/>
        <v/>
      </c>
      <c r="CD11" s="101" t="str">
        <f>IF($A11="","",IF(OR($CB11="?",$CC11="?"),"?",MIN($CB11*$CC11,'Technical Premium'!$C$17)))</f>
        <v/>
      </c>
      <c r="CE11" s="100" t="str">
        <f t="shared" si="4"/>
        <v/>
      </c>
      <c r="CF11" s="100" t="str">
        <f>IF($A11="","",IFERROR(INDEX('Territory Factors'!$F$6:$F$56,MATCH($K11,'Territory Factors'!$B$6:$B$56,0)),"?"))</f>
        <v/>
      </c>
      <c r="CG11" s="98" t="str">
        <f>IF($A11="","",IFERROR(INDEX('Usage and Coverage'!$C$79:$C$84,MATCH($Y11,'Usage and Coverage'!$B$79:$B$84,0)),"?"))</f>
        <v/>
      </c>
      <c r="CH11" s="100" t="str">
        <f>IFERROR(IF(ISNUMBER($CD11),$CF11*$CG11*MIN($BG11*$BA11*$BC11*$BD11*$BH11*$BF11,'Technical Premium'!$C$17),""),"")</f>
        <v/>
      </c>
      <c r="CI11" s="100" t="str">
        <f t="shared" si="5"/>
        <v/>
      </c>
      <c r="CJ11" s="100" t="str">
        <f>IFERROR($CI11*(1+'Technical Premium'!$C$5)*(1+'Technical Premium'!$C$6),"")</f>
        <v/>
      </c>
      <c r="CK11" s="100" t="str">
        <f>IFERROR($CE11*INDEX('Territory Factors'!$G$6:$G$56,MATCH($K11,'Territory Factors'!$B$6:$B$56,0))*$AU11*$AV11,"")</f>
        <v/>
      </c>
      <c r="CL11" s="100" t="str">
        <f>IFERROR(($CJ11+$CK11)*(1+'Technical Premium'!$C$7),"")</f>
        <v/>
      </c>
      <c r="CM11" s="102" t="str">
        <f>IFERROR($CL11/'Technical Premium'!$C$13,"")</f>
        <v/>
      </c>
      <c r="CN11" s="103" t="str">
        <f t="shared" si="6"/>
        <v/>
      </c>
      <c r="CO11" s="102" t="str">
        <f t="shared" si="7"/>
        <v/>
      </c>
      <c r="CP11" s="103" t="str">
        <f t="shared" si="8"/>
        <v/>
      </c>
      <c r="CQ11" s="104" t="str">
        <f t="shared" si="9"/>
        <v/>
      </c>
      <c r="CR11" s="100" t="str">
        <f>IF(ISNUMBER($CM11),'Technical Premium'!$C$14+IF($J11&gt;=1000000,'Technical Premium'!$C$15,0),"")</f>
        <v/>
      </c>
      <c r="CS11" s="100" t="str">
        <f>IFERROR(($CO11+$CR11)*(INDEX('Territory Factors'!$K$6:$K$56,MATCH($K11,'Territory Factors'!$B$6:$B$56,0))+'Commission Structure'!$C$21),"")</f>
        <v/>
      </c>
      <c r="CT11" s="102" t="str">
        <f t="shared" si="10"/>
        <v/>
      </c>
      <c r="CU11" s="100" t="str">
        <f>IFERROR($CO11*('Commission Structure'!$C$6+'Commission Structure'!$C$7),"")</f>
        <v/>
      </c>
      <c r="CV11" s="100" t="str">
        <f>IFERROR($CO11*'Commission Structure'!$C$5-$CU11,"")</f>
        <v/>
      </c>
      <c r="CW11" s="100" t="str">
        <f>IFERROR($CO11*(1-'Commission Structure'!$C$5),"")</f>
        <v/>
      </c>
      <c r="CX11" s="105" t="str">
        <f>IF($A11="","",IF(OR($CB11="?",$CC11="?",NOT(ISNUMBER($AU11))),"CHECK INPUTS",IF(OR($J11&lt;'Technical Premium'!$C$18,LEFT(IFERROR(INDEX('Driver Factors'!$D$6:$D$15,MATCH($R11,'Driver Factors'!$B$6:$B$15,0)),""),7)="DECLINE",LEFT(IFERROR(INDEX('Driver Factors'!$D$28:$D$36,MATCH($T11,'Driver Factors'!$B$28:$B$36,0)),""),7)="DECLINE",LEFT(IFERROR(INDEX('Claims History'!$D$6:$D$15,MATCH($U11,'Claims History'!$B$6:$B$15,0)),""),7)="DECLINE",LEFT(IFERROR(INDEX('Usage and Coverage'!$E$6:$E$20,MATCH($N11,'Usage and Coverage'!$C$6:$C$20,0)),""),7)="DECLINE"),"DECLINE",IF(OR($CD11&gt;2.5,$CD11&gt;='Technical Premium'!$C$17,$J11&gt;='Technical Premium'!$C$16,N($AQ11)&lt;'Technical Premium'!$C$19,N($AQ11)&gt;'Technical Premium'!$C$20,LEFT(IFERROR(INDEX('Driver Factors'!$D$6:$D$15,MATCH($R11,'Driver Factors'!$B$6:$B$15,0)),""),5)="Refer",LEFT(IFERROR(INDEX('Driver Factors'!$D$28:$D$36,MATCH($T11,'Driver Factors'!$B$28:$B$36,0)),""),5)="Refer",LEFT(IFERROR(INDEX('Claims History'!$D$6:$D$15,MATCH($U11,'Claims History'!$B$6:$B$15,0)),""),5)="Refer",LEFT(IFERROR(INDEX('Usage and Coverage'!$E$6:$E$20,MATCH($N11,'Usage and Coverage'!$C$6:$C$20,0)),""),5)="Refer"),"REFER","AUTO-BIND"))))</f>
        <v/>
      </c>
      <c r="CY11" s="106" t="str">
        <f t="shared" si="11"/>
        <v/>
      </c>
      <c r="CZ11" s="97" t="str">
        <f>IF($CY11="","",IF($CY11&lt;'Technical Premium'!$C$19,"BEYOND AUTHORITY",IF($CY11&gt;0.005,"Above technical",IF($CY11&lt;-0.005,"BELOW technical","At technical"))))</f>
        <v/>
      </c>
      <c r="DA11" s="97" t="str">
        <f>IF($A11="","",IF($CX11="AUTO-BIND","",TRIM(IF($J11&lt;'Technical Premium'!$C$18,"Below programme minimum agreed value. ","")&amp;IF(N($AQ11)&lt;'Technical Premium'!$C$19,"DISCOUNT AUTHORITY BREACH. ","")&amp;IF(N($AQ11)&gt;'Technical Premium'!$C$20,"Load authority breach. ","")&amp;IF($J11&gt;='Technical Premium'!$C$16,"Agreed value at or above auto-bind limit. ","")&amp;IF(AND(ISNUMBER($CD11),$CD11&gt;='Technical Premium'!$C$17),"Composite factor at cap. ","")&amp;IF(AND(ISNUMBER($CD11),$CD11&gt;2.5),"Composite factor above 2.50. ","")&amp;IF(LEFT(IFERROR(INDEX('Driver Factors'!$D$6:$D$15,MATCH($R11,'Driver Factors'!$B$6:$B$15,0)),""),7)="DECLINE","DECLINE - driver age. ",IF(LEFT(IFERROR(INDEX('Driver Factors'!$D$6:$D$15,MATCH($R11,'Driver Factors'!$B$6:$B$15,0)),""),5)="Refer","Driver age band. ",""))&amp;IF(LEFT(IFERROR(INDEX('Driver Factors'!$D$28:$D$36,MATCH($T11,'Driver Factors'!$B$28:$B$36,0)),""),7)="DECLINE","DECLINE - MVR. ",IF(LEFT(IFERROR(INDEX('Driver Factors'!$D$28:$D$36,MATCH($T11,'Driver Factors'!$B$28:$B$36,0)),""),5)="Refer","MVR record. ",""))&amp;IF(LEFT(IFERROR(INDEX('Claims History'!$D$6:$D$15,MATCH($U11,'Claims History'!$B$6:$B$15,0)),""),7)="DECLINE","DECLINE - claims. ",IF(LEFT(IFERROR(INDEX('Claims History'!$D$6:$D$15,MATCH($U11,'Claims History'!$B$6:$B$15,0)),""),5)="Refer","Claims history. ",""))&amp;IF(LEFT(IFERROR(INDEX('Usage and Coverage'!$E$6:$E$20,MATCH($N11,'Usage and Coverage'!$C$6:$C$20,0)),""),7)="DECLINE","DECLINE - usage class. ",IF(LEFT(IFERROR(INDEX('Usage and Coverage'!$E$6:$E$20,MATCH($N11,'Usage and Coverage'!$C$6:$C$20,0)),""),5)="Refer","Usage class. ",""))&amp;IF($CX11="CHECK INPUTS","Incomplete inputs. ",""))))</f>
        <v/>
      </c>
      <c r="DB11" s="92"/>
      <c r="DC11" s="92"/>
      <c r="DD11" s="93"/>
      <c r="DE11" s="92"/>
      <c r="DF11" s="92"/>
      <c r="DG11" s="97" t="str">
        <f t="shared" si="12"/>
        <v/>
      </c>
      <c r="DH11" s="97" t="str">
        <f>IF($A11="","",IF(OR($CX11="REFER",$CX11="DECLINE"),COUNTIF($CX$5:$CX11,"REFER")+COUNTIF($CX$5:$CX11,"DECLINE"),""))</f>
        <v/>
      </c>
      <c r="DI11" s="92"/>
    </row>
    <row r="12" spans="1:113" x14ac:dyDescent="0.25">
      <c r="A12" s="92"/>
      <c r="B12" s="92"/>
      <c r="C12" s="93"/>
      <c r="D12" s="93"/>
      <c r="E12" s="94"/>
      <c r="F12" s="92"/>
      <c r="G12" s="92"/>
      <c r="H12" s="92"/>
      <c r="I12" s="92"/>
      <c r="J12" s="95"/>
      <c r="K12" s="92"/>
      <c r="L12" s="92"/>
      <c r="M12" s="92"/>
      <c r="N12" s="92"/>
      <c r="O12" s="92"/>
      <c r="P12" s="92"/>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6"/>
      <c r="AR12" s="97" t="str">
        <f t="shared" si="0"/>
        <v/>
      </c>
      <c r="AS12" s="97" t="str">
        <f>IF($A12="","",IF($AP12&lt;&gt;"",$AP12,IFERROR(INDEX('Cat Zone by ZIP'!$D$6:$D$856,MATCH($AR12,'Cat Zone by ZIP'!$B$6:$B$856,0)),IFERROR(INDEX('Cat Zone by ZIP'!$C$860:$C$910,MATCH($K12,'Cat Zone by ZIP'!$B$860:$B$910,0)),"NOT FOUND"))))</f>
        <v/>
      </c>
      <c r="AT12" s="97" t="str">
        <f>IF($A12="","",IF($AP12&lt;&gt;"","Override",IF(ISNUMBER(MATCH($AR12,'Cat Zone by ZIP'!$B$6:$B$856,0)),"ZIP-3","State default")))</f>
        <v/>
      </c>
      <c r="AU12" s="98" t="str">
        <f>IF($A12="","",IFERROR(INDEX('Natural Catastrophe'!$D$6:$D$17,MATCH($AS12,'Natural Catastrophe'!$B$6:$B$17,0)),"?"))</f>
        <v/>
      </c>
      <c r="AV12" s="98" t="str">
        <f>IF($A12="","",IFERROR(INDEX('Natural Catastrophe'!$C$21:$C$26,MATCH($AA12,'Natural Catastrophe'!$B$21:$B$26,0)),"?"))</f>
        <v/>
      </c>
      <c r="AW12" s="97" t="str">
        <f>IF($A12="","",IFERROR(INDEX('Base Rates'!$C$4:$I$4,MATCH(MAX($J12,'Technical Premium'!$C$18),'Base Rates'!$C$3:$I$3,1)),"?"))</f>
        <v/>
      </c>
      <c r="AX12" s="99" t="str">
        <f>IF($A12="","",IFERROR(INDEX('Base Rates'!$C$5:$I$16,MATCH($I12,'Base Rates'!$B$5:$B$16,0),MATCH(MAX($J12,'Technical Premium'!$C$18),'Base Rates'!$C$3:$I$3,1)),"?"))</f>
        <v/>
      </c>
      <c r="AY12" s="100" t="str">
        <f t="shared" si="1"/>
        <v/>
      </c>
      <c r="AZ12" s="97" t="str">
        <f>IF($A12="","",IFERROR(INDEX('Make Factors'!$G$5:$G$69,MATCH($F12,'Make Factors'!$B$5:$B$69,0)),"?"))</f>
        <v/>
      </c>
      <c r="BA12" s="97" t="str">
        <f>IF($A12="","",IFERROR(INDEX('Driver Factors'!$C$6:$C$15,MATCH($R12,'Driver Factors'!$B$6:$B$15,0)),"?"))</f>
        <v/>
      </c>
      <c r="BB12" s="97" t="str">
        <f>IF($A12="","",IFERROR(INDEX('Driver Factors'!$C$19:$C$24,MATCH($S12,'Driver Factors'!$B$19:$B$24,0)),"?"))</f>
        <v/>
      </c>
      <c r="BC12" s="97" t="str">
        <f>IF($A12="","",IFERROR(INDEX('Driver Factors'!$C$28:$C$36,MATCH($T12,'Driver Factors'!$B$28:$B$36,0)),"?"))</f>
        <v/>
      </c>
      <c r="BD12" s="97" t="str">
        <f>IF($A12="","",IFERROR(INDEX('Claims History'!$C$6:$C$15,MATCH($U12,'Claims History'!$B$6:$B$15,0)),"?"))</f>
        <v/>
      </c>
      <c r="BE12" s="97" t="str">
        <f>IF($A12="","",IFERROR(INDEX('Territory Factors'!$E$6:$E$56,MATCH($K12,'Territory Factors'!$B$6:$B$56,0)),"?"))</f>
        <v/>
      </c>
      <c r="BF12" s="97" t="str">
        <f>IF($A12="","",IFERROR(INDEX('City Accident Ratings'!$G$6:$G$54,MATCH($Z12,'City Accident Ratings'!$B$6:$B$54,0)),"?"))</f>
        <v/>
      </c>
      <c r="BG12" s="97" t="str">
        <f>IF($A12="","",IFERROR(INDEX('Usage and Coverage'!$D$6:$D$20,MATCH($N12,'Usage and Coverage'!$C$6:$C$20,0)),"?"))</f>
        <v/>
      </c>
      <c r="BH12" s="97" t="str">
        <f>IF($A12="","",IFERROR(INDEX('Usage and Coverage'!$C$24:$C$30,MATCH($O12,'Usage and Coverage'!$B$24:$B$30,0)),"?"))</f>
        <v/>
      </c>
      <c r="BI12" s="97" t="str">
        <f>IF($A12="","",IFERROR(INDEX('Usage and Coverage'!$C$34:$C$40,MATCH($P12,'Usage and Coverage'!$B$34:$B$40,0)),"?"))</f>
        <v/>
      </c>
      <c r="BJ12" s="97" t="str">
        <f>IF($A12="","",IFERROR(INDEX('Usage and Coverage'!$C$44:$C$49,MATCH($Q12,'Usage and Coverage'!$B$44:$B$49,0)),"?"))</f>
        <v/>
      </c>
      <c r="BK12" s="97" t="str">
        <f>IF($A12="","",IFERROR(INDEX(Deductibles!$C$6:$I$15,MATCH($W12,Deductibles!$B$6:$B$15,0),MATCH(MAX($J12,'Technical Premium'!$C$18),'Base Rates'!$C$3:$I$3,1)),"?"))</f>
        <v/>
      </c>
      <c r="BL12" s="97" t="str">
        <f>IF($A12="","",IFERROR(INDEX('Usage and Coverage'!$C$63:$C$66,MATCH($X12,'Usage and Coverage'!$B$63:$B$66,0)),"?"))</f>
        <v/>
      </c>
      <c r="BM12" s="97" t="str">
        <f>IF($A12="","",IFERROR(INDEX('Usage and Coverage'!$C$70:$C$75,MATCH($V12,'Usage and Coverage'!$B$70:$B$75,0)),"?"))</f>
        <v/>
      </c>
      <c r="BN12" s="97" t="str">
        <f>IF($A12="","",IF($AB12="",1,IFERROR(INDEX(Deductibles!$C$48:$C$51,MATCH($AB12,Deductibles!$B$48:$B$51,0)),"?")))</f>
        <v/>
      </c>
      <c r="BO12" s="97" t="str">
        <f>IF($A12="","",IF($AC12="",1,IFERROR(INDEX(Deductibles!$C$55:$C$57,MATCH($AC12,Deductibles!$B$55:$B$57,0)),"?")))</f>
        <v/>
      </c>
      <c r="BP12" s="97" t="str">
        <f>IF($A12="","",IF($AD12="",1,IFERROR(INDEX(Deductibles!$C$61:$C$63,MATCH($AD12,Deductibles!$B$61:$B$63,0)),"?")))</f>
        <v/>
      </c>
      <c r="BQ12" s="97" t="str">
        <f>IF($A12="","",IF($AE12="",1,IFERROR(INDEX(Deductibles!$C$67:$C$69,MATCH($AE12,Deductibles!$B$67:$B$69,0)),"?")))</f>
        <v/>
      </c>
      <c r="BR12" s="97" t="str">
        <f>IF($A12="","",IF($AF12="",1,IFERROR(INDEX(Deductibles!$C$73:$C$74,MATCH($AF12,Deductibles!$B$73:$B$74,0)),"?")))</f>
        <v/>
      </c>
      <c r="BS12" s="97" t="str">
        <f>IF($A12="","",IF($AG12="",1,IFERROR(INDEX('Sublimits and Parts'!$C$49:$C$52,MATCH($AG12,'Sublimits and Parts'!$B$49:$B$52,0)),"?")))</f>
        <v/>
      </c>
      <c r="BT12" s="97" t="str">
        <f>IF($A12="","",IF($AH12="",1,IFERROR(INDEX('Sublimits and Parts'!$C$56:$C$60,MATCH($AH12,'Sublimits and Parts'!$B$56:$B$60,0)),"?")))</f>
        <v/>
      </c>
      <c r="BU12" s="97" t="str">
        <f>IF($A12="","",IF($AI12="",1,IFERROR(INDEX('Sublimits and Parts'!$C$64:$C$67,MATCH($AI12,'Sublimits and Parts'!$B$64:$B$67,0)),"?")))</f>
        <v/>
      </c>
      <c r="BV12" s="97" t="str">
        <f>IF($A12="","",IF($AJ12="",1,IFERROR(INDEX('Sublimits and Parts'!$C$71:$C$74,MATCH($AJ12,'Sublimits and Parts'!$B$71:$B$74,0)),"?")))</f>
        <v/>
      </c>
      <c r="BW12" s="97" t="str">
        <f>IF($A12="","",IF($AK12="",1,IFERROR(INDEX('Sublimits and Parts'!$C$78:$C$80,MATCH($AK12,'Sublimits and Parts'!$B$78:$B$80,0)),"?")))</f>
        <v/>
      </c>
      <c r="BX12" s="97" t="str">
        <f>IF($A12="","",IF($AL12="",1,IFERROR(INDEX('Sublimits and Parts'!$C$84:$C$87,MATCH($AL12,'Sublimits and Parts'!$B$84:$B$87,0)),"?")))</f>
        <v/>
      </c>
      <c r="BY12" s="97" t="str">
        <f>IF($A12="","",IF($AM12="",1,IFERROR(INDEX('Sublimits and Parts'!$C$91:$C$94,MATCH($AM12,'Sublimits and Parts'!$B$91:$B$94,0)),"?")))</f>
        <v/>
      </c>
      <c r="BZ12" s="97" t="str">
        <f>IF($A12="","",IF($AN12="",1,IFERROR(INDEX('Sublimits and Parts'!$C$98:$C$101,MATCH($AN12,'Sublimits and Parts'!$B$98:$B$101,0)),"?")))</f>
        <v/>
      </c>
      <c r="CA12" s="97" t="str">
        <f>IF($A12="","",IF($AO12="",1,IFERROR(INDEX('Sublimits and Parts'!$C$105:$C$109,MATCH($AO12,'Sublimits and Parts'!$B$105:$B$109,0)),"?")))</f>
        <v/>
      </c>
      <c r="CB12" s="98" t="str">
        <f t="shared" si="2"/>
        <v/>
      </c>
      <c r="CC12" s="98" t="str">
        <f t="shared" si="3"/>
        <v/>
      </c>
      <c r="CD12" s="101" t="str">
        <f>IF($A12="","",IF(OR($CB12="?",$CC12="?"),"?",MIN($CB12*$CC12,'Technical Premium'!$C$17)))</f>
        <v/>
      </c>
      <c r="CE12" s="100" t="str">
        <f t="shared" si="4"/>
        <v/>
      </c>
      <c r="CF12" s="100" t="str">
        <f>IF($A12="","",IFERROR(INDEX('Territory Factors'!$F$6:$F$56,MATCH($K12,'Territory Factors'!$B$6:$B$56,0)),"?"))</f>
        <v/>
      </c>
      <c r="CG12" s="98" t="str">
        <f>IF($A12="","",IFERROR(INDEX('Usage and Coverage'!$C$79:$C$84,MATCH($Y12,'Usage and Coverage'!$B$79:$B$84,0)),"?"))</f>
        <v/>
      </c>
      <c r="CH12" s="100" t="str">
        <f>IFERROR(IF(ISNUMBER($CD12),$CF12*$CG12*MIN($BG12*$BA12*$BC12*$BD12*$BH12*$BF12,'Technical Premium'!$C$17),""),"")</f>
        <v/>
      </c>
      <c r="CI12" s="100" t="str">
        <f t="shared" si="5"/>
        <v/>
      </c>
      <c r="CJ12" s="100" t="str">
        <f>IFERROR($CI12*(1+'Technical Premium'!$C$5)*(1+'Technical Premium'!$C$6),"")</f>
        <v/>
      </c>
      <c r="CK12" s="100" t="str">
        <f>IFERROR($CE12*INDEX('Territory Factors'!$G$6:$G$56,MATCH($K12,'Territory Factors'!$B$6:$B$56,0))*$AU12*$AV12,"")</f>
        <v/>
      </c>
      <c r="CL12" s="100" t="str">
        <f>IFERROR(($CJ12+$CK12)*(1+'Technical Premium'!$C$7),"")</f>
        <v/>
      </c>
      <c r="CM12" s="102" t="str">
        <f>IFERROR($CL12/'Technical Premium'!$C$13,"")</f>
        <v/>
      </c>
      <c r="CN12" s="103" t="str">
        <f t="shared" si="6"/>
        <v/>
      </c>
      <c r="CO12" s="102" t="str">
        <f t="shared" si="7"/>
        <v/>
      </c>
      <c r="CP12" s="103" t="str">
        <f t="shared" si="8"/>
        <v/>
      </c>
      <c r="CQ12" s="104" t="str">
        <f t="shared" si="9"/>
        <v/>
      </c>
      <c r="CR12" s="100" t="str">
        <f>IF(ISNUMBER($CM12),'Technical Premium'!$C$14+IF($J12&gt;=1000000,'Technical Premium'!$C$15,0),"")</f>
        <v/>
      </c>
      <c r="CS12" s="100" t="str">
        <f>IFERROR(($CO12+$CR12)*(INDEX('Territory Factors'!$K$6:$K$56,MATCH($K12,'Territory Factors'!$B$6:$B$56,0))+'Commission Structure'!$C$21),"")</f>
        <v/>
      </c>
      <c r="CT12" s="102" t="str">
        <f t="shared" si="10"/>
        <v/>
      </c>
      <c r="CU12" s="100" t="str">
        <f>IFERROR($CO12*('Commission Structure'!$C$6+'Commission Structure'!$C$7),"")</f>
        <v/>
      </c>
      <c r="CV12" s="100" t="str">
        <f>IFERROR($CO12*'Commission Structure'!$C$5-$CU12,"")</f>
        <v/>
      </c>
      <c r="CW12" s="100" t="str">
        <f>IFERROR($CO12*(1-'Commission Structure'!$C$5),"")</f>
        <v/>
      </c>
      <c r="CX12" s="105" t="str">
        <f>IF($A12="","",IF(OR($CB12="?",$CC12="?",NOT(ISNUMBER($AU12))),"CHECK INPUTS",IF(OR($J12&lt;'Technical Premium'!$C$18,LEFT(IFERROR(INDEX('Driver Factors'!$D$6:$D$15,MATCH($R12,'Driver Factors'!$B$6:$B$15,0)),""),7)="DECLINE",LEFT(IFERROR(INDEX('Driver Factors'!$D$28:$D$36,MATCH($T12,'Driver Factors'!$B$28:$B$36,0)),""),7)="DECLINE",LEFT(IFERROR(INDEX('Claims History'!$D$6:$D$15,MATCH($U12,'Claims History'!$B$6:$B$15,0)),""),7)="DECLINE",LEFT(IFERROR(INDEX('Usage and Coverage'!$E$6:$E$20,MATCH($N12,'Usage and Coverage'!$C$6:$C$20,0)),""),7)="DECLINE"),"DECLINE",IF(OR($CD12&gt;2.5,$CD12&gt;='Technical Premium'!$C$17,$J12&gt;='Technical Premium'!$C$16,N($AQ12)&lt;'Technical Premium'!$C$19,N($AQ12)&gt;'Technical Premium'!$C$20,LEFT(IFERROR(INDEX('Driver Factors'!$D$6:$D$15,MATCH($R12,'Driver Factors'!$B$6:$B$15,0)),""),5)="Refer",LEFT(IFERROR(INDEX('Driver Factors'!$D$28:$D$36,MATCH($T12,'Driver Factors'!$B$28:$B$36,0)),""),5)="Refer",LEFT(IFERROR(INDEX('Claims History'!$D$6:$D$15,MATCH($U12,'Claims History'!$B$6:$B$15,0)),""),5)="Refer",LEFT(IFERROR(INDEX('Usage and Coverage'!$E$6:$E$20,MATCH($N12,'Usage and Coverage'!$C$6:$C$20,0)),""),5)="Refer"),"REFER","AUTO-BIND"))))</f>
        <v/>
      </c>
      <c r="CY12" s="106" t="str">
        <f t="shared" si="11"/>
        <v/>
      </c>
      <c r="CZ12" s="97" t="str">
        <f>IF($CY12="","",IF($CY12&lt;'Technical Premium'!$C$19,"BEYOND AUTHORITY",IF($CY12&gt;0.005,"Above technical",IF($CY12&lt;-0.005,"BELOW technical","At technical"))))</f>
        <v/>
      </c>
      <c r="DA12" s="97" t="str">
        <f>IF($A12="","",IF($CX12="AUTO-BIND","",TRIM(IF($J12&lt;'Technical Premium'!$C$18,"Below programme minimum agreed value. ","")&amp;IF(N($AQ12)&lt;'Technical Premium'!$C$19,"DISCOUNT AUTHORITY BREACH. ","")&amp;IF(N($AQ12)&gt;'Technical Premium'!$C$20,"Load authority breach. ","")&amp;IF($J12&gt;='Technical Premium'!$C$16,"Agreed value at or above auto-bind limit. ","")&amp;IF(AND(ISNUMBER($CD12),$CD12&gt;='Technical Premium'!$C$17),"Composite factor at cap. ","")&amp;IF(AND(ISNUMBER($CD12),$CD12&gt;2.5),"Composite factor above 2.50. ","")&amp;IF(LEFT(IFERROR(INDEX('Driver Factors'!$D$6:$D$15,MATCH($R12,'Driver Factors'!$B$6:$B$15,0)),""),7)="DECLINE","DECLINE - driver age. ",IF(LEFT(IFERROR(INDEX('Driver Factors'!$D$6:$D$15,MATCH($R12,'Driver Factors'!$B$6:$B$15,0)),""),5)="Refer","Driver age band. ",""))&amp;IF(LEFT(IFERROR(INDEX('Driver Factors'!$D$28:$D$36,MATCH($T12,'Driver Factors'!$B$28:$B$36,0)),""),7)="DECLINE","DECLINE - MVR. ",IF(LEFT(IFERROR(INDEX('Driver Factors'!$D$28:$D$36,MATCH($T12,'Driver Factors'!$B$28:$B$36,0)),""),5)="Refer","MVR record. ",""))&amp;IF(LEFT(IFERROR(INDEX('Claims History'!$D$6:$D$15,MATCH($U12,'Claims History'!$B$6:$B$15,0)),""),7)="DECLINE","DECLINE - claims. ",IF(LEFT(IFERROR(INDEX('Claims History'!$D$6:$D$15,MATCH($U12,'Claims History'!$B$6:$B$15,0)),""),5)="Refer","Claims history. ",""))&amp;IF(LEFT(IFERROR(INDEX('Usage and Coverage'!$E$6:$E$20,MATCH($N12,'Usage and Coverage'!$C$6:$C$20,0)),""),7)="DECLINE","DECLINE - usage class. ",IF(LEFT(IFERROR(INDEX('Usage and Coverage'!$E$6:$E$20,MATCH($N12,'Usage and Coverage'!$C$6:$C$20,0)),""),5)="Refer","Usage class. ",""))&amp;IF($CX12="CHECK INPUTS","Incomplete inputs. ",""))))</f>
        <v/>
      </c>
      <c r="DB12" s="92"/>
      <c r="DC12" s="92"/>
      <c r="DD12" s="93"/>
      <c r="DE12" s="92"/>
      <c r="DF12" s="92"/>
      <c r="DG12" s="97" t="str">
        <f t="shared" si="12"/>
        <v/>
      </c>
      <c r="DH12" s="97" t="str">
        <f>IF($A12="","",IF(OR($CX12="REFER",$CX12="DECLINE"),COUNTIF($CX$5:$CX12,"REFER")+COUNTIF($CX$5:$CX12,"DECLINE"),""))</f>
        <v/>
      </c>
      <c r="DI12" s="92"/>
    </row>
    <row r="13" spans="1:113" x14ac:dyDescent="0.25">
      <c r="A13" s="92"/>
      <c r="B13" s="92"/>
      <c r="C13" s="93"/>
      <c r="D13" s="93"/>
      <c r="E13" s="94"/>
      <c r="F13" s="92"/>
      <c r="G13" s="92"/>
      <c r="H13" s="92"/>
      <c r="I13" s="92"/>
      <c r="J13" s="95"/>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6"/>
      <c r="AR13" s="97" t="str">
        <f t="shared" si="0"/>
        <v/>
      </c>
      <c r="AS13" s="97" t="str">
        <f>IF($A13="","",IF($AP13&lt;&gt;"",$AP13,IFERROR(INDEX('Cat Zone by ZIP'!$D$6:$D$856,MATCH($AR13,'Cat Zone by ZIP'!$B$6:$B$856,0)),IFERROR(INDEX('Cat Zone by ZIP'!$C$860:$C$910,MATCH($K13,'Cat Zone by ZIP'!$B$860:$B$910,0)),"NOT FOUND"))))</f>
        <v/>
      </c>
      <c r="AT13" s="97" t="str">
        <f>IF($A13="","",IF($AP13&lt;&gt;"","Override",IF(ISNUMBER(MATCH($AR13,'Cat Zone by ZIP'!$B$6:$B$856,0)),"ZIP-3","State default")))</f>
        <v/>
      </c>
      <c r="AU13" s="98" t="str">
        <f>IF($A13="","",IFERROR(INDEX('Natural Catastrophe'!$D$6:$D$17,MATCH($AS13,'Natural Catastrophe'!$B$6:$B$17,0)),"?"))</f>
        <v/>
      </c>
      <c r="AV13" s="98" t="str">
        <f>IF($A13="","",IFERROR(INDEX('Natural Catastrophe'!$C$21:$C$26,MATCH($AA13,'Natural Catastrophe'!$B$21:$B$26,0)),"?"))</f>
        <v/>
      </c>
      <c r="AW13" s="97" t="str">
        <f>IF($A13="","",IFERROR(INDEX('Base Rates'!$C$4:$I$4,MATCH(MAX($J13,'Technical Premium'!$C$18),'Base Rates'!$C$3:$I$3,1)),"?"))</f>
        <v/>
      </c>
      <c r="AX13" s="99" t="str">
        <f>IF($A13="","",IFERROR(INDEX('Base Rates'!$C$5:$I$16,MATCH($I13,'Base Rates'!$B$5:$B$16,0),MATCH(MAX($J13,'Technical Premium'!$C$18),'Base Rates'!$C$3:$I$3,1)),"?"))</f>
        <v/>
      </c>
      <c r="AY13" s="100" t="str">
        <f t="shared" si="1"/>
        <v/>
      </c>
      <c r="AZ13" s="97" t="str">
        <f>IF($A13="","",IFERROR(INDEX('Make Factors'!$G$5:$G$69,MATCH($F13,'Make Factors'!$B$5:$B$69,0)),"?"))</f>
        <v/>
      </c>
      <c r="BA13" s="97" t="str">
        <f>IF($A13="","",IFERROR(INDEX('Driver Factors'!$C$6:$C$15,MATCH($R13,'Driver Factors'!$B$6:$B$15,0)),"?"))</f>
        <v/>
      </c>
      <c r="BB13" s="97" t="str">
        <f>IF($A13="","",IFERROR(INDEX('Driver Factors'!$C$19:$C$24,MATCH($S13,'Driver Factors'!$B$19:$B$24,0)),"?"))</f>
        <v/>
      </c>
      <c r="BC13" s="97" t="str">
        <f>IF($A13="","",IFERROR(INDEX('Driver Factors'!$C$28:$C$36,MATCH($T13,'Driver Factors'!$B$28:$B$36,0)),"?"))</f>
        <v/>
      </c>
      <c r="BD13" s="97" t="str">
        <f>IF($A13="","",IFERROR(INDEX('Claims History'!$C$6:$C$15,MATCH($U13,'Claims History'!$B$6:$B$15,0)),"?"))</f>
        <v/>
      </c>
      <c r="BE13" s="97" t="str">
        <f>IF($A13="","",IFERROR(INDEX('Territory Factors'!$E$6:$E$56,MATCH($K13,'Territory Factors'!$B$6:$B$56,0)),"?"))</f>
        <v/>
      </c>
      <c r="BF13" s="97" t="str">
        <f>IF($A13="","",IFERROR(INDEX('City Accident Ratings'!$G$6:$G$54,MATCH($Z13,'City Accident Ratings'!$B$6:$B$54,0)),"?"))</f>
        <v/>
      </c>
      <c r="BG13" s="97" t="str">
        <f>IF($A13="","",IFERROR(INDEX('Usage and Coverage'!$D$6:$D$20,MATCH($N13,'Usage and Coverage'!$C$6:$C$20,0)),"?"))</f>
        <v/>
      </c>
      <c r="BH13" s="97" t="str">
        <f>IF($A13="","",IFERROR(INDEX('Usage and Coverage'!$C$24:$C$30,MATCH($O13,'Usage and Coverage'!$B$24:$B$30,0)),"?"))</f>
        <v/>
      </c>
      <c r="BI13" s="97" t="str">
        <f>IF($A13="","",IFERROR(INDEX('Usage and Coverage'!$C$34:$C$40,MATCH($P13,'Usage and Coverage'!$B$34:$B$40,0)),"?"))</f>
        <v/>
      </c>
      <c r="BJ13" s="97" t="str">
        <f>IF($A13="","",IFERROR(INDEX('Usage and Coverage'!$C$44:$C$49,MATCH($Q13,'Usage and Coverage'!$B$44:$B$49,0)),"?"))</f>
        <v/>
      </c>
      <c r="BK13" s="97" t="str">
        <f>IF($A13="","",IFERROR(INDEX(Deductibles!$C$6:$I$15,MATCH($W13,Deductibles!$B$6:$B$15,0),MATCH(MAX($J13,'Technical Premium'!$C$18),'Base Rates'!$C$3:$I$3,1)),"?"))</f>
        <v/>
      </c>
      <c r="BL13" s="97" t="str">
        <f>IF($A13="","",IFERROR(INDEX('Usage and Coverage'!$C$63:$C$66,MATCH($X13,'Usage and Coverage'!$B$63:$B$66,0)),"?"))</f>
        <v/>
      </c>
      <c r="BM13" s="97" t="str">
        <f>IF($A13="","",IFERROR(INDEX('Usage and Coverage'!$C$70:$C$75,MATCH($V13,'Usage and Coverage'!$B$70:$B$75,0)),"?"))</f>
        <v/>
      </c>
      <c r="BN13" s="97" t="str">
        <f>IF($A13="","",IF($AB13="",1,IFERROR(INDEX(Deductibles!$C$48:$C$51,MATCH($AB13,Deductibles!$B$48:$B$51,0)),"?")))</f>
        <v/>
      </c>
      <c r="BO13" s="97" t="str">
        <f>IF($A13="","",IF($AC13="",1,IFERROR(INDEX(Deductibles!$C$55:$C$57,MATCH($AC13,Deductibles!$B$55:$B$57,0)),"?")))</f>
        <v/>
      </c>
      <c r="BP13" s="97" t="str">
        <f>IF($A13="","",IF($AD13="",1,IFERROR(INDEX(Deductibles!$C$61:$C$63,MATCH($AD13,Deductibles!$B$61:$B$63,0)),"?")))</f>
        <v/>
      </c>
      <c r="BQ13" s="97" t="str">
        <f>IF($A13="","",IF($AE13="",1,IFERROR(INDEX(Deductibles!$C$67:$C$69,MATCH($AE13,Deductibles!$B$67:$B$69,0)),"?")))</f>
        <v/>
      </c>
      <c r="BR13" s="97" t="str">
        <f>IF($A13="","",IF($AF13="",1,IFERROR(INDEX(Deductibles!$C$73:$C$74,MATCH($AF13,Deductibles!$B$73:$B$74,0)),"?")))</f>
        <v/>
      </c>
      <c r="BS13" s="97" t="str">
        <f>IF($A13="","",IF($AG13="",1,IFERROR(INDEX('Sublimits and Parts'!$C$49:$C$52,MATCH($AG13,'Sublimits and Parts'!$B$49:$B$52,0)),"?")))</f>
        <v/>
      </c>
      <c r="BT13" s="97" t="str">
        <f>IF($A13="","",IF($AH13="",1,IFERROR(INDEX('Sublimits and Parts'!$C$56:$C$60,MATCH($AH13,'Sublimits and Parts'!$B$56:$B$60,0)),"?")))</f>
        <v/>
      </c>
      <c r="BU13" s="97" t="str">
        <f>IF($A13="","",IF($AI13="",1,IFERROR(INDEX('Sublimits and Parts'!$C$64:$C$67,MATCH($AI13,'Sublimits and Parts'!$B$64:$B$67,0)),"?")))</f>
        <v/>
      </c>
      <c r="BV13" s="97" t="str">
        <f>IF($A13="","",IF($AJ13="",1,IFERROR(INDEX('Sublimits and Parts'!$C$71:$C$74,MATCH($AJ13,'Sublimits and Parts'!$B$71:$B$74,0)),"?")))</f>
        <v/>
      </c>
      <c r="BW13" s="97" t="str">
        <f>IF($A13="","",IF($AK13="",1,IFERROR(INDEX('Sublimits and Parts'!$C$78:$C$80,MATCH($AK13,'Sublimits and Parts'!$B$78:$B$80,0)),"?")))</f>
        <v/>
      </c>
      <c r="BX13" s="97" t="str">
        <f>IF($A13="","",IF($AL13="",1,IFERROR(INDEX('Sublimits and Parts'!$C$84:$C$87,MATCH($AL13,'Sublimits and Parts'!$B$84:$B$87,0)),"?")))</f>
        <v/>
      </c>
      <c r="BY13" s="97" t="str">
        <f>IF($A13="","",IF($AM13="",1,IFERROR(INDEX('Sublimits and Parts'!$C$91:$C$94,MATCH($AM13,'Sublimits and Parts'!$B$91:$B$94,0)),"?")))</f>
        <v/>
      </c>
      <c r="BZ13" s="97" t="str">
        <f>IF($A13="","",IF($AN13="",1,IFERROR(INDEX('Sublimits and Parts'!$C$98:$C$101,MATCH($AN13,'Sublimits and Parts'!$B$98:$B$101,0)),"?")))</f>
        <v/>
      </c>
      <c r="CA13" s="97" t="str">
        <f>IF($A13="","",IF($AO13="",1,IFERROR(INDEX('Sublimits and Parts'!$C$105:$C$109,MATCH($AO13,'Sublimits and Parts'!$B$105:$B$109,0)),"?")))</f>
        <v/>
      </c>
      <c r="CB13" s="98" t="str">
        <f t="shared" si="2"/>
        <v/>
      </c>
      <c r="CC13" s="98" t="str">
        <f t="shared" si="3"/>
        <v/>
      </c>
      <c r="CD13" s="101" t="str">
        <f>IF($A13="","",IF(OR($CB13="?",$CC13="?"),"?",MIN($CB13*$CC13,'Technical Premium'!$C$17)))</f>
        <v/>
      </c>
      <c r="CE13" s="100" t="str">
        <f t="shared" si="4"/>
        <v/>
      </c>
      <c r="CF13" s="100" t="str">
        <f>IF($A13="","",IFERROR(INDEX('Territory Factors'!$F$6:$F$56,MATCH($K13,'Territory Factors'!$B$6:$B$56,0)),"?"))</f>
        <v/>
      </c>
      <c r="CG13" s="98" t="str">
        <f>IF($A13="","",IFERROR(INDEX('Usage and Coverage'!$C$79:$C$84,MATCH($Y13,'Usage and Coverage'!$B$79:$B$84,0)),"?"))</f>
        <v/>
      </c>
      <c r="CH13" s="100" t="str">
        <f>IFERROR(IF(ISNUMBER($CD13),$CF13*$CG13*MIN($BG13*$BA13*$BC13*$BD13*$BH13*$BF13,'Technical Premium'!$C$17),""),"")</f>
        <v/>
      </c>
      <c r="CI13" s="100" t="str">
        <f t="shared" si="5"/>
        <v/>
      </c>
      <c r="CJ13" s="100" t="str">
        <f>IFERROR($CI13*(1+'Technical Premium'!$C$5)*(1+'Technical Premium'!$C$6),"")</f>
        <v/>
      </c>
      <c r="CK13" s="100" t="str">
        <f>IFERROR($CE13*INDEX('Territory Factors'!$G$6:$G$56,MATCH($K13,'Territory Factors'!$B$6:$B$56,0))*$AU13*$AV13,"")</f>
        <v/>
      </c>
      <c r="CL13" s="100" t="str">
        <f>IFERROR(($CJ13+$CK13)*(1+'Technical Premium'!$C$7),"")</f>
        <v/>
      </c>
      <c r="CM13" s="102" t="str">
        <f>IFERROR($CL13/'Technical Premium'!$C$13,"")</f>
        <v/>
      </c>
      <c r="CN13" s="103" t="str">
        <f t="shared" si="6"/>
        <v/>
      </c>
      <c r="CO13" s="102" t="str">
        <f t="shared" si="7"/>
        <v/>
      </c>
      <c r="CP13" s="103" t="str">
        <f t="shared" si="8"/>
        <v/>
      </c>
      <c r="CQ13" s="104" t="str">
        <f t="shared" si="9"/>
        <v/>
      </c>
      <c r="CR13" s="100" t="str">
        <f>IF(ISNUMBER($CM13),'Technical Premium'!$C$14+IF($J13&gt;=1000000,'Technical Premium'!$C$15,0),"")</f>
        <v/>
      </c>
      <c r="CS13" s="100" t="str">
        <f>IFERROR(($CO13+$CR13)*(INDEX('Territory Factors'!$K$6:$K$56,MATCH($K13,'Territory Factors'!$B$6:$B$56,0))+'Commission Structure'!$C$21),"")</f>
        <v/>
      </c>
      <c r="CT13" s="102" t="str">
        <f t="shared" si="10"/>
        <v/>
      </c>
      <c r="CU13" s="100" t="str">
        <f>IFERROR($CO13*('Commission Structure'!$C$6+'Commission Structure'!$C$7),"")</f>
        <v/>
      </c>
      <c r="CV13" s="100" t="str">
        <f>IFERROR($CO13*'Commission Structure'!$C$5-$CU13,"")</f>
        <v/>
      </c>
      <c r="CW13" s="100" t="str">
        <f>IFERROR($CO13*(1-'Commission Structure'!$C$5),"")</f>
        <v/>
      </c>
      <c r="CX13" s="105" t="str">
        <f>IF($A13="","",IF(OR($CB13="?",$CC13="?",NOT(ISNUMBER($AU13))),"CHECK INPUTS",IF(OR($J13&lt;'Technical Premium'!$C$18,LEFT(IFERROR(INDEX('Driver Factors'!$D$6:$D$15,MATCH($R13,'Driver Factors'!$B$6:$B$15,0)),""),7)="DECLINE",LEFT(IFERROR(INDEX('Driver Factors'!$D$28:$D$36,MATCH($T13,'Driver Factors'!$B$28:$B$36,0)),""),7)="DECLINE",LEFT(IFERROR(INDEX('Claims History'!$D$6:$D$15,MATCH($U13,'Claims History'!$B$6:$B$15,0)),""),7)="DECLINE",LEFT(IFERROR(INDEX('Usage and Coverage'!$E$6:$E$20,MATCH($N13,'Usage and Coverage'!$C$6:$C$20,0)),""),7)="DECLINE"),"DECLINE",IF(OR($CD13&gt;2.5,$CD13&gt;='Technical Premium'!$C$17,$J13&gt;='Technical Premium'!$C$16,N($AQ13)&lt;'Technical Premium'!$C$19,N($AQ13)&gt;'Technical Premium'!$C$20,LEFT(IFERROR(INDEX('Driver Factors'!$D$6:$D$15,MATCH($R13,'Driver Factors'!$B$6:$B$15,0)),""),5)="Refer",LEFT(IFERROR(INDEX('Driver Factors'!$D$28:$D$36,MATCH($T13,'Driver Factors'!$B$28:$B$36,0)),""),5)="Refer",LEFT(IFERROR(INDEX('Claims History'!$D$6:$D$15,MATCH($U13,'Claims History'!$B$6:$B$15,0)),""),5)="Refer",LEFT(IFERROR(INDEX('Usage and Coverage'!$E$6:$E$20,MATCH($N13,'Usage and Coverage'!$C$6:$C$20,0)),""),5)="Refer"),"REFER","AUTO-BIND"))))</f>
        <v/>
      </c>
      <c r="CY13" s="106" t="str">
        <f t="shared" si="11"/>
        <v/>
      </c>
      <c r="CZ13" s="97" t="str">
        <f>IF($CY13="","",IF($CY13&lt;'Technical Premium'!$C$19,"BEYOND AUTHORITY",IF($CY13&gt;0.005,"Above technical",IF($CY13&lt;-0.005,"BELOW technical","At technical"))))</f>
        <v/>
      </c>
      <c r="DA13" s="97" t="str">
        <f>IF($A13="","",IF($CX13="AUTO-BIND","",TRIM(IF($J13&lt;'Technical Premium'!$C$18,"Below programme minimum agreed value. ","")&amp;IF(N($AQ13)&lt;'Technical Premium'!$C$19,"DISCOUNT AUTHORITY BREACH. ","")&amp;IF(N($AQ13)&gt;'Technical Premium'!$C$20,"Load authority breach. ","")&amp;IF($J13&gt;='Technical Premium'!$C$16,"Agreed value at or above auto-bind limit. ","")&amp;IF(AND(ISNUMBER($CD13),$CD13&gt;='Technical Premium'!$C$17),"Composite factor at cap. ","")&amp;IF(AND(ISNUMBER($CD13),$CD13&gt;2.5),"Composite factor above 2.50. ","")&amp;IF(LEFT(IFERROR(INDEX('Driver Factors'!$D$6:$D$15,MATCH($R13,'Driver Factors'!$B$6:$B$15,0)),""),7)="DECLINE","DECLINE - driver age. ",IF(LEFT(IFERROR(INDEX('Driver Factors'!$D$6:$D$15,MATCH($R13,'Driver Factors'!$B$6:$B$15,0)),""),5)="Refer","Driver age band. ",""))&amp;IF(LEFT(IFERROR(INDEX('Driver Factors'!$D$28:$D$36,MATCH($T13,'Driver Factors'!$B$28:$B$36,0)),""),7)="DECLINE","DECLINE - MVR. ",IF(LEFT(IFERROR(INDEX('Driver Factors'!$D$28:$D$36,MATCH($T13,'Driver Factors'!$B$28:$B$36,0)),""),5)="Refer","MVR record. ",""))&amp;IF(LEFT(IFERROR(INDEX('Claims History'!$D$6:$D$15,MATCH($U13,'Claims History'!$B$6:$B$15,0)),""),7)="DECLINE","DECLINE - claims. ",IF(LEFT(IFERROR(INDEX('Claims History'!$D$6:$D$15,MATCH($U13,'Claims History'!$B$6:$B$15,0)),""),5)="Refer","Claims history. ",""))&amp;IF(LEFT(IFERROR(INDEX('Usage and Coverage'!$E$6:$E$20,MATCH($N13,'Usage and Coverage'!$C$6:$C$20,0)),""),7)="DECLINE","DECLINE - usage class. ",IF(LEFT(IFERROR(INDEX('Usage and Coverage'!$E$6:$E$20,MATCH($N13,'Usage and Coverage'!$C$6:$C$20,0)),""),5)="Refer","Usage class. ",""))&amp;IF($CX13="CHECK INPUTS","Incomplete inputs. ",""))))</f>
        <v/>
      </c>
      <c r="DB13" s="92"/>
      <c r="DC13" s="92"/>
      <c r="DD13" s="93"/>
      <c r="DE13" s="92"/>
      <c r="DF13" s="92"/>
      <c r="DG13" s="97" t="str">
        <f t="shared" si="12"/>
        <v/>
      </c>
      <c r="DH13" s="97" t="str">
        <f>IF($A13="","",IF(OR($CX13="REFER",$CX13="DECLINE"),COUNTIF($CX$5:$CX13,"REFER")+COUNTIF($CX$5:$CX13,"DECLINE"),""))</f>
        <v/>
      </c>
      <c r="DI13" s="92"/>
    </row>
    <row r="14" spans="1:113" x14ac:dyDescent="0.25">
      <c r="A14" s="92"/>
      <c r="B14" s="92"/>
      <c r="C14" s="93"/>
      <c r="D14" s="93"/>
      <c r="E14" s="94"/>
      <c r="F14" s="92"/>
      <c r="G14" s="92"/>
      <c r="H14" s="92"/>
      <c r="I14" s="92"/>
      <c r="J14" s="95"/>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6"/>
      <c r="AR14" s="97" t="str">
        <f t="shared" si="0"/>
        <v/>
      </c>
      <c r="AS14" s="97" t="str">
        <f>IF($A14="","",IF($AP14&lt;&gt;"",$AP14,IFERROR(INDEX('Cat Zone by ZIP'!$D$6:$D$856,MATCH($AR14,'Cat Zone by ZIP'!$B$6:$B$856,0)),IFERROR(INDEX('Cat Zone by ZIP'!$C$860:$C$910,MATCH($K14,'Cat Zone by ZIP'!$B$860:$B$910,0)),"NOT FOUND"))))</f>
        <v/>
      </c>
      <c r="AT14" s="97" t="str">
        <f>IF($A14="","",IF($AP14&lt;&gt;"","Override",IF(ISNUMBER(MATCH($AR14,'Cat Zone by ZIP'!$B$6:$B$856,0)),"ZIP-3","State default")))</f>
        <v/>
      </c>
      <c r="AU14" s="98" t="str">
        <f>IF($A14="","",IFERROR(INDEX('Natural Catastrophe'!$D$6:$D$17,MATCH($AS14,'Natural Catastrophe'!$B$6:$B$17,0)),"?"))</f>
        <v/>
      </c>
      <c r="AV14" s="98" t="str">
        <f>IF($A14="","",IFERROR(INDEX('Natural Catastrophe'!$C$21:$C$26,MATCH($AA14,'Natural Catastrophe'!$B$21:$B$26,0)),"?"))</f>
        <v/>
      </c>
      <c r="AW14" s="97" t="str">
        <f>IF($A14="","",IFERROR(INDEX('Base Rates'!$C$4:$I$4,MATCH(MAX($J14,'Technical Premium'!$C$18),'Base Rates'!$C$3:$I$3,1)),"?"))</f>
        <v/>
      </c>
      <c r="AX14" s="99" t="str">
        <f>IF($A14="","",IFERROR(INDEX('Base Rates'!$C$5:$I$16,MATCH($I14,'Base Rates'!$B$5:$B$16,0),MATCH(MAX($J14,'Technical Premium'!$C$18),'Base Rates'!$C$3:$I$3,1)),"?"))</f>
        <v/>
      </c>
      <c r="AY14" s="100" t="str">
        <f t="shared" si="1"/>
        <v/>
      </c>
      <c r="AZ14" s="97" t="str">
        <f>IF($A14="","",IFERROR(INDEX('Make Factors'!$G$5:$G$69,MATCH($F14,'Make Factors'!$B$5:$B$69,0)),"?"))</f>
        <v/>
      </c>
      <c r="BA14" s="97" t="str">
        <f>IF($A14="","",IFERROR(INDEX('Driver Factors'!$C$6:$C$15,MATCH($R14,'Driver Factors'!$B$6:$B$15,0)),"?"))</f>
        <v/>
      </c>
      <c r="BB14" s="97" t="str">
        <f>IF($A14="","",IFERROR(INDEX('Driver Factors'!$C$19:$C$24,MATCH($S14,'Driver Factors'!$B$19:$B$24,0)),"?"))</f>
        <v/>
      </c>
      <c r="BC14" s="97" t="str">
        <f>IF($A14="","",IFERROR(INDEX('Driver Factors'!$C$28:$C$36,MATCH($T14,'Driver Factors'!$B$28:$B$36,0)),"?"))</f>
        <v/>
      </c>
      <c r="BD14" s="97" t="str">
        <f>IF($A14="","",IFERROR(INDEX('Claims History'!$C$6:$C$15,MATCH($U14,'Claims History'!$B$6:$B$15,0)),"?"))</f>
        <v/>
      </c>
      <c r="BE14" s="97" t="str">
        <f>IF($A14="","",IFERROR(INDEX('Territory Factors'!$E$6:$E$56,MATCH($K14,'Territory Factors'!$B$6:$B$56,0)),"?"))</f>
        <v/>
      </c>
      <c r="BF14" s="97" t="str">
        <f>IF($A14="","",IFERROR(INDEX('City Accident Ratings'!$G$6:$G$54,MATCH($Z14,'City Accident Ratings'!$B$6:$B$54,0)),"?"))</f>
        <v/>
      </c>
      <c r="BG14" s="97" t="str">
        <f>IF($A14="","",IFERROR(INDEX('Usage and Coverage'!$D$6:$D$20,MATCH($N14,'Usage and Coverage'!$C$6:$C$20,0)),"?"))</f>
        <v/>
      </c>
      <c r="BH14" s="97" t="str">
        <f>IF($A14="","",IFERROR(INDEX('Usage and Coverage'!$C$24:$C$30,MATCH($O14,'Usage and Coverage'!$B$24:$B$30,0)),"?"))</f>
        <v/>
      </c>
      <c r="BI14" s="97" t="str">
        <f>IF($A14="","",IFERROR(INDEX('Usage and Coverage'!$C$34:$C$40,MATCH($P14,'Usage and Coverage'!$B$34:$B$40,0)),"?"))</f>
        <v/>
      </c>
      <c r="BJ14" s="97" t="str">
        <f>IF($A14="","",IFERROR(INDEX('Usage and Coverage'!$C$44:$C$49,MATCH($Q14,'Usage and Coverage'!$B$44:$B$49,0)),"?"))</f>
        <v/>
      </c>
      <c r="BK14" s="97" t="str">
        <f>IF($A14="","",IFERROR(INDEX(Deductibles!$C$6:$I$15,MATCH($W14,Deductibles!$B$6:$B$15,0),MATCH(MAX($J14,'Technical Premium'!$C$18),'Base Rates'!$C$3:$I$3,1)),"?"))</f>
        <v/>
      </c>
      <c r="BL14" s="97" t="str">
        <f>IF($A14="","",IFERROR(INDEX('Usage and Coverage'!$C$63:$C$66,MATCH($X14,'Usage and Coverage'!$B$63:$B$66,0)),"?"))</f>
        <v/>
      </c>
      <c r="BM14" s="97" t="str">
        <f>IF($A14="","",IFERROR(INDEX('Usage and Coverage'!$C$70:$C$75,MATCH($V14,'Usage and Coverage'!$B$70:$B$75,0)),"?"))</f>
        <v/>
      </c>
      <c r="BN14" s="97" t="str">
        <f>IF($A14="","",IF($AB14="",1,IFERROR(INDEX(Deductibles!$C$48:$C$51,MATCH($AB14,Deductibles!$B$48:$B$51,0)),"?")))</f>
        <v/>
      </c>
      <c r="BO14" s="97" t="str">
        <f>IF($A14="","",IF($AC14="",1,IFERROR(INDEX(Deductibles!$C$55:$C$57,MATCH($AC14,Deductibles!$B$55:$B$57,0)),"?")))</f>
        <v/>
      </c>
      <c r="BP14" s="97" t="str">
        <f>IF($A14="","",IF($AD14="",1,IFERROR(INDEX(Deductibles!$C$61:$C$63,MATCH($AD14,Deductibles!$B$61:$B$63,0)),"?")))</f>
        <v/>
      </c>
      <c r="BQ14" s="97" t="str">
        <f>IF($A14="","",IF($AE14="",1,IFERROR(INDEX(Deductibles!$C$67:$C$69,MATCH($AE14,Deductibles!$B$67:$B$69,0)),"?")))</f>
        <v/>
      </c>
      <c r="BR14" s="97" t="str">
        <f>IF($A14="","",IF($AF14="",1,IFERROR(INDEX(Deductibles!$C$73:$C$74,MATCH($AF14,Deductibles!$B$73:$B$74,0)),"?")))</f>
        <v/>
      </c>
      <c r="BS14" s="97" t="str">
        <f>IF($A14="","",IF($AG14="",1,IFERROR(INDEX('Sublimits and Parts'!$C$49:$C$52,MATCH($AG14,'Sublimits and Parts'!$B$49:$B$52,0)),"?")))</f>
        <v/>
      </c>
      <c r="BT14" s="97" t="str">
        <f>IF($A14="","",IF($AH14="",1,IFERROR(INDEX('Sublimits and Parts'!$C$56:$C$60,MATCH($AH14,'Sublimits and Parts'!$B$56:$B$60,0)),"?")))</f>
        <v/>
      </c>
      <c r="BU14" s="97" t="str">
        <f>IF($A14="","",IF($AI14="",1,IFERROR(INDEX('Sublimits and Parts'!$C$64:$C$67,MATCH($AI14,'Sublimits and Parts'!$B$64:$B$67,0)),"?")))</f>
        <v/>
      </c>
      <c r="BV14" s="97" t="str">
        <f>IF($A14="","",IF($AJ14="",1,IFERROR(INDEX('Sublimits and Parts'!$C$71:$C$74,MATCH($AJ14,'Sublimits and Parts'!$B$71:$B$74,0)),"?")))</f>
        <v/>
      </c>
      <c r="BW14" s="97" t="str">
        <f>IF($A14="","",IF($AK14="",1,IFERROR(INDEX('Sublimits and Parts'!$C$78:$C$80,MATCH($AK14,'Sublimits and Parts'!$B$78:$B$80,0)),"?")))</f>
        <v/>
      </c>
      <c r="BX14" s="97" t="str">
        <f>IF($A14="","",IF($AL14="",1,IFERROR(INDEX('Sublimits and Parts'!$C$84:$C$87,MATCH($AL14,'Sublimits and Parts'!$B$84:$B$87,0)),"?")))</f>
        <v/>
      </c>
      <c r="BY14" s="97" t="str">
        <f>IF($A14="","",IF($AM14="",1,IFERROR(INDEX('Sublimits and Parts'!$C$91:$C$94,MATCH($AM14,'Sublimits and Parts'!$B$91:$B$94,0)),"?")))</f>
        <v/>
      </c>
      <c r="BZ14" s="97" t="str">
        <f>IF($A14="","",IF($AN14="",1,IFERROR(INDEX('Sublimits and Parts'!$C$98:$C$101,MATCH($AN14,'Sublimits and Parts'!$B$98:$B$101,0)),"?")))</f>
        <v/>
      </c>
      <c r="CA14" s="97" t="str">
        <f>IF($A14="","",IF($AO14="",1,IFERROR(INDEX('Sublimits and Parts'!$C$105:$C$109,MATCH($AO14,'Sublimits and Parts'!$B$105:$B$109,0)),"?")))</f>
        <v/>
      </c>
      <c r="CB14" s="98" t="str">
        <f t="shared" si="2"/>
        <v/>
      </c>
      <c r="CC14" s="98" t="str">
        <f t="shared" si="3"/>
        <v/>
      </c>
      <c r="CD14" s="101" t="str">
        <f>IF($A14="","",IF(OR($CB14="?",$CC14="?"),"?",MIN($CB14*$CC14,'Technical Premium'!$C$17)))</f>
        <v/>
      </c>
      <c r="CE14" s="100" t="str">
        <f t="shared" si="4"/>
        <v/>
      </c>
      <c r="CF14" s="100" t="str">
        <f>IF($A14="","",IFERROR(INDEX('Territory Factors'!$F$6:$F$56,MATCH($K14,'Territory Factors'!$B$6:$B$56,0)),"?"))</f>
        <v/>
      </c>
      <c r="CG14" s="98" t="str">
        <f>IF($A14="","",IFERROR(INDEX('Usage and Coverage'!$C$79:$C$84,MATCH($Y14,'Usage and Coverage'!$B$79:$B$84,0)),"?"))</f>
        <v/>
      </c>
      <c r="CH14" s="100" t="str">
        <f>IFERROR(IF(ISNUMBER($CD14),$CF14*$CG14*MIN($BG14*$BA14*$BC14*$BD14*$BH14*$BF14,'Technical Premium'!$C$17),""),"")</f>
        <v/>
      </c>
      <c r="CI14" s="100" t="str">
        <f t="shared" si="5"/>
        <v/>
      </c>
      <c r="CJ14" s="100" t="str">
        <f>IFERROR($CI14*(1+'Technical Premium'!$C$5)*(1+'Technical Premium'!$C$6),"")</f>
        <v/>
      </c>
      <c r="CK14" s="100" t="str">
        <f>IFERROR($CE14*INDEX('Territory Factors'!$G$6:$G$56,MATCH($K14,'Territory Factors'!$B$6:$B$56,0))*$AU14*$AV14,"")</f>
        <v/>
      </c>
      <c r="CL14" s="100" t="str">
        <f>IFERROR(($CJ14+$CK14)*(1+'Technical Premium'!$C$7),"")</f>
        <v/>
      </c>
      <c r="CM14" s="102" t="str">
        <f>IFERROR($CL14/'Technical Premium'!$C$13,"")</f>
        <v/>
      </c>
      <c r="CN14" s="103" t="str">
        <f t="shared" si="6"/>
        <v/>
      </c>
      <c r="CO14" s="102" t="str">
        <f t="shared" si="7"/>
        <v/>
      </c>
      <c r="CP14" s="103" t="str">
        <f t="shared" si="8"/>
        <v/>
      </c>
      <c r="CQ14" s="104" t="str">
        <f t="shared" si="9"/>
        <v/>
      </c>
      <c r="CR14" s="100" t="str">
        <f>IF(ISNUMBER($CM14),'Technical Premium'!$C$14+IF($J14&gt;=1000000,'Technical Premium'!$C$15,0),"")</f>
        <v/>
      </c>
      <c r="CS14" s="100" t="str">
        <f>IFERROR(($CO14+$CR14)*(INDEX('Territory Factors'!$K$6:$K$56,MATCH($K14,'Territory Factors'!$B$6:$B$56,0))+'Commission Structure'!$C$21),"")</f>
        <v/>
      </c>
      <c r="CT14" s="102" t="str">
        <f t="shared" si="10"/>
        <v/>
      </c>
      <c r="CU14" s="100" t="str">
        <f>IFERROR($CO14*('Commission Structure'!$C$6+'Commission Structure'!$C$7),"")</f>
        <v/>
      </c>
      <c r="CV14" s="100" t="str">
        <f>IFERROR($CO14*'Commission Structure'!$C$5-$CU14,"")</f>
        <v/>
      </c>
      <c r="CW14" s="100" t="str">
        <f>IFERROR($CO14*(1-'Commission Structure'!$C$5),"")</f>
        <v/>
      </c>
      <c r="CX14" s="105" t="str">
        <f>IF($A14="","",IF(OR($CB14="?",$CC14="?",NOT(ISNUMBER($AU14))),"CHECK INPUTS",IF(OR($J14&lt;'Technical Premium'!$C$18,LEFT(IFERROR(INDEX('Driver Factors'!$D$6:$D$15,MATCH($R14,'Driver Factors'!$B$6:$B$15,0)),""),7)="DECLINE",LEFT(IFERROR(INDEX('Driver Factors'!$D$28:$D$36,MATCH($T14,'Driver Factors'!$B$28:$B$36,0)),""),7)="DECLINE",LEFT(IFERROR(INDEX('Claims History'!$D$6:$D$15,MATCH($U14,'Claims History'!$B$6:$B$15,0)),""),7)="DECLINE",LEFT(IFERROR(INDEX('Usage and Coverage'!$E$6:$E$20,MATCH($N14,'Usage and Coverage'!$C$6:$C$20,0)),""),7)="DECLINE"),"DECLINE",IF(OR($CD14&gt;2.5,$CD14&gt;='Technical Premium'!$C$17,$J14&gt;='Technical Premium'!$C$16,N($AQ14)&lt;'Technical Premium'!$C$19,N($AQ14)&gt;'Technical Premium'!$C$20,LEFT(IFERROR(INDEX('Driver Factors'!$D$6:$D$15,MATCH($R14,'Driver Factors'!$B$6:$B$15,0)),""),5)="Refer",LEFT(IFERROR(INDEX('Driver Factors'!$D$28:$D$36,MATCH($T14,'Driver Factors'!$B$28:$B$36,0)),""),5)="Refer",LEFT(IFERROR(INDEX('Claims History'!$D$6:$D$15,MATCH($U14,'Claims History'!$B$6:$B$15,0)),""),5)="Refer",LEFT(IFERROR(INDEX('Usage and Coverage'!$E$6:$E$20,MATCH($N14,'Usage and Coverage'!$C$6:$C$20,0)),""),5)="Refer"),"REFER","AUTO-BIND"))))</f>
        <v/>
      </c>
      <c r="CY14" s="106" t="str">
        <f t="shared" si="11"/>
        <v/>
      </c>
      <c r="CZ14" s="97" t="str">
        <f>IF($CY14="","",IF($CY14&lt;'Technical Premium'!$C$19,"BEYOND AUTHORITY",IF($CY14&gt;0.005,"Above technical",IF($CY14&lt;-0.005,"BELOW technical","At technical"))))</f>
        <v/>
      </c>
      <c r="DA14" s="97" t="str">
        <f>IF($A14="","",IF($CX14="AUTO-BIND","",TRIM(IF($J14&lt;'Technical Premium'!$C$18,"Below programme minimum agreed value. ","")&amp;IF(N($AQ14)&lt;'Technical Premium'!$C$19,"DISCOUNT AUTHORITY BREACH. ","")&amp;IF(N($AQ14)&gt;'Technical Premium'!$C$20,"Load authority breach. ","")&amp;IF($J14&gt;='Technical Premium'!$C$16,"Agreed value at or above auto-bind limit. ","")&amp;IF(AND(ISNUMBER($CD14),$CD14&gt;='Technical Premium'!$C$17),"Composite factor at cap. ","")&amp;IF(AND(ISNUMBER($CD14),$CD14&gt;2.5),"Composite factor above 2.50. ","")&amp;IF(LEFT(IFERROR(INDEX('Driver Factors'!$D$6:$D$15,MATCH($R14,'Driver Factors'!$B$6:$B$15,0)),""),7)="DECLINE","DECLINE - driver age. ",IF(LEFT(IFERROR(INDEX('Driver Factors'!$D$6:$D$15,MATCH($R14,'Driver Factors'!$B$6:$B$15,0)),""),5)="Refer","Driver age band. ",""))&amp;IF(LEFT(IFERROR(INDEX('Driver Factors'!$D$28:$D$36,MATCH($T14,'Driver Factors'!$B$28:$B$36,0)),""),7)="DECLINE","DECLINE - MVR. ",IF(LEFT(IFERROR(INDEX('Driver Factors'!$D$28:$D$36,MATCH($T14,'Driver Factors'!$B$28:$B$36,0)),""),5)="Refer","MVR record. ",""))&amp;IF(LEFT(IFERROR(INDEX('Claims History'!$D$6:$D$15,MATCH($U14,'Claims History'!$B$6:$B$15,0)),""),7)="DECLINE","DECLINE - claims. ",IF(LEFT(IFERROR(INDEX('Claims History'!$D$6:$D$15,MATCH($U14,'Claims History'!$B$6:$B$15,0)),""),5)="Refer","Claims history. ",""))&amp;IF(LEFT(IFERROR(INDEX('Usage and Coverage'!$E$6:$E$20,MATCH($N14,'Usage and Coverage'!$C$6:$C$20,0)),""),7)="DECLINE","DECLINE - usage class. ",IF(LEFT(IFERROR(INDEX('Usage and Coverage'!$E$6:$E$20,MATCH($N14,'Usage and Coverage'!$C$6:$C$20,0)),""),5)="Refer","Usage class. ",""))&amp;IF($CX14="CHECK INPUTS","Incomplete inputs. ",""))))</f>
        <v/>
      </c>
      <c r="DB14" s="92"/>
      <c r="DC14" s="92"/>
      <c r="DD14" s="93"/>
      <c r="DE14" s="92"/>
      <c r="DF14" s="92"/>
      <c r="DG14" s="97" t="str">
        <f t="shared" si="12"/>
        <v/>
      </c>
      <c r="DH14" s="97" t="str">
        <f>IF($A14="","",IF(OR($CX14="REFER",$CX14="DECLINE"),COUNTIF($CX$5:$CX14,"REFER")+COUNTIF($CX$5:$CX14,"DECLINE"),""))</f>
        <v/>
      </c>
      <c r="DI14" s="92"/>
    </row>
    <row r="15" spans="1:113" x14ac:dyDescent="0.25">
      <c r="A15" s="92"/>
      <c r="B15" s="92"/>
      <c r="C15" s="93"/>
      <c r="D15" s="93"/>
      <c r="E15" s="94"/>
      <c r="F15" s="92"/>
      <c r="G15" s="92"/>
      <c r="H15" s="92"/>
      <c r="I15" s="92"/>
      <c r="J15" s="95"/>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6"/>
      <c r="AR15" s="97" t="str">
        <f t="shared" si="0"/>
        <v/>
      </c>
      <c r="AS15" s="97" t="str">
        <f>IF($A15="","",IF($AP15&lt;&gt;"",$AP15,IFERROR(INDEX('Cat Zone by ZIP'!$D$6:$D$856,MATCH($AR15,'Cat Zone by ZIP'!$B$6:$B$856,0)),IFERROR(INDEX('Cat Zone by ZIP'!$C$860:$C$910,MATCH($K15,'Cat Zone by ZIP'!$B$860:$B$910,0)),"NOT FOUND"))))</f>
        <v/>
      </c>
      <c r="AT15" s="97" t="str">
        <f>IF($A15="","",IF($AP15&lt;&gt;"","Override",IF(ISNUMBER(MATCH($AR15,'Cat Zone by ZIP'!$B$6:$B$856,0)),"ZIP-3","State default")))</f>
        <v/>
      </c>
      <c r="AU15" s="98" t="str">
        <f>IF($A15="","",IFERROR(INDEX('Natural Catastrophe'!$D$6:$D$17,MATCH($AS15,'Natural Catastrophe'!$B$6:$B$17,0)),"?"))</f>
        <v/>
      </c>
      <c r="AV15" s="98" t="str">
        <f>IF($A15="","",IFERROR(INDEX('Natural Catastrophe'!$C$21:$C$26,MATCH($AA15,'Natural Catastrophe'!$B$21:$B$26,0)),"?"))</f>
        <v/>
      </c>
      <c r="AW15" s="97" t="str">
        <f>IF($A15="","",IFERROR(INDEX('Base Rates'!$C$4:$I$4,MATCH(MAX($J15,'Technical Premium'!$C$18),'Base Rates'!$C$3:$I$3,1)),"?"))</f>
        <v/>
      </c>
      <c r="AX15" s="99" t="str">
        <f>IF($A15="","",IFERROR(INDEX('Base Rates'!$C$5:$I$16,MATCH($I15,'Base Rates'!$B$5:$B$16,0),MATCH(MAX($J15,'Technical Premium'!$C$18),'Base Rates'!$C$3:$I$3,1)),"?"))</f>
        <v/>
      </c>
      <c r="AY15" s="100" t="str">
        <f t="shared" si="1"/>
        <v/>
      </c>
      <c r="AZ15" s="97" t="str">
        <f>IF($A15="","",IFERROR(INDEX('Make Factors'!$G$5:$G$69,MATCH($F15,'Make Factors'!$B$5:$B$69,0)),"?"))</f>
        <v/>
      </c>
      <c r="BA15" s="97" t="str">
        <f>IF($A15="","",IFERROR(INDEX('Driver Factors'!$C$6:$C$15,MATCH($R15,'Driver Factors'!$B$6:$B$15,0)),"?"))</f>
        <v/>
      </c>
      <c r="BB15" s="97" t="str">
        <f>IF($A15="","",IFERROR(INDEX('Driver Factors'!$C$19:$C$24,MATCH($S15,'Driver Factors'!$B$19:$B$24,0)),"?"))</f>
        <v/>
      </c>
      <c r="BC15" s="97" t="str">
        <f>IF($A15="","",IFERROR(INDEX('Driver Factors'!$C$28:$C$36,MATCH($T15,'Driver Factors'!$B$28:$B$36,0)),"?"))</f>
        <v/>
      </c>
      <c r="BD15" s="97" t="str">
        <f>IF($A15="","",IFERROR(INDEX('Claims History'!$C$6:$C$15,MATCH($U15,'Claims History'!$B$6:$B$15,0)),"?"))</f>
        <v/>
      </c>
      <c r="BE15" s="97" t="str">
        <f>IF($A15="","",IFERROR(INDEX('Territory Factors'!$E$6:$E$56,MATCH($K15,'Territory Factors'!$B$6:$B$56,0)),"?"))</f>
        <v/>
      </c>
      <c r="BF15" s="97" t="str">
        <f>IF($A15="","",IFERROR(INDEX('City Accident Ratings'!$G$6:$G$54,MATCH($Z15,'City Accident Ratings'!$B$6:$B$54,0)),"?"))</f>
        <v/>
      </c>
      <c r="BG15" s="97" t="str">
        <f>IF($A15="","",IFERROR(INDEX('Usage and Coverage'!$D$6:$D$20,MATCH($N15,'Usage and Coverage'!$C$6:$C$20,0)),"?"))</f>
        <v/>
      </c>
      <c r="BH15" s="97" t="str">
        <f>IF($A15="","",IFERROR(INDEX('Usage and Coverage'!$C$24:$C$30,MATCH($O15,'Usage and Coverage'!$B$24:$B$30,0)),"?"))</f>
        <v/>
      </c>
      <c r="BI15" s="97" t="str">
        <f>IF($A15="","",IFERROR(INDEX('Usage and Coverage'!$C$34:$C$40,MATCH($P15,'Usage and Coverage'!$B$34:$B$40,0)),"?"))</f>
        <v/>
      </c>
      <c r="BJ15" s="97" t="str">
        <f>IF($A15="","",IFERROR(INDEX('Usage and Coverage'!$C$44:$C$49,MATCH($Q15,'Usage and Coverage'!$B$44:$B$49,0)),"?"))</f>
        <v/>
      </c>
      <c r="BK15" s="97" t="str">
        <f>IF($A15="","",IFERROR(INDEX(Deductibles!$C$6:$I$15,MATCH($W15,Deductibles!$B$6:$B$15,0),MATCH(MAX($J15,'Technical Premium'!$C$18),'Base Rates'!$C$3:$I$3,1)),"?"))</f>
        <v/>
      </c>
      <c r="BL15" s="97" t="str">
        <f>IF($A15="","",IFERROR(INDEX('Usage and Coverage'!$C$63:$C$66,MATCH($X15,'Usage and Coverage'!$B$63:$B$66,0)),"?"))</f>
        <v/>
      </c>
      <c r="BM15" s="97" t="str">
        <f>IF($A15="","",IFERROR(INDEX('Usage and Coverage'!$C$70:$C$75,MATCH($V15,'Usage and Coverage'!$B$70:$B$75,0)),"?"))</f>
        <v/>
      </c>
      <c r="BN15" s="97" t="str">
        <f>IF($A15="","",IF($AB15="",1,IFERROR(INDEX(Deductibles!$C$48:$C$51,MATCH($AB15,Deductibles!$B$48:$B$51,0)),"?")))</f>
        <v/>
      </c>
      <c r="BO15" s="97" t="str">
        <f>IF($A15="","",IF($AC15="",1,IFERROR(INDEX(Deductibles!$C$55:$C$57,MATCH($AC15,Deductibles!$B$55:$B$57,0)),"?")))</f>
        <v/>
      </c>
      <c r="BP15" s="97" t="str">
        <f>IF($A15="","",IF($AD15="",1,IFERROR(INDEX(Deductibles!$C$61:$C$63,MATCH($AD15,Deductibles!$B$61:$B$63,0)),"?")))</f>
        <v/>
      </c>
      <c r="BQ15" s="97" t="str">
        <f>IF($A15="","",IF($AE15="",1,IFERROR(INDEX(Deductibles!$C$67:$C$69,MATCH($AE15,Deductibles!$B$67:$B$69,0)),"?")))</f>
        <v/>
      </c>
      <c r="BR15" s="97" t="str">
        <f>IF($A15="","",IF($AF15="",1,IFERROR(INDEX(Deductibles!$C$73:$C$74,MATCH($AF15,Deductibles!$B$73:$B$74,0)),"?")))</f>
        <v/>
      </c>
      <c r="BS15" s="97" t="str">
        <f>IF($A15="","",IF($AG15="",1,IFERROR(INDEX('Sublimits and Parts'!$C$49:$C$52,MATCH($AG15,'Sublimits and Parts'!$B$49:$B$52,0)),"?")))</f>
        <v/>
      </c>
      <c r="BT15" s="97" t="str">
        <f>IF($A15="","",IF($AH15="",1,IFERROR(INDEX('Sublimits and Parts'!$C$56:$C$60,MATCH($AH15,'Sublimits and Parts'!$B$56:$B$60,0)),"?")))</f>
        <v/>
      </c>
      <c r="BU15" s="97" t="str">
        <f>IF($A15="","",IF($AI15="",1,IFERROR(INDEX('Sublimits and Parts'!$C$64:$C$67,MATCH($AI15,'Sublimits and Parts'!$B$64:$B$67,0)),"?")))</f>
        <v/>
      </c>
      <c r="BV15" s="97" t="str">
        <f>IF($A15="","",IF($AJ15="",1,IFERROR(INDEX('Sublimits and Parts'!$C$71:$C$74,MATCH($AJ15,'Sublimits and Parts'!$B$71:$B$74,0)),"?")))</f>
        <v/>
      </c>
      <c r="BW15" s="97" t="str">
        <f>IF($A15="","",IF($AK15="",1,IFERROR(INDEX('Sublimits and Parts'!$C$78:$C$80,MATCH($AK15,'Sublimits and Parts'!$B$78:$B$80,0)),"?")))</f>
        <v/>
      </c>
      <c r="BX15" s="97" t="str">
        <f>IF($A15="","",IF($AL15="",1,IFERROR(INDEX('Sublimits and Parts'!$C$84:$C$87,MATCH($AL15,'Sublimits and Parts'!$B$84:$B$87,0)),"?")))</f>
        <v/>
      </c>
      <c r="BY15" s="97" t="str">
        <f>IF($A15="","",IF($AM15="",1,IFERROR(INDEX('Sublimits and Parts'!$C$91:$C$94,MATCH($AM15,'Sublimits and Parts'!$B$91:$B$94,0)),"?")))</f>
        <v/>
      </c>
      <c r="BZ15" s="97" t="str">
        <f>IF($A15="","",IF($AN15="",1,IFERROR(INDEX('Sublimits and Parts'!$C$98:$C$101,MATCH($AN15,'Sublimits and Parts'!$B$98:$B$101,0)),"?")))</f>
        <v/>
      </c>
      <c r="CA15" s="97" t="str">
        <f>IF($A15="","",IF($AO15="",1,IFERROR(INDEX('Sublimits and Parts'!$C$105:$C$109,MATCH($AO15,'Sublimits and Parts'!$B$105:$B$109,0)),"?")))</f>
        <v/>
      </c>
      <c r="CB15" s="98" t="str">
        <f t="shared" si="2"/>
        <v/>
      </c>
      <c r="CC15" s="98" t="str">
        <f t="shared" si="3"/>
        <v/>
      </c>
      <c r="CD15" s="101" t="str">
        <f>IF($A15="","",IF(OR($CB15="?",$CC15="?"),"?",MIN($CB15*$CC15,'Technical Premium'!$C$17)))</f>
        <v/>
      </c>
      <c r="CE15" s="100" t="str">
        <f t="shared" si="4"/>
        <v/>
      </c>
      <c r="CF15" s="100" t="str">
        <f>IF($A15="","",IFERROR(INDEX('Territory Factors'!$F$6:$F$56,MATCH($K15,'Territory Factors'!$B$6:$B$56,0)),"?"))</f>
        <v/>
      </c>
      <c r="CG15" s="98" t="str">
        <f>IF($A15="","",IFERROR(INDEX('Usage and Coverage'!$C$79:$C$84,MATCH($Y15,'Usage and Coverage'!$B$79:$B$84,0)),"?"))</f>
        <v/>
      </c>
      <c r="CH15" s="100" t="str">
        <f>IFERROR(IF(ISNUMBER($CD15),$CF15*$CG15*MIN($BG15*$BA15*$BC15*$BD15*$BH15*$BF15,'Technical Premium'!$C$17),""),"")</f>
        <v/>
      </c>
      <c r="CI15" s="100" t="str">
        <f t="shared" si="5"/>
        <v/>
      </c>
      <c r="CJ15" s="100" t="str">
        <f>IFERROR($CI15*(1+'Technical Premium'!$C$5)*(1+'Technical Premium'!$C$6),"")</f>
        <v/>
      </c>
      <c r="CK15" s="100" t="str">
        <f>IFERROR($CE15*INDEX('Territory Factors'!$G$6:$G$56,MATCH($K15,'Territory Factors'!$B$6:$B$56,0))*$AU15*$AV15,"")</f>
        <v/>
      </c>
      <c r="CL15" s="100" t="str">
        <f>IFERROR(($CJ15+$CK15)*(1+'Technical Premium'!$C$7),"")</f>
        <v/>
      </c>
      <c r="CM15" s="102" t="str">
        <f>IFERROR($CL15/'Technical Premium'!$C$13,"")</f>
        <v/>
      </c>
      <c r="CN15" s="103" t="str">
        <f t="shared" si="6"/>
        <v/>
      </c>
      <c r="CO15" s="102" t="str">
        <f t="shared" si="7"/>
        <v/>
      </c>
      <c r="CP15" s="103" t="str">
        <f t="shared" si="8"/>
        <v/>
      </c>
      <c r="CQ15" s="104" t="str">
        <f t="shared" si="9"/>
        <v/>
      </c>
      <c r="CR15" s="100" t="str">
        <f>IF(ISNUMBER($CM15),'Technical Premium'!$C$14+IF($J15&gt;=1000000,'Technical Premium'!$C$15,0),"")</f>
        <v/>
      </c>
      <c r="CS15" s="100" t="str">
        <f>IFERROR(($CO15+$CR15)*(INDEX('Territory Factors'!$K$6:$K$56,MATCH($K15,'Territory Factors'!$B$6:$B$56,0))+'Commission Structure'!$C$21),"")</f>
        <v/>
      </c>
      <c r="CT15" s="102" t="str">
        <f t="shared" si="10"/>
        <v/>
      </c>
      <c r="CU15" s="100" t="str">
        <f>IFERROR($CO15*('Commission Structure'!$C$6+'Commission Structure'!$C$7),"")</f>
        <v/>
      </c>
      <c r="CV15" s="100" t="str">
        <f>IFERROR($CO15*'Commission Structure'!$C$5-$CU15,"")</f>
        <v/>
      </c>
      <c r="CW15" s="100" t="str">
        <f>IFERROR($CO15*(1-'Commission Structure'!$C$5),"")</f>
        <v/>
      </c>
      <c r="CX15" s="105" t="str">
        <f>IF($A15="","",IF(OR($CB15="?",$CC15="?",NOT(ISNUMBER($AU15))),"CHECK INPUTS",IF(OR($J15&lt;'Technical Premium'!$C$18,LEFT(IFERROR(INDEX('Driver Factors'!$D$6:$D$15,MATCH($R15,'Driver Factors'!$B$6:$B$15,0)),""),7)="DECLINE",LEFT(IFERROR(INDEX('Driver Factors'!$D$28:$D$36,MATCH($T15,'Driver Factors'!$B$28:$B$36,0)),""),7)="DECLINE",LEFT(IFERROR(INDEX('Claims History'!$D$6:$D$15,MATCH($U15,'Claims History'!$B$6:$B$15,0)),""),7)="DECLINE",LEFT(IFERROR(INDEX('Usage and Coverage'!$E$6:$E$20,MATCH($N15,'Usage and Coverage'!$C$6:$C$20,0)),""),7)="DECLINE"),"DECLINE",IF(OR($CD15&gt;2.5,$CD15&gt;='Technical Premium'!$C$17,$J15&gt;='Technical Premium'!$C$16,N($AQ15)&lt;'Technical Premium'!$C$19,N($AQ15)&gt;'Technical Premium'!$C$20,LEFT(IFERROR(INDEX('Driver Factors'!$D$6:$D$15,MATCH($R15,'Driver Factors'!$B$6:$B$15,0)),""),5)="Refer",LEFT(IFERROR(INDEX('Driver Factors'!$D$28:$D$36,MATCH($T15,'Driver Factors'!$B$28:$B$36,0)),""),5)="Refer",LEFT(IFERROR(INDEX('Claims History'!$D$6:$D$15,MATCH($U15,'Claims History'!$B$6:$B$15,0)),""),5)="Refer",LEFT(IFERROR(INDEX('Usage and Coverage'!$E$6:$E$20,MATCH($N15,'Usage and Coverage'!$C$6:$C$20,0)),""),5)="Refer"),"REFER","AUTO-BIND"))))</f>
        <v/>
      </c>
      <c r="CY15" s="106" t="str">
        <f t="shared" si="11"/>
        <v/>
      </c>
      <c r="CZ15" s="97" t="str">
        <f>IF($CY15="","",IF($CY15&lt;'Technical Premium'!$C$19,"BEYOND AUTHORITY",IF($CY15&gt;0.005,"Above technical",IF($CY15&lt;-0.005,"BELOW technical","At technical"))))</f>
        <v/>
      </c>
      <c r="DA15" s="97" t="str">
        <f>IF($A15="","",IF($CX15="AUTO-BIND","",TRIM(IF($J15&lt;'Technical Premium'!$C$18,"Below programme minimum agreed value. ","")&amp;IF(N($AQ15)&lt;'Technical Premium'!$C$19,"DISCOUNT AUTHORITY BREACH. ","")&amp;IF(N($AQ15)&gt;'Technical Premium'!$C$20,"Load authority breach. ","")&amp;IF($J15&gt;='Technical Premium'!$C$16,"Agreed value at or above auto-bind limit. ","")&amp;IF(AND(ISNUMBER($CD15),$CD15&gt;='Technical Premium'!$C$17),"Composite factor at cap. ","")&amp;IF(AND(ISNUMBER($CD15),$CD15&gt;2.5),"Composite factor above 2.50. ","")&amp;IF(LEFT(IFERROR(INDEX('Driver Factors'!$D$6:$D$15,MATCH($R15,'Driver Factors'!$B$6:$B$15,0)),""),7)="DECLINE","DECLINE - driver age. ",IF(LEFT(IFERROR(INDEX('Driver Factors'!$D$6:$D$15,MATCH($R15,'Driver Factors'!$B$6:$B$15,0)),""),5)="Refer","Driver age band. ",""))&amp;IF(LEFT(IFERROR(INDEX('Driver Factors'!$D$28:$D$36,MATCH($T15,'Driver Factors'!$B$28:$B$36,0)),""),7)="DECLINE","DECLINE - MVR. ",IF(LEFT(IFERROR(INDEX('Driver Factors'!$D$28:$D$36,MATCH($T15,'Driver Factors'!$B$28:$B$36,0)),""),5)="Refer","MVR record. ",""))&amp;IF(LEFT(IFERROR(INDEX('Claims History'!$D$6:$D$15,MATCH($U15,'Claims History'!$B$6:$B$15,0)),""),7)="DECLINE","DECLINE - claims. ",IF(LEFT(IFERROR(INDEX('Claims History'!$D$6:$D$15,MATCH($U15,'Claims History'!$B$6:$B$15,0)),""),5)="Refer","Claims history. ",""))&amp;IF(LEFT(IFERROR(INDEX('Usage and Coverage'!$E$6:$E$20,MATCH($N15,'Usage and Coverage'!$C$6:$C$20,0)),""),7)="DECLINE","DECLINE - usage class. ",IF(LEFT(IFERROR(INDEX('Usage and Coverage'!$E$6:$E$20,MATCH($N15,'Usage and Coverage'!$C$6:$C$20,0)),""),5)="Refer","Usage class. ",""))&amp;IF($CX15="CHECK INPUTS","Incomplete inputs. ",""))))</f>
        <v/>
      </c>
      <c r="DB15" s="92"/>
      <c r="DC15" s="92"/>
      <c r="DD15" s="93"/>
      <c r="DE15" s="92"/>
      <c r="DF15" s="92"/>
      <c r="DG15" s="97" t="str">
        <f t="shared" si="12"/>
        <v/>
      </c>
      <c r="DH15" s="97" t="str">
        <f>IF($A15="","",IF(OR($CX15="REFER",$CX15="DECLINE"),COUNTIF($CX$5:$CX15,"REFER")+COUNTIF($CX$5:$CX15,"DECLINE"),""))</f>
        <v/>
      </c>
      <c r="DI15" s="92"/>
    </row>
    <row r="16" spans="1:113" x14ac:dyDescent="0.25">
      <c r="A16" s="92"/>
      <c r="B16" s="92"/>
      <c r="C16" s="93"/>
      <c r="D16" s="93"/>
      <c r="E16" s="94"/>
      <c r="F16" s="92"/>
      <c r="G16" s="92"/>
      <c r="H16" s="92"/>
      <c r="I16" s="92"/>
      <c r="J16" s="95"/>
      <c r="K16" s="92"/>
      <c r="L16" s="92"/>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6"/>
      <c r="AR16" s="97" t="str">
        <f t="shared" si="0"/>
        <v/>
      </c>
      <c r="AS16" s="97" t="str">
        <f>IF($A16="","",IF($AP16&lt;&gt;"",$AP16,IFERROR(INDEX('Cat Zone by ZIP'!$D$6:$D$856,MATCH($AR16,'Cat Zone by ZIP'!$B$6:$B$856,0)),IFERROR(INDEX('Cat Zone by ZIP'!$C$860:$C$910,MATCH($K16,'Cat Zone by ZIP'!$B$860:$B$910,0)),"NOT FOUND"))))</f>
        <v/>
      </c>
      <c r="AT16" s="97" t="str">
        <f>IF($A16="","",IF($AP16&lt;&gt;"","Override",IF(ISNUMBER(MATCH($AR16,'Cat Zone by ZIP'!$B$6:$B$856,0)),"ZIP-3","State default")))</f>
        <v/>
      </c>
      <c r="AU16" s="98" t="str">
        <f>IF($A16="","",IFERROR(INDEX('Natural Catastrophe'!$D$6:$D$17,MATCH($AS16,'Natural Catastrophe'!$B$6:$B$17,0)),"?"))</f>
        <v/>
      </c>
      <c r="AV16" s="98" t="str">
        <f>IF($A16="","",IFERROR(INDEX('Natural Catastrophe'!$C$21:$C$26,MATCH($AA16,'Natural Catastrophe'!$B$21:$B$26,0)),"?"))</f>
        <v/>
      </c>
      <c r="AW16" s="97" t="str">
        <f>IF($A16="","",IFERROR(INDEX('Base Rates'!$C$4:$I$4,MATCH(MAX($J16,'Technical Premium'!$C$18),'Base Rates'!$C$3:$I$3,1)),"?"))</f>
        <v/>
      </c>
      <c r="AX16" s="99" t="str">
        <f>IF($A16="","",IFERROR(INDEX('Base Rates'!$C$5:$I$16,MATCH($I16,'Base Rates'!$B$5:$B$16,0),MATCH(MAX($J16,'Technical Premium'!$C$18),'Base Rates'!$C$3:$I$3,1)),"?"))</f>
        <v/>
      </c>
      <c r="AY16" s="100" t="str">
        <f t="shared" si="1"/>
        <v/>
      </c>
      <c r="AZ16" s="97" t="str">
        <f>IF($A16="","",IFERROR(INDEX('Make Factors'!$G$5:$G$69,MATCH($F16,'Make Factors'!$B$5:$B$69,0)),"?"))</f>
        <v/>
      </c>
      <c r="BA16" s="97" t="str">
        <f>IF($A16="","",IFERROR(INDEX('Driver Factors'!$C$6:$C$15,MATCH($R16,'Driver Factors'!$B$6:$B$15,0)),"?"))</f>
        <v/>
      </c>
      <c r="BB16" s="97" t="str">
        <f>IF($A16="","",IFERROR(INDEX('Driver Factors'!$C$19:$C$24,MATCH($S16,'Driver Factors'!$B$19:$B$24,0)),"?"))</f>
        <v/>
      </c>
      <c r="BC16" s="97" t="str">
        <f>IF($A16="","",IFERROR(INDEX('Driver Factors'!$C$28:$C$36,MATCH($T16,'Driver Factors'!$B$28:$B$36,0)),"?"))</f>
        <v/>
      </c>
      <c r="BD16" s="97" t="str">
        <f>IF($A16="","",IFERROR(INDEX('Claims History'!$C$6:$C$15,MATCH($U16,'Claims History'!$B$6:$B$15,0)),"?"))</f>
        <v/>
      </c>
      <c r="BE16" s="97" t="str">
        <f>IF($A16="","",IFERROR(INDEX('Territory Factors'!$E$6:$E$56,MATCH($K16,'Territory Factors'!$B$6:$B$56,0)),"?"))</f>
        <v/>
      </c>
      <c r="BF16" s="97" t="str">
        <f>IF($A16="","",IFERROR(INDEX('City Accident Ratings'!$G$6:$G$54,MATCH($Z16,'City Accident Ratings'!$B$6:$B$54,0)),"?"))</f>
        <v/>
      </c>
      <c r="BG16" s="97" t="str">
        <f>IF($A16="","",IFERROR(INDEX('Usage and Coverage'!$D$6:$D$20,MATCH($N16,'Usage and Coverage'!$C$6:$C$20,0)),"?"))</f>
        <v/>
      </c>
      <c r="BH16" s="97" t="str">
        <f>IF($A16="","",IFERROR(INDEX('Usage and Coverage'!$C$24:$C$30,MATCH($O16,'Usage and Coverage'!$B$24:$B$30,0)),"?"))</f>
        <v/>
      </c>
      <c r="BI16" s="97" t="str">
        <f>IF($A16="","",IFERROR(INDEX('Usage and Coverage'!$C$34:$C$40,MATCH($P16,'Usage and Coverage'!$B$34:$B$40,0)),"?"))</f>
        <v/>
      </c>
      <c r="BJ16" s="97" t="str">
        <f>IF($A16="","",IFERROR(INDEX('Usage and Coverage'!$C$44:$C$49,MATCH($Q16,'Usage and Coverage'!$B$44:$B$49,0)),"?"))</f>
        <v/>
      </c>
      <c r="BK16" s="97" t="str">
        <f>IF($A16="","",IFERROR(INDEX(Deductibles!$C$6:$I$15,MATCH($W16,Deductibles!$B$6:$B$15,0),MATCH(MAX($J16,'Technical Premium'!$C$18),'Base Rates'!$C$3:$I$3,1)),"?"))</f>
        <v/>
      </c>
      <c r="BL16" s="97" t="str">
        <f>IF($A16="","",IFERROR(INDEX('Usage and Coverage'!$C$63:$C$66,MATCH($X16,'Usage and Coverage'!$B$63:$B$66,0)),"?"))</f>
        <v/>
      </c>
      <c r="BM16" s="97" t="str">
        <f>IF($A16="","",IFERROR(INDEX('Usage and Coverage'!$C$70:$C$75,MATCH($V16,'Usage and Coverage'!$B$70:$B$75,0)),"?"))</f>
        <v/>
      </c>
      <c r="BN16" s="97" t="str">
        <f>IF($A16="","",IF($AB16="",1,IFERROR(INDEX(Deductibles!$C$48:$C$51,MATCH($AB16,Deductibles!$B$48:$B$51,0)),"?")))</f>
        <v/>
      </c>
      <c r="BO16" s="97" t="str">
        <f>IF($A16="","",IF($AC16="",1,IFERROR(INDEX(Deductibles!$C$55:$C$57,MATCH($AC16,Deductibles!$B$55:$B$57,0)),"?")))</f>
        <v/>
      </c>
      <c r="BP16" s="97" t="str">
        <f>IF($A16="","",IF($AD16="",1,IFERROR(INDEX(Deductibles!$C$61:$C$63,MATCH($AD16,Deductibles!$B$61:$B$63,0)),"?")))</f>
        <v/>
      </c>
      <c r="BQ16" s="97" t="str">
        <f>IF($A16="","",IF($AE16="",1,IFERROR(INDEX(Deductibles!$C$67:$C$69,MATCH($AE16,Deductibles!$B$67:$B$69,0)),"?")))</f>
        <v/>
      </c>
      <c r="BR16" s="97" t="str">
        <f>IF($A16="","",IF($AF16="",1,IFERROR(INDEX(Deductibles!$C$73:$C$74,MATCH($AF16,Deductibles!$B$73:$B$74,0)),"?")))</f>
        <v/>
      </c>
      <c r="BS16" s="97" t="str">
        <f>IF($A16="","",IF($AG16="",1,IFERROR(INDEX('Sublimits and Parts'!$C$49:$C$52,MATCH($AG16,'Sublimits and Parts'!$B$49:$B$52,0)),"?")))</f>
        <v/>
      </c>
      <c r="BT16" s="97" t="str">
        <f>IF($A16="","",IF($AH16="",1,IFERROR(INDEX('Sublimits and Parts'!$C$56:$C$60,MATCH($AH16,'Sublimits and Parts'!$B$56:$B$60,0)),"?")))</f>
        <v/>
      </c>
      <c r="BU16" s="97" t="str">
        <f>IF($A16="","",IF($AI16="",1,IFERROR(INDEX('Sublimits and Parts'!$C$64:$C$67,MATCH($AI16,'Sublimits and Parts'!$B$64:$B$67,0)),"?")))</f>
        <v/>
      </c>
      <c r="BV16" s="97" t="str">
        <f>IF($A16="","",IF($AJ16="",1,IFERROR(INDEX('Sublimits and Parts'!$C$71:$C$74,MATCH($AJ16,'Sublimits and Parts'!$B$71:$B$74,0)),"?")))</f>
        <v/>
      </c>
      <c r="BW16" s="97" t="str">
        <f>IF($A16="","",IF($AK16="",1,IFERROR(INDEX('Sublimits and Parts'!$C$78:$C$80,MATCH($AK16,'Sublimits and Parts'!$B$78:$B$80,0)),"?")))</f>
        <v/>
      </c>
      <c r="BX16" s="97" t="str">
        <f>IF($A16="","",IF($AL16="",1,IFERROR(INDEX('Sublimits and Parts'!$C$84:$C$87,MATCH($AL16,'Sublimits and Parts'!$B$84:$B$87,0)),"?")))</f>
        <v/>
      </c>
      <c r="BY16" s="97" t="str">
        <f>IF($A16="","",IF($AM16="",1,IFERROR(INDEX('Sublimits and Parts'!$C$91:$C$94,MATCH($AM16,'Sublimits and Parts'!$B$91:$B$94,0)),"?")))</f>
        <v/>
      </c>
      <c r="BZ16" s="97" t="str">
        <f>IF($A16="","",IF($AN16="",1,IFERROR(INDEX('Sublimits and Parts'!$C$98:$C$101,MATCH($AN16,'Sublimits and Parts'!$B$98:$B$101,0)),"?")))</f>
        <v/>
      </c>
      <c r="CA16" s="97" t="str">
        <f>IF($A16="","",IF($AO16="",1,IFERROR(INDEX('Sublimits and Parts'!$C$105:$C$109,MATCH($AO16,'Sublimits and Parts'!$B$105:$B$109,0)),"?")))</f>
        <v/>
      </c>
      <c r="CB16" s="98" t="str">
        <f t="shared" si="2"/>
        <v/>
      </c>
      <c r="CC16" s="98" t="str">
        <f t="shared" si="3"/>
        <v/>
      </c>
      <c r="CD16" s="101" t="str">
        <f>IF($A16="","",IF(OR($CB16="?",$CC16="?"),"?",MIN($CB16*$CC16,'Technical Premium'!$C$17)))</f>
        <v/>
      </c>
      <c r="CE16" s="100" t="str">
        <f t="shared" si="4"/>
        <v/>
      </c>
      <c r="CF16" s="100" t="str">
        <f>IF($A16="","",IFERROR(INDEX('Territory Factors'!$F$6:$F$56,MATCH($K16,'Territory Factors'!$B$6:$B$56,0)),"?"))</f>
        <v/>
      </c>
      <c r="CG16" s="98" t="str">
        <f>IF($A16="","",IFERROR(INDEX('Usage and Coverage'!$C$79:$C$84,MATCH($Y16,'Usage and Coverage'!$B$79:$B$84,0)),"?"))</f>
        <v/>
      </c>
      <c r="CH16" s="100" t="str">
        <f>IFERROR(IF(ISNUMBER($CD16),$CF16*$CG16*MIN($BG16*$BA16*$BC16*$BD16*$BH16*$BF16,'Technical Premium'!$C$17),""),"")</f>
        <v/>
      </c>
      <c r="CI16" s="100" t="str">
        <f t="shared" si="5"/>
        <v/>
      </c>
      <c r="CJ16" s="100" t="str">
        <f>IFERROR($CI16*(1+'Technical Premium'!$C$5)*(1+'Technical Premium'!$C$6),"")</f>
        <v/>
      </c>
      <c r="CK16" s="100" t="str">
        <f>IFERROR($CE16*INDEX('Territory Factors'!$G$6:$G$56,MATCH($K16,'Territory Factors'!$B$6:$B$56,0))*$AU16*$AV16,"")</f>
        <v/>
      </c>
      <c r="CL16" s="100" t="str">
        <f>IFERROR(($CJ16+$CK16)*(1+'Technical Premium'!$C$7),"")</f>
        <v/>
      </c>
      <c r="CM16" s="102" t="str">
        <f>IFERROR($CL16/'Technical Premium'!$C$13,"")</f>
        <v/>
      </c>
      <c r="CN16" s="103" t="str">
        <f t="shared" si="6"/>
        <v/>
      </c>
      <c r="CO16" s="102" t="str">
        <f t="shared" si="7"/>
        <v/>
      </c>
      <c r="CP16" s="103" t="str">
        <f t="shared" si="8"/>
        <v/>
      </c>
      <c r="CQ16" s="104" t="str">
        <f t="shared" si="9"/>
        <v/>
      </c>
      <c r="CR16" s="100" t="str">
        <f>IF(ISNUMBER($CM16),'Technical Premium'!$C$14+IF($J16&gt;=1000000,'Technical Premium'!$C$15,0),"")</f>
        <v/>
      </c>
      <c r="CS16" s="100" t="str">
        <f>IFERROR(($CO16+$CR16)*(INDEX('Territory Factors'!$K$6:$K$56,MATCH($K16,'Territory Factors'!$B$6:$B$56,0))+'Commission Structure'!$C$21),"")</f>
        <v/>
      </c>
      <c r="CT16" s="102" t="str">
        <f t="shared" si="10"/>
        <v/>
      </c>
      <c r="CU16" s="100" t="str">
        <f>IFERROR($CO16*('Commission Structure'!$C$6+'Commission Structure'!$C$7),"")</f>
        <v/>
      </c>
      <c r="CV16" s="100" t="str">
        <f>IFERROR($CO16*'Commission Structure'!$C$5-$CU16,"")</f>
        <v/>
      </c>
      <c r="CW16" s="100" t="str">
        <f>IFERROR($CO16*(1-'Commission Structure'!$C$5),"")</f>
        <v/>
      </c>
      <c r="CX16" s="105" t="str">
        <f>IF($A16="","",IF(OR($CB16="?",$CC16="?",NOT(ISNUMBER($AU16))),"CHECK INPUTS",IF(OR($J16&lt;'Technical Premium'!$C$18,LEFT(IFERROR(INDEX('Driver Factors'!$D$6:$D$15,MATCH($R16,'Driver Factors'!$B$6:$B$15,0)),""),7)="DECLINE",LEFT(IFERROR(INDEX('Driver Factors'!$D$28:$D$36,MATCH($T16,'Driver Factors'!$B$28:$B$36,0)),""),7)="DECLINE",LEFT(IFERROR(INDEX('Claims History'!$D$6:$D$15,MATCH($U16,'Claims History'!$B$6:$B$15,0)),""),7)="DECLINE",LEFT(IFERROR(INDEX('Usage and Coverage'!$E$6:$E$20,MATCH($N16,'Usage and Coverage'!$C$6:$C$20,0)),""),7)="DECLINE"),"DECLINE",IF(OR($CD16&gt;2.5,$CD16&gt;='Technical Premium'!$C$17,$J16&gt;='Technical Premium'!$C$16,N($AQ16)&lt;'Technical Premium'!$C$19,N($AQ16)&gt;'Technical Premium'!$C$20,LEFT(IFERROR(INDEX('Driver Factors'!$D$6:$D$15,MATCH($R16,'Driver Factors'!$B$6:$B$15,0)),""),5)="Refer",LEFT(IFERROR(INDEX('Driver Factors'!$D$28:$D$36,MATCH($T16,'Driver Factors'!$B$28:$B$36,0)),""),5)="Refer",LEFT(IFERROR(INDEX('Claims History'!$D$6:$D$15,MATCH($U16,'Claims History'!$B$6:$B$15,0)),""),5)="Refer",LEFT(IFERROR(INDEX('Usage and Coverage'!$E$6:$E$20,MATCH($N16,'Usage and Coverage'!$C$6:$C$20,0)),""),5)="Refer"),"REFER","AUTO-BIND"))))</f>
        <v/>
      </c>
      <c r="CY16" s="106" t="str">
        <f t="shared" si="11"/>
        <v/>
      </c>
      <c r="CZ16" s="97" t="str">
        <f>IF($CY16="","",IF($CY16&lt;'Technical Premium'!$C$19,"BEYOND AUTHORITY",IF($CY16&gt;0.005,"Above technical",IF($CY16&lt;-0.005,"BELOW technical","At technical"))))</f>
        <v/>
      </c>
      <c r="DA16" s="97" t="str">
        <f>IF($A16="","",IF($CX16="AUTO-BIND","",TRIM(IF($J16&lt;'Technical Premium'!$C$18,"Below programme minimum agreed value. ","")&amp;IF(N($AQ16)&lt;'Technical Premium'!$C$19,"DISCOUNT AUTHORITY BREACH. ","")&amp;IF(N($AQ16)&gt;'Technical Premium'!$C$20,"Load authority breach. ","")&amp;IF($J16&gt;='Technical Premium'!$C$16,"Agreed value at or above auto-bind limit. ","")&amp;IF(AND(ISNUMBER($CD16),$CD16&gt;='Technical Premium'!$C$17),"Composite factor at cap. ","")&amp;IF(AND(ISNUMBER($CD16),$CD16&gt;2.5),"Composite factor above 2.50. ","")&amp;IF(LEFT(IFERROR(INDEX('Driver Factors'!$D$6:$D$15,MATCH($R16,'Driver Factors'!$B$6:$B$15,0)),""),7)="DECLINE","DECLINE - driver age. ",IF(LEFT(IFERROR(INDEX('Driver Factors'!$D$6:$D$15,MATCH($R16,'Driver Factors'!$B$6:$B$15,0)),""),5)="Refer","Driver age band. ",""))&amp;IF(LEFT(IFERROR(INDEX('Driver Factors'!$D$28:$D$36,MATCH($T16,'Driver Factors'!$B$28:$B$36,0)),""),7)="DECLINE","DECLINE - MVR. ",IF(LEFT(IFERROR(INDEX('Driver Factors'!$D$28:$D$36,MATCH($T16,'Driver Factors'!$B$28:$B$36,0)),""),5)="Refer","MVR record. ",""))&amp;IF(LEFT(IFERROR(INDEX('Claims History'!$D$6:$D$15,MATCH($U16,'Claims History'!$B$6:$B$15,0)),""),7)="DECLINE","DECLINE - claims. ",IF(LEFT(IFERROR(INDEX('Claims History'!$D$6:$D$15,MATCH($U16,'Claims History'!$B$6:$B$15,0)),""),5)="Refer","Claims history. ",""))&amp;IF(LEFT(IFERROR(INDEX('Usage and Coverage'!$E$6:$E$20,MATCH($N16,'Usage and Coverage'!$C$6:$C$20,0)),""),7)="DECLINE","DECLINE - usage class. ",IF(LEFT(IFERROR(INDEX('Usage and Coverage'!$E$6:$E$20,MATCH($N16,'Usage and Coverage'!$C$6:$C$20,0)),""),5)="Refer","Usage class. ",""))&amp;IF($CX16="CHECK INPUTS","Incomplete inputs. ",""))))</f>
        <v/>
      </c>
      <c r="DB16" s="92"/>
      <c r="DC16" s="92"/>
      <c r="DD16" s="93"/>
      <c r="DE16" s="92"/>
      <c r="DF16" s="92"/>
      <c r="DG16" s="97" t="str">
        <f t="shared" si="12"/>
        <v/>
      </c>
      <c r="DH16" s="97" t="str">
        <f>IF($A16="","",IF(OR($CX16="REFER",$CX16="DECLINE"),COUNTIF($CX$5:$CX16,"REFER")+COUNTIF($CX$5:$CX16,"DECLINE"),""))</f>
        <v/>
      </c>
      <c r="DI16" s="92"/>
    </row>
    <row r="17" spans="1:113" x14ac:dyDescent="0.25">
      <c r="A17" s="92"/>
      <c r="B17" s="92"/>
      <c r="C17" s="93"/>
      <c r="D17" s="93"/>
      <c r="E17" s="94"/>
      <c r="F17" s="92"/>
      <c r="G17" s="92"/>
      <c r="H17" s="92"/>
      <c r="I17" s="92"/>
      <c r="J17" s="95"/>
      <c r="K17" s="9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6"/>
      <c r="AR17" s="97" t="str">
        <f t="shared" si="0"/>
        <v/>
      </c>
      <c r="AS17" s="97" t="str">
        <f>IF($A17="","",IF($AP17&lt;&gt;"",$AP17,IFERROR(INDEX('Cat Zone by ZIP'!$D$6:$D$856,MATCH($AR17,'Cat Zone by ZIP'!$B$6:$B$856,0)),IFERROR(INDEX('Cat Zone by ZIP'!$C$860:$C$910,MATCH($K17,'Cat Zone by ZIP'!$B$860:$B$910,0)),"NOT FOUND"))))</f>
        <v/>
      </c>
      <c r="AT17" s="97" t="str">
        <f>IF($A17="","",IF($AP17&lt;&gt;"","Override",IF(ISNUMBER(MATCH($AR17,'Cat Zone by ZIP'!$B$6:$B$856,0)),"ZIP-3","State default")))</f>
        <v/>
      </c>
      <c r="AU17" s="98" t="str">
        <f>IF($A17="","",IFERROR(INDEX('Natural Catastrophe'!$D$6:$D$17,MATCH($AS17,'Natural Catastrophe'!$B$6:$B$17,0)),"?"))</f>
        <v/>
      </c>
      <c r="AV17" s="98" t="str">
        <f>IF($A17="","",IFERROR(INDEX('Natural Catastrophe'!$C$21:$C$26,MATCH($AA17,'Natural Catastrophe'!$B$21:$B$26,0)),"?"))</f>
        <v/>
      </c>
      <c r="AW17" s="97" t="str">
        <f>IF($A17="","",IFERROR(INDEX('Base Rates'!$C$4:$I$4,MATCH(MAX($J17,'Technical Premium'!$C$18),'Base Rates'!$C$3:$I$3,1)),"?"))</f>
        <v/>
      </c>
      <c r="AX17" s="99" t="str">
        <f>IF($A17="","",IFERROR(INDEX('Base Rates'!$C$5:$I$16,MATCH($I17,'Base Rates'!$B$5:$B$16,0),MATCH(MAX($J17,'Technical Premium'!$C$18),'Base Rates'!$C$3:$I$3,1)),"?"))</f>
        <v/>
      </c>
      <c r="AY17" s="100" t="str">
        <f t="shared" si="1"/>
        <v/>
      </c>
      <c r="AZ17" s="97" t="str">
        <f>IF($A17="","",IFERROR(INDEX('Make Factors'!$G$5:$G$69,MATCH($F17,'Make Factors'!$B$5:$B$69,0)),"?"))</f>
        <v/>
      </c>
      <c r="BA17" s="97" t="str">
        <f>IF($A17="","",IFERROR(INDEX('Driver Factors'!$C$6:$C$15,MATCH($R17,'Driver Factors'!$B$6:$B$15,0)),"?"))</f>
        <v/>
      </c>
      <c r="BB17" s="97" t="str">
        <f>IF($A17="","",IFERROR(INDEX('Driver Factors'!$C$19:$C$24,MATCH($S17,'Driver Factors'!$B$19:$B$24,0)),"?"))</f>
        <v/>
      </c>
      <c r="BC17" s="97" t="str">
        <f>IF($A17="","",IFERROR(INDEX('Driver Factors'!$C$28:$C$36,MATCH($T17,'Driver Factors'!$B$28:$B$36,0)),"?"))</f>
        <v/>
      </c>
      <c r="BD17" s="97" t="str">
        <f>IF($A17="","",IFERROR(INDEX('Claims History'!$C$6:$C$15,MATCH($U17,'Claims History'!$B$6:$B$15,0)),"?"))</f>
        <v/>
      </c>
      <c r="BE17" s="97" t="str">
        <f>IF($A17="","",IFERROR(INDEX('Territory Factors'!$E$6:$E$56,MATCH($K17,'Territory Factors'!$B$6:$B$56,0)),"?"))</f>
        <v/>
      </c>
      <c r="BF17" s="97" t="str">
        <f>IF($A17="","",IFERROR(INDEX('City Accident Ratings'!$G$6:$G$54,MATCH($Z17,'City Accident Ratings'!$B$6:$B$54,0)),"?"))</f>
        <v/>
      </c>
      <c r="BG17" s="97" t="str">
        <f>IF($A17="","",IFERROR(INDEX('Usage and Coverage'!$D$6:$D$20,MATCH($N17,'Usage and Coverage'!$C$6:$C$20,0)),"?"))</f>
        <v/>
      </c>
      <c r="BH17" s="97" t="str">
        <f>IF($A17="","",IFERROR(INDEX('Usage and Coverage'!$C$24:$C$30,MATCH($O17,'Usage and Coverage'!$B$24:$B$30,0)),"?"))</f>
        <v/>
      </c>
      <c r="BI17" s="97" t="str">
        <f>IF($A17="","",IFERROR(INDEX('Usage and Coverage'!$C$34:$C$40,MATCH($P17,'Usage and Coverage'!$B$34:$B$40,0)),"?"))</f>
        <v/>
      </c>
      <c r="BJ17" s="97" t="str">
        <f>IF($A17="","",IFERROR(INDEX('Usage and Coverage'!$C$44:$C$49,MATCH($Q17,'Usage and Coverage'!$B$44:$B$49,0)),"?"))</f>
        <v/>
      </c>
      <c r="BK17" s="97" t="str">
        <f>IF($A17="","",IFERROR(INDEX(Deductibles!$C$6:$I$15,MATCH($W17,Deductibles!$B$6:$B$15,0),MATCH(MAX($J17,'Technical Premium'!$C$18),'Base Rates'!$C$3:$I$3,1)),"?"))</f>
        <v/>
      </c>
      <c r="BL17" s="97" t="str">
        <f>IF($A17="","",IFERROR(INDEX('Usage and Coverage'!$C$63:$C$66,MATCH($X17,'Usage and Coverage'!$B$63:$B$66,0)),"?"))</f>
        <v/>
      </c>
      <c r="BM17" s="97" t="str">
        <f>IF($A17="","",IFERROR(INDEX('Usage and Coverage'!$C$70:$C$75,MATCH($V17,'Usage and Coverage'!$B$70:$B$75,0)),"?"))</f>
        <v/>
      </c>
      <c r="BN17" s="97" t="str">
        <f>IF($A17="","",IF($AB17="",1,IFERROR(INDEX(Deductibles!$C$48:$C$51,MATCH($AB17,Deductibles!$B$48:$B$51,0)),"?")))</f>
        <v/>
      </c>
      <c r="BO17" s="97" t="str">
        <f>IF($A17="","",IF($AC17="",1,IFERROR(INDEX(Deductibles!$C$55:$C$57,MATCH($AC17,Deductibles!$B$55:$B$57,0)),"?")))</f>
        <v/>
      </c>
      <c r="BP17" s="97" t="str">
        <f>IF($A17="","",IF($AD17="",1,IFERROR(INDEX(Deductibles!$C$61:$C$63,MATCH($AD17,Deductibles!$B$61:$B$63,0)),"?")))</f>
        <v/>
      </c>
      <c r="BQ17" s="97" t="str">
        <f>IF($A17="","",IF($AE17="",1,IFERROR(INDEX(Deductibles!$C$67:$C$69,MATCH($AE17,Deductibles!$B$67:$B$69,0)),"?")))</f>
        <v/>
      </c>
      <c r="BR17" s="97" t="str">
        <f>IF($A17="","",IF($AF17="",1,IFERROR(INDEX(Deductibles!$C$73:$C$74,MATCH($AF17,Deductibles!$B$73:$B$74,0)),"?")))</f>
        <v/>
      </c>
      <c r="BS17" s="97" t="str">
        <f>IF($A17="","",IF($AG17="",1,IFERROR(INDEX('Sublimits and Parts'!$C$49:$C$52,MATCH($AG17,'Sublimits and Parts'!$B$49:$B$52,0)),"?")))</f>
        <v/>
      </c>
      <c r="BT17" s="97" t="str">
        <f>IF($A17="","",IF($AH17="",1,IFERROR(INDEX('Sublimits and Parts'!$C$56:$C$60,MATCH($AH17,'Sublimits and Parts'!$B$56:$B$60,0)),"?")))</f>
        <v/>
      </c>
      <c r="BU17" s="97" t="str">
        <f>IF($A17="","",IF($AI17="",1,IFERROR(INDEX('Sublimits and Parts'!$C$64:$C$67,MATCH($AI17,'Sublimits and Parts'!$B$64:$B$67,0)),"?")))</f>
        <v/>
      </c>
      <c r="BV17" s="97" t="str">
        <f>IF($A17="","",IF($AJ17="",1,IFERROR(INDEX('Sublimits and Parts'!$C$71:$C$74,MATCH($AJ17,'Sublimits and Parts'!$B$71:$B$74,0)),"?")))</f>
        <v/>
      </c>
      <c r="BW17" s="97" t="str">
        <f>IF($A17="","",IF($AK17="",1,IFERROR(INDEX('Sublimits and Parts'!$C$78:$C$80,MATCH($AK17,'Sublimits and Parts'!$B$78:$B$80,0)),"?")))</f>
        <v/>
      </c>
      <c r="BX17" s="97" t="str">
        <f>IF($A17="","",IF($AL17="",1,IFERROR(INDEX('Sublimits and Parts'!$C$84:$C$87,MATCH($AL17,'Sublimits and Parts'!$B$84:$B$87,0)),"?")))</f>
        <v/>
      </c>
      <c r="BY17" s="97" t="str">
        <f>IF($A17="","",IF($AM17="",1,IFERROR(INDEX('Sublimits and Parts'!$C$91:$C$94,MATCH($AM17,'Sublimits and Parts'!$B$91:$B$94,0)),"?")))</f>
        <v/>
      </c>
      <c r="BZ17" s="97" t="str">
        <f>IF($A17="","",IF($AN17="",1,IFERROR(INDEX('Sublimits and Parts'!$C$98:$C$101,MATCH($AN17,'Sublimits and Parts'!$B$98:$B$101,0)),"?")))</f>
        <v/>
      </c>
      <c r="CA17" s="97" t="str">
        <f>IF($A17="","",IF($AO17="",1,IFERROR(INDEX('Sublimits and Parts'!$C$105:$C$109,MATCH($AO17,'Sublimits and Parts'!$B$105:$B$109,0)),"?")))</f>
        <v/>
      </c>
      <c r="CB17" s="98" t="str">
        <f t="shared" si="2"/>
        <v/>
      </c>
      <c r="CC17" s="98" t="str">
        <f t="shared" si="3"/>
        <v/>
      </c>
      <c r="CD17" s="101" t="str">
        <f>IF($A17="","",IF(OR($CB17="?",$CC17="?"),"?",MIN($CB17*$CC17,'Technical Premium'!$C$17)))</f>
        <v/>
      </c>
      <c r="CE17" s="100" t="str">
        <f t="shared" si="4"/>
        <v/>
      </c>
      <c r="CF17" s="100" t="str">
        <f>IF($A17="","",IFERROR(INDEX('Territory Factors'!$F$6:$F$56,MATCH($K17,'Territory Factors'!$B$6:$B$56,0)),"?"))</f>
        <v/>
      </c>
      <c r="CG17" s="98" t="str">
        <f>IF($A17="","",IFERROR(INDEX('Usage and Coverage'!$C$79:$C$84,MATCH($Y17,'Usage and Coverage'!$B$79:$B$84,0)),"?"))</f>
        <v/>
      </c>
      <c r="CH17" s="100" t="str">
        <f>IFERROR(IF(ISNUMBER($CD17),$CF17*$CG17*MIN($BG17*$BA17*$BC17*$BD17*$BH17*$BF17,'Technical Premium'!$C$17),""),"")</f>
        <v/>
      </c>
      <c r="CI17" s="100" t="str">
        <f t="shared" si="5"/>
        <v/>
      </c>
      <c r="CJ17" s="100" t="str">
        <f>IFERROR($CI17*(1+'Technical Premium'!$C$5)*(1+'Technical Premium'!$C$6),"")</f>
        <v/>
      </c>
      <c r="CK17" s="100" t="str">
        <f>IFERROR($CE17*INDEX('Territory Factors'!$G$6:$G$56,MATCH($K17,'Territory Factors'!$B$6:$B$56,0))*$AU17*$AV17,"")</f>
        <v/>
      </c>
      <c r="CL17" s="100" t="str">
        <f>IFERROR(($CJ17+$CK17)*(1+'Technical Premium'!$C$7),"")</f>
        <v/>
      </c>
      <c r="CM17" s="102" t="str">
        <f>IFERROR($CL17/'Technical Premium'!$C$13,"")</f>
        <v/>
      </c>
      <c r="CN17" s="103" t="str">
        <f t="shared" si="6"/>
        <v/>
      </c>
      <c r="CO17" s="102" t="str">
        <f t="shared" si="7"/>
        <v/>
      </c>
      <c r="CP17" s="103" t="str">
        <f t="shared" si="8"/>
        <v/>
      </c>
      <c r="CQ17" s="104" t="str">
        <f t="shared" si="9"/>
        <v/>
      </c>
      <c r="CR17" s="100" t="str">
        <f>IF(ISNUMBER($CM17),'Technical Premium'!$C$14+IF($J17&gt;=1000000,'Technical Premium'!$C$15,0),"")</f>
        <v/>
      </c>
      <c r="CS17" s="100" t="str">
        <f>IFERROR(($CO17+$CR17)*(INDEX('Territory Factors'!$K$6:$K$56,MATCH($K17,'Territory Factors'!$B$6:$B$56,0))+'Commission Structure'!$C$21),"")</f>
        <v/>
      </c>
      <c r="CT17" s="102" t="str">
        <f t="shared" si="10"/>
        <v/>
      </c>
      <c r="CU17" s="100" t="str">
        <f>IFERROR($CO17*('Commission Structure'!$C$6+'Commission Structure'!$C$7),"")</f>
        <v/>
      </c>
      <c r="CV17" s="100" t="str">
        <f>IFERROR($CO17*'Commission Structure'!$C$5-$CU17,"")</f>
        <v/>
      </c>
      <c r="CW17" s="100" t="str">
        <f>IFERROR($CO17*(1-'Commission Structure'!$C$5),"")</f>
        <v/>
      </c>
      <c r="CX17" s="105" t="str">
        <f>IF($A17="","",IF(OR($CB17="?",$CC17="?",NOT(ISNUMBER($AU17))),"CHECK INPUTS",IF(OR($J17&lt;'Technical Premium'!$C$18,LEFT(IFERROR(INDEX('Driver Factors'!$D$6:$D$15,MATCH($R17,'Driver Factors'!$B$6:$B$15,0)),""),7)="DECLINE",LEFT(IFERROR(INDEX('Driver Factors'!$D$28:$D$36,MATCH($T17,'Driver Factors'!$B$28:$B$36,0)),""),7)="DECLINE",LEFT(IFERROR(INDEX('Claims History'!$D$6:$D$15,MATCH($U17,'Claims History'!$B$6:$B$15,0)),""),7)="DECLINE",LEFT(IFERROR(INDEX('Usage and Coverage'!$E$6:$E$20,MATCH($N17,'Usage and Coverage'!$C$6:$C$20,0)),""),7)="DECLINE"),"DECLINE",IF(OR($CD17&gt;2.5,$CD17&gt;='Technical Premium'!$C$17,$J17&gt;='Technical Premium'!$C$16,N($AQ17)&lt;'Technical Premium'!$C$19,N($AQ17)&gt;'Technical Premium'!$C$20,LEFT(IFERROR(INDEX('Driver Factors'!$D$6:$D$15,MATCH($R17,'Driver Factors'!$B$6:$B$15,0)),""),5)="Refer",LEFT(IFERROR(INDEX('Driver Factors'!$D$28:$D$36,MATCH($T17,'Driver Factors'!$B$28:$B$36,0)),""),5)="Refer",LEFT(IFERROR(INDEX('Claims History'!$D$6:$D$15,MATCH($U17,'Claims History'!$B$6:$B$15,0)),""),5)="Refer",LEFT(IFERROR(INDEX('Usage and Coverage'!$E$6:$E$20,MATCH($N17,'Usage and Coverage'!$C$6:$C$20,0)),""),5)="Refer"),"REFER","AUTO-BIND"))))</f>
        <v/>
      </c>
      <c r="CY17" s="106" t="str">
        <f t="shared" si="11"/>
        <v/>
      </c>
      <c r="CZ17" s="97" t="str">
        <f>IF($CY17="","",IF($CY17&lt;'Technical Premium'!$C$19,"BEYOND AUTHORITY",IF($CY17&gt;0.005,"Above technical",IF($CY17&lt;-0.005,"BELOW technical","At technical"))))</f>
        <v/>
      </c>
      <c r="DA17" s="97" t="str">
        <f>IF($A17="","",IF($CX17="AUTO-BIND","",TRIM(IF($J17&lt;'Technical Premium'!$C$18,"Below programme minimum agreed value. ","")&amp;IF(N($AQ17)&lt;'Technical Premium'!$C$19,"DISCOUNT AUTHORITY BREACH. ","")&amp;IF(N($AQ17)&gt;'Technical Premium'!$C$20,"Load authority breach. ","")&amp;IF($J17&gt;='Technical Premium'!$C$16,"Agreed value at or above auto-bind limit. ","")&amp;IF(AND(ISNUMBER($CD17),$CD17&gt;='Technical Premium'!$C$17),"Composite factor at cap. ","")&amp;IF(AND(ISNUMBER($CD17),$CD17&gt;2.5),"Composite factor above 2.50. ","")&amp;IF(LEFT(IFERROR(INDEX('Driver Factors'!$D$6:$D$15,MATCH($R17,'Driver Factors'!$B$6:$B$15,0)),""),7)="DECLINE","DECLINE - driver age. ",IF(LEFT(IFERROR(INDEX('Driver Factors'!$D$6:$D$15,MATCH($R17,'Driver Factors'!$B$6:$B$15,0)),""),5)="Refer","Driver age band. ",""))&amp;IF(LEFT(IFERROR(INDEX('Driver Factors'!$D$28:$D$36,MATCH($T17,'Driver Factors'!$B$28:$B$36,0)),""),7)="DECLINE","DECLINE - MVR. ",IF(LEFT(IFERROR(INDEX('Driver Factors'!$D$28:$D$36,MATCH($T17,'Driver Factors'!$B$28:$B$36,0)),""),5)="Refer","MVR record. ",""))&amp;IF(LEFT(IFERROR(INDEX('Claims History'!$D$6:$D$15,MATCH($U17,'Claims History'!$B$6:$B$15,0)),""),7)="DECLINE","DECLINE - claims. ",IF(LEFT(IFERROR(INDEX('Claims History'!$D$6:$D$15,MATCH($U17,'Claims History'!$B$6:$B$15,0)),""),5)="Refer","Claims history. ",""))&amp;IF(LEFT(IFERROR(INDEX('Usage and Coverage'!$E$6:$E$20,MATCH($N17,'Usage and Coverage'!$C$6:$C$20,0)),""),7)="DECLINE","DECLINE - usage class. ",IF(LEFT(IFERROR(INDEX('Usage and Coverage'!$E$6:$E$20,MATCH($N17,'Usage and Coverage'!$C$6:$C$20,0)),""),5)="Refer","Usage class. ",""))&amp;IF($CX17="CHECK INPUTS","Incomplete inputs. ",""))))</f>
        <v/>
      </c>
      <c r="DB17" s="92"/>
      <c r="DC17" s="92"/>
      <c r="DD17" s="93"/>
      <c r="DE17" s="92"/>
      <c r="DF17" s="92"/>
      <c r="DG17" s="97" t="str">
        <f t="shared" si="12"/>
        <v/>
      </c>
      <c r="DH17" s="97" t="str">
        <f>IF($A17="","",IF(OR($CX17="REFER",$CX17="DECLINE"),COUNTIF($CX$5:$CX17,"REFER")+COUNTIF($CX$5:$CX17,"DECLINE"),""))</f>
        <v/>
      </c>
      <c r="DI17" s="92"/>
    </row>
    <row r="18" spans="1:113" x14ac:dyDescent="0.25">
      <c r="A18" s="92"/>
      <c r="B18" s="92"/>
      <c r="C18" s="93"/>
      <c r="D18" s="93"/>
      <c r="E18" s="94"/>
      <c r="F18" s="92"/>
      <c r="G18" s="92"/>
      <c r="H18" s="92"/>
      <c r="I18" s="92"/>
      <c r="J18" s="95"/>
      <c r="K18" s="9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6"/>
      <c r="AR18" s="97" t="str">
        <f t="shared" si="0"/>
        <v/>
      </c>
      <c r="AS18" s="97" t="str">
        <f>IF($A18="","",IF($AP18&lt;&gt;"",$AP18,IFERROR(INDEX('Cat Zone by ZIP'!$D$6:$D$856,MATCH($AR18,'Cat Zone by ZIP'!$B$6:$B$856,0)),IFERROR(INDEX('Cat Zone by ZIP'!$C$860:$C$910,MATCH($K18,'Cat Zone by ZIP'!$B$860:$B$910,0)),"NOT FOUND"))))</f>
        <v/>
      </c>
      <c r="AT18" s="97" t="str">
        <f>IF($A18="","",IF($AP18&lt;&gt;"","Override",IF(ISNUMBER(MATCH($AR18,'Cat Zone by ZIP'!$B$6:$B$856,0)),"ZIP-3","State default")))</f>
        <v/>
      </c>
      <c r="AU18" s="98" t="str">
        <f>IF($A18="","",IFERROR(INDEX('Natural Catastrophe'!$D$6:$D$17,MATCH($AS18,'Natural Catastrophe'!$B$6:$B$17,0)),"?"))</f>
        <v/>
      </c>
      <c r="AV18" s="98" t="str">
        <f>IF($A18="","",IFERROR(INDEX('Natural Catastrophe'!$C$21:$C$26,MATCH($AA18,'Natural Catastrophe'!$B$21:$B$26,0)),"?"))</f>
        <v/>
      </c>
      <c r="AW18" s="97" t="str">
        <f>IF($A18="","",IFERROR(INDEX('Base Rates'!$C$4:$I$4,MATCH(MAX($J18,'Technical Premium'!$C$18),'Base Rates'!$C$3:$I$3,1)),"?"))</f>
        <v/>
      </c>
      <c r="AX18" s="99" t="str">
        <f>IF($A18="","",IFERROR(INDEX('Base Rates'!$C$5:$I$16,MATCH($I18,'Base Rates'!$B$5:$B$16,0),MATCH(MAX($J18,'Technical Premium'!$C$18),'Base Rates'!$C$3:$I$3,1)),"?"))</f>
        <v/>
      </c>
      <c r="AY18" s="100" t="str">
        <f t="shared" si="1"/>
        <v/>
      </c>
      <c r="AZ18" s="97" t="str">
        <f>IF($A18="","",IFERROR(INDEX('Make Factors'!$G$5:$G$69,MATCH($F18,'Make Factors'!$B$5:$B$69,0)),"?"))</f>
        <v/>
      </c>
      <c r="BA18" s="97" t="str">
        <f>IF($A18="","",IFERROR(INDEX('Driver Factors'!$C$6:$C$15,MATCH($R18,'Driver Factors'!$B$6:$B$15,0)),"?"))</f>
        <v/>
      </c>
      <c r="BB18" s="97" t="str">
        <f>IF($A18="","",IFERROR(INDEX('Driver Factors'!$C$19:$C$24,MATCH($S18,'Driver Factors'!$B$19:$B$24,0)),"?"))</f>
        <v/>
      </c>
      <c r="BC18" s="97" t="str">
        <f>IF($A18="","",IFERROR(INDEX('Driver Factors'!$C$28:$C$36,MATCH($T18,'Driver Factors'!$B$28:$B$36,0)),"?"))</f>
        <v/>
      </c>
      <c r="BD18" s="97" t="str">
        <f>IF($A18="","",IFERROR(INDEX('Claims History'!$C$6:$C$15,MATCH($U18,'Claims History'!$B$6:$B$15,0)),"?"))</f>
        <v/>
      </c>
      <c r="BE18" s="97" t="str">
        <f>IF($A18="","",IFERROR(INDEX('Territory Factors'!$E$6:$E$56,MATCH($K18,'Territory Factors'!$B$6:$B$56,0)),"?"))</f>
        <v/>
      </c>
      <c r="BF18" s="97" t="str">
        <f>IF($A18="","",IFERROR(INDEX('City Accident Ratings'!$G$6:$G$54,MATCH($Z18,'City Accident Ratings'!$B$6:$B$54,0)),"?"))</f>
        <v/>
      </c>
      <c r="BG18" s="97" t="str">
        <f>IF($A18="","",IFERROR(INDEX('Usage and Coverage'!$D$6:$D$20,MATCH($N18,'Usage and Coverage'!$C$6:$C$20,0)),"?"))</f>
        <v/>
      </c>
      <c r="BH18" s="97" t="str">
        <f>IF($A18="","",IFERROR(INDEX('Usage and Coverage'!$C$24:$C$30,MATCH($O18,'Usage and Coverage'!$B$24:$B$30,0)),"?"))</f>
        <v/>
      </c>
      <c r="BI18" s="97" t="str">
        <f>IF($A18="","",IFERROR(INDEX('Usage and Coverage'!$C$34:$C$40,MATCH($P18,'Usage and Coverage'!$B$34:$B$40,0)),"?"))</f>
        <v/>
      </c>
      <c r="BJ18" s="97" t="str">
        <f>IF($A18="","",IFERROR(INDEX('Usage and Coverage'!$C$44:$C$49,MATCH($Q18,'Usage and Coverage'!$B$44:$B$49,0)),"?"))</f>
        <v/>
      </c>
      <c r="BK18" s="97" t="str">
        <f>IF($A18="","",IFERROR(INDEX(Deductibles!$C$6:$I$15,MATCH($W18,Deductibles!$B$6:$B$15,0),MATCH(MAX($J18,'Technical Premium'!$C$18),'Base Rates'!$C$3:$I$3,1)),"?"))</f>
        <v/>
      </c>
      <c r="BL18" s="97" t="str">
        <f>IF($A18="","",IFERROR(INDEX('Usage and Coverage'!$C$63:$C$66,MATCH($X18,'Usage and Coverage'!$B$63:$B$66,0)),"?"))</f>
        <v/>
      </c>
      <c r="BM18" s="97" t="str">
        <f>IF($A18="","",IFERROR(INDEX('Usage and Coverage'!$C$70:$C$75,MATCH($V18,'Usage and Coverage'!$B$70:$B$75,0)),"?"))</f>
        <v/>
      </c>
      <c r="BN18" s="97" t="str">
        <f>IF($A18="","",IF($AB18="",1,IFERROR(INDEX(Deductibles!$C$48:$C$51,MATCH($AB18,Deductibles!$B$48:$B$51,0)),"?")))</f>
        <v/>
      </c>
      <c r="BO18" s="97" t="str">
        <f>IF($A18="","",IF($AC18="",1,IFERROR(INDEX(Deductibles!$C$55:$C$57,MATCH($AC18,Deductibles!$B$55:$B$57,0)),"?")))</f>
        <v/>
      </c>
      <c r="BP18" s="97" t="str">
        <f>IF($A18="","",IF($AD18="",1,IFERROR(INDEX(Deductibles!$C$61:$C$63,MATCH($AD18,Deductibles!$B$61:$B$63,0)),"?")))</f>
        <v/>
      </c>
      <c r="BQ18" s="97" t="str">
        <f>IF($A18="","",IF($AE18="",1,IFERROR(INDEX(Deductibles!$C$67:$C$69,MATCH($AE18,Deductibles!$B$67:$B$69,0)),"?")))</f>
        <v/>
      </c>
      <c r="BR18" s="97" t="str">
        <f>IF($A18="","",IF($AF18="",1,IFERROR(INDEX(Deductibles!$C$73:$C$74,MATCH($AF18,Deductibles!$B$73:$B$74,0)),"?")))</f>
        <v/>
      </c>
      <c r="BS18" s="97" t="str">
        <f>IF($A18="","",IF($AG18="",1,IFERROR(INDEX('Sublimits and Parts'!$C$49:$C$52,MATCH($AG18,'Sublimits and Parts'!$B$49:$B$52,0)),"?")))</f>
        <v/>
      </c>
      <c r="BT18" s="97" t="str">
        <f>IF($A18="","",IF($AH18="",1,IFERROR(INDEX('Sublimits and Parts'!$C$56:$C$60,MATCH($AH18,'Sublimits and Parts'!$B$56:$B$60,0)),"?")))</f>
        <v/>
      </c>
      <c r="BU18" s="97" t="str">
        <f>IF($A18="","",IF($AI18="",1,IFERROR(INDEX('Sublimits and Parts'!$C$64:$C$67,MATCH($AI18,'Sublimits and Parts'!$B$64:$B$67,0)),"?")))</f>
        <v/>
      </c>
      <c r="BV18" s="97" t="str">
        <f>IF($A18="","",IF($AJ18="",1,IFERROR(INDEX('Sublimits and Parts'!$C$71:$C$74,MATCH($AJ18,'Sublimits and Parts'!$B$71:$B$74,0)),"?")))</f>
        <v/>
      </c>
      <c r="BW18" s="97" t="str">
        <f>IF($A18="","",IF($AK18="",1,IFERROR(INDEX('Sublimits and Parts'!$C$78:$C$80,MATCH($AK18,'Sublimits and Parts'!$B$78:$B$80,0)),"?")))</f>
        <v/>
      </c>
      <c r="BX18" s="97" t="str">
        <f>IF($A18="","",IF($AL18="",1,IFERROR(INDEX('Sublimits and Parts'!$C$84:$C$87,MATCH($AL18,'Sublimits and Parts'!$B$84:$B$87,0)),"?")))</f>
        <v/>
      </c>
      <c r="BY18" s="97" t="str">
        <f>IF($A18="","",IF($AM18="",1,IFERROR(INDEX('Sublimits and Parts'!$C$91:$C$94,MATCH($AM18,'Sublimits and Parts'!$B$91:$B$94,0)),"?")))</f>
        <v/>
      </c>
      <c r="BZ18" s="97" t="str">
        <f>IF($A18="","",IF($AN18="",1,IFERROR(INDEX('Sublimits and Parts'!$C$98:$C$101,MATCH($AN18,'Sublimits and Parts'!$B$98:$B$101,0)),"?")))</f>
        <v/>
      </c>
      <c r="CA18" s="97" t="str">
        <f>IF($A18="","",IF($AO18="",1,IFERROR(INDEX('Sublimits and Parts'!$C$105:$C$109,MATCH($AO18,'Sublimits and Parts'!$B$105:$B$109,0)),"?")))</f>
        <v/>
      </c>
      <c r="CB18" s="98" t="str">
        <f t="shared" si="2"/>
        <v/>
      </c>
      <c r="CC18" s="98" t="str">
        <f t="shared" si="3"/>
        <v/>
      </c>
      <c r="CD18" s="101" t="str">
        <f>IF($A18="","",IF(OR($CB18="?",$CC18="?"),"?",MIN($CB18*$CC18,'Technical Premium'!$C$17)))</f>
        <v/>
      </c>
      <c r="CE18" s="100" t="str">
        <f t="shared" si="4"/>
        <v/>
      </c>
      <c r="CF18" s="100" t="str">
        <f>IF($A18="","",IFERROR(INDEX('Territory Factors'!$F$6:$F$56,MATCH($K18,'Territory Factors'!$B$6:$B$56,0)),"?"))</f>
        <v/>
      </c>
      <c r="CG18" s="98" t="str">
        <f>IF($A18="","",IFERROR(INDEX('Usage and Coverage'!$C$79:$C$84,MATCH($Y18,'Usage and Coverage'!$B$79:$B$84,0)),"?"))</f>
        <v/>
      </c>
      <c r="CH18" s="100" t="str">
        <f>IFERROR(IF(ISNUMBER($CD18),$CF18*$CG18*MIN($BG18*$BA18*$BC18*$BD18*$BH18*$BF18,'Technical Premium'!$C$17),""),"")</f>
        <v/>
      </c>
      <c r="CI18" s="100" t="str">
        <f t="shared" si="5"/>
        <v/>
      </c>
      <c r="CJ18" s="100" t="str">
        <f>IFERROR($CI18*(1+'Technical Premium'!$C$5)*(1+'Technical Premium'!$C$6),"")</f>
        <v/>
      </c>
      <c r="CK18" s="100" t="str">
        <f>IFERROR($CE18*INDEX('Territory Factors'!$G$6:$G$56,MATCH($K18,'Territory Factors'!$B$6:$B$56,0))*$AU18*$AV18,"")</f>
        <v/>
      </c>
      <c r="CL18" s="100" t="str">
        <f>IFERROR(($CJ18+$CK18)*(1+'Technical Premium'!$C$7),"")</f>
        <v/>
      </c>
      <c r="CM18" s="102" t="str">
        <f>IFERROR($CL18/'Technical Premium'!$C$13,"")</f>
        <v/>
      </c>
      <c r="CN18" s="103" t="str">
        <f t="shared" si="6"/>
        <v/>
      </c>
      <c r="CO18" s="102" t="str">
        <f t="shared" si="7"/>
        <v/>
      </c>
      <c r="CP18" s="103" t="str">
        <f t="shared" si="8"/>
        <v/>
      </c>
      <c r="CQ18" s="104" t="str">
        <f t="shared" si="9"/>
        <v/>
      </c>
      <c r="CR18" s="100" t="str">
        <f>IF(ISNUMBER($CM18),'Technical Premium'!$C$14+IF($J18&gt;=1000000,'Technical Premium'!$C$15,0),"")</f>
        <v/>
      </c>
      <c r="CS18" s="100" t="str">
        <f>IFERROR(($CO18+$CR18)*(INDEX('Territory Factors'!$K$6:$K$56,MATCH($K18,'Territory Factors'!$B$6:$B$56,0))+'Commission Structure'!$C$21),"")</f>
        <v/>
      </c>
      <c r="CT18" s="102" t="str">
        <f t="shared" si="10"/>
        <v/>
      </c>
      <c r="CU18" s="100" t="str">
        <f>IFERROR($CO18*('Commission Structure'!$C$6+'Commission Structure'!$C$7),"")</f>
        <v/>
      </c>
      <c r="CV18" s="100" t="str">
        <f>IFERROR($CO18*'Commission Structure'!$C$5-$CU18,"")</f>
        <v/>
      </c>
      <c r="CW18" s="100" t="str">
        <f>IFERROR($CO18*(1-'Commission Structure'!$C$5),"")</f>
        <v/>
      </c>
      <c r="CX18" s="105" t="str">
        <f>IF($A18="","",IF(OR($CB18="?",$CC18="?",NOT(ISNUMBER($AU18))),"CHECK INPUTS",IF(OR($J18&lt;'Technical Premium'!$C$18,LEFT(IFERROR(INDEX('Driver Factors'!$D$6:$D$15,MATCH($R18,'Driver Factors'!$B$6:$B$15,0)),""),7)="DECLINE",LEFT(IFERROR(INDEX('Driver Factors'!$D$28:$D$36,MATCH($T18,'Driver Factors'!$B$28:$B$36,0)),""),7)="DECLINE",LEFT(IFERROR(INDEX('Claims History'!$D$6:$D$15,MATCH($U18,'Claims History'!$B$6:$B$15,0)),""),7)="DECLINE",LEFT(IFERROR(INDEX('Usage and Coverage'!$E$6:$E$20,MATCH($N18,'Usage and Coverage'!$C$6:$C$20,0)),""),7)="DECLINE"),"DECLINE",IF(OR($CD18&gt;2.5,$CD18&gt;='Technical Premium'!$C$17,$J18&gt;='Technical Premium'!$C$16,N($AQ18)&lt;'Technical Premium'!$C$19,N($AQ18)&gt;'Technical Premium'!$C$20,LEFT(IFERROR(INDEX('Driver Factors'!$D$6:$D$15,MATCH($R18,'Driver Factors'!$B$6:$B$15,0)),""),5)="Refer",LEFT(IFERROR(INDEX('Driver Factors'!$D$28:$D$36,MATCH($T18,'Driver Factors'!$B$28:$B$36,0)),""),5)="Refer",LEFT(IFERROR(INDEX('Claims History'!$D$6:$D$15,MATCH($U18,'Claims History'!$B$6:$B$15,0)),""),5)="Refer",LEFT(IFERROR(INDEX('Usage and Coverage'!$E$6:$E$20,MATCH($N18,'Usage and Coverage'!$C$6:$C$20,0)),""),5)="Refer"),"REFER","AUTO-BIND"))))</f>
        <v/>
      </c>
      <c r="CY18" s="106" t="str">
        <f t="shared" si="11"/>
        <v/>
      </c>
      <c r="CZ18" s="97" t="str">
        <f>IF($CY18="","",IF($CY18&lt;'Technical Premium'!$C$19,"BEYOND AUTHORITY",IF($CY18&gt;0.005,"Above technical",IF($CY18&lt;-0.005,"BELOW technical","At technical"))))</f>
        <v/>
      </c>
      <c r="DA18" s="97" t="str">
        <f>IF($A18="","",IF($CX18="AUTO-BIND","",TRIM(IF($J18&lt;'Technical Premium'!$C$18,"Below programme minimum agreed value. ","")&amp;IF(N($AQ18)&lt;'Technical Premium'!$C$19,"DISCOUNT AUTHORITY BREACH. ","")&amp;IF(N($AQ18)&gt;'Technical Premium'!$C$20,"Load authority breach. ","")&amp;IF($J18&gt;='Technical Premium'!$C$16,"Agreed value at or above auto-bind limit. ","")&amp;IF(AND(ISNUMBER($CD18),$CD18&gt;='Technical Premium'!$C$17),"Composite factor at cap. ","")&amp;IF(AND(ISNUMBER($CD18),$CD18&gt;2.5),"Composite factor above 2.50. ","")&amp;IF(LEFT(IFERROR(INDEX('Driver Factors'!$D$6:$D$15,MATCH($R18,'Driver Factors'!$B$6:$B$15,0)),""),7)="DECLINE","DECLINE - driver age. ",IF(LEFT(IFERROR(INDEX('Driver Factors'!$D$6:$D$15,MATCH($R18,'Driver Factors'!$B$6:$B$15,0)),""),5)="Refer","Driver age band. ",""))&amp;IF(LEFT(IFERROR(INDEX('Driver Factors'!$D$28:$D$36,MATCH($T18,'Driver Factors'!$B$28:$B$36,0)),""),7)="DECLINE","DECLINE - MVR. ",IF(LEFT(IFERROR(INDEX('Driver Factors'!$D$28:$D$36,MATCH($T18,'Driver Factors'!$B$28:$B$36,0)),""),5)="Refer","MVR record. ",""))&amp;IF(LEFT(IFERROR(INDEX('Claims History'!$D$6:$D$15,MATCH($U18,'Claims History'!$B$6:$B$15,0)),""),7)="DECLINE","DECLINE - claims. ",IF(LEFT(IFERROR(INDEX('Claims History'!$D$6:$D$15,MATCH($U18,'Claims History'!$B$6:$B$15,0)),""),5)="Refer","Claims history. ",""))&amp;IF(LEFT(IFERROR(INDEX('Usage and Coverage'!$E$6:$E$20,MATCH($N18,'Usage and Coverage'!$C$6:$C$20,0)),""),7)="DECLINE","DECLINE - usage class. ",IF(LEFT(IFERROR(INDEX('Usage and Coverage'!$E$6:$E$20,MATCH($N18,'Usage and Coverage'!$C$6:$C$20,0)),""),5)="Refer","Usage class. ",""))&amp;IF($CX18="CHECK INPUTS","Incomplete inputs. ",""))))</f>
        <v/>
      </c>
      <c r="DB18" s="92"/>
      <c r="DC18" s="92"/>
      <c r="DD18" s="93"/>
      <c r="DE18" s="92"/>
      <c r="DF18" s="92"/>
      <c r="DG18" s="97" t="str">
        <f t="shared" si="12"/>
        <v/>
      </c>
      <c r="DH18" s="97" t="str">
        <f>IF($A18="","",IF(OR($CX18="REFER",$CX18="DECLINE"),COUNTIF($CX$5:$CX18,"REFER")+COUNTIF($CX$5:$CX18,"DECLINE"),""))</f>
        <v/>
      </c>
      <c r="DI18" s="92"/>
    </row>
    <row r="19" spans="1:113" x14ac:dyDescent="0.25">
      <c r="A19" s="92"/>
      <c r="B19" s="92"/>
      <c r="C19" s="93"/>
      <c r="D19" s="93"/>
      <c r="E19" s="94"/>
      <c r="F19" s="92"/>
      <c r="G19" s="92"/>
      <c r="H19" s="92"/>
      <c r="I19" s="92"/>
      <c r="J19" s="95"/>
      <c r="K19" s="9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6"/>
      <c r="AR19" s="97" t="str">
        <f t="shared" si="0"/>
        <v/>
      </c>
      <c r="AS19" s="97" t="str">
        <f>IF($A19="","",IF($AP19&lt;&gt;"",$AP19,IFERROR(INDEX('Cat Zone by ZIP'!$D$6:$D$856,MATCH($AR19,'Cat Zone by ZIP'!$B$6:$B$856,0)),IFERROR(INDEX('Cat Zone by ZIP'!$C$860:$C$910,MATCH($K19,'Cat Zone by ZIP'!$B$860:$B$910,0)),"NOT FOUND"))))</f>
        <v/>
      </c>
      <c r="AT19" s="97" t="str">
        <f>IF($A19="","",IF($AP19&lt;&gt;"","Override",IF(ISNUMBER(MATCH($AR19,'Cat Zone by ZIP'!$B$6:$B$856,0)),"ZIP-3","State default")))</f>
        <v/>
      </c>
      <c r="AU19" s="98" t="str">
        <f>IF($A19="","",IFERROR(INDEX('Natural Catastrophe'!$D$6:$D$17,MATCH($AS19,'Natural Catastrophe'!$B$6:$B$17,0)),"?"))</f>
        <v/>
      </c>
      <c r="AV19" s="98" t="str">
        <f>IF($A19="","",IFERROR(INDEX('Natural Catastrophe'!$C$21:$C$26,MATCH($AA19,'Natural Catastrophe'!$B$21:$B$26,0)),"?"))</f>
        <v/>
      </c>
      <c r="AW19" s="97" t="str">
        <f>IF($A19="","",IFERROR(INDEX('Base Rates'!$C$4:$I$4,MATCH(MAX($J19,'Technical Premium'!$C$18),'Base Rates'!$C$3:$I$3,1)),"?"))</f>
        <v/>
      </c>
      <c r="AX19" s="99" t="str">
        <f>IF($A19="","",IFERROR(INDEX('Base Rates'!$C$5:$I$16,MATCH($I19,'Base Rates'!$B$5:$B$16,0),MATCH(MAX($J19,'Technical Premium'!$C$18),'Base Rates'!$C$3:$I$3,1)),"?"))</f>
        <v/>
      </c>
      <c r="AY19" s="100" t="str">
        <f t="shared" si="1"/>
        <v/>
      </c>
      <c r="AZ19" s="97" t="str">
        <f>IF($A19="","",IFERROR(INDEX('Make Factors'!$G$5:$G$69,MATCH($F19,'Make Factors'!$B$5:$B$69,0)),"?"))</f>
        <v/>
      </c>
      <c r="BA19" s="97" t="str">
        <f>IF($A19="","",IFERROR(INDEX('Driver Factors'!$C$6:$C$15,MATCH($R19,'Driver Factors'!$B$6:$B$15,0)),"?"))</f>
        <v/>
      </c>
      <c r="BB19" s="97" t="str">
        <f>IF($A19="","",IFERROR(INDEX('Driver Factors'!$C$19:$C$24,MATCH($S19,'Driver Factors'!$B$19:$B$24,0)),"?"))</f>
        <v/>
      </c>
      <c r="BC19" s="97" t="str">
        <f>IF($A19="","",IFERROR(INDEX('Driver Factors'!$C$28:$C$36,MATCH($T19,'Driver Factors'!$B$28:$B$36,0)),"?"))</f>
        <v/>
      </c>
      <c r="BD19" s="97" t="str">
        <f>IF($A19="","",IFERROR(INDEX('Claims History'!$C$6:$C$15,MATCH($U19,'Claims History'!$B$6:$B$15,0)),"?"))</f>
        <v/>
      </c>
      <c r="BE19" s="97" t="str">
        <f>IF($A19="","",IFERROR(INDEX('Territory Factors'!$E$6:$E$56,MATCH($K19,'Territory Factors'!$B$6:$B$56,0)),"?"))</f>
        <v/>
      </c>
      <c r="BF19" s="97" t="str">
        <f>IF($A19="","",IFERROR(INDEX('City Accident Ratings'!$G$6:$G$54,MATCH($Z19,'City Accident Ratings'!$B$6:$B$54,0)),"?"))</f>
        <v/>
      </c>
      <c r="BG19" s="97" t="str">
        <f>IF($A19="","",IFERROR(INDEX('Usage and Coverage'!$D$6:$D$20,MATCH($N19,'Usage and Coverage'!$C$6:$C$20,0)),"?"))</f>
        <v/>
      </c>
      <c r="BH19" s="97" t="str">
        <f>IF($A19="","",IFERROR(INDEX('Usage and Coverage'!$C$24:$C$30,MATCH($O19,'Usage and Coverage'!$B$24:$B$30,0)),"?"))</f>
        <v/>
      </c>
      <c r="BI19" s="97" t="str">
        <f>IF($A19="","",IFERROR(INDEX('Usage and Coverage'!$C$34:$C$40,MATCH($P19,'Usage and Coverage'!$B$34:$B$40,0)),"?"))</f>
        <v/>
      </c>
      <c r="BJ19" s="97" t="str">
        <f>IF($A19="","",IFERROR(INDEX('Usage and Coverage'!$C$44:$C$49,MATCH($Q19,'Usage and Coverage'!$B$44:$B$49,0)),"?"))</f>
        <v/>
      </c>
      <c r="BK19" s="97" t="str">
        <f>IF($A19="","",IFERROR(INDEX(Deductibles!$C$6:$I$15,MATCH($W19,Deductibles!$B$6:$B$15,0),MATCH(MAX($J19,'Technical Premium'!$C$18),'Base Rates'!$C$3:$I$3,1)),"?"))</f>
        <v/>
      </c>
      <c r="BL19" s="97" t="str">
        <f>IF($A19="","",IFERROR(INDEX('Usage and Coverage'!$C$63:$C$66,MATCH($X19,'Usage and Coverage'!$B$63:$B$66,0)),"?"))</f>
        <v/>
      </c>
      <c r="BM19" s="97" t="str">
        <f>IF($A19="","",IFERROR(INDEX('Usage and Coverage'!$C$70:$C$75,MATCH($V19,'Usage and Coverage'!$B$70:$B$75,0)),"?"))</f>
        <v/>
      </c>
      <c r="BN19" s="97" t="str">
        <f>IF($A19="","",IF($AB19="",1,IFERROR(INDEX(Deductibles!$C$48:$C$51,MATCH($AB19,Deductibles!$B$48:$B$51,0)),"?")))</f>
        <v/>
      </c>
      <c r="BO19" s="97" t="str">
        <f>IF($A19="","",IF($AC19="",1,IFERROR(INDEX(Deductibles!$C$55:$C$57,MATCH($AC19,Deductibles!$B$55:$B$57,0)),"?")))</f>
        <v/>
      </c>
      <c r="BP19" s="97" t="str">
        <f>IF($A19="","",IF($AD19="",1,IFERROR(INDEX(Deductibles!$C$61:$C$63,MATCH($AD19,Deductibles!$B$61:$B$63,0)),"?")))</f>
        <v/>
      </c>
      <c r="BQ19" s="97" t="str">
        <f>IF($A19="","",IF($AE19="",1,IFERROR(INDEX(Deductibles!$C$67:$C$69,MATCH($AE19,Deductibles!$B$67:$B$69,0)),"?")))</f>
        <v/>
      </c>
      <c r="BR19" s="97" t="str">
        <f>IF($A19="","",IF($AF19="",1,IFERROR(INDEX(Deductibles!$C$73:$C$74,MATCH($AF19,Deductibles!$B$73:$B$74,0)),"?")))</f>
        <v/>
      </c>
      <c r="BS19" s="97" t="str">
        <f>IF($A19="","",IF($AG19="",1,IFERROR(INDEX('Sublimits and Parts'!$C$49:$C$52,MATCH($AG19,'Sublimits and Parts'!$B$49:$B$52,0)),"?")))</f>
        <v/>
      </c>
      <c r="BT19" s="97" t="str">
        <f>IF($A19="","",IF($AH19="",1,IFERROR(INDEX('Sublimits and Parts'!$C$56:$C$60,MATCH($AH19,'Sublimits and Parts'!$B$56:$B$60,0)),"?")))</f>
        <v/>
      </c>
      <c r="BU19" s="97" t="str">
        <f>IF($A19="","",IF($AI19="",1,IFERROR(INDEX('Sublimits and Parts'!$C$64:$C$67,MATCH($AI19,'Sublimits and Parts'!$B$64:$B$67,0)),"?")))</f>
        <v/>
      </c>
      <c r="BV19" s="97" t="str">
        <f>IF($A19="","",IF($AJ19="",1,IFERROR(INDEX('Sublimits and Parts'!$C$71:$C$74,MATCH($AJ19,'Sublimits and Parts'!$B$71:$B$74,0)),"?")))</f>
        <v/>
      </c>
      <c r="BW19" s="97" t="str">
        <f>IF($A19="","",IF($AK19="",1,IFERROR(INDEX('Sublimits and Parts'!$C$78:$C$80,MATCH($AK19,'Sublimits and Parts'!$B$78:$B$80,0)),"?")))</f>
        <v/>
      </c>
      <c r="BX19" s="97" t="str">
        <f>IF($A19="","",IF($AL19="",1,IFERROR(INDEX('Sublimits and Parts'!$C$84:$C$87,MATCH($AL19,'Sublimits and Parts'!$B$84:$B$87,0)),"?")))</f>
        <v/>
      </c>
      <c r="BY19" s="97" t="str">
        <f>IF($A19="","",IF($AM19="",1,IFERROR(INDEX('Sublimits and Parts'!$C$91:$C$94,MATCH($AM19,'Sublimits and Parts'!$B$91:$B$94,0)),"?")))</f>
        <v/>
      </c>
      <c r="BZ19" s="97" t="str">
        <f>IF($A19="","",IF($AN19="",1,IFERROR(INDEX('Sublimits and Parts'!$C$98:$C$101,MATCH($AN19,'Sublimits and Parts'!$B$98:$B$101,0)),"?")))</f>
        <v/>
      </c>
      <c r="CA19" s="97" t="str">
        <f>IF($A19="","",IF($AO19="",1,IFERROR(INDEX('Sublimits and Parts'!$C$105:$C$109,MATCH($AO19,'Sublimits and Parts'!$B$105:$B$109,0)),"?")))</f>
        <v/>
      </c>
      <c r="CB19" s="98" t="str">
        <f t="shared" si="2"/>
        <v/>
      </c>
      <c r="CC19" s="98" t="str">
        <f t="shared" si="3"/>
        <v/>
      </c>
      <c r="CD19" s="101" t="str">
        <f>IF($A19="","",IF(OR($CB19="?",$CC19="?"),"?",MIN($CB19*$CC19,'Technical Premium'!$C$17)))</f>
        <v/>
      </c>
      <c r="CE19" s="100" t="str">
        <f t="shared" si="4"/>
        <v/>
      </c>
      <c r="CF19" s="100" t="str">
        <f>IF($A19="","",IFERROR(INDEX('Territory Factors'!$F$6:$F$56,MATCH($K19,'Territory Factors'!$B$6:$B$56,0)),"?"))</f>
        <v/>
      </c>
      <c r="CG19" s="98" t="str">
        <f>IF($A19="","",IFERROR(INDEX('Usage and Coverage'!$C$79:$C$84,MATCH($Y19,'Usage and Coverage'!$B$79:$B$84,0)),"?"))</f>
        <v/>
      </c>
      <c r="CH19" s="100" t="str">
        <f>IFERROR(IF(ISNUMBER($CD19),$CF19*$CG19*MIN($BG19*$BA19*$BC19*$BD19*$BH19*$BF19,'Technical Premium'!$C$17),""),"")</f>
        <v/>
      </c>
      <c r="CI19" s="100" t="str">
        <f t="shared" si="5"/>
        <v/>
      </c>
      <c r="CJ19" s="100" t="str">
        <f>IFERROR($CI19*(1+'Technical Premium'!$C$5)*(1+'Technical Premium'!$C$6),"")</f>
        <v/>
      </c>
      <c r="CK19" s="100" t="str">
        <f>IFERROR($CE19*INDEX('Territory Factors'!$G$6:$G$56,MATCH($K19,'Territory Factors'!$B$6:$B$56,0))*$AU19*$AV19,"")</f>
        <v/>
      </c>
      <c r="CL19" s="100" t="str">
        <f>IFERROR(($CJ19+$CK19)*(1+'Technical Premium'!$C$7),"")</f>
        <v/>
      </c>
      <c r="CM19" s="102" t="str">
        <f>IFERROR($CL19/'Technical Premium'!$C$13,"")</f>
        <v/>
      </c>
      <c r="CN19" s="103" t="str">
        <f t="shared" si="6"/>
        <v/>
      </c>
      <c r="CO19" s="102" t="str">
        <f t="shared" si="7"/>
        <v/>
      </c>
      <c r="CP19" s="103" t="str">
        <f t="shared" si="8"/>
        <v/>
      </c>
      <c r="CQ19" s="104" t="str">
        <f t="shared" si="9"/>
        <v/>
      </c>
      <c r="CR19" s="100" t="str">
        <f>IF(ISNUMBER($CM19),'Technical Premium'!$C$14+IF($J19&gt;=1000000,'Technical Premium'!$C$15,0),"")</f>
        <v/>
      </c>
      <c r="CS19" s="100" t="str">
        <f>IFERROR(($CO19+$CR19)*(INDEX('Territory Factors'!$K$6:$K$56,MATCH($K19,'Territory Factors'!$B$6:$B$56,0))+'Commission Structure'!$C$21),"")</f>
        <v/>
      </c>
      <c r="CT19" s="102" t="str">
        <f t="shared" si="10"/>
        <v/>
      </c>
      <c r="CU19" s="100" t="str">
        <f>IFERROR($CO19*('Commission Structure'!$C$6+'Commission Structure'!$C$7),"")</f>
        <v/>
      </c>
      <c r="CV19" s="100" t="str">
        <f>IFERROR($CO19*'Commission Structure'!$C$5-$CU19,"")</f>
        <v/>
      </c>
      <c r="CW19" s="100" t="str">
        <f>IFERROR($CO19*(1-'Commission Structure'!$C$5),"")</f>
        <v/>
      </c>
      <c r="CX19" s="105" t="str">
        <f>IF($A19="","",IF(OR($CB19="?",$CC19="?",NOT(ISNUMBER($AU19))),"CHECK INPUTS",IF(OR($J19&lt;'Technical Premium'!$C$18,LEFT(IFERROR(INDEX('Driver Factors'!$D$6:$D$15,MATCH($R19,'Driver Factors'!$B$6:$B$15,0)),""),7)="DECLINE",LEFT(IFERROR(INDEX('Driver Factors'!$D$28:$D$36,MATCH($T19,'Driver Factors'!$B$28:$B$36,0)),""),7)="DECLINE",LEFT(IFERROR(INDEX('Claims History'!$D$6:$D$15,MATCH($U19,'Claims History'!$B$6:$B$15,0)),""),7)="DECLINE",LEFT(IFERROR(INDEX('Usage and Coverage'!$E$6:$E$20,MATCH($N19,'Usage and Coverage'!$C$6:$C$20,0)),""),7)="DECLINE"),"DECLINE",IF(OR($CD19&gt;2.5,$CD19&gt;='Technical Premium'!$C$17,$J19&gt;='Technical Premium'!$C$16,N($AQ19)&lt;'Technical Premium'!$C$19,N($AQ19)&gt;'Technical Premium'!$C$20,LEFT(IFERROR(INDEX('Driver Factors'!$D$6:$D$15,MATCH($R19,'Driver Factors'!$B$6:$B$15,0)),""),5)="Refer",LEFT(IFERROR(INDEX('Driver Factors'!$D$28:$D$36,MATCH($T19,'Driver Factors'!$B$28:$B$36,0)),""),5)="Refer",LEFT(IFERROR(INDEX('Claims History'!$D$6:$D$15,MATCH($U19,'Claims History'!$B$6:$B$15,0)),""),5)="Refer",LEFT(IFERROR(INDEX('Usage and Coverage'!$E$6:$E$20,MATCH($N19,'Usage and Coverage'!$C$6:$C$20,0)),""),5)="Refer"),"REFER","AUTO-BIND"))))</f>
        <v/>
      </c>
      <c r="CY19" s="106" t="str">
        <f t="shared" si="11"/>
        <v/>
      </c>
      <c r="CZ19" s="97" t="str">
        <f>IF($CY19="","",IF($CY19&lt;'Technical Premium'!$C$19,"BEYOND AUTHORITY",IF($CY19&gt;0.005,"Above technical",IF($CY19&lt;-0.005,"BELOW technical","At technical"))))</f>
        <v/>
      </c>
      <c r="DA19" s="97" t="str">
        <f>IF($A19="","",IF($CX19="AUTO-BIND","",TRIM(IF($J19&lt;'Technical Premium'!$C$18,"Below programme minimum agreed value. ","")&amp;IF(N($AQ19)&lt;'Technical Premium'!$C$19,"DISCOUNT AUTHORITY BREACH. ","")&amp;IF(N($AQ19)&gt;'Technical Premium'!$C$20,"Load authority breach. ","")&amp;IF($J19&gt;='Technical Premium'!$C$16,"Agreed value at or above auto-bind limit. ","")&amp;IF(AND(ISNUMBER($CD19),$CD19&gt;='Technical Premium'!$C$17),"Composite factor at cap. ","")&amp;IF(AND(ISNUMBER($CD19),$CD19&gt;2.5),"Composite factor above 2.50. ","")&amp;IF(LEFT(IFERROR(INDEX('Driver Factors'!$D$6:$D$15,MATCH($R19,'Driver Factors'!$B$6:$B$15,0)),""),7)="DECLINE","DECLINE - driver age. ",IF(LEFT(IFERROR(INDEX('Driver Factors'!$D$6:$D$15,MATCH($R19,'Driver Factors'!$B$6:$B$15,0)),""),5)="Refer","Driver age band. ",""))&amp;IF(LEFT(IFERROR(INDEX('Driver Factors'!$D$28:$D$36,MATCH($T19,'Driver Factors'!$B$28:$B$36,0)),""),7)="DECLINE","DECLINE - MVR. ",IF(LEFT(IFERROR(INDEX('Driver Factors'!$D$28:$D$36,MATCH($T19,'Driver Factors'!$B$28:$B$36,0)),""),5)="Refer","MVR record. ",""))&amp;IF(LEFT(IFERROR(INDEX('Claims History'!$D$6:$D$15,MATCH($U19,'Claims History'!$B$6:$B$15,0)),""),7)="DECLINE","DECLINE - claims. ",IF(LEFT(IFERROR(INDEX('Claims History'!$D$6:$D$15,MATCH($U19,'Claims History'!$B$6:$B$15,0)),""),5)="Refer","Claims history. ",""))&amp;IF(LEFT(IFERROR(INDEX('Usage and Coverage'!$E$6:$E$20,MATCH($N19,'Usage and Coverage'!$C$6:$C$20,0)),""),7)="DECLINE","DECLINE - usage class. ",IF(LEFT(IFERROR(INDEX('Usage and Coverage'!$E$6:$E$20,MATCH($N19,'Usage and Coverage'!$C$6:$C$20,0)),""),5)="Refer","Usage class. ",""))&amp;IF($CX19="CHECK INPUTS","Incomplete inputs. ",""))))</f>
        <v/>
      </c>
      <c r="DB19" s="92"/>
      <c r="DC19" s="92"/>
      <c r="DD19" s="93"/>
      <c r="DE19" s="92"/>
      <c r="DF19" s="92"/>
      <c r="DG19" s="97" t="str">
        <f t="shared" si="12"/>
        <v/>
      </c>
      <c r="DH19" s="97" t="str">
        <f>IF($A19="","",IF(OR($CX19="REFER",$CX19="DECLINE"),COUNTIF($CX$5:$CX19,"REFER")+COUNTIF($CX$5:$CX19,"DECLINE"),""))</f>
        <v/>
      </c>
      <c r="DI19" s="92"/>
    </row>
    <row r="20" spans="1:113" x14ac:dyDescent="0.25">
      <c r="A20" s="92"/>
      <c r="B20" s="92"/>
      <c r="C20" s="93"/>
      <c r="D20" s="93"/>
      <c r="E20" s="94"/>
      <c r="F20" s="92"/>
      <c r="G20" s="92"/>
      <c r="H20" s="92"/>
      <c r="I20" s="92"/>
      <c r="J20" s="95"/>
      <c r="K20" s="9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6"/>
      <c r="AR20" s="97" t="str">
        <f t="shared" si="0"/>
        <v/>
      </c>
      <c r="AS20" s="97" t="str">
        <f>IF($A20="","",IF($AP20&lt;&gt;"",$AP20,IFERROR(INDEX('Cat Zone by ZIP'!$D$6:$D$856,MATCH($AR20,'Cat Zone by ZIP'!$B$6:$B$856,0)),IFERROR(INDEX('Cat Zone by ZIP'!$C$860:$C$910,MATCH($K20,'Cat Zone by ZIP'!$B$860:$B$910,0)),"NOT FOUND"))))</f>
        <v/>
      </c>
      <c r="AT20" s="97" t="str">
        <f>IF($A20="","",IF($AP20&lt;&gt;"","Override",IF(ISNUMBER(MATCH($AR20,'Cat Zone by ZIP'!$B$6:$B$856,0)),"ZIP-3","State default")))</f>
        <v/>
      </c>
      <c r="AU20" s="98" t="str">
        <f>IF($A20="","",IFERROR(INDEX('Natural Catastrophe'!$D$6:$D$17,MATCH($AS20,'Natural Catastrophe'!$B$6:$B$17,0)),"?"))</f>
        <v/>
      </c>
      <c r="AV20" s="98" t="str">
        <f>IF($A20="","",IFERROR(INDEX('Natural Catastrophe'!$C$21:$C$26,MATCH($AA20,'Natural Catastrophe'!$B$21:$B$26,0)),"?"))</f>
        <v/>
      </c>
      <c r="AW20" s="97" t="str">
        <f>IF($A20="","",IFERROR(INDEX('Base Rates'!$C$4:$I$4,MATCH(MAX($J20,'Technical Premium'!$C$18),'Base Rates'!$C$3:$I$3,1)),"?"))</f>
        <v/>
      </c>
      <c r="AX20" s="99" t="str">
        <f>IF($A20="","",IFERROR(INDEX('Base Rates'!$C$5:$I$16,MATCH($I20,'Base Rates'!$B$5:$B$16,0),MATCH(MAX($J20,'Technical Premium'!$C$18),'Base Rates'!$C$3:$I$3,1)),"?"))</f>
        <v/>
      </c>
      <c r="AY20" s="100" t="str">
        <f t="shared" si="1"/>
        <v/>
      </c>
      <c r="AZ20" s="97" t="str">
        <f>IF($A20="","",IFERROR(INDEX('Make Factors'!$G$5:$G$69,MATCH($F20,'Make Factors'!$B$5:$B$69,0)),"?"))</f>
        <v/>
      </c>
      <c r="BA20" s="97" t="str">
        <f>IF($A20="","",IFERROR(INDEX('Driver Factors'!$C$6:$C$15,MATCH($R20,'Driver Factors'!$B$6:$B$15,0)),"?"))</f>
        <v/>
      </c>
      <c r="BB20" s="97" t="str">
        <f>IF($A20="","",IFERROR(INDEX('Driver Factors'!$C$19:$C$24,MATCH($S20,'Driver Factors'!$B$19:$B$24,0)),"?"))</f>
        <v/>
      </c>
      <c r="BC20" s="97" t="str">
        <f>IF($A20="","",IFERROR(INDEX('Driver Factors'!$C$28:$C$36,MATCH($T20,'Driver Factors'!$B$28:$B$36,0)),"?"))</f>
        <v/>
      </c>
      <c r="BD20" s="97" t="str">
        <f>IF($A20="","",IFERROR(INDEX('Claims History'!$C$6:$C$15,MATCH($U20,'Claims History'!$B$6:$B$15,0)),"?"))</f>
        <v/>
      </c>
      <c r="BE20" s="97" t="str">
        <f>IF($A20="","",IFERROR(INDEX('Territory Factors'!$E$6:$E$56,MATCH($K20,'Territory Factors'!$B$6:$B$56,0)),"?"))</f>
        <v/>
      </c>
      <c r="BF20" s="97" t="str">
        <f>IF($A20="","",IFERROR(INDEX('City Accident Ratings'!$G$6:$G$54,MATCH($Z20,'City Accident Ratings'!$B$6:$B$54,0)),"?"))</f>
        <v/>
      </c>
      <c r="BG20" s="97" t="str">
        <f>IF($A20="","",IFERROR(INDEX('Usage and Coverage'!$D$6:$D$20,MATCH($N20,'Usage and Coverage'!$C$6:$C$20,0)),"?"))</f>
        <v/>
      </c>
      <c r="BH20" s="97" t="str">
        <f>IF($A20="","",IFERROR(INDEX('Usage and Coverage'!$C$24:$C$30,MATCH($O20,'Usage and Coverage'!$B$24:$B$30,0)),"?"))</f>
        <v/>
      </c>
      <c r="BI20" s="97" t="str">
        <f>IF($A20="","",IFERROR(INDEX('Usage and Coverage'!$C$34:$C$40,MATCH($P20,'Usage and Coverage'!$B$34:$B$40,0)),"?"))</f>
        <v/>
      </c>
      <c r="BJ20" s="97" t="str">
        <f>IF($A20="","",IFERROR(INDEX('Usage and Coverage'!$C$44:$C$49,MATCH($Q20,'Usage and Coverage'!$B$44:$B$49,0)),"?"))</f>
        <v/>
      </c>
      <c r="BK20" s="97" t="str">
        <f>IF($A20="","",IFERROR(INDEX(Deductibles!$C$6:$I$15,MATCH($W20,Deductibles!$B$6:$B$15,0),MATCH(MAX($J20,'Technical Premium'!$C$18),'Base Rates'!$C$3:$I$3,1)),"?"))</f>
        <v/>
      </c>
      <c r="BL20" s="97" t="str">
        <f>IF($A20="","",IFERROR(INDEX('Usage and Coverage'!$C$63:$C$66,MATCH($X20,'Usage and Coverage'!$B$63:$B$66,0)),"?"))</f>
        <v/>
      </c>
      <c r="BM20" s="97" t="str">
        <f>IF($A20="","",IFERROR(INDEX('Usage and Coverage'!$C$70:$C$75,MATCH($V20,'Usage and Coverage'!$B$70:$B$75,0)),"?"))</f>
        <v/>
      </c>
      <c r="BN20" s="97" t="str">
        <f>IF($A20="","",IF($AB20="",1,IFERROR(INDEX(Deductibles!$C$48:$C$51,MATCH($AB20,Deductibles!$B$48:$B$51,0)),"?")))</f>
        <v/>
      </c>
      <c r="BO20" s="97" t="str">
        <f>IF($A20="","",IF($AC20="",1,IFERROR(INDEX(Deductibles!$C$55:$C$57,MATCH($AC20,Deductibles!$B$55:$B$57,0)),"?")))</f>
        <v/>
      </c>
      <c r="BP20" s="97" t="str">
        <f>IF($A20="","",IF($AD20="",1,IFERROR(INDEX(Deductibles!$C$61:$C$63,MATCH($AD20,Deductibles!$B$61:$B$63,0)),"?")))</f>
        <v/>
      </c>
      <c r="BQ20" s="97" t="str">
        <f>IF($A20="","",IF($AE20="",1,IFERROR(INDEX(Deductibles!$C$67:$C$69,MATCH($AE20,Deductibles!$B$67:$B$69,0)),"?")))</f>
        <v/>
      </c>
      <c r="BR20" s="97" t="str">
        <f>IF($A20="","",IF($AF20="",1,IFERROR(INDEX(Deductibles!$C$73:$C$74,MATCH($AF20,Deductibles!$B$73:$B$74,0)),"?")))</f>
        <v/>
      </c>
      <c r="BS20" s="97" t="str">
        <f>IF($A20="","",IF($AG20="",1,IFERROR(INDEX('Sublimits and Parts'!$C$49:$C$52,MATCH($AG20,'Sublimits and Parts'!$B$49:$B$52,0)),"?")))</f>
        <v/>
      </c>
      <c r="BT20" s="97" t="str">
        <f>IF($A20="","",IF($AH20="",1,IFERROR(INDEX('Sublimits and Parts'!$C$56:$C$60,MATCH($AH20,'Sublimits and Parts'!$B$56:$B$60,0)),"?")))</f>
        <v/>
      </c>
      <c r="BU20" s="97" t="str">
        <f>IF($A20="","",IF($AI20="",1,IFERROR(INDEX('Sublimits and Parts'!$C$64:$C$67,MATCH($AI20,'Sublimits and Parts'!$B$64:$B$67,0)),"?")))</f>
        <v/>
      </c>
      <c r="BV20" s="97" t="str">
        <f>IF($A20="","",IF($AJ20="",1,IFERROR(INDEX('Sublimits and Parts'!$C$71:$C$74,MATCH($AJ20,'Sublimits and Parts'!$B$71:$B$74,0)),"?")))</f>
        <v/>
      </c>
      <c r="BW20" s="97" t="str">
        <f>IF($A20="","",IF($AK20="",1,IFERROR(INDEX('Sublimits and Parts'!$C$78:$C$80,MATCH($AK20,'Sublimits and Parts'!$B$78:$B$80,0)),"?")))</f>
        <v/>
      </c>
      <c r="BX20" s="97" t="str">
        <f>IF($A20="","",IF($AL20="",1,IFERROR(INDEX('Sublimits and Parts'!$C$84:$C$87,MATCH($AL20,'Sublimits and Parts'!$B$84:$B$87,0)),"?")))</f>
        <v/>
      </c>
      <c r="BY20" s="97" t="str">
        <f>IF($A20="","",IF($AM20="",1,IFERROR(INDEX('Sublimits and Parts'!$C$91:$C$94,MATCH($AM20,'Sublimits and Parts'!$B$91:$B$94,0)),"?")))</f>
        <v/>
      </c>
      <c r="BZ20" s="97" t="str">
        <f>IF($A20="","",IF($AN20="",1,IFERROR(INDEX('Sublimits and Parts'!$C$98:$C$101,MATCH($AN20,'Sublimits and Parts'!$B$98:$B$101,0)),"?")))</f>
        <v/>
      </c>
      <c r="CA20" s="97" t="str">
        <f>IF($A20="","",IF($AO20="",1,IFERROR(INDEX('Sublimits and Parts'!$C$105:$C$109,MATCH($AO20,'Sublimits and Parts'!$B$105:$B$109,0)),"?")))</f>
        <v/>
      </c>
      <c r="CB20" s="98" t="str">
        <f t="shared" si="2"/>
        <v/>
      </c>
      <c r="CC20" s="98" t="str">
        <f t="shared" si="3"/>
        <v/>
      </c>
      <c r="CD20" s="101" t="str">
        <f>IF($A20="","",IF(OR($CB20="?",$CC20="?"),"?",MIN($CB20*$CC20,'Technical Premium'!$C$17)))</f>
        <v/>
      </c>
      <c r="CE20" s="100" t="str">
        <f t="shared" si="4"/>
        <v/>
      </c>
      <c r="CF20" s="100" t="str">
        <f>IF($A20="","",IFERROR(INDEX('Territory Factors'!$F$6:$F$56,MATCH($K20,'Territory Factors'!$B$6:$B$56,0)),"?"))</f>
        <v/>
      </c>
      <c r="CG20" s="98" t="str">
        <f>IF($A20="","",IFERROR(INDEX('Usage and Coverage'!$C$79:$C$84,MATCH($Y20,'Usage and Coverage'!$B$79:$B$84,0)),"?"))</f>
        <v/>
      </c>
      <c r="CH20" s="100" t="str">
        <f>IFERROR(IF(ISNUMBER($CD20),$CF20*$CG20*MIN($BG20*$BA20*$BC20*$BD20*$BH20*$BF20,'Technical Premium'!$C$17),""),"")</f>
        <v/>
      </c>
      <c r="CI20" s="100" t="str">
        <f t="shared" si="5"/>
        <v/>
      </c>
      <c r="CJ20" s="100" t="str">
        <f>IFERROR($CI20*(1+'Technical Premium'!$C$5)*(1+'Technical Premium'!$C$6),"")</f>
        <v/>
      </c>
      <c r="CK20" s="100" t="str">
        <f>IFERROR($CE20*INDEX('Territory Factors'!$G$6:$G$56,MATCH($K20,'Territory Factors'!$B$6:$B$56,0))*$AU20*$AV20,"")</f>
        <v/>
      </c>
      <c r="CL20" s="100" t="str">
        <f>IFERROR(($CJ20+$CK20)*(1+'Technical Premium'!$C$7),"")</f>
        <v/>
      </c>
      <c r="CM20" s="102" t="str">
        <f>IFERROR($CL20/'Technical Premium'!$C$13,"")</f>
        <v/>
      </c>
      <c r="CN20" s="103" t="str">
        <f t="shared" si="6"/>
        <v/>
      </c>
      <c r="CO20" s="102" t="str">
        <f t="shared" si="7"/>
        <v/>
      </c>
      <c r="CP20" s="103" t="str">
        <f t="shared" si="8"/>
        <v/>
      </c>
      <c r="CQ20" s="104" t="str">
        <f t="shared" si="9"/>
        <v/>
      </c>
      <c r="CR20" s="100" t="str">
        <f>IF(ISNUMBER($CM20),'Technical Premium'!$C$14+IF($J20&gt;=1000000,'Technical Premium'!$C$15,0),"")</f>
        <v/>
      </c>
      <c r="CS20" s="100" t="str">
        <f>IFERROR(($CO20+$CR20)*(INDEX('Territory Factors'!$K$6:$K$56,MATCH($K20,'Territory Factors'!$B$6:$B$56,0))+'Commission Structure'!$C$21),"")</f>
        <v/>
      </c>
      <c r="CT20" s="102" t="str">
        <f t="shared" si="10"/>
        <v/>
      </c>
      <c r="CU20" s="100" t="str">
        <f>IFERROR($CO20*('Commission Structure'!$C$6+'Commission Structure'!$C$7),"")</f>
        <v/>
      </c>
      <c r="CV20" s="100" t="str">
        <f>IFERROR($CO20*'Commission Structure'!$C$5-$CU20,"")</f>
        <v/>
      </c>
      <c r="CW20" s="100" t="str">
        <f>IFERROR($CO20*(1-'Commission Structure'!$C$5),"")</f>
        <v/>
      </c>
      <c r="CX20" s="105" t="str">
        <f>IF($A20="","",IF(OR($CB20="?",$CC20="?",NOT(ISNUMBER($AU20))),"CHECK INPUTS",IF(OR($J20&lt;'Technical Premium'!$C$18,LEFT(IFERROR(INDEX('Driver Factors'!$D$6:$D$15,MATCH($R20,'Driver Factors'!$B$6:$B$15,0)),""),7)="DECLINE",LEFT(IFERROR(INDEX('Driver Factors'!$D$28:$D$36,MATCH($T20,'Driver Factors'!$B$28:$B$36,0)),""),7)="DECLINE",LEFT(IFERROR(INDEX('Claims History'!$D$6:$D$15,MATCH($U20,'Claims History'!$B$6:$B$15,0)),""),7)="DECLINE",LEFT(IFERROR(INDEX('Usage and Coverage'!$E$6:$E$20,MATCH($N20,'Usage and Coverage'!$C$6:$C$20,0)),""),7)="DECLINE"),"DECLINE",IF(OR($CD20&gt;2.5,$CD20&gt;='Technical Premium'!$C$17,$J20&gt;='Technical Premium'!$C$16,N($AQ20)&lt;'Technical Premium'!$C$19,N($AQ20)&gt;'Technical Premium'!$C$20,LEFT(IFERROR(INDEX('Driver Factors'!$D$6:$D$15,MATCH($R20,'Driver Factors'!$B$6:$B$15,0)),""),5)="Refer",LEFT(IFERROR(INDEX('Driver Factors'!$D$28:$D$36,MATCH($T20,'Driver Factors'!$B$28:$B$36,0)),""),5)="Refer",LEFT(IFERROR(INDEX('Claims History'!$D$6:$D$15,MATCH($U20,'Claims History'!$B$6:$B$15,0)),""),5)="Refer",LEFT(IFERROR(INDEX('Usage and Coverage'!$E$6:$E$20,MATCH($N20,'Usage and Coverage'!$C$6:$C$20,0)),""),5)="Refer"),"REFER","AUTO-BIND"))))</f>
        <v/>
      </c>
      <c r="CY20" s="106" t="str">
        <f t="shared" si="11"/>
        <v/>
      </c>
      <c r="CZ20" s="97" t="str">
        <f>IF($CY20="","",IF($CY20&lt;'Technical Premium'!$C$19,"BEYOND AUTHORITY",IF($CY20&gt;0.005,"Above technical",IF($CY20&lt;-0.005,"BELOW technical","At technical"))))</f>
        <v/>
      </c>
      <c r="DA20" s="97" t="str">
        <f>IF($A20="","",IF($CX20="AUTO-BIND","",TRIM(IF($J20&lt;'Technical Premium'!$C$18,"Below programme minimum agreed value. ","")&amp;IF(N($AQ20)&lt;'Technical Premium'!$C$19,"DISCOUNT AUTHORITY BREACH. ","")&amp;IF(N($AQ20)&gt;'Technical Premium'!$C$20,"Load authority breach. ","")&amp;IF($J20&gt;='Technical Premium'!$C$16,"Agreed value at or above auto-bind limit. ","")&amp;IF(AND(ISNUMBER($CD20),$CD20&gt;='Technical Premium'!$C$17),"Composite factor at cap. ","")&amp;IF(AND(ISNUMBER($CD20),$CD20&gt;2.5),"Composite factor above 2.50. ","")&amp;IF(LEFT(IFERROR(INDEX('Driver Factors'!$D$6:$D$15,MATCH($R20,'Driver Factors'!$B$6:$B$15,0)),""),7)="DECLINE","DECLINE - driver age. ",IF(LEFT(IFERROR(INDEX('Driver Factors'!$D$6:$D$15,MATCH($R20,'Driver Factors'!$B$6:$B$15,0)),""),5)="Refer","Driver age band. ",""))&amp;IF(LEFT(IFERROR(INDEX('Driver Factors'!$D$28:$D$36,MATCH($T20,'Driver Factors'!$B$28:$B$36,0)),""),7)="DECLINE","DECLINE - MVR. ",IF(LEFT(IFERROR(INDEX('Driver Factors'!$D$28:$D$36,MATCH($T20,'Driver Factors'!$B$28:$B$36,0)),""),5)="Refer","MVR record. ",""))&amp;IF(LEFT(IFERROR(INDEX('Claims History'!$D$6:$D$15,MATCH($U20,'Claims History'!$B$6:$B$15,0)),""),7)="DECLINE","DECLINE - claims. ",IF(LEFT(IFERROR(INDEX('Claims History'!$D$6:$D$15,MATCH($U20,'Claims History'!$B$6:$B$15,0)),""),5)="Refer","Claims history. ",""))&amp;IF(LEFT(IFERROR(INDEX('Usage and Coverage'!$E$6:$E$20,MATCH($N20,'Usage and Coverage'!$C$6:$C$20,0)),""),7)="DECLINE","DECLINE - usage class. ",IF(LEFT(IFERROR(INDEX('Usage and Coverage'!$E$6:$E$20,MATCH($N20,'Usage and Coverage'!$C$6:$C$20,0)),""),5)="Refer","Usage class. ",""))&amp;IF($CX20="CHECK INPUTS","Incomplete inputs. ",""))))</f>
        <v/>
      </c>
      <c r="DB20" s="92"/>
      <c r="DC20" s="92"/>
      <c r="DD20" s="93"/>
      <c r="DE20" s="92"/>
      <c r="DF20" s="92"/>
      <c r="DG20" s="97" t="str">
        <f t="shared" si="12"/>
        <v/>
      </c>
      <c r="DH20" s="97" t="str">
        <f>IF($A20="","",IF(OR($CX20="REFER",$CX20="DECLINE"),COUNTIF($CX$5:$CX20,"REFER")+COUNTIF($CX$5:$CX20,"DECLINE"),""))</f>
        <v/>
      </c>
      <c r="DI20" s="92"/>
    </row>
    <row r="21" spans="1:113" x14ac:dyDescent="0.25">
      <c r="A21" s="92"/>
      <c r="B21" s="92"/>
      <c r="C21" s="93"/>
      <c r="D21" s="93"/>
      <c r="E21" s="94"/>
      <c r="F21" s="92"/>
      <c r="G21" s="92"/>
      <c r="H21" s="92"/>
      <c r="I21" s="92"/>
      <c r="J21" s="95"/>
      <c r="K21" s="9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6"/>
      <c r="AR21" s="97" t="str">
        <f t="shared" si="0"/>
        <v/>
      </c>
      <c r="AS21" s="97" t="str">
        <f>IF($A21="","",IF($AP21&lt;&gt;"",$AP21,IFERROR(INDEX('Cat Zone by ZIP'!$D$6:$D$856,MATCH($AR21,'Cat Zone by ZIP'!$B$6:$B$856,0)),IFERROR(INDEX('Cat Zone by ZIP'!$C$860:$C$910,MATCH($K21,'Cat Zone by ZIP'!$B$860:$B$910,0)),"NOT FOUND"))))</f>
        <v/>
      </c>
      <c r="AT21" s="97" t="str">
        <f>IF($A21="","",IF($AP21&lt;&gt;"","Override",IF(ISNUMBER(MATCH($AR21,'Cat Zone by ZIP'!$B$6:$B$856,0)),"ZIP-3","State default")))</f>
        <v/>
      </c>
      <c r="AU21" s="98" t="str">
        <f>IF($A21="","",IFERROR(INDEX('Natural Catastrophe'!$D$6:$D$17,MATCH($AS21,'Natural Catastrophe'!$B$6:$B$17,0)),"?"))</f>
        <v/>
      </c>
      <c r="AV21" s="98" t="str">
        <f>IF($A21="","",IFERROR(INDEX('Natural Catastrophe'!$C$21:$C$26,MATCH($AA21,'Natural Catastrophe'!$B$21:$B$26,0)),"?"))</f>
        <v/>
      </c>
      <c r="AW21" s="97" t="str">
        <f>IF($A21="","",IFERROR(INDEX('Base Rates'!$C$4:$I$4,MATCH(MAX($J21,'Technical Premium'!$C$18),'Base Rates'!$C$3:$I$3,1)),"?"))</f>
        <v/>
      </c>
      <c r="AX21" s="99" t="str">
        <f>IF($A21="","",IFERROR(INDEX('Base Rates'!$C$5:$I$16,MATCH($I21,'Base Rates'!$B$5:$B$16,0),MATCH(MAX($J21,'Technical Premium'!$C$18),'Base Rates'!$C$3:$I$3,1)),"?"))</f>
        <v/>
      </c>
      <c r="AY21" s="100" t="str">
        <f t="shared" si="1"/>
        <v/>
      </c>
      <c r="AZ21" s="97" t="str">
        <f>IF($A21="","",IFERROR(INDEX('Make Factors'!$G$5:$G$69,MATCH($F21,'Make Factors'!$B$5:$B$69,0)),"?"))</f>
        <v/>
      </c>
      <c r="BA21" s="97" t="str">
        <f>IF($A21="","",IFERROR(INDEX('Driver Factors'!$C$6:$C$15,MATCH($R21,'Driver Factors'!$B$6:$B$15,0)),"?"))</f>
        <v/>
      </c>
      <c r="BB21" s="97" t="str">
        <f>IF($A21="","",IFERROR(INDEX('Driver Factors'!$C$19:$C$24,MATCH($S21,'Driver Factors'!$B$19:$B$24,0)),"?"))</f>
        <v/>
      </c>
      <c r="BC21" s="97" t="str">
        <f>IF($A21="","",IFERROR(INDEX('Driver Factors'!$C$28:$C$36,MATCH($T21,'Driver Factors'!$B$28:$B$36,0)),"?"))</f>
        <v/>
      </c>
      <c r="BD21" s="97" t="str">
        <f>IF($A21="","",IFERROR(INDEX('Claims History'!$C$6:$C$15,MATCH($U21,'Claims History'!$B$6:$B$15,0)),"?"))</f>
        <v/>
      </c>
      <c r="BE21" s="97" t="str">
        <f>IF($A21="","",IFERROR(INDEX('Territory Factors'!$E$6:$E$56,MATCH($K21,'Territory Factors'!$B$6:$B$56,0)),"?"))</f>
        <v/>
      </c>
      <c r="BF21" s="97" t="str">
        <f>IF($A21="","",IFERROR(INDEX('City Accident Ratings'!$G$6:$G$54,MATCH($Z21,'City Accident Ratings'!$B$6:$B$54,0)),"?"))</f>
        <v/>
      </c>
      <c r="BG21" s="97" t="str">
        <f>IF($A21="","",IFERROR(INDEX('Usage and Coverage'!$D$6:$D$20,MATCH($N21,'Usage and Coverage'!$C$6:$C$20,0)),"?"))</f>
        <v/>
      </c>
      <c r="BH21" s="97" t="str">
        <f>IF($A21="","",IFERROR(INDEX('Usage and Coverage'!$C$24:$C$30,MATCH($O21,'Usage and Coverage'!$B$24:$B$30,0)),"?"))</f>
        <v/>
      </c>
      <c r="BI21" s="97" t="str">
        <f>IF($A21="","",IFERROR(INDEX('Usage and Coverage'!$C$34:$C$40,MATCH($P21,'Usage and Coverage'!$B$34:$B$40,0)),"?"))</f>
        <v/>
      </c>
      <c r="BJ21" s="97" t="str">
        <f>IF($A21="","",IFERROR(INDEX('Usage and Coverage'!$C$44:$C$49,MATCH($Q21,'Usage and Coverage'!$B$44:$B$49,0)),"?"))</f>
        <v/>
      </c>
      <c r="BK21" s="97" t="str">
        <f>IF($A21="","",IFERROR(INDEX(Deductibles!$C$6:$I$15,MATCH($W21,Deductibles!$B$6:$B$15,0),MATCH(MAX($J21,'Technical Premium'!$C$18),'Base Rates'!$C$3:$I$3,1)),"?"))</f>
        <v/>
      </c>
      <c r="BL21" s="97" t="str">
        <f>IF($A21="","",IFERROR(INDEX('Usage and Coverage'!$C$63:$C$66,MATCH($X21,'Usage and Coverage'!$B$63:$B$66,0)),"?"))</f>
        <v/>
      </c>
      <c r="BM21" s="97" t="str">
        <f>IF($A21="","",IFERROR(INDEX('Usage and Coverage'!$C$70:$C$75,MATCH($V21,'Usage and Coverage'!$B$70:$B$75,0)),"?"))</f>
        <v/>
      </c>
      <c r="BN21" s="97" t="str">
        <f>IF($A21="","",IF($AB21="",1,IFERROR(INDEX(Deductibles!$C$48:$C$51,MATCH($AB21,Deductibles!$B$48:$B$51,0)),"?")))</f>
        <v/>
      </c>
      <c r="BO21" s="97" t="str">
        <f>IF($A21="","",IF($AC21="",1,IFERROR(INDEX(Deductibles!$C$55:$C$57,MATCH($AC21,Deductibles!$B$55:$B$57,0)),"?")))</f>
        <v/>
      </c>
      <c r="BP21" s="97" t="str">
        <f>IF($A21="","",IF($AD21="",1,IFERROR(INDEX(Deductibles!$C$61:$C$63,MATCH($AD21,Deductibles!$B$61:$B$63,0)),"?")))</f>
        <v/>
      </c>
      <c r="BQ21" s="97" t="str">
        <f>IF($A21="","",IF($AE21="",1,IFERROR(INDEX(Deductibles!$C$67:$C$69,MATCH($AE21,Deductibles!$B$67:$B$69,0)),"?")))</f>
        <v/>
      </c>
      <c r="BR21" s="97" t="str">
        <f>IF($A21="","",IF($AF21="",1,IFERROR(INDEX(Deductibles!$C$73:$C$74,MATCH($AF21,Deductibles!$B$73:$B$74,0)),"?")))</f>
        <v/>
      </c>
      <c r="BS21" s="97" t="str">
        <f>IF($A21="","",IF($AG21="",1,IFERROR(INDEX('Sublimits and Parts'!$C$49:$C$52,MATCH($AG21,'Sublimits and Parts'!$B$49:$B$52,0)),"?")))</f>
        <v/>
      </c>
      <c r="BT21" s="97" t="str">
        <f>IF($A21="","",IF($AH21="",1,IFERROR(INDEX('Sublimits and Parts'!$C$56:$C$60,MATCH($AH21,'Sublimits and Parts'!$B$56:$B$60,0)),"?")))</f>
        <v/>
      </c>
      <c r="BU21" s="97" t="str">
        <f>IF($A21="","",IF($AI21="",1,IFERROR(INDEX('Sublimits and Parts'!$C$64:$C$67,MATCH($AI21,'Sublimits and Parts'!$B$64:$B$67,0)),"?")))</f>
        <v/>
      </c>
      <c r="BV21" s="97" t="str">
        <f>IF($A21="","",IF($AJ21="",1,IFERROR(INDEX('Sublimits and Parts'!$C$71:$C$74,MATCH($AJ21,'Sublimits and Parts'!$B$71:$B$74,0)),"?")))</f>
        <v/>
      </c>
      <c r="BW21" s="97" t="str">
        <f>IF($A21="","",IF($AK21="",1,IFERROR(INDEX('Sublimits and Parts'!$C$78:$C$80,MATCH($AK21,'Sublimits and Parts'!$B$78:$B$80,0)),"?")))</f>
        <v/>
      </c>
      <c r="BX21" s="97" t="str">
        <f>IF($A21="","",IF($AL21="",1,IFERROR(INDEX('Sublimits and Parts'!$C$84:$C$87,MATCH($AL21,'Sublimits and Parts'!$B$84:$B$87,0)),"?")))</f>
        <v/>
      </c>
      <c r="BY21" s="97" t="str">
        <f>IF($A21="","",IF($AM21="",1,IFERROR(INDEX('Sublimits and Parts'!$C$91:$C$94,MATCH($AM21,'Sublimits and Parts'!$B$91:$B$94,0)),"?")))</f>
        <v/>
      </c>
      <c r="BZ21" s="97" t="str">
        <f>IF($A21="","",IF($AN21="",1,IFERROR(INDEX('Sublimits and Parts'!$C$98:$C$101,MATCH($AN21,'Sublimits and Parts'!$B$98:$B$101,0)),"?")))</f>
        <v/>
      </c>
      <c r="CA21" s="97" t="str">
        <f>IF($A21="","",IF($AO21="",1,IFERROR(INDEX('Sublimits and Parts'!$C$105:$C$109,MATCH($AO21,'Sublimits and Parts'!$B$105:$B$109,0)),"?")))</f>
        <v/>
      </c>
      <c r="CB21" s="98" t="str">
        <f t="shared" si="2"/>
        <v/>
      </c>
      <c r="CC21" s="98" t="str">
        <f t="shared" si="3"/>
        <v/>
      </c>
      <c r="CD21" s="101" t="str">
        <f>IF($A21="","",IF(OR($CB21="?",$CC21="?"),"?",MIN($CB21*$CC21,'Technical Premium'!$C$17)))</f>
        <v/>
      </c>
      <c r="CE21" s="100" t="str">
        <f t="shared" si="4"/>
        <v/>
      </c>
      <c r="CF21" s="100" t="str">
        <f>IF($A21="","",IFERROR(INDEX('Territory Factors'!$F$6:$F$56,MATCH($K21,'Territory Factors'!$B$6:$B$56,0)),"?"))</f>
        <v/>
      </c>
      <c r="CG21" s="98" t="str">
        <f>IF($A21="","",IFERROR(INDEX('Usage and Coverage'!$C$79:$C$84,MATCH($Y21,'Usage and Coverage'!$B$79:$B$84,0)),"?"))</f>
        <v/>
      </c>
      <c r="CH21" s="100" t="str">
        <f>IFERROR(IF(ISNUMBER($CD21),$CF21*$CG21*MIN($BG21*$BA21*$BC21*$BD21*$BH21*$BF21,'Technical Premium'!$C$17),""),"")</f>
        <v/>
      </c>
      <c r="CI21" s="100" t="str">
        <f t="shared" si="5"/>
        <v/>
      </c>
      <c r="CJ21" s="100" t="str">
        <f>IFERROR($CI21*(1+'Technical Premium'!$C$5)*(1+'Technical Premium'!$C$6),"")</f>
        <v/>
      </c>
      <c r="CK21" s="100" t="str">
        <f>IFERROR($CE21*INDEX('Territory Factors'!$G$6:$G$56,MATCH($K21,'Territory Factors'!$B$6:$B$56,0))*$AU21*$AV21,"")</f>
        <v/>
      </c>
      <c r="CL21" s="100" t="str">
        <f>IFERROR(($CJ21+$CK21)*(1+'Technical Premium'!$C$7),"")</f>
        <v/>
      </c>
      <c r="CM21" s="102" t="str">
        <f>IFERROR($CL21/'Technical Premium'!$C$13,"")</f>
        <v/>
      </c>
      <c r="CN21" s="103" t="str">
        <f t="shared" si="6"/>
        <v/>
      </c>
      <c r="CO21" s="102" t="str">
        <f t="shared" si="7"/>
        <v/>
      </c>
      <c r="CP21" s="103" t="str">
        <f t="shared" si="8"/>
        <v/>
      </c>
      <c r="CQ21" s="104" t="str">
        <f t="shared" si="9"/>
        <v/>
      </c>
      <c r="CR21" s="100" t="str">
        <f>IF(ISNUMBER($CM21),'Technical Premium'!$C$14+IF($J21&gt;=1000000,'Technical Premium'!$C$15,0),"")</f>
        <v/>
      </c>
      <c r="CS21" s="100" t="str">
        <f>IFERROR(($CO21+$CR21)*(INDEX('Territory Factors'!$K$6:$K$56,MATCH($K21,'Territory Factors'!$B$6:$B$56,0))+'Commission Structure'!$C$21),"")</f>
        <v/>
      </c>
      <c r="CT21" s="102" t="str">
        <f t="shared" si="10"/>
        <v/>
      </c>
      <c r="CU21" s="100" t="str">
        <f>IFERROR($CO21*('Commission Structure'!$C$6+'Commission Structure'!$C$7),"")</f>
        <v/>
      </c>
      <c r="CV21" s="100" t="str">
        <f>IFERROR($CO21*'Commission Structure'!$C$5-$CU21,"")</f>
        <v/>
      </c>
      <c r="CW21" s="100" t="str">
        <f>IFERROR($CO21*(1-'Commission Structure'!$C$5),"")</f>
        <v/>
      </c>
      <c r="CX21" s="105" t="str">
        <f>IF($A21="","",IF(OR($CB21="?",$CC21="?",NOT(ISNUMBER($AU21))),"CHECK INPUTS",IF(OR($J21&lt;'Technical Premium'!$C$18,LEFT(IFERROR(INDEX('Driver Factors'!$D$6:$D$15,MATCH($R21,'Driver Factors'!$B$6:$B$15,0)),""),7)="DECLINE",LEFT(IFERROR(INDEX('Driver Factors'!$D$28:$D$36,MATCH($T21,'Driver Factors'!$B$28:$B$36,0)),""),7)="DECLINE",LEFT(IFERROR(INDEX('Claims History'!$D$6:$D$15,MATCH($U21,'Claims History'!$B$6:$B$15,0)),""),7)="DECLINE",LEFT(IFERROR(INDEX('Usage and Coverage'!$E$6:$E$20,MATCH($N21,'Usage and Coverage'!$C$6:$C$20,0)),""),7)="DECLINE"),"DECLINE",IF(OR($CD21&gt;2.5,$CD21&gt;='Technical Premium'!$C$17,$J21&gt;='Technical Premium'!$C$16,N($AQ21)&lt;'Technical Premium'!$C$19,N($AQ21)&gt;'Technical Premium'!$C$20,LEFT(IFERROR(INDEX('Driver Factors'!$D$6:$D$15,MATCH($R21,'Driver Factors'!$B$6:$B$15,0)),""),5)="Refer",LEFT(IFERROR(INDEX('Driver Factors'!$D$28:$D$36,MATCH($T21,'Driver Factors'!$B$28:$B$36,0)),""),5)="Refer",LEFT(IFERROR(INDEX('Claims History'!$D$6:$D$15,MATCH($U21,'Claims History'!$B$6:$B$15,0)),""),5)="Refer",LEFT(IFERROR(INDEX('Usage and Coverage'!$E$6:$E$20,MATCH($N21,'Usage and Coverage'!$C$6:$C$20,0)),""),5)="Refer"),"REFER","AUTO-BIND"))))</f>
        <v/>
      </c>
      <c r="CY21" s="106" t="str">
        <f t="shared" si="11"/>
        <v/>
      </c>
      <c r="CZ21" s="97" t="str">
        <f>IF($CY21="","",IF($CY21&lt;'Technical Premium'!$C$19,"BEYOND AUTHORITY",IF($CY21&gt;0.005,"Above technical",IF($CY21&lt;-0.005,"BELOW technical","At technical"))))</f>
        <v/>
      </c>
      <c r="DA21" s="97" t="str">
        <f>IF($A21="","",IF($CX21="AUTO-BIND","",TRIM(IF($J21&lt;'Technical Premium'!$C$18,"Below programme minimum agreed value. ","")&amp;IF(N($AQ21)&lt;'Technical Premium'!$C$19,"DISCOUNT AUTHORITY BREACH. ","")&amp;IF(N($AQ21)&gt;'Technical Premium'!$C$20,"Load authority breach. ","")&amp;IF($J21&gt;='Technical Premium'!$C$16,"Agreed value at or above auto-bind limit. ","")&amp;IF(AND(ISNUMBER($CD21),$CD21&gt;='Technical Premium'!$C$17),"Composite factor at cap. ","")&amp;IF(AND(ISNUMBER($CD21),$CD21&gt;2.5),"Composite factor above 2.50. ","")&amp;IF(LEFT(IFERROR(INDEX('Driver Factors'!$D$6:$D$15,MATCH($R21,'Driver Factors'!$B$6:$B$15,0)),""),7)="DECLINE","DECLINE - driver age. ",IF(LEFT(IFERROR(INDEX('Driver Factors'!$D$6:$D$15,MATCH($R21,'Driver Factors'!$B$6:$B$15,0)),""),5)="Refer","Driver age band. ",""))&amp;IF(LEFT(IFERROR(INDEX('Driver Factors'!$D$28:$D$36,MATCH($T21,'Driver Factors'!$B$28:$B$36,0)),""),7)="DECLINE","DECLINE - MVR. ",IF(LEFT(IFERROR(INDEX('Driver Factors'!$D$28:$D$36,MATCH($T21,'Driver Factors'!$B$28:$B$36,0)),""),5)="Refer","MVR record. ",""))&amp;IF(LEFT(IFERROR(INDEX('Claims History'!$D$6:$D$15,MATCH($U21,'Claims History'!$B$6:$B$15,0)),""),7)="DECLINE","DECLINE - claims. ",IF(LEFT(IFERROR(INDEX('Claims History'!$D$6:$D$15,MATCH($U21,'Claims History'!$B$6:$B$15,0)),""),5)="Refer","Claims history. ",""))&amp;IF(LEFT(IFERROR(INDEX('Usage and Coverage'!$E$6:$E$20,MATCH($N21,'Usage and Coverage'!$C$6:$C$20,0)),""),7)="DECLINE","DECLINE - usage class. ",IF(LEFT(IFERROR(INDEX('Usage and Coverage'!$E$6:$E$20,MATCH($N21,'Usage and Coverage'!$C$6:$C$20,0)),""),5)="Refer","Usage class. ",""))&amp;IF($CX21="CHECK INPUTS","Incomplete inputs. ",""))))</f>
        <v/>
      </c>
      <c r="DB21" s="92"/>
      <c r="DC21" s="92"/>
      <c r="DD21" s="93"/>
      <c r="DE21" s="92"/>
      <c r="DF21" s="92"/>
      <c r="DG21" s="97" t="str">
        <f t="shared" si="12"/>
        <v/>
      </c>
      <c r="DH21" s="97" t="str">
        <f>IF($A21="","",IF(OR($CX21="REFER",$CX21="DECLINE"),COUNTIF($CX$5:$CX21,"REFER")+COUNTIF($CX$5:$CX21,"DECLINE"),""))</f>
        <v/>
      </c>
      <c r="DI21" s="92"/>
    </row>
    <row r="22" spans="1:113" x14ac:dyDescent="0.25">
      <c r="A22" s="92"/>
      <c r="B22" s="92"/>
      <c r="C22" s="93"/>
      <c r="D22" s="93"/>
      <c r="E22" s="94"/>
      <c r="F22" s="92"/>
      <c r="G22" s="92"/>
      <c r="H22" s="92"/>
      <c r="I22" s="92"/>
      <c r="J22" s="95"/>
      <c r="K22" s="92"/>
      <c r="L22" s="92"/>
      <c r="M22" s="92"/>
      <c r="N22" s="92"/>
      <c r="O22" s="92"/>
      <c r="P22" s="92"/>
      <c r="Q22" s="92"/>
      <c r="R22" s="92"/>
      <c r="S22" s="92"/>
      <c r="T22" s="92"/>
      <c r="U22" s="92"/>
      <c r="V22" s="92"/>
      <c r="W22" s="92"/>
      <c r="X22" s="92"/>
      <c r="Y22" s="92"/>
      <c r="Z22" s="92"/>
      <c r="AA22" s="92"/>
      <c r="AB22" s="92"/>
      <c r="AC22" s="92"/>
      <c r="AD22" s="92"/>
      <c r="AE22" s="92"/>
      <c r="AF22" s="92"/>
      <c r="AG22" s="92"/>
      <c r="AH22" s="92"/>
      <c r="AI22" s="92"/>
      <c r="AJ22" s="92"/>
      <c r="AK22" s="92"/>
      <c r="AL22" s="92"/>
      <c r="AM22" s="92"/>
      <c r="AN22" s="92"/>
      <c r="AO22" s="92"/>
      <c r="AP22" s="92"/>
      <c r="AQ22" s="96"/>
      <c r="AR22" s="97" t="str">
        <f t="shared" si="0"/>
        <v/>
      </c>
      <c r="AS22" s="97" t="str">
        <f>IF($A22="","",IF($AP22&lt;&gt;"",$AP22,IFERROR(INDEX('Cat Zone by ZIP'!$D$6:$D$856,MATCH($AR22,'Cat Zone by ZIP'!$B$6:$B$856,0)),IFERROR(INDEX('Cat Zone by ZIP'!$C$860:$C$910,MATCH($K22,'Cat Zone by ZIP'!$B$860:$B$910,0)),"NOT FOUND"))))</f>
        <v/>
      </c>
      <c r="AT22" s="97" t="str">
        <f>IF($A22="","",IF($AP22&lt;&gt;"","Override",IF(ISNUMBER(MATCH($AR22,'Cat Zone by ZIP'!$B$6:$B$856,0)),"ZIP-3","State default")))</f>
        <v/>
      </c>
      <c r="AU22" s="98" t="str">
        <f>IF($A22="","",IFERROR(INDEX('Natural Catastrophe'!$D$6:$D$17,MATCH($AS22,'Natural Catastrophe'!$B$6:$B$17,0)),"?"))</f>
        <v/>
      </c>
      <c r="AV22" s="98" t="str">
        <f>IF($A22="","",IFERROR(INDEX('Natural Catastrophe'!$C$21:$C$26,MATCH($AA22,'Natural Catastrophe'!$B$21:$B$26,0)),"?"))</f>
        <v/>
      </c>
      <c r="AW22" s="97" t="str">
        <f>IF($A22="","",IFERROR(INDEX('Base Rates'!$C$4:$I$4,MATCH(MAX($J22,'Technical Premium'!$C$18),'Base Rates'!$C$3:$I$3,1)),"?"))</f>
        <v/>
      </c>
      <c r="AX22" s="99" t="str">
        <f>IF($A22="","",IFERROR(INDEX('Base Rates'!$C$5:$I$16,MATCH($I22,'Base Rates'!$B$5:$B$16,0),MATCH(MAX($J22,'Technical Premium'!$C$18),'Base Rates'!$C$3:$I$3,1)),"?"))</f>
        <v/>
      </c>
      <c r="AY22" s="100" t="str">
        <f t="shared" si="1"/>
        <v/>
      </c>
      <c r="AZ22" s="97" t="str">
        <f>IF($A22="","",IFERROR(INDEX('Make Factors'!$G$5:$G$69,MATCH($F22,'Make Factors'!$B$5:$B$69,0)),"?"))</f>
        <v/>
      </c>
      <c r="BA22" s="97" t="str">
        <f>IF($A22="","",IFERROR(INDEX('Driver Factors'!$C$6:$C$15,MATCH($R22,'Driver Factors'!$B$6:$B$15,0)),"?"))</f>
        <v/>
      </c>
      <c r="BB22" s="97" t="str">
        <f>IF($A22="","",IFERROR(INDEX('Driver Factors'!$C$19:$C$24,MATCH($S22,'Driver Factors'!$B$19:$B$24,0)),"?"))</f>
        <v/>
      </c>
      <c r="BC22" s="97" t="str">
        <f>IF($A22="","",IFERROR(INDEX('Driver Factors'!$C$28:$C$36,MATCH($T22,'Driver Factors'!$B$28:$B$36,0)),"?"))</f>
        <v/>
      </c>
      <c r="BD22" s="97" t="str">
        <f>IF($A22="","",IFERROR(INDEX('Claims History'!$C$6:$C$15,MATCH($U22,'Claims History'!$B$6:$B$15,0)),"?"))</f>
        <v/>
      </c>
      <c r="BE22" s="97" t="str">
        <f>IF($A22="","",IFERROR(INDEX('Territory Factors'!$E$6:$E$56,MATCH($K22,'Territory Factors'!$B$6:$B$56,0)),"?"))</f>
        <v/>
      </c>
      <c r="BF22" s="97" t="str">
        <f>IF($A22="","",IFERROR(INDEX('City Accident Ratings'!$G$6:$G$54,MATCH($Z22,'City Accident Ratings'!$B$6:$B$54,0)),"?"))</f>
        <v/>
      </c>
      <c r="BG22" s="97" t="str">
        <f>IF($A22="","",IFERROR(INDEX('Usage and Coverage'!$D$6:$D$20,MATCH($N22,'Usage and Coverage'!$C$6:$C$20,0)),"?"))</f>
        <v/>
      </c>
      <c r="BH22" s="97" t="str">
        <f>IF($A22="","",IFERROR(INDEX('Usage and Coverage'!$C$24:$C$30,MATCH($O22,'Usage and Coverage'!$B$24:$B$30,0)),"?"))</f>
        <v/>
      </c>
      <c r="BI22" s="97" t="str">
        <f>IF($A22="","",IFERROR(INDEX('Usage and Coverage'!$C$34:$C$40,MATCH($P22,'Usage and Coverage'!$B$34:$B$40,0)),"?"))</f>
        <v/>
      </c>
      <c r="BJ22" s="97" t="str">
        <f>IF($A22="","",IFERROR(INDEX('Usage and Coverage'!$C$44:$C$49,MATCH($Q22,'Usage and Coverage'!$B$44:$B$49,0)),"?"))</f>
        <v/>
      </c>
      <c r="BK22" s="97" t="str">
        <f>IF($A22="","",IFERROR(INDEX(Deductibles!$C$6:$I$15,MATCH($W22,Deductibles!$B$6:$B$15,0),MATCH(MAX($J22,'Technical Premium'!$C$18),'Base Rates'!$C$3:$I$3,1)),"?"))</f>
        <v/>
      </c>
      <c r="BL22" s="97" t="str">
        <f>IF($A22="","",IFERROR(INDEX('Usage and Coverage'!$C$63:$C$66,MATCH($X22,'Usage and Coverage'!$B$63:$B$66,0)),"?"))</f>
        <v/>
      </c>
      <c r="BM22" s="97" t="str">
        <f>IF($A22="","",IFERROR(INDEX('Usage and Coverage'!$C$70:$C$75,MATCH($V22,'Usage and Coverage'!$B$70:$B$75,0)),"?"))</f>
        <v/>
      </c>
      <c r="BN22" s="97" t="str">
        <f>IF($A22="","",IF($AB22="",1,IFERROR(INDEX(Deductibles!$C$48:$C$51,MATCH($AB22,Deductibles!$B$48:$B$51,0)),"?")))</f>
        <v/>
      </c>
      <c r="BO22" s="97" t="str">
        <f>IF($A22="","",IF($AC22="",1,IFERROR(INDEX(Deductibles!$C$55:$C$57,MATCH($AC22,Deductibles!$B$55:$B$57,0)),"?")))</f>
        <v/>
      </c>
      <c r="BP22" s="97" t="str">
        <f>IF($A22="","",IF($AD22="",1,IFERROR(INDEX(Deductibles!$C$61:$C$63,MATCH($AD22,Deductibles!$B$61:$B$63,0)),"?")))</f>
        <v/>
      </c>
      <c r="BQ22" s="97" t="str">
        <f>IF($A22="","",IF($AE22="",1,IFERROR(INDEX(Deductibles!$C$67:$C$69,MATCH($AE22,Deductibles!$B$67:$B$69,0)),"?")))</f>
        <v/>
      </c>
      <c r="BR22" s="97" t="str">
        <f>IF($A22="","",IF($AF22="",1,IFERROR(INDEX(Deductibles!$C$73:$C$74,MATCH($AF22,Deductibles!$B$73:$B$74,0)),"?")))</f>
        <v/>
      </c>
      <c r="BS22" s="97" t="str">
        <f>IF($A22="","",IF($AG22="",1,IFERROR(INDEX('Sublimits and Parts'!$C$49:$C$52,MATCH($AG22,'Sublimits and Parts'!$B$49:$B$52,0)),"?")))</f>
        <v/>
      </c>
      <c r="BT22" s="97" t="str">
        <f>IF($A22="","",IF($AH22="",1,IFERROR(INDEX('Sublimits and Parts'!$C$56:$C$60,MATCH($AH22,'Sublimits and Parts'!$B$56:$B$60,0)),"?")))</f>
        <v/>
      </c>
      <c r="BU22" s="97" t="str">
        <f>IF($A22="","",IF($AI22="",1,IFERROR(INDEX('Sublimits and Parts'!$C$64:$C$67,MATCH($AI22,'Sublimits and Parts'!$B$64:$B$67,0)),"?")))</f>
        <v/>
      </c>
      <c r="BV22" s="97" t="str">
        <f>IF($A22="","",IF($AJ22="",1,IFERROR(INDEX('Sublimits and Parts'!$C$71:$C$74,MATCH($AJ22,'Sublimits and Parts'!$B$71:$B$74,0)),"?")))</f>
        <v/>
      </c>
      <c r="BW22" s="97" t="str">
        <f>IF($A22="","",IF($AK22="",1,IFERROR(INDEX('Sublimits and Parts'!$C$78:$C$80,MATCH($AK22,'Sublimits and Parts'!$B$78:$B$80,0)),"?")))</f>
        <v/>
      </c>
      <c r="BX22" s="97" t="str">
        <f>IF($A22="","",IF($AL22="",1,IFERROR(INDEX('Sublimits and Parts'!$C$84:$C$87,MATCH($AL22,'Sublimits and Parts'!$B$84:$B$87,0)),"?")))</f>
        <v/>
      </c>
      <c r="BY22" s="97" t="str">
        <f>IF($A22="","",IF($AM22="",1,IFERROR(INDEX('Sublimits and Parts'!$C$91:$C$94,MATCH($AM22,'Sublimits and Parts'!$B$91:$B$94,0)),"?")))</f>
        <v/>
      </c>
      <c r="BZ22" s="97" t="str">
        <f>IF($A22="","",IF($AN22="",1,IFERROR(INDEX('Sublimits and Parts'!$C$98:$C$101,MATCH($AN22,'Sublimits and Parts'!$B$98:$B$101,0)),"?")))</f>
        <v/>
      </c>
      <c r="CA22" s="97" t="str">
        <f>IF($A22="","",IF($AO22="",1,IFERROR(INDEX('Sublimits and Parts'!$C$105:$C$109,MATCH($AO22,'Sublimits and Parts'!$B$105:$B$109,0)),"?")))</f>
        <v/>
      </c>
      <c r="CB22" s="98" t="str">
        <f t="shared" si="2"/>
        <v/>
      </c>
      <c r="CC22" s="98" t="str">
        <f t="shared" si="3"/>
        <v/>
      </c>
      <c r="CD22" s="101" t="str">
        <f>IF($A22="","",IF(OR($CB22="?",$CC22="?"),"?",MIN($CB22*$CC22,'Technical Premium'!$C$17)))</f>
        <v/>
      </c>
      <c r="CE22" s="100" t="str">
        <f t="shared" si="4"/>
        <v/>
      </c>
      <c r="CF22" s="100" t="str">
        <f>IF($A22="","",IFERROR(INDEX('Territory Factors'!$F$6:$F$56,MATCH($K22,'Territory Factors'!$B$6:$B$56,0)),"?"))</f>
        <v/>
      </c>
      <c r="CG22" s="98" t="str">
        <f>IF($A22="","",IFERROR(INDEX('Usage and Coverage'!$C$79:$C$84,MATCH($Y22,'Usage and Coverage'!$B$79:$B$84,0)),"?"))</f>
        <v/>
      </c>
      <c r="CH22" s="100" t="str">
        <f>IFERROR(IF(ISNUMBER($CD22),$CF22*$CG22*MIN($BG22*$BA22*$BC22*$BD22*$BH22*$BF22,'Technical Premium'!$C$17),""),"")</f>
        <v/>
      </c>
      <c r="CI22" s="100" t="str">
        <f t="shared" si="5"/>
        <v/>
      </c>
      <c r="CJ22" s="100" t="str">
        <f>IFERROR($CI22*(1+'Technical Premium'!$C$5)*(1+'Technical Premium'!$C$6),"")</f>
        <v/>
      </c>
      <c r="CK22" s="100" t="str">
        <f>IFERROR($CE22*INDEX('Territory Factors'!$G$6:$G$56,MATCH($K22,'Territory Factors'!$B$6:$B$56,0))*$AU22*$AV22,"")</f>
        <v/>
      </c>
      <c r="CL22" s="100" t="str">
        <f>IFERROR(($CJ22+$CK22)*(1+'Technical Premium'!$C$7),"")</f>
        <v/>
      </c>
      <c r="CM22" s="102" t="str">
        <f>IFERROR($CL22/'Technical Premium'!$C$13,"")</f>
        <v/>
      </c>
      <c r="CN22" s="103" t="str">
        <f t="shared" si="6"/>
        <v/>
      </c>
      <c r="CO22" s="102" t="str">
        <f t="shared" si="7"/>
        <v/>
      </c>
      <c r="CP22" s="103" t="str">
        <f t="shared" si="8"/>
        <v/>
      </c>
      <c r="CQ22" s="104" t="str">
        <f t="shared" si="9"/>
        <v/>
      </c>
      <c r="CR22" s="100" t="str">
        <f>IF(ISNUMBER($CM22),'Technical Premium'!$C$14+IF($J22&gt;=1000000,'Technical Premium'!$C$15,0),"")</f>
        <v/>
      </c>
      <c r="CS22" s="100" t="str">
        <f>IFERROR(($CO22+$CR22)*(INDEX('Territory Factors'!$K$6:$K$56,MATCH($K22,'Territory Factors'!$B$6:$B$56,0))+'Commission Structure'!$C$21),"")</f>
        <v/>
      </c>
      <c r="CT22" s="102" t="str">
        <f t="shared" si="10"/>
        <v/>
      </c>
      <c r="CU22" s="100" t="str">
        <f>IFERROR($CO22*('Commission Structure'!$C$6+'Commission Structure'!$C$7),"")</f>
        <v/>
      </c>
      <c r="CV22" s="100" t="str">
        <f>IFERROR($CO22*'Commission Structure'!$C$5-$CU22,"")</f>
        <v/>
      </c>
      <c r="CW22" s="100" t="str">
        <f>IFERROR($CO22*(1-'Commission Structure'!$C$5),"")</f>
        <v/>
      </c>
      <c r="CX22" s="105" t="str">
        <f>IF($A22="","",IF(OR($CB22="?",$CC22="?",NOT(ISNUMBER($AU22))),"CHECK INPUTS",IF(OR($J22&lt;'Technical Premium'!$C$18,LEFT(IFERROR(INDEX('Driver Factors'!$D$6:$D$15,MATCH($R22,'Driver Factors'!$B$6:$B$15,0)),""),7)="DECLINE",LEFT(IFERROR(INDEX('Driver Factors'!$D$28:$D$36,MATCH($T22,'Driver Factors'!$B$28:$B$36,0)),""),7)="DECLINE",LEFT(IFERROR(INDEX('Claims History'!$D$6:$D$15,MATCH($U22,'Claims History'!$B$6:$B$15,0)),""),7)="DECLINE",LEFT(IFERROR(INDEX('Usage and Coverage'!$E$6:$E$20,MATCH($N22,'Usage and Coverage'!$C$6:$C$20,0)),""),7)="DECLINE"),"DECLINE",IF(OR($CD22&gt;2.5,$CD22&gt;='Technical Premium'!$C$17,$J22&gt;='Technical Premium'!$C$16,N($AQ22)&lt;'Technical Premium'!$C$19,N($AQ22)&gt;'Technical Premium'!$C$20,LEFT(IFERROR(INDEX('Driver Factors'!$D$6:$D$15,MATCH($R22,'Driver Factors'!$B$6:$B$15,0)),""),5)="Refer",LEFT(IFERROR(INDEX('Driver Factors'!$D$28:$D$36,MATCH($T22,'Driver Factors'!$B$28:$B$36,0)),""),5)="Refer",LEFT(IFERROR(INDEX('Claims History'!$D$6:$D$15,MATCH($U22,'Claims History'!$B$6:$B$15,0)),""),5)="Refer",LEFT(IFERROR(INDEX('Usage and Coverage'!$E$6:$E$20,MATCH($N22,'Usage and Coverage'!$C$6:$C$20,0)),""),5)="Refer"),"REFER","AUTO-BIND"))))</f>
        <v/>
      </c>
      <c r="CY22" s="106" t="str">
        <f t="shared" si="11"/>
        <v/>
      </c>
      <c r="CZ22" s="97" t="str">
        <f>IF($CY22="","",IF($CY22&lt;'Technical Premium'!$C$19,"BEYOND AUTHORITY",IF($CY22&gt;0.005,"Above technical",IF($CY22&lt;-0.005,"BELOW technical","At technical"))))</f>
        <v/>
      </c>
      <c r="DA22" s="97" t="str">
        <f>IF($A22="","",IF($CX22="AUTO-BIND","",TRIM(IF($J22&lt;'Technical Premium'!$C$18,"Below programme minimum agreed value. ","")&amp;IF(N($AQ22)&lt;'Technical Premium'!$C$19,"DISCOUNT AUTHORITY BREACH. ","")&amp;IF(N($AQ22)&gt;'Technical Premium'!$C$20,"Load authority breach. ","")&amp;IF($J22&gt;='Technical Premium'!$C$16,"Agreed value at or above auto-bind limit. ","")&amp;IF(AND(ISNUMBER($CD22),$CD22&gt;='Technical Premium'!$C$17),"Composite factor at cap. ","")&amp;IF(AND(ISNUMBER($CD22),$CD22&gt;2.5),"Composite factor above 2.50. ","")&amp;IF(LEFT(IFERROR(INDEX('Driver Factors'!$D$6:$D$15,MATCH($R22,'Driver Factors'!$B$6:$B$15,0)),""),7)="DECLINE","DECLINE - driver age. ",IF(LEFT(IFERROR(INDEX('Driver Factors'!$D$6:$D$15,MATCH($R22,'Driver Factors'!$B$6:$B$15,0)),""),5)="Refer","Driver age band. ",""))&amp;IF(LEFT(IFERROR(INDEX('Driver Factors'!$D$28:$D$36,MATCH($T22,'Driver Factors'!$B$28:$B$36,0)),""),7)="DECLINE","DECLINE - MVR. ",IF(LEFT(IFERROR(INDEX('Driver Factors'!$D$28:$D$36,MATCH($T22,'Driver Factors'!$B$28:$B$36,0)),""),5)="Refer","MVR record. ",""))&amp;IF(LEFT(IFERROR(INDEX('Claims History'!$D$6:$D$15,MATCH($U22,'Claims History'!$B$6:$B$15,0)),""),7)="DECLINE","DECLINE - claims. ",IF(LEFT(IFERROR(INDEX('Claims History'!$D$6:$D$15,MATCH($U22,'Claims History'!$B$6:$B$15,0)),""),5)="Refer","Claims history. ",""))&amp;IF(LEFT(IFERROR(INDEX('Usage and Coverage'!$E$6:$E$20,MATCH($N22,'Usage and Coverage'!$C$6:$C$20,0)),""),7)="DECLINE","DECLINE - usage class. ",IF(LEFT(IFERROR(INDEX('Usage and Coverage'!$E$6:$E$20,MATCH($N22,'Usage and Coverage'!$C$6:$C$20,0)),""),5)="Refer","Usage class. ",""))&amp;IF($CX22="CHECK INPUTS","Incomplete inputs. ",""))))</f>
        <v/>
      </c>
      <c r="DB22" s="92"/>
      <c r="DC22" s="92"/>
      <c r="DD22" s="93"/>
      <c r="DE22" s="92"/>
      <c r="DF22" s="92"/>
      <c r="DG22" s="97" t="str">
        <f t="shared" si="12"/>
        <v/>
      </c>
      <c r="DH22" s="97" t="str">
        <f>IF($A22="","",IF(OR($CX22="REFER",$CX22="DECLINE"),COUNTIF($CX$5:$CX22,"REFER")+COUNTIF($CX$5:$CX22,"DECLINE"),""))</f>
        <v/>
      </c>
      <c r="DI22" s="92"/>
    </row>
    <row r="23" spans="1:113" x14ac:dyDescent="0.25">
      <c r="A23" s="92"/>
      <c r="B23" s="92"/>
      <c r="C23" s="93"/>
      <c r="D23" s="93"/>
      <c r="E23" s="94"/>
      <c r="F23" s="92"/>
      <c r="G23" s="92"/>
      <c r="H23" s="92"/>
      <c r="I23" s="92"/>
      <c r="J23" s="95"/>
      <c r="K23" s="92"/>
      <c r="L23" s="92"/>
      <c r="M23" s="92"/>
      <c r="N23" s="92"/>
      <c r="O23" s="92"/>
      <c r="P23" s="92"/>
      <c r="Q23" s="92"/>
      <c r="R23" s="92"/>
      <c r="S23" s="92"/>
      <c r="T23" s="92"/>
      <c r="U23" s="92"/>
      <c r="V23" s="92"/>
      <c r="W23" s="92"/>
      <c r="X23" s="92"/>
      <c r="Y23" s="92"/>
      <c r="Z23" s="92"/>
      <c r="AA23" s="92"/>
      <c r="AB23" s="92"/>
      <c r="AC23" s="92"/>
      <c r="AD23" s="92"/>
      <c r="AE23" s="92"/>
      <c r="AF23" s="92"/>
      <c r="AG23" s="92"/>
      <c r="AH23" s="92"/>
      <c r="AI23" s="92"/>
      <c r="AJ23" s="92"/>
      <c r="AK23" s="92"/>
      <c r="AL23" s="92"/>
      <c r="AM23" s="92"/>
      <c r="AN23" s="92"/>
      <c r="AO23" s="92"/>
      <c r="AP23" s="92"/>
      <c r="AQ23" s="96"/>
      <c r="AR23" s="97" t="str">
        <f t="shared" si="0"/>
        <v/>
      </c>
      <c r="AS23" s="97" t="str">
        <f>IF($A23="","",IF($AP23&lt;&gt;"",$AP23,IFERROR(INDEX('Cat Zone by ZIP'!$D$6:$D$856,MATCH($AR23,'Cat Zone by ZIP'!$B$6:$B$856,0)),IFERROR(INDEX('Cat Zone by ZIP'!$C$860:$C$910,MATCH($K23,'Cat Zone by ZIP'!$B$860:$B$910,0)),"NOT FOUND"))))</f>
        <v/>
      </c>
      <c r="AT23" s="97" t="str">
        <f>IF($A23="","",IF($AP23&lt;&gt;"","Override",IF(ISNUMBER(MATCH($AR23,'Cat Zone by ZIP'!$B$6:$B$856,0)),"ZIP-3","State default")))</f>
        <v/>
      </c>
      <c r="AU23" s="98" t="str">
        <f>IF($A23="","",IFERROR(INDEX('Natural Catastrophe'!$D$6:$D$17,MATCH($AS23,'Natural Catastrophe'!$B$6:$B$17,0)),"?"))</f>
        <v/>
      </c>
      <c r="AV23" s="98" t="str">
        <f>IF($A23="","",IFERROR(INDEX('Natural Catastrophe'!$C$21:$C$26,MATCH($AA23,'Natural Catastrophe'!$B$21:$B$26,0)),"?"))</f>
        <v/>
      </c>
      <c r="AW23" s="97" t="str">
        <f>IF($A23="","",IFERROR(INDEX('Base Rates'!$C$4:$I$4,MATCH(MAX($J23,'Technical Premium'!$C$18),'Base Rates'!$C$3:$I$3,1)),"?"))</f>
        <v/>
      </c>
      <c r="AX23" s="99" t="str">
        <f>IF($A23="","",IFERROR(INDEX('Base Rates'!$C$5:$I$16,MATCH($I23,'Base Rates'!$B$5:$B$16,0),MATCH(MAX($J23,'Technical Premium'!$C$18),'Base Rates'!$C$3:$I$3,1)),"?"))</f>
        <v/>
      </c>
      <c r="AY23" s="100" t="str">
        <f t="shared" si="1"/>
        <v/>
      </c>
      <c r="AZ23" s="97" t="str">
        <f>IF($A23="","",IFERROR(INDEX('Make Factors'!$G$5:$G$69,MATCH($F23,'Make Factors'!$B$5:$B$69,0)),"?"))</f>
        <v/>
      </c>
      <c r="BA23" s="97" t="str">
        <f>IF($A23="","",IFERROR(INDEX('Driver Factors'!$C$6:$C$15,MATCH($R23,'Driver Factors'!$B$6:$B$15,0)),"?"))</f>
        <v/>
      </c>
      <c r="BB23" s="97" t="str">
        <f>IF($A23="","",IFERROR(INDEX('Driver Factors'!$C$19:$C$24,MATCH($S23,'Driver Factors'!$B$19:$B$24,0)),"?"))</f>
        <v/>
      </c>
      <c r="BC23" s="97" t="str">
        <f>IF($A23="","",IFERROR(INDEX('Driver Factors'!$C$28:$C$36,MATCH($T23,'Driver Factors'!$B$28:$B$36,0)),"?"))</f>
        <v/>
      </c>
      <c r="BD23" s="97" t="str">
        <f>IF($A23="","",IFERROR(INDEX('Claims History'!$C$6:$C$15,MATCH($U23,'Claims History'!$B$6:$B$15,0)),"?"))</f>
        <v/>
      </c>
      <c r="BE23" s="97" t="str">
        <f>IF($A23="","",IFERROR(INDEX('Territory Factors'!$E$6:$E$56,MATCH($K23,'Territory Factors'!$B$6:$B$56,0)),"?"))</f>
        <v/>
      </c>
      <c r="BF23" s="97" t="str">
        <f>IF($A23="","",IFERROR(INDEX('City Accident Ratings'!$G$6:$G$54,MATCH($Z23,'City Accident Ratings'!$B$6:$B$54,0)),"?"))</f>
        <v/>
      </c>
      <c r="BG23" s="97" t="str">
        <f>IF($A23="","",IFERROR(INDEX('Usage and Coverage'!$D$6:$D$20,MATCH($N23,'Usage and Coverage'!$C$6:$C$20,0)),"?"))</f>
        <v/>
      </c>
      <c r="BH23" s="97" t="str">
        <f>IF($A23="","",IFERROR(INDEX('Usage and Coverage'!$C$24:$C$30,MATCH($O23,'Usage and Coverage'!$B$24:$B$30,0)),"?"))</f>
        <v/>
      </c>
      <c r="BI23" s="97" t="str">
        <f>IF($A23="","",IFERROR(INDEX('Usage and Coverage'!$C$34:$C$40,MATCH($P23,'Usage and Coverage'!$B$34:$B$40,0)),"?"))</f>
        <v/>
      </c>
      <c r="BJ23" s="97" t="str">
        <f>IF($A23="","",IFERROR(INDEX('Usage and Coverage'!$C$44:$C$49,MATCH($Q23,'Usage and Coverage'!$B$44:$B$49,0)),"?"))</f>
        <v/>
      </c>
      <c r="BK23" s="97" t="str">
        <f>IF($A23="","",IFERROR(INDEX(Deductibles!$C$6:$I$15,MATCH($W23,Deductibles!$B$6:$B$15,0),MATCH(MAX($J23,'Technical Premium'!$C$18),'Base Rates'!$C$3:$I$3,1)),"?"))</f>
        <v/>
      </c>
      <c r="BL23" s="97" t="str">
        <f>IF($A23="","",IFERROR(INDEX('Usage and Coverage'!$C$63:$C$66,MATCH($X23,'Usage and Coverage'!$B$63:$B$66,0)),"?"))</f>
        <v/>
      </c>
      <c r="BM23" s="97" t="str">
        <f>IF($A23="","",IFERROR(INDEX('Usage and Coverage'!$C$70:$C$75,MATCH($V23,'Usage and Coverage'!$B$70:$B$75,0)),"?"))</f>
        <v/>
      </c>
      <c r="BN23" s="97" t="str">
        <f>IF($A23="","",IF($AB23="",1,IFERROR(INDEX(Deductibles!$C$48:$C$51,MATCH($AB23,Deductibles!$B$48:$B$51,0)),"?")))</f>
        <v/>
      </c>
      <c r="BO23" s="97" t="str">
        <f>IF($A23="","",IF($AC23="",1,IFERROR(INDEX(Deductibles!$C$55:$C$57,MATCH($AC23,Deductibles!$B$55:$B$57,0)),"?")))</f>
        <v/>
      </c>
      <c r="BP23" s="97" t="str">
        <f>IF($A23="","",IF($AD23="",1,IFERROR(INDEX(Deductibles!$C$61:$C$63,MATCH($AD23,Deductibles!$B$61:$B$63,0)),"?")))</f>
        <v/>
      </c>
      <c r="BQ23" s="97" t="str">
        <f>IF($A23="","",IF($AE23="",1,IFERROR(INDEX(Deductibles!$C$67:$C$69,MATCH($AE23,Deductibles!$B$67:$B$69,0)),"?")))</f>
        <v/>
      </c>
      <c r="BR23" s="97" t="str">
        <f>IF($A23="","",IF($AF23="",1,IFERROR(INDEX(Deductibles!$C$73:$C$74,MATCH($AF23,Deductibles!$B$73:$B$74,0)),"?")))</f>
        <v/>
      </c>
      <c r="BS23" s="97" t="str">
        <f>IF($A23="","",IF($AG23="",1,IFERROR(INDEX('Sublimits and Parts'!$C$49:$C$52,MATCH($AG23,'Sublimits and Parts'!$B$49:$B$52,0)),"?")))</f>
        <v/>
      </c>
      <c r="BT23" s="97" t="str">
        <f>IF($A23="","",IF($AH23="",1,IFERROR(INDEX('Sublimits and Parts'!$C$56:$C$60,MATCH($AH23,'Sublimits and Parts'!$B$56:$B$60,0)),"?")))</f>
        <v/>
      </c>
      <c r="BU23" s="97" t="str">
        <f>IF($A23="","",IF($AI23="",1,IFERROR(INDEX('Sublimits and Parts'!$C$64:$C$67,MATCH($AI23,'Sublimits and Parts'!$B$64:$B$67,0)),"?")))</f>
        <v/>
      </c>
      <c r="BV23" s="97" t="str">
        <f>IF($A23="","",IF($AJ23="",1,IFERROR(INDEX('Sublimits and Parts'!$C$71:$C$74,MATCH($AJ23,'Sublimits and Parts'!$B$71:$B$74,0)),"?")))</f>
        <v/>
      </c>
      <c r="BW23" s="97" t="str">
        <f>IF($A23="","",IF($AK23="",1,IFERROR(INDEX('Sublimits and Parts'!$C$78:$C$80,MATCH($AK23,'Sublimits and Parts'!$B$78:$B$80,0)),"?")))</f>
        <v/>
      </c>
      <c r="BX23" s="97" t="str">
        <f>IF($A23="","",IF($AL23="",1,IFERROR(INDEX('Sublimits and Parts'!$C$84:$C$87,MATCH($AL23,'Sublimits and Parts'!$B$84:$B$87,0)),"?")))</f>
        <v/>
      </c>
      <c r="BY23" s="97" t="str">
        <f>IF($A23="","",IF($AM23="",1,IFERROR(INDEX('Sublimits and Parts'!$C$91:$C$94,MATCH($AM23,'Sublimits and Parts'!$B$91:$B$94,0)),"?")))</f>
        <v/>
      </c>
      <c r="BZ23" s="97" t="str">
        <f>IF($A23="","",IF($AN23="",1,IFERROR(INDEX('Sublimits and Parts'!$C$98:$C$101,MATCH($AN23,'Sublimits and Parts'!$B$98:$B$101,0)),"?")))</f>
        <v/>
      </c>
      <c r="CA23" s="97" t="str">
        <f>IF($A23="","",IF($AO23="",1,IFERROR(INDEX('Sublimits and Parts'!$C$105:$C$109,MATCH($AO23,'Sublimits and Parts'!$B$105:$B$109,0)),"?")))</f>
        <v/>
      </c>
      <c r="CB23" s="98" t="str">
        <f t="shared" si="2"/>
        <v/>
      </c>
      <c r="CC23" s="98" t="str">
        <f t="shared" si="3"/>
        <v/>
      </c>
      <c r="CD23" s="101" t="str">
        <f>IF($A23="","",IF(OR($CB23="?",$CC23="?"),"?",MIN($CB23*$CC23,'Technical Premium'!$C$17)))</f>
        <v/>
      </c>
      <c r="CE23" s="100" t="str">
        <f t="shared" si="4"/>
        <v/>
      </c>
      <c r="CF23" s="100" t="str">
        <f>IF($A23="","",IFERROR(INDEX('Territory Factors'!$F$6:$F$56,MATCH($K23,'Territory Factors'!$B$6:$B$56,0)),"?"))</f>
        <v/>
      </c>
      <c r="CG23" s="98" t="str">
        <f>IF($A23="","",IFERROR(INDEX('Usage and Coverage'!$C$79:$C$84,MATCH($Y23,'Usage and Coverage'!$B$79:$B$84,0)),"?"))</f>
        <v/>
      </c>
      <c r="CH23" s="100" t="str">
        <f>IFERROR(IF(ISNUMBER($CD23),$CF23*$CG23*MIN($BG23*$BA23*$BC23*$BD23*$BH23*$BF23,'Technical Premium'!$C$17),""),"")</f>
        <v/>
      </c>
      <c r="CI23" s="100" t="str">
        <f t="shared" si="5"/>
        <v/>
      </c>
      <c r="CJ23" s="100" t="str">
        <f>IFERROR($CI23*(1+'Technical Premium'!$C$5)*(1+'Technical Premium'!$C$6),"")</f>
        <v/>
      </c>
      <c r="CK23" s="100" t="str">
        <f>IFERROR($CE23*INDEX('Territory Factors'!$G$6:$G$56,MATCH($K23,'Territory Factors'!$B$6:$B$56,0))*$AU23*$AV23,"")</f>
        <v/>
      </c>
      <c r="CL23" s="100" t="str">
        <f>IFERROR(($CJ23+$CK23)*(1+'Technical Premium'!$C$7),"")</f>
        <v/>
      </c>
      <c r="CM23" s="102" t="str">
        <f>IFERROR($CL23/'Technical Premium'!$C$13,"")</f>
        <v/>
      </c>
      <c r="CN23" s="103" t="str">
        <f t="shared" si="6"/>
        <v/>
      </c>
      <c r="CO23" s="102" t="str">
        <f t="shared" si="7"/>
        <v/>
      </c>
      <c r="CP23" s="103" t="str">
        <f t="shared" si="8"/>
        <v/>
      </c>
      <c r="CQ23" s="104" t="str">
        <f t="shared" si="9"/>
        <v/>
      </c>
      <c r="CR23" s="100" t="str">
        <f>IF(ISNUMBER($CM23),'Technical Premium'!$C$14+IF($J23&gt;=1000000,'Technical Premium'!$C$15,0),"")</f>
        <v/>
      </c>
      <c r="CS23" s="100" t="str">
        <f>IFERROR(($CO23+$CR23)*(INDEX('Territory Factors'!$K$6:$K$56,MATCH($K23,'Territory Factors'!$B$6:$B$56,0))+'Commission Structure'!$C$21),"")</f>
        <v/>
      </c>
      <c r="CT23" s="102" t="str">
        <f t="shared" si="10"/>
        <v/>
      </c>
      <c r="CU23" s="100" t="str">
        <f>IFERROR($CO23*('Commission Structure'!$C$6+'Commission Structure'!$C$7),"")</f>
        <v/>
      </c>
      <c r="CV23" s="100" t="str">
        <f>IFERROR($CO23*'Commission Structure'!$C$5-$CU23,"")</f>
        <v/>
      </c>
      <c r="CW23" s="100" t="str">
        <f>IFERROR($CO23*(1-'Commission Structure'!$C$5),"")</f>
        <v/>
      </c>
      <c r="CX23" s="105" t="str">
        <f>IF($A23="","",IF(OR($CB23="?",$CC23="?",NOT(ISNUMBER($AU23))),"CHECK INPUTS",IF(OR($J23&lt;'Technical Premium'!$C$18,LEFT(IFERROR(INDEX('Driver Factors'!$D$6:$D$15,MATCH($R23,'Driver Factors'!$B$6:$B$15,0)),""),7)="DECLINE",LEFT(IFERROR(INDEX('Driver Factors'!$D$28:$D$36,MATCH($T23,'Driver Factors'!$B$28:$B$36,0)),""),7)="DECLINE",LEFT(IFERROR(INDEX('Claims History'!$D$6:$D$15,MATCH($U23,'Claims History'!$B$6:$B$15,0)),""),7)="DECLINE",LEFT(IFERROR(INDEX('Usage and Coverage'!$E$6:$E$20,MATCH($N23,'Usage and Coverage'!$C$6:$C$20,0)),""),7)="DECLINE"),"DECLINE",IF(OR($CD23&gt;2.5,$CD23&gt;='Technical Premium'!$C$17,$J23&gt;='Technical Premium'!$C$16,N($AQ23)&lt;'Technical Premium'!$C$19,N($AQ23)&gt;'Technical Premium'!$C$20,LEFT(IFERROR(INDEX('Driver Factors'!$D$6:$D$15,MATCH($R23,'Driver Factors'!$B$6:$B$15,0)),""),5)="Refer",LEFT(IFERROR(INDEX('Driver Factors'!$D$28:$D$36,MATCH($T23,'Driver Factors'!$B$28:$B$36,0)),""),5)="Refer",LEFT(IFERROR(INDEX('Claims History'!$D$6:$D$15,MATCH($U23,'Claims History'!$B$6:$B$15,0)),""),5)="Refer",LEFT(IFERROR(INDEX('Usage and Coverage'!$E$6:$E$20,MATCH($N23,'Usage and Coverage'!$C$6:$C$20,0)),""),5)="Refer"),"REFER","AUTO-BIND"))))</f>
        <v/>
      </c>
      <c r="CY23" s="106" t="str">
        <f t="shared" si="11"/>
        <v/>
      </c>
      <c r="CZ23" s="97" t="str">
        <f>IF($CY23="","",IF($CY23&lt;'Technical Premium'!$C$19,"BEYOND AUTHORITY",IF($CY23&gt;0.005,"Above technical",IF($CY23&lt;-0.005,"BELOW technical","At technical"))))</f>
        <v/>
      </c>
      <c r="DA23" s="97" t="str">
        <f>IF($A23="","",IF($CX23="AUTO-BIND","",TRIM(IF($J23&lt;'Technical Premium'!$C$18,"Below programme minimum agreed value. ","")&amp;IF(N($AQ23)&lt;'Technical Premium'!$C$19,"DISCOUNT AUTHORITY BREACH. ","")&amp;IF(N($AQ23)&gt;'Technical Premium'!$C$20,"Load authority breach. ","")&amp;IF($J23&gt;='Technical Premium'!$C$16,"Agreed value at or above auto-bind limit. ","")&amp;IF(AND(ISNUMBER($CD23),$CD23&gt;='Technical Premium'!$C$17),"Composite factor at cap. ","")&amp;IF(AND(ISNUMBER($CD23),$CD23&gt;2.5),"Composite factor above 2.50. ","")&amp;IF(LEFT(IFERROR(INDEX('Driver Factors'!$D$6:$D$15,MATCH($R23,'Driver Factors'!$B$6:$B$15,0)),""),7)="DECLINE","DECLINE - driver age. ",IF(LEFT(IFERROR(INDEX('Driver Factors'!$D$6:$D$15,MATCH($R23,'Driver Factors'!$B$6:$B$15,0)),""),5)="Refer","Driver age band. ",""))&amp;IF(LEFT(IFERROR(INDEX('Driver Factors'!$D$28:$D$36,MATCH($T23,'Driver Factors'!$B$28:$B$36,0)),""),7)="DECLINE","DECLINE - MVR. ",IF(LEFT(IFERROR(INDEX('Driver Factors'!$D$28:$D$36,MATCH($T23,'Driver Factors'!$B$28:$B$36,0)),""),5)="Refer","MVR record. ",""))&amp;IF(LEFT(IFERROR(INDEX('Claims History'!$D$6:$D$15,MATCH($U23,'Claims History'!$B$6:$B$15,0)),""),7)="DECLINE","DECLINE - claims. ",IF(LEFT(IFERROR(INDEX('Claims History'!$D$6:$D$15,MATCH($U23,'Claims History'!$B$6:$B$15,0)),""),5)="Refer","Claims history. ",""))&amp;IF(LEFT(IFERROR(INDEX('Usage and Coverage'!$E$6:$E$20,MATCH($N23,'Usage and Coverage'!$C$6:$C$20,0)),""),7)="DECLINE","DECLINE - usage class. ",IF(LEFT(IFERROR(INDEX('Usage and Coverage'!$E$6:$E$20,MATCH($N23,'Usage and Coverage'!$C$6:$C$20,0)),""),5)="Refer","Usage class. ",""))&amp;IF($CX23="CHECK INPUTS","Incomplete inputs. ",""))))</f>
        <v/>
      </c>
      <c r="DB23" s="92"/>
      <c r="DC23" s="92"/>
      <c r="DD23" s="93"/>
      <c r="DE23" s="92"/>
      <c r="DF23" s="92"/>
      <c r="DG23" s="97" t="str">
        <f t="shared" si="12"/>
        <v/>
      </c>
      <c r="DH23" s="97" t="str">
        <f>IF($A23="","",IF(OR($CX23="REFER",$CX23="DECLINE"),COUNTIF($CX$5:$CX23,"REFER")+COUNTIF($CX$5:$CX23,"DECLINE"),""))</f>
        <v/>
      </c>
      <c r="DI23" s="92"/>
    </row>
    <row r="24" spans="1:113" x14ac:dyDescent="0.25">
      <c r="A24" s="92"/>
      <c r="B24" s="92"/>
      <c r="C24" s="93"/>
      <c r="D24" s="93"/>
      <c r="E24" s="94"/>
      <c r="F24" s="92"/>
      <c r="G24" s="92"/>
      <c r="H24" s="92"/>
      <c r="I24" s="92"/>
      <c r="J24" s="95"/>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6"/>
      <c r="AR24" s="97" t="str">
        <f t="shared" si="0"/>
        <v/>
      </c>
      <c r="AS24" s="97" t="str">
        <f>IF($A24="","",IF($AP24&lt;&gt;"",$AP24,IFERROR(INDEX('Cat Zone by ZIP'!$D$6:$D$856,MATCH($AR24,'Cat Zone by ZIP'!$B$6:$B$856,0)),IFERROR(INDEX('Cat Zone by ZIP'!$C$860:$C$910,MATCH($K24,'Cat Zone by ZIP'!$B$860:$B$910,0)),"NOT FOUND"))))</f>
        <v/>
      </c>
      <c r="AT24" s="97" t="str">
        <f>IF($A24="","",IF($AP24&lt;&gt;"","Override",IF(ISNUMBER(MATCH($AR24,'Cat Zone by ZIP'!$B$6:$B$856,0)),"ZIP-3","State default")))</f>
        <v/>
      </c>
      <c r="AU24" s="98" t="str">
        <f>IF($A24="","",IFERROR(INDEX('Natural Catastrophe'!$D$6:$D$17,MATCH($AS24,'Natural Catastrophe'!$B$6:$B$17,0)),"?"))</f>
        <v/>
      </c>
      <c r="AV24" s="98" t="str">
        <f>IF($A24="","",IFERROR(INDEX('Natural Catastrophe'!$C$21:$C$26,MATCH($AA24,'Natural Catastrophe'!$B$21:$B$26,0)),"?"))</f>
        <v/>
      </c>
      <c r="AW24" s="97" t="str">
        <f>IF($A24="","",IFERROR(INDEX('Base Rates'!$C$4:$I$4,MATCH(MAX($J24,'Technical Premium'!$C$18),'Base Rates'!$C$3:$I$3,1)),"?"))</f>
        <v/>
      </c>
      <c r="AX24" s="99" t="str">
        <f>IF($A24="","",IFERROR(INDEX('Base Rates'!$C$5:$I$16,MATCH($I24,'Base Rates'!$B$5:$B$16,0),MATCH(MAX($J24,'Technical Premium'!$C$18),'Base Rates'!$C$3:$I$3,1)),"?"))</f>
        <v/>
      </c>
      <c r="AY24" s="100" t="str">
        <f t="shared" si="1"/>
        <v/>
      </c>
      <c r="AZ24" s="97" t="str">
        <f>IF($A24="","",IFERROR(INDEX('Make Factors'!$G$5:$G$69,MATCH($F24,'Make Factors'!$B$5:$B$69,0)),"?"))</f>
        <v/>
      </c>
      <c r="BA24" s="97" t="str">
        <f>IF($A24="","",IFERROR(INDEX('Driver Factors'!$C$6:$C$15,MATCH($R24,'Driver Factors'!$B$6:$B$15,0)),"?"))</f>
        <v/>
      </c>
      <c r="BB24" s="97" t="str">
        <f>IF($A24="","",IFERROR(INDEX('Driver Factors'!$C$19:$C$24,MATCH($S24,'Driver Factors'!$B$19:$B$24,0)),"?"))</f>
        <v/>
      </c>
      <c r="BC24" s="97" t="str">
        <f>IF($A24="","",IFERROR(INDEX('Driver Factors'!$C$28:$C$36,MATCH($T24,'Driver Factors'!$B$28:$B$36,0)),"?"))</f>
        <v/>
      </c>
      <c r="BD24" s="97" t="str">
        <f>IF($A24="","",IFERROR(INDEX('Claims History'!$C$6:$C$15,MATCH($U24,'Claims History'!$B$6:$B$15,0)),"?"))</f>
        <v/>
      </c>
      <c r="BE24" s="97" t="str">
        <f>IF($A24="","",IFERROR(INDEX('Territory Factors'!$E$6:$E$56,MATCH($K24,'Territory Factors'!$B$6:$B$56,0)),"?"))</f>
        <v/>
      </c>
      <c r="BF24" s="97" t="str">
        <f>IF($A24="","",IFERROR(INDEX('City Accident Ratings'!$G$6:$G$54,MATCH($Z24,'City Accident Ratings'!$B$6:$B$54,0)),"?"))</f>
        <v/>
      </c>
      <c r="BG24" s="97" t="str">
        <f>IF($A24="","",IFERROR(INDEX('Usage and Coverage'!$D$6:$D$20,MATCH($N24,'Usage and Coverage'!$C$6:$C$20,0)),"?"))</f>
        <v/>
      </c>
      <c r="BH24" s="97" t="str">
        <f>IF($A24="","",IFERROR(INDEX('Usage and Coverage'!$C$24:$C$30,MATCH($O24,'Usage and Coverage'!$B$24:$B$30,0)),"?"))</f>
        <v/>
      </c>
      <c r="BI24" s="97" t="str">
        <f>IF($A24="","",IFERROR(INDEX('Usage and Coverage'!$C$34:$C$40,MATCH($P24,'Usage and Coverage'!$B$34:$B$40,0)),"?"))</f>
        <v/>
      </c>
      <c r="BJ24" s="97" t="str">
        <f>IF($A24="","",IFERROR(INDEX('Usage and Coverage'!$C$44:$C$49,MATCH($Q24,'Usage and Coverage'!$B$44:$B$49,0)),"?"))</f>
        <v/>
      </c>
      <c r="BK24" s="97" t="str">
        <f>IF($A24="","",IFERROR(INDEX(Deductibles!$C$6:$I$15,MATCH($W24,Deductibles!$B$6:$B$15,0),MATCH(MAX($J24,'Technical Premium'!$C$18),'Base Rates'!$C$3:$I$3,1)),"?"))</f>
        <v/>
      </c>
      <c r="BL24" s="97" t="str">
        <f>IF($A24="","",IFERROR(INDEX('Usage and Coverage'!$C$63:$C$66,MATCH($X24,'Usage and Coverage'!$B$63:$B$66,0)),"?"))</f>
        <v/>
      </c>
      <c r="BM24" s="97" t="str">
        <f>IF($A24="","",IFERROR(INDEX('Usage and Coverage'!$C$70:$C$75,MATCH($V24,'Usage and Coverage'!$B$70:$B$75,0)),"?"))</f>
        <v/>
      </c>
      <c r="BN24" s="97" t="str">
        <f>IF($A24="","",IF($AB24="",1,IFERROR(INDEX(Deductibles!$C$48:$C$51,MATCH($AB24,Deductibles!$B$48:$B$51,0)),"?")))</f>
        <v/>
      </c>
      <c r="BO24" s="97" t="str">
        <f>IF($A24="","",IF($AC24="",1,IFERROR(INDEX(Deductibles!$C$55:$C$57,MATCH($AC24,Deductibles!$B$55:$B$57,0)),"?")))</f>
        <v/>
      </c>
      <c r="BP24" s="97" t="str">
        <f>IF($A24="","",IF($AD24="",1,IFERROR(INDEX(Deductibles!$C$61:$C$63,MATCH($AD24,Deductibles!$B$61:$B$63,0)),"?")))</f>
        <v/>
      </c>
      <c r="BQ24" s="97" t="str">
        <f>IF($A24="","",IF($AE24="",1,IFERROR(INDEX(Deductibles!$C$67:$C$69,MATCH($AE24,Deductibles!$B$67:$B$69,0)),"?")))</f>
        <v/>
      </c>
      <c r="BR24" s="97" t="str">
        <f>IF($A24="","",IF($AF24="",1,IFERROR(INDEX(Deductibles!$C$73:$C$74,MATCH($AF24,Deductibles!$B$73:$B$74,0)),"?")))</f>
        <v/>
      </c>
      <c r="BS24" s="97" t="str">
        <f>IF($A24="","",IF($AG24="",1,IFERROR(INDEX('Sublimits and Parts'!$C$49:$C$52,MATCH($AG24,'Sublimits and Parts'!$B$49:$B$52,0)),"?")))</f>
        <v/>
      </c>
      <c r="BT24" s="97" t="str">
        <f>IF($A24="","",IF($AH24="",1,IFERROR(INDEX('Sublimits and Parts'!$C$56:$C$60,MATCH($AH24,'Sublimits and Parts'!$B$56:$B$60,0)),"?")))</f>
        <v/>
      </c>
      <c r="BU24" s="97" t="str">
        <f>IF($A24="","",IF($AI24="",1,IFERROR(INDEX('Sublimits and Parts'!$C$64:$C$67,MATCH($AI24,'Sublimits and Parts'!$B$64:$B$67,0)),"?")))</f>
        <v/>
      </c>
      <c r="BV24" s="97" t="str">
        <f>IF($A24="","",IF($AJ24="",1,IFERROR(INDEX('Sublimits and Parts'!$C$71:$C$74,MATCH($AJ24,'Sublimits and Parts'!$B$71:$B$74,0)),"?")))</f>
        <v/>
      </c>
      <c r="BW24" s="97" t="str">
        <f>IF($A24="","",IF($AK24="",1,IFERROR(INDEX('Sublimits and Parts'!$C$78:$C$80,MATCH($AK24,'Sublimits and Parts'!$B$78:$B$80,0)),"?")))</f>
        <v/>
      </c>
      <c r="BX24" s="97" t="str">
        <f>IF($A24="","",IF($AL24="",1,IFERROR(INDEX('Sublimits and Parts'!$C$84:$C$87,MATCH($AL24,'Sublimits and Parts'!$B$84:$B$87,0)),"?")))</f>
        <v/>
      </c>
      <c r="BY24" s="97" t="str">
        <f>IF($A24="","",IF($AM24="",1,IFERROR(INDEX('Sublimits and Parts'!$C$91:$C$94,MATCH($AM24,'Sublimits and Parts'!$B$91:$B$94,0)),"?")))</f>
        <v/>
      </c>
      <c r="BZ24" s="97" t="str">
        <f>IF($A24="","",IF($AN24="",1,IFERROR(INDEX('Sublimits and Parts'!$C$98:$C$101,MATCH($AN24,'Sublimits and Parts'!$B$98:$B$101,0)),"?")))</f>
        <v/>
      </c>
      <c r="CA24" s="97" t="str">
        <f>IF($A24="","",IF($AO24="",1,IFERROR(INDEX('Sublimits and Parts'!$C$105:$C$109,MATCH($AO24,'Sublimits and Parts'!$B$105:$B$109,0)),"?")))</f>
        <v/>
      </c>
      <c r="CB24" s="98" t="str">
        <f t="shared" si="2"/>
        <v/>
      </c>
      <c r="CC24" s="98" t="str">
        <f t="shared" si="3"/>
        <v/>
      </c>
      <c r="CD24" s="101" t="str">
        <f>IF($A24="","",IF(OR($CB24="?",$CC24="?"),"?",MIN($CB24*$CC24,'Technical Premium'!$C$17)))</f>
        <v/>
      </c>
      <c r="CE24" s="100" t="str">
        <f t="shared" si="4"/>
        <v/>
      </c>
      <c r="CF24" s="100" t="str">
        <f>IF($A24="","",IFERROR(INDEX('Territory Factors'!$F$6:$F$56,MATCH($K24,'Territory Factors'!$B$6:$B$56,0)),"?"))</f>
        <v/>
      </c>
      <c r="CG24" s="98" t="str">
        <f>IF($A24="","",IFERROR(INDEX('Usage and Coverage'!$C$79:$C$84,MATCH($Y24,'Usage and Coverage'!$B$79:$B$84,0)),"?"))</f>
        <v/>
      </c>
      <c r="CH24" s="100" t="str">
        <f>IFERROR(IF(ISNUMBER($CD24),$CF24*$CG24*MIN($BG24*$BA24*$BC24*$BD24*$BH24*$BF24,'Technical Premium'!$C$17),""),"")</f>
        <v/>
      </c>
      <c r="CI24" s="100" t="str">
        <f t="shared" si="5"/>
        <v/>
      </c>
      <c r="CJ24" s="100" t="str">
        <f>IFERROR($CI24*(1+'Technical Premium'!$C$5)*(1+'Technical Premium'!$C$6),"")</f>
        <v/>
      </c>
      <c r="CK24" s="100" t="str">
        <f>IFERROR($CE24*INDEX('Territory Factors'!$G$6:$G$56,MATCH($K24,'Territory Factors'!$B$6:$B$56,0))*$AU24*$AV24,"")</f>
        <v/>
      </c>
      <c r="CL24" s="100" t="str">
        <f>IFERROR(($CJ24+$CK24)*(1+'Technical Premium'!$C$7),"")</f>
        <v/>
      </c>
      <c r="CM24" s="102" t="str">
        <f>IFERROR($CL24/'Technical Premium'!$C$13,"")</f>
        <v/>
      </c>
      <c r="CN24" s="103" t="str">
        <f t="shared" si="6"/>
        <v/>
      </c>
      <c r="CO24" s="102" t="str">
        <f t="shared" si="7"/>
        <v/>
      </c>
      <c r="CP24" s="103" t="str">
        <f t="shared" si="8"/>
        <v/>
      </c>
      <c r="CQ24" s="104" t="str">
        <f t="shared" si="9"/>
        <v/>
      </c>
      <c r="CR24" s="100" t="str">
        <f>IF(ISNUMBER($CM24),'Technical Premium'!$C$14+IF($J24&gt;=1000000,'Technical Premium'!$C$15,0),"")</f>
        <v/>
      </c>
      <c r="CS24" s="100" t="str">
        <f>IFERROR(($CO24+$CR24)*(INDEX('Territory Factors'!$K$6:$K$56,MATCH($K24,'Territory Factors'!$B$6:$B$56,0))+'Commission Structure'!$C$21),"")</f>
        <v/>
      </c>
      <c r="CT24" s="102" t="str">
        <f t="shared" si="10"/>
        <v/>
      </c>
      <c r="CU24" s="100" t="str">
        <f>IFERROR($CO24*('Commission Structure'!$C$6+'Commission Structure'!$C$7),"")</f>
        <v/>
      </c>
      <c r="CV24" s="100" t="str">
        <f>IFERROR($CO24*'Commission Structure'!$C$5-$CU24,"")</f>
        <v/>
      </c>
      <c r="CW24" s="100" t="str">
        <f>IFERROR($CO24*(1-'Commission Structure'!$C$5),"")</f>
        <v/>
      </c>
      <c r="CX24" s="105" t="str">
        <f>IF($A24="","",IF(OR($CB24="?",$CC24="?",NOT(ISNUMBER($AU24))),"CHECK INPUTS",IF(OR($J24&lt;'Technical Premium'!$C$18,LEFT(IFERROR(INDEX('Driver Factors'!$D$6:$D$15,MATCH($R24,'Driver Factors'!$B$6:$B$15,0)),""),7)="DECLINE",LEFT(IFERROR(INDEX('Driver Factors'!$D$28:$D$36,MATCH($T24,'Driver Factors'!$B$28:$B$36,0)),""),7)="DECLINE",LEFT(IFERROR(INDEX('Claims History'!$D$6:$D$15,MATCH($U24,'Claims History'!$B$6:$B$15,0)),""),7)="DECLINE",LEFT(IFERROR(INDEX('Usage and Coverage'!$E$6:$E$20,MATCH($N24,'Usage and Coverage'!$C$6:$C$20,0)),""),7)="DECLINE"),"DECLINE",IF(OR($CD24&gt;2.5,$CD24&gt;='Technical Premium'!$C$17,$J24&gt;='Technical Premium'!$C$16,N($AQ24)&lt;'Technical Premium'!$C$19,N($AQ24)&gt;'Technical Premium'!$C$20,LEFT(IFERROR(INDEX('Driver Factors'!$D$6:$D$15,MATCH($R24,'Driver Factors'!$B$6:$B$15,0)),""),5)="Refer",LEFT(IFERROR(INDEX('Driver Factors'!$D$28:$D$36,MATCH($T24,'Driver Factors'!$B$28:$B$36,0)),""),5)="Refer",LEFT(IFERROR(INDEX('Claims History'!$D$6:$D$15,MATCH($U24,'Claims History'!$B$6:$B$15,0)),""),5)="Refer",LEFT(IFERROR(INDEX('Usage and Coverage'!$E$6:$E$20,MATCH($N24,'Usage and Coverage'!$C$6:$C$20,0)),""),5)="Refer"),"REFER","AUTO-BIND"))))</f>
        <v/>
      </c>
      <c r="CY24" s="106" t="str">
        <f t="shared" si="11"/>
        <v/>
      </c>
      <c r="CZ24" s="97" t="str">
        <f>IF($CY24="","",IF($CY24&lt;'Technical Premium'!$C$19,"BEYOND AUTHORITY",IF($CY24&gt;0.005,"Above technical",IF($CY24&lt;-0.005,"BELOW technical","At technical"))))</f>
        <v/>
      </c>
      <c r="DA24" s="97" t="str">
        <f>IF($A24="","",IF($CX24="AUTO-BIND","",TRIM(IF($J24&lt;'Technical Premium'!$C$18,"Below programme minimum agreed value. ","")&amp;IF(N($AQ24)&lt;'Technical Premium'!$C$19,"DISCOUNT AUTHORITY BREACH. ","")&amp;IF(N($AQ24)&gt;'Technical Premium'!$C$20,"Load authority breach. ","")&amp;IF($J24&gt;='Technical Premium'!$C$16,"Agreed value at or above auto-bind limit. ","")&amp;IF(AND(ISNUMBER($CD24),$CD24&gt;='Technical Premium'!$C$17),"Composite factor at cap. ","")&amp;IF(AND(ISNUMBER($CD24),$CD24&gt;2.5),"Composite factor above 2.50. ","")&amp;IF(LEFT(IFERROR(INDEX('Driver Factors'!$D$6:$D$15,MATCH($R24,'Driver Factors'!$B$6:$B$15,0)),""),7)="DECLINE","DECLINE - driver age. ",IF(LEFT(IFERROR(INDEX('Driver Factors'!$D$6:$D$15,MATCH($R24,'Driver Factors'!$B$6:$B$15,0)),""),5)="Refer","Driver age band. ",""))&amp;IF(LEFT(IFERROR(INDEX('Driver Factors'!$D$28:$D$36,MATCH($T24,'Driver Factors'!$B$28:$B$36,0)),""),7)="DECLINE","DECLINE - MVR. ",IF(LEFT(IFERROR(INDEX('Driver Factors'!$D$28:$D$36,MATCH($T24,'Driver Factors'!$B$28:$B$36,0)),""),5)="Refer","MVR record. ",""))&amp;IF(LEFT(IFERROR(INDEX('Claims History'!$D$6:$D$15,MATCH($U24,'Claims History'!$B$6:$B$15,0)),""),7)="DECLINE","DECLINE - claims. ",IF(LEFT(IFERROR(INDEX('Claims History'!$D$6:$D$15,MATCH($U24,'Claims History'!$B$6:$B$15,0)),""),5)="Refer","Claims history. ",""))&amp;IF(LEFT(IFERROR(INDEX('Usage and Coverage'!$E$6:$E$20,MATCH($N24,'Usage and Coverage'!$C$6:$C$20,0)),""),7)="DECLINE","DECLINE - usage class. ",IF(LEFT(IFERROR(INDEX('Usage and Coverage'!$E$6:$E$20,MATCH($N24,'Usage and Coverage'!$C$6:$C$20,0)),""),5)="Refer","Usage class. ",""))&amp;IF($CX24="CHECK INPUTS","Incomplete inputs. ",""))))</f>
        <v/>
      </c>
      <c r="DB24" s="92"/>
      <c r="DC24" s="92"/>
      <c r="DD24" s="93"/>
      <c r="DE24" s="92"/>
      <c r="DF24" s="92"/>
      <c r="DG24" s="97" t="str">
        <f t="shared" si="12"/>
        <v/>
      </c>
      <c r="DH24" s="97" t="str">
        <f>IF($A24="","",IF(OR($CX24="REFER",$CX24="DECLINE"),COUNTIF($CX$5:$CX24,"REFER")+COUNTIF($CX$5:$CX24,"DECLINE"),""))</f>
        <v/>
      </c>
      <c r="DI24" s="92"/>
    </row>
    <row r="25" spans="1:113" x14ac:dyDescent="0.25">
      <c r="A25" s="92"/>
      <c r="B25" s="92"/>
      <c r="C25" s="93"/>
      <c r="D25" s="93"/>
      <c r="E25" s="94"/>
      <c r="F25" s="92"/>
      <c r="G25" s="92"/>
      <c r="H25" s="92"/>
      <c r="I25" s="92"/>
      <c r="J25" s="95"/>
      <c r="K25" s="9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6"/>
      <c r="AR25" s="97" t="str">
        <f t="shared" si="0"/>
        <v/>
      </c>
      <c r="AS25" s="97" t="str">
        <f>IF($A25="","",IF($AP25&lt;&gt;"",$AP25,IFERROR(INDEX('Cat Zone by ZIP'!$D$6:$D$856,MATCH($AR25,'Cat Zone by ZIP'!$B$6:$B$856,0)),IFERROR(INDEX('Cat Zone by ZIP'!$C$860:$C$910,MATCH($K25,'Cat Zone by ZIP'!$B$860:$B$910,0)),"NOT FOUND"))))</f>
        <v/>
      </c>
      <c r="AT25" s="97" t="str">
        <f>IF($A25="","",IF($AP25&lt;&gt;"","Override",IF(ISNUMBER(MATCH($AR25,'Cat Zone by ZIP'!$B$6:$B$856,0)),"ZIP-3","State default")))</f>
        <v/>
      </c>
      <c r="AU25" s="98" t="str">
        <f>IF($A25="","",IFERROR(INDEX('Natural Catastrophe'!$D$6:$D$17,MATCH($AS25,'Natural Catastrophe'!$B$6:$B$17,0)),"?"))</f>
        <v/>
      </c>
      <c r="AV25" s="98" t="str">
        <f>IF($A25="","",IFERROR(INDEX('Natural Catastrophe'!$C$21:$C$26,MATCH($AA25,'Natural Catastrophe'!$B$21:$B$26,0)),"?"))</f>
        <v/>
      </c>
      <c r="AW25" s="97" t="str">
        <f>IF($A25="","",IFERROR(INDEX('Base Rates'!$C$4:$I$4,MATCH(MAX($J25,'Technical Premium'!$C$18),'Base Rates'!$C$3:$I$3,1)),"?"))</f>
        <v/>
      </c>
      <c r="AX25" s="99" t="str">
        <f>IF($A25="","",IFERROR(INDEX('Base Rates'!$C$5:$I$16,MATCH($I25,'Base Rates'!$B$5:$B$16,0),MATCH(MAX($J25,'Technical Premium'!$C$18),'Base Rates'!$C$3:$I$3,1)),"?"))</f>
        <v/>
      </c>
      <c r="AY25" s="100" t="str">
        <f t="shared" si="1"/>
        <v/>
      </c>
      <c r="AZ25" s="97" t="str">
        <f>IF($A25="","",IFERROR(INDEX('Make Factors'!$G$5:$G$69,MATCH($F25,'Make Factors'!$B$5:$B$69,0)),"?"))</f>
        <v/>
      </c>
      <c r="BA25" s="97" t="str">
        <f>IF($A25="","",IFERROR(INDEX('Driver Factors'!$C$6:$C$15,MATCH($R25,'Driver Factors'!$B$6:$B$15,0)),"?"))</f>
        <v/>
      </c>
      <c r="BB25" s="97" t="str">
        <f>IF($A25="","",IFERROR(INDEX('Driver Factors'!$C$19:$C$24,MATCH($S25,'Driver Factors'!$B$19:$B$24,0)),"?"))</f>
        <v/>
      </c>
      <c r="BC25" s="97" t="str">
        <f>IF($A25="","",IFERROR(INDEX('Driver Factors'!$C$28:$C$36,MATCH($T25,'Driver Factors'!$B$28:$B$36,0)),"?"))</f>
        <v/>
      </c>
      <c r="BD25" s="97" t="str">
        <f>IF($A25="","",IFERROR(INDEX('Claims History'!$C$6:$C$15,MATCH($U25,'Claims History'!$B$6:$B$15,0)),"?"))</f>
        <v/>
      </c>
      <c r="BE25" s="97" t="str">
        <f>IF($A25="","",IFERROR(INDEX('Territory Factors'!$E$6:$E$56,MATCH($K25,'Territory Factors'!$B$6:$B$56,0)),"?"))</f>
        <v/>
      </c>
      <c r="BF25" s="97" t="str">
        <f>IF($A25="","",IFERROR(INDEX('City Accident Ratings'!$G$6:$G$54,MATCH($Z25,'City Accident Ratings'!$B$6:$B$54,0)),"?"))</f>
        <v/>
      </c>
      <c r="BG25" s="97" t="str">
        <f>IF($A25="","",IFERROR(INDEX('Usage and Coverage'!$D$6:$D$20,MATCH($N25,'Usage and Coverage'!$C$6:$C$20,0)),"?"))</f>
        <v/>
      </c>
      <c r="BH25" s="97" t="str">
        <f>IF($A25="","",IFERROR(INDEX('Usage and Coverage'!$C$24:$C$30,MATCH($O25,'Usage and Coverage'!$B$24:$B$30,0)),"?"))</f>
        <v/>
      </c>
      <c r="BI25" s="97" t="str">
        <f>IF($A25="","",IFERROR(INDEX('Usage and Coverage'!$C$34:$C$40,MATCH($P25,'Usage and Coverage'!$B$34:$B$40,0)),"?"))</f>
        <v/>
      </c>
      <c r="BJ25" s="97" t="str">
        <f>IF($A25="","",IFERROR(INDEX('Usage and Coverage'!$C$44:$C$49,MATCH($Q25,'Usage and Coverage'!$B$44:$B$49,0)),"?"))</f>
        <v/>
      </c>
      <c r="BK25" s="97" t="str">
        <f>IF($A25="","",IFERROR(INDEX(Deductibles!$C$6:$I$15,MATCH($W25,Deductibles!$B$6:$B$15,0),MATCH(MAX($J25,'Technical Premium'!$C$18),'Base Rates'!$C$3:$I$3,1)),"?"))</f>
        <v/>
      </c>
      <c r="BL25" s="97" t="str">
        <f>IF($A25="","",IFERROR(INDEX('Usage and Coverage'!$C$63:$C$66,MATCH($X25,'Usage and Coverage'!$B$63:$B$66,0)),"?"))</f>
        <v/>
      </c>
      <c r="BM25" s="97" t="str">
        <f>IF($A25="","",IFERROR(INDEX('Usage and Coverage'!$C$70:$C$75,MATCH($V25,'Usage and Coverage'!$B$70:$B$75,0)),"?"))</f>
        <v/>
      </c>
      <c r="BN25" s="97" t="str">
        <f>IF($A25="","",IF($AB25="",1,IFERROR(INDEX(Deductibles!$C$48:$C$51,MATCH($AB25,Deductibles!$B$48:$B$51,0)),"?")))</f>
        <v/>
      </c>
      <c r="BO25" s="97" t="str">
        <f>IF($A25="","",IF($AC25="",1,IFERROR(INDEX(Deductibles!$C$55:$C$57,MATCH($AC25,Deductibles!$B$55:$B$57,0)),"?")))</f>
        <v/>
      </c>
      <c r="BP25" s="97" t="str">
        <f>IF($A25="","",IF($AD25="",1,IFERROR(INDEX(Deductibles!$C$61:$C$63,MATCH($AD25,Deductibles!$B$61:$B$63,0)),"?")))</f>
        <v/>
      </c>
      <c r="BQ25" s="97" t="str">
        <f>IF($A25="","",IF($AE25="",1,IFERROR(INDEX(Deductibles!$C$67:$C$69,MATCH($AE25,Deductibles!$B$67:$B$69,0)),"?")))</f>
        <v/>
      </c>
      <c r="BR25" s="97" t="str">
        <f>IF($A25="","",IF($AF25="",1,IFERROR(INDEX(Deductibles!$C$73:$C$74,MATCH($AF25,Deductibles!$B$73:$B$74,0)),"?")))</f>
        <v/>
      </c>
      <c r="BS25" s="97" t="str">
        <f>IF($A25="","",IF($AG25="",1,IFERROR(INDEX('Sublimits and Parts'!$C$49:$C$52,MATCH($AG25,'Sublimits and Parts'!$B$49:$B$52,0)),"?")))</f>
        <v/>
      </c>
      <c r="BT25" s="97" t="str">
        <f>IF($A25="","",IF($AH25="",1,IFERROR(INDEX('Sublimits and Parts'!$C$56:$C$60,MATCH($AH25,'Sublimits and Parts'!$B$56:$B$60,0)),"?")))</f>
        <v/>
      </c>
      <c r="BU25" s="97" t="str">
        <f>IF($A25="","",IF($AI25="",1,IFERROR(INDEX('Sublimits and Parts'!$C$64:$C$67,MATCH($AI25,'Sublimits and Parts'!$B$64:$B$67,0)),"?")))</f>
        <v/>
      </c>
      <c r="BV25" s="97" t="str">
        <f>IF($A25="","",IF($AJ25="",1,IFERROR(INDEX('Sublimits and Parts'!$C$71:$C$74,MATCH($AJ25,'Sublimits and Parts'!$B$71:$B$74,0)),"?")))</f>
        <v/>
      </c>
      <c r="BW25" s="97" t="str">
        <f>IF($A25="","",IF($AK25="",1,IFERROR(INDEX('Sublimits and Parts'!$C$78:$C$80,MATCH($AK25,'Sublimits and Parts'!$B$78:$B$80,0)),"?")))</f>
        <v/>
      </c>
      <c r="BX25" s="97" t="str">
        <f>IF($A25="","",IF($AL25="",1,IFERROR(INDEX('Sublimits and Parts'!$C$84:$C$87,MATCH($AL25,'Sublimits and Parts'!$B$84:$B$87,0)),"?")))</f>
        <v/>
      </c>
      <c r="BY25" s="97" t="str">
        <f>IF($A25="","",IF($AM25="",1,IFERROR(INDEX('Sublimits and Parts'!$C$91:$C$94,MATCH($AM25,'Sublimits and Parts'!$B$91:$B$94,0)),"?")))</f>
        <v/>
      </c>
      <c r="BZ25" s="97" t="str">
        <f>IF($A25="","",IF($AN25="",1,IFERROR(INDEX('Sublimits and Parts'!$C$98:$C$101,MATCH($AN25,'Sublimits and Parts'!$B$98:$B$101,0)),"?")))</f>
        <v/>
      </c>
      <c r="CA25" s="97" t="str">
        <f>IF($A25="","",IF($AO25="",1,IFERROR(INDEX('Sublimits and Parts'!$C$105:$C$109,MATCH($AO25,'Sublimits and Parts'!$B$105:$B$109,0)),"?")))</f>
        <v/>
      </c>
      <c r="CB25" s="98" t="str">
        <f t="shared" si="2"/>
        <v/>
      </c>
      <c r="CC25" s="98" t="str">
        <f t="shared" si="3"/>
        <v/>
      </c>
      <c r="CD25" s="101" t="str">
        <f>IF($A25="","",IF(OR($CB25="?",$CC25="?"),"?",MIN($CB25*$CC25,'Technical Premium'!$C$17)))</f>
        <v/>
      </c>
      <c r="CE25" s="100" t="str">
        <f t="shared" si="4"/>
        <v/>
      </c>
      <c r="CF25" s="100" t="str">
        <f>IF($A25="","",IFERROR(INDEX('Territory Factors'!$F$6:$F$56,MATCH($K25,'Territory Factors'!$B$6:$B$56,0)),"?"))</f>
        <v/>
      </c>
      <c r="CG25" s="98" t="str">
        <f>IF($A25="","",IFERROR(INDEX('Usage and Coverage'!$C$79:$C$84,MATCH($Y25,'Usage and Coverage'!$B$79:$B$84,0)),"?"))</f>
        <v/>
      </c>
      <c r="CH25" s="100" t="str">
        <f>IFERROR(IF(ISNUMBER($CD25),$CF25*$CG25*MIN($BG25*$BA25*$BC25*$BD25*$BH25*$BF25,'Technical Premium'!$C$17),""),"")</f>
        <v/>
      </c>
      <c r="CI25" s="100" t="str">
        <f t="shared" si="5"/>
        <v/>
      </c>
      <c r="CJ25" s="100" t="str">
        <f>IFERROR($CI25*(1+'Technical Premium'!$C$5)*(1+'Technical Premium'!$C$6),"")</f>
        <v/>
      </c>
      <c r="CK25" s="100" t="str">
        <f>IFERROR($CE25*INDEX('Territory Factors'!$G$6:$G$56,MATCH($K25,'Territory Factors'!$B$6:$B$56,0))*$AU25*$AV25,"")</f>
        <v/>
      </c>
      <c r="CL25" s="100" t="str">
        <f>IFERROR(($CJ25+$CK25)*(1+'Technical Premium'!$C$7),"")</f>
        <v/>
      </c>
      <c r="CM25" s="102" t="str">
        <f>IFERROR($CL25/'Technical Premium'!$C$13,"")</f>
        <v/>
      </c>
      <c r="CN25" s="103" t="str">
        <f t="shared" si="6"/>
        <v/>
      </c>
      <c r="CO25" s="102" t="str">
        <f t="shared" si="7"/>
        <v/>
      </c>
      <c r="CP25" s="103" t="str">
        <f t="shared" si="8"/>
        <v/>
      </c>
      <c r="CQ25" s="104" t="str">
        <f t="shared" si="9"/>
        <v/>
      </c>
      <c r="CR25" s="100" t="str">
        <f>IF(ISNUMBER($CM25),'Technical Premium'!$C$14+IF($J25&gt;=1000000,'Technical Premium'!$C$15,0),"")</f>
        <v/>
      </c>
      <c r="CS25" s="100" t="str">
        <f>IFERROR(($CO25+$CR25)*(INDEX('Territory Factors'!$K$6:$K$56,MATCH($K25,'Territory Factors'!$B$6:$B$56,0))+'Commission Structure'!$C$21),"")</f>
        <v/>
      </c>
      <c r="CT25" s="102" t="str">
        <f t="shared" si="10"/>
        <v/>
      </c>
      <c r="CU25" s="100" t="str">
        <f>IFERROR($CO25*('Commission Structure'!$C$6+'Commission Structure'!$C$7),"")</f>
        <v/>
      </c>
      <c r="CV25" s="100" t="str">
        <f>IFERROR($CO25*'Commission Structure'!$C$5-$CU25,"")</f>
        <v/>
      </c>
      <c r="CW25" s="100" t="str">
        <f>IFERROR($CO25*(1-'Commission Structure'!$C$5),"")</f>
        <v/>
      </c>
      <c r="CX25" s="105" t="str">
        <f>IF($A25="","",IF(OR($CB25="?",$CC25="?",NOT(ISNUMBER($AU25))),"CHECK INPUTS",IF(OR($J25&lt;'Technical Premium'!$C$18,LEFT(IFERROR(INDEX('Driver Factors'!$D$6:$D$15,MATCH($R25,'Driver Factors'!$B$6:$B$15,0)),""),7)="DECLINE",LEFT(IFERROR(INDEX('Driver Factors'!$D$28:$D$36,MATCH($T25,'Driver Factors'!$B$28:$B$36,0)),""),7)="DECLINE",LEFT(IFERROR(INDEX('Claims History'!$D$6:$D$15,MATCH($U25,'Claims History'!$B$6:$B$15,0)),""),7)="DECLINE",LEFT(IFERROR(INDEX('Usage and Coverage'!$E$6:$E$20,MATCH($N25,'Usage and Coverage'!$C$6:$C$20,0)),""),7)="DECLINE"),"DECLINE",IF(OR($CD25&gt;2.5,$CD25&gt;='Technical Premium'!$C$17,$J25&gt;='Technical Premium'!$C$16,N($AQ25)&lt;'Technical Premium'!$C$19,N($AQ25)&gt;'Technical Premium'!$C$20,LEFT(IFERROR(INDEX('Driver Factors'!$D$6:$D$15,MATCH($R25,'Driver Factors'!$B$6:$B$15,0)),""),5)="Refer",LEFT(IFERROR(INDEX('Driver Factors'!$D$28:$D$36,MATCH($T25,'Driver Factors'!$B$28:$B$36,0)),""),5)="Refer",LEFT(IFERROR(INDEX('Claims History'!$D$6:$D$15,MATCH($U25,'Claims History'!$B$6:$B$15,0)),""),5)="Refer",LEFT(IFERROR(INDEX('Usage and Coverage'!$E$6:$E$20,MATCH($N25,'Usage and Coverage'!$C$6:$C$20,0)),""),5)="Refer"),"REFER","AUTO-BIND"))))</f>
        <v/>
      </c>
      <c r="CY25" s="106" t="str">
        <f t="shared" si="11"/>
        <v/>
      </c>
      <c r="CZ25" s="97" t="str">
        <f>IF($CY25="","",IF($CY25&lt;'Technical Premium'!$C$19,"BEYOND AUTHORITY",IF($CY25&gt;0.005,"Above technical",IF($CY25&lt;-0.005,"BELOW technical","At technical"))))</f>
        <v/>
      </c>
      <c r="DA25" s="97" t="str">
        <f>IF($A25="","",IF($CX25="AUTO-BIND","",TRIM(IF($J25&lt;'Technical Premium'!$C$18,"Below programme minimum agreed value. ","")&amp;IF(N($AQ25)&lt;'Technical Premium'!$C$19,"DISCOUNT AUTHORITY BREACH. ","")&amp;IF(N($AQ25)&gt;'Technical Premium'!$C$20,"Load authority breach. ","")&amp;IF($J25&gt;='Technical Premium'!$C$16,"Agreed value at or above auto-bind limit. ","")&amp;IF(AND(ISNUMBER($CD25),$CD25&gt;='Technical Premium'!$C$17),"Composite factor at cap. ","")&amp;IF(AND(ISNUMBER($CD25),$CD25&gt;2.5),"Composite factor above 2.50. ","")&amp;IF(LEFT(IFERROR(INDEX('Driver Factors'!$D$6:$D$15,MATCH($R25,'Driver Factors'!$B$6:$B$15,0)),""),7)="DECLINE","DECLINE - driver age. ",IF(LEFT(IFERROR(INDEX('Driver Factors'!$D$6:$D$15,MATCH($R25,'Driver Factors'!$B$6:$B$15,0)),""),5)="Refer","Driver age band. ",""))&amp;IF(LEFT(IFERROR(INDEX('Driver Factors'!$D$28:$D$36,MATCH($T25,'Driver Factors'!$B$28:$B$36,0)),""),7)="DECLINE","DECLINE - MVR. ",IF(LEFT(IFERROR(INDEX('Driver Factors'!$D$28:$D$36,MATCH($T25,'Driver Factors'!$B$28:$B$36,0)),""),5)="Refer","MVR record. ",""))&amp;IF(LEFT(IFERROR(INDEX('Claims History'!$D$6:$D$15,MATCH($U25,'Claims History'!$B$6:$B$15,0)),""),7)="DECLINE","DECLINE - claims. ",IF(LEFT(IFERROR(INDEX('Claims History'!$D$6:$D$15,MATCH($U25,'Claims History'!$B$6:$B$15,0)),""),5)="Refer","Claims history. ",""))&amp;IF(LEFT(IFERROR(INDEX('Usage and Coverage'!$E$6:$E$20,MATCH($N25,'Usage and Coverage'!$C$6:$C$20,0)),""),7)="DECLINE","DECLINE - usage class. ",IF(LEFT(IFERROR(INDEX('Usage and Coverage'!$E$6:$E$20,MATCH($N25,'Usage and Coverage'!$C$6:$C$20,0)),""),5)="Refer","Usage class. ",""))&amp;IF($CX25="CHECK INPUTS","Incomplete inputs. ",""))))</f>
        <v/>
      </c>
      <c r="DB25" s="92"/>
      <c r="DC25" s="92"/>
      <c r="DD25" s="93"/>
      <c r="DE25" s="92"/>
      <c r="DF25" s="92"/>
      <c r="DG25" s="97" t="str">
        <f t="shared" si="12"/>
        <v/>
      </c>
      <c r="DH25" s="97" t="str">
        <f>IF($A25="","",IF(OR($CX25="REFER",$CX25="DECLINE"),COUNTIF($CX$5:$CX25,"REFER")+COUNTIF($CX$5:$CX25,"DECLINE"),""))</f>
        <v/>
      </c>
      <c r="DI25" s="92"/>
    </row>
    <row r="26" spans="1:113" x14ac:dyDescent="0.25">
      <c r="A26" s="92"/>
      <c r="B26" s="92"/>
      <c r="C26" s="93"/>
      <c r="D26" s="93"/>
      <c r="E26" s="94"/>
      <c r="F26" s="92"/>
      <c r="G26" s="92"/>
      <c r="H26" s="92"/>
      <c r="I26" s="92"/>
      <c r="J26" s="95"/>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6"/>
      <c r="AR26" s="97" t="str">
        <f t="shared" si="0"/>
        <v/>
      </c>
      <c r="AS26" s="97" t="str">
        <f>IF($A26="","",IF($AP26&lt;&gt;"",$AP26,IFERROR(INDEX('Cat Zone by ZIP'!$D$6:$D$856,MATCH($AR26,'Cat Zone by ZIP'!$B$6:$B$856,0)),IFERROR(INDEX('Cat Zone by ZIP'!$C$860:$C$910,MATCH($K26,'Cat Zone by ZIP'!$B$860:$B$910,0)),"NOT FOUND"))))</f>
        <v/>
      </c>
      <c r="AT26" s="97" t="str">
        <f>IF($A26="","",IF($AP26&lt;&gt;"","Override",IF(ISNUMBER(MATCH($AR26,'Cat Zone by ZIP'!$B$6:$B$856,0)),"ZIP-3","State default")))</f>
        <v/>
      </c>
      <c r="AU26" s="98" t="str">
        <f>IF($A26="","",IFERROR(INDEX('Natural Catastrophe'!$D$6:$D$17,MATCH($AS26,'Natural Catastrophe'!$B$6:$B$17,0)),"?"))</f>
        <v/>
      </c>
      <c r="AV26" s="98" t="str">
        <f>IF($A26="","",IFERROR(INDEX('Natural Catastrophe'!$C$21:$C$26,MATCH($AA26,'Natural Catastrophe'!$B$21:$B$26,0)),"?"))</f>
        <v/>
      </c>
      <c r="AW26" s="97" t="str">
        <f>IF($A26="","",IFERROR(INDEX('Base Rates'!$C$4:$I$4,MATCH(MAX($J26,'Technical Premium'!$C$18),'Base Rates'!$C$3:$I$3,1)),"?"))</f>
        <v/>
      </c>
      <c r="AX26" s="99" t="str">
        <f>IF($A26="","",IFERROR(INDEX('Base Rates'!$C$5:$I$16,MATCH($I26,'Base Rates'!$B$5:$B$16,0),MATCH(MAX($J26,'Technical Premium'!$C$18),'Base Rates'!$C$3:$I$3,1)),"?"))</f>
        <v/>
      </c>
      <c r="AY26" s="100" t="str">
        <f t="shared" si="1"/>
        <v/>
      </c>
      <c r="AZ26" s="97" t="str">
        <f>IF($A26="","",IFERROR(INDEX('Make Factors'!$G$5:$G$69,MATCH($F26,'Make Factors'!$B$5:$B$69,0)),"?"))</f>
        <v/>
      </c>
      <c r="BA26" s="97" t="str">
        <f>IF($A26="","",IFERROR(INDEX('Driver Factors'!$C$6:$C$15,MATCH($R26,'Driver Factors'!$B$6:$B$15,0)),"?"))</f>
        <v/>
      </c>
      <c r="BB26" s="97" t="str">
        <f>IF($A26="","",IFERROR(INDEX('Driver Factors'!$C$19:$C$24,MATCH($S26,'Driver Factors'!$B$19:$B$24,0)),"?"))</f>
        <v/>
      </c>
      <c r="BC26" s="97" t="str">
        <f>IF($A26="","",IFERROR(INDEX('Driver Factors'!$C$28:$C$36,MATCH($T26,'Driver Factors'!$B$28:$B$36,0)),"?"))</f>
        <v/>
      </c>
      <c r="BD26" s="97" t="str">
        <f>IF($A26="","",IFERROR(INDEX('Claims History'!$C$6:$C$15,MATCH($U26,'Claims History'!$B$6:$B$15,0)),"?"))</f>
        <v/>
      </c>
      <c r="BE26" s="97" t="str">
        <f>IF($A26="","",IFERROR(INDEX('Territory Factors'!$E$6:$E$56,MATCH($K26,'Territory Factors'!$B$6:$B$56,0)),"?"))</f>
        <v/>
      </c>
      <c r="BF26" s="97" t="str">
        <f>IF($A26="","",IFERROR(INDEX('City Accident Ratings'!$G$6:$G$54,MATCH($Z26,'City Accident Ratings'!$B$6:$B$54,0)),"?"))</f>
        <v/>
      </c>
      <c r="BG26" s="97" t="str">
        <f>IF($A26="","",IFERROR(INDEX('Usage and Coverage'!$D$6:$D$20,MATCH($N26,'Usage and Coverage'!$C$6:$C$20,0)),"?"))</f>
        <v/>
      </c>
      <c r="BH26" s="97" t="str">
        <f>IF($A26="","",IFERROR(INDEX('Usage and Coverage'!$C$24:$C$30,MATCH($O26,'Usage and Coverage'!$B$24:$B$30,0)),"?"))</f>
        <v/>
      </c>
      <c r="BI26" s="97" t="str">
        <f>IF($A26="","",IFERROR(INDEX('Usage and Coverage'!$C$34:$C$40,MATCH($P26,'Usage and Coverage'!$B$34:$B$40,0)),"?"))</f>
        <v/>
      </c>
      <c r="BJ26" s="97" t="str">
        <f>IF($A26="","",IFERROR(INDEX('Usage and Coverage'!$C$44:$C$49,MATCH($Q26,'Usage and Coverage'!$B$44:$B$49,0)),"?"))</f>
        <v/>
      </c>
      <c r="BK26" s="97" t="str">
        <f>IF($A26="","",IFERROR(INDEX(Deductibles!$C$6:$I$15,MATCH($W26,Deductibles!$B$6:$B$15,0),MATCH(MAX($J26,'Technical Premium'!$C$18),'Base Rates'!$C$3:$I$3,1)),"?"))</f>
        <v/>
      </c>
      <c r="BL26" s="97" t="str">
        <f>IF($A26="","",IFERROR(INDEX('Usage and Coverage'!$C$63:$C$66,MATCH($X26,'Usage and Coverage'!$B$63:$B$66,0)),"?"))</f>
        <v/>
      </c>
      <c r="BM26" s="97" t="str">
        <f>IF($A26="","",IFERROR(INDEX('Usage and Coverage'!$C$70:$C$75,MATCH($V26,'Usage and Coverage'!$B$70:$B$75,0)),"?"))</f>
        <v/>
      </c>
      <c r="BN26" s="97" t="str">
        <f>IF($A26="","",IF($AB26="",1,IFERROR(INDEX(Deductibles!$C$48:$C$51,MATCH($AB26,Deductibles!$B$48:$B$51,0)),"?")))</f>
        <v/>
      </c>
      <c r="BO26" s="97" t="str">
        <f>IF($A26="","",IF($AC26="",1,IFERROR(INDEX(Deductibles!$C$55:$C$57,MATCH($AC26,Deductibles!$B$55:$B$57,0)),"?")))</f>
        <v/>
      </c>
      <c r="BP26" s="97" t="str">
        <f>IF($A26="","",IF($AD26="",1,IFERROR(INDEX(Deductibles!$C$61:$C$63,MATCH($AD26,Deductibles!$B$61:$B$63,0)),"?")))</f>
        <v/>
      </c>
      <c r="BQ26" s="97" t="str">
        <f>IF($A26="","",IF($AE26="",1,IFERROR(INDEX(Deductibles!$C$67:$C$69,MATCH($AE26,Deductibles!$B$67:$B$69,0)),"?")))</f>
        <v/>
      </c>
      <c r="BR26" s="97" t="str">
        <f>IF($A26="","",IF($AF26="",1,IFERROR(INDEX(Deductibles!$C$73:$C$74,MATCH($AF26,Deductibles!$B$73:$B$74,0)),"?")))</f>
        <v/>
      </c>
      <c r="BS26" s="97" t="str">
        <f>IF($A26="","",IF($AG26="",1,IFERROR(INDEX('Sublimits and Parts'!$C$49:$C$52,MATCH($AG26,'Sublimits and Parts'!$B$49:$B$52,0)),"?")))</f>
        <v/>
      </c>
      <c r="BT26" s="97" t="str">
        <f>IF($A26="","",IF($AH26="",1,IFERROR(INDEX('Sublimits and Parts'!$C$56:$C$60,MATCH($AH26,'Sublimits and Parts'!$B$56:$B$60,0)),"?")))</f>
        <v/>
      </c>
      <c r="BU26" s="97" t="str">
        <f>IF($A26="","",IF($AI26="",1,IFERROR(INDEX('Sublimits and Parts'!$C$64:$C$67,MATCH($AI26,'Sublimits and Parts'!$B$64:$B$67,0)),"?")))</f>
        <v/>
      </c>
      <c r="BV26" s="97" t="str">
        <f>IF($A26="","",IF($AJ26="",1,IFERROR(INDEX('Sublimits and Parts'!$C$71:$C$74,MATCH($AJ26,'Sublimits and Parts'!$B$71:$B$74,0)),"?")))</f>
        <v/>
      </c>
      <c r="BW26" s="97" t="str">
        <f>IF($A26="","",IF($AK26="",1,IFERROR(INDEX('Sublimits and Parts'!$C$78:$C$80,MATCH($AK26,'Sublimits and Parts'!$B$78:$B$80,0)),"?")))</f>
        <v/>
      </c>
      <c r="BX26" s="97" t="str">
        <f>IF($A26="","",IF($AL26="",1,IFERROR(INDEX('Sublimits and Parts'!$C$84:$C$87,MATCH($AL26,'Sublimits and Parts'!$B$84:$B$87,0)),"?")))</f>
        <v/>
      </c>
      <c r="BY26" s="97" t="str">
        <f>IF($A26="","",IF($AM26="",1,IFERROR(INDEX('Sublimits and Parts'!$C$91:$C$94,MATCH($AM26,'Sublimits and Parts'!$B$91:$B$94,0)),"?")))</f>
        <v/>
      </c>
      <c r="BZ26" s="97" t="str">
        <f>IF($A26="","",IF($AN26="",1,IFERROR(INDEX('Sublimits and Parts'!$C$98:$C$101,MATCH($AN26,'Sublimits and Parts'!$B$98:$B$101,0)),"?")))</f>
        <v/>
      </c>
      <c r="CA26" s="97" t="str">
        <f>IF($A26="","",IF($AO26="",1,IFERROR(INDEX('Sublimits and Parts'!$C$105:$C$109,MATCH($AO26,'Sublimits and Parts'!$B$105:$B$109,0)),"?")))</f>
        <v/>
      </c>
      <c r="CB26" s="98" t="str">
        <f t="shared" si="2"/>
        <v/>
      </c>
      <c r="CC26" s="98" t="str">
        <f t="shared" si="3"/>
        <v/>
      </c>
      <c r="CD26" s="101" t="str">
        <f>IF($A26="","",IF(OR($CB26="?",$CC26="?"),"?",MIN($CB26*$CC26,'Technical Premium'!$C$17)))</f>
        <v/>
      </c>
      <c r="CE26" s="100" t="str">
        <f t="shared" si="4"/>
        <v/>
      </c>
      <c r="CF26" s="100" t="str">
        <f>IF($A26="","",IFERROR(INDEX('Territory Factors'!$F$6:$F$56,MATCH($K26,'Territory Factors'!$B$6:$B$56,0)),"?"))</f>
        <v/>
      </c>
      <c r="CG26" s="98" t="str">
        <f>IF($A26="","",IFERROR(INDEX('Usage and Coverage'!$C$79:$C$84,MATCH($Y26,'Usage and Coverage'!$B$79:$B$84,0)),"?"))</f>
        <v/>
      </c>
      <c r="CH26" s="100" t="str">
        <f>IFERROR(IF(ISNUMBER($CD26),$CF26*$CG26*MIN($BG26*$BA26*$BC26*$BD26*$BH26*$BF26,'Technical Premium'!$C$17),""),"")</f>
        <v/>
      </c>
      <c r="CI26" s="100" t="str">
        <f t="shared" si="5"/>
        <v/>
      </c>
      <c r="CJ26" s="100" t="str">
        <f>IFERROR($CI26*(1+'Technical Premium'!$C$5)*(1+'Technical Premium'!$C$6),"")</f>
        <v/>
      </c>
      <c r="CK26" s="100" t="str">
        <f>IFERROR($CE26*INDEX('Territory Factors'!$G$6:$G$56,MATCH($K26,'Territory Factors'!$B$6:$B$56,0))*$AU26*$AV26,"")</f>
        <v/>
      </c>
      <c r="CL26" s="100" t="str">
        <f>IFERROR(($CJ26+$CK26)*(1+'Technical Premium'!$C$7),"")</f>
        <v/>
      </c>
      <c r="CM26" s="102" t="str">
        <f>IFERROR($CL26/'Technical Premium'!$C$13,"")</f>
        <v/>
      </c>
      <c r="CN26" s="103" t="str">
        <f t="shared" si="6"/>
        <v/>
      </c>
      <c r="CO26" s="102" t="str">
        <f t="shared" si="7"/>
        <v/>
      </c>
      <c r="CP26" s="103" t="str">
        <f t="shared" si="8"/>
        <v/>
      </c>
      <c r="CQ26" s="104" t="str">
        <f t="shared" si="9"/>
        <v/>
      </c>
      <c r="CR26" s="100" t="str">
        <f>IF(ISNUMBER($CM26),'Technical Premium'!$C$14+IF($J26&gt;=1000000,'Technical Premium'!$C$15,0),"")</f>
        <v/>
      </c>
      <c r="CS26" s="100" t="str">
        <f>IFERROR(($CO26+$CR26)*(INDEX('Territory Factors'!$K$6:$K$56,MATCH($K26,'Territory Factors'!$B$6:$B$56,0))+'Commission Structure'!$C$21),"")</f>
        <v/>
      </c>
      <c r="CT26" s="102" t="str">
        <f t="shared" si="10"/>
        <v/>
      </c>
      <c r="CU26" s="100" t="str">
        <f>IFERROR($CO26*('Commission Structure'!$C$6+'Commission Structure'!$C$7),"")</f>
        <v/>
      </c>
      <c r="CV26" s="100" t="str">
        <f>IFERROR($CO26*'Commission Structure'!$C$5-$CU26,"")</f>
        <v/>
      </c>
      <c r="CW26" s="100" t="str">
        <f>IFERROR($CO26*(1-'Commission Structure'!$C$5),"")</f>
        <v/>
      </c>
      <c r="CX26" s="105" t="str">
        <f>IF($A26="","",IF(OR($CB26="?",$CC26="?",NOT(ISNUMBER($AU26))),"CHECK INPUTS",IF(OR($J26&lt;'Technical Premium'!$C$18,LEFT(IFERROR(INDEX('Driver Factors'!$D$6:$D$15,MATCH($R26,'Driver Factors'!$B$6:$B$15,0)),""),7)="DECLINE",LEFT(IFERROR(INDEX('Driver Factors'!$D$28:$D$36,MATCH($T26,'Driver Factors'!$B$28:$B$36,0)),""),7)="DECLINE",LEFT(IFERROR(INDEX('Claims History'!$D$6:$D$15,MATCH($U26,'Claims History'!$B$6:$B$15,0)),""),7)="DECLINE",LEFT(IFERROR(INDEX('Usage and Coverage'!$E$6:$E$20,MATCH($N26,'Usage and Coverage'!$C$6:$C$20,0)),""),7)="DECLINE"),"DECLINE",IF(OR($CD26&gt;2.5,$CD26&gt;='Technical Premium'!$C$17,$J26&gt;='Technical Premium'!$C$16,N($AQ26)&lt;'Technical Premium'!$C$19,N($AQ26)&gt;'Technical Premium'!$C$20,LEFT(IFERROR(INDEX('Driver Factors'!$D$6:$D$15,MATCH($R26,'Driver Factors'!$B$6:$B$15,0)),""),5)="Refer",LEFT(IFERROR(INDEX('Driver Factors'!$D$28:$D$36,MATCH($T26,'Driver Factors'!$B$28:$B$36,0)),""),5)="Refer",LEFT(IFERROR(INDEX('Claims History'!$D$6:$D$15,MATCH($U26,'Claims History'!$B$6:$B$15,0)),""),5)="Refer",LEFT(IFERROR(INDEX('Usage and Coverage'!$E$6:$E$20,MATCH($N26,'Usage and Coverage'!$C$6:$C$20,0)),""),5)="Refer"),"REFER","AUTO-BIND"))))</f>
        <v/>
      </c>
      <c r="CY26" s="106" t="str">
        <f t="shared" si="11"/>
        <v/>
      </c>
      <c r="CZ26" s="97" t="str">
        <f>IF($CY26="","",IF($CY26&lt;'Technical Premium'!$C$19,"BEYOND AUTHORITY",IF($CY26&gt;0.005,"Above technical",IF($CY26&lt;-0.005,"BELOW technical","At technical"))))</f>
        <v/>
      </c>
      <c r="DA26" s="97" t="str">
        <f>IF($A26="","",IF($CX26="AUTO-BIND","",TRIM(IF($J26&lt;'Technical Premium'!$C$18,"Below programme minimum agreed value. ","")&amp;IF(N($AQ26)&lt;'Technical Premium'!$C$19,"DISCOUNT AUTHORITY BREACH. ","")&amp;IF(N($AQ26)&gt;'Technical Premium'!$C$20,"Load authority breach. ","")&amp;IF($J26&gt;='Technical Premium'!$C$16,"Agreed value at or above auto-bind limit. ","")&amp;IF(AND(ISNUMBER($CD26),$CD26&gt;='Technical Premium'!$C$17),"Composite factor at cap. ","")&amp;IF(AND(ISNUMBER($CD26),$CD26&gt;2.5),"Composite factor above 2.50. ","")&amp;IF(LEFT(IFERROR(INDEX('Driver Factors'!$D$6:$D$15,MATCH($R26,'Driver Factors'!$B$6:$B$15,0)),""),7)="DECLINE","DECLINE - driver age. ",IF(LEFT(IFERROR(INDEX('Driver Factors'!$D$6:$D$15,MATCH($R26,'Driver Factors'!$B$6:$B$15,0)),""),5)="Refer","Driver age band. ",""))&amp;IF(LEFT(IFERROR(INDEX('Driver Factors'!$D$28:$D$36,MATCH($T26,'Driver Factors'!$B$28:$B$36,0)),""),7)="DECLINE","DECLINE - MVR. ",IF(LEFT(IFERROR(INDEX('Driver Factors'!$D$28:$D$36,MATCH($T26,'Driver Factors'!$B$28:$B$36,0)),""),5)="Refer","MVR record. ",""))&amp;IF(LEFT(IFERROR(INDEX('Claims History'!$D$6:$D$15,MATCH($U26,'Claims History'!$B$6:$B$15,0)),""),7)="DECLINE","DECLINE - claims. ",IF(LEFT(IFERROR(INDEX('Claims History'!$D$6:$D$15,MATCH($U26,'Claims History'!$B$6:$B$15,0)),""),5)="Refer","Claims history. ",""))&amp;IF(LEFT(IFERROR(INDEX('Usage and Coverage'!$E$6:$E$20,MATCH($N26,'Usage and Coverage'!$C$6:$C$20,0)),""),7)="DECLINE","DECLINE - usage class. ",IF(LEFT(IFERROR(INDEX('Usage and Coverage'!$E$6:$E$20,MATCH($N26,'Usage and Coverage'!$C$6:$C$20,0)),""),5)="Refer","Usage class. ",""))&amp;IF($CX26="CHECK INPUTS","Incomplete inputs. ",""))))</f>
        <v/>
      </c>
      <c r="DB26" s="92"/>
      <c r="DC26" s="92"/>
      <c r="DD26" s="93"/>
      <c r="DE26" s="92"/>
      <c r="DF26" s="92"/>
      <c r="DG26" s="97" t="str">
        <f t="shared" si="12"/>
        <v/>
      </c>
      <c r="DH26" s="97" t="str">
        <f>IF($A26="","",IF(OR($CX26="REFER",$CX26="DECLINE"),COUNTIF($CX$5:$CX26,"REFER")+COUNTIF($CX$5:$CX26,"DECLINE"),""))</f>
        <v/>
      </c>
      <c r="DI26" s="92"/>
    </row>
    <row r="27" spans="1:113" x14ac:dyDescent="0.25">
      <c r="A27" s="92"/>
      <c r="B27" s="92"/>
      <c r="C27" s="93"/>
      <c r="D27" s="93"/>
      <c r="E27" s="94"/>
      <c r="F27" s="92"/>
      <c r="G27" s="92"/>
      <c r="H27" s="92"/>
      <c r="I27" s="92"/>
      <c r="J27" s="95"/>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6"/>
      <c r="AR27" s="97" t="str">
        <f t="shared" si="0"/>
        <v/>
      </c>
      <c r="AS27" s="97" t="str">
        <f>IF($A27="","",IF($AP27&lt;&gt;"",$AP27,IFERROR(INDEX('Cat Zone by ZIP'!$D$6:$D$856,MATCH($AR27,'Cat Zone by ZIP'!$B$6:$B$856,0)),IFERROR(INDEX('Cat Zone by ZIP'!$C$860:$C$910,MATCH($K27,'Cat Zone by ZIP'!$B$860:$B$910,0)),"NOT FOUND"))))</f>
        <v/>
      </c>
      <c r="AT27" s="97" t="str">
        <f>IF($A27="","",IF($AP27&lt;&gt;"","Override",IF(ISNUMBER(MATCH($AR27,'Cat Zone by ZIP'!$B$6:$B$856,0)),"ZIP-3","State default")))</f>
        <v/>
      </c>
      <c r="AU27" s="98" t="str">
        <f>IF($A27="","",IFERROR(INDEX('Natural Catastrophe'!$D$6:$D$17,MATCH($AS27,'Natural Catastrophe'!$B$6:$B$17,0)),"?"))</f>
        <v/>
      </c>
      <c r="AV27" s="98" t="str">
        <f>IF($A27="","",IFERROR(INDEX('Natural Catastrophe'!$C$21:$C$26,MATCH($AA27,'Natural Catastrophe'!$B$21:$B$26,0)),"?"))</f>
        <v/>
      </c>
      <c r="AW27" s="97" t="str">
        <f>IF($A27="","",IFERROR(INDEX('Base Rates'!$C$4:$I$4,MATCH(MAX($J27,'Technical Premium'!$C$18),'Base Rates'!$C$3:$I$3,1)),"?"))</f>
        <v/>
      </c>
      <c r="AX27" s="99" t="str">
        <f>IF($A27="","",IFERROR(INDEX('Base Rates'!$C$5:$I$16,MATCH($I27,'Base Rates'!$B$5:$B$16,0),MATCH(MAX($J27,'Technical Premium'!$C$18),'Base Rates'!$C$3:$I$3,1)),"?"))</f>
        <v/>
      </c>
      <c r="AY27" s="100" t="str">
        <f t="shared" si="1"/>
        <v/>
      </c>
      <c r="AZ27" s="97" t="str">
        <f>IF($A27="","",IFERROR(INDEX('Make Factors'!$G$5:$G$69,MATCH($F27,'Make Factors'!$B$5:$B$69,0)),"?"))</f>
        <v/>
      </c>
      <c r="BA27" s="97" t="str">
        <f>IF($A27="","",IFERROR(INDEX('Driver Factors'!$C$6:$C$15,MATCH($R27,'Driver Factors'!$B$6:$B$15,0)),"?"))</f>
        <v/>
      </c>
      <c r="BB27" s="97" t="str">
        <f>IF($A27="","",IFERROR(INDEX('Driver Factors'!$C$19:$C$24,MATCH($S27,'Driver Factors'!$B$19:$B$24,0)),"?"))</f>
        <v/>
      </c>
      <c r="BC27" s="97" t="str">
        <f>IF($A27="","",IFERROR(INDEX('Driver Factors'!$C$28:$C$36,MATCH($T27,'Driver Factors'!$B$28:$B$36,0)),"?"))</f>
        <v/>
      </c>
      <c r="BD27" s="97" t="str">
        <f>IF($A27="","",IFERROR(INDEX('Claims History'!$C$6:$C$15,MATCH($U27,'Claims History'!$B$6:$B$15,0)),"?"))</f>
        <v/>
      </c>
      <c r="BE27" s="97" t="str">
        <f>IF($A27="","",IFERROR(INDEX('Territory Factors'!$E$6:$E$56,MATCH($K27,'Territory Factors'!$B$6:$B$56,0)),"?"))</f>
        <v/>
      </c>
      <c r="BF27" s="97" t="str">
        <f>IF($A27="","",IFERROR(INDEX('City Accident Ratings'!$G$6:$G$54,MATCH($Z27,'City Accident Ratings'!$B$6:$B$54,0)),"?"))</f>
        <v/>
      </c>
      <c r="BG27" s="97" t="str">
        <f>IF($A27="","",IFERROR(INDEX('Usage and Coverage'!$D$6:$D$20,MATCH($N27,'Usage and Coverage'!$C$6:$C$20,0)),"?"))</f>
        <v/>
      </c>
      <c r="BH27" s="97" t="str">
        <f>IF($A27="","",IFERROR(INDEX('Usage and Coverage'!$C$24:$C$30,MATCH($O27,'Usage and Coverage'!$B$24:$B$30,0)),"?"))</f>
        <v/>
      </c>
      <c r="BI27" s="97" t="str">
        <f>IF($A27="","",IFERROR(INDEX('Usage and Coverage'!$C$34:$C$40,MATCH($P27,'Usage and Coverage'!$B$34:$B$40,0)),"?"))</f>
        <v/>
      </c>
      <c r="BJ27" s="97" t="str">
        <f>IF($A27="","",IFERROR(INDEX('Usage and Coverage'!$C$44:$C$49,MATCH($Q27,'Usage and Coverage'!$B$44:$B$49,0)),"?"))</f>
        <v/>
      </c>
      <c r="BK27" s="97" t="str">
        <f>IF($A27="","",IFERROR(INDEX(Deductibles!$C$6:$I$15,MATCH($W27,Deductibles!$B$6:$B$15,0),MATCH(MAX($J27,'Technical Premium'!$C$18),'Base Rates'!$C$3:$I$3,1)),"?"))</f>
        <v/>
      </c>
      <c r="BL27" s="97" t="str">
        <f>IF($A27="","",IFERROR(INDEX('Usage and Coverage'!$C$63:$C$66,MATCH($X27,'Usage and Coverage'!$B$63:$B$66,0)),"?"))</f>
        <v/>
      </c>
      <c r="BM27" s="97" t="str">
        <f>IF($A27="","",IFERROR(INDEX('Usage and Coverage'!$C$70:$C$75,MATCH($V27,'Usage and Coverage'!$B$70:$B$75,0)),"?"))</f>
        <v/>
      </c>
      <c r="BN27" s="97" t="str">
        <f>IF($A27="","",IF($AB27="",1,IFERROR(INDEX(Deductibles!$C$48:$C$51,MATCH($AB27,Deductibles!$B$48:$B$51,0)),"?")))</f>
        <v/>
      </c>
      <c r="BO27" s="97" t="str">
        <f>IF($A27="","",IF($AC27="",1,IFERROR(INDEX(Deductibles!$C$55:$C$57,MATCH($AC27,Deductibles!$B$55:$B$57,0)),"?")))</f>
        <v/>
      </c>
      <c r="BP27" s="97" t="str">
        <f>IF($A27="","",IF($AD27="",1,IFERROR(INDEX(Deductibles!$C$61:$C$63,MATCH($AD27,Deductibles!$B$61:$B$63,0)),"?")))</f>
        <v/>
      </c>
      <c r="BQ27" s="97" t="str">
        <f>IF($A27="","",IF($AE27="",1,IFERROR(INDEX(Deductibles!$C$67:$C$69,MATCH($AE27,Deductibles!$B$67:$B$69,0)),"?")))</f>
        <v/>
      </c>
      <c r="BR27" s="97" t="str">
        <f>IF($A27="","",IF($AF27="",1,IFERROR(INDEX(Deductibles!$C$73:$C$74,MATCH($AF27,Deductibles!$B$73:$B$74,0)),"?")))</f>
        <v/>
      </c>
      <c r="BS27" s="97" t="str">
        <f>IF($A27="","",IF($AG27="",1,IFERROR(INDEX('Sublimits and Parts'!$C$49:$C$52,MATCH($AG27,'Sublimits and Parts'!$B$49:$B$52,0)),"?")))</f>
        <v/>
      </c>
      <c r="BT27" s="97" t="str">
        <f>IF($A27="","",IF($AH27="",1,IFERROR(INDEX('Sublimits and Parts'!$C$56:$C$60,MATCH($AH27,'Sublimits and Parts'!$B$56:$B$60,0)),"?")))</f>
        <v/>
      </c>
      <c r="BU27" s="97" t="str">
        <f>IF($A27="","",IF($AI27="",1,IFERROR(INDEX('Sublimits and Parts'!$C$64:$C$67,MATCH($AI27,'Sublimits and Parts'!$B$64:$B$67,0)),"?")))</f>
        <v/>
      </c>
      <c r="BV27" s="97" t="str">
        <f>IF($A27="","",IF($AJ27="",1,IFERROR(INDEX('Sublimits and Parts'!$C$71:$C$74,MATCH($AJ27,'Sublimits and Parts'!$B$71:$B$74,0)),"?")))</f>
        <v/>
      </c>
      <c r="BW27" s="97" t="str">
        <f>IF($A27="","",IF($AK27="",1,IFERROR(INDEX('Sublimits and Parts'!$C$78:$C$80,MATCH($AK27,'Sublimits and Parts'!$B$78:$B$80,0)),"?")))</f>
        <v/>
      </c>
      <c r="BX27" s="97" t="str">
        <f>IF($A27="","",IF($AL27="",1,IFERROR(INDEX('Sublimits and Parts'!$C$84:$C$87,MATCH($AL27,'Sublimits and Parts'!$B$84:$B$87,0)),"?")))</f>
        <v/>
      </c>
      <c r="BY27" s="97" t="str">
        <f>IF($A27="","",IF($AM27="",1,IFERROR(INDEX('Sublimits and Parts'!$C$91:$C$94,MATCH($AM27,'Sublimits and Parts'!$B$91:$B$94,0)),"?")))</f>
        <v/>
      </c>
      <c r="BZ27" s="97" t="str">
        <f>IF($A27="","",IF($AN27="",1,IFERROR(INDEX('Sublimits and Parts'!$C$98:$C$101,MATCH($AN27,'Sublimits and Parts'!$B$98:$B$101,0)),"?")))</f>
        <v/>
      </c>
      <c r="CA27" s="97" t="str">
        <f>IF($A27="","",IF($AO27="",1,IFERROR(INDEX('Sublimits and Parts'!$C$105:$C$109,MATCH($AO27,'Sublimits and Parts'!$B$105:$B$109,0)),"?")))</f>
        <v/>
      </c>
      <c r="CB27" s="98" t="str">
        <f t="shared" si="2"/>
        <v/>
      </c>
      <c r="CC27" s="98" t="str">
        <f t="shared" si="3"/>
        <v/>
      </c>
      <c r="CD27" s="101" t="str">
        <f>IF($A27="","",IF(OR($CB27="?",$CC27="?"),"?",MIN($CB27*$CC27,'Technical Premium'!$C$17)))</f>
        <v/>
      </c>
      <c r="CE27" s="100" t="str">
        <f t="shared" si="4"/>
        <v/>
      </c>
      <c r="CF27" s="100" t="str">
        <f>IF($A27="","",IFERROR(INDEX('Territory Factors'!$F$6:$F$56,MATCH($K27,'Territory Factors'!$B$6:$B$56,0)),"?"))</f>
        <v/>
      </c>
      <c r="CG27" s="98" t="str">
        <f>IF($A27="","",IFERROR(INDEX('Usage and Coverage'!$C$79:$C$84,MATCH($Y27,'Usage and Coverage'!$B$79:$B$84,0)),"?"))</f>
        <v/>
      </c>
      <c r="CH27" s="100" t="str">
        <f>IFERROR(IF(ISNUMBER($CD27),$CF27*$CG27*MIN($BG27*$BA27*$BC27*$BD27*$BH27*$BF27,'Technical Premium'!$C$17),""),"")</f>
        <v/>
      </c>
      <c r="CI27" s="100" t="str">
        <f t="shared" si="5"/>
        <v/>
      </c>
      <c r="CJ27" s="100" t="str">
        <f>IFERROR($CI27*(1+'Technical Premium'!$C$5)*(1+'Technical Premium'!$C$6),"")</f>
        <v/>
      </c>
      <c r="CK27" s="100" t="str">
        <f>IFERROR($CE27*INDEX('Territory Factors'!$G$6:$G$56,MATCH($K27,'Territory Factors'!$B$6:$B$56,0))*$AU27*$AV27,"")</f>
        <v/>
      </c>
      <c r="CL27" s="100" t="str">
        <f>IFERROR(($CJ27+$CK27)*(1+'Technical Premium'!$C$7),"")</f>
        <v/>
      </c>
      <c r="CM27" s="102" t="str">
        <f>IFERROR($CL27/'Technical Premium'!$C$13,"")</f>
        <v/>
      </c>
      <c r="CN27" s="103" t="str">
        <f t="shared" si="6"/>
        <v/>
      </c>
      <c r="CO27" s="102" t="str">
        <f t="shared" si="7"/>
        <v/>
      </c>
      <c r="CP27" s="103" t="str">
        <f t="shared" si="8"/>
        <v/>
      </c>
      <c r="CQ27" s="104" t="str">
        <f t="shared" si="9"/>
        <v/>
      </c>
      <c r="CR27" s="100" t="str">
        <f>IF(ISNUMBER($CM27),'Technical Premium'!$C$14+IF($J27&gt;=1000000,'Technical Premium'!$C$15,0),"")</f>
        <v/>
      </c>
      <c r="CS27" s="100" t="str">
        <f>IFERROR(($CO27+$CR27)*(INDEX('Territory Factors'!$K$6:$K$56,MATCH($K27,'Territory Factors'!$B$6:$B$56,0))+'Commission Structure'!$C$21),"")</f>
        <v/>
      </c>
      <c r="CT27" s="102" t="str">
        <f t="shared" si="10"/>
        <v/>
      </c>
      <c r="CU27" s="100" t="str">
        <f>IFERROR($CO27*('Commission Structure'!$C$6+'Commission Structure'!$C$7),"")</f>
        <v/>
      </c>
      <c r="CV27" s="100" t="str">
        <f>IFERROR($CO27*'Commission Structure'!$C$5-$CU27,"")</f>
        <v/>
      </c>
      <c r="CW27" s="100" t="str">
        <f>IFERROR($CO27*(1-'Commission Structure'!$C$5),"")</f>
        <v/>
      </c>
      <c r="CX27" s="105" t="str">
        <f>IF($A27="","",IF(OR($CB27="?",$CC27="?",NOT(ISNUMBER($AU27))),"CHECK INPUTS",IF(OR($J27&lt;'Technical Premium'!$C$18,LEFT(IFERROR(INDEX('Driver Factors'!$D$6:$D$15,MATCH($R27,'Driver Factors'!$B$6:$B$15,0)),""),7)="DECLINE",LEFT(IFERROR(INDEX('Driver Factors'!$D$28:$D$36,MATCH($T27,'Driver Factors'!$B$28:$B$36,0)),""),7)="DECLINE",LEFT(IFERROR(INDEX('Claims History'!$D$6:$D$15,MATCH($U27,'Claims History'!$B$6:$B$15,0)),""),7)="DECLINE",LEFT(IFERROR(INDEX('Usage and Coverage'!$E$6:$E$20,MATCH($N27,'Usage and Coverage'!$C$6:$C$20,0)),""),7)="DECLINE"),"DECLINE",IF(OR($CD27&gt;2.5,$CD27&gt;='Technical Premium'!$C$17,$J27&gt;='Technical Premium'!$C$16,N($AQ27)&lt;'Technical Premium'!$C$19,N($AQ27)&gt;'Technical Premium'!$C$20,LEFT(IFERROR(INDEX('Driver Factors'!$D$6:$D$15,MATCH($R27,'Driver Factors'!$B$6:$B$15,0)),""),5)="Refer",LEFT(IFERROR(INDEX('Driver Factors'!$D$28:$D$36,MATCH($T27,'Driver Factors'!$B$28:$B$36,0)),""),5)="Refer",LEFT(IFERROR(INDEX('Claims History'!$D$6:$D$15,MATCH($U27,'Claims History'!$B$6:$B$15,0)),""),5)="Refer",LEFT(IFERROR(INDEX('Usage and Coverage'!$E$6:$E$20,MATCH($N27,'Usage and Coverage'!$C$6:$C$20,0)),""),5)="Refer"),"REFER","AUTO-BIND"))))</f>
        <v/>
      </c>
      <c r="CY27" s="106" t="str">
        <f t="shared" si="11"/>
        <v/>
      </c>
      <c r="CZ27" s="97" t="str">
        <f>IF($CY27="","",IF($CY27&lt;'Technical Premium'!$C$19,"BEYOND AUTHORITY",IF($CY27&gt;0.005,"Above technical",IF($CY27&lt;-0.005,"BELOW technical","At technical"))))</f>
        <v/>
      </c>
      <c r="DA27" s="97" t="str">
        <f>IF($A27="","",IF($CX27="AUTO-BIND","",TRIM(IF($J27&lt;'Technical Premium'!$C$18,"Below programme minimum agreed value. ","")&amp;IF(N($AQ27)&lt;'Technical Premium'!$C$19,"DISCOUNT AUTHORITY BREACH. ","")&amp;IF(N($AQ27)&gt;'Technical Premium'!$C$20,"Load authority breach. ","")&amp;IF($J27&gt;='Technical Premium'!$C$16,"Agreed value at or above auto-bind limit. ","")&amp;IF(AND(ISNUMBER($CD27),$CD27&gt;='Technical Premium'!$C$17),"Composite factor at cap. ","")&amp;IF(AND(ISNUMBER($CD27),$CD27&gt;2.5),"Composite factor above 2.50. ","")&amp;IF(LEFT(IFERROR(INDEX('Driver Factors'!$D$6:$D$15,MATCH($R27,'Driver Factors'!$B$6:$B$15,0)),""),7)="DECLINE","DECLINE - driver age. ",IF(LEFT(IFERROR(INDEX('Driver Factors'!$D$6:$D$15,MATCH($R27,'Driver Factors'!$B$6:$B$15,0)),""),5)="Refer","Driver age band. ",""))&amp;IF(LEFT(IFERROR(INDEX('Driver Factors'!$D$28:$D$36,MATCH($T27,'Driver Factors'!$B$28:$B$36,0)),""),7)="DECLINE","DECLINE - MVR. ",IF(LEFT(IFERROR(INDEX('Driver Factors'!$D$28:$D$36,MATCH($T27,'Driver Factors'!$B$28:$B$36,0)),""),5)="Refer","MVR record. ",""))&amp;IF(LEFT(IFERROR(INDEX('Claims History'!$D$6:$D$15,MATCH($U27,'Claims History'!$B$6:$B$15,0)),""),7)="DECLINE","DECLINE - claims. ",IF(LEFT(IFERROR(INDEX('Claims History'!$D$6:$D$15,MATCH($U27,'Claims History'!$B$6:$B$15,0)),""),5)="Refer","Claims history. ",""))&amp;IF(LEFT(IFERROR(INDEX('Usage and Coverage'!$E$6:$E$20,MATCH($N27,'Usage and Coverage'!$C$6:$C$20,0)),""),7)="DECLINE","DECLINE - usage class. ",IF(LEFT(IFERROR(INDEX('Usage and Coverage'!$E$6:$E$20,MATCH($N27,'Usage and Coverage'!$C$6:$C$20,0)),""),5)="Refer","Usage class. ",""))&amp;IF($CX27="CHECK INPUTS","Incomplete inputs. ",""))))</f>
        <v/>
      </c>
      <c r="DB27" s="92"/>
      <c r="DC27" s="92"/>
      <c r="DD27" s="93"/>
      <c r="DE27" s="92"/>
      <c r="DF27" s="92"/>
      <c r="DG27" s="97" t="str">
        <f t="shared" si="12"/>
        <v/>
      </c>
      <c r="DH27" s="97" t="str">
        <f>IF($A27="","",IF(OR($CX27="REFER",$CX27="DECLINE"),COUNTIF($CX$5:$CX27,"REFER")+COUNTIF($CX$5:$CX27,"DECLINE"),""))</f>
        <v/>
      </c>
      <c r="DI27" s="92"/>
    </row>
    <row r="28" spans="1:113" x14ac:dyDescent="0.25">
      <c r="A28" s="92"/>
      <c r="B28" s="92"/>
      <c r="C28" s="93"/>
      <c r="D28" s="93"/>
      <c r="E28" s="94"/>
      <c r="F28" s="92"/>
      <c r="G28" s="92"/>
      <c r="H28" s="92"/>
      <c r="I28" s="92"/>
      <c r="J28" s="95"/>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6"/>
      <c r="AR28" s="97" t="str">
        <f t="shared" si="0"/>
        <v/>
      </c>
      <c r="AS28" s="97" t="str">
        <f>IF($A28="","",IF($AP28&lt;&gt;"",$AP28,IFERROR(INDEX('Cat Zone by ZIP'!$D$6:$D$856,MATCH($AR28,'Cat Zone by ZIP'!$B$6:$B$856,0)),IFERROR(INDEX('Cat Zone by ZIP'!$C$860:$C$910,MATCH($K28,'Cat Zone by ZIP'!$B$860:$B$910,0)),"NOT FOUND"))))</f>
        <v/>
      </c>
      <c r="AT28" s="97" t="str">
        <f>IF($A28="","",IF($AP28&lt;&gt;"","Override",IF(ISNUMBER(MATCH($AR28,'Cat Zone by ZIP'!$B$6:$B$856,0)),"ZIP-3","State default")))</f>
        <v/>
      </c>
      <c r="AU28" s="98" t="str">
        <f>IF($A28="","",IFERROR(INDEX('Natural Catastrophe'!$D$6:$D$17,MATCH($AS28,'Natural Catastrophe'!$B$6:$B$17,0)),"?"))</f>
        <v/>
      </c>
      <c r="AV28" s="98" t="str">
        <f>IF($A28="","",IFERROR(INDEX('Natural Catastrophe'!$C$21:$C$26,MATCH($AA28,'Natural Catastrophe'!$B$21:$B$26,0)),"?"))</f>
        <v/>
      </c>
      <c r="AW28" s="97" t="str">
        <f>IF($A28="","",IFERROR(INDEX('Base Rates'!$C$4:$I$4,MATCH(MAX($J28,'Technical Premium'!$C$18),'Base Rates'!$C$3:$I$3,1)),"?"))</f>
        <v/>
      </c>
      <c r="AX28" s="99" t="str">
        <f>IF($A28="","",IFERROR(INDEX('Base Rates'!$C$5:$I$16,MATCH($I28,'Base Rates'!$B$5:$B$16,0),MATCH(MAX($J28,'Technical Premium'!$C$18),'Base Rates'!$C$3:$I$3,1)),"?"))</f>
        <v/>
      </c>
      <c r="AY28" s="100" t="str">
        <f t="shared" si="1"/>
        <v/>
      </c>
      <c r="AZ28" s="97" t="str">
        <f>IF($A28="","",IFERROR(INDEX('Make Factors'!$G$5:$G$69,MATCH($F28,'Make Factors'!$B$5:$B$69,0)),"?"))</f>
        <v/>
      </c>
      <c r="BA28" s="97" t="str">
        <f>IF($A28="","",IFERROR(INDEX('Driver Factors'!$C$6:$C$15,MATCH($R28,'Driver Factors'!$B$6:$B$15,0)),"?"))</f>
        <v/>
      </c>
      <c r="BB28" s="97" t="str">
        <f>IF($A28="","",IFERROR(INDEX('Driver Factors'!$C$19:$C$24,MATCH($S28,'Driver Factors'!$B$19:$B$24,0)),"?"))</f>
        <v/>
      </c>
      <c r="BC28" s="97" t="str">
        <f>IF($A28="","",IFERROR(INDEX('Driver Factors'!$C$28:$C$36,MATCH($T28,'Driver Factors'!$B$28:$B$36,0)),"?"))</f>
        <v/>
      </c>
      <c r="BD28" s="97" t="str">
        <f>IF($A28="","",IFERROR(INDEX('Claims History'!$C$6:$C$15,MATCH($U28,'Claims History'!$B$6:$B$15,0)),"?"))</f>
        <v/>
      </c>
      <c r="BE28" s="97" t="str">
        <f>IF($A28="","",IFERROR(INDEX('Territory Factors'!$E$6:$E$56,MATCH($K28,'Territory Factors'!$B$6:$B$56,0)),"?"))</f>
        <v/>
      </c>
      <c r="BF28" s="97" t="str">
        <f>IF($A28="","",IFERROR(INDEX('City Accident Ratings'!$G$6:$G$54,MATCH($Z28,'City Accident Ratings'!$B$6:$B$54,0)),"?"))</f>
        <v/>
      </c>
      <c r="BG28" s="97" t="str">
        <f>IF($A28="","",IFERROR(INDEX('Usage and Coverage'!$D$6:$D$20,MATCH($N28,'Usage and Coverage'!$C$6:$C$20,0)),"?"))</f>
        <v/>
      </c>
      <c r="BH28" s="97" t="str">
        <f>IF($A28="","",IFERROR(INDEX('Usage and Coverage'!$C$24:$C$30,MATCH($O28,'Usage and Coverage'!$B$24:$B$30,0)),"?"))</f>
        <v/>
      </c>
      <c r="BI28" s="97" t="str">
        <f>IF($A28="","",IFERROR(INDEX('Usage and Coverage'!$C$34:$C$40,MATCH($P28,'Usage and Coverage'!$B$34:$B$40,0)),"?"))</f>
        <v/>
      </c>
      <c r="BJ28" s="97" t="str">
        <f>IF($A28="","",IFERROR(INDEX('Usage and Coverage'!$C$44:$C$49,MATCH($Q28,'Usage and Coverage'!$B$44:$B$49,0)),"?"))</f>
        <v/>
      </c>
      <c r="BK28" s="97" t="str">
        <f>IF($A28="","",IFERROR(INDEX(Deductibles!$C$6:$I$15,MATCH($W28,Deductibles!$B$6:$B$15,0),MATCH(MAX($J28,'Technical Premium'!$C$18),'Base Rates'!$C$3:$I$3,1)),"?"))</f>
        <v/>
      </c>
      <c r="BL28" s="97" t="str">
        <f>IF($A28="","",IFERROR(INDEX('Usage and Coverage'!$C$63:$C$66,MATCH($X28,'Usage and Coverage'!$B$63:$B$66,0)),"?"))</f>
        <v/>
      </c>
      <c r="BM28" s="97" t="str">
        <f>IF($A28="","",IFERROR(INDEX('Usage and Coverage'!$C$70:$C$75,MATCH($V28,'Usage and Coverage'!$B$70:$B$75,0)),"?"))</f>
        <v/>
      </c>
      <c r="BN28" s="97" t="str">
        <f>IF($A28="","",IF($AB28="",1,IFERROR(INDEX(Deductibles!$C$48:$C$51,MATCH($AB28,Deductibles!$B$48:$B$51,0)),"?")))</f>
        <v/>
      </c>
      <c r="BO28" s="97" t="str">
        <f>IF($A28="","",IF($AC28="",1,IFERROR(INDEX(Deductibles!$C$55:$C$57,MATCH($AC28,Deductibles!$B$55:$B$57,0)),"?")))</f>
        <v/>
      </c>
      <c r="BP28" s="97" t="str">
        <f>IF($A28="","",IF($AD28="",1,IFERROR(INDEX(Deductibles!$C$61:$C$63,MATCH($AD28,Deductibles!$B$61:$B$63,0)),"?")))</f>
        <v/>
      </c>
      <c r="BQ28" s="97" t="str">
        <f>IF($A28="","",IF($AE28="",1,IFERROR(INDEX(Deductibles!$C$67:$C$69,MATCH($AE28,Deductibles!$B$67:$B$69,0)),"?")))</f>
        <v/>
      </c>
      <c r="BR28" s="97" t="str">
        <f>IF($A28="","",IF($AF28="",1,IFERROR(INDEX(Deductibles!$C$73:$C$74,MATCH($AF28,Deductibles!$B$73:$B$74,0)),"?")))</f>
        <v/>
      </c>
      <c r="BS28" s="97" t="str">
        <f>IF($A28="","",IF($AG28="",1,IFERROR(INDEX('Sublimits and Parts'!$C$49:$C$52,MATCH($AG28,'Sublimits and Parts'!$B$49:$B$52,0)),"?")))</f>
        <v/>
      </c>
      <c r="BT28" s="97" t="str">
        <f>IF($A28="","",IF($AH28="",1,IFERROR(INDEX('Sublimits and Parts'!$C$56:$C$60,MATCH($AH28,'Sublimits and Parts'!$B$56:$B$60,0)),"?")))</f>
        <v/>
      </c>
      <c r="BU28" s="97" t="str">
        <f>IF($A28="","",IF($AI28="",1,IFERROR(INDEX('Sublimits and Parts'!$C$64:$C$67,MATCH($AI28,'Sublimits and Parts'!$B$64:$B$67,0)),"?")))</f>
        <v/>
      </c>
      <c r="BV28" s="97" t="str">
        <f>IF($A28="","",IF($AJ28="",1,IFERROR(INDEX('Sublimits and Parts'!$C$71:$C$74,MATCH($AJ28,'Sublimits and Parts'!$B$71:$B$74,0)),"?")))</f>
        <v/>
      </c>
      <c r="BW28" s="97" t="str">
        <f>IF($A28="","",IF($AK28="",1,IFERROR(INDEX('Sublimits and Parts'!$C$78:$C$80,MATCH($AK28,'Sublimits and Parts'!$B$78:$B$80,0)),"?")))</f>
        <v/>
      </c>
      <c r="BX28" s="97" t="str">
        <f>IF($A28="","",IF($AL28="",1,IFERROR(INDEX('Sublimits and Parts'!$C$84:$C$87,MATCH($AL28,'Sublimits and Parts'!$B$84:$B$87,0)),"?")))</f>
        <v/>
      </c>
      <c r="BY28" s="97" t="str">
        <f>IF($A28="","",IF($AM28="",1,IFERROR(INDEX('Sublimits and Parts'!$C$91:$C$94,MATCH($AM28,'Sublimits and Parts'!$B$91:$B$94,0)),"?")))</f>
        <v/>
      </c>
      <c r="BZ28" s="97" t="str">
        <f>IF($A28="","",IF($AN28="",1,IFERROR(INDEX('Sublimits and Parts'!$C$98:$C$101,MATCH($AN28,'Sublimits and Parts'!$B$98:$B$101,0)),"?")))</f>
        <v/>
      </c>
      <c r="CA28" s="97" t="str">
        <f>IF($A28="","",IF($AO28="",1,IFERROR(INDEX('Sublimits and Parts'!$C$105:$C$109,MATCH($AO28,'Sublimits and Parts'!$B$105:$B$109,0)),"?")))</f>
        <v/>
      </c>
      <c r="CB28" s="98" t="str">
        <f t="shared" si="2"/>
        <v/>
      </c>
      <c r="CC28" s="98" t="str">
        <f t="shared" si="3"/>
        <v/>
      </c>
      <c r="CD28" s="101" t="str">
        <f>IF($A28="","",IF(OR($CB28="?",$CC28="?"),"?",MIN($CB28*$CC28,'Technical Premium'!$C$17)))</f>
        <v/>
      </c>
      <c r="CE28" s="100" t="str">
        <f t="shared" si="4"/>
        <v/>
      </c>
      <c r="CF28" s="100" t="str">
        <f>IF($A28="","",IFERROR(INDEX('Territory Factors'!$F$6:$F$56,MATCH($K28,'Territory Factors'!$B$6:$B$56,0)),"?"))</f>
        <v/>
      </c>
      <c r="CG28" s="98" t="str">
        <f>IF($A28="","",IFERROR(INDEX('Usage and Coverage'!$C$79:$C$84,MATCH($Y28,'Usage and Coverage'!$B$79:$B$84,0)),"?"))</f>
        <v/>
      </c>
      <c r="CH28" s="100" t="str">
        <f>IFERROR(IF(ISNUMBER($CD28),$CF28*$CG28*MIN($BG28*$BA28*$BC28*$BD28*$BH28*$BF28,'Technical Premium'!$C$17),""),"")</f>
        <v/>
      </c>
      <c r="CI28" s="100" t="str">
        <f t="shared" si="5"/>
        <v/>
      </c>
      <c r="CJ28" s="100" t="str">
        <f>IFERROR($CI28*(1+'Technical Premium'!$C$5)*(1+'Technical Premium'!$C$6),"")</f>
        <v/>
      </c>
      <c r="CK28" s="100" t="str">
        <f>IFERROR($CE28*INDEX('Territory Factors'!$G$6:$G$56,MATCH($K28,'Territory Factors'!$B$6:$B$56,0))*$AU28*$AV28,"")</f>
        <v/>
      </c>
      <c r="CL28" s="100" t="str">
        <f>IFERROR(($CJ28+$CK28)*(1+'Technical Premium'!$C$7),"")</f>
        <v/>
      </c>
      <c r="CM28" s="102" t="str">
        <f>IFERROR($CL28/'Technical Premium'!$C$13,"")</f>
        <v/>
      </c>
      <c r="CN28" s="103" t="str">
        <f t="shared" si="6"/>
        <v/>
      </c>
      <c r="CO28" s="102" t="str">
        <f t="shared" si="7"/>
        <v/>
      </c>
      <c r="CP28" s="103" t="str">
        <f t="shared" si="8"/>
        <v/>
      </c>
      <c r="CQ28" s="104" t="str">
        <f t="shared" si="9"/>
        <v/>
      </c>
      <c r="CR28" s="100" t="str">
        <f>IF(ISNUMBER($CM28),'Technical Premium'!$C$14+IF($J28&gt;=1000000,'Technical Premium'!$C$15,0),"")</f>
        <v/>
      </c>
      <c r="CS28" s="100" t="str">
        <f>IFERROR(($CO28+$CR28)*(INDEX('Territory Factors'!$K$6:$K$56,MATCH($K28,'Territory Factors'!$B$6:$B$56,0))+'Commission Structure'!$C$21),"")</f>
        <v/>
      </c>
      <c r="CT28" s="102" t="str">
        <f t="shared" si="10"/>
        <v/>
      </c>
      <c r="CU28" s="100" t="str">
        <f>IFERROR($CO28*('Commission Structure'!$C$6+'Commission Structure'!$C$7),"")</f>
        <v/>
      </c>
      <c r="CV28" s="100" t="str">
        <f>IFERROR($CO28*'Commission Structure'!$C$5-$CU28,"")</f>
        <v/>
      </c>
      <c r="CW28" s="100" t="str">
        <f>IFERROR($CO28*(1-'Commission Structure'!$C$5),"")</f>
        <v/>
      </c>
      <c r="CX28" s="105" t="str">
        <f>IF($A28="","",IF(OR($CB28="?",$CC28="?",NOT(ISNUMBER($AU28))),"CHECK INPUTS",IF(OR($J28&lt;'Technical Premium'!$C$18,LEFT(IFERROR(INDEX('Driver Factors'!$D$6:$D$15,MATCH($R28,'Driver Factors'!$B$6:$B$15,0)),""),7)="DECLINE",LEFT(IFERROR(INDEX('Driver Factors'!$D$28:$D$36,MATCH($T28,'Driver Factors'!$B$28:$B$36,0)),""),7)="DECLINE",LEFT(IFERROR(INDEX('Claims History'!$D$6:$D$15,MATCH($U28,'Claims History'!$B$6:$B$15,0)),""),7)="DECLINE",LEFT(IFERROR(INDEX('Usage and Coverage'!$E$6:$E$20,MATCH($N28,'Usage and Coverage'!$C$6:$C$20,0)),""),7)="DECLINE"),"DECLINE",IF(OR($CD28&gt;2.5,$CD28&gt;='Technical Premium'!$C$17,$J28&gt;='Technical Premium'!$C$16,N($AQ28)&lt;'Technical Premium'!$C$19,N($AQ28)&gt;'Technical Premium'!$C$20,LEFT(IFERROR(INDEX('Driver Factors'!$D$6:$D$15,MATCH($R28,'Driver Factors'!$B$6:$B$15,0)),""),5)="Refer",LEFT(IFERROR(INDEX('Driver Factors'!$D$28:$D$36,MATCH($T28,'Driver Factors'!$B$28:$B$36,0)),""),5)="Refer",LEFT(IFERROR(INDEX('Claims History'!$D$6:$D$15,MATCH($U28,'Claims History'!$B$6:$B$15,0)),""),5)="Refer",LEFT(IFERROR(INDEX('Usage and Coverage'!$E$6:$E$20,MATCH($N28,'Usage and Coverage'!$C$6:$C$20,0)),""),5)="Refer"),"REFER","AUTO-BIND"))))</f>
        <v/>
      </c>
      <c r="CY28" s="106" t="str">
        <f t="shared" si="11"/>
        <v/>
      </c>
      <c r="CZ28" s="97" t="str">
        <f>IF($CY28="","",IF($CY28&lt;'Technical Premium'!$C$19,"BEYOND AUTHORITY",IF($CY28&gt;0.005,"Above technical",IF($CY28&lt;-0.005,"BELOW technical","At technical"))))</f>
        <v/>
      </c>
      <c r="DA28" s="97" t="str">
        <f>IF($A28="","",IF($CX28="AUTO-BIND","",TRIM(IF($J28&lt;'Technical Premium'!$C$18,"Below programme minimum agreed value. ","")&amp;IF(N($AQ28)&lt;'Technical Premium'!$C$19,"DISCOUNT AUTHORITY BREACH. ","")&amp;IF(N($AQ28)&gt;'Technical Premium'!$C$20,"Load authority breach. ","")&amp;IF($J28&gt;='Technical Premium'!$C$16,"Agreed value at or above auto-bind limit. ","")&amp;IF(AND(ISNUMBER($CD28),$CD28&gt;='Technical Premium'!$C$17),"Composite factor at cap. ","")&amp;IF(AND(ISNUMBER($CD28),$CD28&gt;2.5),"Composite factor above 2.50. ","")&amp;IF(LEFT(IFERROR(INDEX('Driver Factors'!$D$6:$D$15,MATCH($R28,'Driver Factors'!$B$6:$B$15,0)),""),7)="DECLINE","DECLINE - driver age. ",IF(LEFT(IFERROR(INDEX('Driver Factors'!$D$6:$D$15,MATCH($R28,'Driver Factors'!$B$6:$B$15,0)),""),5)="Refer","Driver age band. ",""))&amp;IF(LEFT(IFERROR(INDEX('Driver Factors'!$D$28:$D$36,MATCH($T28,'Driver Factors'!$B$28:$B$36,0)),""),7)="DECLINE","DECLINE - MVR. ",IF(LEFT(IFERROR(INDEX('Driver Factors'!$D$28:$D$36,MATCH($T28,'Driver Factors'!$B$28:$B$36,0)),""),5)="Refer","MVR record. ",""))&amp;IF(LEFT(IFERROR(INDEX('Claims History'!$D$6:$D$15,MATCH($U28,'Claims History'!$B$6:$B$15,0)),""),7)="DECLINE","DECLINE - claims. ",IF(LEFT(IFERROR(INDEX('Claims History'!$D$6:$D$15,MATCH($U28,'Claims History'!$B$6:$B$15,0)),""),5)="Refer","Claims history. ",""))&amp;IF(LEFT(IFERROR(INDEX('Usage and Coverage'!$E$6:$E$20,MATCH($N28,'Usage and Coverage'!$C$6:$C$20,0)),""),7)="DECLINE","DECLINE - usage class. ",IF(LEFT(IFERROR(INDEX('Usage and Coverage'!$E$6:$E$20,MATCH($N28,'Usage and Coverage'!$C$6:$C$20,0)),""),5)="Refer","Usage class. ",""))&amp;IF($CX28="CHECK INPUTS","Incomplete inputs. ",""))))</f>
        <v/>
      </c>
      <c r="DB28" s="92"/>
      <c r="DC28" s="92"/>
      <c r="DD28" s="93"/>
      <c r="DE28" s="92"/>
      <c r="DF28" s="92"/>
      <c r="DG28" s="97" t="str">
        <f t="shared" si="12"/>
        <v/>
      </c>
      <c r="DH28" s="97" t="str">
        <f>IF($A28="","",IF(OR($CX28="REFER",$CX28="DECLINE"),COUNTIF($CX$5:$CX28,"REFER")+COUNTIF($CX$5:$CX28,"DECLINE"),""))</f>
        <v/>
      </c>
      <c r="DI28" s="92"/>
    </row>
    <row r="29" spans="1:113" x14ac:dyDescent="0.25">
      <c r="A29" s="92"/>
      <c r="B29" s="92"/>
      <c r="C29" s="93"/>
      <c r="D29" s="93"/>
      <c r="E29" s="94"/>
      <c r="F29" s="92"/>
      <c r="G29" s="92"/>
      <c r="H29" s="92"/>
      <c r="I29" s="92"/>
      <c r="J29" s="95"/>
      <c r="K29" s="9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6"/>
      <c r="AR29" s="97" t="str">
        <f t="shared" si="0"/>
        <v/>
      </c>
      <c r="AS29" s="97" t="str">
        <f>IF($A29="","",IF($AP29&lt;&gt;"",$AP29,IFERROR(INDEX('Cat Zone by ZIP'!$D$6:$D$856,MATCH($AR29,'Cat Zone by ZIP'!$B$6:$B$856,0)),IFERROR(INDEX('Cat Zone by ZIP'!$C$860:$C$910,MATCH($K29,'Cat Zone by ZIP'!$B$860:$B$910,0)),"NOT FOUND"))))</f>
        <v/>
      </c>
      <c r="AT29" s="97" t="str">
        <f>IF($A29="","",IF($AP29&lt;&gt;"","Override",IF(ISNUMBER(MATCH($AR29,'Cat Zone by ZIP'!$B$6:$B$856,0)),"ZIP-3","State default")))</f>
        <v/>
      </c>
      <c r="AU29" s="98" t="str">
        <f>IF($A29="","",IFERROR(INDEX('Natural Catastrophe'!$D$6:$D$17,MATCH($AS29,'Natural Catastrophe'!$B$6:$B$17,0)),"?"))</f>
        <v/>
      </c>
      <c r="AV29" s="98" t="str">
        <f>IF($A29="","",IFERROR(INDEX('Natural Catastrophe'!$C$21:$C$26,MATCH($AA29,'Natural Catastrophe'!$B$21:$B$26,0)),"?"))</f>
        <v/>
      </c>
      <c r="AW29" s="97" t="str">
        <f>IF($A29="","",IFERROR(INDEX('Base Rates'!$C$4:$I$4,MATCH(MAX($J29,'Technical Premium'!$C$18),'Base Rates'!$C$3:$I$3,1)),"?"))</f>
        <v/>
      </c>
      <c r="AX29" s="99" t="str">
        <f>IF($A29="","",IFERROR(INDEX('Base Rates'!$C$5:$I$16,MATCH($I29,'Base Rates'!$B$5:$B$16,0),MATCH(MAX($J29,'Technical Premium'!$C$18),'Base Rates'!$C$3:$I$3,1)),"?"))</f>
        <v/>
      </c>
      <c r="AY29" s="100" t="str">
        <f t="shared" si="1"/>
        <v/>
      </c>
      <c r="AZ29" s="97" t="str">
        <f>IF($A29="","",IFERROR(INDEX('Make Factors'!$G$5:$G$69,MATCH($F29,'Make Factors'!$B$5:$B$69,0)),"?"))</f>
        <v/>
      </c>
      <c r="BA29" s="97" t="str">
        <f>IF($A29="","",IFERROR(INDEX('Driver Factors'!$C$6:$C$15,MATCH($R29,'Driver Factors'!$B$6:$B$15,0)),"?"))</f>
        <v/>
      </c>
      <c r="BB29" s="97" t="str">
        <f>IF($A29="","",IFERROR(INDEX('Driver Factors'!$C$19:$C$24,MATCH($S29,'Driver Factors'!$B$19:$B$24,0)),"?"))</f>
        <v/>
      </c>
      <c r="BC29" s="97" t="str">
        <f>IF($A29="","",IFERROR(INDEX('Driver Factors'!$C$28:$C$36,MATCH($T29,'Driver Factors'!$B$28:$B$36,0)),"?"))</f>
        <v/>
      </c>
      <c r="BD29" s="97" t="str">
        <f>IF($A29="","",IFERROR(INDEX('Claims History'!$C$6:$C$15,MATCH($U29,'Claims History'!$B$6:$B$15,0)),"?"))</f>
        <v/>
      </c>
      <c r="BE29" s="97" t="str">
        <f>IF($A29="","",IFERROR(INDEX('Territory Factors'!$E$6:$E$56,MATCH($K29,'Territory Factors'!$B$6:$B$56,0)),"?"))</f>
        <v/>
      </c>
      <c r="BF29" s="97" t="str">
        <f>IF($A29="","",IFERROR(INDEX('City Accident Ratings'!$G$6:$G$54,MATCH($Z29,'City Accident Ratings'!$B$6:$B$54,0)),"?"))</f>
        <v/>
      </c>
      <c r="BG29" s="97" t="str">
        <f>IF($A29="","",IFERROR(INDEX('Usage and Coverage'!$D$6:$D$20,MATCH($N29,'Usage and Coverage'!$C$6:$C$20,0)),"?"))</f>
        <v/>
      </c>
      <c r="BH29" s="97" t="str">
        <f>IF($A29="","",IFERROR(INDEX('Usage and Coverage'!$C$24:$C$30,MATCH($O29,'Usage and Coverage'!$B$24:$B$30,0)),"?"))</f>
        <v/>
      </c>
      <c r="BI29" s="97" t="str">
        <f>IF($A29="","",IFERROR(INDEX('Usage and Coverage'!$C$34:$C$40,MATCH($P29,'Usage and Coverage'!$B$34:$B$40,0)),"?"))</f>
        <v/>
      </c>
      <c r="BJ29" s="97" t="str">
        <f>IF($A29="","",IFERROR(INDEX('Usage and Coverage'!$C$44:$C$49,MATCH($Q29,'Usage and Coverage'!$B$44:$B$49,0)),"?"))</f>
        <v/>
      </c>
      <c r="BK29" s="97" t="str">
        <f>IF($A29="","",IFERROR(INDEX(Deductibles!$C$6:$I$15,MATCH($W29,Deductibles!$B$6:$B$15,0),MATCH(MAX($J29,'Technical Premium'!$C$18),'Base Rates'!$C$3:$I$3,1)),"?"))</f>
        <v/>
      </c>
      <c r="BL29" s="97" t="str">
        <f>IF($A29="","",IFERROR(INDEX('Usage and Coverage'!$C$63:$C$66,MATCH($X29,'Usage and Coverage'!$B$63:$B$66,0)),"?"))</f>
        <v/>
      </c>
      <c r="BM29" s="97" t="str">
        <f>IF($A29="","",IFERROR(INDEX('Usage and Coverage'!$C$70:$C$75,MATCH($V29,'Usage and Coverage'!$B$70:$B$75,0)),"?"))</f>
        <v/>
      </c>
      <c r="BN29" s="97" t="str">
        <f>IF($A29="","",IF($AB29="",1,IFERROR(INDEX(Deductibles!$C$48:$C$51,MATCH($AB29,Deductibles!$B$48:$B$51,0)),"?")))</f>
        <v/>
      </c>
      <c r="BO29" s="97" t="str">
        <f>IF($A29="","",IF($AC29="",1,IFERROR(INDEX(Deductibles!$C$55:$C$57,MATCH($AC29,Deductibles!$B$55:$B$57,0)),"?")))</f>
        <v/>
      </c>
      <c r="BP29" s="97" t="str">
        <f>IF($A29="","",IF($AD29="",1,IFERROR(INDEX(Deductibles!$C$61:$C$63,MATCH($AD29,Deductibles!$B$61:$B$63,0)),"?")))</f>
        <v/>
      </c>
      <c r="BQ29" s="97" t="str">
        <f>IF($A29="","",IF($AE29="",1,IFERROR(INDEX(Deductibles!$C$67:$C$69,MATCH($AE29,Deductibles!$B$67:$B$69,0)),"?")))</f>
        <v/>
      </c>
      <c r="BR29" s="97" t="str">
        <f>IF($A29="","",IF($AF29="",1,IFERROR(INDEX(Deductibles!$C$73:$C$74,MATCH($AF29,Deductibles!$B$73:$B$74,0)),"?")))</f>
        <v/>
      </c>
      <c r="BS29" s="97" t="str">
        <f>IF($A29="","",IF($AG29="",1,IFERROR(INDEX('Sublimits and Parts'!$C$49:$C$52,MATCH($AG29,'Sublimits and Parts'!$B$49:$B$52,0)),"?")))</f>
        <v/>
      </c>
      <c r="BT29" s="97" t="str">
        <f>IF($A29="","",IF($AH29="",1,IFERROR(INDEX('Sublimits and Parts'!$C$56:$C$60,MATCH($AH29,'Sublimits and Parts'!$B$56:$B$60,0)),"?")))</f>
        <v/>
      </c>
      <c r="BU29" s="97" t="str">
        <f>IF($A29="","",IF($AI29="",1,IFERROR(INDEX('Sublimits and Parts'!$C$64:$C$67,MATCH($AI29,'Sublimits and Parts'!$B$64:$B$67,0)),"?")))</f>
        <v/>
      </c>
      <c r="BV29" s="97" t="str">
        <f>IF($A29="","",IF($AJ29="",1,IFERROR(INDEX('Sublimits and Parts'!$C$71:$C$74,MATCH($AJ29,'Sublimits and Parts'!$B$71:$B$74,0)),"?")))</f>
        <v/>
      </c>
      <c r="BW29" s="97" t="str">
        <f>IF($A29="","",IF($AK29="",1,IFERROR(INDEX('Sublimits and Parts'!$C$78:$C$80,MATCH($AK29,'Sublimits and Parts'!$B$78:$B$80,0)),"?")))</f>
        <v/>
      </c>
      <c r="BX29" s="97" t="str">
        <f>IF($A29="","",IF($AL29="",1,IFERROR(INDEX('Sublimits and Parts'!$C$84:$C$87,MATCH($AL29,'Sublimits and Parts'!$B$84:$B$87,0)),"?")))</f>
        <v/>
      </c>
      <c r="BY29" s="97" t="str">
        <f>IF($A29="","",IF($AM29="",1,IFERROR(INDEX('Sublimits and Parts'!$C$91:$C$94,MATCH($AM29,'Sublimits and Parts'!$B$91:$B$94,0)),"?")))</f>
        <v/>
      </c>
      <c r="BZ29" s="97" t="str">
        <f>IF($A29="","",IF($AN29="",1,IFERROR(INDEX('Sublimits and Parts'!$C$98:$C$101,MATCH($AN29,'Sublimits and Parts'!$B$98:$B$101,0)),"?")))</f>
        <v/>
      </c>
      <c r="CA29" s="97" t="str">
        <f>IF($A29="","",IF($AO29="",1,IFERROR(INDEX('Sublimits and Parts'!$C$105:$C$109,MATCH($AO29,'Sublimits and Parts'!$B$105:$B$109,0)),"?")))</f>
        <v/>
      </c>
      <c r="CB29" s="98" t="str">
        <f t="shared" si="2"/>
        <v/>
      </c>
      <c r="CC29" s="98" t="str">
        <f t="shared" si="3"/>
        <v/>
      </c>
      <c r="CD29" s="101" t="str">
        <f>IF($A29="","",IF(OR($CB29="?",$CC29="?"),"?",MIN($CB29*$CC29,'Technical Premium'!$C$17)))</f>
        <v/>
      </c>
      <c r="CE29" s="100" t="str">
        <f t="shared" si="4"/>
        <v/>
      </c>
      <c r="CF29" s="100" t="str">
        <f>IF($A29="","",IFERROR(INDEX('Territory Factors'!$F$6:$F$56,MATCH($K29,'Territory Factors'!$B$6:$B$56,0)),"?"))</f>
        <v/>
      </c>
      <c r="CG29" s="98" t="str">
        <f>IF($A29="","",IFERROR(INDEX('Usage and Coverage'!$C$79:$C$84,MATCH($Y29,'Usage and Coverage'!$B$79:$B$84,0)),"?"))</f>
        <v/>
      </c>
      <c r="CH29" s="100" t="str">
        <f>IFERROR(IF(ISNUMBER($CD29),$CF29*$CG29*MIN($BG29*$BA29*$BC29*$BD29*$BH29*$BF29,'Technical Premium'!$C$17),""),"")</f>
        <v/>
      </c>
      <c r="CI29" s="100" t="str">
        <f t="shared" si="5"/>
        <v/>
      </c>
      <c r="CJ29" s="100" t="str">
        <f>IFERROR($CI29*(1+'Technical Premium'!$C$5)*(1+'Technical Premium'!$C$6),"")</f>
        <v/>
      </c>
      <c r="CK29" s="100" t="str">
        <f>IFERROR($CE29*INDEX('Territory Factors'!$G$6:$G$56,MATCH($K29,'Territory Factors'!$B$6:$B$56,0))*$AU29*$AV29,"")</f>
        <v/>
      </c>
      <c r="CL29" s="100" t="str">
        <f>IFERROR(($CJ29+$CK29)*(1+'Technical Premium'!$C$7),"")</f>
        <v/>
      </c>
      <c r="CM29" s="102" t="str">
        <f>IFERROR($CL29/'Technical Premium'!$C$13,"")</f>
        <v/>
      </c>
      <c r="CN29" s="103" t="str">
        <f t="shared" si="6"/>
        <v/>
      </c>
      <c r="CO29" s="102" t="str">
        <f t="shared" si="7"/>
        <v/>
      </c>
      <c r="CP29" s="103" t="str">
        <f t="shared" si="8"/>
        <v/>
      </c>
      <c r="CQ29" s="104" t="str">
        <f t="shared" si="9"/>
        <v/>
      </c>
      <c r="CR29" s="100" t="str">
        <f>IF(ISNUMBER($CM29),'Technical Premium'!$C$14+IF($J29&gt;=1000000,'Technical Premium'!$C$15,0),"")</f>
        <v/>
      </c>
      <c r="CS29" s="100" t="str">
        <f>IFERROR(($CO29+$CR29)*(INDEX('Territory Factors'!$K$6:$K$56,MATCH($K29,'Territory Factors'!$B$6:$B$56,0))+'Commission Structure'!$C$21),"")</f>
        <v/>
      </c>
      <c r="CT29" s="102" t="str">
        <f t="shared" si="10"/>
        <v/>
      </c>
      <c r="CU29" s="100" t="str">
        <f>IFERROR($CO29*('Commission Structure'!$C$6+'Commission Structure'!$C$7),"")</f>
        <v/>
      </c>
      <c r="CV29" s="100" t="str">
        <f>IFERROR($CO29*'Commission Structure'!$C$5-$CU29,"")</f>
        <v/>
      </c>
      <c r="CW29" s="100" t="str">
        <f>IFERROR($CO29*(1-'Commission Structure'!$C$5),"")</f>
        <v/>
      </c>
      <c r="CX29" s="105" t="str">
        <f>IF($A29="","",IF(OR($CB29="?",$CC29="?",NOT(ISNUMBER($AU29))),"CHECK INPUTS",IF(OR($J29&lt;'Technical Premium'!$C$18,LEFT(IFERROR(INDEX('Driver Factors'!$D$6:$D$15,MATCH($R29,'Driver Factors'!$B$6:$B$15,0)),""),7)="DECLINE",LEFT(IFERROR(INDEX('Driver Factors'!$D$28:$D$36,MATCH($T29,'Driver Factors'!$B$28:$B$36,0)),""),7)="DECLINE",LEFT(IFERROR(INDEX('Claims History'!$D$6:$D$15,MATCH($U29,'Claims History'!$B$6:$B$15,0)),""),7)="DECLINE",LEFT(IFERROR(INDEX('Usage and Coverage'!$E$6:$E$20,MATCH($N29,'Usage and Coverage'!$C$6:$C$20,0)),""),7)="DECLINE"),"DECLINE",IF(OR($CD29&gt;2.5,$CD29&gt;='Technical Premium'!$C$17,$J29&gt;='Technical Premium'!$C$16,N($AQ29)&lt;'Technical Premium'!$C$19,N($AQ29)&gt;'Technical Premium'!$C$20,LEFT(IFERROR(INDEX('Driver Factors'!$D$6:$D$15,MATCH($R29,'Driver Factors'!$B$6:$B$15,0)),""),5)="Refer",LEFT(IFERROR(INDEX('Driver Factors'!$D$28:$D$36,MATCH($T29,'Driver Factors'!$B$28:$B$36,0)),""),5)="Refer",LEFT(IFERROR(INDEX('Claims History'!$D$6:$D$15,MATCH($U29,'Claims History'!$B$6:$B$15,0)),""),5)="Refer",LEFT(IFERROR(INDEX('Usage and Coverage'!$E$6:$E$20,MATCH($N29,'Usage and Coverage'!$C$6:$C$20,0)),""),5)="Refer"),"REFER","AUTO-BIND"))))</f>
        <v/>
      </c>
      <c r="CY29" s="106" t="str">
        <f t="shared" si="11"/>
        <v/>
      </c>
      <c r="CZ29" s="97" t="str">
        <f>IF($CY29="","",IF($CY29&lt;'Technical Premium'!$C$19,"BEYOND AUTHORITY",IF($CY29&gt;0.005,"Above technical",IF($CY29&lt;-0.005,"BELOW technical","At technical"))))</f>
        <v/>
      </c>
      <c r="DA29" s="97" t="str">
        <f>IF($A29="","",IF($CX29="AUTO-BIND","",TRIM(IF($J29&lt;'Technical Premium'!$C$18,"Below programme minimum agreed value. ","")&amp;IF(N($AQ29)&lt;'Technical Premium'!$C$19,"DISCOUNT AUTHORITY BREACH. ","")&amp;IF(N($AQ29)&gt;'Technical Premium'!$C$20,"Load authority breach. ","")&amp;IF($J29&gt;='Technical Premium'!$C$16,"Agreed value at or above auto-bind limit. ","")&amp;IF(AND(ISNUMBER($CD29),$CD29&gt;='Technical Premium'!$C$17),"Composite factor at cap. ","")&amp;IF(AND(ISNUMBER($CD29),$CD29&gt;2.5),"Composite factor above 2.50. ","")&amp;IF(LEFT(IFERROR(INDEX('Driver Factors'!$D$6:$D$15,MATCH($R29,'Driver Factors'!$B$6:$B$15,0)),""),7)="DECLINE","DECLINE - driver age. ",IF(LEFT(IFERROR(INDEX('Driver Factors'!$D$6:$D$15,MATCH($R29,'Driver Factors'!$B$6:$B$15,0)),""),5)="Refer","Driver age band. ",""))&amp;IF(LEFT(IFERROR(INDEX('Driver Factors'!$D$28:$D$36,MATCH($T29,'Driver Factors'!$B$28:$B$36,0)),""),7)="DECLINE","DECLINE - MVR. ",IF(LEFT(IFERROR(INDEX('Driver Factors'!$D$28:$D$36,MATCH($T29,'Driver Factors'!$B$28:$B$36,0)),""),5)="Refer","MVR record. ",""))&amp;IF(LEFT(IFERROR(INDEX('Claims History'!$D$6:$D$15,MATCH($U29,'Claims History'!$B$6:$B$15,0)),""),7)="DECLINE","DECLINE - claims. ",IF(LEFT(IFERROR(INDEX('Claims History'!$D$6:$D$15,MATCH($U29,'Claims History'!$B$6:$B$15,0)),""),5)="Refer","Claims history. ",""))&amp;IF(LEFT(IFERROR(INDEX('Usage and Coverage'!$E$6:$E$20,MATCH($N29,'Usage and Coverage'!$C$6:$C$20,0)),""),7)="DECLINE","DECLINE - usage class. ",IF(LEFT(IFERROR(INDEX('Usage and Coverage'!$E$6:$E$20,MATCH($N29,'Usage and Coverage'!$C$6:$C$20,0)),""),5)="Refer","Usage class. ",""))&amp;IF($CX29="CHECK INPUTS","Incomplete inputs. ",""))))</f>
        <v/>
      </c>
      <c r="DB29" s="92"/>
      <c r="DC29" s="92"/>
      <c r="DD29" s="93"/>
      <c r="DE29" s="92"/>
      <c r="DF29" s="92"/>
      <c r="DG29" s="97" t="str">
        <f t="shared" si="12"/>
        <v/>
      </c>
      <c r="DH29" s="97" t="str">
        <f>IF($A29="","",IF(OR($CX29="REFER",$CX29="DECLINE"),COUNTIF($CX$5:$CX29,"REFER")+COUNTIF($CX$5:$CX29,"DECLINE"),""))</f>
        <v/>
      </c>
      <c r="DI29" s="92"/>
    </row>
    <row r="30" spans="1:113" x14ac:dyDescent="0.25">
      <c r="A30" s="92"/>
      <c r="B30" s="92"/>
      <c r="C30" s="93"/>
      <c r="D30" s="93"/>
      <c r="E30" s="94"/>
      <c r="F30" s="92"/>
      <c r="G30" s="92"/>
      <c r="H30" s="92"/>
      <c r="I30" s="92"/>
      <c r="J30" s="95"/>
      <c r="K30" s="9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6"/>
      <c r="AR30" s="97" t="str">
        <f t="shared" si="0"/>
        <v/>
      </c>
      <c r="AS30" s="97" t="str">
        <f>IF($A30="","",IF($AP30&lt;&gt;"",$AP30,IFERROR(INDEX('Cat Zone by ZIP'!$D$6:$D$856,MATCH($AR30,'Cat Zone by ZIP'!$B$6:$B$856,0)),IFERROR(INDEX('Cat Zone by ZIP'!$C$860:$C$910,MATCH($K30,'Cat Zone by ZIP'!$B$860:$B$910,0)),"NOT FOUND"))))</f>
        <v/>
      </c>
      <c r="AT30" s="97" t="str">
        <f>IF($A30="","",IF($AP30&lt;&gt;"","Override",IF(ISNUMBER(MATCH($AR30,'Cat Zone by ZIP'!$B$6:$B$856,0)),"ZIP-3","State default")))</f>
        <v/>
      </c>
      <c r="AU30" s="98" t="str">
        <f>IF($A30="","",IFERROR(INDEX('Natural Catastrophe'!$D$6:$D$17,MATCH($AS30,'Natural Catastrophe'!$B$6:$B$17,0)),"?"))</f>
        <v/>
      </c>
      <c r="AV30" s="98" t="str">
        <f>IF($A30="","",IFERROR(INDEX('Natural Catastrophe'!$C$21:$C$26,MATCH($AA30,'Natural Catastrophe'!$B$21:$B$26,0)),"?"))</f>
        <v/>
      </c>
      <c r="AW30" s="97" t="str">
        <f>IF($A30="","",IFERROR(INDEX('Base Rates'!$C$4:$I$4,MATCH(MAX($J30,'Technical Premium'!$C$18),'Base Rates'!$C$3:$I$3,1)),"?"))</f>
        <v/>
      </c>
      <c r="AX30" s="99" t="str">
        <f>IF($A30="","",IFERROR(INDEX('Base Rates'!$C$5:$I$16,MATCH($I30,'Base Rates'!$B$5:$B$16,0),MATCH(MAX($J30,'Technical Premium'!$C$18),'Base Rates'!$C$3:$I$3,1)),"?"))</f>
        <v/>
      </c>
      <c r="AY30" s="100" t="str">
        <f t="shared" si="1"/>
        <v/>
      </c>
      <c r="AZ30" s="97" t="str">
        <f>IF($A30="","",IFERROR(INDEX('Make Factors'!$G$5:$G$69,MATCH($F30,'Make Factors'!$B$5:$B$69,0)),"?"))</f>
        <v/>
      </c>
      <c r="BA30" s="97" t="str">
        <f>IF($A30="","",IFERROR(INDEX('Driver Factors'!$C$6:$C$15,MATCH($R30,'Driver Factors'!$B$6:$B$15,0)),"?"))</f>
        <v/>
      </c>
      <c r="BB30" s="97" t="str">
        <f>IF($A30="","",IFERROR(INDEX('Driver Factors'!$C$19:$C$24,MATCH($S30,'Driver Factors'!$B$19:$B$24,0)),"?"))</f>
        <v/>
      </c>
      <c r="BC30" s="97" t="str">
        <f>IF($A30="","",IFERROR(INDEX('Driver Factors'!$C$28:$C$36,MATCH($T30,'Driver Factors'!$B$28:$B$36,0)),"?"))</f>
        <v/>
      </c>
      <c r="BD30" s="97" t="str">
        <f>IF($A30="","",IFERROR(INDEX('Claims History'!$C$6:$C$15,MATCH($U30,'Claims History'!$B$6:$B$15,0)),"?"))</f>
        <v/>
      </c>
      <c r="BE30" s="97" t="str">
        <f>IF($A30="","",IFERROR(INDEX('Territory Factors'!$E$6:$E$56,MATCH($K30,'Territory Factors'!$B$6:$B$56,0)),"?"))</f>
        <v/>
      </c>
      <c r="BF30" s="97" t="str">
        <f>IF($A30="","",IFERROR(INDEX('City Accident Ratings'!$G$6:$G$54,MATCH($Z30,'City Accident Ratings'!$B$6:$B$54,0)),"?"))</f>
        <v/>
      </c>
      <c r="BG30" s="97" t="str">
        <f>IF($A30="","",IFERROR(INDEX('Usage and Coverage'!$D$6:$D$20,MATCH($N30,'Usage and Coverage'!$C$6:$C$20,0)),"?"))</f>
        <v/>
      </c>
      <c r="BH30" s="97" t="str">
        <f>IF($A30="","",IFERROR(INDEX('Usage and Coverage'!$C$24:$C$30,MATCH($O30,'Usage and Coverage'!$B$24:$B$30,0)),"?"))</f>
        <v/>
      </c>
      <c r="BI30" s="97" t="str">
        <f>IF($A30="","",IFERROR(INDEX('Usage and Coverage'!$C$34:$C$40,MATCH($P30,'Usage and Coverage'!$B$34:$B$40,0)),"?"))</f>
        <v/>
      </c>
      <c r="BJ30" s="97" t="str">
        <f>IF($A30="","",IFERROR(INDEX('Usage and Coverage'!$C$44:$C$49,MATCH($Q30,'Usage and Coverage'!$B$44:$B$49,0)),"?"))</f>
        <v/>
      </c>
      <c r="BK30" s="97" t="str">
        <f>IF($A30="","",IFERROR(INDEX(Deductibles!$C$6:$I$15,MATCH($W30,Deductibles!$B$6:$B$15,0),MATCH(MAX($J30,'Technical Premium'!$C$18),'Base Rates'!$C$3:$I$3,1)),"?"))</f>
        <v/>
      </c>
      <c r="BL30" s="97" t="str">
        <f>IF($A30="","",IFERROR(INDEX('Usage and Coverage'!$C$63:$C$66,MATCH($X30,'Usage and Coverage'!$B$63:$B$66,0)),"?"))</f>
        <v/>
      </c>
      <c r="BM30" s="97" t="str">
        <f>IF($A30="","",IFERROR(INDEX('Usage and Coverage'!$C$70:$C$75,MATCH($V30,'Usage and Coverage'!$B$70:$B$75,0)),"?"))</f>
        <v/>
      </c>
      <c r="BN30" s="97" t="str">
        <f>IF($A30="","",IF($AB30="",1,IFERROR(INDEX(Deductibles!$C$48:$C$51,MATCH($AB30,Deductibles!$B$48:$B$51,0)),"?")))</f>
        <v/>
      </c>
      <c r="BO30" s="97" t="str">
        <f>IF($A30="","",IF($AC30="",1,IFERROR(INDEX(Deductibles!$C$55:$C$57,MATCH($AC30,Deductibles!$B$55:$B$57,0)),"?")))</f>
        <v/>
      </c>
      <c r="BP30" s="97" t="str">
        <f>IF($A30="","",IF($AD30="",1,IFERROR(INDEX(Deductibles!$C$61:$C$63,MATCH($AD30,Deductibles!$B$61:$B$63,0)),"?")))</f>
        <v/>
      </c>
      <c r="BQ30" s="97" t="str">
        <f>IF($A30="","",IF($AE30="",1,IFERROR(INDEX(Deductibles!$C$67:$C$69,MATCH($AE30,Deductibles!$B$67:$B$69,0)),"?")))</f>
        <v/>
      </c>
      <c r="BR30" s="97" t="str">
        <f>IF($A30="","",IF($AF30="",1,IFERROR(INDEX(Deductibles!$C$73:$C$74,MATCH($AF30,Deductibles!$B$73:$B$74,0)),"?")))</f>
        <v/>
      </c>
      <c r="BS30" s="97" t="str">
        <f>IF($A30="","",IF($AG30="",1,IFERROR(INDEX('Sublimits and Parts'!$C$49:$C$52,MATCH($AG30,'Sublimits and Parts'!$B$49:$B$52,0)),"?")))</f>
        <v/>
      </c>
      <c r="BT30" s="97" t="str">
        <f>IF($A30="","",IF($AH30="",1,IFERROR(INDEX('Sublimits and Parts'!$C$56:$C$60,MATCH($AH30,'Sublimits and Parts'!$B$56:$B$60,0)),"?")))</f>
        <v/>
      </c>
      <c r="BU30" s="97" t="str">
        <f>IF($A30="","",IF($AI30="",1,IFERROR(INDEX('Sublimits and Parts'!$C$64:$C$67,MATCH($AI30,'Sublimits and Parts'!$B$64:$B$67,0)),"?")))</f>
        <v/>
      </c>
      <c r="BV30" s="97" t="str">
        <f>IF($A30="","",IF($AJ30="",1,IFERROR(INDEX('Sublimits and Parts'!$C$71:$C$74,MATCH($AJ30,'Sublimits and Parts'!$B$71:$B$74,0)),"?")))</f>
        <v/>
      </c>
      <c r="BW30" s="97" t="str">
        <f>IF($A30="","",IF($AK30="",1,IFERROR(INDEX('Sublimits and Parts'!$C$78:$C$80,MATCH($AK30,'Sublimits and Parts'!$B$78:$B$80,0)),"?")))</f>
        <v/>
      </c>
      <c r="BX30" s="97" t="str">
        <f>IF($A30="","",IF($AL30="",1,IFERROR(INDEX('Sublimits and Parts'!$C$84:$C$87,MATCH($AL30,'Sublimits and Parts'!$B$84:$B$87,0)),"?")))</f>
        <v/>
      </c>
      <c r="BY30" s="97" t="str">
        <f>IF($A30="","",IF($AM30="",1,IFERROR(INDEX('Sublimits and Parts'!$C$91:$C$94,MATCH($AM30,'Sublimits and Parts'!$B$91:$B$94,0)),"?")))</f>
        <v/>
      </c>
      <c r="BZ30" s="97" t="str">
        <f>IF($A30="","",IF($AN30="",1,IFERROR(INDEX('Sublimits and Parts'!$C$98:$C$101,MATCH($AN30,'Sublimits and Parts'!$B$98:$B$101,0)),"?")))</f>
        <v/>
      </c>
      <c r="CA30" s="97" t="str">
        <f>IF($A30="","",IF($AO30="",1,IFERROR(INDEX('Sublimits and Parts'!$C$105:$C$109,MATCH($AO30,'Sublimits and Parts'!$B$105:$B$109,0)),"?")))</f>
        <v/>
      </c>
      <c r="CB30" s="98" t="str">
        <f t="shared" si="2"/>
        <v/>
      </c>
      <c r="CC30" s="98" t="str">
        <f t="shared" si="3"/>
        <v/>
      </c>
      <c r="CD30" s="101" t="str">
        <f>IF($A30="","",IF(OR($CB30="?",$CC30="?"),"?",MIN($CB30*$CC30,'Technical Premium'!$C$17)))</f>
        <v/>
      </c>
      <c r="CE30" s="100" t="str">
        <f t="shared" si="4"/>
        <v/>
      </c>
      <c r="CF30" s="100" t="str">
        <f>IF($A30="","",IFERROR(INDEX('Territory Factors'!$F$6:$F$56,MATCH($K30,'Territory Factors'!$B$6:$B$56,0)),"?"))</f>
        <v/>
      </c>
      <c r="CG30" s="98" t="str">
        <f>IF($A30="","",IFERROR(INDEX('Usage and Coverage'!$C$79:$C$84,MATCH($Y30,'Usage and Coverage'!$B$79:$B$84,0)),"?"))</f>
        <v/>
      </c>
      <c r="CH30" s="100" t="str">
        <f>IFERROR(IF(ISNUMBER($CD30),$CF30*$CG30*MIN($BG30*$BA30*$BC30*$BD30*$BH30*$BF30,'Technical Premium'!$C$17),""),"")</f>
        <v/>
      </c>
      <c r="CI30" s="100" t="str">
        <f t="shared" si="5"/>
        <v/>
      </c>
      <c r="CJ30" s="100" t="str">
        <f>IFERROR($CI30*(1+'Technical Premium'!$C$5)*(1+'Technical Premium'!$C$6),"")</f>
        <v/>
      </c>
      <c r="CK30" s="100" t="str">
        <f>IFERROR($CE30*INDEX('Territory Factors'!$G$6:$G$56,MATCH($K30,'Territory Factors'!$B$6:$B$56,0))*$AU30*$AV30,"")</f>
        <v/>
      </c>
      <c r="CL30" s="100" t="str">
        <f>IFERROR(($CJ30+$CK30)*(1+'Technical Premium'!$C$7),"")</f>
        <v/>
      </c>
      <c r="CM30" s="102" t="str">
        <f>IFERROR($CL30/'Technical Premium'!$C$13,"")</f>
        <v/>
      </c>
      <c r="CN30" s="103" t="str">
        <f t="shared" si="6"/>
        <v/>
      </c>
      <c r="CO30" s="102" t="str">
        <f t="shared" si="7"/>
        <v/>
      </c>
      <c r="CP30" s="103" t="str">
        <f t="shared" si="8"/>
        <v/>
      </c>
      <c r="CQ30" s="104" t="str">
        <f t="shared" si="9"/>
        <v/>
      </c>
      <c r="CR30" s="100" t="str">
        <f>IF(ISNUMBER($CM30),'Technical Premium'!$C$14+IF($J30&gt;=1000000,'Technical Premium'!$C$15,0),"")</f>
        <v/>
      </c>
      <c r="CS30" s="100" t="str">
        <f>IFERROR(($CO30+$CR30)*(INDEX('Territory Factors'!$K$6:$K$56,MATCH($K30,'Territory Factors'!$B$6:$B$56,0))+'Commission Structure'!$C$21),"")</f>
        <v/>
      </c>
      <c r="CT30" s="102" t="str">
        <f t="shared" si="10"/>
        <v/>
      </c>
      <c r="CU30" s="100" t="str">
        <f>IFERROR($CO30*('Commission Structure'!$C$6+'Commission Structure'!$C$7),"")</f>
        <v/>
      </c>
      <c r="CV30" s="100" t="str">
        <f>IFERROR($CO30*'Commission Structure'!$C$5-$CU30,"")</f>
        <v/>
      </c>
      <c r="CW30" s="100" t="str">
        <f>IFERROR($CO30*(1-'Commission Structure'!$C$5),"")</f>
        <v/>
      </c>
      <c r="CX30" s="105" t="str">
        <f>IF($A30="","",IF(OR($CB30="?",$CC30="?",NOT(ISNUMBER($AU30))),"CHECK INPUTS",IF(OR($J30&lt;'Technical Premium'!$C$18,LEFT(IFERROR(INDEX('Driver Factors'!$D$6:$D$15,MATCH($R30,'Driver Factors'!$B$6:$B$15,0)),""),7)="DECLINE",LEFT(IFERROR(INDEX('Driver Factors'!$D$28:$D$36,MATCH($T30,'Driver Factors'!$B$28:$B$36,0)),""),7)="DECLINE",LEFT(IFERROR(INDEX('Claims History'!$D$6:$D$15,MATCH($U30,'Claims History'!$B$6:$B$15,0)),""),7)="DECLINE",LEFT(IFERROR(INDEX('Usage and Coverage'!$E$6:$E$20,MATCH($N30,'Usage and Coverage'!$C$6:$C$20,0)),""),7)="DECLINE"),"DECLINE",IF(OR($CD30&gt;2.5,$CD30&gt;='Technical Premium'!$C$17,$J30&gt;='Technical Premium'!$C$16,N($AQ30)&lt;'Technical Premium'!$C$19,N($AQ30)&gt;'Technical Premium'!$C$20,LEFT(IFERROR(INDEX('Driver Factors'!$D$6:$D$15,MATCH($R30,'Driver Factors'!$B$6:$B$15,0)),""),5)="Refer",LEFT(IFERROR(INDEX('Driver Factors'!$D$28:$D$36,MATCH($T30,'Driver Factors'!$B$28:$B$36,0)),""),5)="Refer",LEFT(IFERROR(INDEX('Claims History'!$D$6:$D$15,MATCH($U30,'Claims History'!$B$6:$B$15,0)),""),5)="Refer",LEFT(IFERROR(INDEX('Usage and Coverage'!$E$6:$E$20,MATCH($N30,'Usage and Coverage'!$C$6:$C$20,0)),""),5)="Refer"),"REFER","AUTO-BIND"))))</f>
        <v/>
      </c>
      <c r="CY30" s="106" t="str">
        <f t="shared" si="11"/>
        <v/>
      </c>
      <c r="CZ30" s="97" t="str">
        <f>IF($CY30="","",IF($CY30&lt;'Technical Premium'!$C$19,"BEYOND AUTHORITY",IF($CY30&gt;0.005,"Above technical",IF($CY30&lt;-0.005,"BELOW technical","At technical"))))</f>
        <v/>
      </c>
      <c r="DA30" s="97" t="str">
        <f>IF($A30="","",IF($CX30="AUTO-BIND","",TRIM(IF($J30&lt;'Technical Premium'!$C$18,"Below programme minimum agreed value. ","")&amp;IF(N($AQ30)&lt;'Technical Premium'!$C$19,"DISCOUNT AUTHORITY BREACH. ","")&amp;IF(N($AQ30)&gt;'Technical Premium'!$C$20,"Load authority breach. ","")&amp;IF($J30&gt;='Technical Premium'!$C$16,"Agreed value at or above auto-bind limit. ","")&amp;IF(AND(ISNUMBER($CD30),$CD30&gt;='Technical Premium'!$C$17),"Composite factor at cap. ","")&amp;IF(AND(ISNUMBER($CD30),$CD30&gt;2.5),"Composite factor above 2.50. ","")&amp;IF(LEFT(IFERROR(INDEX('Driver Factors'!$D$6:$D$15,MATCH($R30,'Driver Factors'!$B$6:$B$15,0)),""),7)="DECLINE","DECLINE - driver age. ",IF(LEFT(IFERROR(INDEX('Driver Factors'!$D$6:$D$15,MATCH($R30,'Driver Factors'!$B$6:$B$15,0)),""),5)="Refer","Driver age band. ",""))&amp;IF(LEFT(IFERROR(INDEX('Driver Factors'!$D$28:$D$36,MATCH($T30,'Driver Factors'!$B$28:$B$36,0)),""),7)="DECLINE","DECLINE - MVR. ",IF(LEFT(IFERROR(INDEX('Driver Factors'!$D$28:$D$36,MATCH($T30,'Driver Factors'!$B$28:$B$36,0)),""),5)="Refer","MVR record. ",""))&amp;IF(LEFT(IFERROR(INDEX('Claims History'!$D$6:$D$15,MATCH($U30,'Claims History'!$B$6:$B$15,0)),""),7)="DECLINE","DECLINE - claims. ",IF(LEFT(IFERROR(INDEX('Claims History'!$D$6:$D$15,MATCH($U30,'Claims History'!$B$6:$B$15,0)),""),5)="Refer","Claims history. ",""))&amp;IF(LEFT(IFERROR(INDEX('Usage and Coverage'!$E$6:$E$20,MATCH($N30,'Usage and Coverage'!$C$6:$C$20,0)),""),7)="DECLINE","DECLINE - usage class. ",IF(LEFT(IFERROR(INDEX('Usage and Coverage'!$E$6:$E$20,MATCH($N30,'Usage and Coverage'!$C$6:$C$20,0)),""),5)="Refer","Usage class. ",""))&amp;IF($CX30="CHECK INPUTS","Incomplete inputs. ",""))))</f>
        <v/>
      </c>
      <c r="DB30" s="92"/>
      <c r="DC30" s="92"/>
      <c r="DD30" s="93"/>
      <c r="DE30" s="92"/>
      <c r="DF30" s="92"/>
      <c r="DG30" s="97" t="str">
        <f t="shared" si="12"/>
        <v/>
      </c>
      <c r="DH30" s="97" t="str">
        <f>IF($A30="","",IF(OR($CX30="REFER",$CX30="DECLINE"),COUNTIF($CX$5:$CX30,"REFER")+COUNTIF($CX$5:$CX30,"DECLINE"),""))</f>
        <v/>
      </c>
      <c r="DI30" s="92"/>
    </row>
    <row r="31" spans="1:113" x14ac:dyDescent="0.25">
      <c r="A31" s="92"/>
      <c r="B31" s="92"/>
      <c r="C31" s="93"/>
      <c r="D31" s="93"/>
      <c r="E31" s="94"/>
      <c r="F31" s="92"/>
      <c r="G31" s="92"/>
      <c r="H31" s="92"/>
      <c r="I31" s="92"/>
      <c r="J31" s="95"/>
      <c r="K31" s="9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6"/>
      <c r="AR31" s="97" t="str">
        <f t="shared" si="0"/>
        <v/>
      </c>
      <c r="AS31" s="97" t="str">
        <f>IF($A31="","",IF($AP31&lt;&gt;"",$AP31,IFERROR(INDEX('Cat Zone by ZIP'!$D$6:$D$856,MATCH($AR31,'Cat Zone by ZIP'!$B$6:$B$856,0)),IFERROR(INDEX('Cat Zone by ZIP'!$C$860:$C$910,MATCH($K31,'Cat Zone by ZIP'!$B$860:$B$910,0)),"NOT FOUND"))))</f>
        <v/>
      </c>
      <c r="AT31" s="97" t="str">
        <f>IF($A31="","",IF($AP31&lt;&gt;"","Override",IF(ISNUMBER(MATCH($AR31,'Cat Zone by ZIP'!$B$6:$B$856,0)),"ZIP-3","State default")))</f>
        <v/>
      </c>
      <c r="AU31" s="98" t="str">
        <f>IF($A31="","",IFERROR(INDEX('Natural Catastrophe'!$D$6:$D$17,MATCH($AS31,'Natural Catastrophe'!$B$6:$B$17,0)),"?"))</f>
        <v/>
      </c>
      <c r="AV31" s="98" t="str">
        <f>IF($A31="","",IFERROR(INDEX('Natural Catastrophe'!$C$21:$C$26,MATCH($AA31,'Natural Catastrophe'!$B$21:$B$26,0)),"?"))</f>
        <v/>
      </c>
      <c r="AW31" s="97" t="str">
        <f>IF($A31="","",IFERROR(INDEX('Base Rates'!$C$4:$I$4,MATCH(MAX($J31,'Technical Premium'!$C$18),'Base Rates'!$C$3:$I$3,1)),"?"))</f>
        <v/>
      </c>
      <c r="AX31" s="99" t="str">
        <f>IF($A31="","",IFERROR(INDEX('Base Rates'!$C$5:$I$16,MATCH($I31,'Base Rates'!$B$5:$B$16,0),MATCH(MAX($J31,'Technical Premium'!$C$18),'Base Rates'!$C$3:$I$3,1)),"?"))</f>
        <v/>
      </c>
      <c r="AY31" s="100" t="str">
        <f t="shared" si="1"/>
        <v/>
      </c>
      <c r="AZ31" s="97" t="str">
        <f>IF($A31="","",IFERROR(INDEX('Make Factors'!$G$5:$G$69,MATCH($F31,'Make Factors'!$B$5:$B$69,0)),"?"))</f>
        <v/>
      </c>
      <c r="BA31" s="97" t="str">
        <f>IF($A31="","",IFERROR(INDEX('Driver Factors'!$C$6:$C$15,MATCH($R31,'Driver Factors'!$B$6:$B$15,0)),"?"))</f>
        <v/>
      </c>
      <c r="BB31" s="97" t="str">
        <f>IF($A31="","",IFERROR(INDEX('Driver Factors'!$C$19:$C$24,MATCH($S31,'Driver Factors'!$B$19:$B$24,0)),"?"))</f>
        <v/>
      </c>
      <c r="BC31" s="97" t="str">
        <f>IF($A31="","",IFERROR(INDEX('Driver Factors'!$C$28:$C$36,MATCH($T31,'Driver Factors'!$B$28:$B$36,0)),"?"))</f>
        <v/>
      </c>
      <c r="BD31" s="97" t="str">
        <f>IF($A31="","",IFERROR(INDEX('Claims History'!$C$6:$C$15,MATCH($U31,'Claims History'!$B$6:$B$15,0)),"?"))</f>
        <v/>
      </c>
      <c r="BE31" s="97" t="str">
        <f>IF($A31="","",IFERROR(INDEX('Territory Factors'!$E$6:$E$56,MATCH($K31,'Territory Factors'!$B$6:$B$56,0)),"?"))</f>
        <v/>
      </c>
      <c r="BF31" s="97" t="str">
        <f>IF($A31="","",IFERROR(INDEX('City Accident Ratings'!$G$6:$G$54,MATCH($Z31,'City Accident Ratings'!$B$6:$B$54,0)),"?"))</f>
        <v/>
      </c>
      <c r="BG31" s="97" t="str">
        <f>IF($A31="","",IFERROR(INDEX('Usage and Coverage'!$D$6:$D$20,MATCH($N31,'Usage and Coverage'!$C$6:$C$20,0)),"?"))</f>
        <v/>
      </c>
      <c r="BH31" s="97" t="str">
        <f>IF($A31="","",IFERROR(INDEX('Usage and Coverage'!$C$24:$C$30,MATCH($O31,'Usage and Coverage'!$B$24:$B$30,0)),"?"))</f>
        <v/>
      </c>
      <c r="BI31" s="97" t="str">
        <f>IF($A31="","",IFERROR(INDEX('Usage and Coverage'!$C$34:$C$40,MATCH($P31,'Usage and Coverage'!$B$34:$B$40,0)),"?"))</f>
        <v/>
      </c>
      <c r="BJ31" s="97" t="str">
        <f>IF($A31="","",IFERROR(INDEX('Usage and Coverage'!$C$44:$C$49,MATCH($Q31,'Usage and Coverage'!$B$44:$B$49,0)),"?"))</f>
        <v/>
      </c>
      <c r="BK31" s="97" t="str">
        <f>IF($A31="","",IFERROR(INDEX(Deductibles!$C$6:$I$15,MATCH($W31,Deductibles!$B$6:$B$15,0),MATCH(MAX($J31,'Technical Premium'!$C$18),'Base Rates'!$C$3:$I$3,1)),"?"))</f>
        <v/>
      </c>
      <c r="BL31" s="97" t="str">
        <f>IF($A31="","",IFERROR(INDEX('Usage and Coverage'!$C$63:$C$66,MATCH($X31,'Usage and Coverage'!$B$63:$B$66,0)),"?"))</f>
        <v/>
      </c>
      <c r="BM31" s="97" t="str">
        <f>IF($A31="","",IFERROR(INDEX('Usage and Coverage'!$C$70:$C$75,MATCH($V31,'Usage and Coverage'!$B$70:$B$75,0)),"?"))</f>
        <v/>
      </c>
      <c r="BN31" s="97" t="str">
        <f>IF($A31="","",IF($AB31="",1,IFERROR(INDEX(Deductibles!$C$48:$C$51,MATCH($AB31,Deductibles!$B$48:$B$51,0)),"?")))</f>
        <v/>
      </c>
      <c r="BO31" s="97" t="str">
        <f>IF($A31="","",IF($AC31="",1,IFERROR(INDEX(Deductibles!$C$55:$C$57,MATCH($AC31,Deductibles!$B$55:$B$57,0)),"?")))</f>
        <v/>
      </c>
      <c r="BP31" s="97" t="str">
        <f>IF($A31="","",IF($AD31="",1,IFERROR(INDEX(Deductibles!$C$61:$C$63,MATCH($AD31,Deductibles!$B$61:$B$63,0)),"?")))</f>
        <v/>
      </c>
      <c r="BQ31" s="97" t="str">
        <f>IF($A31="","",IF($AE31="",1,IFERROR(INDEX(Deductibles!$C$67:$C$69,MATCH($AE31,Deductibles!$B$67:$B$69,0)),"?")))</f>
        <v/>
      </c>
      <c r="BR31" s="97" t="str">
        <f>IF($A31="","",IF($AF31="",1,IFERROR(INDEX(Deductibles!$C$73:$C$74,MATCH($AF31,Deductibles!$B$73:$B$74,0)),"?")))</f>
        <v/>
      </c>
      <c r="BS31" s="97" t="str">
        <f>IF($A31="","",IF($AG31="",1,IFERROR(INDEX('Sublimits and Parts'!$C$49:$C$52,MATCH($AG31,'Sublimits and Parts'!$B$49:$B$52,0)),"?")))</f>
        <v/>
      </c>
      <c r="BT31" s="97" t="str">
        <f>IF($A31="","",IF($AH31="",1,IFERROR(INDEX('Sublimits and Parts'!$C$56:$C$60,MATCH($AH31,'Sublimits and Parts'!$B$56:$B$60,0)),"?")))</f>
        <v/>
      </c>
      <c r="BU31" s="97" t="str">
        <f>IF($A31="","",IF($AI31="",1,IFERROR(INDEX('Sublimits and Parts'!$C$64:$C$67,MATCH($AI31,'Sublimits and Parts'!$B$64:$B$67,0)),"?")))</f>
        <v/>
      </c>
      <c r="BV31" s="97" t="str">
        <f>IF($A31="","",IF($AJ31="",1,IFERROR(INDEX('Sublimits and Parts'!$C$71:$C$74,MATCH($AJ31,'Sublimits and Parts'!$B$71:$B$74,0)),"?")))</f>
        <v/>
      </c>
      <c r="BW31" s="97" t="str">
        <f>IF($A31="","",IF($AK31="",1,IFERROR(INDEX('Sublimits and Parts'!$C$78:$C$80,MATCH($AK31,'Sublimits and Parts'!$B$78:$B$80,0)),"?")))</f>
        <v/>
      </c>
      <c r="BX31" s="97" t="str">
        <f>IF($A31="","",IF($AL31="",1,IFERROR(INDEX('Sublimits and Parts'!$C$84:$C$87,MATCH($AL31,'Sublimits and Parts'!$B$84:$B$87,0)),"?")))</f>
        <v/>
      </c>
      <c r="BY31" s="97" t="str">
        <f>IF($A31="","",IF($AM31="",1,IFERROR(INDEX('Sublimits and Parts'!$C$91:$C$94,MATCH($AM31,'Sublimits and Parts'!$B$91:$B$94,0)),"?")))</f>
        <v/>
      </c>
      <c r="BZ31" s="97" t="str">
        <f>IF($A31="","",IF($AN31="",1,IFERROR(INDEX('Sublimits and Parts'!$C$98:$C$101,MATCH($AN31,'Sublimits and Parts'!$B$98:$B$101,0)),"?")))</f>
        <v/>
      </c>
      <c r="CA31" s="97" t="str">
        <f>IF($A31="","",IF($AO31="",1,IFERROR(INDEX('Sublimits and Parts'!$C$105:$C$109,MATCH($AO31,'Sublimits and Parts'!$B$105:$B$109,0)),"?")))</f>
        <v/>
      </c>
      <c r="CB31" s="98" t="str">
        <f t="shared" si="2"/>
        <v/>
      </c>
      <c r="CC31" s="98" t="str">
        <f t="shared" si="3"/>
        <v/>
      </c>
      <c r="CD31" s="101" t="str">
        <f>IF($A31="","",IF(OR($CB31="?",$CC31="?"),"?",MIN($CB31*$CC31,'Technical Premium'!$C$17)))</f>
        <v/>
      </c>
      <c r="CE31" s="100" t="str">
        <f t="shared" si="4"/>
        <v/>
      </c>
      <c r="CF31" s="100" t="str">
        <f>IF($A31="","",IFERROR(INDEX('Territory Factors'!$F$6:$F$56,MATCH($K31,'Territory Factors'!$B$6:$B$56,0)),"?"))</f>
        <v/>
      </c>
      <c r="CG31" s="98" t="str">
        <f>IF($A31="","",IFERROR(INDEX('Usage and Coverage'!$C$79:$C$84,MATCH($Y31,'Usage and Coverage'!$B$79:$B$84,0)),"?"))</f>
        <v/>
      </c>
      <c r="CH31" s="100" t="str">
        <f>IFERROR(IF(ISNUMBER($CD31),$CF31*$CG31*MIN($BG31*$BA31*$BC31*$BD31*$BH31*$BF31,'Technical Premium'!$C$17),""),"")</f>
        <v/>
      </c>
      <c r="CI31" s="100" t="str">
        <f t="shared" si="5"/>
        <v/>
      </c>
      <c r="CJ31" s="100" t="str">
        <f>IFERROR($CI31*(1+'Technical Premium'!$C$5)*(1+'Technical Premium'!$C$6),"")</f>
        <v/>
      </c>
      <c r="CK31" s="100" t="str">
        <f>IFERROR($CE31*INDEX('Territory Factors'!$G$6:$G$56,MATCH($K31,'Territory Factors'!$B$6:$B$56,0))*$AU31*$AV31,"")</f>
        <v/>
      </c>
      <c r="CL31" s="100" t="str">
        <f>IFERROR(($CJ31+$CK31)*(1+'Technical Premium'!$C$7),"")</f>
        <v/>
      </c>
      <c r="CM31" s="102" t="str">
        <f>IFERROR($CL31/'Technical Premium'!$C$13,"")</f>
        <v/>
      </c>
      <c r="CN31" s="103" t="str">
        <f t="shared" si="6"/>
        <v/>
      </c>
      <c r="CO31" s="102" t="str">
        <f t="shared" si="7"/>
        <v/>
      </c>
      <c r="CP31" s="103" t="str">
        <f t="shared" si="8"/>
        <v/>
      </c>
      <c r="CQ31" s="104" t="str">
        <f t="shared" si="9"/>
        <v/>
      </c>
      <c r="CR31" s="100" t="str">
        <f>IF(ISNUMBER($CM31),'Technical Premium'!$C$14+IF($J31&gt;=1000000,'Technical Premium'!$C$15,0),"")</f>
        <v/>
      </c>
      <c r="CS31" s="100" t="str">
        <f>IFERROR(($CO31+$CR31)*(INDEX('Territory Factors'!$K$6:$K$56,MATCH($K31,'Territory Factors'!$B$6:$B$56,0))+'Commission Structure'!$C$21),"")</f>
        <v/>
      </c>
      <c r="CT31" s="102" t="str">
        <f t="shared" si="10"/>
        <v/>
      </c>
      <c r="CU31" s="100" t="str">
        <f>IFERROR($CO31*('Commission Structure'!$C$6+'Commission Structure'!$C$7),"")</f>
        <v/>
      </c>
      <c r="CV31" s="100" t="str">
        <f>IFERROR($CO31*'Commission Structure'!$C$5-$CU31,"")</f>
        <v/>
      </c>
      <c r="CW31" s="100" t="str">
        <f>IFERROR($CO31*(1-'Commission Structure'!$C$5),"")</f>
        <v/>
      </c>
      <c r="CX31" s="105" t="str">
        <f>IF($A31="","",IF(OR($CB31="?",$CC31="?",NOT(ISNUMBER($AU31))),"CHECK INPUTS",IF(OR($J31&lt;'Technical Premium'!$C$18,LEFT(IFERROR(INDEX('Driver Factors'!$D$6:$D$15,MATCH($R31,'Driver Factors'!$B$6:$B$15,0)),""),7)="DECLINE",LEFT(IFERROR(INDEX('Driver Factors'!$D$28:$D$36,MATCH($T31,'Driver Factors'!$B$28:$B$36,0)),""),7)="DECLINE",LEFT(IFERROR(INDEX('Claims History'!$D$6:$D$15,MATCH($U31,'Claims History'!$B$6:$B$15,0)),""),7)="DECLINE",LEFT(IFERROR(INDEX('Usage and Coverage'!$E$6:$E$20,MATCH($N31,'Usage and Coverage'!$C$6:$C$20,0)),""),7)="DECLINE"),"DECLINE",IF(OR($CD31&gt;2.5,$CD31&gt;='Technical Premium'!$C$17,$J31&gt;='Technical Premium'!$C$16,N($AQ31)&lt;'Technical Premium'!$C$19,N($AQ31)&gt;'Technical Premium'!$C$20,LEFT(IFERROR(INDEX('Driver Factors'!$D$6:$D$15,MATCH($R31,'Driver Factors'!$B$6:$B$15,0)),""),5)="Refer",LEFT(IFERROR(INDEX('Driver Factors'!$D$28:$D$36,MATCH($T31,'Driver Factors'!$B$28:$B$36,0)),""),5)="Refer",LEFT(IFERROR(INDEX('Claims History'!$D$6:$D$15,MATCH($U31,'Claims History'!$B$6:$B$15,0)),""),5)="Refer",LEFT(IFERROR(INDEX('Usage and Coverage'!$E$6:$E$20,MATCH($N31,'Usage and Coverage'!$C$6:$C$20,0)),""),5)="Refer"),"REFER","AUTO-BIND"))))</f>
        <v/>
      </c>
      <c r="CY31" s="106" t="str">
        <f t="shared" si="11"/>
        <v/>
      </c>
      <c r="CZ31" s="97" t="str">
        <f>IF($CY31="","",IF($CY31&lt;'Technical Premium'!$C$19,"BEYOND AUTHORITY",IF($CY31&gt;0.005,"Above technical",IF($CY31&lt;-0.005,"BELOW technical","At technical"))))</f>
        <v/>
      </c>
      <c r="DA31" s="97" t="str">
        <f>IF($A31="","",IF($CX31="AUTO-BIND","",TRIM(IF($J31&lt;'Technical Premium'!$C$18,"Below programme minimum agreed value. ","")&amp;IF(N($AQ31)&lt;'Technical Premium'!$C$19,"DISCOUNT AUTHORITY BREACH. ","")&amp;IF(N($AQ31)&gt;'Technical Premium'!$C$20,"Load authority breach. ","")&amp;IF($J31&gt;='Technical Premium'!$C$16,"Agreed value at or above auto-bind limit. ","")&amp;IF(AND(ISNUMBER($CD31),$CD31&gt;='Technical Premium'!$C$17),"Composite factor at cap. ","")&amp;IF(AND(ISNUMBER($CD31),$CD31&gt;2.5),"Composite factor above 2.50. ","")&amp;IF(LEFT(IFERROR(INDEX('Driver Factors'!$D$6:$D$15,MATCH($R31,'Driver Factors'!$B$6:$B$15,0)),""),7)="DECLINE","DECLINE - driver age. ",IF(LEFT(IFERROR(INDEX('Driver Factors'!$D$6:$D$15,MATCH($R31,'Driver Factors'!$B$6:$B$15,0)),""),5)="Refer","Driver age band. ",""))&amp;IF(LEFT(IFERROR(INDEX('Driver Factors'!$D$28:$D$36,MATCH($T31,'Driver Factors'!$B$28:$B$36,0)),""),7)="DECLINE","DECLINE - MVR. ",IF(LEFT(IFERROR(INDEX('Driver Factors'!$D$28:$D$36,MATCH($T31,'Driver Factors'!$B$28:$B$36,0)),""),5)="Refer","MVR record. ",""))&amp;IF(LEFT(IFERROR(INDEX('Claims History'!$D$6:$D$15,MATCH($U31,'Claims History'!$B$6:$B$15,0)),""),7)="DECLINE","DECLINE - claims. ",IF(LEFT(IFERROR(INDEX('Claims History'!$D$6:$D$15,MATCH($U31,'Claims History'!$B$6:$B$15,0)),""),5)="Refer","Claims history. ",""))&amp;IF(LEFT(IFERROR(INDEX('Usage and Coverage'!$E$6:$E$20,MATCH($N31,'Usage and Coverage'!$C$6:$C$20,0)),""),7)="DECLINE","DECLINE - usage class. ",IF(LEFT(IFERROR(INDEX('Usage and Coverage'!$E$6:$E$20,MATCH($N31,'Usage and Coverage'!$C$6:$C$20,0)),""),5)="Refer","Usage class. ",""))&amp;IF($CX31="CHECK INPUTS","Incomplete inputs. ",""))))</f>
        <v/>
      </c>
      <c r="DB31" s="92"/>
      <c r="DC31" s="92"/>
      <c r="DD31" s="93"/>
      <c r="DE31" s="92"/>
      <c r="DF31" s="92"/>
      <c r="DG31" s="97" t="str">
        <f t="shared" si="12"/>
        <v/>
      </c>
      <c r="DH31" s="97" t="str">
        <f>IF($A31="","",IF(OR($CX31="REFER",$CX31="DECLINE"),COUNTIF($CX$5:$CX31,"REFER")+COUNTIF($CX$5:$CX31,"DECLINE"),""))</f>
        <v/>
      </c>
      <c r="DI31" s="92"/>
    </row>
    <row r="32" spans="1:113" x14ac:dyDescent="0.25">
      <c r="A32" s="92"/>
      <c r="B32" s="92"/>
      <c r="C32" s="93"/>
      <c r="D32" s="93"/>
      <c r="E32" s="94"/>
      <c r="F32" s="92"/>
      <c r="G32" s="92"/>
      <c r="H32" s="92"/>
      <c r="I32" s="92"/>
      <c r="J32" s="95"/>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6"/>
      <c r="AR32" s="97" t="str">
        <f t="shared" si="0"/>
        <v/>
      </c>
      <c r="AS32" s="97" t="str">
        <f>IF($A32="","",IF($AP32&lt;&gt;"",$AP32,IFERROR(INDEX('Cat Zone by ZIP'!$D$6:$D$856,MATCH($AR32,'Cat Zone by ZIP'!$B$6:$B$856,0)),IFERROR(INDEX('Cat Zone by ZIP'!$C$860:$C$910,MATCH($K32,'Cat Zone by ZIP'!$B$860:$B$910,0)),"NOT FOUND"))))</f>
        <v/>
      </c>
      <c r="AT32" s="97" t="str">
        <f>IF($A32="","",IF($AP32&lt;&gt;"","Override",IF(ISNUMBER(MATCH($AR32,'Cat Zone by ZIP'!$B$6:$B$856,0)),"ZIP-3","State default")))</f>
        <v/>
      </c>
      <c r="AU32" s="98" t="str">
        <f>IF($A32="","",IFERROR(INDEX('Natural Catastrophe'!$D$6:$D$17,MATCH($AS32,'Natural Catastrophe'!$B$6:$B$17,0)),"?"))</f>
        <v/>
      </c>
      <c r="AV32" s="98" t="str">
        <f>IF($A32="","",IFERROR(INDEX('Natural Catastrophe'!$C$21:$C$26,MATCH($AA32,'Natural Catastrophe'!$B$21:$B$26,0)),"?"))</f>
        <v/>
      </c>
      <c r="AW32" s="97" t="str">
        <f>IF($A32="","",IFERROR(INDEX('Base Rates'!$C$4:$I$4,MATCH(MAX($J32,'Technical Premium'!$C$18),'Base Rates'!$C$3:$I$3,1)),"?"))</f>
        <v/>
      </c>
      <c r="AX32" s="99" t="str">
        <f>IF($A32="","",IFERROR(INDEX('Base Rates'!$C$5:$I$16,MATCH($I32,'Base Rates'!$B$5:$B$16,0),MATCH(MAX($J32,'Technical Premium'!$C$18),'Base Rates'!$C$3:$I$3,1)),"?"))</f>
        <v/>
      </c>
      <c r="AY32" s="100" t="str">
        <f t="shared" si="1"/>
        <v/>
      </c>
      <c r="AZ32" s="97" t="str">
        <f>IF($A32="","",IFERROR(INDEX('Make Factors'!$G$5:$G$69,MATCH($F32,'Make Factors'!$B$5:$B$69,0)),"?"))</f>
        <v/>
      </c>
      <c r="BA32" s="97" t="str">
        <f>IF($A32="","",IFERROR(INDEX('Driver Factors'!$C$6:$C$15,MATCH($R32,'Driver Factors'!$B$6:$B$15,0)),"?"))</f>
        <v/>
      </c>
      <c r="BB32" s="97" t="str">
        <f>IF($A32="","",IFERROR(INDEX('Driver Factors'!$C$19:$C$24,MATCH($S32,'Driver Factors'!$B$19:$B$24,0)),"?"))</f>
        <v/>
      </c>
      <c r="BC32" s="97" t="str">
        <f>IF($A32="","",IFERROR(INDEX('Driver Factors'!$C$28:$C$36,MATCH($T32,'Driver Factors'!$B$28:$B$36,0)),"?"))</f>
        <v/>
      </c>
      <c r="BD32" s="97" t="str">
        <f>IF($A32="","",IFERROR(INDEX('Claims History'!$C$6:$C$15,MATCH($U32,'Claims History'!$B$6:$B$15,0)),"?"))</f>
        <v/>
      </c>
      <c r="BE32" s="97" t="str">
        <f>IF($A32="","",IFERROR(INDEX('Territory Factors'!$E$6:$E$56,MATCH($K32,'Territory Factors'!$B$6:$B$56,0)),"?"))</f>
        <v/>
      </c>
      <c r="BF32" s="97" t="str">
        <f>IF($A32="","",IFERROR(INDEX('City Accident Ratings'!$G$6:$G$54,MATCH($Z32,'City Accident Ratings'!$B$6:$B$54,0)),"?"))</f>
        <v/>
      </c>
      <c r="BG32" s="97" t="str">
        <f>IF($A32="","",IFERROR(INDEX('Usage and Coverage'!$D$6:$D$20,MATCH($N32,'Usage and Coverage'!$C$6:$C$20,0)),"?"))</f>
        <v/>
      </c>
      <c r="BH32" s="97" t="str">
        <f>IF($A32="","",IFERROR(INDEX('Usage and Coverage'!$C$24:$C$30,MATCH($O32,'Usage and Coverage'!$B$24:$B$30,0)),"?"))</f>
        <v/>
      </c>
      <c r="BI32" s="97" t="str">
        <f>IF($A32="","",IFERROR(INDEX('Usage and Coverage'!$C$34:$C$40,MATCH($P32,'Usage and Coverage'!$B$34:$B$40,0)),"?"))</f>
        <v/>
      </c>
      <c r="BJ32" s="97" t="str">
        <f>IF($A32="","",IFERROR(INDEX('Usage and Coverage'!$C$44:$C$49,MATCH($Q32,'Usage and Coverage'!$B$44:$B$49,0)),"?"))</f>
        <v/>
      </c>
      <c r="BK32" s="97" t="str">
        <f>IF($A32="","",IFERROR(INDEX(Deductibles!$C$6:$I$15,MATCH($W32,Deductibles!$B$6:$B$15,0),MATCH(MAX($J32,'Technical Premium'!$C$18),'Base Rates'!$C$3:$I$3,1)),"?"))</f>
        <v/>
      </c>
      <c r="BL32" s="97" t="str">
        <f>IF($A32="","",IFERROR(INDEX('Usage and Coverage'!$C$63:$C$66,MATCH($X32,'Usage and Coverage'!$B$63:$B$66,0)),"?"))</f>
        <v/>
      </c>
      <c r="BM32" s="97" t="str">
        <f>IF($A32="","",IFERROR(INDEX('Usage and Coverage'!$C$70:$C$75,MATCH($V32,'Usage and Coverage'!$B$70:$B$75,0)),"?"))</f>
        <v/>
      </c>
      <c r="BN32" s="97" t="str">
        <f>IF($A32="","",IF($AB32="",1,IFERROR(INDEX(Deductibles!$C$48:$C$51,MATCH($AB32,Deductibles!$B$48:$B$51,0)),"?")))</f>
        <v/>
      </c>
      <c r="BO32" s="97" t="str">
        <f>IF($A32="","",IF($AC32="",1,IFERROR(INDEX(Deductibles!$C$55:$C$57,MATCH($AC32,Deductibles!$B$55:$B$57,0)),"?")))</f>
        <v/>
      </c>
      <c r="BP32" s="97" t="str">
        <f>IF($A32="","",IF($AD32="",1,IFERROR(INDEX(Deductibles!$C$61:$C$63,MATCH($AD32,Deductibles!$B$61:$B$63,0)),"?")))</f>
        <v/>
      </c>
      <c r="BQ32" s="97" t="str">
        <f>IF($A32="","",IF($AE32="",1,IFERROR(INDEX(Deductibles!$C$67:$C$69,MATCH($AE32,Deductibles!$B$67:$B$69,0)),"?")))</f>
        <v/>
      </c>
      <c r="BR32" s="97" t="str">
        <f>IF($A32="","",IF($AF32="",1,IFERROR(INDEX(Deductibles!$C$73:$C$74,MATCH($AF32,Deductibles!$B$73:$B$74,0)),"?")))</f>
        <v/>
      </c>
      <c r="BS32" s="97" t="str">
        <f>IF($A32="","",IF($AG32="",1,IFERROR(INDEX('Sublimits and Parts'!$C$49:$C$52,MATCH($AG32,'Sublimits and Parts'!$B$49:$B$52,0)),"?")))</f>
        <v/>
      </c>
      <c r="BT32" s="97" t="str">
        <f>IF($A32="","",IF($AH32="",1,IFERROR(INDEX('Sublimits and Parts'!$C$56:$C$60,MATCH($AH32,'Sublimits and Parts'!$B$56:$B$60,0)),"?")))</f>
        <v/>
      </c>
      <c r="BU32" s="97" t="str">
        <f>IF($A32="","",IF($AI32="",1,IFERROR(INDEX('Sublimits and Parts'!$C$64:$C$67,MATCH($AI32,'Sublimits and Parts'!$B$64:$B$67,0)),"?")))</f>
        <v/>
      </c>
      <c r="BV32" s="97" t="str">
        <f>IF($A32="","",IF($AJ32="",1,IFERROR(INDEX('Sublimits and Parts'!$C$71:$C$74,MATCH($AJ32,'Sublimits and Parts'!$B$71:$B$74,0)),"?")))</f>
        <v/>
      </c>
      <c r="BW32" s="97" t="str">
        <f>IF($A32="","",IF($AK32="",1,IFERROR(INDEX('Sublimits and Parts'!$C$78:$C$80,MATCH($AK32,'Sublimits and Parts'!$B$78:$B$80,0)),"?")))</f>
        <v/>
      </c>
      <c r="BX32" s="97" t="str">
        <f>IF($A32="","",IF($AL32="",1,IFERROR(INDEX('Sublimits and Parts'!$C$84:$C$87,MATCH($AL32,'Sublimits and Parts'!$B$84:$B$87,0)),"?")))</f>
        <v/>
      </c>
      <c r="BY32" s="97" t="str">
        <f>IF($A32="","",IF($AM32="",1,IFERROR(INDEX('Sublimits and Parts'!$C$91:$C$94,MATCH($AM32,'Sublimits and Parts'!$B$91:$B$94,0)),"?")))</f>
        <v/>
      </c>
      <c r="BZ32" s="97" t="str">
        <f>IF($A32="","",IF($AN32="",1,IFERROR(INDEX('Sublimits and Parts'!$C$98:$C$101,MATCH($AN32,'Sublimits and Parts'!$B$98:$B$101,0)),"?")))</f>
        <v/>
      </c>
      <c r="CA32" s="97" t="str">
        <f>IF($A32="","",IF($AO32="",1,IFERROR(INDEX('Sublimits and Parts'!$C$105:$C$109,MATCH($AO32,'Sublimits and Parts'!$B$105:$B$109,0)),"?")))</f>
        <v/>
      </c>
      <c r="CB32" s="98" t="str">
        <f t="shared" si="2"/>
        <v/>
      </c>
      <c r="CC32" s="98" t="str">
        <f t="shared" si="3"/>
        <v/>
      </c>
      <c r="CD32" s="101" t="str">
        <f>IF($A32="","",IF(OR($CB32="?",$CC32="?"),"?",MIN($CB32*$CC32,'Technical Premium'!$C$17)))</f>
        <v/>
      </c>
      <c r="CE32" s="100" t="str">
        <f t="shared" si="4"/>
        <v/>
      </c>
      <c r="CF32" s="100" t="str">
        <f>IF($A32="","",IFERROR(INDEX('Territory Factors'!$F$6:$F$56,MATCH($K32,'Territory Factors'!$B$6:$B$56,0)),"?"))</f>
        <v/>
      </c>
      <c r="CG32" s="98" t="str">
        <f>IF($A32="","",IFERROR(INDEX('Usage and Coverage'!$C$79:$C$84,MATCH($Y32,'Usage and Coverage'!$B$79:$B$84,0)),"?"))</f>
        <v/>
      </c>
      <c r="CH32" s="100" t="str">
        <f>IFERROR(IF(ISNUMBER($CD32),$CF32*$CG32*MIN($BG32*$BA32*$BC32*$BD32*$BH32*$BF32,'Technical Premium'!$C$17),""),"")</f>
        <v/>
      </c>
      <c r="CI32" s="100" t="str">
        <f t="shared" si="5"/>
        <v/>
      </c>
      <c r="CJ32" s="100" t="str">
        <f>IFERROR($CI32*(1+'Technical Premium'!$C$5)*(1+'Technical Premium'!$C$6),"")</f>
        <v/>
      </c>
      <c r="CK32" s="100" t="str">
        <f>IFERROR($CE32*INDEX('Territory Factors'!$G$6:$G$56,MATCH($K32,'Territory Factors'!$B$6:$B$56,0))*$AU32*$AV32,"")</f>
        <v/>
      </c>
      <c r="CL32" s="100" t="str">
        <f>IFERROR(($CJ32+$CK32)*(1+'Technical Premium'!$C$7),"")</f>
        <v/>
      </c>
      <c r="CM32" s="102" t="str">
        <f>IFERROR($CL32/'Technical Premium'!$C$13,"")</f>
        <v/>
      </c>
      <c r="CN32" s="103" t="str">
        <f t="shared" si="6"/>
        <v/>
      </c>
      <c r="CO32" s="102" t="str">
        <f t="shared" si="7"/>
        <v/>
      </c>
      <c r="CP32" s="103" t="str">
        <f t="shared" si="8"/>
        <v/>
      </c>
      <c r="CQ32" s="104" t="str">
        <f t="shared" si="9"/>
        <v/>
      </c>
      <c r="CR32" s="100" t="str">
        <f>IF(ISNUMBER($CM32),'Technical Premium'!$C$14+IF($J32&gt;=1000000,'Technical Premium'!$C$15,0),"")</f>
        <v/>
      </c>
      <c r="CS32" s="100" t="str">
        <f>IFERROR(($CO32+$CR32)*(INDEX('Territory Factors'!$K$6:$K$56,MATCH($K32,'Territory Factors'!$B$6:$B$56,0))+'Commission Structure'!$C$21),"")</f>
        <v/>
      </c>
      <c r="CT32" s="102" t="str">
        <f t="shared" si="10"/>
        <v/>
      </c>
      <c r="CU32" s="100" t="str">
        <f>IFERROR($CO32*('Commission Structure'!$C$6+'Commission Structure'!$C$7),"")</f>
        <v/>
      </c>
      <c r="CV32" s="100" t="str">
        <f>IFERROR($CO32*'Commission Structure'!$C$5-$CU32,"")</f>
        <v/>
      </c>
      <c r="CW32" s="100" t="str">
        <f>IFERROR($CO32*(1-'Commission Structure'!$C$5),"")</f>
        <v/>
      </c>
      <c r="CX32" s="105" t="str">
        <f>IF($A32="","",IF(OR($CB32="?",$CC32="?",NOT(ISNUMBER($AU32))),"CHECK INPUTS",IF(OR($J32&lt;'Technical Premium'!$C$18,LEFT(IFERROR(INDEX('Driver Factors'!$D$6:$D$15,MATCH($R32,'Driver Factors'!$B$6:$B$15,0)),""),7)="DECLINE",LEFT(IFERROR(INDEX('Driver Factors'!$D$28:$D$36,MATCH($T32,'Driver Factors'!$B$28:$B$36,0)),""),7)="DECLINE",LEFT(IFERROR(INDEX('Claims History'!$D$6:$D$15,MATCH($U32,'Claims History'!$B$6:$B$15,0)),""),7)="DECLINE",LEFT(IFERROR(INDEX('Usage and Coverage'!$E$6:$E$20,MATCH($N32,'Usage and Coverage'!$C$6:$C$20,0)),""),7)="DECLINE"),"DECLINE",IF(OR($CD32&gt;2.5,$CD32&gt;='Technical Premium'!$C$17,$J32&gt;='Technical Premium'!$C$16,N($AQ32)&lt;'Technical Premium'!$C$19,N($AQ32)&gt;'Technical Premium'!$C$20,LEFT(IFERROR(INDEX('Driver Factors'!$D$6:$D$15,MATCH($R32,'Driver Factors'!$B$6:$B$15,0)),""),5)="Refer",LEFT(IFERROR(INDEX('Driver Factors'!$D$28:$D$36,MATCH($T32,'Driver Factors'!$B$28:$B$36,0)),""),5)="Refer",LEFT(IFERROR(INDEX('Claims History'!$D$6:$D$15,MATCH($U32,'Claims History'!$B$6:$B$15,0)),""),5)="Refer",LEFT(IFERROR(INDEX('Usage and Coverage'!$E$6:$E$20,MATCH($N32,'Usage and Coverage'!$C$6:$C$20,0)),""),5)="Refer"),"REFER","AUTO-BIND"))))</f>
        <v/>
      </c>
      <c r="CY32" s="106" t="str">
        <f t="shared" si="11"/>
        <v/>
      </c>
      <c r="CZ32" s="97" t="str">
        <f>IF($CY32="","",IF($CY32&lt;'Technical Premium'!$C$19,"BEYOND AUTHORITY",IF($CY32&gt;0.005,"Above technical",IF($CY32&lt;-0.005,"BELOW technical","At technical"))))</f>
        <v/>
      </c>
      <c r="DA32" s="97" t="str">
        <f>IF($A32="","",IF($CX32="AUTO-BIND","",TRIM(IF($J32&lt;'Technical Premium'!$C$18,"Below programme minimum agreed value. ","")&amp;IF(N($AQ32)&lt;'Technical Premium'!$C$19,"DISCOUNT AUTHORITY BREACH. ","")&amp;IF(N($AQ32)&gt;'Technical Premium'!$C$20,"Load authority breach. ","")&amp;IF($J32&gt;='Technical Premium'!$C$16,"Agreed value at or above auto-bind limit. ","")&amp;IF(AND(ISNUMBER($CD32),$CD32&gt;='Technical Premium'!$C$17),"Composite factor at cap. ","")&amp;IF(AND(ISNUMBER($CD32),$CD32&gt;2.5),"Composite factor above 2.50. ","")&amp;IF(LEFT(IFERROR(INDEX('Driver Factors'!$D$6:$D$15,MATCH($R32,'Driver Factors'!$B$6:$B$15,0)),""),7)="DECLINE","DECLINE - driver age. ",IF(LEFT(IFERROR(INDEX('Driver Factors'!$D$6:$D$15,MATCH($R32,'Driver Factors'!$B$6:$B$15,0)),""),5)="Refer","Driver age band. ",""))&amp;IF(LEFT(IFERROR(INDEX('Driver Factors'!$D$28:$D$36,MATCH($T32,'Driver Factors'!$B$28:$B$36,0)),""),7)="DECLINE","DECLINE - MVR. ",IF(LEFT(IFERROR(INDEX('Driver Factors'!$D$28:$D$36,MATCH($T32,'Driver Factors'!$B$28:$B$36,0)),""),5)="Refer","MVR record. ",""))&amp;IF(LEFT(IFERROR(INDEX('Claims History'!$D$6:$D$15,MATCH($U32,'Claims History'!$B$6:$B$15,0)),""),7)="DECLINE","DECLINE - claims. ",IF(LEFT(IFERROR(INDEX('Claims History'!$D$6:$D$15,MATCH($U32,'Claims History'!$B$6:$B$15,0)),""),5)="Refer","Claims history. ",""))&amp;IF(LEFT(IFERROR(INDEX('Usage and Coverage'!$E$6:$E$20,MATCH($N32,'Usage and Coverage'!$C$6:$C$20,0)),""),7)="DECLINE","DECLINE - usage class. ",IF(LEFT(IFERROR(INDEX('Usage and Coverage'!$E$6:$E$20,MATCH($N32,'Usage and Coverage'!$C$6:$C$20,0)),""),5)="Refer","Usage class. ",""))&amp;IF($CX32="CHECK INPUTS","Incomplete inputs. ",""))))</f>
        <v/>
      </c>
      <c r="DB32" s="92"/>
      <c r="DC32" s="92"/>
      <c r="DD32" s="93"/>
      <c r="DE32" s="92"/>
      <c r="DF32" s="92"/>
      <c r="DG32" s="97" t="str">
        <f t="shared" si="12"/>
        <v/>
      </c>
      <c r="DH32" s="97" t="str">
        <f>IF($A32="","",IF(OR($CX32="REFER",$CX32="DECLINE"),COUNTIF($CX$5:$CX32,"REFER")+COUNTIF($CX$5:$CX32,"DECLINE"),""))</f>
        <v/>
      </c>
      <c r="DI32" s="92"/>
    </row>
    <row r="33" spans="1:113" x14ac:dyDescent="0.25">
      <c r="A33" s="92"/>
      <c r="B33" s="92"/>
      <c r="C33" s="93"/>
      <c r="D33" s="93"/>
      <c r="E33" s="94"/>
      <c r="F33" s="92"/>
      <c r="G33" s="92"/>
      <c r="H33" s="92"/>
      <c r="I33" s="92"/>
      <c r="J33" s="95"/>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6"/>
      <c r="AR33" s="97" t="str">
        <f t="shared" si="0"/>
        <v/>
      </c>
      <c r="AS33" s="97" t="str">
        <f>IF($A33="","",IF($AP33&lt;&gt;"",$AP33,IFERROR(INDEX('Cat Zone by ZIP'!$D$6:$D$856,MATCH($AR33,'Cat Zone by ZIP'!$B$6:$B$856,0)),IFERROR(INDEX('Cat Zone by ZIP'!$C$860:$C$910,MATCH($K33,'Cat Zone by ZIP'!$B$860:$B$910,0)),"NOT FOUND"))))</f>
        <v/>
      </c>
      <c r="AT33" s="97" t="str">
        <f>IF($A33="","",IF($AP33&lt;&gt;"","Override",IF(ISNUMBER(MATCH($AR33,'Cat Zone by ZIP'!$B$6:$B$856,0)),"ZIP-3","State default")))</f>
        <v/>
      </c>
      <c r="AU33" s="98" t="str">
        <f>IF($A33="","",IFERROR(INDEX('Natural Catastrophe'!$D$6:$D$17,MATCH($AS33,'Natural Catastrophe'!$B$6:$B$17,0)),"?"))</f>
        <v/>
      </c>
      <c r="AV33" s="98" t="str">
        <f>IF($A33="","",IFERROR(INDEX('Natural Catastrophe'!$C$21:$C$26,MATCH($AA33,'Natural Catastrophe'!$B$21:$B$26,0)),"?"))</f>
        <v/>
      </c>
      <c r="AW33" s="97" t="str">
        <f>IF($A33="","",IFERROR(INDEX('Base Rates'!$C$4:$I$4,MATCH(MAX($J33,'Technical Premium'!$C$18),'Base Rates'!$C$3:$I$3,1)),"?"))</f>
        <v/>
      </c>
      <c r="AX33" s="99" t="str">
        <f>IF($A33="","",IFERROR(INDEX('Base Rates'!$C$5:$I$16,MATCH($I33,'Base Rates'!$B$5:$B$16,0),MATCH(MAX($J33,'Technical Premium'!$C$18),'Base Rates'!$C$3:$I$3,1)),"?"))</f>
        <v/>
      </c>
      <c r="AY33" s="100" t="str">
        <f t="shared" si="1"/>
        <v/>
      </c>
      <c r="AZ33" s="97" t="str">
        <f>IF($A33="","",IFERROR(INDEX('Make Factors'!$G$5:$G$69,MATCH($F33,'Make Factors'!$B$5:$B$69,0)),"?"))</f>
        <v/>
      </c>
      <c r="BA33" s="97" t="str">
        <f>IF($A33="","",IFERROR(INDEX('Driver Factors'!$C$6:$C$15,MATCH($R33,'Driver Factors'!$B$6:$B$15,0)),"?"))</f>
        <v/>
      </c>
      <c r="BB33" s="97" t="str">
        <f>IF($A33="","",IFERROR(INDEX('Driver Factors'!$C$19:$C$24,MATCH($S33,'Driver Factors'!$B$19:$B$24,0)),"?"))</f>
        <v/>
      </c>
      <c r="BC33" s="97" t="str">
        <f>IF($A33="","",IFERROR(INDEX('Driver Factors'!$C$28:$C$36,MATCH($T33,'Driver Factors'!$B$28:$B$36,0)),"?"))</f>
        <v/>
      </c>
      <c r="BD33" s="97" t="str">
        <f>IF($A33="","",IFERROR(INDEX('Claims History'!$C$6:$C$15,MATCH($U33,'Claims History'!$B$6:$B$15,0)),"?"))</f>
        <v/>
      </c>
      <c r="BE33" s="97" t="str">
        <f>IF($A33="","",IFERROR(INDEX('Territory Factors'!$E$6:$E$56,MATCH($K33,'Territory Factors'!$B$6:$B$56,0)),"?"))</f>
        <v/>
      </c>
      <c r="BF33" s="97" t="str">
        <f>IF($A33="","",IFERROR(INDEX('City Accident Ratings'!$G$6:$G$54,MATCH($Z33,'City Accident Ratings'!$B$6:$B$54,0)),"?"))</f>
        <v/>
      </c>
      <c r="BG33" s="97" t="str">
        <f>IF($A33="","",IFERROR(INDEX('Usage and Coverage'!$D$6:$D$20,MATCH($N33,'Usage and Coverage'!$C$6:$C$20,0)),"?"))</f>
        <v/>
      </c>
      <c r="BH33" s="97" t="str">
        <f>IF($A33="","",IFERROR(INDEX('Usage and Coverage'!$C$24:$C$30,MATCH($O33,'Usage and Coverage'!$B$24:$B$30,0)),"?"))</f>
        <v/>
      </c>
      <c r="BI33" s="97" t="str">
        <f>IF($A33="","",IFERROR(INDEX('Usage and Coverage'!$C$34:$C$40,MATCH($P33,'Usage and Coverage'!$B$34:$B$40,0)),"?"))</f>
        <v/>
      </c>
      <c r="BJ33" s="97" t="str">
        <f>IF($A33="","",IFERROR(INDEX('Usage and Coverage'!$C$44:$C$49,MATCH($Q33,'Usage and Coverage'!$B$44:$B$49,0)),"?"))</f>
        <v/>
      </c>
      <c r="BK33" s="97" t="str">
        <f>IF($A33="","",IFERROR(INDEX(Deductibles!$C$6:$I$15,MATCH($W33,Deductibles!$B$6:$B$15,0),MATCH(MAX($J33,'Technical Premium'!$C$18),'Base Rates'!$C$3:$I$3,1)),"?"))</f>
        <v/>
      </c>
      <c r="BL33" s="97" t="str">
        <f>IF($A33="","",IFERROR(INDEX('Usage and Coverage'!$C$63:$C$66,MATCH($X33,'Usage and Coverage'!$B$63:$B$66,0)),"?"))</f>
        <v/>
      </c>
      <c r="BM33" s="97" t="str">
        <f>IF($A33="","",IFERROR(INDEX('Usage and Coverage'!$C$70:$C$75,MATCH($V33,'Usage and Coverage'!$B$70:$B$75,0)),"?"))</f>
        <v/>
      </c>
      <c r="BN33" s="97" t="str">
        <f>IF($A33="","",IF($AB33="",1,IFERROR(INDEX(Deductibles!$C$48:$C$51,MATCH($AB33,Deductibles!$B$48:$B$51,0)),"?")))</f>
        <v/>
      </c>
      <c r="BO33" s="97" t="str">
        <f>IF($A33="","",IF($AC33="",1,IFERROR(INDEX(Deductibles!$C$55:$C$57,MATCH($AC33,Deductibles!$B$55:$B$57,0)),"?")))</f>
        <v/>
      </c>
      <c r="BP33" s="97" t="str">
        <f>IF($A33="","",IF($AD33="",1,IFERROR(INDEX(Deductibles!$C$61:$C$63,MATCH($AD33,Deductibles!$B$61:$B$63,0)),"?")))</f>
        <v/>
      </c>
      <c r="BQ33" s="97" t="str">
        <f>IF($A33="","",IF($AE33="",1,IFERROR(INDEX(Deductibles!$C$67:$C$69,MATCH($AE33,Deductibles!$B$67:$B$69,0)),"?")))</f>
        <v/>
      </c>
      <c r="BR33" s="97" t="str">
        <f>IF($A33="","",IF($AF33="",1,IFERROR(INDEX(Deductibles!$C$73:$C$74,MATCH($AF33,Deductibles!$B$73:$B$74,0)),"?")))</f>
        <v/>
      </c>
      <c r="BS33" s="97" t="str">
        <f>IF($A33="","",IF($AG33="",1,IFERROR(INDEX('Sublimits and Parts'!$C$49:$C$52,MATCH($AG33,'Sublimits and Parts'!$B$49:$B$52,0)),"?")))</f>
        <v/>
      </c>
      <c r="BT33" s="97" t="str">
        <f>IF($A33="","",IF($AH33="",1,IFERROR(INDEX('Sublimits and Parts'!$C$56:$C$60,MATCH($AH33,'Sublimits and Parts'!$B$56:$B$60,0)),"?")))</f>
        <v/>
      </c>
      <c r="BU33" s="97" t="str">
        <f>IF($A33="","",IF($AI33="",1,IFERROR(INDEX('Sublimits and Parts'!$C$64:$C$67,MATCH($AI33,'Sublimits and Parts'!$B$64:$B$67,0)),"?")))</f>
        <v/>
      </c>
      <c r="BV33" s="97" t="str">
        <f>IF($A33="","",IF($AJ33="",1,IFERROR(INDEX('Sublimits and Parts'!$C$71:$C$74,MATCH($AJ33,'Sublimits and Parts'!$B$71:$B$74,0)),"?")))</f>
        <v/>
      </c>
      <c r="BW33" s="97" t="str">
        <f>IF($A33="","",IF($AK33="",1,IFERROR(INDEX('Sublimits and Parts'!$C$78:$C$80,MATCH($AK33,'Sublimits and Parts'!$B$78:$B$80,0)),"?")))</f>
        <v/>
      </c>
      <c r="BX33" s="97" t="str">
        <f>IF($A33="","",IF($AL33="",1,IFERROR(INDEX('Sublimits and Parts'!$C$84:$C$87,MATCH($AL33,'Sublimits and Parts'!$B$84:$B$87,0)),"?")))</f>
        <v/>
      </c>
      <c r="BY33" s="97" t="str">
        <f>IF($A33="","",IF($AM33="",1,IFERROR(INDEX('Sublimits and Parts'!$C$91:$C$94,MATCH($AM33,'Sublimits and Parts'!$B$91:$B$94,0)),"?")))</f>
        <v/>
      </c>
      <c r="BZ33" s="97" t="str">
        <f>IF($A33="","",IF($AN33="",1,IFERROR(INDEX('Sublimits and Parts'!$C$98:$C$101,MATCH($AN33,'Sublimits and Parts'!$B$98:$B$101,0)),"?")))</f>
        <v/>
      </c>
      <c r="CA33" s="97" t="str">
        <f>IF($A33="","",IF($AO33="",1,IFERROR(INDEX('Sublimits and Parts'!$C$105:$C$109,MATCH($AO33,'Sublimits and Parts'!$B$105:$B$109,0)),"?")))</f>
        <v/>
      </c>
      <c r="CB33" s="98" t="str">
        <f t="shared" si="2"/>
        <v/>
      </c>
      <c r="CC33" s="98" t="str">
        <f t="shared" si="3"/>
        <v/>
      </c>
      <c r="CD33" s="101" t="str">
        <f>IF($A33="","",IF(OR($CB33="?",$CC33="?"),"?",MIN($CB33*$CC33,'Technical Premium'!$C$17)))</f>
        <v/>
      </c>
      <c r="CE33" s="100" t="str">
        <f t="shared" si="4"/>
        <v/>
      </c>
      <c r="CF33" s="100" t="str">
        <f>IF($A33="","",IFERROR(INDEX('Territory Factors'!$F$6:$F$56,MATCH($K33,'Territory Factors'!$B$6:$B$56,0)),"?"))</f>
        <v/>
      </c>
      <c r="CG33" s="98" t="str">
        <f>IF($A33="","",IFERROR(INDEX('Usage and Coverage'!$C$79:$C$84,MATCH($Y33,'Usage and Coverage'!$B$79:$B$84,0)),"?"))</f>
        <v/>
      </c>
      <c r="CH33" s="100" t="str">
        <f>IFERROR(IF(ISNUMBER($CD33),$CF33*$CG33*MIN($BG33*$BA33*$BC33*$BD33*$BH33*$BF33,'Technical Premium'!$C$17),""),"")</f>
        <v/>
      </c>
      <c r="CI33" s="100" t="str">
        <f t="shared" si="5"/>
        <v/>
      </c>
      <c r="CJ33" s="100" t="str">
        <f>IFERROR($CI33*(1+'Technical Premium'!$C$5)*(1+'Technical Premium'!$C$6),"")</f>
        <v/>
      </c>
      <c r="CK33" s="100" t="str">
        <f>IFERROR($CE33*INDEX('Territory Factors'!$G$6:$G$56,MATCH($K33,'Territory Factors'!$B$6:$B$56,0))*$AU33*$AV33,"")</f>
        <v/>
      </c>
      <c r="CL33" s="100" t="str">
        <f>IFERROR(($CJ33+$CK33)*(1+'Technical Premium'!$C$7),"")</f>
        <v/>
      </c>
      <c r="CM33" s="102" t="str">
        <f>IFERROR($CL33/'Technical Premium'!$C$13,"")</f>
        <v/>
      </c>
      <c r="CN33" s="103" t="str">
        <f t="shared" si="6"/>
        <v/>
      </c>
      <c r="CO33" s="102" t="str">
        <f t="shared" si="7"/>
        <v/>
      </c>
      <c r="CP33" s="103" t="str">
        <f t="shared" si="8"/>
        <v/>
      </c>
      <c r="CQ33" s="104" t="str">
        <f t="shared" si="9"/>
        <v/>
      </c>
      <c r="CR33" s="100" t="str">
        <f>IF(ISNUMBER($CM33),'Technical Premium'!$C$14+IF($J33&gt;=1000000,'Technical Premium'!$C$15,0),"")</f>
        <v/>
      </c>
      <c r="CS33" s="100" t="str">
        <f>IFERROR(($CO33+$CR33)*(INDEX('Territory Factors'!$K$6:$K$56,MATCH($K33,'Territory Factors'!$B$6:$B$56,0))+'Commission Structure'!$C$21),"")</f>
        <v/>
      </c>
      <c r="CT33" s="102" t="str">
        <f t="shared" si="10"/>
        <v/>
      </c>
      <c r="CU33" s="100" t="str">
        <f>IFERROR($CO33*('Commission Structure'!$C$6+'Commission Structure'!$C$7),"")</f>
        <v/>
      </c>
      <c r="CV33" s="100" t="str">
        <f>IFERROR($CO33*'Commission Structure'!$C$5-$CU33,"")</f>
        <v/>
      </c>
      <c r="CW33" s="100" t="str">
        <f>IFERROR($CO33*(1-'Commission Structure'!$C$5),"")</f>
        <v/>
      </c>
      <c r="CX33" s="105" t="str">
        <f>IF($A33="","",IF(OR($CB33="?",$CC33="?",NOT(ISNUMBER($AU33))),"CHECK INPUTS",IF(OR($J33&lt;'Technical Premium'!$C$18,LEFT(IFERROR(INDEX('Driver Factors'!$D$6:$D$15,MATCH($R33,'Driver Factors'!$B$6:$B$15,0)),""),7)="DECLINE",LEFT(IFERROR(INDEX('Driver Factors'!$D$28:$D$36,MATCH($T33,'Driver Factors'!$B$28:$B$36,0)),""),7)="DECLINE",LEFT(IFERROR(INDEX('Claims History'!$D$6:$D$15,MATCH($U33,'Claims History'!$B$6:$B$15,0)),""),7)="DECLINE",LEFT(IFERROR(INDEX('Usage and Coverage'!$E$6:$E$20,MATCH($N33,'Usage and Coverage'!$C$6:$C$20,0)),""),7)="DECLINE"),"DECLINE",IF(OR($CD33&gt;2.5,$CD33&gt;='Technical Premium'!$C$17,$J33&gt;='Technical Premium'!$C$16,N($AQ33)&lt;'Technical Premium'!$C$19,N($AQ33)&gt;'Technical Premium'!$C$20,LEFT(IFERROR(INDEX('Driver Factors'!$D$6:$D$15,MATCH($R33,'Driver Factors'!$B$6:$B$15,0)),""),5)="Refer",LEFT(IFERROR(INDEX('Driver Factors'!$D$28:$D$36,MATCH($T33,'Driver Factors'!$B$28:$B$36,0)),""),5)="Refer",LEFT(IFERROR(INDEX('Claims History'!$D$6:$D$15,MATCH($U33,'Claims History'!$B$6:$B$15,0)),""),5)="Refer",LEFT(IFERROR(INDEX('Usage and Coverage'!$E$6:$E$20,MATCH($N33,'Usage and Coverage'!$C$6:$C$20,0)),""),5)="Refer"),"REFER","AUTO-BIND"))))</f>
        <v/>
      </c>
      <c r="CY33" s="106" t="str">
        <f t="shared" si="11"/>
        <v/>
      </c>
      <c r="CZ33" s="97" t="str">
        <f>IF($CY33="","",IF($CY33&lt;'Technical Premium'!$C$19,"BEYOND AUTHORITY",IF($CY33&gt;0.005,"Above technical",IF($CY33&lt;-0.005,"BELOW technical","At technical"))))</f>
        <v/>
      </c>
      <c r="DA33" s="97" t="str">
        <f>IF($A33="","",IF($CX33="AUTO-BIND","",TRIM(IF($J33&lt;'Technical Premium'!$C$18,"Below programme minimum agreed value. ","")&amp;IF(N($AQ33)&lt;'Technical Premium'!$C$19,"DISCOUNT AUTHORITY BREACH. ","")&amp;IF(N($AQ33)&gt;'Technical Premium'!$C$20,"Load authority breach. ","")&amp;IF($J33&gt;='Technical Premium'!$C$16,"Agreed value at or above auto-bind limit. ","")&amp;IF(AND(ISNUMBER($CD33),$CD33&gt;='Technical Premium'!$C$17),"Composite factor at cap. ","")&amp;IF(AND(ISNUMBER($CD33),$CD33&gt;2.5),"Composite factor above 2.50. ","")&amp;IF(LEFT(IFERROR(INDEX('Driver Factors'!$D$6:$D$15,MATCH($R33,'Driver Factors'!$B$6:$B$15,0)),""),7)="DECLINE","DECLINE - driver age. ",IF(LEFT(IFERROR(INDEX('Driver Factors'!$D$6:$D$15,MATCH($R33,'Driver Factors'!$B$6:$B$15,0)),""),5)="Refer","Driver age band. ",""))&amp;IF(LEFT(IFERROR(INDEX('Driver Factors'!$D$28:$D$36,MATCH($T33,'Driver Factors'!$B$28:$B$36,0)),""),7)="DECLINE","DECLINE - MVR. ",IF(LEFT(IFERROR(INDEX('Driver Factors'!$D$28:$D$36,MATCH($T33,'Driver Factors'!$B$28:$B$36,0)),""),5)="Refer","MVR record. ",""))&amp;IF(LEFT(IFERROR(INDEX('Claims History'!$D$6:$D$15,MATCH($U33,'Claims History'!$B$6:$B$15,0)),""),7)="DECLINE","DECLINE - claims. ",IF(LEFT(IFERROR(INDEX('Claims History'!$D$6:$D$15,MATCH($U33,'Claims History'!$B$6:$B$15,0)),""),5)="Refer","Claims history. ",""))&amp;IF(LEFT(IFERROR(INDEX('Usage and Coverage'!$E$6:$E$20,MATCH($N33,'Usage and Coverage'!$C$6:$C$20,0)),""),7)="DECLINE","DECLINE - usage class. ",IF(LEFT(IFERROR(INDEX('Usage and Coverage'!$E$6:$E$20,MATCH($N33,'Usage and Coverage'!$C$6:$C$20,0)),""),5)="Refer","Usage class. ",""))&amp;IF($CX33="CHECK INPUTS","Incomplete inputs. ",""))))</f>
        <v/>
      </c>
      <c r="DB33" s="92"/>
      <c r="DC33" s="92"/>
      <c r="DD33" s="93"/>
      <c r="DE33" s="92"/>
      <c r="DF33" s="92"/>
      <c r="DG33" s="97" t="str">
        <f t="shared" si="12"/>
        <v/>
      </c>
      <c r="DH33" s="97" t="str">
        <f>IF($A33="","",IF(OR($CX33="REFER",$CX33="DECLINE"),COUNTIF($CX$5:$CX33,"REFER")+COUNTIF($CX$5:$CX33,"DECLINE"),""))</f>
        <v/>
      </c>
      <c r="DI33" s="92"/>
    </row>
    <row r="34" spans="1:113" x14ac:dyDescent="0.25">
      <c r="A34" s="92"/>
      <c r="B34" s="92"/>
      <c r="C34" s="93"/>
      <c r="D34" s="93"/>
      <c r="E34" s="94"/>
      <c r="F34" s="92"/>
      <c r="G34" s="92"/>
      <c r="H34" s="92"/>
      <c r="I34" s="92"/>
      <c r="J34" s="95"/>
      <c r="K34" s="9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6"/>
      <c r="AR34" s="97" t="str">
        <f t="shared" si="0"/>
        <v/>
      </c>
      <c r="AS34" s="97" t="str">
        <f>IF($A34="","",IF($AP34&lt;&gt;"",$AP34,IFERROR(INDEX('Cat Zone by ZIP'!$D$6:$D$856,MATCH($AR34,'Cat Zone by ZIP'!$B$6:$B$856,0)),IFERROR(INDEX('Cat Zone by ZIP'!$C$860:$C$910,MATCH($K34,'Cat Zone by ZIP'!$B$860:$B$910,0)),"NOT FOUND"))))</f>
        <v/>
      </c>
      <c r="AT34" s="97" t="str">
        <f>IF($A34="","",IF($AP34&lt;&gt;"","Override",IF(ISNUMBER(MATCH($AR34,'Cat Zone by ZIP'!$B$6:$B$856,0)),"ZIP-3","State default")))</f>
        <v/>
      </c>
      <c r="AU34" s="98" t="str">
        <f>IF($A34="","",IFERROR(INDEX('Natural Catastrophe'!$D$6:$D$17,MATCH($AS34,'Natural Catastrophe'!$B$6:$B$17,0)),"?"))</f>
        <v/>
      </c>
      <c r="AV34" s="98" t="str">
        <f>IF($A34="","",IFERROR(INDEX('Natural Catastrophe'!$C$21:$C$26,MATCH($AA34,'Natural Catastrophe'!$B$21:$B$26,0)),"?"))</f>
        <v/>
      </c>
      <c r="AW34" s="97" t="str">
        <f>IF($A34="","",IFERROR(INDEX('Base Rates'!$C$4:$I$4,MATCH(MAX($J34,'Technical Premium'!$C$18),'Base Rates'!$C$3:$I$3,1)),"?"))</f>
        <v/>
      </c>
      <c r="AX34" s="99" t="str">
        <f>IF($A34="","",IFERROR(INDEX('Base Rates'!$C$5:$I$16,MATCH($I34,'Base Rates'!$B$5:$B$16,0),MATCH(MAX($J34,'Technical Premium'!$C$18),'Base Rates'!$C$3:$I$3,1)),"?"))</f>
        <v/>
      </c>
      <c r="AY34" s="100" t="str">
        <f t="shared" si="1"/>
        <v/>
      </c>
      <c r="AZ34" s="97" t="str">
        <f>IF($A34="","",IFERROR(INDEX('Make Factors'!$G$5:$G$69,MATCH($F34,'Make Factors'!$B$5:$B$69,0)),"?"))</f>
        <v/>
      </c>
      <c r="BA34" s="97" t="str">
        <f>IF($A34="","",IFERROR(INDEX('Driver Factors'!$C$6:$C$15,MATCH($R34,'Driver Factors'!$B$6:$B$15,0)),"?"))</f>
        <v/>
      </c>
      <c r="BB34" s="97" t="str">
        <f>IF($A34="","",IFERROR(INDEX('Driver Factors'!$C$19:$C$24,MATCH($S34,'Driver Factors'!$B$19:$B$24,0)),"?"))</f>
        <v/>
      </c>
      <c r="BC34" s="97" t="str">
        <f>IF($A34="","",IFERROR(INDEX('Driver Factors'!$C$28:$C$36,MATCH($T34,'Driver Factors'!$B$28:$B$36,0)),"?"))</f>
        <v/>
      </c>
      <c r="BD34" s="97" t="str">
        <f>IF($A34="","",IFERROR(INDEX('Claims History'!$C$6:$C$15,MATCH($U34,'Claims History'!$B$6:$B$15,0)),"?"))</f>
        <v/>
      </c>
      <c r="BE34" s="97" t="str">
        <f>IF($A34="","",IFERROR(INDEX('Territory Factors'!$E$6:$E$56,MATCH($K34,'Territory Factors'!$B$6:$B$56,0)),"?"))</f>
        <v/>
      </c>
      <c r="BF34" s="97" t="str">
        <f>IF($A34="","",IFERROR(INDEX('City Accident Ratings'!$G$6:$G$54,MATCH($Z34,'City Accident Ratings'!$B$6:$B$54,0)),"?"))</f>
        <v/>
      </c>
      <c r="BG34" s="97" t="str">
        <f>IF($A34="","",IFERROR(INDEX('Usage and Coverage'!$D$6:$D$20,MATCH($N34,'Usage and Coverage'!$C$6:$C$20,0)),"?"))</f>
        <v/>
      </c>
      <c r="BH34" s="97" t="str">
        <f>IF($A34="","",IFERROR(INDEX('Usage and Coverage'!$C$24:$C$30,MATCH($O34,'Usage and Coverage'!$B$24:$B$30,0)),"?"))</f>
        <v/>
      </c>
      <c r="BI34" s="97" t="str">
        <f>IF($A34="","",IFERROR(INDEX('Usage and Coverage'!$C$34:$C$40,MATCH($P34,'Usage and Coverage'!$B$34:$B$40,0)),"?"))</f>
        <v/>
      </c>
      <c r="BJ34" s="97" t="str">
        <f>IF($A34="","",IFERROR(INDEX('Usage and Coverage'!$C$44:$C$49,MATCH($Q34,'Usage and Coverage'!$B$44:$B$49,0)),"?"))</f>
        <v/>
      </c>
      <c r="BK34" s="97" t="str">
        <f>IF($A34="","",IFERROR(INDEX(Deductibles!$C$6:$I$15,MATCH($W34,Deductibles!$B$6:$B$15,0),MATCH(MAX($J34,'Technical Premium'!$C$18),'Base Rates'!$C$3:$I$3,1)),"?"))</f>
        <v/>
      </c>
      <c r="BL34" s="97" t="str">
        <f>IF($A34="","",IFERROR(INDEX('Usage and Coverage'!$C$63:$C$66,MATCH($X34,'Usage and Coverage'!$B$63:$B$66,0)),"?"))</f>
        <v/>
      </c>
      <c r="BM34" s="97" t="str">
        <f>IF($A34="","",IFERROR(INDEX('Usage and Coverage'!$C$70:$C$75,MATCH($V34,'Usage and Coverage'!$B$70:$B$75,0)),"?"))</f>
        <v/>
      </c>
      <c r="BN34" s="97" t="str">
        <f>IF($A34="","",IF($AB34="",1,IFERROR(INDEX(Deductibles!$C$48:$C$51,MATCH($AB34,Deductibles!$B$48:$B$51,0)),"?")))</f>
        <v/>
      </c>
      <c r="BO34" s="97" t="str">
        <f>IF($A34="","",IF($AC34="",1,IFERROR(INDEX(Deductibles!$C$55:$C$57,MATCH($AC34,Deductibles!$B$55:$B$57,0)),"?")))</f>
        <v/>
      </c>
      <c r="BP34" s="97" t="str">
        <f>IF($A34="","",IF($AD34="",1,IFERROR(INDEX(Deductibles!$C$61:$C$63,MATCH($AD34,Deductibles!$B$61:$B$63,0)),"?")))</f>
        <v/>
      </c>
      <c r="BQ34" s="97" t="str">
        <f>IF($A34="","",IF($AE34="",1,IFERROR(INDEX(Deductibles!$C$67:$C$69,MATCH($AE34,Deductibles!$B$67:$B$69,0)),"?")))</f>
        <v/>
      </c>
      <c r="BR34" s="97" t="str">
        <f>IF($A34="","",IF($AF34="",1,IFERROR(INDEX(Deductibles!$C$73:$C$74,MATCH($AF34,Deductibles!$B$73:$B$74,0)),"?")))</f>
        <v/>
      </c>
      <c r="BS34" s="97" t="str">
        <f>IF($A34="","",IF($AG34="",1,IFERROR(INDEX('Sublimits and Parts'!$C$49:$C$52,MATCH($AG34,'Sublimits and Parts'!$B$49:$B$52,0)),"?")))</f>
        <v/>
      </c>
      <c r="BT34" s="97" t="str">
        <f>IF($A34="","",IF($AH34="",1,IFERROR(INDEX('Sublimits and Parts'!$C$56:$C$60,MATCH($AH34,'Sublimits and Parts'!$B$56:$B$60,0)),"?")))</f>
        <v/>
      </c>
      <c r="BU34" s="97" t="str">
        <f>IF($A34="","",IF($AI34="",1,IFERROR(INDEX('Sublimits and Parts'!$C$64:$C$67,MATCH($AI34,'Sublimits and Parts'!$B$64:$B$67,0)),"?")))</f>
        <v/>
      </c>
      <c r="BV34" s="97" t="str">
        <f>IF($A34="","",IF($AJ34="",1,IFERROR(INDEX('Sublimits and Parts'!$C$71:$C$74,MATCH($AJ34,'Sublimits and Parts'!$B$71:$B$74,0)),"?")))</f>
        <v/>
      </c>
      <c r="BW34" s="97" t="str">
        <f>IF($A34="","",IF($AK34="",1,IFERROR(INDEX('Sublimits and Parts'!$C$78:$C$80,MATCH($AK34,'Sublimits and Parts'!$B$78:$B$80,0)),"?")))</f>
        <v/>
      </c>
      <c r="BX34" s="97" t="str">
        <f>IF($A34="","",IF($AL34="",1,IFERROR(INDEX('Sublimits and Parts'!$C$84:$C$87,MATCH($AL34,'Sublimits and Parts'!$B$84:$B$87,0)),"?")))</f>
        <v/>
      </c>
      <c r="BY34" s="97" t="str">
        <f>IF($A34="","",IF($AM34="",1,IFERROR(INDEX('Sublimits and Parts'!$C$91:$C$94,MATCH($AM34,'Sublimits and Parts'!$B$91:$B$94,0)),"?")))</f>
        <v/>
      </c>
      <c r="BZ34" s="97" t="str">
        <f>IF($A34="","",IF($AN34="",1,IFERROR(INDEX('Sublimits and Parts'!$C$98:$C$101,MATCH($AN34,'Sublimits and Parts'!$B$98:$B$101,0)),"?")))</f>
        <v/>
      </c>
      <c r="CA34" s="97" t="str">
        <f>IF($A34="","",IF($AO34="",1,IFERROR(INDEX('Sublimits and Parts'!$C$105:$C$109,MATCH($AO34,'Sublimits and Parts'!$B$105:$B$109,0)),"?")))</f>
        <v/>
      </c>
      <c r="CB34" s="98" t="str">
        <f t="shared" si="2"/>
        <v/>
      </c>
      <c r="CC34" s="98" t="str">
        <f t="shared" si="3"/>
        <v/>
      </c>
      <c r="CD34" s="101" t="str">
        <f>IF($A34="","",IF(OR($CB34="?",$CC34="?"),"?",MIN($CB34*$CC34,'Technical Premium'!$C$17)))</f>
        <v/>
      </c>
      <c r="CE34" s="100" t="str">
        <f t="shared" si="4"/>
        <v/>
      </c>
      <c r="CF34" s="100" t="str">
        <f>IF($A34="","",IFERROR(INDEX('Territory Factors'!$F$6:$F$56,MATCH($K34,'Territory Factors'!$B$6:$B$56,0)),"?"))</f>
        <v/>
      </c>
      <c r="CG34" s="98" t="str">
        <f>IF($A34="","",IFERROR(INDEX('Usage and Coverage'!$C$79:$C$84,MATCH($Y34,'Usage and Coverage'!$B$79:$B$84,0)),"?"))</f>
        <v/>
      </c>
      <c r="CH34" s="100" t="str">
        <f>IFERROR(IF(ISNUMBER($CD34),$CF34*$CG34*MIN($BG34*$BA34*$BC34*$BD34*$BH34*$BF34,'Technical Premium'!$C$17),""),"")</f>
        <v/>
      </c>
      <c r="CI34" s="100" t="str">
        <f t="shared" si="5"/>
        <v/>
      </c>
      <c r="CJ34" s="100" t="str">
        <f>IFERROR($CI34*(1+'Technical Premium'!$C$5)*(1+'Technical Premium'!$C$6),"")</f>
        <v/>
      </c>
      <c r="CK34" s="100" t="str">
        <f>IFERROR($CE34*INDEX('Territory Factors'!$G$6:$G$56,MATCH($K34,'Territory Factors'!$B$6:$B$56,0))*$AU34*$AV34,"")</f>
        <v/>
      </c>
      <c r="CL34" s="100" t="str">
        <f>IFERROR(($CJ34+$CK34)*(1+'Technical Premium'!$C$7),"")</f>
        <v/>
      </c>
      <c r="CM34" s="102" t="str">
        <f>IFERROR($CL34/'Technical Premium'!$C$13,"")</f>
        <v/>
      </c>
      <c r="CN34" s="103" t="str">
        <f t="shared" si="6"/>
        <v/>
      </c>
      <c r="CO34" s="102" t="str">
        <f t="shared" si="7"/>
        <v/>
      </c>
      <c r="CP34" s="103" t="str">
        <f t="shared" si="8"/>
        <v/>
      </c>
      <c r="CQ34" s="104" t="str">
        <f t="shared" si="9"/>
        <v/>
      </c>
      <c r="CR34" s="100" t="str">
        <f>IF(ISNUMBER($CM34),'Technical Premium'!$C$14+IF($J34&gt;=1000000,'Technical Premium'!$C$15,0),"")</f>
        <v/>
      </c>
      <c r="CS34" s="100" t="str">
        <f>IFERROR(($CO34+$CR34)*(INDEX('Territory Factors'!$K$6:$K$56,MATCH($K34,'Territory Factors'!$B$6:$B$56,0))+'Commission Structure'!$C$21),"")</f>
        <v/>
      </c>
      <c r="CT34" s="102" t="str">
        <f t="shared" si="10"/>
        <v/>
      </c>
      <c r="CU34" s="100" t="str">
        <f>IFERROR($CO34*('Commission Structure'!$C$6+'Commission Structure'!$C$7),"")</f>
        <v/>
      </c>
      <c r="CV34" s="100" t="str">
        <f>IFERROR($CO34*'Commission Structure'!$C$5-$CU34,"")</f>
        <v/>
      </c>
      <c r="CW34" s="100" t="str">
        <f>IFERROR($CO34*(1-'Commission Structure'!$C$5),"")</f>
        <v/>
      </c>
      <c r="CX34" s="105" t="str">
        <f>IF($A34="","",IF(OR($CB34="?",$CC34="?",NOT(ISNUMBER($AU34))),"CHECK INPUTS",IF(OR($J34&lt;'Technical Premium'!$C$18,LEFT(IFERROR(INDEX('Driver Factors'!$D$6:$D$15,MATCH($R34,'Driver Factors'!$B$6:$B$15,0)),""),7)="DECLINE",LEFT(IFERROR(INDEX('Driver Factors'!$D$28:$D$36,MATCH($T34,'Driver Factors'!$B$28:$B$36,0)),""),7)="DECLINE",LEFT(IFERROR(INDEX('Claims History'!$D$6:$D$15,MATCH($U34,'Claims History'!$B$6:$B$15,0)),""),7)="DECLINE",LEFT(IFERROR(INDEX('Usage and Coverage'!$E$6:$E$20,MATCH($N34,'Usage and Coverage'!$C$6:$C$20,0)),""),7)="DECLINE"),"DECLINE",IF(OR($CD34&gt;2.5,$CD34&gt;='Technical Premium'!$C$17,$J34&gt;='Technical Premium'!$C$16,N($AQ34)&lt;'Technical Premium'!$C$19,N($AQ34)&gt;'Technical Premium'!$C$20,LEFT(IFERROR(INDEX('Driver Factors'!$D$6:$D$15,MATCH($R34,'Driver Factors'!$B$6:$B$15,0)),""),5)="Refer",LEFT(IFERROR(INDEX('Driver Factors'!$D$28:$D$36,MATCH($T34,'Driver Factors'!$B$28:$B$36,0)),""),5)="Refer",LEFT(IFERROR(INDEX('Claims History'!$D$6:$D$15,MATCH($U34,'Claims History'!$B$6:$B$15,0)),""),5)="Refer",LEFT(IFERROR(INDEX('Usage and Coverage'!$E$6:$E$20,MATCH($N34,'Usage and Coverage'!$C$6:$C$20,0)),""),5)="Refer"),"REFER","AUTO-BIND"))))</f>
        <v/>
      </c>
      <c r="CY34" s="106" t="str">
        <f t="shared" si="11"/>
        <v/>
      </c>
      <c r="CZ34" s="97" t="str">
        <f>IF($CY34="","",IF($CY34&lt;'Technical Premium'!$C$19,"BEYOND AUTHORITY",IF($CY34&gt;0.005,"Above technical",IF($CY34&lt;-0.005,"BELOW technical","At technical"))))</f>
        <v/>
      </c>
      <c r="DA34" s="97" t="str">
        <f>IF($A34="","",IF($CX34="AUTO-BIND","",TRIM(IF($J34&lt;'Technical Premium'!$C$18,"Below programme minimum agreed value. ","")&amp;IF(N($AQ34)&lt;'Technical Premium'!$C$19,"DISCOUNT AUTHORITY BREACH. ","")&amp;IF(N($AQ34)&gt;'Technical Premium'!$C$20,"Load authority breach. ","")&amp;IF($J34&gt;='Technical Premium'!$C$16,"Agreed value at or above auto-bind limit. ","")&amp;IF(AND(ISNUMBER($CD34),$CD34&gt;='Technical Premium'!$C$17),"Composite factor at cap. ","")&amp;IF(AND(ISNUMBER($CD34),$CD34&gt;2.5),"Composite factor above 2.50. ","")&amp;IF(LEFT(IFERROR(INDEX('Driver Factors'!$D$6:$D$15,MATCH($R34,'Driver Factors'!$B$6:$B$15,0)),""),7)="DECLINE","DECLINE - driver age. ",IF(LEFT(IFERROR(INDEX('Driver Factors'!$D$6:$D$15,MATCH($R34,'Driver Factors'!$B$6:$B$15,0)),""),5)="Refer","Driver age band. ",""))&amp;IF(LEFT(IFERROR(INDEX('Driver Factors'!$D$28:$D$36,MATCH($T34,'Driver Factors'!$B$28:$B$36,0)),""),7)="DECLINE","DECLINE - MVR. ",IF(LEFT(IFERROR(INDEX('Driver Factors'!$D$28:$D$36,MATCH($T34,'Driver Factors'!$B$28:$B$36,0)),""),5)="Refer","MVR record. ",""))&amp;IF(LEFT(IFERROR(INDEX('Claims History'!$D$6:$D$15,MATCH($U34,'Claims History'!$B$6:$B$15,0)),""),7)="DECLINE","DECLINE - claims. ",IF(LEFT(IFERROR(INDEX('Claims History'!$D$6:$D$15,MATCH($U34,'Claims History'!$B$6:$B$15,0)),""),5)="Refer","Claims history. ",""))&amp;IF(LEFT(IFERROR(INDEX('Usage and Coverage'!$E$6:$E$20,MATCH($N34,'Usage and Coverage'!$C$6:$C$20,0)),""),7)="DECLINE","DECLINE - usage class. ",IF(LEFT(IFERROR(INDEX('Usage and Coverage'!$E$6:$E$20,MATCH($N34,'Usage and Coverage'!$C$6:$C$20,0)),""),5)="Refer","Usage class. ",""))&amp;IF($CX34="CHECK INPUTS","Incomplete inputs. ",""))))</f>
        <v/>
      </c>
      <c r="DB34" s="92"/>
      <c r="DC34" s="92"/>
      <c r="DD34" s="93"/>
      <c r="DE34" s="92"/>
      <c r="DF34" s="92"/>
      <c r="DG34" s="97" t="str">
        <f t="shared" si="12"/>
        <v/>
      </c>
      <c r="DH34" s="97" t="str">
        <f>IF($A34="","",IF(OR($CX34="REFER",$CX34="DECLINE"),COUNTIF($CX$5:$CX34,"REFER")+COUNTIF($CX$5:$CX34,"DECLINE"),""))</f>
        <v/>
      </c>
      <c r="DI34" s="92"/>
    </row>
    <row r="35" spans="1:113" x14ac:dyDescent="0.25">
      <c r="A35" s="92"/>
      <c r="B35" s="92"/>
      <c r="C35" s="93"/>
      <c r="D35" s="93"/>
      <c r="E35" s="94"/>
      <c r="F35" s="92"/>
      <c r="G35" s="92"/>
      <c r="H35" s="92"/>
      <c r="I35" s="92"/>
      <c r="J35" s="95"/>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6"/>
      <c r="AR35" s="97" t="str">
        <f t="shared" si="0"/>
        <v/>
      </c>
      <c r="AS35" s="97" t="str">
        <f>IF($A35="","",IF($AP35&lt;&gt;"",$AP35,IFERROR(INDEX('Cat Zone by ZIP'!$D$6:$D$856,MATCH($AR35,'Cat Zone by ZIP'!$B$6:$B$856,0)),IFERROR(INDEX('Cat Zone by ZIP'!$C$860:$C$910,MATCH($K35,'Cat Zone by ZIP'!$B$860:$B$910,0)),"NOT FOUND"))))</f>
        <v/>
      </c>
      <c r="AT35" s="97" t="str">
        <f>IF($A35="","",IF($AP35&lt;&gt;"","Override",IF(ISNUMBER(MATCH($AR35,'Cat Zone by ZIP'!$B$6:$B$856,0)),"ZIP-3","State default")))</f>
        <v/>
      </c>
      <c r="AU35" s="98" t="str">
        <f>IF($A35="","",IFERROR(INDEX('Natural Catastrophe'!$D$6:$D$17,MATCH($AS35,'Natural Catastrophe'!$B$6:$B$17,0)),"?"))</f>
        <v/>
      </c>
      <c r="AV35" s="98" t="str">
        <f>IF($A35="","",IFERROR(INDEX('Natural Catastrophe'!$C$21:$C$26,MATCH($AA35,'Natural Catastrophe'!$B$21:$B$26,0)),"?"))</f>
        <v/>
      </c>
      <c r="AW35" s="97" t="str">
        <f>IF($A35="","",IFERROR(INDEX('Base Rates'!$C$4:$I$4,MATCH(MAX($J35,'Technical Premium'!$C$18),'Base Rates'!$C$3:$I$3,1)),"?"))</f>
        <v/>
      </c>
      <c r="AX35" s="99" t="str">
        <f>IF($A35="","",IFERROR(INDEX('Base Rates'!$C$5:$I$16,MATCH($I35,'Base Rates'!$B$5:$B$16,0),MATCH(MAX($J35,'Technical Premium'!$C$18),'Base Rates'!$C$3:$I$3,1)),"?"))</f>
        <v/>
      </c>
      <c r="AY35" s="100" t="str">
        <f t="shared" si="1"/>
        <v/>
      </c>
      <c r="AZ35" s="97" t="str">
        <f>IF($A35="","",IFERROR(INDEX('Make Factors'!$G$5:$G$69,MATCH($F35,'Make Factors'!$B$5:$B$69,0)),"?"))</f>
        <v/>
      </c>
      <c r="BA35" s="97" t="str">
        <f>IF($A35="","",IFERROR(INDEX('Driver Factors'!$C$6:$C$15,MATCH($R35,'Driver Factors'!$B$6:$B$15,0)),"?"))</f>
        <v/>
      </c>
      <c r="BB35" s="97" t="str">
        <f>IF($A35="","",IFERROR(INDEX('Driver Factors'!$C$19:$C$24,MATCH($S35,'Driver Factors'!$B$19:$B$24,0)),"?"))</f>
        <v/>
      </c>
      <c r="BC35" s="97" t="str">
        <f>IF($A35="","",IFERROR(INDEX('Driver Factors'!$C$28:$C$36,MATCH($T35,'Driver Factors'!$B$28:$B$36,0)),"?"))</f>
        <v/>
      </c>
      <c r="BD35" s="97" t="str">
        <f>IF($A35="","",IFERROR(INDEX('Claims History'!$C$6:$C$15,MATCH($U35,'Claims History'!$B$6:$B$15,0)),"?"))</f>
        <v/>
      </c>
      <c r="BE35" s="97" t="str">
        <f>IF($A35="","",IFERROR(INDEX('Territory Factors'!$E$6:$E$56,MATCH($K35,'Territory Factors'!$B$6:$B$56,0)),"?"))</f>
        <v/>
      </c>
      <c r="BF35" s="97" t="str">
        <f>IF($A35="","",IFERROR(INDEX('City Accident Ratings'!$G$6:$G$54,MATCH($Z35,'City Accident Ratings'!$B$6:$B$54,0)),"?"))</f>
        <v/>
      </c>
      <c r="BG35" s="97" t="str">
        <f>IF($A35="","",IFERROR(INDEX('Usage and Coverage'!$D$6:$D$20,MATCH($N35,'Usage and Coverage'!$C$6:$C$20,0)),"?"))</f>
        <v/>
      </c>
      <c r="BH35" s="97" t="str">
        <f>IF($A35="","",IFERROR(INDEX('Usage and Coverage'!$C$24:$C$30,MATCH($O35,'Usage and Coverage'!$B$24:$B$30,0)),"?"))</f>
        <v/>
      </c>
      <c r="BI35" s="97" t="str">
        <f>IF($A35="","",IFERROR(INDEX('Usage and Coverage'!$C$34:$C$40,MATCH($P35,'Usage and Coverage'!$B$34:$B$40,0)),"?"))</f>
        <v/>
      </c>
      <c r="BJ35" s="97" t="str">
        <f>IF($A35="","",IFERROR(INDEX('Usage and Coverage'!$C$44:$C$49,MATCH($Q35,'Usage and Coverage'!$B$44:$B$49,0)),"?"))</f>
        <v/>
      </c>
      <c r="BK35" s="97" t="str">
        <f>IF($A35="","",IFERROR(INDEX(Deductibles!$C$6:$I$15,MATCH($W35,Deductibles!$B$6:$B$15,0),MATCH(MAX($J35,'Technical Premium'!$C$18),'Base Rates'!$C$3:$I$3,1)),"?"))</f>
        <v/>
      </c>
      <c r="BL35" s="97" t="str">
        <f>IF($A35="","",IFERROR(INDEX('Usage and Coverage'!$C$63:$C$66,MATCH($X35,'Usage and Coverage'!$B$63:$B$66,0)),"?"))</f>
        <v/>
      </c>
      <c r="BM35" s="97" t="str">
        <f>IF($A35="","",IFERROR(INDEX('Usage and Coverage'!$C$70:$C$75,MATCH($V35,'Usage and Coverage'!$B$70:$B$75,0)),"?"))</f>
        <v/>
      </c>
      <c r="BN35" s="97" t="str">
        <f>IF($A35="","",IF($AB35="",1,IFERROR(INDEX(Deductibles!$C$48:$C$51,MATCH($AB35,Deductibles!$B$48:$B$51,0)),"?")))</f>
        <v/>
      </c>
      <c r="BO35" s="97" t="str">
        <f>IF($A35="","",IF($AC35="",1,IFERROR(INDEX(Deductibles!$C$55:$C$57,MATCH($AC35,Deductibles!$B$55:$B$57,0)),"?")))</f>
        <v/>
      </c>
      <c r="BP35" s="97" t="str">
        <f>IF($A35="","",IF($AD35="",1,IFERROR(INDEX(Deductibles!$C$61:$C$63,MATCH($AD35,Deductibles!$B$61:$B$63,0)),"?")))</f>
        <v/>
      </c>
      <c r="BQ35" s="97" t="str">
        <f>IF($A35="","",IF($AE35="",1,IFERROR(INDEX(Deductibles!$C$67:$C$69,MATCH($AE35,Deductibles!$B$67:$B$69,0)),"?")))</f>
        <v/>
      </c>
      <c r="BR35" s="97" t="str">
        <f>IF($A35="","",IF($AF35="",1,IFERROR(INDEX(Deductibles!$C$73:$C$74,MATCH($AF35,Deductibles!$B$73:$B$74,0)),"?")))</f>
        <v/>
      </c>
      <c r="BS35" s="97" t="str">
        <f>IF($A35="","",IF($AG35="",1,IFERROR(INDEX('Sublimits and Parts'!$C$49:$C$52,MATCH($AG35,'Sublimits and Parts'!$B$49:$B$52,0)),"?")))</f>
        <v/>
      </c>
      <c r="BT35" s="97" t="str">
        <f>IF($A35="","",IF($AH35="",1,IFERROR(INDEX('Sublimits and Parts'!$C$56:$C$60,MATCH($AH35,'Sublimits and Parts'!$B$56:$B$60,0)),"?")))</f>
        <v/>
      </c>
      <c r="BU35" s="97" t="str">
        <f>IF($A35="","",IF($AI35="",1,IFERROR(INDEX('Sublimits and Parts'!$C$64:$C$67,MATCH($AI35,'Sublimits and Parts'!$B$64:$B$67,0)),"?")))</f>
        <v/>
      </c>
      <c r="BV35" s="97" t="str">
        <f>IF($A35="","",IF($AJ35="",1,IFERROR(INDEX('Sublimits and Parts'!$C$71:$C$74,MATCH($AJ35,'Sublimits and Parts'!$B$71:$B$74,0)),"?")))</f>
        <v/>
      </c>
      <c r="BW35" s="97" t="str">
        <f>IF($A35="","",IF($AK35="",1,IFERROR(INDEX('Sublimits and Parts'!$C$78:$C$80,MATCH($AK35,'Sublimits and Parts'!$B$78:$B$80,0)),"?")))</f>
        <v/>
      </c>
      <c r="BX35" s="97" t="str">
        <f>IF($A35="","",IF($AL35="",1,IFERROR(INDEX('Sublimits and Parts'!$C$84:$C$87,MATCH($AL35,'Sublimits and Parts'!$B$84:$B$87,0)),"?")))</f>
        <v/>
      </c>
      <c r="BY35" s="97" t="str">
        <f>IF($A35="","",IF($AM35="",1,IFERROR(INDEX('Sublimits and Parts'!$C$91:$C$94,MATCH($AM35,'Sublimits and Parts'!$B$91:$B$94,0)),"?")))</f>
        <v/>
      </c>
      <c r="BZ35" s="97" t="str">
        <f>IF($A35="","",IF($AN35="",1,IFERROR(INDEX('Sublimits and Parts'!$C$98:$C$101,MATCH($AN35,'Sublimits and Parts'!$B$98:$B$101,0)),"?")))</f>
        <v/>
      </c>
      <c r="CA35" s="97" t="str">
        <f>IF($A35="","",IF($AO35="",1,IFERROR(INDEX('Sublimits and Parts'!$C$105:$C$109,MATCH($AO35,'Sublimits and Parts'!$B$105:$B$109,0)),"?")))</f>
        <v/>
      </c>
      <c r="CB35" s="98" t="str">
        <f t="shared" si="2"/>
        <v/>
      </c>
      <c r="CC35" s="98" t="str">
        <f t="shared" si="3"/>
        <v/>
      </c>
      <c r="CD35" s="101" t="str">
        <f>IF($A35="","",IF(OR($CB35="?",$CC35="?"),"?",MIN($CB35*$CC35,'Technical Premium'!$C$17)))</f>
        <v/>
      </c>
      <c r="CE35" s="100" t="str">
        <f t="shared" si="4"/>
        <v/>
      </c>
      <c r="CF35" s="100" t="str">
        <f>IF($A35="","",IFERROR(INDEX('Territory Factors'!$F$6:$F$56,MATCH($K35,'Territory Factors'!$B$6:$B$56,0)),"?"))</f>
        <v/>
      </c>
      <c r="CG35" s="98" t="str">
        <f>IF($A35="","",IFERROR(INDEX('Usage and Coverage'!$C$79:$C$84,MATCH($Y35,'Usage and Coverage'!$B$79:$B$84,0)),"?"))</f>
        <v/>
      </c>
      <c r="CH35" s="100" t="str">
        <f>IFERROR(IF(ISNUMBER($CD35),$CF35*$CG35*MIN($BG35*$BA35*$BC35*$BD35*$BH35*$BF35,'Technical Premium'!$C$17),""),"")</f>
        <v/>
      </c>
      <c r="CI35" s="100" t="str">
        <f t="shared" si="5"/>
        <v/>
      </c>
      <c r="CJ35" s="100" t="str">
        <f>IFERROR($CI35*(1+'Technical Premium'!$C$5)*(1+'Technical Premium'!$C$6),"")</f>
        <v/>
      </c>
      <c r="CK35" s="100" t="str">
        <f>IFERROR($CE35*INDEX('Territory Factors'!$G$6:$G$56,MATCH($K35,'Territory Factors'!$B$6:$B$56,0))*$AU35*$AV35,"")</f>
        <v/>
      </c>
      <c r="CL35" s="100" t="str">
        <f>IFERROR(($CJ35+$CK35)*(1+'Technical Premium'!$C$7),"")</f>
        <v/>
      </c>
      <c r="CM35" s="102" t="str">
        <f>IFERROR($CL35/'Technical Premium'!$C$13,"")</f>
        <v/>
      </c>
      <c r="CN35" s="103" t="str">
        <f t="shared" si="6"/>
        <v/>
      </c>
      <c r="CO35" s="102" t="str">
        <f t="shared" si="7"/>
        <v/>
      </c>
      <c r="CP35" s="103" t="str">
        <f t="shared" si="8"/>
        <v/>
      </c>
      <c r="CQ35" s="104" t="str">
        <f t="shared" si="9"/>
        <v/>
      </c>
      <c r="CR35" s="100" t="str">
        <f>IF(ISNUMBER($CM35),'Technical Premium'!$C$14+IF($J35&gt;=1000000,'Technical Premium'!$C$15,0),"")</f>
        <v/>
      </c>
      <c r="CS35" s="100" t="str">
        <f>IFERROR(($CO35+$CR35)*(INDEX('Territory Factors'!$K$6:$K$56,MATCH($K35,'Territory Factors'!$B$6:$B$56,0))+'Commission Structure'!$C$21),"")</f>
        <v/>
      </c>
      <c r="CT35" s="102" t="str">
        <f t="shared" si="10"/>
        <v/>
      </c>
      <c r="CU35" s="100" t="str">
        <f>IFERROR($CO35*('Commission Structure'!$C$6+'Commission Structure'!$C$7),"")</f>
        <v/>
      </c>
      <c r="CV35" s="100" t="str">
        <f>IFERROR($CO35*'Commission Structure'!$C$5-$CU35,"")</f>
        <v/>
      </c>
      <c r="CW35" s="100" t="str">
        <f>IFERROR($CO35*(1-'Commission Structure'!$C$5),"")</f>
        <v/>
      </c>
      <c r="CX35" s="105" t="str">
        <f>IF($A35="","",IF(OR($CB35="?",$CC35="?",NOT(ISNUMBER($AU35))),"CHECK INPUTS",IF(OR($J35&lt;'Technical Premium'!$C$18,LEFT(IFERROR(INDEX('Driver Factors'!$D$6:$D$15,MATCH($R35,'Driver Factors'!$B$6:$B$15,0)),""),7)="DECLINE",LEFT(IFERROR(INDEX('Driver Factors'!$D$28:$D$36,MATCH($T35,'Driver Factors'!$B$28:$B$36,0)),""),7)="DECLINE",LEFT(IFERROR(INDEX('Claims History'!$D$6:$D$15,MATCH($U35,'Claims History'!$B$6:$B$15,0)),""),7)="DECLINE",LEFT(IFERROR(INDEX('Usage and Coverage'!$E$6:$E$20,MATCH($N35,'Usage and Coverage'!$C$6:$C$20,0)),""),7)="DECLINE"),"DECLINE",IF(OR($CD35&gt;2.5,$CD35&gt;='Technical Premium'!$C$17,$J35&gt;='Technical Premium'!$C$16,N($AQ35)&lt;'Technical Premium'!$C$19,N($AQ35)&gt;'Technical Premium'!$C$20,LEFT(IFERROR(INDEX('Driver Factors'!$D$6:$D$15,MATCH($R35,'Driver Factors'!$B$6:$B$15,0)),""),5)="Refer",LEFT(IFERROR(INDEX('Driver Factors'!$D$28:$D$36,MATCH($T35,'Driver Factors'!$B$28:$B$36,0)),""),5)="Refer",LEFT(IFERROR(INDEX('Claims History'!$D$6:$D$15,MATCH($U35,'Claims History'!$B$6:$B$15,0)),""),5)="Refer",LEFT(IFERROR(INDEX('Usage and Coverage'!$E$6:$E$20,MATCH($N35,'Usage and Coverage'!$C$6:$C$20,0)),""),5)="Refer"),"REFER","AUTO-BIND"))))</f>
        <v/>
      </c>
      <c r="CY35" s="106" t="str">
        <f t="shared" si="11"/>
        <v/>
      </c>
      <c r="CZ35" s="97" t="str">
        <f>IF($CY35="","",IF($CY35&lt;'Technical Premium'!$C$19,"BEYOND AUTHORITY",IF($CY35&gt;0.005,"Above technical",IF($CY35&lt;-0.005,"BELOW technical","At technical"))))</f>
        <v/>
      </c>
      <c r="DA35" s="97" t="str">
        <f>IF($A35="","",IF($CX35="AUTO-BIND","",TRIM(IF($J35&lt;'Technical Premium'!$C$18,"Below programme minimum agreed value. ","")&amp;IF(N($AQ35)&lt;'Technical Premium'!$C$19,"DISCOUNT AUTHORITY BREACH. ","")&amp;IF(N($AQ35)&gt;'Technical Premium'!$C$20,"Load authority breach. ","")&amp;IF($J35&gt;='Technical Premium'!$C$16,"Agreed value at or above auto-bind limit. ","")&amp;IF(AND(ISNUMBER($CD35),$CD35&gt;='Technical Premium'!$C$17),"Composite factor at cap. ","")&amp;IF(AND(ISNUMBER($CD35),$CD35&gt;2.5),"Composite factor above 2.50. ","")&amp;IF(LEFT(IFERROR(INDEX('Driver Factors'!$D$6:$D$15,MATCH($R35,'Driver Factors'!$B$6:$B$15,0)),""),7)="DECLINE","DECLINE - driver age. ",IF(LEFT(IFERROR(INDEX('Driver Factors'!$D$6:$D$15,MATCH($R35,'Driver Factors'!$B$6:$B$15,0)),""),5)="Refer","Driver age band. ",""))&amp;IF(LEFT(IFERROR(INDEX('Driver Factors'!$D$28:$D$36,MATCH($T35,'Driver Factors'!$B$28:$B$36,0)),""),7)="DECLINE","DECLINE - MVR. ",IF(LEFT(IFERROR(INDEX('Driver Factors'!$D$28:$D$36,MATCH($T35,'Driver Factors'!$B$28:$B$36,0)),""),5)="Refer","MVR record. ",""))&amp;IF(LEFT(IFERROR(INDEX('Claims History'!$D$6:$D$15,MATCH($U35,'Claims History'!$B$6:$B$15,0)),""),7)="DECLINE","DECLINE - claims. ",IF(LEFT(IFERROR(INDEX('Claims History'!$D$6:$D$15,MATCH($U35,'Claims History'!$B$6:$B$15,0)),""),5)="Refer","Claims history. ",""))&amp;IF(LEFT(IFERROR(INDEX('Usage and Coverage'!$E$6:$E$20,MATCH($N35,'Usage and Coverage'!$C$6:$C$20,0)),""),7)="DECLINE","DECLINE - usage class. ",IF(LEFT(IFERROR(INDEX('Usage and Coverage'!$E$6:$E$20,MATCH($N35,'Usage and Coverage'!$C$6:$C$20,0)),""),5)="Refer","Usage class. ",""))&amp;IF($CX35="CHECK INPUTS","Incomplete inputs. ",""))))</f>
        <v/>
      </c>
      <c r="DB35" s="92"/>
      <c r="DC35" s="92"/>
      <c r="DD35" s="93"/>
      <c r="DE35" s="92"/>
      <c r="DF35" s="92"/>
      <c r="DG35" s="97" t="str">
        <f t="shared" si="12"/>
        <v/>
      </c>
      <c r="DH35" s="97" t="str">
        <f>IF($A35="","",IF(OR($CX35="REFER",$CX35="DECLINE"),COUNTIF($CX$5:$CX35,"REFER")+COUNTIF($CX$5:$CX35,"DECLINE"),""))</f>
        <v/>
      </c>
      <c r="DI35" s="92"/>
    </row>
    <row r="36" spans="1:113" x14ac:dyDescent="0.25">
      <c r="A36" s="92"/>
      <c r="B36" s="92"/>
      <c r="C36" s="93"/>
      <c r="D36" s="93"/>
      <c r="E36" s="94"/>
      <c r="F36" s="92"/>
      <c r="G36" s="92"/>
      <c r="H36" s="92"/>
      <c r="I36" s="92"/>
      <c r="J36" s="95"/>
      <c r="K36" s="9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6"/>
      <c r="AR36" s="97" t="str">
        <f t="shared" si="0"/>
        <v/>
      </c>
      <c r="AS36" s="97" t="str">
        <f>IF($A36="","",IF($AP36&lt;&gt;"",$AP36,IFERROR(INDEX('Cat Zone by ZIP'!$D$6:$D$856,MATCH($AR36,'Cat Zone by ZIP'!$B$6:$B$856,0)),IFERROR(INDEX('Cat Zone by ZIP'!$C$860:$C$910,MATCH($K36,'Cat Zone by ZIP'!$B$860:$B$910,0)),"NOT FOUND"))))</f>
        <v/>
      </c>
      <c r="AT36" s="97" t="str">
        <f>IF($A36="","",IF($AP36&lt;&gt;"","Override",IF(ISNUMBER(MATCH($AR36,'Cat Zone by ZIP'!$B$6:$B$856,0)),"ZIP-3","State default")))</f>
        <v/>
      </c>
      <c r="AU36" s="98" t="str">
        <f>IF($A36="","",IFERROR(INDEX('Natural Catastrophe'!$D$6:$D$17,MATCH($AS36,'Natural Catastrophe'!$B$6:$B$17,0)),"?"))</f>
        <v/>
      </c>
      <c r="AV36" s="98" t="str">
        <f>IF($A36="","",IFERROR(INDEX('Natural Catastrophe'!$C$21:$C$26,MATCH($AA36,'Natural Catastrophe'!$B$21:$B$26,0)),"?"))</f>
        <v/>
      </c>
      <c r="AW36" s="97" t="str">
        <f>IF($A36="","",IFERROR(INDEX('Base Rates'!$C$4:$I$4,MATCH(MAX($J36,'Technical Premium'!$C$18),'Base Rates'!$C$3:$I$3,1)),"?"))</f>
        <v/>
      </c>
      <c r="AX36" s="99" t="str">
        <f>IF($A36="","",IFERROR(INDEX('Base Rates'!$C$5:$I$16,MATCH($I36,'Base Rates'!$B$5:$B$16,0),MATCH(MAX($J36,'Technical Premium'!$C$18),'Base Rates'!$C$3:$I$3,1)),"?"))</f>
        <v/>
      </c>
      <c r="AY36" s="100" t="str">
        <f t="shared" si="1"/>
        <v/>
      </c>
      <c r="AZ36" s="97" t="str">
        <f>IF($A36="","",IFERROR(INDEX('Make Factors'!$G$5:$G$69,MATCH($F36,'Make Factors'!$B$5:$B$69,0)),"?"))</f>
        <v/>
      </c>
      <c r="BA36" s="97" t="str">
        <f>IF($A36="","",IFERROR(INDEX('Driver Factors'!$C$6:$C$15,MATCH($R36,'Driver Factors'!$B$6:$B$15,0)),"?"))</f>
        <v/>
      </c>
      <c r="BB36" s="97" t="str">
        <f>IF($A36="","",IFERROR(INDEX('Driver Factors'!$C$19:$C$24,MATCH($S36,'Driver Factors'!$B$19:$B$24,0)),"?"))</f>
        <v/>
      </c>
      <c r="BC36" s="97" t="str">
        <f>IF($A36="","",IFERROR(INDEX('Driver Factors'!$C$28:$C$36,MATCH($T36,'Driver Factors'!$B$28:$B$36,0)),"?"))</f>
        <v/>
      </c>
      <c r="BD36" s="97" t="str">
        <f>IF($A36="","",IFERROR(INDEX('Claims History'!$C$6:$C$15,MATCH($U36,'Claims History'!$B$6:$B$15,0)),"?"))</f>
        <v/>
      </c>
      <c r="BE36" s="97" t="str">
        <f>IF($A36="","",IFERROR(INDEX('Territory Factors'!$E$6:$E$56,MATCH($K36,'Territory Factors'!$B$6:$B$56,0)),"?"))</f>
        <v/>
      </c>
      <c r="BF36" s="97" t="str">
        <f>IF($A36="","",IFERROR(INDEX('City Accident Ratings'!$G$6:$G$54,MATCH($Z36,'City Accident Ratings'!$B$6:$B$54,0)),"?"))</f>
        <v/>
      </c>
      <c r="BG36" s="97" t="str">
        <f>IF($A36="","",IFERROR(INDEX('Usage and Coverage'!$D$6:$D$20,MATCH($N36,'Usage and Coverage'!$C$6:$C$20,0)),"?"))</f>
        <v/>
      </c>
      <c r="BH36" s="97" t="str">
        <f>IF($A36="","",IFERROR(INDEX('Usage and Coverage'!$C$24:$C$30,MATCH($O36,'Usage and Coverage'!$B$24:$B$30,0)),"?"))</f>
        <v/>
      </c>
      <c r="BI36" s="97" t="str">
        <f>IF($A36="","",IFERROR(INDEX('Usage and Coverage'!$C$34:$C$40,MATCH($P36,'Usage and Coverage'!$B$34:$B$40,0)),"?"))</f>
        <v/>
      </c>
      <c r="BJ36" s="97" t="str">
        <f>IF($A36="","",IFERROR(INDEX('Usage and Coverage'!$C$44:$C$49,MATCH($Q36,'Usage and Coverage'!$B$44:$B$49,0)),"?"))</f>
        <v/>
      </c>
      <c r="BK36" s="97" t="str">
        <f>IF($A36="","",IFERROR(INDEX(Deductibles!$C$6:$I$15,MATCH($W36,Deductibles!$B$6:$B$15,0),MATCH(MAX($J36,'Technical Premium'!$C$18),'Base Rates'!$C$3:$I$3,1)),"?"))</f>
        <v/>
      </c>
      <c r="BL36" s="97" t="str">
        <f>IF($A36="","",IFERROR(INDEX('Usage and Coverage'!$C$63:$C$66,MATCH($X36,'Usage and Coverage'!$B$63:$B$66,0)),"?"))</f>
        <v/>
      </c>
      <c r="BM36" s="97" t="str">
        <f>IF($A36="","",IFERROR(INDEX('Usage and Coverage'!$C$70:$C$75,MATCH($V36,'Usage and Coverage'!$B$70:$B$75,0)),"?"))</f>
        <v/>
      </c>
      <c r="BN36" s="97" t="str">
        <f>IF($A36="","",IF($AB36="",1,IFERROR(INDEX(Deductibles!$C$48:$C$51,MATCH($AB36,Deductibles!$B$48:$B$51,0)),"?")))</f>
        <v/>
      </c>
      <c r="BO36" s="97" t="str">
        <f>IF($A36="","",IF($AC36="",1,IFERROR(INDEX(Deductibles!$C$55:$C$57,MATCH($AC36,Deductibles!$B$55:$B$57,0)),"?")))</f>
        <v/>
      </c>
      <c r="BP36" s="97" t="str">
        <f>IF($A36="","",IF($AD36="",1,IFERROR(INDEX(Deductibles!$C$61:$C$63,MATCH($AD36,Deductibles!$B$61:$B$63,0)),"?")))</f>
        <v/>
      </c>
      <c r="BQ36" s="97" t="str">
        <f>IF($A36="","",IF($AE36="",1,IFERROR(INDEX(Deductibles!$C$67:$C$69,MATCH($AE36,Deductibles!$B$67:$B$69,0)),"?")))</f>
        <v/>
      </c>
      <c r="BR36" s="97" t="str">
        <f>IF($A36="","",IF($AF36="",1,IFERROR(INDEX(Deductibles!$C$73:$C$74,MATCH($AF36,Deductibles!$B$73:$B$74,0)),"?")))</f>
        <v/>
      </c>
      <c r="BS36" s="97" t="str">
        <f>IF($A36="","",IF($AG36="",1,IFERROR(INDEX('Sublimits and Parts'!$C$49:$C$52,MATCH($AG36,'Sublimits and Parts'!$B$49:$B$52,0)),"?")))</f>
        <v/>
      </c>
      <c r="BT36" s="97" t="str">
        <f>IF($A36="","",IF($AH36="",1,IFERROR(INDEX('Sublimits and Parts'!$C$56:$C$60,MATCH($AH36,'Sublimits and Parts'!$B$56:$B$60,0)),"?")))</f>
        <v/>
      </c>
      <c r="BU36" s="97" t="str">
        <f>IF($A36="","",IF($AI36="",1,IFERROR(INDEX('Sublimits and Parts'!$C$64:$C$67,MATCH($AI36,'Sublimits and Parts'!$B$64:$B$67,0)),"?")))</f>
        <v/>
      </c>
      <c r="BV36" s="97" t="str">
        <f>IF($A36="","",IF($AJ36="",1,IFERROR(INDEX('Sublimits and Parts'!$C$71:$C$74,MATCH($AJ36,'Sublimits and Parts'!$B$71:$B$74,0)),"?")))</f>
        <v/>
      </c>
      <c r="BW36" s="97" t="str">
        <f>IF($A36="","",IF($AK36="",1,IFERROR(INDEX('Sublimits and Parts'!$C$78:$C$80,MATCH($AK36,'Sublimits and Parts'!$B$78:$B$80,0)),"?")))</f>
        <v/>
      </c>
      <c r="BX36" s="97" t="str">
        <f>IF($A36="","",IF($AL36="",1,IFERROR(INDEX('Sublimits and Parts'!$C$84:$C$87,MATCH($AL36,'Sublimits and Parts'!$B$84:$B$87,0)),"?")))</f>
        <v/>
      </c>
      <c r="BY36" s="97" t="str">
        <f>IF($A36="","",IF($AM36="",1,IFERROR(INDEX('Sublimits and Parts'!$C$91:$C$94,MATCH($AM36,'Sublimits and Parts'!$B$91:$B$94,0)),"?")))</f>
        <v/>
      </c>
      <c r="BZ36" s="97" t="str">
        <f>IF($A36="","",IF($AN36="",1,IFERROR(INDEX('Sublimits and Parts'!$C$98:$C$101,MATCH($AN36,'Sublimits and Parts'!$B$98:$B$101,0)),"?")))</f>
        <v/>
      </c>
      <c r="CA36" s="97" t="str">
        <f>IF($A36="","",IF($AO36="",1,IFERROR(INDEX('Sublimits and Parts'!$C$105:$C$109,MATCH($AO36,'Sublimits and Parts'!$B$105:$B$109,0)),"?")))</f>
        <v/>
      </c>
      <c r="CB36" s="98" t="str">
        <f t="shared" si="2"/>
        <v/>
      </c>
      <c r="CC36" s="98" t="str">
        <f t="shared" si="3"/>
        <v/>
      </c>
      <c r="CD36" s="101" t="str">
        <f>IF($A36="","",IF(OR($CB36="?",$CC36="?"),"?",MIN($CB36*$CC36,'Technical Premium'!$C$17)))</f>
        <v/>
      </c>
      <c r="CE36" s="100" t="str">
        <f t="shared" si="4"/>
        <v/>
      </c>
      <c r="CF36" s="100" t="str">
        <f>IF($A36="","",IFERROR(INDEX('Territory Factors'!$F$6:$F$56,MATCH($K36,'Territory Factors'!$B$6:$B$56,0)),"?"))</f>
        <v/>
      </c>
      <c r="CG36" s="98" t="str">
        <f>IF($A36="","",IFERROR(INDEX('Usage and Coverage'!$C$79:$C$84,MATCH($Y36,'Usage and Coverage'!$B$79:$B$84,0)),"?"))</f>
        <v/>
      </c>
      <c r="CH36" s="100" t="str">
        <f>IFERROR(IF(ISNUMBER($CD36),$CF36*$CG36*MIN($BG36*$BA36*$BC36*$BD36*$BH36*$BF36,'Technical Premium'!$C$17),""),"")</f>
        <v/>
      </c>
      <c r="CI36" s="100" t="str">
        <f t="shared" si="5"/>
        <v/>
      </c>
      <c r="CJ36" s="100" t="str">
        <f>IFERROR($CI36*(1+'Technical Premium'!$C$5)*(1+'Technical Premium'!$C$6),"")</f>
        <v/>
      </c>
      <c r="CK36" s="100" t="str">
        <f>IFERROR($CE36*INDEX('Territory Factors'!$G$6:$G$56,MATCH($K36,'Territory Factors'!$B$6:$B$56,0))*$AU36*$AV36,"")</f>
        <v/>
      </c>
      <c r="CL36" s="100" t="str">
        <f>IFERROR(($CJ36+$CK36)*(1+'Technical Premium'!$C$7),"")</f>
        <v/>
      </c>
      <c r="CM36" s="102" t="str">
        <f>IFERROR($CL36/'Technical Premium'!$C$13,"")</f>
        <v/>
      </c>
      <c r="CN36" s="103" t="str">
        <f t="shared" si="6"/>
        <v/>
      </c>
      <c r="CO36" s="102" t="str">
        <f t="shared" si="7"/>
        <v/>
      </c>
      <c r="CP36" s="103" t="str">
        <f t="shared" si="8"/>
        <v/>
      </c>
      <c r="CQ36" s="104" t="str">
        <f t="shared" si="9"/>
        <v/>
      </c>
      <c r="CR36" s="100" t="str">
        <f>IF(ISNUMBER($CM36),'Technical Premium'!$C$14+IF($J36&gt;=1000000,'Technical Premium'!$C$15,0),"")</f>
        <v/>
      </c>
      <c r="CS36" s="100" t="str">
        <f>IFERROR(($CO36+$CR36)*(INDEX('Territory Factors'!$K$6:$K$56,MATCH($K36,'Territory Factors'!$B$6:$B$56,0))+'Commission Structure'!$C$21),"")</f>
        <v/>
      </c>
      <c r="CT36" s="102" t="str">
        <f t="shared" si="10"/>
        <v/>
      </c>
      <c r="CU36" s="100" t="str">
        <f>IFERROR($CO36*('Commission Structure'!$C$6+'Commission Structure'!$C$7),"")</f>
        <v/>
      </c>
      <c r="CV36" s="100" t="str">
        <f>IFERROR($CO36*'Commission Structure'!$C$5-$CU36,"")</f>
        <v/>
      </c>
      <c r="CW36" s="100" t="str">
        <f>IFERROR($CO36*(1-'Commission Structure'!$C$5),"")</f>
        <v/>
      </c>
      <c r="CX36" s="105" t="str">
        <f>IF($A36="","",IF(OR($CB36="?",$CC36="?",NOT(ISNUMBER($AU36))),"CHECK INPUTS",IF(OR($J36&lt;'Technical Premium'!$C$18,LEFT(IFERROR(INDEX('Driver Factors'!$D$6:$D$15,MATCH($R36,'Driver Factors'!$B$6:$B$15,0)),""),7)="DECLINE",LEFT(IFERROR(INDEX('Driver Factors'!$D$28:$D$36,MATCH($T36,'Driver Factors'!$B$28:$B$36,0)),""),7)="DECLINE",LEFT(IFERROR(INDEX('Claims History'!$D$6:$D$15,MATCH($U36,'Claims History'!$B$6:$B$15,0)),""),7)="DECLINE",LEFT(IFERROR(INDEX('Usage and Coverage'!$E$6:$E$20,MATCH($N36,'Usage and Coverage'!$C$6:$C$20,0)),""),7)="DECLINE"),"DECLINE",IF(OR($CD36&gt;2.5,$CD36&gt;='Technical Premium'!$C$17,$J36&gt;='Technical Premium'!$C$16,N($AQ36)&lt;'Technical Premium'!$C$19,N($AQ36)&gt;'Technical Premium'!$C$20,LEFT(IFERROR(INDEX('Driver Factors'!$D$6:$D$15,MATCH($R36,'Driver Factors'!$B$6:$B$15,0)),""),5)="Refer",LEFT(IFERROR(INDEX('Driver Factors'!$D$28:$D$36,MATCH($T36,'Driver Factors'!$B$28:$B$36,0)),""),5)="Refer",LEFT(IFERROR(INDEX('Claims History'!$D$6:$D$15,MATCH($U36,'Claims History'!$B$6:$B$15,0)),""),5)="Refer",LEFT(IFERROR(INDEX('Usage and Coverage'!$E$6:$E$20,MATCH($N36,'Usage and Coverage'!$C$6:$C$20,0)),""),5)="Refer"),"REFER","AUTO-BIND"))))</f>
        <v/>
      </c>
      <c r="CY36" s="106" t="str">
        <f t="shared" si="11"/>
        <v/>
      </c>
      <c r="CZ36" s="97" t="str">
        <f>IF($CY36="","",IF($CY36&lt;'Technical Premium'!$C$19,"BEYOND AUTHORITY",IF($CY36&gt;0.005,"Above technical",IF($CY36&lt;-0.005,"BELOW technical","At technical"))))</f>
        <v/>
      </c>
      <c r="DA36" s="97" t="str">
        <f>IF($A36="","",IF($CX36="AUTO-BIND","",TRIM(IF($J36&lt;'Technical Premium'!$C$18,"Below programme minimum agreed value. ","")&amp;IF(N($AQ36)&lt;'Technical Premium'!$C$19,"DISCOUNT AUTHORITY BREACH. ","")&amp;IF(N($AQ36)&gt;'Technical Premium'!$C$20,"Load authority breach. ","")&amp;IF($J36&gt;='Technical Premium'!$C$16,"Agreed value at or above auto-bind limit. ","")&amp;IF(AND(ISNUMBER($CD36),$CD36&gt;='Technical Premium'!$C$17),"Composite factor at cap. ","")&amp;IF(AND(ISNUMBER($CD36),$CD36&gt;2.5),"Composite factor above 2.50. ","")&amp;IF(LEFT(IFERROR(INDEX('Driver Factors'!$D$6:$D$15,MATCH($R36,'Driver Factors'!$B$6:$B$15,0)),""),7)="DECLINE","DECLINE - driver age. ",IF(LEFT(IFERROR(INDEX('Driver Factors'!$D$6:$D$15,MATCH($R36,'Driver Factors'!$B$6:$B$15,0)),""),5)="Refer","Driver age band. ",""))&amp;IF(LEFT(IFERROR(INDEX('Driver Factors'!$D$28:$D$36,MATCH($T36,'Driver Factors'!$B$28:$B$36,0)),""),7)="DECLINE","DECLINE - MVR. ",IF(LEFT(IFERROR(INDEX('Driver Factors'!$D$28:$D$36,MATCH($T36,'Driver Factors'!$B$28:$B$36,0)),""),5)="Refer","MVR record. ",""))&amp;IF(LEFT(IFERROR(INDEX('Claims History'!$D$6:$D$15,MATCH($U36,'Claims History'!$B$6:$B$15,0)),""),7)="DECLINE","DECLINE - claims. ",IF(LEFT(IFERROR(INDEX('Claims History'!$D$6:$D$15,MATCH($U36,'Claims History'!$B$6:$B$15,0)),""),5)="Refer","Claims history. ",""))&amp;IF(LEFT(IFERROR(INDEX('Usage and Coverage'!$E$6:$E$20,MATCH($N36,'Usage and Coverage'!$C$6:$C$20,0)),""),7)="DECLINE","DECLINE - usage class. ",IF(LEFT(IFERROR(INDEX('Usage and Coverage'!$E$6:$E$20,MATCH($N36,'Usage and Coverage'!$C$6:$C$20,0)),""),5)="Refer","Usage class. ",""))&amp;IF($CX36="CHECK INPUTS","Incomplete inputs. ",""))))</f>
        <v/>
      </c>
      <c r="DB36" s="92"/>
      <c r="DC36" s="92"/>
      <c r="DD36" s="93"/>
      <c r="DE36" s="92"/>
      <c r="DF36" s="92"/>
      <c r="DG36" s="97" t="str">
        <f t="shared" si="12"/>
        <v/>
      </c>
      <c r="DH36" s="97" t="str">
        <f>IF($A36="","",IF(OR($CX36="REFER",$CX36="DECLINE"),COUNTIF($CX$5:$CX36,"REFER")+COUNTIF($CX$5:$CX36,"DECLINE"),""))</f>
        <v/>
      </c>
      <c r="DI36" s="92"/>
    </row>
    <row r="37" spans="1:113" x14ac:dyDescent="0.25">
      <c r="A37" s="92"/>
      <c r="B37" s="92"/>
      <c r="C37" s="93"/>
      <c r="D37" s="93"/>
      <c r="E37" s="94"/>
      <c r="F37" s="92"/>
      <c r="G37" s="92"/>
      <c r="H37" s="92"/>
      <c r="I37" s="92"/>
      <c r="J37" s="95"/>
      <c r="K37" s="92"/>
      <c r="L37" s="92"/>
      <c r="M37" s="92"/>
      <c r="N37" s="92"/>
      <c r="O37" s="92"/>
      <c r="P37" s="92"/>
      <c r="Q37" s="92"/>
      <c r="R37" s="92"/>
      <c r="S37" s="92"/>
      <c r="T37" s="92"/>
      <c r="U37" s="92"/>
      <c r="V37" s="92"/>
      <c r="W37" s="92"/>
      <c r="X37" s="92"/>
      <c r="Y37" s="92"/>
      <c r="Z37" s="92"/>
      <c r="AA37" s="92"/>
      <c r="AB37" s="92"/>
      <c r="AC37" s="92"/>
      <c r="AD37" s="92"/>
      <c r="AE37" s="92"/>
      <c r="AF37" s="92"/>
      <c r="AG37" s="92"/>
      <c r="AH37" s="92"/>
      <c r="AI37" s="92"/>
      <c r="AJ37" s="92"/>
      <c r="AK37" s="92"/>
      <c r="AL37" s="92"/>
      <c r="AM37" s="92"/>
      <c r="AN37" s="92"/>
      <c r="AO37" s="92"/>
      <c r="AP37" s="92"/>
      <c r="AQ37" s="96"/>
      <c r="AR37" s="97" t="str">
        <f t="shared" si="0"/>
        <v/>
      </c>
      <c r="AS37" s="97" t="str">
        <f>IF($A37="","",IF($AP37&lt;&gt;"",$AP37,IFERROR(INDEX('Cat Zone by ZIP'!$D$6:$D$856,MATCH($AR37,'Cat Zone by ZIP'!$B$6:$B$856,0)),IFERROR(INDEX('Cat Zone by ZIP'!$C$860:$C$910,MATCH($K37,'Cat Zone by ZIP'!$B$860:$B$910,0)),"NOT FOUND"))))</f>
        <v/>
      </c>
      <c r="AT37" s="97" t="str">
        <f>IF($A37="","",IF($AP37&lt;&gt;"","Override",IF(ISNUMBER(MATCH($AR37,'Cat Zone by ZIP'!$B$6:$B$856,0)),"ZIP-3","State default")))</f>
        <v/>
      </c>
      <c r="AU37" s="98" t="str">
        <f>IF($A37="","",IFERROR(INDEX('Natural Catastrophe'!$D$6:$D$17,MATCH($AS37,'Natural Catastrophe'!$B$6:$B$17,0)),"?"))</f>
        <v/>
      </c>
      <c r="AV37" s="98" t="str">
        <f>IF($A37="","",IFERROR(INDEX('Natural Catastrophe'!$C$21:$C$26,MATCH($AA37,'Natural Catastrophe'!$B$21:$B$26,0)),"?"))</f>
        <v/>
      </c>
      <c r="AW37" s="97" t="str">
        <f>IF($A37="","",IFERROR(INDEX('Base Rates'!$C$4:$I$4,MATCH(MAX($J37,'Technical Premium'!$C$18),'Base Rates'!$C$3:$I$3,1)),"?"))</f>
        <v/>
      </c>
      <c r="AX37" s="99" t="str">
        <f>IF($A37="","",IFERROR(INDEX('Base Rates'!$C$5:$I$16,MATCH($I37,'Base Rates'!$B$5:$B$16,0),MATCH(MAX($J37,'Technical Premium'!$C$18),'Base Rates'!$C$3:$I$3,1)),"?"))</f>
        <v/>
      </c>
      <c r="AY37" s="100" t="str">
        <f t="shared" si="1"/>
        <v/>
      </c>
      <c r="AZ37" s="97" t="str">
        <f>IF($A37="","",IFERROR(INDEX('Make Factors'!$G$5:$G$69,MATCH($F37,'Make Factors'!$B$5:$B$69,0)),"?"))</f>
        <v/>
      </c>
      <c r="BA37" s="97" t="str">
        <f>IF($A37="","",IFERROR(INDEX('Driver Factors'!$C$6:$C$15,MATCH($R37,'Driver Factors'!$B$6:$B$15,0)),"?"))</f>
        <v/>
      </c>
      <c r="BB37" s="97" t="str">
        <f>IF($A37="","",IFERROR(INDEX('Driver Factors'!$C$19:$C$24,MATCH($S37,'Driver Factors'!$B$19:$B$24,0)),"?"))</f>
        <v/>
      </c>
      <c r="BC37" s="97" t="str">
        <f>IF($A37="","",IFERROR(INDEX('Driver Factors'!$C$28:$C$36,MATCH($T37,'Driver Factors'!$B$28:$B$36,0)),"?"))</f>
        <v/>
      </c>
      <c r="BD37" s="97" t="str">
        <f>IF($A37="","",IFERROR(INDEX('Claims History'!$C$6:$C$15,MATCH($U37,'Claims History'!$B$6:$B$15,0)),"?"))</f>
        <v/>
      </c>
      <c r="BE37" s="97" t="str">
        <f>IF($A37="","",IFERROR(INDEX('Territory Factors'!$E$6:$E$56,MATCH($K37,'Territory Factors'!$B$6:$B$56,0)),"?"))</f>
        <v/>
      </c>
      <c r="BF37" s="97" t="str">
        <f>IF($A37="","",IFERROR(INDEX('City Accident Ratings'!$G$6:$G$54,MATCH($Z37,'City Accident Ratings'!$B$6:$B$54,0)),"?"))</f>
        <v/>
      </c>
      <c r="BG37" s="97" t="str">
        <f>IF($A37="","",IFERROR(INDEX('Usage and Coverage'!$D$6:$D$20,MATCH($N37,'Usage and Coverage'!$C$6:$C$20,0)),"?"))</f>
        <v/>
      </c>
      <c r="BH37" s="97" t="str">
        <f>IF($A37="","",IFERROR(INDEX('Usage and Coverage'!$C$24:$C$30,MATCH($O37,'Usage and Coverage'!$B$24:$B$30,0)),"?"))</f>
        <v/>
      </c>
      <c r="BI37" s="97" t="str">
        <f>IF($A37="","",IFERROR(INDEX('Usage and Coverage'!$C$34:$C$40,MATCH($P37,'Usage and Coverage'!$B$34:$B$40,0)),"?"))</f>
        <v/>
      </c>
      <c r="BJ37" s="97" t="str">
        <f>IF($A37="","",IFERROR(INDEX('Usage and Coverage'!$C$44:$C$49,MATCH($Q37,'Usage and Coverage'!$B$44:$B$49,0)),"?"))</f>
        <v/>
      </c>
      <c r="BK37" s="97" t="str">
        <f>IF($A37="","",IFERROR(INDEX(Deductibles!$C$6:$I$15,MATCH($W37,Deductibles!$B$6:$B$15,0),MATCH(MAX($J37,'Technical Premium'!$C$18),'Base Rates'!$C$3:$I$3,1)),"?"))</f>
        <v/>
      </c>
      <c r="BL37" s="97" t="str">
        <f>IF($A37="","",IFERROR(INDEX('Usage and Coverage'!$C$63:$C$66,MATCH($X37,'Usage and Coverage'!$B$63:$B$66,0)),"?"))</f>
        <v/>
      </c>
      <c r="BM37" s="97" t="str">
        <f>IF($A37="","",IFERROR(INDEX('Usage and Coverage'!$C$70:$C$75,MATCH($V37,'Usage and Coverage'!$B$70:$B$75,0)),"?"))</f>
        <v/>
      </c>
      <c r="BN37" s="97" t="str">
        <f>IF($A37="","",IF($AB37="",1,IFERROR(INDEX(Deductibles!$C$48:$C$51,MATCH($AB37,Deductibles!$B$48:$B$51,0)),"?")))</f>
        <v/>
      </c>
      <c r="BO37" s="97" t="str">
        <f>IF($A37="","",IF($AC37="",1,IFERROR(INDEX(Deductibles!$C$55:$C$57,MATCH($AC37,Deductibles!$B$55:$B$57,0)),"?")))</f>
        <v/>
      </c>
      <c r="BP37" s="97" t="str">
        <f>IF($A37="","",IF($AD37="",1,IFERROR(INDEX(Deductibles!$C$61:$C$63,MATCH($AD37,Deductibles!$B$61:$B$63,0)),"?")))</f>
        <v/>
      </c>
      <c r="BQ37" s="97" t="str">
        <f>IF($A37="","",IF($AE37="",1,IFERROR(INDEX(Deductibles!$C$67:$C$69,MATCH($AE37,Deductibles!$B$67:$B$69,0)),"?")))</f>
        <v/>
      </c>
      <c r="BR37" s="97" t="str">
        <f>IF($A37="","",IF($AF37="",1,IFERROR(INDEX(Deductibles!$C$73:$C$74,MATCH($AF37,Deductibles!$B$73:$B$74,0)),"?")))</f>
        <v/>
      </c>
      <c r="BS37" s="97" t="str">
        <f>IF($A37="","",IF($AG37="",1,IFERROR(INDEX('Sublimits and Parts'!$C$49:$C$52,MATCH($AG37,'Sublimits and Parts'!$B$49:$B$52,0)),"?")))</f>
        <v/>
      </c>
      <c r="BT37" s="97" t="str">
        <f>IF($A37="","",IF($AH37="",1,IFERROR(INDEX('Sublimits and Parts'!$C$56:$C$60,MATCH($AH37,'Sublimits and Parts'!$B$56:$B$60,0)),"?")))</f>
        <v/>
      </c>
      <c r="BU37" s="97" t="str">
        <f>IF($A37="","",IF($AI37="",1,IFERROR(INDEX('Sublimits and Parts'!$C$64:$C$67,MATCH($AI37,'Sublimits and Parts'!$B$64:$B$67,0)),"?")))</f>
        <v/>
      </c>
      <c r="BV37" s="97" t="str">
        <f>IF($A37="","",IF($AJ37="",1,IFERROR(INDEX('Sublimits and Parts'!$C$71:$C$74,MATCH($AJ37,'Sublimits and Parts'!$B$71:$B$74,0)),"?")))</f>
        <v/>
      </c>
      <c r="BW37" s="97" t="str">
        <f>IF($A37="","",IF($AK37="",1,IFERROR(INDEX('Sublimits and Parts'!$C$78:$C$80,MATCH($AK37,'Sublimits and Parts'!$B$78:$B$80,0)),"?")))</f>
        <v/>
      </c>
      <c r="BX37" s="97" t="str">
        <f>IF($A37="","",IF($AL37="",1,IFERROR(INDEX('Sublimits and Parts'!$C$84:$C$87,MATCH($AL37,'Sublimits and Parts'!$B$84:$B$87,0)),"?")))</f>
        <v/>
      </c>
      <c r="BY37" s="97" t="str">
        <f>IF($A37="","",IF($AM37="",1,IFERROR(INDEX('Sublimits and Parts'!$C$91:$C$94,MATCH($AM37,'Sublimits and Parts'!$B$91:$B$94,0)),"?")))</f>
        <v/>
      </c>
      <c r="BZ37" s="97" t="str">
        <f>IF($A37="","",IF($AN37="",1,IFERROR(INDEX('Sublimits and Parts'!$C$98:$C$101,MATCH($AN37,'Sublimits and Parts'!$B$98:$B$101,0)),"?")))</f>
        <v/>
      </c>
      <c r="CA37" s="97" t="str">
        <f>IF($A37="","",IF($AO37="",1,IFERROR(INDEX('Sublimits and Parts'!$C$105:$C$109,MATCH($AO37,'Sublimits and Parts'!$B$105:$B$109,0)),"?")))</f>
        <v/>
      </c>
      <c r="CB37" s="98" t="str">
        <f t="shared" si="2"/>
        <v/>
      </c>
      <c r="CC37" s="98" t="str">
        <f t="shared" si="3"/>
        <v/>
      </c>
      <c r="CD37" s="101" t="str">
        <f>IF($A37="","",IF(OR($CB37="?",$CC37="?"),"?",MIN($CB37*$CC37,'Technical Premium'!$C$17)))</f>
        <v/>
      </c>
      <c r="CE37" s="100" t="str">
        <f t="shared" si="4"/>
        <v/>
      </c>
      <c r="CF37" s="100" t="str">
        <f>IF($A37="","",IFERROR(INDEX('Territory Factors'!$F$6:$F$56,MATCH($K37,'Territory Factors'!$B$6:$B$56,0)),"?"))</f>
        <v/>
      </c>
      <c r="CG37" s="98" t="str">
        <f>IF($A37="","",IFERROR(INDEX('Usage and Coverage'!$C$79:$C$84,MATCH($Y37,'Usage and Coverage'!$B$79:$B$84,0)),"?"))</f>
        <v/>
      </c>
      <c r="CH37" s="100" t="str">
        <f>IFERROR(IF(ISNUMBER($CD37),$CF37*$CG37*MIN($BG37*$BA37*$BC37*$BD37*$BH37*$BF37,'Technical Premium'!$C$17),""),"")</f>
        <v/>
      </c>
      <c r="CI37" s="100" t="str">
        <f t="shared" si="5"/>
        <v/>
      </c>
      <c r="CJ37" s="100" t="str">
        <f>IFERROR($CI37*(1+'Technical Premium'!$C$5)*(1+'Technical Premium'!$C$6),"")</f>
        <v/>
      </c>
      <c r="CK37" s="100" t="str">
        <f>IFERROR($CE37*INDEX('Territory Factors'!$G$6:$G$56,MATCH($K37,'Territory Factors'!$B$6:$B$56,0))*$AU37*$AV37,"")</f>
        <v/>
      </c>
      <c r="CL37" s="100" t="str">
        <f>IFERROR(($CJ37+$CK37)*(1+'Technical Premium'!$C$7),"")</f>
        <v/>
      </c>
      <c r="CM37" s="102" t="str">
        <f>IFERROR($CL37/'Technical Premium'!$C$13,"")</f>
        <v/>
      </c>
      <c r="CN37" s="103" t="str">
        <f t="shared" si="6"/>
        <v/>
      </c>
      <c r="CO37" s="102" t="str">
        <f t="shared" si="7"/>
        <v/>
      </c>
      <c r="CP37" s="103" t="str">
        <f t="shared" si="8"/>
        <v/>
      </c>
      <c r="CQ37" s="104" t="str">
        <f t="shared" si="9"/>
        <v/>
      </c>
      <c r="CR37" s="100" t="str">
        <f>IF(ISNUMBER($CM37),'Technical Premium'!$C$14+IF($J37&gt;=1000000,'Technical Premium'!$C$15,0),"")</f>
        <v/>
      </c>
      <c r="CS37" s="100" t="str">
        <f>IFERROR(($CO37+$CR37)*(INDEX('Territory Factors'!$K$6:$K$56,MATCH($K37,'Territory Factors'!$B$6:$B$56,0))+'Commission Structure'!$C$21),"")</f>
        <v/>
      </c>
      <c r="CT37" s="102" t="str">
        <f t="shared" si="10"/>
        <v/>
      </c>
      <c r="CU37" s="100" t="str">
        <f>IFERROR($CO37*('Commission Structure'!$C$6+'Commission Structure'!$C$7),"")</f>
        <v/>
      </c>
      <c r="CV37" s="100" t="str">
        <f>IFERROR($CO37*'Commission Structure'!$C$5-$CU37,"")</f>
        <v/>
      </c>
      <c r="CW37" s="100" t="str">
        <f>IFERROR($CO37*(1-'Commission Structure'!$C$5),"")</f>
        <v/>
      </c>
      <c r="CX37" s="105" t="str">
        <f>IF($A37="","",IF(OR($CB37="?",$CC37="?",NOT(ISNUMBER($AU37))),"CHECK INPUTS",IF(OR($J37&lt;'Technical Premium'!$C$18,LEFT(IFERROR(INDEX('Driver Factors'!$D$6:$D$15,MATCH($R37,'Driver Factors'!$B$6:$B$15,0)),""),7)="DECLINE",LEFT(IFERROR(INDEX('Driver Factors'!$D$28:$D$36,MATCH($T37,'Driver Factors'!$B$28:$B$36,0)),""),7)="DECLINE",LEFT(IFERROR(INDEX('Claims History'!$D$6:$D$15,MATCH($U37,'Claims History'!$B$6:$B$15,0)),""),7)="DECLINE",LEFT(IFERROR(INDEX('Usage and Coverage'!$E$6:$E$20,MATCH($N37,'Usage and Coverage'!$C$6:$C$20,0)),""),7)="DECLINE"),"DECLINE",IF(OR($CD37&gt;2.5,$CD37&gt;='Technical Premium'!$C$17,$J37&gt;='Technical Premium'!$C$16,N($AQ37)&lt;'Technical Premium'!$C$19,N($AQ37)&gt;'Technical Premium'!$C$20,LEFT(IFERROR(INDEX('Driver Factors'!$D$6:$D$15,MATCH($R37,'Driver Factors'!$B$6:$B$15,0)),""),5)="Refer",LEFT(IFERROR(INDEX('Driver Factors'!$D$28:$D$36,MATCH($T37,'Driver Factors'!$B$28:$B$36,0)),""),5)="Refer",LEFT(IFERROR(INDEX('Claims History'!$D$6:$D$15,MATCH($U37,'Claims History'!$B$6:$B$15,0)),""),5)="Refer",LEFT(IFERROR(INDEX('Usage and Coverage'!$E$6:$E$20,MATCH($N37,'Usage and Coverage'!$C$6:$C$20,0)),""),5)="Refer"),"REFER","AUTO-BIND"))))</f>
        <v/>
      </c>
      <c r="CY37" s="106" t="str">
        <f t="shared" si="11"/>
        <v/>
      </c>
      <c r="CZ37" s="97" t="str">
        <f>IF($CY37="","",IF($CY37&lt;'Technical Premium'!$C$19,"BEYOND AUTHORITY",IF($CY37&gt;0.005,"Above technical",IF($CY37&lt;-0.005,"BELOW technical","At technical"))))</f>
        <v/>
      </c>
      <c r="DA37" s="97" t="str">
        <f>IF($A37="","",IF($CX37="AUTO-BIND","",TRIM(IF($J37&lt;'Technical Premium'!$C$18,"Below programme minimum agreed value. ","")&amp;IF(N($AQ37)&lt;'Technical Premium'!$C$19,"DISCOUNT AUTHORITY BREACH. ","")&amp;IF(N($AQ37)&gt;'Technical Premium'!$C$20,"Load authority breach. ","")&amp;IF($J37&gt;='Technical Premium'!$C$16,"Agreed value at or above auto-bind limit. ","")&amp;IF(AND(ISNUMBER($CD37),$CD37&gt;='Technical Premium'!$C$17),"Composite factor at cap. ","")&amp;IF(AND(ISNUMBER($CD37),$CD37&gt;2.5),"Composite factor above 2.50. ","")&amp;IF(LEFT(IFERROR(INDEX('Driver Factors'!$D$6:$D$15,MATCH($R37,'Driver Factors'!$B$6:$B$15,0)),""),7)="DECLINE","DECLINE - driver age. ",IF(LEFT(IFERROR(INDEX('Driver Factors'!$D$6:$D$15,MATCH($R37,'Driver Factors'!$B$6:$B$15,0)),""),5)="Refer","Driver age band. ",""))&amp;IF(LEFT(IFERROR(INDEX('Driver Factors'!$D$28:$D$36,MATCH($T37,'Driver Factors'!$B$28:$B$36,0)),""),7)="DECLINE","DECLINE - MVR. ",IF(LEFT(IFERROR(INDEX('Driver Factors'!$D$28:$D$36,MATCH($T37,'Driver Factors'!$B$28:$B$36,0)),""),5)="Refer","MVR record. ",""))&amp;IF(LEFT(IFERROR(INDEX('Claims History'!$D$6:$D$15,MATCH($U37,'Claims History'!$B$6:$B$15,0)),""),7)="DECLINE","DECLINE - claims. ",IF(LEFT(IFERROR(INDEX('Claims History'!$D$6:$D$15,MATCH($U37,'Claims History'!$B$6:$B$15,0)),""),5)="Refer","Claims history. ",""))&amp;IF(LEFT(IFERROR(INDEX('Usage and Coverage'!$E$6:$E$20,MATCH($N37,'Usage and Coverage'!$C$6:$C$20,0)),""),7)="DECLINE","DECLINE - usage class. ",IF(LEFT(IFERROR(INDEX('Usage and Coverage'!$E$6:$E$20,MATCH($N37,'Usage and Coverage'!$C$6:$C$20,0)),""),5)="Refer","Usage class. ",""))&amp;IF($CX37="CHECK INPUTS","Incomplete inputs. ",""))))</f>
        <v/>
      </c>
      <c r="DB37" s="92"/>
      <c r="DC37" s="92"/>
      <c r="DD37" s="93"/>
      <c r="DE37" s="92"/>
      <c r="DF37" s="92"/>
      <c r="DG37" s="97" t="str">
        <f t="shared" si="12"/>
        <v/>
      </c>
      <c r="DH37" s="97" t="str">
        <f>IF($A37="","",IF(OR($CX37="REFER",$CX37="DECLINE"),COUNTIF($CX$5:$CX37,"REFER")+COUNTIF($CX$5:$CX37,"DECLINE"),""))</f>
        <v/>
      </c>
      <c r="DI37" s="92"/>
    </row>
    <row r="38" spans="1:113" x14ac:dyDescent="0.25">
      <c r="A38" s="92"/>
      <c r="B38" s="92"/>
      <c r="C38" s="93"/>
      <c r="D38" s="93"/>
      <c r="E38" s="94"/>
      <c r="F38" s="92"/>
      <c r="G38" s="92"/>
      <c r="H38" s="92"/>
      <c r="I38" s="92"/>
      <c r="J38" s="95"/>
      <c r="K38" s="92"/>
      <c r="L38" s="92"/>
      <c r="M38" s="92"/>
      <c r="N38" s="92"/>
      <c r="O38" s="92"/>
      <c r="P38" s="92"/>
      <c r="Q38" s="92"/>
      <c r="R38" s="92"/>
      <c r="S38" s="92"/>
      <c r="T38" s="92"/>
      <c r="U38" s="92"/>
      <c r="V38" s="92"/>
      <c r="W38" s="92"/>
      <c r="X38" s="92"/>
      <c r="Y38" s="92"/>
      <c r="Z38" s="92"/>
      <c r="AA38" s="92"/>
      <c r="AB38" s="92"/>
      <c r="AC38" s="92"/>
      <c r="AD38" s="92"/>
      <c r="AE38" s="92"/>
      <c r="AF38" s="92"/>
      <c r="AG38" s="92"/>
      <c r="AH38" s="92"/>
      <c r="AI38" s="92"/>
      <c r="AJ38" s="92"/>
      <c r="AK38" s="92"/>
      <c r="AL38" s="92"/>
      <c r="AM38" s="92"/>
      <c r="AN38" s="92"/>
      <c r="AO38" s="92"/>
      <c r="AP38" s="92"/>
      <c r="AQ38" s="96"/>
      <c r="AR38" s="97" t="str">
        <f t="shared" si="0"/>
        <v/>
      </c>
      <c r="AS38" s="97" t="str">
        <f>IF($A38="","",IF($AP38&lt;&gt;"",$AP38,IFERROR(INDEX('Cat Zone by ZIP'!$D$6:$D$856,MATCH($AR38,'Cat Zone by ZIP'!$B$6:$B$856,0)),IFERROR(INDEX('Cat Zone by ZIP'!$C$860:$C$910,MATCH($K38,'Cat Zone by ZIP'!$B$860:$B$910,0)),"NOT FOUND"))))</f>
        <v/>
      </c>
      <c r="AT38" s="97" t="str">
        <f>IF($A38="","",IF($AP38&lt;&gt;"","Override",IF(ISNUMBER(MATCH($AR38,'Cat Zone by ZIP'!$B$6:$B$856,0)),"ZIP-3","State default")))</f>
        <v/>
      </c>
      <c r="AU38" s="98" t="str">
        <f>IF($A38="","",IFERROR(INDEX('Natural Catastrophe'!$D$6:$D$17,MATCH($AS38,'Natural Catastrophe'!$B$6:$B$17,0)),"?"))</f>
        <v/>
      </c>
      <c r="AV38" s="98" t="str">
        <f>IF($A38="","",IFERROR(INDEX('Natural Catastrophe'!$C$21:$C$26,MATCH($AA38,'Natural Catastrophe'!$B$21:$B$26,0)),"?"))</f>
        <v/>
      </c>
      <c r="AW38" s="97" t="str">
        <f>IF($A38="","",IFERROR(INDEX('Base Rates'!$C$4:$I$4,MATCH(MAX($J38,'Technical Premium'!$C$18),'Base Rates'!$C$3:$I$3,1)),"?"))</f>
        <v/>
      </c>
      <c r="AX38" s="99" t="str">
        <f>IF($A38="","",IFERROR(INDEX('Base Rates'!$C$5:$I$16,MATCH($I38,'Base Rates'!$B$5:$B$16,0),MATCH(MAX($J38,'Technical Premium'!$C$18),'Base Rates'!$C$3:$I$3,1)),"?"))</f>
        <v/>
      </c>
      <c r="AY38" s="100" t="str">
        <f t="shared" si="1"/>
        <v/>
      </c>
      <c r="AZ38" s="97" t="str">
        <f>IF($A38="","",IFERROR(INDEX('Make Factors'!$G$5:$G$69,MATCH($F38,'Make Factors'!$B$5:$B$69,0)),"?"))</f>
        <v/>
      </c>
      <c r="BA38" s="97" t="str">
        <f>IF($A38="","",IFERROR(INDEX('Driver Factors'!$C$6:$C$15,MATCH($R38,'Driver Factors'!$B$6:$B$15,0)),"?"))</f>
        <v/>
      </c>
      <c r="BB38" s="97" t="str">
        <f>IF($A38="","",IFERROR(INDEX('Driver Factors'!$C$19:$C$24,MATCH($S38,'Driver Factors'!$B$19:$B$24,0)),"?"))</f>
        <v/>
      </c>
      <c r="BC38" s="97" t="str">
        <f>IF($A38="","",IFERROR(INDEX('Driver Factors'!$C$28:$C$36,MATCH($T38,'Driver Factors'!$B$28:$B$36,0)),"?"))</f>
        <v/>
      </c>
      <c r="BD38" s="97" t="str">
        <f>IF($A38="","",IFERROR(INDEX('Claims History'!$C$6:$C$15,MATCH($U38,'Claims History'!$B$6:$B$15,0)),"?"))</f>
        <v/>
      </c>
      <c r="BE38" s="97" t="str">
        <f>IF($A38="","",IFERROR(INDEX('Territory Factors'!$E$6:$E$56,MATCH($K38,'Territory Factors'!$B$6:$B$56,0)),"?"))</f>
        <v/>
      </c>
      <c r="BF38" s="97" t="str">
        <f>IF($A38="","",IFERROR(INDEX('City Accident Ratings'!$G$6:$G$54,MATCH($Z38,'City Accident Ratings'!$B$6:$B$54,0)),"?"))</f>
        <v/>
      </c>
      <c r="BG38" s="97" t="str">
        <f>IF($A38="","",IFERROR(INDEX('Usage and Coverage'!$D$6:$D$20,MATCH($N38,'Usage and Coverage'!$C$6:$C$20,0)),"?"))</f>
        <v/>
      </c>
      <c r="BH38" s="97" t="str">
        <f>IF($A38="","",IFERROR(INDEX('Usage and Coverage'!$C$24:$C$30,MATCH($O38,'Usage and Coverage'!$B$24:$B$30,0)),"?"))</f>
        <v/>
      </c>
      <c r="BI38" s="97" t="str">
        <f>IF($A38="","",IFERROR(INDEX('Usage and Coverage'!$C$34:$C$40,MATCH($P38,'Usage and Coverage'!$B$34:$B$40,0)),"?"))</f>
        <v/>
      </c>
      <c r="BJ38" s="97" t="str">
        <f>IF($A38="","",IFERROR(INDEX('Usage and Coverage'!$C$44:$C$49,MATCH($Q38,'Usage and Coverage'!$B$44:$B$49,0)),"?"))</f>
        <v/>
      </c>
      <c r="BK38" s="97" t="str">
        <f>IF($A38="","",IFERROR(INDEX(Deductibles!$C$6:$I$15,MATCH($W38,Deductibles!$B$6:$B$15,0),MATCH(MAX($J38,'Technical Premium'!$C$18),'Base Rates'!$C$3:$I$3,1)),"?"))</f>
        <v/>
      </c>
      <c r="BL38" s="97" t="str">
        <f>IF($A38="","",IFERROR(INDEX('Usage and Coverage'!$C$63:$C$66,MATCH($X38,'Usage and Coverage'!$B$63:$B$66,0)),"?"))</f>
        <v/>
      </c>
      <c r="BM38" s="97" t="str">
        <f>IF($A38="","",IFERROR(INDEX('Usage and Coverage'!$C$70:$C$75,MATCH($V38,'Usage and Coverage'!$B$70:$B$75,0)),"?"))</f>
        <v/>
      </c>
      <c r="BN38" s="97" t="str">
        <f>IF($A38="","",IF($AB38="",1,IFERROR(INDEX(Deductibles!$C$48:$C$51,MATCH($AB38,Deductibles!$B$48:$B$51,0)),"?")))</f>
        <v/>
      </c>
      <c r="BO38" s="97" t="str">
        <f>IF($A38="","",IF($AC38="",1,IFERROR(INDEX(Deductibles!$C$55:$C$57,MATCH($AC38,Deductibles!$B$55:$B$57,0)),"?")))</f>
        <v/>
      </c>
      <c r="BP38" s="97" t="str">
        <f>IF($A38="","",IF($AD38="",1,IFERROR(INDEX(Deductibles!$C$61:$C$63,MATCH($AD38,Deductibles!$B$61:$B$63,0)),"?")))</f>
        <v/>
      </c>
      <c r="BQ38" s="97" t="str">
        <f>IF($A38="","",IF($AE38="",1,IFERROR(INDEX(Deductibles!$C$67:$C$69,MATCH($AE38,Deductibles!$B$67:$B$69,0)),"?")))</f>
        <v/>
      </c>
      <c r="BR38" s="97" t="str">
        <f>IF($A38="","",IF($AF38="",1,IFERROR(INDEX(Deductibles!$C$73:$C$74,MATCH($AF38,Deductibles!$B$73:$B$74,0)),"?")))</f>
        <v/>
      </c>
      <c r="BS38" s="97" t="str">
        <f>IF($A38="","",IF($AG38="",1,IFERROR(INDEX('Sublimits and Parts'!$C$49:$C$52,MATCH($AG38,'Sublimits and Parts'!$B$49:$B$52,0)),"?")))</f>
        <v/>
      </c>
      <c r="BT38" s="97" t="str">
        <f>IF($A38="","",IF($AH38="",1,IFERROR(INDEX('Sublimits and Parts'!$C$56:$C$60,MATCH($AH38,'Sublimits and Parts'!$B$56:$B$60,0)),"?")))</f>
        <v/>
      </c>
      <c r="BU38" s="97" t="str">
        <f>IF($A38="","",IF($AI38="",1,IFERROR(INDEX('Sublimits and Parts'!$C$64:$C$67,MATCH($AI38,'Sublimits and Parts'!$B$64:$B$67,0)),"?")))</f>
        <v/>
      </c>
      <c r="BV38" s="97" t="str">
        <f>IF($A38="","",IF($AJ38="",1,IFERROR(INDEX('Sublimits and Parts'!$C$71:$C$74,MATCH($AJ38,'Sublimits and Parts'!$B$71:$B$74,0)),"?")))</f>
        <v/>
      </c>
      <c r="BW38" s="97" t="str">
        <f>IF($A38="","",IF($AK38="",1,IFERROR(INDEX('Sublimits and Parts'!$C$78:$C$80,MATCH($AK38,'Sublimits and Parts'!$B$78:$B$80,0)),"?")))</f>
        <v/>
      </c>
      <c r="BX38" s="97" t="str">
        <f>IF($A38="","",IF($AL38="",1,IFERROR(INDEX('Sublimits and Parts'!$C$84:$C$87,MATCH($AL38,'Sublimits and Parts'!$B$84:$B$87,0)),"?")))</f>
        <v/>
      </c>
      <c r="BY38" s="97" t="str">
        <f>IF($A38="","",IF($AM38="",1,IFERROR(INDEX('Sublimits and Parts'!$C$91:$C$94,MATCH($AM38,'Sublimits and Parts'!$B$91:$B$94,0)),"?")))</f>
        <v/>
      </c>
      <c r="BZ38" s="97" t="str">
        <f>IF($A38="","",IF($AN38="",1,IFERROR(INDEX('Sublimits and Parts'!$C$98:$C$101,MATCH($AN38,'Sublimits and Parts'!$B$98:$B$101,0)),"?")))</f>
        <v/>
      </c>
      <c r="CA38" s="97" t="str">
        <f>IF($A38="","",IF($AO38="",1,IFERROR(INDEX('Sublimits and Parts'!$C$105:$C$109,MATCH($AO38,'Sublimits and Parts'!$B$105:$B$109,0)),"?")))</f>
        <v/>
      </c>
      <c r="CB38" s="98" t="str">
        <f t="shared" si="2"/>
        <v/>
      </c>
      <c r="CC38" s="98" t="str">
        <f t="shared" si="3"/>
        <v/>
      </c>
      <c r="CD38" s="101" t="str">
        <f>IF($A38="","",IF(OR($CB38="?",$CC38="?"),"?",MIN($CB38*$CC38,'Technical Premium'!$C$17)))</f>
        <v/>
      </c>
      <c r="CE38" s="100" t="str">
        <f t="shared" si="4"/>
        <v/>
      </c>
      <c r="CF38" s="100" t="str">
        <f>IF($A38="","",IFERROR(INDEX('Territory Factors'!$F$6:$F$56,MATCH($K38,'Territory Factors'!$B$6:$B$56,0)),"?"))</f>
        <v/>
      </c>
      <c r="CG38" s="98" t="str">
        <f>IF($A38="","",IFERROR(INDEX('Usage and Coverage'!$C$79:$C$84,MATCH($Y38,'Usage and Coverage'!$B$79:$B$84,0)),"?"))</f>
        <v/>
      </c>
      <c r="CH38" s="100" t="str">
        <f>IFERROR(IF(ISNUMBER($CD38),$CF38*$CG38*MIN($BG38*$BA38*$BC38*$BD38*$BH38*$BF38,'Technical Premium'!$C$17),""),"")</f>
        <v/>
      </c>
      <c r="CI38" s="100" t="str">
        <f t="shared" si="5"/>
        <v/>
      </c>
      <c r="CJ38" s="100" t="str">
        <f>IFERROR($CI38*(1+'Technical Premium'!$C$5)*(1+'Technical Premium'!$C$6),"")</f>
        <v/>
      </c>
      <c r="CK38" s="100" t="str">
        <f>IFERROR($CE38*INDEX('Territory Factors'!$G$6:$G$56,MATCH($K38,'Territory Factors'!$B$6:$B$56,0))*$AU38*$AV38,"")</f>
        <v/>
      </c>
      <c r="CL38" s="100" t="str">
        <f>IFERROR(($CJ38+$CK38)*(1+'Technical Premium'!$C$7),"")</f>
        <v/>
      </c>
      <c r="CM38" s="102" t="str">
        <f>IFERROR($CL38/'Technical Premium'!$C$13,"")</f>
        <v/>
      </c>
      <c r="CN38" s="103" t="str">
        <f t="shared" si="6"/>
        <v/>
      </c>
      <c r="CO38" s="102" t="str">
        <f t="shared" si="7"/>
        <v/>
      </c>
      <c r="CP38" s="103" t="str">
        <f t="shared" si="8"/>
        <v/>
      </c>
      <c r="CQ38" s="104" t="str">
        <f t="shared" si="9"/>
        <v/>
      </c>
      <c r="CR38" s="100" t="str">
        <f>IF(ISNUMBER($CM38),'Technical Premium'!$C$14+IF($J38&gt;=1000000,'Technical Premium'!$C$15,0),"")</f>
        <v/>
      </c>
      <c r="CS38" s="100" t="str">
        <f>IFERROR(($CO38+$CR38)*(INDEX('Territory Factors'!$K$6:$K$56,MATCH($K38,'Territory Factors'!$B$6:$B$56,0))+'Commission Structure'!$C$21),"")</f>
        <v/>
      </c>
      <c r="CT38" s="102" t="str">
        <f t="shared" si="10"/>
        <v/>
      </c>
      <c r="CU38" s="100" t="str">
        <f>IFERROR($CO38*('Commission Structure'!$C$6+'Commission Structure'!$C$7),"")</f>
        <v/>
      </c>
      <c r="CV38" s="100" t="str">
        <f>IFERROR($CO38*'Commission Structure'!$C$5-$CU38,"")</f>
        <v/>
      </c>
      <c r="CW38" s="100" t="str">
        <f>IFERROR($CO38*(1-'Commission Structure'!$C$5),"")</f>
        <v/>
      </c>
      <c r="CX38" s="105" t="str">
        <f>IF($A38="","",IF(OR($CB38="?",$CC38="?",NOT(ISNUMBER($AU38))),"CHECK INPUTS",IF(OR($J38&lt;'Technical Premium'!$C$18,LEFT(IFERROR(INDEX('Driver Factors'!$D$6:$D$15,MATCH($R38,'Driver Factors'!$B$6:$B$15,0)),""),7)="DECLINE",LEFT(IFERROR(INDEX('Driver Factors'!$D$28:$D$36,MATCH($T38,'Driver Factors'!$B$28:$B$36,0)),""),7)="DECLINE",LEFT(IFERROR(INDEX('Claims History'!$D$6:$D$15,MATCH($U38,'Claims History'!$B$6:$B$15,0)),""),7)="DECLINE",LEFT(IFERROR(INDEX('Usage and Coverage'!$E$6:$E$20,MATCH($N38,'Usage and Coverage'!$C$6:$C$20,0)),""),7)="DECLINE"),"DECLINE",IF(OR($CD38&gt;2.5,$CD38&gt;='Technical Premium'!$C$17,$J38&gt;='Technical Premium'!$C$16,N($AQ38)&lt;'Technical Premium'!$C$19,N($AQ38)&gt;'Technical Premium'!$C$20,LEFT(IFERROR(INDEX('Driver Factors'!$D$6:$D$15,MATCH($R38,'Driver Factors'!$B$6:$B$15,0)),""),5)="Refer",LEFT(IFERROR(INDEX('Driver Factors'!$D$28:$D$36,MATCH($T38,'Driver Factors'!$B$28:$B$36,0)),""),5)="Refer",LEFT(IFERROR(INDEX('Claims History'!$D$6:$D$15,MATCH($U38,'Claims History'!$B$6:$B$15,0)),""),5)="Refer",LEFT(IFERROR(INDEX('Usage and Coverage'!$E$6:$E$20,MATCH($N38,'Usage and Coverage'!$C$6:$C$20,0)),""),5)="Refer"),"REFER","AUTO-BIND"))))</f>
        <v/>
      </c>
      <c r="CY38" s="106" t="str">
        <f t="shared" si="11"/>
        <v/>
      </c>
      <c r="CZ38" s="97" t="str">
        <f>IF($CY38="","",IF($CY38&lt;'Technical Premium'!$C$19,"BEYOND AUTHORITY",IF($CY38&gt;0.005,"Above technical",IF($CY38&lt;-0.005,"BELOW technical","At technical"))))</f>
        <v/>
      </c>
      <c r="DA38" s="97" t="str">
        <f>IF($A38="","",IF($CX38="AUTO-BIND","",TRIM(IF($J38&lt;'Technical Premium'!$C$18,"Below programme minimum agreed value. ","")&amp;IF(N($AQ38)&lt;'Technical Premium'!$C$19,"DISCOUNT AUTHORITY BREACH. ","")&amp;IF(N($AQ38)&gt;'Technical Premium'!$C$20,"Load authority breach. ","")&amp;IF($J38&gt;='Technical Premium'!$C$16,"Agreed value at or above auto-bind limit. ","")&amp;IF(AND(ISNUMBER($CD38),$CD38&gt;='Technical Premium'!$C$17),"Composite factor at cap. ","")&amp;IF(AND(ISNUMBER($CD38),$CD38&gt;2.5),"Composite factor above 2.50. ","")&amp;IF(LEFT(IFERROR(INDEX('Driver Factors'!$D$6:$D$15,MATCH($R38,'Driver Factors'!$B$6:$B$15,0)),""),7)="DECLINE","DECLINE - driver age. ",IF(LEFT(IFERROR(INDEX('Driver Factors'!$D$6:$D$15,MATCH($R38,'Driver Factors'!$B$6:$B$15,0)),""),5)="Refer","Driver age band. ",""))&amp;IF(LEFT(IFERROR(INDEX('Driver Factors'!$D$28:$D$36,MATCH($T38,'Driver Factors'!$B$28:$B$36,0)),""),7)="DECLINE","DECLINE - MVR. ",IF(LEFT(IFERROR(INDEX('Driver Factors'!$D$28:$D$36,MATCH($T38,'Driver Factors'!$B$28:$B$36,0)),""),5)="Refer","MVR record. ",""))&amp;IF(LEFT(IFERROR(INDEX('Claims History'!$D$6:$D$15,MATCH($U38,'Claims History'!$B$6:$B$15,0)),""),7)="DECLINE","DECLINE - claims. ",IF(LEFT(IFERROR(INDEX('Claims History'!$D$6:$D$15,MATCH($U38,'Claims History'!$B$6:$B$15,0)),""),5)="Refer","Claims history. ",""))&amp;IF(LEFT(IFERROR(INDEX('Usage and Coverage'!$E$6:$E$20,MATCH($N38,'Usage and Coverage'!$C$6:$C$20,0)),""),7)="DECLINE","DECLINE - usage class. ",IF(LEFT(IFERROR(INDEX('Usage and Coverage'!$E$6:$E$20,MATCH($N38,'Usage and Coverage'!$C$6:$C$20,0)),""),5)="Refer","Usage class. ",""))&amp;IF($CX38="CHECK INPUTS","Incomplete inputs. ",""))))</f>
        <v/>
      </c>
      <c r="DB38" s="92"/>
      <c r="DC38" s="92"/>
      <c r="DD38" s="93"/>
      <c r="DE38" s="92"/>
      <c r="DF38" s="92"/>
      <c r="DG38" s="97" t="str">
        <f t="shared" si="12"/>
        <v/>
      </c>
      <c r="DH38" s="97" t="str">
        <f>IF($A38="","",IF(OR($CX38="REFER",$CX38="DECLINE"),COUNTIF($CX$5:$CX38,"REFER")+COUNTIF($CX$5:$CX38,"DECLINE"),""))</f>
        <v/>
      </c>
      <c r="DI38" s="92"/>
    </row>
    <row r="39" spans="1:113" x14ac:dyDescent="0.25">
      <c r="A39" s="92"/>
      <c r="B39" s="92"/>
      <c r="C39" s="93"/>
      <c r="D39" s="93"/>
      <c r="E39" s="94"/>
      <c r="F39" s="92"/>
      <c r="G39" s="92"/>
      <c r="H39" s="92"/>
      <c r="I39" s="92"/>
      <c r="J39" s="95"/>
      <c r="K39" s="92"/>
      <c r="L39" s="92"/>
      <c r="M39" s="92"/>
      <c r="N39" s="92"/>
      <c r="O39" s="92"/>
      <c r="P39" s="92"/>
      <c r="Q39" s="92"/>
      <c r="R39" s="92"/>
      <c r="S39" s="92"/>
      <c r="T39" s="92"/>
      <c r="U39" s="92"/>
      <c r="V39" s="92"/>
      <c r="W39" s="92"/>
      <c r="X39" s="92"/>
      <c r="Y39" s="92"/>
      <c r="Z39" s="92"/>
      <c r="AA39" s="92"/>
      <c r="AB39" s="92"/>
      <c r="AC39" s="92"/>
      <c r="AD39" s="92"/>
      <c r="AE39" s="92"/>
      <c r="AF39" s="92"/>
      <c r="AG39" s="92"/>
      <c r="AH39" s="92"/>
      <c r="AI39" s="92"/>
      <c r="AJ39" s="92"/>
      <c r="AK39" s="92"/>
      <c r="AL39" s="92"/>
      <c r="AM39" s="92"/>
      <c r="AN39" s="92"/>
      <c r="AO39" s="92"/>
      <c r="AP39" s="92"/>
      <c r="AQ39" s="96"/>
      <c r="AR39" s="97" t="str">
        <f t="shared" si="0"/>
        <v/>
      </c>
      <c r="AS39" s="97" t="str">
        <f>IF($A39="","",IF($AP39&lt;&gt;"",$AP39,IFERROR(INDEX('Cat Zone by ZIP'!$D$6:$D$856,MATCH($AR39,'Cat Zone by ZIP'!$B$6:$B$856,0)),IFERROR(INDEX('Cat Zone by ZIP'!$C$860:$C$910,MATCH($K39,'Cat Zone by ZIP'!$B$860:$B$910,0)),"NOT FOUND"))))</f>
        <v/>
      </c>
      <c r="AT39" s="97" t="str">
        <f>IF($A39="","",IF($AP39&lt;&gt;"","Override",IF(ISNUMBER(MATCH($AR39,'Cat Zone by ZIP'!$B$6:$B$856,0)),"ZIP-3","State default")))</f>
        <v/>
      </c>
      <c r="AU39" s="98" t="str">
        <f>IF($A39="","",IFERROR(INDEX('Natural Catastrophe'!$D$6:$D$17,MATCH($AS39,'Natural Catastrophe'!$B$6:$B$17,0)),"?"))</f>
        <v/>
      </c>
      <c r="AV39" s="98" t="str">
        <f>IF($A39="","",IFERROR(INDEX('Natural Catastrophe'!$C$21:$C$26,MATCH($AA39,'Natural Catastrophe'!$B$21:$B$26,0)),"?"))</f>
        <v/>
      </c>
      <c r="AW39" s="97" t="str">
        <f>IF($A39="","",IFERROR(INDEX('Base Rates'!$C$4:$I$4,MATCH(MAX($J39,'Technical Premium'!$C$18),'Base Rates'!$C$3:$I$3,1)),"?"))</f>
        <v/>
      </c>
      <c r="AX39" s="99" t="str">
        <f>IF($A39="","",IFERROR(INDEX('Base Rates'!$C$5:$I$16,MATCH($I39,'Base Rates'!$B$5:$B$16,0),MATCH(MAX($J39,'Technical Premium'!$C$18),'Base Rates'!$C$3:$I$3,1)),"?"))</f>
        <v/>
      </c>
      <c r="AY39" s="100" t="str">
        <f t="shared" si="1"/>
        <v/>
      </c>
      <c r="AZ39" s="97" t="str">
        <f>IF($A39="","",IFERROR(INDEX('Make Factors'!$G$5:$G$69,MATCH($F39,'Make Factors'!$B$5:$B$69,0)),"?"))</f>
        <v/>
      </c>
      <c r="BA39" s="97" t="str">
        <f>IF($A39="","",IFERROR(INDEX('Driver Factors'!$C$6:$C$15,MATCH($R39,'Driver Factors'!$B$6:$B$15,0)),"?"))</f>
        <v/>
      </c>
      <c r="BB39" s="97" t="str">
        <f>IF($A39="","",IFERROR(INDEX('Driver Factors'!$C$19:$C$24,MATCH($S39,'Driver Factors'!$B$19:$B$24,0)),"?"))</f>
        <v/>
      </c>
      <c r="BC39" s="97" t="str">
        <f>IF($A39="","",IFERROR(INDEX('Driver Factors'!$C$28:$C$36,MATCH($T39,'Driver Factors'!$B$28:$B$36,0)),"?"))</f>
        <v/>
      </c>
      <c r="BD39" s="97" t="str">
        <f>IF($A39="","",IFERROR(INDEX('Claims History'!$C$6:$C$15,MATCH($U39,'Claims History'!$B$6:$B$15,0)),"?"))</f>
        <v/>
      </c>
      <c r="BE39" s="97" t="str">
        <f>IF($A39="","",IFERROR(INDEX('Territory Factors'!$E$6:$E$56,MATCH($K39,'Territory Factors'!$B$6:$B$56,0)),"?"))</f>
        <v/>
      </c>
      <c r="BF39" s="97" t="str">
        <f>IF($A39="","",IFERROR(INDEX('City Accident Ratings'!$G$6:$G$54,MATCH($Z39,'City Accident Ratings'!$B$6:$B$54,0)),"?"))</f>
        <v/>
      </c>
      <c r="BG39" s="97" t="str">
        <f>IF($A39="","",IFERROR(INDEX('Usage and Coverage'!$D$6:$D$20,MATCH($N39,'Usage and Coverage'!$C$6:$C$20,0)),"?"))</f>
        <v/>
      </c>
      <c r="BH39" s="97" t="str">
        <f>IF($A39="","",IFERROR(INDEX('Usage and Coverage'!$C$24:$C$30,MATCH($O39,'Usage and Coverage'!$B$24:$B$30,0)),"?"))</f>
        <v/>
      </c>
      <c r="BI39" s="97" t="str">
        <f>IF($A39="","",IFERROR(INDEX('Usage and Coverage'!$C$34:$C$40,MATCH($P39,'Usage and Coverage'!$B$34:$B$40,0)),"?"))</f>
        <v/>
      </c>
      <c r="BJ39" s="97" t="str">
        <f>IF($A39="","",IFERROR(INDEX('Usage and Coverage'!$C$44:$C$49,MATCH($Q39,'Usage and Coverage'!$B$44:$B$49,0)),"?"))</f>
        <v/>
      </c>
      <c r="BK39" s="97" t="str">
        <f>IF($A39="","",IFERROR(INDEX(Deductibles!$C$6:$I$15,MATCH($W39,Deductibles!$B$6:$B$15,0),MATCH(MAX($J39,'Technical Premium'!$C$18),'Base Rates'!$C$3:$I$3,1)),"?"))</f>
        <v/>
      </c>
      <c r="BL39" s="97" t="str">
        <f>IF($A39="","",IFERROR(INDEX('Usage and Coverage'!$C$63:$C$66,MATCH($X39,'Usage and Coverage'!$B$63:$B$66,0)),"?"))</f>
        <v/>
      </c>
      <c r="BM39" s="97" t="str">
        <f>IF($A39="","",IFERROR(INDEX('Usage and Coverage'!$C$70:$C$75,MATCH($V39,'Usage and Coverage'!$B$70:$B$75,0)),"?"))</f>
        <v/>
      </c>
      <c r="BN39" s="97" t="str">
        <f>IF($A39="","",IF($AB39="",1,IFERROR(INDEX(Deductibles!$C$48:$C$51,MATCH($AB39,Deductibles!$B$48:$B$51,0)),"?")))</f>
        <v/>
      </c>
      <c r="BO39" s="97" t="str">
        <f>IF($A39="","",IF($AC39="",1,IFERROR(INDEX(Deductibles!$C$55:$C$57,MATCH($AC39,Deductibles!$B$55:$B$57,0)),"?")))</f>
        <v/>
      </c>
      <c r="BP39" s="97" t="str">
        <f>IF($A39="","",IF($AD39="",1,IFERROR(INDEX(Deductibles!$C$61:$C$63,MATCH($AD39,Deductibles!$B$61:$B$63,0)),"?")))</f>
        <v/>
      </c>
      <c r="BQ39" s="97" t="str">
        <f>IF($A39="","",IF($AE39="",1,IFERROR(INDEX(Deductibles!$C$67:$C$69,MATCH($AE39,Deductibles!$B$67:$B$69,0)),"?")))</f>
        <v/>
      </c>
      <c r="BR39" s="97" t="str">
        <f>IF($A39="","",IF($AF39="",1,IFERROR(INDEX(Deductibles!$C$73:$C$74,MATCH($AF39,Deductibles!$B$73:$B$74,0)),"?")))</f>
        <v/>
      </c>
      <c r="BS39" s="97" t="str">
        <f>IF($A39="","",IF($AG39="",1,IFERROR(INDEX('Sublimits and Parts'!$C$49:$C$52,MATCH($AG39,'Sublimits and Parts'!$B$49:$B$52,0)),"?")))</f>
        <v/>
      </c>
      <c r="BT39" s="97" t="str">
        <f>IF($A39="","",IF($AH39="",1,IFERROR(INDEX('Sublimits and Parts'!$C$56:$C$60,MATCH($AH39,'Sublimits and Parts'!$B$56:$B$60,0)),"?")))</f>
        <v/>
      </c>
      <c r="BU39" s="97" t="str">
        <f>IF($A39="","",IF($AI39="",1,IFERROR(INDEX('Sublimits and Parts'!$C$64:$C$67,MATCH($AI39,'Sublimits and Parts'!$B$64:$B$67,0)),"?")))</f>
        <v/>
      </c>
      <c r="BV39" s="97" t="str">
        <f>IF($A39="","",IF($AJ39="",1,IFERROR(INDEX('Sublimits and Parts'!$C$71:$C$74,MATCH($AJ39,'Sublimits and Parts'!$B$71:$B$74,0)),"?")))</f>
        <v/>
      </c>
      <c r="BW39" s="97" t="str">
        <f>IF($A39="","",IF($AK39="",1,IFERROR(INDEX('Sublimits and Parts'!$C$78:$C$80,MATCH($AK39,'Sublimits and Parts'!$B$78:$B$80,0)),"?")))</f>
        <v/>
      </c>
      <c r="BX39" s="97" t="str">
        <f>IF($A39="","",IF($AL39="",1,IFERROR(INDEX('Sublimits and Parts'!$C$84:$C$87,MATCH($AL39,'Sublimits and Parts'!$B$84:$B$87,0)),"?")))</f>
        <v/>
      </c>
      <c r="BY39" s="97" t="str">
        <f>IF($A39="","",IF($AM39="",1,IFERROR(INDEX('Sublimits and Parts'!$C$91:$C$94,MATCH($AM39,'Sublimits and Parts'!$B$91:$B$94,0)),"?")))</f>
        <v/>
      </c>
      <c r="BZ39" s="97" t="str">
        <f>IF($A39="","",IF($AN39="",1,IFERROR(INDEX('Sublimits and Parts'!$C$98:$C$101,MATCH($AN39,'Sublimits and Parts'!$B$98:$B$101,0)),"?")))</f>
        <v/>
      </c>
      <c r="CA39" s="97" t="str">
        <f>IF($A39="","",IF($AO39="",1,IFERROR(INDEX('Sublimits and Parts'!$C$105:$C$109,MATCH($AO39,'Sublimits and Parts'!$B$105:$B$109,0)),"?")))</f>
        <v/>
      </c>
      <c r="CB39" s="98" t="str">
        <f t="shared" si="2"/>
        <v/>
      </c>
      <c r="CC39" s="98" t="str">
        <f t="shared" si="3"/>
        <v/>
      </c>
      <c r="CD39" s="101" t="str">
        <f>IF($A39="","",IF(OR($CB39="?",$CC39="?"),"?",MIN($CB39*$CC39,'Technical Premium'!$C$17)))</f>
        <v/>
      </c>
      <c r="CE39" s="100" t="str">
        <f t="shared" si="4"/>
        <v/>
      </c>
      <c r="CF39" s="100" t="str">
        <f>IF($A39="","",IFERROR(INDEX('Territory Factors'!$F$6:$F$56,MATCH($K39,'Territory Factors'!$B$6:$B$56,0)),"?"))</f>
        <v/>
      </c>
      <c r="CG39" s="98" t="str">
        <f>IF($A39="","",IFERROR(INDEX('Usage and Coverage'!$C$79:$C$84,MATCH($Y39,'Usage and Coverage'!$B$79:$B$84,0)),"?"))</f>
        <v/>
      </c>
      <c r="CH39" s="100" t="str">
        <f>IFERROR(IF(ISNUMBER($CD39),$CF39*$CG39*MIN($BG39*$BA39*$BC39*$BD39*$BH39*$BF39,'Technical Premium'!$C$17),""),"")</f>
        <v/>
      </c>
      <c r="CI39" s="100" t="str">
        <f t="shared" si="5"/>
        <v/>
      </c>
      <c r="CJ39" s="100" t="str">
        <f>IFERROR($CI39*(1+'Technical Premium'!$C$5)*(1+'Technical Premium'!$C$6),"")</f>
        <v/>
      </c>
      <c r="CK39" s="100" t="str">
        <f>IFERROR($CE39*INDEX('Territory Factors'!$G$6:$G$56,MATCH($K39,'Territory Factors'!$B$6:$B$56,0))*$AU39*$AV39,"")</f>
        <v/>
      </c>
      <c r="CL39" s="100" t="str">
        <f>IFERROR(($CJ39+$CK39)*(1+'Technical Premium'!$C$7),"")</f>
        <v/>
      </c>
      <c r="CM39" s="102" t="str">
        <f>IFERROR($CL39/'Technical Premium'!$C$13,"")</f>
        <v/>
      </c>
      <c r="CN39" s="103" t="str">
        <f t="shared" si="6"/>
        <v/>
      </c>
      <c r="CO39" s="102" t="str">
        <f t="shared" si="7"/>
        <v/>
      </c>
      <c r="CP39" s="103" t="str">
        <f t="shared" si="8"/>
        <v/>
      </c>
      <c r="CQ39" s="104" t="str">
        <f t="shared" si="9"/>
        <v/>
      </c>
      <c r="CR39" s="100" t="str">
        <f>IF(ISNUMBER($CM39),'Technical Premium'!$C$14+IF($J39&gt;=1000000,'Technical Premium'!$C$15,0),"")</f>
        <v/>
      </c>
      <c r="CS39" s="100" t="str">
        <f>IFERROR(($CO39+$CR39)*(INDEX('Territory Factors'!$K$6:$K$56,MATCH($K39,'Territory Factors'!$B$6:$B$56,0))+'Commission Structure'!$C$21),"")</f>
        <v/>
      </c>
      <c r="CT39" s="102" t="str">
        <f t="shared" si="10"/>
        <v/>
      </c>
      <c r="CU39" s="100" t="str">
        <f>IFERROR($CO39*('Commission Structure'!$C$6+'Commission Structure'!$C$7),"")</f>
        <v/>
      </c>
      <c r="CV39" s="100" t="str">
        <f>IFERROR($CO39*'Commission Structure'!$C$5-$CU39,"")</f>
        <v/>
      </c>
      <c r="CW39" s="100" t="str">
        <f>IFERROR($CO39*(1-'Commission Structure'!$C$5),"")</f>
        <v/>
      </c>
      <c r="CX39" s="105" t="str">
        <f>IF($A39="","",IF(OR($CB39="?",$CC39="?",NOT(ISNUMBER($AU39))),"CHECK INPUTS",IF(OR($J39&lt;'Technical Premium'!$C$18,LEFT(IFERROR(INDEX('Driver Factors'!$D$6:$D$15,MATCH($R39,'Driver Factors'!$B$6:$B$15,0)),""),7)="DECLINE",LEFT(IFERROR(INDEX('Driver Factors'!$D$28:$D$36,MATCH($T39,'Driver Factors'!$B$28:$B$36,0)),""),7)="DECLINE",LEFT(IFERROR(INDEX('Claims History'!$D$6:$D$15,MATCH($U39,'Claims History'!$B$6:$B$15,0)),""),7)="DECLINE",LEFT(IFERROR(INDEX('Usage and Coverage'!$E$6:$E$20,MATCH($N39,'Usage and Coverage'!$C$6:$C$20,0)),""),7)="DECLINE"),"DECLINE",IF(OR($CD39&gt;2.5,$CD39&gt;='Technical Premium'!$C$17,$J39&gt;='Technical Premium'!$C$16,N($AQ39)&lt;'Technical Premium'!$C$19,N($AQ39)&gt;'Technical Premium'!$C$20,LEFT(IFERROR(INDEX('Driver Factors'!$D$6:$D$15,MATCH($R39,'Driver Factors'!$B$6:$B$15,0)),""),5)="Refer",LEFT(IFERROR(INDEX('Driver Factors'!$D$28:$D$36,MATCH($T39,'Driver Factors'!$B$28:$B$36,0)),""),5)="Refer",LEFT(IFERROR(INDEX('Claims History'!$D$6:$D$15,MATCH($U39,'Claims History'!$B$6:$B$15,0)),""),5)="Refer",LEFT(IFERROR(INDEX('Usage and Coverage'!$E$6:$E$20,MATCH($N39,'Usage and Coverage'!$C$6:$C$20,0)),""),5)="Refer"),"REFER","AUTO-BIND"))))</f>
        <v/>
      </c>
      <c r="CY39" s="106" t="str">
        <f t="shared" si="11"/>
        <v/>
      </c>
      <c r="CZ39" s="97" t="str">
        <f>IF($CY39="","",IF($CY39&lt;'Technical Premium'!$C$19,"BEYOND AUTHORITY",IF($CY39&gt;0.005,"Above technical",IF($CY39&lt;-0.005,"BELOW technical","At technical"))))</f>
        <v/>
      </c>
      <c r="DA39" s="97" t="str">
        <f>IF($A39="","",IF($CX39="AUTO-BIND","",TRIM(IF($J39&lt;'Technical Premium'!$C$18,"Below programme minimum agreed value. ","")&amp;IF(N($AQ39)&lt;'Technical Premium'!$C$19,"DISCOUNT AUTHORITY BREACH. ","")&amp;IF(N($AQ39)&gt;'Technical Premium'!$C$20,"Load authority breach. ","")&amp;IF($J39&gt;='Technical Premium'!$C$16,"Agreed value at or above auto-bind limit. ","")&amp;IF(AND(ISNUMBER($CD39),$CD39&gt;='Technical Premium'!$C$17),"Composite factor at cap. ","")&amp;IF(AND(ISNUMBER($CD39),$CD39&gt;2.5),"Composite factor above 2.50. ","")&amp;IF(LEFT(IFERROR(INDEX('Driver Factors'!$D$6:$D$15,MATCH($R39,'Driver Factors'!$B$6:$B$15,0)),""),7)="DECLINE","DECLINE - driver age. ",IF(LEFT(IFERROR(INDEX('Driver Factors'!$D$6:$D$15,MATCH($R39,'Driver Factors'!$B$6:$B$15,0)),""),5)="Refer","Driver age band. ",""))&amp;IF(LEFT(IFERROR(INDEX('Driver Factors'!$D$28:$D$36,MATCH($T39,'Driver Factors'!$B$28:$B$36,0)),""),7)="DECLINE","DECLINE - MVR. ",IF(LEFT(IFERROR(INDEX('Driver Factors'!$D$28:$D$36,MATCH($T39,'Driver Factors'!$B$28:$B$36,0)),""),5)="Refer","MVR record. ",""))&amp;IF(LEFT(IFERROR(INDEX('Claims History'!$D$6:$D$15,MATCH($U39,'Claims History'!$B$6:$B$15,0)),""),7)="DECLINE","DECLINE - claims. ",IF(LEFT(IFERROR(INDEX('Claims History'!$D$6:$D$15,MATCH($U39,'Claims History'!$B$6:$B$15,0)),""),5)="Refer","Claims history. ",""))&amp;IF(LEFT(IFERROR(INDEX('Usage and Coverage'!$E$6:$E$20,MATCH($N39,'Usage and Coverage'!$C$6:$C$20,0)),""),7)="DECLINE","DECLINE - usage class. ",IF(LEFT(IFERROR(INDEX('Usage and Coverage'!$E$6:$E$20,MATCH($N39,'Usage and Coverage'!$C$6:$C$20,0)),""),5)="Refer","Usage class. ",""))&amp;IF($CX39="CHECK INPUTS","Incomplete inputs. ",""))))</f>
        <v/>
      </c>
      <c r="DB39" s="92"/>
      <c r="DC39" s="92"/>
      <c r="DD39" s="93"/>
      <c r="DE39" s="92"/>
      <c r="DF39" s="92"/>
      <c r="DG39" s="97" t="str">
        <f t="shared" si="12"/>
        <v/>
      </c>
      <c r="DH39" s="97" t="str">
        <f>IF($A39="","",IF(OR($CX39="REFER",$CX39="DECLINE"),COUNTIF($CX$5:$CX39,"REFER")+COUNTIF($CX$5:$CX39,"DECLINE"),""))</f>
        <v/>
      </c>
      <c r="DI39" s="92"/>
    </row>
    <row r="40" spans="1:113" x14ac:dyDescent="0.25">
      <c r="A40" s="92"/>
      <c r="B40" s="92"/>
      <c r="C40" s="93"/>
      <c r="D40" s="93"/>
      <c r="E40" s="94"/>
      <c r="F40" s="92"/>
      <c r="G40" s="92"/>
      <c r="H40" s="92"/>
      <c r="I40" s="92"/>
      <c r="J40" s="95"/>
      <c r="K40" s="92"/>
      <c r="L40" s="92"/>
      <c r="M40" s="92"/>
      <c r="N40" s="92"/>
      <c r="O40" s="92"/>
      <c r="P40" s="92"/>
      <c r="Q40" s="92"/>
      <c r="R40" s="92"/>
      <c r="S40" s="92"/>
      <c r="T40" s="92"/>
      <c r="U40" s="92"/>
      <c r="V40" s="92"/>
      <c r="W40" s="92"/>
      <c r="X40" s="92"/>
      <c r="Y40" s="92"/>
      <c r="Z40" s="92"/>
      <c r="AA40" s="92"/>
      <c r="AB40" s="92"/>
      <c r="AC40" s="92"/>
      <c r="AD40" s="92"/>
      <c r="AE40" s="92"/>
      <c r="AF40" s="92"/>
      <c r="AG40" s="92"/>
      <c r="AH40" s="92"/>
      <c r="AI40" s="92"/>
      <c r="AJ40" s="92"/>
      <c r="AK40" s="92"/>
      <c r="AL40" s="92"/>
      <c r="AM40" s="92"/>
      <c r="AN40" s="92"/>
      <c r="AO40" s="92"/>
      <c r="AP40" s="92"/>
      <c r="AQ40" s="96"/>
      <c r="AR40" s="97" t="str">
        <f t="shared" si="0"/>
        <v/>
      </c>
      <c r="AS40" s="97" t="str">
        <f>IF($A40="","",IF($AP40&lt;&gt;"",$AP40,IFERROR(INDEX('Cat Zone by ZIP'!$D$6:$D$856,MATCH($AR40,'Cat Zone by ZIP'!$B$6:$B$856,0)),IFERROR(INDEX('Cat Zone by ZIP'!$C$860:$C$910,MATCH($K40,'Cat Zone by ZIP'!$B$860:$B$910,0)),"NOT FOUND"))))</f>
        <v/>
      </c>
      <c r="AT40" s="97" t="str">
        <f>IF($A40="","",IF($AP40&lt;&gt;"","Override",IF(ISNUMBER(MATCH($AR40,'Cat Zone by ZIP'!$B$6:$B$856,0)),"ZIP-3","State default")))</f>
        <v/>
      </c>
      <c r="AU40" s="98" t="str">
        <f>IF($A40="","",IFERROR(INDEX('Natural Catastrophe'!$D$6:$D$17,MATCH($AS40,'Natural Catastrophe'!$B$6:$B$17,0)),"?"))</f>
        <v/>
      </c>
      <c r="AV40" s="98" t="str">
        <f>IF($A40="","",IFERROR(INDEX('Natural Catastrophe'!$C$21:$C$26,MATCH($AA40,'Natural Catastrophe'!$B$21:$B$26,0)),"?"))</f>
        <v/>
      </c>
      <c r="AW40" s="97" t="str">
        <f>IF($A40="","",IFERROR(INDEX('Base Rates'!$C$4:$I$4,MATCH(MAX($J40,'Technical Premium'!$C$18),'Base Rates'!$C$3:$I$3,1)),"?"))</f>
        <v/>
      </c>
      <c r="AX40" s="99" t="str">
        <f>IF($A40="","",IFERROR(INDEX('Base Rates'!$C$5:$I$16,MATCH($I40,'Base Rates'!$B$5:$B$16,0),MATCH(MAX($J40,'Technical Premium'!$C$18),'Base Rates'!$C$3:$I$3,1)),"?"))</f>
        <v/>
      </c>
      <c r="AY40" s="100" t="str">
        <f t="shared" si="1"/>
        <v/>
      </c>
      <c r="AZ40" s="97" t="str">
        <f>IF($A40="","",IFERROR(INDEX('Make Factors'!$G$5:$G$69,MATCH($F40,'Make Factors'!$B$5:$B$69,0)),"?"))</f>
        <v/>
      </c>
      <c r="BA40" s="97" t="str">
        <f>IF($A40="","",IFERROR(INDEX('Driver Factors'!$C$6:$C$15,MATCH($R40,'Driver Factors'!$B$6:$B$15,0)),"?"))</f>
        <v/>
      </c>
      <c r="BB40" s="97" t="str">
        <f>IF($A40="","",IFERROR(INDEX('Driver Factors'!$C$19:$C$24,MATCH($S40,'Driver Factors'!$B$19:$B$24,0)),"?"))</f>
        <v/>
      </c>
      <c r="BC40" s="97" t="str">
        <f>IF($A40="","",IFERROR(INDEX('Driver Factors'!$C$28:$C$36,MATCH($T40,'Driver Factors'!$B$28:$B$36,0)),"?"))</f>
        <v/>
      </c>
      <c r="BD40" s="97" t="str">
        <f>IF($A40="","",IFERROR(INDEX('Claims History'!$C$6:$C$15,MATCH($U40,'Claims History'!$B$6:$B$15,0)),"?"))</f>
        <v/>
      </c>
      <c r="BE40" s="97" t="str">
        <f>IF($A40="","",IFERROR(INDEX('Territory Factors'!$E$6:$E$56,MATCH($K40,'Territory Factors'!$B$6:$B$56,0)),"?"))</f>
        <v/>
      </c>
      <c r="BF40" s="97" t="str">
        <f>IF($A40="","",IFERROR(INDEX('City Accident Ratings'!$G$6:$G$54,MATCH($Z40,'City Accident Ratings'!$B$6:$B$54,0)),"?"))</f>
        <v/>
      </c>
      <c r="BG40" s="97" t="str">
        <f>IF($A40="","",IFERROR(INDEX('Usage and Coverage'!$D$6:$D$20,MATCH($N40,'Usage and Coverage'!$C$6:$C$20,0)),"?"))</f>
        <v/>
      </c>
      <c r="BH40" s="97" t="str">
        <f>IF($A40="","",IFERROR(INDEX('Usage and Coverage'!$C$24:$C$30,MATCH($O40,'Usage and Coverage'!$B$24:$B$30,0)),"?"))</f>
        <v/>
      </c>
      <c r="BI40" s="97" t="str">
        <f>IF($A40="","",IFERROR(INDEX('Usage and Coverage'!$C$34:$C$40,MATCH($P40,'Usage and Coverage'!$B$34:$B$40,0)),"?"))</f>
        <v/>
      </c>
      <c r="BJ40" s="97" t="str">
        <f>IF($A40="","",IFERROR(INDEX('Usage and Coverage'!$C$44:$C$49,MATCH($Q40,'Usage and Coverage'!$B$44:$B$49,0)),"?"))</f>
        <v/>
      </c>
      <c r="BK40" s="97" t="str">
        <f>IF($A40="","",IFERROR(INDEX(Deductibles!$C$6:$I$15,MATCH($W40,Deductibles!$B$6:$B$15,0),MATCH(MAX($J40,'Technical Premium'!$C$18),'Base Rates'!$C$3:$I$3,1)),"?"))</f>
        <v/>
      </c>
      <c r="BL40" s="97" t="str">
        <f>IF($A40="","",IFERROR(INDEX('Usage and Coverage'!$C$63:$C$66,MATCH($X40,'Usage and Coverage'!$B$63:$B$66,0)),"?"))</f>
        <v/>
      </c>
      <c r="BM40" s="97" t="str">
        <f>IF($A40="","",IFERROR(INDEX('Usage and Coverage'!$C$70:$C$75,MATCH($V40,'Usage and Coverage'!$B$70:$B$75,0)),"?"))</f>
        <v/>
      </c>
      <c r="BN40" s="97" t="str">
        <f>IF($A40="","",IF($AB40="",1,IFERROR(INDEX(Deductibles!$C$48:$C$51,MATCH($AB40,Deductibles!$B$48:$B$51,0)),"?")))</f>
        <v/>
      </c>
      <c r="BO40" s="97" t="str">
        <f>IF($A40="","",IF($AC40="",1,IFERROR(INDEX(Deductibles!$C$55:$C$57,MATCH($AC40,Deductibles!$B$55:$B$57,0)),"?")))</f>
        <v/>
      </c>
      <c r="BP40" s="97" t="str">
        <f>IF($A40="","",IF($AD40="",1,IFERROR(INDEX(Deductibles!$C$61:$C$63,MATCH($AD40,Deductibles!$B$61:$B$63,0)),"?")))</f>
        <v/>
      </c>
      <c r="BQ40" s="97" t="str">
        <f>IF($A40="","",IF($AE40="",1,IFERROR(INDEX(Deductibles!$C$67:$C$69,MATCH($AE40,Deductibles!$B$67:$B$69,0)),"?")))</f>
        <v/>
      </c>
      <c r="BR40" s="97" t="str">
        <f>IF($A40="","",IF($AF40="",1,IFERROR(INDEX(Deductibles!$C$73:$C$74,MATCH($AF40,Deductibles!$B$73:$B$74,0)),"?")))</f>
        <v/>
      </c>
      <c r="BS40" s="97" t="str">
        <f>IF($A40="","",IF($AG40="",1,IFERROR(INDEX('Sublimits and Parts'!$C$49:$C$52,MATCH($AG40,'Sublimits and Parts'!$B$49:$B$52,0)),"?")))</f>
        <v/>
      </c>
      <c r="BT40" s="97" t="str">
        <f>IF($A40="","",IF($AH40="",1,IFERROR(INDEX('Sublimits and Parts'!$C$56:$C$60,MATCH($AH40,'Sublimits and Parts'!$B$56:$B$60,0)),"?")))</f>
        <v/>
      </c>
      <c r="BU40" s="97" t="str">
        <f>IF($A40="","",IF($AI40="",1,IFERROR(INDEX('Sublimits and Parts'!$C$64:$C$67,MATCH($AI40,'Sublimits and Parts'!$B$64:$B$67,0)),"?")))</f>
        <v/>
      </c>
      <c r="BV40" s="97" t="str">
        <f>IF($A40="","",IF($AJ40="",1,IFERROR(INDEX('Sublimits and Parts'!$C$71:$C$74,MATCH($AJ40,'Sublimits and Parts'!$B$71:$B$74,0)),"?")))</f>
        <v/>
      </c>
      <c r="BW40" s="97" t="str">
        <f>IF($A40="","",IF($AK40="",1,IFERROR(INDEX('Sublimits and Parts'!$C$78:$C$80,MATCH($AK40,'Sublimits and Parts'!$B$78:$B$80,0)),"?")))</f>
        <v/>
      </c>
      <c r="BX40" s="97" t="str">
        <f>IF($A40="","",IF($AL40="",1,IFERROR(INDEX('Sublimits and Parts'!$C$84:$C$87,MATCH($AL40,'Sublimits and Parts'!$B$84:$B$87,0)),"?")))</f>
        <v/>
      </c>
      <c r="BY40" s="97" t="str">
        <f>IF($A40="","",IF($AM40="",1,IFERROR(INDEX('Sublimits and Parts'!$C$91:$C$94,MATCH($AM40,'Sublimits and Parts'!$B$91:$B$94,0)),"?")))</f>
        <v/>
      </c>
      <c r="BZ40" s="97" t="str">
        <f>IF($A40="","",IF($AN40="",1,IFERROR(INDEX('Sublimits and Parts'!$C$98:$C$101,MATCH($AN40,'Sublimits and Parts'!$B$98:$B$101,0)),"?")))</f>
        <v/>
      </c>
      <c r="CA40" s="97" t="str">
        <f>IF($A40="","",IF($AO40="",1,IFERROR(INDEX('Sublimits and Parts'!$C$105:$C$109,MATCH($AO40,'Sublimits and Parts'!$B$105:$B$109,0)),"?")))</f>
        <v/>
      </c>
      <c r="CB40" s="98" t="str">
        <f t="shared" si="2"/>
        <v/>
      </c>
      <c r="CC40" s="98" t="str">
        <f t="shared" si="3"/>
        <v/>
      </c>
      <c r="CD40" s="101" t="str">
        <f>IF($A40="","",IF(OR($CB40="?",$CC40="?"),"?",MIN($CB40*$CC40,'Technical Premium'!$C$17)))</f>
        <v/>
      </c>
      <c r="CE40" s="100" t="str">
        <f t="shared" si="4"/>
        <v/>
      </c>
      <c r="CF40" s="100" t="str">
        <f>IF($A40="","",IFERROR(INDEX('Territory Factors'!$F$6:$F$56,MATCH($K40,'Territory Factors'!$B$6:$B$56,0)),"?"))</f>
        <v/>
      </c>
      <c r="CG40" s="98" t="str">
        <f>IF($A40="","",IFERROR(INDEX('Usage and Coverage'!$C$79:$C$84,MATCH($Y40,'Usage and Coverage'!$B$79:$B$84,0)),"?"))</f>
        <v/>
      </c>
      <c r="CH40" s="100" t="str">
        <f>IFERROR(IF(ISNUMBER($CD40),$CF40*$CG40*MIN($BG40*$BA40*$BC40*$BD40*$BH40*$BF40,'Technical Premium'!$C$17),""),"")</f>
        <v/>
      </c>
      <c r="CI40" s="100" t="str">
        <f t="shared" si="5"/>
        <v/>
      </c>
      <c r="CJ40" s="100" t="str">
        <f>IFERROR($CI40*(1+'Technical Premium'!$C$5)*(1+'Technical Premium'!$C$6),"")</f>
        <v/>
      </c>
      <c r="CK40" s="100" t="str">
        <f>IFERROR($CE40*INDEX('Territory Factors'!$G$6:$G$56,MATCH($K40,'Territory Factors'!$B$6:$B$56,0))*$AU40*$AV40,"")</f>
        <v/>
      </c>
      <c r="CL40" s="100" t="str">
        <f>IFERROR(($CJ40+$CK40)*(1+'Technical Premium'!$C$7),"")</f>
        <v/>
      </c>
      <c r="CM40" s="102" t="str">
        <f>IFERROR($CL40/'Technical Premium'!$C$13,"")</f>
        <v/>
      </c>
      <c r="CN40" s="103" t="str">
        <f t="shared" si="6"/>
        <v/>
      </c>
      <c r="CO40" s="102" t="str">
        <f t="shared" si="7"/>
        <v/>
      </c>
      <c r="CP40" s="103" t="str">
        <f t="shared" si="8"/>
        <v/>
      </c>
      <c r="CQ40" s="104" t="str">
        <f t="shared" si="9"/>
        <v/>
      </c>
      <c r="CR40" s="100" t="str">
        <f>IF(ISNUMBER($CM40),'Technical Premium'!$C$14+IF($J40&gt;=1000000,'Technical Premium'!$C$15,0),"")</f>
        <v/>
      </c>
      <c r="CS40" s="100" t="str">
        <f>IFERROR(($CO40+$CR40)*(INDEX('Territory Factors'!$K$6:$K$56,MATCH($K40,'Territory Factors'!$B$6:$B$56,0))+'Commission Structure'!$C$21),"")</f>
        <v/>
      </c>
      <c r="CT40" s="102" t="str">
        <f t="shared" si="10"/>
        <v/>
      </c>
      <c r="CU40" s="100" t="str">
        <f>IFERROR($CO40*('Commission Structure'!$C$6+'Commission Structure'!$C$7),"")</f>
        <v/>
      </c>
      <c r="CV40" s="100" t="str">
        <f>IFERROR($CO40*'Commission Structure'!$C$5-$CU40,"")</f>
        <v/>
      </c>
      <c r="CW40" s="100" t="str">
        <f>IFERROR($CO40*(1-'Commission Structure'!$C$5),"")</f>
        <v/>
      </c>
      <c r="CX40" s="105" t="str">
        <f>IF($A40="","",IF(OR($CB40="?",$CC40="?",NOT(ISNUMBER($AU40))),"CHECK INPUTS",IF(OR($J40&lt;'Technical Premium'!$C$18,LEFT(IFERROR(INDEX('Driver Factors'!$D$6:$D$15,MATCH($R40,'Driver Factors'!$B$6:$B$15,0)),""),7)="DECLINE",LEFT(IFERROR(INDEX('Driver Factors'!$D$28:$D$36,MATCH($T40,'Driver Factors'!$B$28:$B$36,0)),""),7)="DECLINE",LEFT(IFERROR(INDEX('Claims History'!$D$6:$D$15,MATCH($U40,'Claims History'!$B$6:$B$15,0)),""),7)="DECLINE",LEFT(IFERROR(INDEX('Usage and Coverage'!$E$6:$E$20,MATCH($N40,'Usage and Coverage'!$C$6:$C$20,0)),""),7)="DECLINE"),"DECLINE",IF(OR($CD40&gt;2.5,$CD40&gt;='Technical Premium'!$C$17,$J40&gt;='Technical Premium'!$C$16,N($AQ40)&lt;'Technical Premium'!$C$19,N($AQ40)&gt;'Technical Premium'!$C$20,LEFT(IFERROR(INDEX('Driver Factors'!$D$6:$D$15,MATCH($R40,'Driver Factors'!$B$6:$B$15,0)),""),5)="Refer",LEFT(IFERROR(INDEX('Driver Factors'!$D$28:$D$36,MATCH($T40,'Driver Factors'!$B$28:$B$36,0)),""),5)="Refer",LEFT(IFERROR(INDEX('Claims History'!$D$6:$D$15,MATCH($U40,'Claims History'!$B$6:$B$15,0)),""),5)="Refer",LEFT(IFERROR(INDEX('Usage and Coverage'!$E$6:$E$20,MATCH($N40,'Usage and Coverage'!$C$6:$C$20,0)),""),5)="Refer"),"REFER","AUTO-BIND"))))</f>
        <v/>
      </c>
      <c r="CY40" s="106" t="str">
        <f t="shared" si="11"/>
        <v/>
      </c>
      <c r="CZ40" s="97" t="str">
        <f>IF($CY40="","",IF($CY40&lt;'Technical Premium'!$C$19,"BEYOND AUTHORITY",IF($CY40&gt;0.005,"Above technical",IF($CY40&lt;-0.005,"BELOW technical","At technical"))))</f>
        <v/>
      </c>
      <c r="DA40" s="97" t="str">
        <f>IF($A40="","",IF($CX40="AUTO-BIND","",TRIM(IF($J40&lt;'Technical Premium'!$C$18,"Below programme minimum agreed value. ","")&amp;IF(N($AQ40)&lt;'Technical Premium'!$C$19,"DISCOUNT AUTHORITY BREACH. ","")&amp;IF(N($AQ40)&gt;'Technical Premium'!$C$20,"Load authority breach. ","")&amp;IF($J40&gt;='Technical Premium'!$C$16,"Agreed value at or above auto-bind limit. ","")&amp;IF(AND(ISNUMBER($CD40),$CD40&gt;='Technical Premium'!$C$17),"Composite factor at cap. ","")&amp;IF(AND(ISNUMBER($CD40),$CD40&gt;2.5),"Composite factor above 2.50. ","")&amp;IF(LEFT(IFERROR(INDEX('Driver Factors'!$D$6:$D$15,MATCH($R40,'Driver Factors'!$B$6:$B$15,0)),""),7)="DECLINE","DECLINE - driver age. ",IF(LEFT(IFERROR(INDEX('Driver Factors'!$D$6:$D$15,MATCH($R40,'Driver Factors'!$B$6:$B$15,0)),""),5)="Refer","Driver age band. ",""))&amp;IF(LEFT(IFERROR(INDEX('Driver Factors'!$D$28:$D$36,MATCH($T40,'Driver Factors'!$B$28:$B$36,0)),""),7)="DECLINE","DECLINE - MVR. ",IF(LEFT(IFERROR(INDEX('Driver Factors'!$D$28:$D$36,MATCH($T40,'Driver Factors'!$B$28:$B$36,0)),""),5)="Refer","MVR record. ",""))&amp;IF(LEFT(IFERROR(INDEX('Claims History'!$D$6:$D$15,MATCH($U40,'Claims History'!$B$6:$B$15,0)),""),7)="DECLINE","DECLINE - claims. ",IF(LEFT(IFERROR(INDEX('Claims History'!$D$6:$D$15,MATCH($U40,'Claims History'!$B$6:$B$15,0)),""),5)="Refer","Claims history. ",""))&amp;IF(LEFT(IFERROR(INDEX('Usage and Coverage'!$E$6:$E$20,MATCH($N40,'Usage and Coverage'!$C$6:$C$20,0)),""),7)="DECLINE","DECLINE - usage class. ",IF(LEFT(IFERROR(INDEX('Usage and Coverage'!$E$6:$E$20,MATCH($N40,'Usage and Coverage'!$C$6:$C$20,0)),""),5)="Refer","Usage class. ",""))&amp;IF($CX40="CHECK INPUTS","Incomplete inputs. ",""))))</f>
        <v/>
      </c>
      <c r="DB40" s="92"/>
      <c r="DC40" s="92"/>
      <c r="DD40" s="93"/>
      <c r="DE40" s="92"/>
      <c r="DF40" s="92"/>
      <c r="DG40" s="97" t="str">
        <f t="shared" si="12"/>
        <v/>
      </c>
      <c r="DH40" s="97" t="str">
        <f>IF($A40="","",IF(OR($CX40="REFER",$CX40="DECLINE"),COUNTIF($CX$5:$CX40,"REFER")+COUNTIF($CX$5:$CX40,"DECLINE"),""))</f>
        <v/>
      </c>
      <c r="DI40" s="92"/>
    </row>
    <row r="41" spans="1:113" x14ac:dyDescent="0.25">
      <c r="A41" s="92"/>
      <c r="B41" s="92"/>
      <c r="C41" s="93"/>
      <c r="D41" s="93"/>
      <c r="E41" s="94"/>
      <c r="F41" s="92"/>
      <c r="G41" s="92"/>
      <c r="H41" s="92"/>
      <c r="I41" s="92"/>
      <c r="J41" s="95"/>
      <c r="K41" s="92"/>
      <c r="L41" s="92"/>
      <c r="M41" s="92"/>
      <c r="N41" s="92"/>
      <c r="O41" s="92"/>
      <c r="P41" s="92"/>
      <c r="Q41" s="92"/>
      <c r="R41" s="92"/>
      <c r="S41" s="92"/>
      <c r="T41" s="92"/>
      <c r="U41" s="92"/>
      <c r="V41" s="92"/>
      <c r="W41" s="92"/>
      <c r="X41" s="92"/>
      <c r="Y41" s="92"/>
      <c r="Z41" s="92"/>
      <c r="AA41" s="92"/>
      <c r="AB41" s="92"/>
      <c r="AC41" s="92"/>
      <c r="AD41" s="92"/>
      <c r="AE41" s="92"/>
      <c r="AF41" s="92"/>
      <c r="AG41" s="92"/>
      <c r="AH41" s="92"/>
      <c r="AI41" s="92"/>
      <c r="AJ41" s="92"/>
      <c r="AK41" s="92"/>
      <c r="AL41" s="92"/>
      <c r="AM41" s="92"/>
      <c r="AN41" s="92"/>
      <c r="AO41" s="92"/>
      <c r="AP41" s="92"/>
      <c r="AQ41" s="96"/>
      <c r="AR41" s="97" t="str">
        <f t="shared" si="0"/>
        <v/>
      </c>
      <c r="AS41" s="97" t="str">
        <f>IF($A41="","",IF($AP41&lt;&gt;"",$AP41,IFERROR(INDEX('Cat Zone by ZIP'!$D$6:$D$856,MATCH($AR41,'Cat Zone by ZIP'!$B$6:$B$856,0)),IFERROR(INDEX('Cat Zone by ZIP'!$C$860:$C$910,MATCH($K41,'Cat Zone by ZIP'!$B$860:$B$910,0)),"NOT FOUND"))))</f>
        <v/>
      </c>
      <c r="AT41" s="97" t="str">
        <f>IF($A41="","",IF($AP41&lt;&gt;"","Override",IF(ISNUMBER(MATCH($AR41,'Cat Zone by ZIP'!$B$6:$B$856,0)),"ZIP-3","State default")))</f>
        <v/>
      </c>
      <c r="AU41" s="98" t="str">
        <f>IF($A41="","",IFERROR(INDEX('Natural Catastrophe'!$D$6:$D$17,MATCH($AS41,'Natural Catastrophe'!$B$6:$B$17,0)),"?"))</f>
        <v/>
      </c>
      <c r="AV41" s="98" t="str">
        <f>IF($A41="","",IFERROR(INDEX('Natural Catastrophe'!$C$21:$C$26,MATCH($AA41,'Natural Catastrophe'!$B$21:$B$26,0)),"?"))</f>
        <v/>
      </c>
      <c r="AW41" s="97" t="str">
        <f>IF($A41="","",IFERROR(INDEX('Base Rates'!$C$4:$I$4,MATCH(MAX($J41,'Technical Premium'!$C$18),'Base Rates'!$C$3:$I$3,1)),"?"))</f>
        <v/>
      </c>
      <c r="AX41" s="99" t="str">
        <f>IF($A41="","",IFERROR(INDEX('Base Rates'!$C$5:$I$16,MATCH($I41,'Base Rates'!$B$5:$B$16,0),MATCH(MAX($J41,'Technical Premium'!$C$18),'Base Rates'!$C$3:$I$3,1)),"?"))</f>
        <v/>
      </c>
      <c r="AY41" s="100" t="str">
        <f t="shared" si="1"/>
        <v/>
      </c>
      <c r="AZ41" s="97" t="str">
        <f>IF($A41="","",IFERROR(INDEX('Make Factors'!$G$5:$G$69,MATCH($F41,'Make Factors'!$B$5:$B$69,0)),"?"))</f>
        <v/>
      </c>
      <c r="BA41" s="97" t="str">
        <f>IF($A41="","",IFERROR(INDEX('Driver Factors'!$C$6:$C$15,MATCH($R41,'Driver Factors'!$B$6:$B$15,0)),"?"))</f>
        <v/>
      </c>
      <c r="BB41" s="97" t="str">
        <f>IF($A41="","",IFERROR(INDEX('Driver Factors'!$C$19:$C$24,MATCH($S41,'Driver Factors'!$B$19:$B$24,0)),"?"))</f>
        <v/>
      </c>
      <c r="BC41" s="97" t="str">
        <f>IF($A41="","",IFERROR(INDEX('Driver Factors'!$C$28:$C$36,MATCH($T41,'Driver Factors'!$B$28:$B$36,0)),"?"))</f>
        <v/>
      </c>
      <c r="BD41" s="97" t="str">
        <f>IF($A41="","",IFERROR(INDEX('Claims History'!$C$6:$C$15,MATCH($U41,'Claims History'!$B$6:$B$15,0)),"?"))</f>
        <v/>
      </c>
      <c r="BE41" s="97" t="str">
        <f>IF($A41="","",IFERROR(INDEX('Territory Factors'!$E$6:$E$56,MATCH($K41,'Territory Factors'!$B$6:$B$56,0)),"?"))</f>
        <v/>
      </c>
      <c r="BF41" s="97" t="str">
        <f>IF($A41="","",IFERROR(INDEX('City Accident Ratings'!$G$6:$G$54,MATCH($Z41,'City Accident Ratings'!$B$6:$B$54,0)),"?"))</f>
        <v/>
      </c>
      <c r="BG41" s="97" t="str">
        <f>IF($A41="","",IFERROR(INDEX('Usage and Coverage'!$D$6:$D$20,MATCH($N41,'Usage and Coverage'!$C$6:$C$20,0)),"?"))</f>
        <v/>
      </c>
      <c r="BH41" s="97" t="str">
        <f>IF($A41="","",IFERROR(INDEX('Usage and Coverage'!$C$24:$C$30,MATCH($O41,'Usage and Coverage'!$B$24:$B$30,0)),"?"))</f>
        <v/>
      </c>
      <c r="BI41" s="97" t="str">
        <f>IF($A41="","",IFERROR(INDEX('Usage and Coverage'!$C$34:$C$40,MATCH($P41,'Usage and Coverage'!$B$34:$B$40,0)),"?"))</f>
        <v/>
      </c>
      <c r="BJ41" s="97" t="str">
        <f>IF($A41="","",IFERROR(INDEX('Usage and Coverage'!$C$44:$C$49,MATCH($Q41,'Usage and Coverage'!$B$44:$B$49,0)),"?"))</f>
        <v/>
      </c>
      <c r="BK41" s="97" t="str">
        <f>IF($A41="","",IFERROR(INDEX(Deductibles!$C$6:$I$15,MATCH($W41,Deductibles!$B$6:$B$15,0),MATCH(MAX($J41,'Technical Premium'!$C$18),'Base Rates'!$C$3:$I$3,1)),"?"))</f>
        <v/>
      </c>
      <c r="BL41" s="97" t="str">
        <f>IF($A41="","",IFERROR(INDEX('Usage and Coverage'!$C$63:$C$66,MATCH($X41,'Usage and Coverage'!$B$63:$B$66,0)),"?"))</f>
        <v/>
      </c>
      <c r="BM41" s="97" t="str">
        <f>IF($A41="","",IFERROR(INDEX('Usage and Coverage'!$C$70:$C$75,MATCH($V41,'Usage and Coverage'!$B$70:$B$75,0)),"?"))</f>
        <v/>
      </c>
      <c r="BN41" s="97" t="str">
        <f>IF($A41="","",IF($AB41="",1,IFERROR(INDEX(Deductibles!$C$48:$C$51,MATCH($AB41,Deductibles!$B$48:$B$51,0)),"?")))</f>
        <v/>
      </c>
      <c r="BO41" s="97" t="str">
        <f>IF($A41="","",IF($AC41="",1,IFERROR(INDEX(Deductibles!$C$55:$C$57,MATCH($AC41,Deductibles!$B$55:$B$57,0)),"?")))</f>
        <v/>
      </c>
      <c r="BP41" s="97" t="str">
        <f>IF($A41="","",IF($AD41="",1,IFERROR(INDEX(Deductibles!$C$61:$C$63,MATCH($AD41,Deductibles!$B$61:$B$63,0)),"?")))</f>
        <v/>
      </c>
      <c r="BQ41" s="97" t="str">
        <f>IF($A41="","",IF($AE41="",1,IFERROR(INDEX(Deductibles!$C$67:$C$69,MATCH($AE41,Deductibles!$B$67:$B$69,0)),"?")))</f>
        <v/>
      </c>
      <c r="BR41" s="97" t="str">
        <f>IF($A41="","",IF($AF41="",1,IFERROR(INDEX(Deductibles!$C$73:$C$74,MATCH($AF41,Deductibles!$B$73:$B$74,0)),"?")))</f>
        <v/>
      </c>
      <c r="BS41" s="97" t="str">
        <f>IF($A41="","",IF($AG41="",1,IFERROR(INDEX('Sublimits and Parts'!$C$49:$C$52,MATCH($AG41,'Sublimits and Parts'!$B$49:$B$52,0)),"?")))</f>
        <v/>
      </c>
      <c r="BT41" s="97" t="str">
        <f>IF($A41="","",IF($AH41="",1,IFERROR(INDEX('Sublimits and Parts'!$C$56:$C$60,MATCH($AH41,'Sublimits and Parts'!$B$56:$B$60,0)),"?")))</f>
        <v/>
      </c>
      <c r="BU41" s="97" t="str">
        <f>IF($A41="","",IF($AI41="",1,IFERROR(INDEX('Sublimits and Parts'!$C$64:$C$67,MATCH($AI41,'Sublimits and Parts'!$B$64:$B$67,0)),"?")))</f>
        <v/>
      </c>
      <c r="BV41" s="97" t="str">
        <f>IF($A41="","",IF($AJ41="",1,IFERROR(INDEX('Sublimits and Parts'!$C$71:$C$74,MATCH($AJ41,'Sublimits and Parts'!$B$71:$B$74,0)),"?")))</f>
        <v/>
      </c>
      <c r="BW41" s="97" t="str">
        <f>IF($A41="","",IF($AK41="",1,IFERROR(INDEX('Sublimits and Parts'!$C$78:$C$80,MATCH($AK41,'Sublimits and Parts'!$B$78:$B$80,0)),"?")))</f>
        <v/>
      </c>
      <c r="BX41" s="97" t="str">
        <f>IF($A41="","",IF($AL41="",1,IFERROR(INDEX('Sublimits and Parts'!$C$84:$C$87,MATCH($AL41,'Sublimits and Parts'!$B$84:$B$87,0)),"?")))</f>
        <v/>
      </c>
      <c r="BY41" s="97" t="str">
        <f>IF($A41="","",IF($AM41="",1,IFERROR(INDEX('Sublimits and Parts'!$C$91:$C$94,MATCH($AM41,'Sublimits and Parts'!$B$91:$B$94,0)),"?")))</f>
        <v/>
      </c>
      <c r="BZ41" s="97" t="str">
        <f>IF($A41="","",IF($AN41="",1,IFERROR(INDEX('Sublimits and Parts'!$C$98:$C$101,MATCH($AN41,'Sublimits and Parts'!$B$98:$B$101,0)),"?")))</f>
        <v/>
      </c>
      <c r="CA41" s="97" t="str">
        <f>IF($A41="","",IF($AO41="",1,IFERROR(INDEX('Sublimits and Parts'!$C$105:$C$109,MATCH($AO41,'Sublimits and Parts'!$B$105:$B$109,0)),"?")))</f>
        <v/>
      </c>
      <c r="CB41" s="98" t="str">
        <f t="shared" si="2"/>
        <v/>
      </c>
      <c r="CC41" s="98" t="str">
        <f t="shared" si="3"/>
        <v/>
      </c>
      <c r="CD41" s="101" t="str">
        <f>IF($A41="","",IF(OR($CB41="?",$CC41="?"),"?",MIN($CB41*$CC41,'Technical Premium'!$C$17)))</f>
        <v/>
      </c>
      <c r="CE41" s="100" t="str">
        <f t="shared" si="4"/>
        <v/>
      </c>
      <c r="CF41" s="100" t="str">
        <f>IF($A41="","",IFERROR(INDEX('Territory Factors'!$F$6:$F$56,MATCH($K41,'Territory Factors'!$B$6:$B$56,0)),"?"))</f>
        <v/>
      </c>
      <c r="CG41" s="98" t="str">
        <f>IF($A41="","",IFERROR(INDEX('Usage and Coverage'!$C$79:$C$84,MATCH($Y41,'Usage and Coverage'!$B$79:$B$84,0)),"?"))</f>
        <v/>
      </c>
      <c r="CH41" s="100" t="str">
        <f>IFERROR(IF(ISNUMBER($CD41),$CF41*$CG41*MIN($BG41*$BA41*$BC41*$BD41*$BH41*$BF41,'Technical Premium'!$C$17),""),"")</f>
        <v/>
      </c>
      <c r="CI41" s="100" t="str">
        <f t="shared" si="5"/>
        <v/>
      </c>
      <c r="CJ41" s="100" t="str">
        <f>IFERROR($CI41*(1+'Technical Premium'!$C$5)*(1+'Technical Premium'!$C$6),"")</f>
        <v/>
      </c>
      <c r="CK41" s="100" t="str">
        <f>IFERROR($CE41*INDEX('Territory Factors'!$G$6:$G$56,MATCH($K41,'Territory Factors'!$B$6:$B$56,0))*$AU41*$AV41,"")</f>
        <v/>
      </c>
      <c r="CL41" s="100" t="str">
        <f>IFERROR(($CJ41+$CK41)*(1+'Technical Premium'!$C$7),"")</f>
        <v/>
      </c>
      <c r="CM41" s="102" t="str">
        <f>IFERROR($CL41/'Technical Premium'!$C$13,"")</f>
        <v/>
      </c>
      <c r="CN41" s="103" t="str">
        <f t="shared" si="6"/>
        <v/>
      </c>
      <c r="CO41" s="102" t="str">
        <f t="shared" si="7"/>
        <v/>
      </c>
      <c r="CP41" s="103" t="str">
        <f t="shared" si="8"/>
        <v/>
      </c>
      <c r="CQ41" s="104" t="str">
        <f t="shared" si="9"/>
        <v/>
      </c>
      <c r="CR41" s="100" t="str">
        <f>IF(ISNUMBER($CM41),'Technical Premium'!$C$14+IF($J41&gt;=1000000,'Technical Premium'!$C$15,0),"")</f>
        <v/>
      </c>
      <c r="CS41" s="100" t="str">
        <f>IFERROR(($CO41+$CR41)*(INDEX('Territory Factors'!$K$6:$K$56,MATCH($K41,'Territory Factors'!$B$6:$B$56,0))+'Commission Structure'!$C$21),"")</f>
        <v/>
      </c>
      <c r="CT41" s="102" t="str">
        <f t="shared" si="10"/>
        <v/>
      </c>
      <c r="CU41" s="100" t="str">
        <f>IFERROR($CO41*('Commission Structure'!$C$6+'Commission Structure'!$C$7),"")</f>
        <v/>
      </c>
      <c r="CV41" s="100" t="str">
        <f>IFERROR($CO41*'Commission Structure'!$C$5-$CU41,"")</f>
        <v/>
      </c>
      <c r="CW41" s="100" t="str">
        <f>IFERROR($CO41*(1-'Commission Structure'!$C$5),"")</f>
        <v/>
      </c>
      <c r="CX41" s="105" t="str">
        <f>IF($A41="","",IF(OR($CB41="?",$CC41="?",NOT(ISNUMBER($AU41))),"CHECK INPUTS",IF(OR($J41&lt;'Technical Premium'!$C$18,LEFT(IFERROR(INDEX('Driver Factors'!$D$6:$D$15,MATCH($R41,'Driver Factors'!$B$6:$B$15,0)),""),7)="DECLINE",LEFT(IFERROR(INDEX('Driver Factors'!$D$28:$D$36,MATCH($T41,'Driver Factors'!$B$28:$B$36,0)),""),7)="DECLINE",LEFT(IFERROR(INDEX('Claims History'!$D$6:$D$15,MATCH($U41,'Claims History'!$B$6:$B$15,0)),""),7)="DECLINE",LEFT(IFERROR(INDEX('Usage and Coverage'!$E$6:$E$20,MATCH($N41,'Usage and Coverage'!$C$6:$C$20,0)),""),7)="DECLINE"),"DECLINE",IF(OR($CD41&gt;2.5,$CD41&gt;='Technical Premium'!$C$17,$J41&gt;='Technical Premium'!$C$16,N($AQ41)&lt;'Technical Premium'!$C$19,N($AQ41)&gt;'Technical Premium'!$C$20,LEFT(IFERROR(INDEX('Driver Factors'!$D$6:$D$15,MATCH($R41,'Driver Factors'!$B$6:$B$15,0)),""),5)="Refer",LEFT(IFERROR(INDEX('Driver Factors'!$D$28:$D$36,MATCH($T41,'Driver Factors'!$B$28:$B$36,0)),""),5)="Refer",LEFT(IFERROR(INDEX('Claims History'!$D$6:$D$15,MATCH($U41,'Claims History'!$B$6:$B$15,0)),""),5)="Refer",LEFT(IFERROR(INDEX('Usage and Coverage'!$E$6:$E$20,MATCH($N41,'Usage and Coverage'!$C$6:$C$20,0)),""),5)="Refer"),"REFER","AUTO-BIND"))))</f>
        <v/>
      </c>
      <c r="CY41" s="106" t="str">
        <f t="shared" si="11"/>
        <v/>
      </c>
      <c r="CZ41" s="97" t="str">
        <f>IF($CY41="","",IF($CY41&lt;'Technical Premium'!$C$19,"BEYOND AUTHORITY",IF($CY41&gt;0.005,"Above technical",IF($CY41&lt;-0.005,"BELOW technical","At technical"))))</f>
        <v/>
      </c>
      <c r="DA41" s="97" t="str">
        <f>IF($A41="","",IF($CX41="AUTO-BIND","",TRIM(IF($J41&lt;'Technical Premium'!$C$18,"Below programme minimum agreed value. ","")&amp;IF(N($AQ41)&lt;'Technical Premium'!$C$19,"DISCOUNT AUTHORITY BREACH. ","")&amp;IF(N($AQ41)&gt;'Technical Premium'!$C$20,"Load authority breach. ","")&amp;IF($J41&gt;='Technical Premium'!$C$16,"Agreed value at or above auto-bind limit. ","")&amp;IF(AND(ISNUMBER($CD41),$CD41&gt;='Technical Premium'!$C$17),"Composite factor at cap. ","")&amp;IF(AND(ISNUMBER($CD41),$CD41&gt;2.5),"Composite factor above 2.50. ","")&amp;IF(LEFT(IFERROR(INDEX('Driver Factors'!$D$6:$D$15,MATCH($R41,'Driver Factors'!$B$6:$B$15,0)),""),7)="DECLINE","DECLINE - driver age. ",IF(LEFT(IFERROR(INDEX('Driver Factors'!$D$6:$D$15,MATCH($R41,'Driver Factors'!$B$6:$B$15,0)),""),5)="Refer","Driver age band. ",""))&amp;IF(LEFT(IFERROR(INDEX('Driver Factors'!$D$28:$D$36,MATCH($T41,'Driver Factors'!$B$28:$B$36,0)),""),7)="DECLINE","DECLINE - MVR. ",IF(LEFT(IFERROR(INDEX('Driver Factors'!$D$28:$D$36,MATCH($T41,'Driver Factors'!$B$28:$B$36,0)),""),5)="Refer","MVR record. ",""))&amp;IF(LEFT(IFERROR(INDEX('Claims History'!$D$6:$D$15,MATCH($U41,'Claims History'!$B$6:$B$15,0)),""),7)="DECLINE","DECLINE - claims. ",IF(LEFT(IFERROR(INDEX('Claims History'!$D$6:$D$15,MATCH($U41,'Claims History'!$B$6:$B$15,0)),""),5)="Refer","Claims history. ",""))&amp;IF(LEFT(IFERROR(INDEX('Usage and Coverage'!$E$6:$E$20,MATCH($N41,'Usage and Coverage'!$C$6:$C$20,0)),""),7)="DECLINE","DECLINE - usage class. ",IF(LEFT(IFERROR(INDEX('Usage and Coverage'!$E$6:$E$20,MATCH($N41,'Usage and Coverage'!$C$6:$C$20,0)),""),5)="Refer","Usage class. ",""))&amp;IF($CX41="CHECK INPUTS","Incomplete inputs. ",""))))</f>
        <v/>
      </c>
      <c r="DB41" s="92"/>
      <c r="DC41" s="92"/>
      <c r="DD41" s="93"/>
      <c r="DE41" s="92"/>
      <c r="DF41" s="92"/>
      <c r="DG41" s="97" t="str">
        <f t="shared" si="12"/>
        <v/>
      </c>
      <c r="DH41" s="97" t="str">
        <f>IF($A41="","",IF(OR($CX41="REFER",$CX41="DECLINE"),COUNTIF($CX$5:$CX41,"REFER")+COUNTIF($CX$5:$CX41,"DECLINE"),""))</f>
        <v/>
      </c>
      <c r="DI41" s="92"/>
    </row>
    <row r="42" spans="1:113" x14ac:dyDescent="0.25">
      <c r="A42" s="92"/>
      <c r="B42" s="92"/>
      <c r="C42" s="93"/>
      <c r="D42" s="93"/>
      <c r="E42" s="94"/>
      <c r="F42" s="92"/>
      <c r="G42" s="92"/>
      <c r="H42" s="92"/>
      <c r="I42" s="92"/>
      <c r="J42" s="95"/>
      <c r="K42" s="92"/>
      <c r="L42" s="92"/>
      <c r="M42" s="92"/>
      <c r="N42" s="92"/>
      <c r="O42" s="92"/>
      <c r="P42" s="92"/>
      <c r="Q42" s="92"/>
      <c r="R42" s="92"/>
      <c r="S42" s="92"/>
      <c r="T42" s="92"/>
      <c r="U42" s="92"/>
      <c r="V42" s="92"/>
      <c r="W42" s="92"/>
      <c r="X42" s="92"/>
      <c r="Y42" s="92"/>
      <c r="Z42" s="92"/>
      <c r="AA42" s="92"/>
      <c r="AB42" s="92"/>
      <c r="AC42" s="92"/>
      <c r="AD42" s="92"/>
      <c r="AE42" s="92"/>
      <c r="AF42" s="92"/>
      <c r="AG42" s="92"/>
      <c r="AH42" s="92"/>
      <c r="AI42" s="92"/>
      <c r="AJ42" s="92"/>
      <c r="AK42" s="92"/>
      <c r="AL42" s="92"/>
      <c r="AM42" s="92"/>
      <c r="AN42" s="92"/>
      <c r="AO42" s="92"/>
      <c r="AP42" s="92"/>
      <c r="AQ42" s="96"/>
      <c r="AR42" s="97" t="str">
        <f t="shared" si="0"/>
        <v/>
      </c>
      <c r="AS42" s="97" t="str">
        <f>IF($A42="","",IF($AP42&lt;&gt;"",$AP42,IFERROR(INDEX('Cat Zone by ZIP'!$D$6:$D$856,MATCH($AR42,'Cat Zone by ZIP'!$B$6:$B$856,0)),IFERROR(INDEX('Cat Zone by ZIP'!$C$860:$C$910,MATCH($K42,'Cat Zone by ZIP'!$B$860:$B$910,0)),"NOT FOUND"))))</f>
        <v/>
      </c>
      <c r="AT42" s="97" t="str">
        <f>IF($A42="","",IF($AP42&lt;&gt;"","Override",IF(ISNUMBER(MATCH($AR42,'Cat Zone by ZIP'!$B$6:$B$856,0)),"ZIP-3","State default")))</f>
        <v/>
      </c>
      <c r="AU42" s="98" t="str">
        <f>IF($A42="","",IFERROR(INDEX('Natural Catastrophe'!$D$6:$D$17,MATCH($AS42,'Natural Catastrophe'!$B$6:$B$17,0)),"?"))</f>
        <v/>
      </c>
      <c r="AV42" s="98" t="str">
        <f>IF($A42="","",IFERROR(INDEX('Natural Catastrophe'!$C$21:$C$26,MATCH($AA42,'Natural Catastrophe'!$B$21:$B$26,0)),"?"))</f>
        <v/>
      </c>
      <c r="AW42" s="97" t="str">
        <f>IF($A42="","",IFERROR(INDEX('Base Rates'!$C$4:$I$4,MATCH(MAX($J42,'Technical Premium'!$C$18),'Base Rates'!$C$3:$I$3,1)),"?"))</f>
        <v/>
      </c>
      <c r="AX42" s="99" t="str">
        <f>IF($A42="","",IFERROR(INDEX('Base Rates'!$C$5:$I$16,MATCH($I42,'Base Rates'!$B$5:$B$16,0),MATCH(MAX($J42,'Technical Premium'!$C$18),'Base Rates'!$C$3:$I$3,1)),"?"))</f>
        <v/>
      </c>
      <c r="AY42" s="100" t="str">
        <f t="shared" si="1"/>
        <v/>
      </c>
      <c r="AZ42" s="97" t="str">
        <f>IF($A42="","",IFERROR(INDEX('Make Factors'!$G$5:$G$69,MATCH($F42,'Make Factors'!$B$5:$B$69,0)),"?"))</f>
        <v/>
      </c>
      <c r="BA42" s="97" t="str">
        <f>IF($A42="","",IFERROR(INDEX('Driver Factors'!$C$6:$C$15,MATCH($R42,'Driver Factors'!$B$6:$B$15,0)),"?"))</f>
        <v/>
      </c>
      <c r="BB42" s="97" t="str">
        <f>IF($A42="","",IFERROR(INDEX('Driver Factors'!$C$19:$C$24,MATCH($S42,'Driver Factors'!$B$19:$B$24,0)),"?"))</f>
        <v/>
      </c>
      <c r="BC42" s="97" t="str">
        <f>IF($A42="","",IFERROR(INDEX('Driver Factors'!$C$28:$C$36,MATCH($T42,'Driver Factors'!$B$28:$B$36,0)),"?"))</f>
        <v/>
      </c>
      <c r="BD42" s="97" t="str">
        <f>IF($A42="","",IFERROR(INDEX('Claims History'!$C$6:$C$15,MATCH($U42,'Claims History'!$B$6:$B$15,0)),"?"))</f>
        <v/>
      </c>
      <c r="BE42" s="97" t="str">
        <f>IF($A42="","",IFERROR(INDEX('Territory Factors'!$E$6:$E$56,MATCH($K42,'Territory Factors'!$B$6:$B$56,0)),"?"))</f>
        <v/>
      </c>
      <c r="BF42" s="97" t="str">
        <f>IF($A42="","",IFERROR(INDEX('City Accident Ratings'!$G$6:$G$54,MATCH($Z42,'City Accident Ratings'!$B$6:$B$54,0)),"?"))</f>
        <v/>
      </c>
      <c r="BG42" s="97" t="str">
        <f>IF($A42="","",IFERROR(INDEX('Usage and Coverage'!$D$6:$D$20,MATCH($N42,'Usage and Coverage'!$C$6:$C$20,0)),"?"))</f>
        <v/>
      </c>
      <c r="BH42" s="97" t="str">
        <f>IF($A42="","",IFERROR(INDEX('Usage and Coverage'!$C$24:$C$30,MATCH($O42,'Usage and Coverage'!$B$24:$B$30,0)),"?"))</f>
        <v/>
      </c>
      <c r="BI42" s="97" t="str">
        <f>IF($A42="","",IFERROR(INDEX('Usage and Coverage'!$C$34:$C$40,MATCH($P42,'Usage and Coverage'!$B$34:$B$40,0)),"?"))</f>
        <v/>
      </c>
      <c r="BJ42" s="97" t="str">
        <f>IF($A42="","",IFERROR(INDEX('Usage and Coverage'!$C$44:$C$49,MATCH($Q42,'Usage and Coverage'!$B$44:$B$49,0)),"?"))</f>
        <v/>
      </c>
      <c r="BK42" s="97" t="str">
        <f>IF($A42="","",IFERROR(INDEX(Deductibles!$C$6:$I$15,MATCH($W42,Deductibles!$B$6:$B$15,0),MATCH(MAX($J42,'Technical Premium'!$C$18),'Base Rates'!$C$3:$I$3,1)),"?"))</f>
        <v/>
      </c>
      <c r="BL42" s="97" t="str">
        <f>IF($A42="","",IFERROR(INDEX('Usage and Coverage'!$C$63:$C$66,MATCH($X42,'Usage and Coverage'!$B$63:$B$66,0)),"?"))</f>
        <v/>
      </c>
      <c r="BM42" s="97" t="str">
        <f>IF($A42="","",IFERROR(INDEX('Usage and Coverage'!$C$70:$C$75,MATCH($V42,'Usage and Coverage'!$B$70:$B$75,0)),"?"))</f>
        <v/>
      </c>
      <c r="BN42" s="97" t="str">
        <f>IF($A42="","",IF($AB42="",1,IFERROR(INDEX(Deductibles!$C$48:$C$51,MATCH($AB42,Deductibles!$B$48:$B$51,0)),"?")))</f>
        <v/>
      </c>
      <c r="BO42" s="97" t="str">
        <f>IF($A42="","",IF($AC42="",1,IFERROR(INDEX(Deductibles!$C$55:$C$57,MATCH($AC42,Deductibles!$B$55:$B$57,0)),"?")))</f>
        <v/>
      </c>
      <c r="BP42" s="97" t="str">
        <f>IF($A42="","",IF($AD42="",1,IFERROR(INDEX(Deductibles!$C$61:$C$63,MATCH($AD42,Deductibles!$B$61:$B$63,0)),"?")))</f>
        <v/>
      </c>
      <c r="BQ42" s="97" t="str">
        <f>IF($A42="","",IF($AE42="",1,IFERROR(INDEX(Deductibles!$C$67:$C$69,MATCH($AE42,Deductibles!$B$67:$B$69,0)),"?")))</f>
        <v/>
      </c>
      <c r="BR42" s="97" t="str">
        <f>IF($A42="","",IF($AF42="",1,IFERROR(INDEX(Deductibles!$C$73:$C$74,MATCH($AF42,Deductibles!$B$73:$B$74,0)),"?")))</f>
        <v/>
      </c>
      <c r="BS42" s="97" t="str">
        <f>IF($A42="","",IF($AG42="",1,IFERROR(INDEX('Sublimits and Parts'!$C$49:$C$52,MATCH($AG42,'Sublimits and Parts'!$B$49:$B$52,0)),"?")))</f>
        <v/>
      </c>
      <c r="BT42" s="97" t="str">
        <f>IF($A42="","",IF($AH42="",1,IFERROR(INDEX('Sublimits and Parts'!$C$56:$C$60,MATCH($AH42,'Sublimits and Parts'!$B$56:$B$60,0)),"?")))</f>
        <v/>
      </c>
      <c r="BU42" s="97" t="str">
        <f>IF($A42="","",IF($AI42="",1,IFERROR(INDEX('Sublimits and Parts'!$C$64:$C$67,MATCH($AI42,'Sublimits and Parts'!$B$64:$B$67,0)),"?")))</f>
        <v/>
      </c>
      <c r="BV42" s="97" t="str">
        <f>IF($A42="","",IF($AJ42="",1,IFERROR(INDEX('Sublimits and Parts'!$C$71:$C$74,MATCH($AJ42,'Sublimits and Parts'!$B$71:$B$74,0)),"?")))</f>
        <v/>
      </c>
      <c r="BW42" s="97" t="str">
        <f>IF($A42="","",IF($AK42="",1,IFERROR(INDEX('Sublimits and Parts'!$C$78:$C$80,MATCH($AK42,'Sublimits and Parts'!$B$78:$B$80,0)),"?")))</f>
        <v/>
      </c>
      <c r="BX42" s="97" t="str">
        <f>IF($A42="","",IF($AL42="",1,IFERROR(INDEX('Sublimits and Parts'!$C$84:$C$87,MATCH($AL42,'Sublimits and Parts'!$B$84:$B$87,0)),"?")))</f>
        <v/>
      </c>
      <c r="BY42" s="97" t="str">
        <f>IF($A42="","",IF($AM42="",1,IFERROR(INDEX('Sublimits and Parts'!$C$91:$C$94,MATCH($AM42,'Sublimits and Parts'!$B$91:$B$94,0)),"?")))</f>
        <v/>
      </c>
      <c r="BZ42" s="97" t="str">
        <f>IF($A42="","",IF($AN42="",1,IFERROR(INDEX('Sublimits and Parts'!$C$98:$C$101,MATCH($AN42,'Sublimits and Parts'!$B$98:$B$101,0)),"?")))</f>
        <v/>
      </c>
      <c r="CA42" s="97" t="str">
        <f>IF($A42="","",IF($AO42="",1,IFERROR(INDEX('Sublimits and Parts'!$C$105:$C$109,MATCH($AO42,'Sublimits and Parts'!$B$105:$B$109,0)),"?")))</f>
        <v/>
      </c>
      <c r="CB42" s="98" t="str">
        <f t="shared" si="2"/>
        <v/>
      </c>
      <c r="CC42" s="98" t="str">
        <f t="shared" si="3"/>
        <v/>
      </c>
      <c r="CD42" s="101" t="str">
        <f>IF($A42="","",IF(OR($CB42="?",$CC42="?"),"?",MIN($CB42*$CC42,'Technical Premium'!$C$17)))</f>
        <v/>
      </c>
      <c r="CE42" s="100" t="str">
        <f t="shared" si="4"/>
        <v/>
      </c>
      <c r="CF42" s="100" t="str">
        <f>IF($A42="","",IFERROR(INDEX('Territory Factors'!$F$6:$F$56,MATCH($K42,'Territory Factors'!$B$6:$B$56,0)),"?"))</f>
        <v/>
      </c>
      <c r="CG42" s="98" t="str">
        <f>IF($A42="","",IFERROR(INDEX('Usage and Coverage'!$C$79:$C$84,MATCH($Y42,'Usage and Coverage'!$B$79:$B$84,0)),"?"))</f>
        <v/>
      </c>
      <c r="CH42" s="100" t="str">
        <f>IFERROR(IF(ISNUMBER($CD42),$CF42*$CG42*MIN($BG42*$BA42*$BC42*$BD42*$BH42*$BF42,'Technical Premium'!$C$17),""),"")</f>
        <v/>
      </c>
      <c r="CI42" s="100" t="str">
        <f t="shared" si="5"/>
        <v/>
      </c>
      <c r="CJ42" s="100" t="str">
        <f>IFERROR($CI42*(1+'Technical Premium'!$C$5)*(1+'Technical Premium'!$C$6),"")</f>
        <v/>
      </c>
      <c r="CK42" s="100" t="str">
        <f>IFERROR($CE42*INDEX('Territory Factors'!$G$6:$G$56,MATCH($K42,'Territory Factors'!$B$6:$B$56,0))*$AU42*$AV42,"")</f>
        <v/>
      </c>
      <c r="CL42" s="100" t="str">
        <f>IFERROR(($CJ42+$CK42)*(1+'Technical Premium'!$C$7),"")</f>
        <v/>
      </c>
      <c r="CM42" s="102" t="str">
        <f>IFERROR($CL42/'Technical Premium'!$C$13,"")</f>
        <v/>
      </c>
      <c r="CN42" s="103" t="str">
        <f t="shared" si="6"/>
        <v/>
      </c>
      <c r="CO42" s="102" t="str">
        <f t="shared" si="7"/>
        <v/>
      </c>
      <c r="CP42" s="103" t="str">
        <f t="shared" si="8"/>
        <v/>
      </c>
      <c r="CQ42" s="104" t="str">
        <f t="shared" si="9"/>
        <v/>
      </c>
      <c r="CR42" s="100" t="str">
        <f>IF(ISNUMBER($CM42),'Technical Premium'!$C$14+IF($J42&gt;=1000000,'Technical Premium'!$C$15,0),"")</f>
        <v/>
      </c>
      <c r="CS42" s="100" t="str">
        <f>IFERROR(($CO42+$CR42)*(INDEX('Territory Factors'!$K$6:$K$56,MATCH($K42,'Territory Factors'!$B$6:$B$56,0))+'Commission Structure'!$C$21),"")</f>
        <v/>
      </c>
      <c r="CT42" s="102" t="str">
        <f t="shared" si="10"/>
        <v/>
      </c>
      <c r="CU42" s="100" t="str">
        <f>IFERROR($CO42*('Commission Structure'!$C$6+'Commission Structure'!$C$7),"")</f>
        <v/>
      </c>
      <c r="CV42" s="100" t="str">
        <f>IFERROR($CO42*'Commission Structure'!$C$5-$CU42,"")</f>
        <v/>
      </c>
      <c r="CW42" s="100" t="str">
        <f>IFERROR($CO42*(1-'Commission Structure'!$C$5),"")</f>
        <v/>
      </c>
      <c r="CX42" s="105" t="str">
        <f>IF($A42="","",IF(OR($CB42="?",$CC42="?",NOT(ISNUMBER($AU42))),"CHECK INPUTS",IF(OR($J42&lt;'Technical Premium'!$C$18,LEFT(IFERROR(INDEX('Driver Factors'!$D$6:$D$15,MATCH($R42,'Driver Factors'!$B$6:$B$15,0)),""),7)="DECLINE",LEFT(IFERROR(INDEX('Driver Factors'!$D$28:$D$36,MATCH($T42,'Driver Factors'!$B$28:$B$36,0)),""),7)="DECLINE",LEFT(IFERROR(INDEX('Claims History'!$D$6:$D$15,MATCH($U42,'Claims History'!$B$6:$B$15,0)),""),7)="DECLINE",LEFT(IFERROR(INDEX('Usage and Coverage'!$E$6:$E$20,MATCH($N42,'Usage and Coverage'!$C$6:$C$20,0)),""),7)="DECLINE"),"DECLINE",IF(OR($CD42&gt;2.5,$CD42&gt;='Technical Premium'!$C$17,$J42&gt;='Technical Premium'!$C$16,N($AQ42)&lt;'Technical Premium'!$C$19,N($AQ42)&gt;'Technical Premium'!$C$20,LEFT(IFERROR(INDEX('Driver Factors'!$D$6:$D$15,MATCH($R42,'Driver Factors'!$B$6:$B$15,0)),""),5)="Refer",LEFT(IFERROR(INDEX('Driver Factors'!$D$28:$D$36,MATCH($T42,'Driver Factors'!$B$28:$B$36,0)),""),5)="Refer",LEFT(IFERROR(INDEX('Claims History'!$D$6:$D$15,MATCH($U42,'Claims History'!$B$6:$B$15,0)),""),5)="Refer",LEFT(IFERROR(INDEX('Usage and Coverage'!$E$6:$E$20,MATCH($N42,'Usage and Coverage'!$C$6:$C$20,0)),""),5)="Refer"),"REFER","AUTO-BIND"))))</f>
        <v/>
      </c>
      <c r="CY42" s="106" t="str">
        <f t="shared" si="11"/>
        <v/>
      </c>
      <c r="CZ42" s="97" t="str">
        <f>IF($CY42="","",IF($CY42&lt;'Technical Premium'!$C$19,"BEYOND AUTHORITY",IF($CY42&gt;0.005,"Above technical",IF($CY42&lt;-0.005,"BELOW technical","At technical"))))</f>
        <v/>
      </c>
      <c r="DA42" s="97" t="str">
        <f>IF($A42="","",IF($CX42="AUTO-BIND","",TRIM(IF($J42&lt;'Technical Premium'!$C$18,"Below programme minimum agreed value. ","")&amp;IF(N($AQ42)&lt;'Technical Premium'!$C$19,"DISCOUNT AUTHORITY BREACH. ","")&amp;IF(N($AQ42)&gt;'Technical Premium'!$C$20,"Load authority breach. ","")&amp;IF($J42&gt;='Technical Premium'!$C$16,"Agreed value at or above auto-bind limit. ","")&amp;IF(AND(ISNUMBER($CD42),$CD42&gt;='Technical Premium'!$C$17),"Composite factor at cap. ","")&amp;IF(AND(ISNUMBER($CD42),$CD42&gt;2.5),"Composite factor above 2.50. ","")&amp;IF(LEFT(IFERROR(INDEX('Driver Factors'!$D$6:$D$15,MATCH($R42,'Driver Factors'!$B$6:$B$15,0)),""),7)="DECLINE","DECLINE - driver age. ",IF(LEFT(IFERROR(INDEX('Driver Factors'!$D$6:$D$15,MATCH($R42,'Driver Factors'!$B$6:$B$15,0)),""),5)="Refer","Driver age band. ",""))&amp;IF(LEFT(IFERROR(INDEX('Driver Factors'!$D$28:$D$36,MATCH($T42,'Driver Factors'!$B$28:$B$36,0)),""),7)="DECLINE","DECLINE - MVR. ",IF(LEFT(IFERROR(INDEX('Driver Factors'!$D$28:$D$36,MATCH($T42,'Driver Factors'!$B$28:$B$36,0)),""),5)="Refer","MVR record. ",""))&amp;IF(LEFT(IFERROR(INDEX('Claims History'!$D$6:$D$15,MATCH($U42,'Claims History'!$B$6:$B$15,0)),""),7)="DECLINE","DECLINE - claims. ",IF(LEFT(IFERROR(INDEX('Claims History'!$D$6:$D$15,MATCH($U42,'Claims History'!$B$6:$B$15,0)),""),5)="Refer","Claims history. ",""))&amp;IF(LEFT(IFERROR(INDEX('Usage and Coverage'!$E$6:$E$20,MATCH($N42,'Usage and Coverage'!$C$6:$C$20,0)),""),7)="DECLINE","DECLINE - usage class. ",IF(LEFT(IFERROR(INDEX('Usage and Coverage'!$E$6:$E$20,MATCH($N42,'Usage and Coverage'!$C$6:$C$20,0)),""),5)="Refer","Usage class. ",""))&amp;IF($CX42="CHECK INPUTS","Incomplete inputs. ",""))))</f>
        <v/>
      </c>
      <c r="DB42" s="92"/>
      <c r="DC42" s="92"/>
      <c r="DD42" s="93"/>
      <c r="DE42" s="92"/>
      <c r="DF42" s="92"/>
      <c r="DG42" s="97" t="str">
        <f t="shared" si="12"/>
        <v/>
      </c>
      <c r="DH42" s="97" t="str">
        <f>IF($A42="","",IF(OR($CX42="REFER",$CX42="DECLINE"),COUNTIF($CX$5:$CX42,"REFER")+COUNTIF($CX$5:$CX42,"DECLINE"),""))</f>
        <v/>
      </c>
      <c r="DI42" s="92"/>
    </row>
    <row r="43" spans="1:113" x14ac:dyDescent="0.25">
      <c r="A43" s="92"/>
      <c r="B43" s="92"/>
      <c r="C43" s="93"/>
      <c r="D43" s="93"/>
      <c r="E43" s="94"/>
      <c r="F43" s="92"/>
      <c r="G43" s="92"/>
      <c r="H43" s="92"/>
      <c r="I43" s="92"/>
      <c r="J43" s="95"/>
      <c r="K43" s="92"/>
      <c r="L43" s="92"/>
      <c r="M43" s="92"/>
      <c r="N43" s="92"/>
      <c r="O43" s="92"/>
      <c r="P43" s="92"/>
      <c r="Q43" s="92"/>
      <c r="R43" s="92"/>
      <c r="S43" s="92"/>
      <c r="T43" s="92"/>
      <c r="U43" s="92"/>
      <c r="V43" s="92"/>
      <c r="W43" s="92"/>
      <c r="X43" s="92"/>
      <c r="Y43" s="92"/>
      <c r="Z43" s="92"/>
      <c r="AA43" s="92"/>
      <c r="AB43" s="92"/>
      <c r="AC43" s="92"/>
      <c r="AD43" s="92"/>
      <c r="AE43" s="92"/>
      <c r="AF43" s="92"/>
      <c r="AG43" s="92"/>
      <c r="AH43" s="92"/>
      <c r="AI43" s="92"/>
      <c r="AJ43" s="92"/>
      <c r="AK43" s="92"/>
      <c r="AL43" s="92"/>
      <c r="AM43" s="92"/>
      <c r="AN43" s="92"/>
      <c r="AO43" s="92"/>
      <c r="AP43" s="92"/>
      <c r="AQ43" s="96"/>
      <c r="AR43" s="97" t="str">
        <f t="shared" si="0"/>
        <v/>
      </c>
      <c r="AS43" s="97" t="str">
        <f>IF($A43="","",IF($AP43&lt;&gt;"",$AP43,IFERROR(INDEX('Cat Zone by ZIP'!$D$6:$D$856,MATCH($AR43,'Cat Zone by ZIP'!$B$6:$B$856,0)),IFERROR(INDEX('Cat Zone by ZIP'!$C$860:$C$910,MATCH($K43,'Cat Zone by ZIP'!$B$860:$B$910,0)),"NOT FOUND"))))</f>
        <v/>
      </c>
      <c r="AT43" s="97" t="str">
        <f>IF($A43="","",IF($AP43&lt;&gt;"","Override",IF(ISNUMBER(MATCH($AR43,'Cat Zone by ZIP'!$B$6:$B$856,0)),"ZIP-3","State default")))</f>
        <v/>
      </c>
      <c r="AU43" s="98" t="str">
        <f>IF($A43="","",IFERROR(INDEX('Natural Catastrophe'!$D$6:$D$17,MATCH($AS43,'Natural Catastrophe'!$B$6:$B$17,0)),"?"))</f>
        <v/>
      </c>
      <c r="AV43" s="98" t="str">
        <f>IF($A43="","",IFERROR(INDEX('Natural Catastrophe'!$C$21:$C$26,MATCH($AA43,'Natural Catastrophe'!$B$21:$B$26,0)),"?"))</f>
        <v/>
      </c>
      <c r="AW43" s="97" t="str">
        <f>IF($A43="","",IFERROR(INDEX('Base Rates'!$C$4:$I$4,MATCH(MAX($J43,'Technical Premium'!$C$18),'Base Rates'!$C$3:$I$3,1)),"?"))</f>
        <v/>
      </c>
      <c r="AX43" s="99" t="str">
        <f>IF($A43="","",IFERROR(INDEX('Base Rates'!$C$5:$I$16,MATCH($I43,'Base Rates'!$B$5:$B$16,0),MATCH(MAX($J43,'Technical Premium'!$C$18),'Base Rates'!$C$3:$I$3,1)),"?"))</f>
        <v/>
      </c>
      <c r="AY43" s="100" t="str">
        <f t="shared" si="1"/>
        <v/>
      </c>
      <c r="AZ43" s="97" t="str">
        <f>IF($A43="","",IFERROR(INDEX('Make Factors'!$G$5:$G$69,MATCH($F43,'Make Factors'!$B$5:$B$69,0)),"?"))</f>
        <v/>
      </c>
      <c r="BA43" s="97" t="str">
        <f>IF($A43="","",IFERROR(INDEX('Driver Factors'!$C$6:$C$15,MATCH($R43,'Driver Factors'!$B$6:$B$15,0)),"?"))</f>
        <v/>
      </c>
      <c r="BB43" s="97" t="str">
        <f>IF($A43="","",IFERROR(INDEX('Driver Factors'!$C$19:$C$24,MATCH($S43,'Driver Factors'!$B$19:$B$24,0)),"?"))</f>
        <v/>
      </c>
      <c r="BC43" s="97" t="str">
        <f>IF($A43="","",IFERROR(INDEX('Driver Factors'!$C$28:$C$36,MATCH($T43,'Driver Factors'!$B$28:$B$36,0)),"?"))</f>
        <v/>
      </c>
      <c r="BD43" s="97" t="str">
        <f>IF($A43="","",IFERROR(INDEX('Claims History'!$C$6:$C$15,MATCH($U43,'Claims History'!$B$6:$B$15,0)),"?"))</f>
        <v/>
      </c>
      <c r="BE43" s="97" t="str">
        <f>IF($A43="","",IFERROR(INDEX('Territory Factors'!$E$6:$E$56,MATCH($K43,'Territory Factors'!$B$6:$B$56,0)),"?"))</f>
        <v/>
      </c>
      <c r="BF43" s="97" t="str">
        <f>IF($A43="","",IFERROR(INDEX('City Accident Ratings'!$G$6:$G$54,MATCH($Z43,'City Accident Ratings'!$B$6:$B$54,0)),"?"))</f>
        <v/>
      </c>
      <c r="BG43" s="97" t="str">
        <f>IF($A43="","",IFERROR(INDEX('Usage and Coverage'!$D$6:$D$20,MATCH($N43,'Usage and Coverage'!$C$6:$C$20,0)),"?"))</f>
        <v/>
      </c>
      <c r="BH43" s="97" t="str">
        <f>IF($A43="","",IFERROR(INDEX('Usage and Coverage'!$C$24:$C$30,MATCH($O43,'Usage and Coverage'!$B$24:$B$30,0)),"?"))</f>
        <v/>
      </c>
      <c r="BI43" s="97" t="str">
        <f>IF($A43="","",IFERROR(INDEX('Usage and Coverage'!$C$34:$C$40,MATCH($P43,'Usage and Coverage'!$B$34:$B$40,0)),"?"))</f>
        <v/>
      </c>
      <c r="BJ43" s="97" t="str">
        <f>IF($A43="","",IFERROR(INDEX('Usage and Coverage'!$C$44:$C$49,MATCH($Q43,'Usage and Coverage'!$B$44:$B$49,0)),"?"))</f>
        <v/>
      </c>
      <c r="BK43" s="97" t="str">
        <f>IF($A43="","",IFERROR(INDEX(Deductibles!$C$6:$I$15,MATCH($W43,Deductibles!$B$6:$B$15,0),MATCH(MAX($J43,'Technical Premium'!$C$18),'Base Rates'!$C$3:$I$3,1)),"?"))</f>
        <v/>
      </c>
      <c r="BL43" s="97" t="str">
        <f>IF($A43="","",IFERROR(INDEX('Usage and Coverage'!$C$63:$C$66,MATCH($X43,'Usage and Coverage'!$B$63:$B$66,0)),"?"))</f>
        <v/>
      </c>
      <c r="BM43" s="97" t="str">
        <f>IF($A43="","",IFERROR(INDEX('Usage and Coverage'!$C$70:$C$75,MATCH($V43,'Usage and Coverage'!$B$70:$B$75,0)),"?"))</f>
        <v/>
      </c>
      <c r="BN43" s="97" t="str">
        <f>IF($A43="","",IF($AB43="",1,IFERROR(INDEX(Deductibles!$C$48:$C$51,MATCH($AB43,Deductibles!$B$48:$B$51,0)),"?")))</f>
        <v/>
      </c>
      <c r="BO43" s="97" t="str">
        <f>IF($A43="","",IF($AC43="",1,IFERROR(INDEX(Deductibles!$C$55:$C$57,MATCH($AC43,Deductibles!$B$55:$B$57,0)),"?")))</f>
        <v/>
      </c>
      <c r="BP43" s="97" t="str">
        <f>IF($A43="","",IF($AD43="",1,IFERROR(INDEX(Deductibles!$C$61:$C$63,MATCH($AD43,Deductibles!$B$61:$B$63,0)),"?")))</f>
        <v/>
      </c>
      <c r="BQ43" s="97" t="str">
        <f>IF($A43="","",IF($AE43="",1,IFERROR(INDEX(Deductibles!$C$67:$C$69,MATCH($AE43,Deductibles!$B$67:$B$69,0)),"?")))</f>
        <v/>
      </c>
      <c r="BR43" s="97" t="str">
        <f>IF($A43="","",IF($AF43="",1,IFERROR(INDEX(Deductibles!$C$73:$C$74,MATCH($AF43,Deductibles!$B$73:$B$74,0)),"?")))</f>
        <v/>
      </c>
      <c r="BS43" s="97" t="str">
        <f>IF($A43="","",IF($AG43="",1,IFERROR(INDEX('Sublimits and Parts'!$C$49:$C$52,MATCH($AG43,'Sublimits and Parts'!$B$49:$B$52,0)),"?")))</f>
        <v/>
      </c>
      <c r="BT43" s="97" t="str">
        <f>IF($A43="","",IF($AH43="",1,IFERROR(INDEX('Sublimits and Parts'!$C$56:$C$60,MATCH($AH43,'Sublimits and Parts'!$B$56:$B$60,0)),"?")))</f>
        <v/>
      </c>
      <c r="BU43" s="97" t="str">
        <f>IF($A43="","",IF($AI43="",1,IFERROR(INDEX('Sublimits and Parts'!$C$64:$C$67,MATCH($AI43,'Sublimits and Parts'!$B$64:$B$67,0)),"?")))</f>
        <v/>
      </c>
      <c r="BV43" s="97" t="str">
        <f>IF($A43="","",IF($AJ43="",1,IFERROR(INDEX('Sublimits and Parts'!$C$71:$C$74,MATCH($AJ43,'Sublimits and Parts'!$B$71:$B$74,0)),"?")))</f>
        <v/>
      </c>
      <c r="BW43" s="97" t="str">
        <f>IF($A43="","",IF($AK43="",1,IFERROR(INDEX('Sublimits and Parts'!$C$78:$C$80,MATCH($AK43,'Sublimits and Parts'!$B$78:$B$80,0)),"?")))</f>
        <v/>
      </c>
      <c r="BX43" s="97" t="str">
        <f>IF($A43="","",IF($AL43="",1,IFERROR(INDEX('Sublimits and Parts'!$C$84:$C$87,MATCH($AL43,'Sublimits and Parts'!$B$84:$B$87,0)),"?")))</f>
        <v/>
      </c>
      <c r="BY43" s="97" t="str">
        <f>IF($A43="","",IF($AM43="",1,IFERROR(INDEX('Sublimits and Parts'!$C$91:$C$94,MATCH($AM43,'Sublimits and Parts'!$B$91:$B$94,0)),"?")))</f>
        <v/>
      </c>
      <c r="BZ43" s="97" t="str">
        <f>IF($A43="","",IF($AN43="",1,IFERROR(INDEX('Sublimits and Parts'!$C$98:$C$101,MATCH($AN43,'Sublimits and Parts'!$B$98:$B$101,0)),"?")))</f>
        <v/>
      </c>
      <c r="CA43" s="97" t="str">
        <f>IF($A43="","",IF($AO43="",1,IFERROR(INDEX('Sublimits and Parts'!$C$105:$C$109,MATCH($AO43,'Sublimits and Parts'!$B$105:$B$109,0)),"?")))</f>
        <v/>
      </c>
      <c r="CB43" s="98" t="str">
        <f t="shared" si="2"/>
        <v/>
      </c>
      <c r="CC43" s="98" t="str">
        <f t="shared" si="3"/>
        <v/>
      </c>
      <c r="CD43" s="101" t="str">
        <f>IF($A43="","",IF(OR($CB43="?",$CC43="?"),"?",MIN($CB43*$CC43,'Technical Premium'!$C$17)))</f>
        <v/>
      </c>
      <c r="CE43" s="100" t="str">
        <f t="shared" si="4"/>
        <v/>
      </c>
      <c r="CF43" s="100" t="str">
        <f>IF($A43="","",IFERROR(INDEX('Territory Factors'!$F$6:$F$56,MATCH($K43,'Territory Factors'!$B$6:$B$56,0)),"?"))</f>
        <v/>
      </c>
      <c r="CG43" s="98" t="str">
        <f>IF($A43="","",IFERROR(INDEX('Usage and Coverage'!$C$79:$C$84,MATCH($Y43,'Usage and Coverage'!$B$79:$B$84,0)),"?"))</f>
        <v/>
      </c>
      <c r="CH43" s="100" t="str">
        <f>IFERROR(IF(ISNUMBER($CD43),$CF43*$CG43*MIN($BG43*$BA43*$BC43*$BD43*$BH43*$BF43,'Technical Premium'!$C$17),""),"")</f>
        <v/>
      </c>
      <c r="CI43" s="100" t="str">
        <f t="shared" si="5"/>
        <v/>
      </c>
      <c r="CJ43" s="100" t="str">
        <f>IFERROR($CI43*(1+'Technical Premium'!$C$5)*(1+'Technical Premium'!$C$6),"")</f>
        <v/>
      </c>
      <c r="CK43" s="100" t="str">
        <f>IFERROR($CE43*INDEX('Territory Factors'!$G$6:$G$56,MATCH($K43,'Territory Factors'!$B$6:$B$56,0))*$AU43*$AV43,"")</f>
        <v/>
      </c>
      <c r="CL43" s="100" t="str">
        <f>IFERROR(($CJ43+$CK43)*(1+'Technical Premium'!$C$7),"")</f>
        <v/>
      </c>
      <c r="CM43" s="102" t="str">
        <f>IFERROR($CL43/'Technical Premium'!$C$13,"")</f>
        <v/>
      </c>
      <c r="CN43" s="103" t="str">
        <f t="shared" si="6"/>
        <v/>
      </c>
      <c r="CO43" s="102" t="str">
        <f t="shared" si="7"/>
        <v/>
      </c>
      <c r="CP43" s="103" t="str">
        <f t="shared" si="8"/>
        <v/>
      </c>
      <c r="CQ43" s="104" t="str">
        <f t="shared" si="9"/>
        <v/>
      </c>
      <c r="CR43" s="100" t="str">
        <f>IF(ISNUMBER($CM43),'Technical Premium'!$C$14+IF($J43&gt;=1000000,'Technical Premium'!$C$15,0),"")</f>
        <v/>
      </c>
      <c r="CS43" s="100" t="str">
        <f>IFERROR(($CO43+$CR43)*(INDEX('Territory Factors'!$K$6:$K$56,MATCH($K43,'Territory Factors'!$B$6:$B$56,0))+'Commission Structure'!$C$21),"")</f>
        <v/>
      </c>
      <c r="CT43" s="102" t="str">
        <f t="shared" si="10"/>
        <v/>
      </c>
      <c r="CU43" s="100" t="str">
        <f>IFERROR($CO43*('Commission Structure'!$C$6+'Commission Structure'!$C$7),"")</f>
        <v/>
      </c>
      <c r="CV43" s="100" t="str">
        <f>IFERROR($CO43*'Commission Structure'!$C$5-$CU43,"")</f>
        <v/>
      </c>
      <c r="CW43" s="100" t="str">
        <f>IFERROR($CO43*(1-'Commission Structure'!$C$5),"")</f>
        <v/>
      </c>
      <c r="CX43" s="105" t="str">
        <f>IF($A43="","",IF(OR($CB43="?",$CC43="?",NOT(ISNUMBER($AU43))),"CHECK INPUTS",IF(OR($J43&lt;'Technical Premium'!$C$18,LEFT(IFERROR(INDEX('Driver Factors'!$D$6:$D$15,MATCH($R43,'Driver Factors'!$B$6:$B$15,0)),""),7)="DECLINE",LEFT(IFERROR(INDEX('Driver Factors'!$D$28:$D$36,MATCH($T43,'Driver Factors'!$B$28:$B$36,0)),""),7)="DECLINE",LEFT(IFERROR(INDEX('Claims History'!$D$6:$D$15,MATCH($U43,'Claims History'!$B$6:$B$15,0)),""),7)="DECLINE",LEFT(IFERROR(INDEX('Usage and Coverage'!$E$6:$E$20,MATCH($N43,'Usage and Coverage'!$C$6:$C$20,0)),""),7)="DECLINE"),"DECLINE",IF(OR($CD43&gt;2.5,$CD43&gt;='Technical Premium'!$C$17,$J43&gt;='Technical Premium'!$C$16,N($AQ43)&lt;'Technical Premium'!$C$19,N($AQ43)&gt;'Technical Premium'!$C$20,LEFT(IFERROR(INDEX('Driver Factors'!$D$6:$D$15,MATCH($R43,'Driver Factors'!$B$6:$B$15,0)),""),5)="Refer",LEFT(IFERROR(INDEX('Driver Factors'!$D$28:$D$36,MATCH($T43,'Driver Factors'!$B$28:$B$36,0)),""),5)="Refer",LEFT(IFERROR(INDEX('Claims History'!$D$6:$D$15,MATCH($U43,'Claims History'!$B$6:$B$15,0)),""),5)="Refer",LEFT(IFERROR(INDEX('Usage and Coverage'!$E$6:$E$20,MATCH($N43,'Usage and Coverage'!$C$6:$C$20,0)),""),5)="Refer"),"REFER","AUTO-BIND"))))</f>
        <v/>
      </c>
      <c r="CY43" s="106" t="str">
        <f t="shared" si="11"/>
        <v/>
      </c>
      <c r="CZ43" s="97" t="str">
        <f>IF($CY43="","",IF($CY43&lt;'Technical Premium'!$C$19,"BEYOND AUTHORITY",IF($CY43&gt;0.005,"Above technical",IF($CY43&lt;-0.005,"BELOW technical","At technical"))))</f>
        <v/>
      </c>
      <c r="DA43" s="97" t="str">
        <f>IF($A43="","",IF($CX43="AUTO-BIND","",TRIM(IF($J43&lt;'Technical Premium'!$C$18,"Below programme minimum agreed value. ","")&amp;IF(N($AQ43)&lt;'Technical Premium'!$C$19,"DISCOUNT AUTHORITY BREACH. ","")&amp;IF(N($AQ43)&gt;'Technical Premium'!$C$20,"Load authority breach. ","")&amp;IF($J43&gt;='Technical Premium'!$C$16,"Agreed value at or above auto-bind limit. ","")&amp;IF(AND(ISNUMBER($CD43),$CD43&gt;='Technical Premium'!$C$17),"Composite factor at cap. ","")&amp;IF(AND(ISNUMBER($CD43),$CD43&gt;2.5),"Composite factor above 2.50. ","")&amp;IF(LEFT(IFERROR(INDEX('Driver Factors'!$D$6:$D$15,MATCH($R43,'Driver Factors'!$B$6:$B$15,0)),""),7)="DECLINE","DECLINE - driver age. ",IF(LEFT(IFERROR(INDEX('Driver Factors'!$D$6:$D$15,MATCH($R43,'Driver Factors'!$B$6:$B$15,0)),""),5)="Refer","Driver age band. ",""))&amp;IF(LEFT(IFERROR(INDEX('Driver Factors'!$D$28:$D$36,MATCH($T43,'Driver Factors'!$B$28:$B$36,0)),""),7)="DECLINE","DECLINE - MVR. ",IF(LEFT(IFERROR(INDEX('Driver Factors'!$D$28:$D$36,MATCH($T43,'Driver Factors'!$B$28:$B$36,0)),""),5)="Refer","MVR record. ",""))&amp;IF(LEFT(IFERROR(INDEX('Claims History'!$D$6:$D$15,MATCH($U43,'Claims History'!$B$6:$B$15,0)),""),7)="DECLINE","DECLINE - claims. ",IF(LEFT(IFERROR(INDEX('Claims History'!$D$6:$D$15,MATCH($U43,'Claims History'!$B$6:$B$15,0)),""),5)="Refer","Claims history. ",""))&amp;IF(LEFT(IFERROR(INDEX('Usage and Coverage'!$E$6:$E$20,MATCH($N43,'Usage and Coverage'!$C$6:$C$20,0)),""),7)="DECLINE","DECLINE - usage class. ",IF(LEFT(IFERROR(INDEX('Usage and Coverage'!$E$6:$E$20,MATCH($N43,'Usage and Coverage'!$C$6:$C$20,0)),""),5)="Refer","Usage class. ",""))&amp;IF($CX43="CHECK INPUTS","Incomplete inputs. ",""))))</f>
        <v/>
      </c>
      <c r="DB43" s="92"/>
      <c r="DC43" s="92"/>
      <c r="DD43" s="93"/>
      <c r="DE43" s="92"/>
      <c r="DF43" s="92"/>
      <c r="DG43" s="97" t="str">
        <f t="shared" si="12"/>
        <v/>
      </c>
      <c r="DH43" s="97" t="str">
        <f>IF($A43="","",IF(OR($CX43="REFER",$CX43="DECLINE"),COUNTIF($CX$5:$CX43,"REFER")+COUNTIF($CX$5:$CX43,"DECLINE"),""))</f>
        <v/>
      </c>
      <c r="DI43" s="92"/>
    </row>
    <row r="44" spans="1:113" x14ac:dyDescent="0.25">
      <c r="A44" s="92"/>
      <c r="B44" s="92"/>
      <c r="C44" s="93"/>
      <c r="D44" s="93"/>
      <c r="E44" s="94"/>
      <c r="F44" s="92"/>
      <c r="G44" s="92"/>
      <c r="H44" s="92"/>
      <c r="I44" s="92"/>
      <c r="J44" s="95"/>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92"/>
      <c r="AM44" s="92"/>
      <c r="AN44" s="92"/>
      <c r="AO44" s="92"/>
      <c r="AP44" s="92"/>
      <c r="AQ44" s="96"/>
      <c r="AR44" s="97" t="str">
        <f t="shared" si="0"/>
        <v/>
      </c>
      <c r="AS44" s="97" t="str">
        <f>IF($A44="","",IF($AP44&lt;&gt;"",$AP44,IFERROR(INDEX('Cat Zone by ZIP'!$D$6:$D$856,MATCH($AR44,'Cat Zone by ZIP'!$B$6:$B$856,0)),IFERROR(INDEX('Cat Zone by ZIP'!$C$860:$C$910,MATCH($K44,'Cat Zone by ZIP'!$B$860:$B$910,0)),"NOT FOUND"))))</f>
        <v/>
      </c>
      <c r="AT44" s="97" t="str">
        <f>IF($A44="","",IF($AP44&lt;&gt;"","Override",IF(ISNUMBER(MATCH($AR44,'Cat Zone by ZIP'!$B$6:$B$856,0)),"ZIP-3","State default")))</f>
        <v/>
      </c>
      <c r="AU44" s="98" t="str">
        <f>IF($A44="","",IFERROR(INDEX('Natural Catastrophe'!$D$6:$D$17,MATCH($AS44,'Natural Catastrophe'!$B$6:$B$17,0)),"?"))</f>
        <v/>
      </c>
      <c r="AV44" s="98" t="str">
        <f>IF($A44="","",IFERROR(INDEX('Natural Catastrophe'!$C$21:$C$26,MATCH($AA44,'Natural Catastrophe'!$B$21:$B$26,0)),"?"))</f>
        <v/>
      </c>
      <c r="AW44" s="97" t="str">
        <f>IF($A44="","",IFERROR(INDEX('Base Rates'!$C$4:$I$4,MATCH(MAX($J44,'Technical Premium'!$C$18),'Base Rates'!$C$3:$I$3,1)),"?"))</f>
        <v/>
      </c>
      <c r="AX44" s="99" t="str">
        <f>IF($A44="","",IFERROR(INDEX('Base Rates'!$C$5:$I$16,MATCH($I44,'Base Rates'!$B$5:$B$16,0),MATCH(MAX($J44,'Technical Premium'!$C$18),'Base Rates'!$C$3:$I$3,1)),"?"))</f>
        <v/>
      </c>
      <c r="AY44" s="100" t="str">
        <f t="shared" si="1"/>
        <v/>
      </c>
      <c r="AZ44" s="97" t="str">
        <f>IF($A44="","",IFERROR(INDEX('Make Factors'!$G$5:$G$69,MATCH($F44,'Make Factors'!$B$5:$B$69,0)),"?"))</f>
        <v/>
      </c>
      <c r="BA44" s="97" t="str">
        <f>IF($A44="","",IFERROR(INDEX('Driver Factors'!$C$6:$C$15,MATCH($R44,'Driver Factors'!$B$6:$B$15,0)),"?"))</f>
        <v/>
      </c>
      <c r="BB44" s="97" t="str">
        <f>IF($A44="","",IFERROR(INDEX('Driver Factors'!$C$19:$C$24,MATCH($S44,'Driver Factors'!$B$19:$B$24,0)),"?"))</f>
        <v/>
      </c>
      <c r="BC44" s="97" t="str">
        <f>IF($A44="","",IFERROR(INDEX('Driver Factors'!$C$28:$C$36,MATCH($T44,'Driver Factors'!$B$28:$B$36,0)),"?"))</f>
        <v/>
      </c>
      <c r="BD44" s="97" t="str">
        <f>IF($A44="","",IFERROR(INDEX('Claims History'!$C$6:$C$15,MATCH($U44,'Claims History'!$B$6:$B$15,0)),"?"))</f>
        <v/>
      </c>
      <c r="BE44" s="97" t="str">
        <f>IF($A44="","",IFERROR(INDEX('Territory Factors'!$E$6:$E$56,MATCH($K44,'Territory Factors'!$B$6:$B$56,0)),"?"))</f>
        <v/>
      </c>
      <c r="BF44" s="97" t="str">
        <f>IF($A44="","",IFERROR(INDEX('City Accident Ratings'!$G$6:$G$54,MATCH($Z44,'City Accident Ratings'!$B$6:$B$54,0)),"?"))</f>
        <v/>
      </c>
      <c r="BG44" s="97" t="str">
        <f>IF($A44="","",IFERROR(INDEX('Usage and Coverage'!$D$6:$D$20,MATCH($N44,'Usage and Coverage'!$C$6:$C$20,0)),"?"))</f>
        <v/>
      </c>
      <c r="BH44" s="97" t="str">
        <f>IF($A44="","",IFERROR(INDEX('Usage and Coverage'!$C$24:$C$30,MATCH($O44,'Usage and Coverage'!$B$24:$B$30,0)),"?"))</f>
        <v/>
      </c>
      <c r="BI44" s="97" t="str">
        <f>IF($A44="","",IFERROR(INDEX('Usage and Coverage'!$C$34:$C$40,MATCH($P44,'Usage and Coverage'!$B$34:$B$40,0)),"?"))</f>
        <v/>
      </c>
      <c r="BJ44" s="97" t="str">
        <f>IF($A44="","",IFERROR(INDEX('Usage and Coverage'!$C$44:$C$49,MATCH($Q44,'Usage and Coverage'!$B$44:$B$49,0)),"?"))</f>
        <v/>
      </c>
      <c r="BK44" s="97" t="str">
        <f>IF($A44="","",IFERROR(INDEX(Deductibles!$C$6:$I$15,MATCH($W44,Deductibles!$B$6:$B$15,0),MATCH(MAX($J44,'Technical Premium'!$C$18),'Base Rates'!$C$3:$I$3,1)),"?"))</f>
        <v/>
      </c>
      <c r="BL44" s="97" t="str">
        <f>IF($A44="","",IFERROR(INDEX('Usage and Coverage'!$C$63:$C$66,MATCH($X44,'Usage and Coverage'!$B$63:$B$66,0)),"?"))</f>
        <v/>
      </c>
      <c r="BM44" s="97" t="str">
        <f>IF($A44="","",IFERROR(INDEX('Usage and Coverage'!$C$70:$C$75,MATCH($V44,'Usage and Coverage'!$B$70:$B$75,0)),"?"))</f>
        <v/>
      </c>
      <c r="BN44" s="97" t="str">
        <f>IF($A44="","",IF($AB44="",1,IFERROR(INDEX(Deductibles!$C$48:$C$51,MATCH($AB44,Deductibles!$B$48:$B$51,0)),"?")))</f>
        <v/>
      </c>
      <c r="BO44" s="97" t="str">
        <f>IF($A44="","",IF($AC44="",1,IFERROR(INDEX(Deductibles!$C$55:$C$57,MATCH($AC44,Deductibles!$B$55:$B$57,0)),"?")))</f>
        <v/>
      </c>
      <c r="BP44" s="97" t="str">
        <f>IF($A44="","",IF($AD44="",1,IFERROR(INDEX(Deductibles!$C$61:$C$63,MATCH($AD44,Deductibles!$B$61:$B$63,0)),"?")))</f>
        <v/>
      </c>
      <c r="BQ44" s="97" t="str">
        <f>IF($A44="","",IF($AE44="",1,IFERROR(INDEX(Deductibles!$C$67:$C$69,MATCH($AE44,Deductibles!$B$67:$B$69,0)),"?")))</f>
        <v/>
      </c>
      <c r="BR44" s="97" t="str">
        <f>IF($A44="","",IF($AF44="",1,IFERROR(INDEX(Deductibles!$C$73:$C$74,MATCH($AF44,Deductibles!$B$73:$B$74,0)),"?")))</f>
        <v/>
      </c>
      <c r="BS44" s="97" t="str">
        <f>IF($A44="","",IF($AG44="",1,IFERROR(INDEX('Sublimits and Parts'!$C$49:$C$52,MATCH($AG44,'Sublimits and Parts'!$B$49:$B$52,0)),"?")))</f>
        <v/>
      </c>
      <c r="BT44" s="97" t="str">
        <f>IF($A44="","",IF($AH44="",1,IFERROR(INDEX('Sublimits and Parts'!$C$56:$C$60,MATCH($AH44,'Sublimits and Parts'!$B$56:$B$60,0)),"?")))</f>
        <v/>
      </c>
      <c r="BU44" s="97" t="str">
        <f>IF($A44="","",IF($AI44="",1,IFERROR(INDEX('Sublimits and Parts'!$C$64:$C$67,MATCH($AI44,'Sublimits and Parts'!$B$64:$B$67,0)),"?")))</f>
        <v/>
      </c>
      <c r="BV44" s="97" t="str">
        <f>IF($A44="","",IF($AJ44="",1,IFERROR(INDEX('Sublimits and Parts'!$C$71:$C$74,MATCH($AJ44,'Sublimits and Parts'!$B$71:$B$74,0)),"?")))</f>
        <v/>
      </c>
      <c r="BW44" s="97" t="str">
        <f>IF($A44="","",IF($AK44="",1,IFERROR(INDEX('Sublimits and Parts'!$C$78:$C$80,MATCH($AK44,'Sublimits and Parts'!$B$78:$B$80,0)),"?")))</f>
        <v/>
      </c>
      <c r="BX44" s="97" t="str">
        <f>IF($A44="","",IF($AL44="",1,IFERROR(INDEX('Sublimits and Parts'!$C$84:$C$87,MATCH($AL44,'Sublimits and Parts'!$B$84:$B$87,0)),"?")))</f>
        <v/>
      </c>
      <c r="BY44" s="97" t="str">
        <f>IF($A44="","",IF($AM44="",1,IFERROR(INDEX('Sublimits and Parts'!$C$91:$C$94,MATCH($AM44,'Sublimits and Parts'!$B$91:$B$94,0)),"?")))</f>
        <v/>
      </c>
      <c r="BZ44" s="97" t="str">
        <f>IF($A44="","",IF($AN44="",1,IFERROR(INDEX('Sublimits and Parts'!$C$98:$C$101,MATCH($AN44,'Sublimits and Parts'!$B$98:$B$101,0)),"?")))</f>
        <v/>
      </c>
      <c r="CA44" s="97" t="str">
        <f>IF($A44="","",IF($AO44="",1,IFERROR(INDEX('Sublimits and Parts'!$C$105:$C$109,MATCH($AO44,'Sublimits and Parts'!$B$105:$B$109,0)),"?")))</f>
        <v/>
      </c>
      <c r="CB44" s="98" t="str">
        <f t="shared" si="2"/>
        <v/>
      </c>
      <c r="CC44" s="98" t="str">
        <f t="shared" si="3"/>
        <v/>
      </c>
      <c r="CD44" s="101" t="str">
        <f>IF($A44="","",IF(OR($CB44="?",$CC44="?"),"?",MIN($CB44*$CC44,'Technical Premium'!$C$17)))</f>
        <v/>
      </c>
      <c r="CE44" s="100" t="str">
        <f t="shared" si="4"/>
        <v/>
      </c>
      <c r="CF44" s="100" t="str">
        <f>IF($A44="","",IFERROR(INDEX('Territory Factors'!$F$6:$F$56,MATCH($K44,'Territory Factors'!$B$6:$B$56,0)),"?"))</f>
        <v/>
      </c>
      <c r="CG44" s="98" t="str">
        <f>IF($A44="","",IFERROR(INDEX('Usage and Coverage'!$C$79:$C$84,MATCH($Y44,'Usage and Coverage'!$B$79:$B$84,0)),"?"))</f>
        <v/>
      </c>
      <c r="CH44" s="100" t="str">
        <f>IFERROR(IF(ISNUMBER($CD44),$CF44*$CG44*MIN($BG44*$BA44*$BC44*$BD44*$BH44*$BF44,'Technical Premium'!$C$17),""),"")</f>
        <v/>
      </c>
      <c r="CI44" s="100" t="str">
        <f t="shared" si="5"/>
        <v/>
      </c>
      <c r="CJ44" s="100" t="str">
        <f>IFERROR($CI44*(1+'Technical Premium'!$C$5)*(1+'Technical Premium'!$C$6),"")</f>
        <v/>
      </c>
      <c r="CK44" s="100" t="str">
        <f>IFERROR($CE44*INDEX('Territory Factors'!$G$6:$G$56,MATCH($K44,'Territory Factors'!$B$6:$B$56,0))*$AU44*$AV44,"")</f>
        <v/>
      </c>
      <c r="CL44" s="100" t="str">
        <f>IFERROR(($CJ44+$CK44)*(1+'Technical Premium'!$C$7),"")</f>
        <v/>
      </c>
      <c r="CM44" s="102" t="str">
        <f>IFERROR($CL44/'Technical Premium'!$C$13,"")</f>
        <v/>
      </c>
      <c r="CN44" s="103" t="str">
        <f t="shared" si="6"/>
        <v/>
      </c>
      <c r="CO44" s="102" t="str">
        <f t="shared" si="7"/>
        <v/>
      </c>
      <c r="CP44" s="103" t="str">
        <f t="shared" si="8"/>
        <v/>
      </c>
      <c r="CQ44" s="104" t="str">
        <f t="shared" si="9"/>
        <v/>
      </c>
      <c r="CR44" s="100" t="str">
        <f>IF(ISNUMBER($CM44),'Technical Premium'!$C$14+IF($J44&gt;=1000000,'Technical Premium'!$C$15,0),"")</f>
        <v/>
      </c>
      <c r="CS44" s="100" t="str">
        <f>IFERROR(($CO44+$CR44)*(INDEX('Territory Factors'!$K$6:$K$56,MATCH($K44,'Territory Factors'!$B$6:$B$56,0))+'Commission Structure'!$C$21),"")</f>
        <v/>
      </c>
      <c r="CT44" s="102" t="str">
        <f t="shared" si="10"/>
        <v/>
      </c>
      <c r="CU44" s="100" t="str">
        <f>IFERROR($CO44*('Commission Structure'!$C$6+'Commission Structure'!$C$7),"")</f>
        <v/>
      </c>
      <c r="CV44" s="100" t="str">
        <f>IFERROR($CO44*'Commission Structure'!$C$5-$CU44,"")</f>
        <v/>
      </c>
      <c r="CW44" s="100" t="str">
        <f>IFERROR($CO44*(1-'Commission Structure'!$C$5),"")</f>
        <v/>
      </c>
      <c r="CX44" s="105" t="str">
        <f>IF($A44="","",IF(OR($CB44="?",$CC44="?",NOT(ISNUMBER($AU44))),"CHECK INPUTS",IF(OR($J44&lt;'Technical Premium'!$C$18,LEFT(IFERROR(INDEX('Driver Factors'!$D$6:$D$15,MATCH($R44,'Driver Factors'!$B$6:$B$15,0)),""),7)="DECLINE",LEFT(IFERROR(INDEX('Driver Factors'!$D$28:$D$36,MATCH($T44,'Driver Factors'!$B$28:$B$36,0)),""),7)="DECLINE",LEFT(IFERROR(INDEX('Claims History'!$D$6:$D$15,MATCH($U44,'Claims History'!$B$6:$B$15,0)),""),7)="DECLINE",LEFT(IFERROR(INDEX('Usage and Coverage'!$E$6:$E$20,MATCH($N44,'Usage and Coverage'!$C$6:$C$20,0)),""),7)="DECLINE"),"DECLINE",IF(OR($CD44&gt;2.5,$CD44&gt;='Technical Premium'!$C$17,$J44&gt;='Technical Premium'!$C$16,N($AQ44)&lt;'Technical Premium'!$C$19,N($AQ44)&gt;'Technical Premium'!$C$20,LEFT(IFERROR(INDEX('Driver Factors'!$D$6:$D$15,MATCH($R44,'Driver Factors'!$B$6:$B$15,0)),""),5)="Refer",LEFT(IFERROR(INDEX('Driver Factors'!$D$28:$D$36,MATCH($T44,'Driver Factors'!$B$28:$B$36,0)),""),5)="Refer",LEFT(IFERROR(INDEX('Claims History'!$D$6:$D$15,MATCH($U44,'Claims History'!$B$6:$B$15,0)),""),5)="Refer",LEFT(IFERROR(INDEX('Usage and Coverage'!$E$6:$E$20,MATCH($N44,'Usage and Coverage'!$C$6:$C$20,0)),""),5)="Refer"),"REFER","AUTO-BIND"))))</f>
        <v/>
      </c>
      <c r="CY44" s="106" t="str">
        <f t="shared" si="11"/>
        <v/>
      </c>
      <c r="CZ44" s="97" t="str">
        <f>IF($CY44="","",IF($CY44&lt;'Technical Premium'!$C$19,"BEYOND AUTHORITY",IF($CY44&gt;0.005,"Above technical",IF($CY44&lt;-0.005,"BELOW technical","At technical"))))</f>
        <v/>
      </c>
      <c r="DA44" s="97" t="str">
        <f>IF($A44="","",IF($CX44="AUTO-BIND","",TRIM(IF($J44&lt;'Technical Premium'!$C$18,"Below programme minimum agreed value. ","")&amp;IF(N($AQ44)&lt;'Technical Premium'!$C$19,"DISCOUNT AUTHORITY BREACH. ","")&amp;IF(N($AQ44)&gt;'Technical Premium'!$C$20,"Load authority breach. ","")&amp;IF($J44&gt;='Technical Premium'!$C$16,"Agreed value at or above auto-bind limit. ","")&amp;IF(AND(ISNUMBER($CD44),$CD44&gt;='Technical Premium'!$C$17),"Composite factor at cap. ","")&amp;IF(AND(ISNUMBER($CD44),$CD44&gt;2.5),"Composite factor above 2.50. ","")&amp;IF(LEFT(IFERROR(INDEX('Driver Factors'!$D$6:$D$15,MATCH($R44,'Driver Factors'!$B$6:$B$15,0)),""),7)="DECLINE","DECLINE - driver age. ",IF(LEFT(IFERROR(INDEX('Driver Factors'!$D$6:$D$15,MATCH($R44,'Driver Factors'!$B$6:$B$15,0)),""),5)="Refer","Driver age band. ",""))&amp;IF(LEFT(IFERROR(INDEX('Driver Factors'!$D$28:$D$36,MATCH($T44,'Driver Factors'!$B$28:$B$36,0)),""),7)="DECLINE","DECLINE - MVR. ",IF(LEFT(IFERROR(INDEX('Driver Factors'!$D$28:$D$36,MATCH($T44,'Driver Factors'!$B$28:$B$36,0)),""),5)="Refer","MVR record. ",""))&amp;IF(LEFT(IFERROR(INDEX('Claims History'!$D$6:$D$15,MATCH($U44,'Claims History'!$B$6:$B$15,0)),""),7)="DECLINE","DECLINE - claims. ",IF(LEFT(IFERROR(INDEX('Claims History'!$D$6:$D$15,MATCH($U44,'Claims History'!$B$6:$B$15,0)),""),5)="Refer","Claims history. ",""))&amp;IF(LEFT(IFERROR(INDEX('Usage and Coverage'!$E$6:$E$20,MATCH($N44,'Usage and Coverage'!$C$6:$C$20,0)),""),7)="DECLINE","DECLINE - usage class. ",IF(LEFT(IFERROR(INDEX('Usage and Coverage'!$E$6:$E$20,MATCH($N44,'Usage and Coverage'!$C$6:$C$20,0)),""),5)="Refer","Usage class. ",""))&amp;IF($CX44="CHECK INPUTS","Incomplete inputs. ",""))))</f>
        <v/>
      </c>
      <c r="DB44" s="92"/>
      <c r="DC44" s="92"/>
      <c r="DD44" s="93"/>
      <c r="DE44" s="92"/>
      <c r="DF44" s="92"/>
      <c r="DG44" s="97" t="str">
        <f t="shared" si="12"/>
        <v/>
      </c>
      <c r="DH44" s="97" t="str">
        <f>IF($A44="","",IF(OR($CX44="REFER",$CX44="DECLINE"),COUNTIF($CX$5:$CX44,"REFER")+COUNTIF($CX$5:$CX44,"DECLINE"),""))</f>
        <v/>
      </c>
      <c r="DI44" s="92"/>
    </row>
    <row r="45" spans="1:113" x14ac:dyDescent="0.25">
      <c r="A45" s="92"/>
      <c r="B45" s="92"/>
      <c r="C45" s="93"/>
      <c r="D45" s="93"/>
      <c r="E45" s="94"/>
      <c r="F45" s="92"/>
      <c r="G45" s="92"/>
      <c r="H45" s="92"/>
      <c r="I45" s="92"/>
      <c r="J45" s="95"/>
      <c r="K45" s="92"/>
      <c r="L45" s="92"/>
      <c r="M45" s="92"/>
      <c r="N45" s="92"/>
      <c r="O45" s="92"/>
      <c r="P45" s="92"/>
      <c r="Q45" s="92"/>
      <c r="R45" s="92"/>
      <c r="S45" s="92"/>
      <c r="T45" s="92"/>
      <c r="U45" s="92"/>
      <c r="V45" s="92"/>
      <c r="W45" s="92"/>
      <c r="X45" s="92"/>
      <c r="Y45" s="92"/>
      <c r="Z45" s="92"/>
      <c r="AA45" s="92"/>
      <c r="AB45" s="92"/>
      <c r="AC45" s="92"/>
      <c r="AD45" s="92"/>
      <c r="AE45" s="92"/>
      <c r="AF45" s="92"/>
      <c r="AG45" s="92"/>
      <c r="AH45" s="92"/>
      <c r="AI45" s="92"/>
      <c r="AJ45" s="92"/>
      <c r="AK45" s="92"/>
      <c r="AL45" s="92"/>
      <c r="AM45" s="92"/>
      <c r="AN45" s="92"/>
      <c r="AO45" s="92"/>
      <c r="AP45" s="92"/>
      <c r="AQ45" s="96"/>
      <c r="AR45" s="97" t="str">
        <f t="shared" si="0"/>
        <v/>
      </c>
      <c r="AS45" s="97" t="str">
        <f>IF($A45="","",IF($AP45&lt;&gt;"",$AP45,IFERROR(INDEX('Cat Zone by ZIP'!$D$6:$D$856,MATCH($AR45,'Cat Zone by ZIP'!$B$6:$B$856,0)),IFERROR(INDEX('Cat Zone by ZIP'!$C$860:$C$910,MATCH($K45,'Cat Zone by ZIP'!$B$860:$B$910,0)),"NOT FOUND"))))</f>
        <v/>
      </c>
      <c r="AT45" s="97" t="str">
        <f>IF($A45="","",IF($AP45&lt;&gt;"","Override",IF(ISNUMBER(MATCH($AR45,'Cat Zone by ZIP'!$B$6:$B$856,0)),"ZIP-3","State default")))</f>
        <v/>
      </c>
      <c r="AU45" s="98" t="str">
        <f>IF($A45="","",IFERROR(INDEX('Natural Catastrophe'!$D$6:$D$17,MATCH($AS45,'Natural Catastrophe'!$B$6:$B$17,0)),"?"))</f>
        <v/>
      </c>
      <c r="AV45" s="98" t="str">
        <f>IF($A45="","",IFERROR(INDEX('Natural Catastrophe'!$C$21:$C$26,MATCH($AA45,'Natural Catastrophe'!$B$21:$B$26,0)),"?"))</f>
        <v/>
      </c>
      <c r="AW45" s="97" t="str">
        <f>IF($A45="","",IFERROR(INDEX('Base Rates'!$C$4:$I$4,MATCH(MAX($J45,'Technical Premium'!$C$18),'Base Rates'!$C$3:$I$3,1)),"?"))</f>
        <v/>
      </c>
      <c r="AX45" s="99" t="str">
        <f>IF($A45="","",IFERROR(INDEX('Base Rates'!$C$5:$I$16,MATCH($I45,'Base Rates'!$B$5:$B$16,0),MATCH(MAX($J45,'Technical Premium'!$C$18),'Base Rates'!$C$3:$I$3,1)),"?"))</f>
        <v/>
      </c>
      <c r="AY45" s="100" t="str">
        <f t="shared" si="1"/>
        <v/>
      </c>
      <c r="AZ45" s="97" t="str">
        <f>IF($A45="","",IFERROR(INDEX('Make Factors'!$G$5:$G$69,MATCH($F45,'Make Factors'!$B$5:$B$69,0)),"?"))</f>
        <v/>
      </c>
      <c r="BA45" s="97" t="str">
        <f>IF($A45="","",IFERROR(INDEX('Driver Factors'!$C$6:$C$15,MATCH($R45,'Driver Factors'!$B$6:$B$15,0)),"?"))</f>
        <v/>
      </c>
      <c r="BB45" s="97" t="str">
        <f>IF($A45="","",IFERROR(INDEX('Driver Factors'!$C$19:$C$24,MATCH($S45,'Driver Factors'!$B$19:$B$24,0)),"?"))</f>
        <v/>
      </c>
      <c r="BC45" s="97" t="str">
        <f>IF($A45="","",IFERROR(INDEX('Driver Factors'!$C$28:$C$36,MATCH($T45,'Driver Factors'!$B$28:$B$36,0)),"?"))</f>
        <v/>
      </c>
      <c r="BD45" s="97" t="str">
        <f>IF($A45="","",IFERROR(INDEX('Claims History'!$C$6:$C$15,MATCH($U45,'Claims History'!$B$6:$B$15,0)),"?"))</f>
        <v/>
      </c>
      <c r="BE45" s="97" t="str">
        <f>IF($A45="","",IFERROR(INDEX('Territory Factors'!$E$6:$E$56,MATCH($K45,'Territory Factors'!$B$6:$B$56,0)),"?"))</f>
        <v/>
      </c>
      <c r="BF45" s="97" t="str">
        <f>IF($A45="","",IFERROR(INDEX('City Accident Ratings'!$G$6:$G$54,MATCH($Z45,'City Accident Ratings'!$B$6:$B$54,0)),"?"))</f>
        <v/>
      </c>
      <c r="BG45" s="97" t="str">
        <f>IF($A45="","",IFERROR(INDEX('Usage and Coverage'!$D$6:$D$20,MATCH($N45,'Usage and Coverage'!$C$6:$C$20,0)),"?"))</f>
        <v/>
      </c>
      <c r="BH45" s="97" t="str">
        <f>IF($A45="","",IFERROR(INDEX('Usage and Coverage'!$C$24:$C$30,MATCH($O45,'Usage and Coverage'!$B$24:$B$30,0)),"?"))</f>
        <v/>
      </c>
      <c r="BI45" s="97" t="str">
        <f>IF($A45="","",IFERROR(INDEX('Usage and Coverage'!$C$34:$C$40,MATCH($P45,'Usage and Coverage'!$B$34:$B$40,0)),"?"))</f>
        <v/>
      </c>
      <c r="BJ45" s="97" t="str">
        <f>IF($A45="","",IFERROR(INDEX('Usage and Coverage'!$C$44:$C$49,MATCH($Q45,'Usage and Coverage'!$B$44:$B$49,0)),"?"))</f>
        <v/>
      </c>
      <c r="BK45" s="97" t="str">
        <f>IF($A45="","",IFERROR(INDEX(Deductibles!$C$6:$I$15,MATCH($W45,Deductibles!$B$6:$B$15,0),MATCH(MAX($J45,'Technical Premium'!$C$18),'Base Rates'!$C$3:$I$3,1)),"?"))</f>
        <v/>
      </c>
      <c r="BL45" s="97" t="str">
        <f>IF($A45="","",IFERROR(INDEX('Usage and Coverage'!$C$63:$C$66,MATCH($X45,'Usage and Coverage'!$B$63:$B$66,0)),"?"))</f>
        <v/>
      </c>
      <c r="BM45" s="97" t="str">
        <f>IF($A45="","",IFERROR(INDEX('Usage and Coverage'!$C$70:$C$75,MATCH($V45,'Usage and Coverage'!$B$70:$B$75,0)),"?"))</f>
        <v/>
      </c>
      <c r="BN45" s="97" t="str">
        <f>IF($A45="","",IF($AB45="",1,IFERROR(INDEX(Deductibles!$C$48:$C$51,MATCH($AB45,Deductibles!$B$48:$B$51,0)),"?")))</f>
        <v/>
      </c>
      <c r="BO45" s="97" t="str">
        <f>IF($A45="","",IF($AC45="",1,IFERROR(INDEX(Deductibles!$C$55:$C$57,MATCH($AC45,Deductibles!$B$55:$B$57,0)),"?")))</f>
        <v/>
      </c>
      <c r="BP45" s="97" t="str">
        <f>IF($A45="","",IF($AD45="",1,IFERROR(INDEX(Deductibles!$C$61:$C$63,MATCH($AD45,Deductibles!$B$61:$B$63,0)),"?")))</f>
        <v/>
      </c>
      <c r="BQ45" s="97" t="str">
        <f>IF($A45="","",IF($AE45="",1,IFERROR(INDEX(Deductibles!$C$67:$C$69,MATCH($AE45,Deductibles!$B$67:$B$69,0)),"?")))</f>
        <v/>
      </c>
      <c r="BR45" s="97" t="str">
        <f>IF($A45="","",IF($AF45="",1,IFERROR(INDEX(Deductibles!$C$73:$C$74,MATCH($AF45,Deductibles!$B$73:$B$74,0)),"?")))</f>
        <v/>
      </c>
      <c r="BS45" s="97" t="str">
        <f>IF($A45="","",IF($AG45="",1,IFERROR(INDEX('Sublimits and Parts'!$C$49:$C$52,MATCH($AG45,'Sublimits and Parts'!$B$49:$B$52,0)),"?")))</f>
        <v/>
      </c>
      <c r="BT45" s="97" t="str">
        <f>IF($A45="","",IF($AH45="",1,IFERROR(INDEX('Sublimits and Parts'!$C$56:$C$60,MATCH($AH45,'Sublimits and Parts'!$B$56:$B$60,0)),"?")))</f>
        <v/>
      </c>
      <c r="BU45" s="97" t="str">
        <f>IF($A45="","",IF($AI45="",1,IFERROR(INDEX('Sublimits and Parts'!$C$64:$C$67,MATCH($AI45,'Sublimits and Parts'!$B$64:$B$67,0)),"?")))</f>
        <v/>
      </c>
      <c r="BV45" s="97" t="str">
        <f>IF($A45="","",IF($AJ45="",1,IFERROR(INDEX('Sublimits and Parts'!$C$71:$C$74,MATCH($AJ45,'Sublimits and Parts'!$B$71:$B$74,0)),"?")))</f>
        <v/>
      </c>
      <c r="BW45" s="97" t="str">
        <f>IF($A45="","",IF($AK45="",1,IFERROR(INDEX('Sublimits and Parts'!$C$78:$C$80,MATCH($AK45,'Sublimits and Parts'!$B$78:$B$80,0)),"?")))</f>
        <v/>
      </c>
      <c r="BX45" s="97" t="str">
        <f>IF($A45="","",IF($AL45="",1,IFERROR(INDEX('Sublimits and Parts'!$C$84:$C$87,MATCH($AL45,'Sublimits and Parts'!$B$84:$B$87,0)),"?")))</f>
        <v/>
      </c>
      <c r="BY45" s="97" t="str">
        <f>IF($A45="","",IF($AM45="",1,IFERROR(INDEX('Sublimits and Parts'!$C$91:$C$94,MATCH($AM45,'Sublimits and Parts'!$B$91:$B$94,0)),"?")))</f>
        <v/>
      </c>
      <c r="BZ45" s="97" t="str">
        <f>IF($A45="","",IF($AN45="",1,IFERROR(INDEX('Sublimits and Parts'!$C$98:$C$101,MATCH($AN45,'Sublimits and Parts'!$B$98:$B$101,0)),"?")))</f>
        <v/>
      </c>
      <c r="CA45" s="97" t="str">
        <f>IF($A45="","",IF($AO45="",1,IFERROR(INDEX('Sublimits and Parts'!$C$105:$C$109,MATCH($AO45,'Sublimits and Parts'!$B$105:$B$109,0)),"?")))</f>
        <v/>
      </c>
      <c r="CB45" s="98" t="str">
        <f t="shared" si="2"/>
        <v/>
      </c>
      <c r="CC45" s="98" t="str">
        <f t="shared" si="3"/>
        <v/>
      </c>
      <c r="CD45" s="101" t="str">
        <f>IF($A45="","",IF(OR($CB45="?",$CC45="?"),"?",MIN($CB45*$CC45,'Technical Premium'!$C$17)))</f>
        <v/>
      </c>
      <c r="CE45" s="100" t="str">
        <f t="shared" si="4"/>
        <v/>
      </c>
      <c r="CF45" s="100" t="str">
        <f>IF($A45="","",IFERROR(INDEX('Territory Factors'!$F$6:$F$56,MATCH($K45,'Territory Factors'!$B$6:$B$56,0)),"?"))</f>
        <v/>
      </c>
      <c r="CG45" s="98" t="str">
        <f>IF($A45="","",IFERROR(INDEX('Usage and Coverage'!$C$79:$C$84,MATCH($Y45,'Usage and Coverage'!$B$79:$B$84,0)),"?"))</f>
        <v/>
      </c>
      <c r="CH45" s="100" t="str">
        <f>IFERROR(IF(ISNUMBER($CD45),$CF45*$CG45*MIN($BG45*$BA45*$BC45*$BD45*$BH45*$BF45,'Technical Premium'!$C$17),""),"")</f>
        <v/>
      </c>
      <c r="CI45" s="100" t="str">
        <f t="shared" si="5"/>
        <v/>
      </c>
      <c r="CJ45" s="100" t="str">
        <f>IFERROR($CI45*(1+'Technical Premium'!$C$5)*(1+'Technical Premium'!$C$6),"")</f>
        <v/>
      </c>
      <c r="CK45" s="100" t="str">
        <f>IFERROR($CE45*INDEX('Territory Factors'!$G$6:$G$56,MATCH($K45,'Territory Factors'!$B$6:$B$56,0))*$AU45*$AV45,"")</f>
        <v/>
      </c>
      <c r="CL45" s="100" t="str">
        <f>IFERROR(($CJ45+$CK45)*(1+'Technical Premium'!$C$7),"")</f>
        <v/>
      </c>
      <c r="CM45" s="102" t="str">
        <f>IFERROR($CL45/'Technical Premium'!$C$13,"")</f>
        <v/>
      </c>
      <c r="CN45" s="103" t="str">
        <f t="shared" si="6"/>
        <v/>
      </c>
      <c r="CO45" s="102" t="str">
        <f t="shared" si="7"/>
        <v/>
      </c>
      <c r="CP45" s="103" t="str">
        <f t="shared" si="8"/>
        <v/>
      </c>
      <c r="CQ45" s="104" t="str">
        <f t="shared" si="9"/>
        <v/>
      </c>
      <c r="CR45" s="100" t="str">
        <f>IF(ISNUMBER($CM45),'Technical Premium'!$C$14+IF($J45&gt;=1000000,'Technical Premium'!$C$15,0),"")</f>
        <v/>
      </c>
      <c r="CS45" s="100" t="str">
        <f>IFERROR(($CO45+$CR45)*(INDEX('Territory Factors'!$K$6:$K$56,MATCH($K45,'Territory Factors'!$B$6:$B$56,0))+'Commission Structure'!$C$21),"")</f>
        <v/>
      </c>
      <c r="CT45" s="102" t="str">
        <f t="shared" si="10"/>
        <v/>
      </c>
      <c r="CU45" s="100" t="str">
        <f>IFERROR($CO45*('Commission Structure'!$C$6+'Commission Structure'!$C$7),"")</f>
        <v/>
      </c>
      <c r="CV45" s="100" t="str">
        <f>IFERROR($CO45*'Commission Structure'!$C$5-$CU45,"")</f>
        <v/>
      </c>
      <c r="CW45" s="100" t="str">
        <f>IFERROR($CO45*(1-'Commission Structure'!$C$5),"")</f>
        <v/>
      </c>
      <c r="CX45" s="105" t="str">
        <f>IF($A45="","",IF(OR($CB45="?",$CC45="?",NOT(ISNUMBER($AU45))),"CHECK INPUTS",IF(OR($J45&lt;'Technical Premium'!$C$18,LEFT(IFERROR(INDEX('Driver Factors'!$D$6:$D$15,MATCH($R45,'Driver Factors'!$B$6:$B$15,0)),""),7)="DECLINE",LEFT(IFERROR(INDEX('Driver Factors'!$D$28:$D$36,MATCH($T45,'Driver Factors'!$B$28:$B$36,0)),""),7)="DECLINE",LEFT(IFERROR(INDEX('Claims History'!$D$6:$D$15,MATCH($U45,'Claims History'!$B$6:$B$15,0)),""),7)="DECLINE",LEFT(IFERROR(INDEX('Usage and Coverage'!$E$6:$E$20,MATCH($N45,'Usage and Coverage'!$C$6:$C$20,0)),""),7)="DECLINE"),"DECLINE",IF(OR($CD45&gt;2.5,$CD45&gt;='Technical Premium'!$C$17,$J45&gt;='Technical Premium'!$C$16,N($AQ45)&lt;'Technical Premium'!$C$19,N($AQ45)&gt;'Technical Premium'!$C$20,LEFT(IFERROR(INDEX('Driver Factors'!$D$6:$D$15,MATCH($R45,'Driver Factors'!$B$6:$B$15,0)),""),5)="Refer",LEFT(IFERROR(INDEX('Driver Factors'!$D$28:$D$36,MATCH($T45,'Driver Factors'!$B$28:$B$36,0)),""),5)="Refer",LEFT(IFERROR(INDEX('Claims History'!$D$6:$D$15,MATCH($U45,'Claims History'!$B$6:$B$15,0)),""),5)="Refer",LEFT(IFERROR(INDEX('Usage and Coverage'!$E$6:$E$20,MATCH($N45,'Usage and Coverage'!$C$6:$C$20,0)),""),5)="Refer"),"REFER","AUTO-BIND"))))</f>
        <v/>
      </c>
      <c r="CY45" s="106" t="str">
        <f t="shared" si="11"/>
        <v/>
      </c>
      <c r="CZ45" s="97" t="str">
        <f>IF($CY45="","",IF($CY45&lt;'Technical Premium'!$C$19,"BEYOND AUTHORITY",IF($CY45&gt;0.005,"Above technical",IF($CY45&lt;-0.005,"BELOW technical","At technical"))))</f>
        <v/>
      </c>
      <c r="DA45" s="97" t="str">
        <f>IF($A45="","",IF($CX45="AUTO-BIND","",TRIM(IF($J45&lt;'Technical Premium'!$C$18,"Below programme minimum agreed value. ","")&amp;IF(N($AQ45)&lt;'Technical Premium'!$C$19,"DISCOUNT AUTHORITY BREACH. ","")&amp;IF(N($AQ45)&gt;'Technical Premium'!$C$20,"Load authority breach. ","")&amp;IF($J45&gt;='Technical Premium'!$C$16,"Agreed value at or above auto-bind limit. ","")&amp;IF(AND(ISNUMBER($CD45),$CD45&gt;='Technical Premium'!$C$17),"Composite factor at cap. ","")&amp;IF(AND(ISNUMBER($CD45),$CD45&gt;2.5),"Composite factor above 2.50. ","")&amp;IF(LEFT(IFERROR(INDEX('Driver Factors'!$D$6:$D$15,MATCH($R45,'Driver Factors'!$B$6:$B$15,0)),""),7)="DECLINE","DECLINE - driver age. ",IF(LEFT(IFERROR(INDEX('Driver Factors'!$D$6:$D$15,MATCH($R45,'Driver Factors'!$B$6:$B$15,0)),""),5)="Refer","Driver age band. ",""))&amp;IF(LEFT(IFERROR(INDEX('Driver Factors'!$D$28:$D$36,MATCH($T45,'Driver Factors'!$B$28:$B$36,0)),""),7)="DECLINE","DECLINE - MVR. ",IF(LEFT(IFERROR(INDEX('Driver Factors'!$D$28:$D$36,MATCH($T45,'Driver Factors'!$B$28:$B$36,0)),""),5)="Refer","MVR record. ",""))&amp;IF(LEFT(IFERROR(INDEX('Claims History'!$D$6:$D$15,MATCH($U45,'Claims History'!$B$6:$B$15,0)),""),7)="DECLINE","DECLINE - claims. ",IF(LEFT(IFERROR(INDEX('Claims History'!$D$6:$D$15,MATCH($U45,'Claims History'!$B$6:$B$15,0)),""),5)="Refer","Claims history. ",""))&amp;IF(LEFT(IFERROR(INDEX('Usage and Coverage'!$E$6:$E$20,MATCH($N45,'Usage and Coverage'!$C$6:$C$20,0)),""),7)="DECLINE","DECLINE - usage class. ",IF(LEFT(IFERROR(INDEX('Usage and Coverage'!$E$6:$E$20,MATCH($N45,'Usage and Coverage'!$C$6:$C$20,0)),""),5)="Refer","Usage class. ",""))&amp;IF($CX45="CHECK INPUTS","Incomplete inputs. ",""))))</f>
        <v/>
      </c>
      <c r="DB45" s="92"/>
      <c r="DC45" s="92"/>
      <c r="DD45" s="93"/>
      <c r="DE45" s="92"/>
      <c r="DF45" s="92"/>
      <c r="DG45" s="97" t="str">
        <f t="shared" si="12"/>
        <v/>
      </c>
      <c r="DH45" s="97" t="str">
        <f>IF($A45="","",IF(OR($CX45="REFER",$CX45="DECLINE"),COUNTIF($CX$5:$CX45,"REFER")+COUNTIF($CX$5:$CX45,"DECLINE"),""))</f>
        <v/>
      </c>
      <c r="DI45" s="92"/>
    </row>
    <row r="46" spans="1:113" x14ac:dyDescent="0.25">
      <c r="A46" s="92"/>
      <c r="B46" s="92"/>
      <c r="C46" s="93"/>
      <c r="D46" s="93"/>
      <c r="E46" s="94"/>
      <c r="F46" s="92"/>
      <c r="G46" s="92"/>
      <c r="H46" s="92"/>
      <c r="I46" s="92"/>
      <c r="J46" s="95"/>
      <c r="K46" s="92"/>
      <c r="L46" s="92"/>
      <c r="M46" s="92"/>
      <c r="N46" s="92"/>
      <c r="O46" s="92"/>
      <c r="P46" s="92"/>
      <c r="Q46" s="92"/>
      <c r="R46" s="92"/>
      <c r="S46" s="92"/>
      <c r="T46" s="92"/>
      <c r="U46" s="92"/>
      <c r="V46" s="92"/>
      <c r="W46" s="92"/>
      <c r="X46" s="92"/>
      <c r="Y46" s="92"/>
      <c r="Z46" s="92"/>
      <c r="AA46" s="92"/>
      <c r="AB46" s="92"/>
      <c r="AC46" s="92"/>
      <c r="AD46" s="92"/>
      <c r="AE46" s="92"/>
      <c r="AF46" s="92"/>
      <c r="AG46" s="92"/>
      <c r="AH46" s="92"/>
      <c r="AI46" s="92"/>
      <c r="AJ46" s="92"/>
      <c r="AK46" s="92"/>
      <c r="AL46" s="92"/>
      <c r="AM46" s="92"/>
      <c r="AN46" s="92"/>
      <c r="AO46" s="92"/>
      <c r="AP46" s="92"/>
      <c r="AQ46" s="96"/>
      <c r="AR46" s="97" t="str">
        <f t="shared" si="0"/>
        <v/>
      </c>
      <c r="AS46" s="97" t="str">
        <f>IF($A46="","",IF($AP46&lt;&gt;"",$AP46,IFERROR(INDEX('Cat Zone by ZIP'!$D$6:$D$856,MATCH($AR46,'Cat Zone by ZIP'!$B$6:$B$856,0)),IFERROR(INDEX('Cat Zone by ZIP'!$C$860:$C$910,MATCH($K46,'Cat Zone by ZIP'!$B$860:$B$910,0)),"NOT FOUND"))))</f>
        <v/>
      </c>
      <c r="AT46" s="97" t="str">
        <f>IF($A46="","",IF($AP46&lt;&gt;"","Override",IF(ISNUMBER(MATCH($AR46,'Cat Zone by ZIP'!$B$6:$B$856,0)),"ZIP-3","State default")))</f>
        <v/>
      </c>
      <c r="AU46" s="98" t="str">
        <f>IF($A46="","",IFERROR(INDEX('Natural Catastrophe'!$D$6:$D$17,MATCH($AS46,'Natural Catastrophe'!$B$6:$B$17,0)),"?"))</f>
        <v/>
      </c>
      <c r="AV46" s="98" t="str">
        <f>IF($A46="","",IFERROR(INDEX('Natural Catastrophe'!$C$21:$C$26,MATCH($AA46,'Natural Catastrophe'!$B$21:$B$26,0)),"?"))</f>
        <v/>
      </c>
      <c r="AW46" s="97" t="str">
        <f>IF($A46="","",IFERROR(INDEX('Base Rates'!$C$4:$I$4,MATCH(MAX($J46,'Technical Premium'!$C$18),'Base Rates'!$C$3:$I$3,1)),"?"))</f>
        <v/>
      </c>
      <c r="AX46" s="99" t="str">
        <f>IF($A46="","",IFERROR(INDEX('Base Rates'!$C$5:$I$16,MATCH($I46,'Base Rates'!$B$5:$B$16,0),MATCH(MAX($J46,'Technical Premium'!$C$18),'Base Rates'!$C$3:$I$3,1)),"?"))</f>
        <v/>
      </c>
      <c r="AY46" s="100" t="str">
        <f t="shared" si="1"/>
        <v/>
      </c>
      <c r="AZ46" s="97" t="str">
        <f>IF($A46="","",IFERROR(INDEX('Make Factors'!$G$5:$G$69,MATCH($F46,'Make Factors'!$B$5:$B$69,0)),"?"))</f>
        <v/>
      </c>
      <c r="BA46" s="97" t="str">
        <f>IF($A46="","",IFERROR(INDEX('Driver Factors'!$C$6:$C$15,MATCH($R46,'Driver Factors'!$B$6:$B$15,0)),"?"))</f>
        <v/>
      </c>
      <c r="BB46" s="97" t="str">
        <f>IF($A46="","",IFERROR(INDEX('Driver Factors'!$C$19:$C$24,MATCH($S46,'Driver Factors'!$B$19:$B$24,0)),"?"))</f>
        <v/>
      </c>
      <c r="BC46" s="97" t="str">
        <f>IF($A46="","",IFERROR(INDEX('Driver Factors'!$C$28:$C$36,MATCH($T46,'Driver Factors'!$B$28:$B$36,0)),"?"))</f>
        <v/>
      </c>
      <c r="BD46" s="97" t="str">
        <f>IF($A46="","",IFERROR(INDEX('Claims History'!$C$6:$C$15,MATCH($U46,'Claims History'!$B$6:$B$15,0)),"?"))</f>
        <v/>
      </c>
      <c r="BE46" s="97" t="str">
        <f>IF($A46="","",IFERROR(INDEX('Territory Factors'!$E$6:$E$56,MATCH($K46,'Territory Factors'!$B$6:$B$56,0)),"?"))</f>
        <v/>
      </c>
      <c r="BF46" s="97" t="str">
        <f>IF($A46="","",IFERROR(INDEX('City Accident Ratings'!$G$6:$G$54,MATCH($Z46,'City Accident Ratings'!$B$6:$B$54,0)),"?"))</f>
        <v/>
      </c>
      <c r="BG46" s="97" t="str">
        <f>IF($A46="","",IFERROR(INDEX('Usage and Coverage'!$D$6:$D$20,MATCH($N46,'Usage and Coverage'!$C$6:$C$20,0)),"?"))</f>
        <v/>
      </c>
      <c r="BH46" s="97" t="str">
        <f>IF($A46="","",IFERROR(INDEX('Usage and Coverage'!$C$24:$C$30,MATCH($O46,'Usage and Coverage'!$B$24:$B$30,0)),"?"))</f>
        <v/>
      </c>
      <c r="BI46" s="97" t="str">
        <f>IF($A46="","",IFERROR(INDEX('Usage and Coverage'!$C$34:$C$40,MATCH($P46,'Usage and Coverage'!$B$34:$B$40,0)),"?"))</f>
        <v/>
      </c>
      <c r="BJ46" s="97" t="str">
        <f>IF($A46="","",IFERROR(INDEX('Usage and Coverage'!$C$44:$C$49,MATCH($Q46,'Usage and Coverage'!$B$44:$B$49,0)),"?"))</f>
        <v/>
      </c>
      <c r="BK46" s="97" t="str">
        <f>IF($A46="","",IFERROR(INDEX(Deductibles!$C$6:$I$15,MATCH($W46,Deductibles!$B$6:$B$15,0),MATCH(MAX($J46,'Technical Premium'!$C$18),'Base Rates'!$C$3:$I$3,1)),"?"))</f>
        <v/>
      </c>
      <c r="BL46" s="97" t="str">
        <f>IF($A46="","",IFERROR(INDEX('Usage and Coverage'!$C$63:$C$66,MATCH($X46,'Usage and Coverage'!$B$63:$B$66,0)),"?"))</f>
        <v/>
      </c>
      <c r="BM46" s="97" t="str">
        <f>IF($A46="","",IFERROR(INDEX('Usage and Coverage'!$C$70:$C$75,MATCH($V46,'Usage and Coverage'!$B$70:$B$75,0)),"?"))</f>
        <v/>
      </c>
      <c r="BN46" s="97" t="str">
        <f>IF($A46="","",IF($AB46="",1,IFERROR(INDEX(Deductibles!$C$48:$C$51,MATCH($AB46,Deductibles!$B$48:$B$51,0)),"?")))</f>
        <v/>
      </c>
      <c r="BO46" s="97" t="str">
        <f>IF($A46="","",IF($AC46="",1,IFERROR(INDEX(Deductibles!$C$55:$C$57,MATCH($AC46,Deductibles!$B$55:$B$57,0)),"?")))</f>
        <v/>
      </c>
      <c r="BP46" s="97" t="str">
        <f>IF($A46="","",IF($AD46="",1,IFERROR(INDEX(Deductibles!$C$61:$C$63,MATCH($AD46,Deductibles!$B$61:$B$63,0)),"?")))</f>
        <v/>
      </c>
      <c r="BQ46" s="97" t="str">
        <f>IF($A46="","",IF($AE46="",1,IFERROR(INDEX(Deductibles!$C$67:$C$69,MATCH($AE46,Deductibles!$B$67:$B$69,0)),"?")))</f>
        <v/>
      </c>
      <c r="BR46" s="97" t="str">
        <f>IF($A46="","",IF($AF46="",1,IFERROR(INDEX(Deductibles!$C$73:$C$74,MATCH($AF46,Deductibles!$B$73:$B$74,0)),"?")))</f>
        <v/>
      </c>
      <c r="BS46" s="97" t="str">
        <f>IF($A46="","",IF($AG46="",1,IFERROR(INDEX('Sublimits and Parts'!$C$49:$C$52,MATCH($AG46,'Sublimits and Parts'!$B$49:$B$52,0)),"?")))</f>
        <v/>
      </c>
      <c r="BT46" s="97" t="str">
        <f>IF($A46="","",IF($AH46="",1,IFERROR(INDEX('Sublimits and Parts'!$C$56:$C$60,MATCH($AH46,'Sublimits and Parts'!$B$56:$B$60,0)),"?")))</f>
        <v/>
      </c>
      <c r="BU46" s="97" t="str">
        <f>IF($A46="","",IF($AI46="",1,IFERROR(INDEX('Sublimits and Parts'!$C$64:$C$67,MATCH($AI46,'Sublimits and Parts'!$B$64:$B$67,0)),"?")))</f>
        <v/>
      </c>
      <c r="BV46" s="97" t="str">
        <f>IF($A46="","",IF($AJ46="",1,IFERROR(INDEX('Sublimits and Parts'!$C$71:$C$74,MATCH($AJ46,'Sublimits and Parts'!$B$71:$B$74,0)),"?")))</f>
        <v/>
      </c>
      <c r="BW46" s="97" t="str">
        <f>IF($A46="","",IF($AK46="",1,IFERROR(INDEX('Sublimits and Parts'!$C$78:$C$80,MATCH($AK46,'Sublimits and Parts'!$B$78:$B$80,0)),"?")))</f>
        <v/>
      </c>
      <c r="BX46" s="97" t="str">
        <f>IF($A46="","",IF($AL46="",1,IFERROR(INDEX('Sublimits and Parts'!$C$84:$C$87,MATCH($AL46,'Sublimits and Parts'!$B$84:$B$87,0)),"?")))</f>
        <v/>
      </c>
      <c r="BY46" s="97" t="str">
        <f>IF($A46="","",IF($AM46="",1,IFERROR(INDEX('Sublimits and Parts'!$C$91:$C$94,MATCH($AM46,'Sublimits and Parts'!$B$91:$B$94,0)),"?")))</f>
        <v/>
      </c>
      <c r="BZ46" s="97" t="str">
        <f>IF($A46="","",IF($AN46="",1,IFERROR(INDEX('Sublimits and Parts'!$C$98:$C$101,MATCH($AN46,'Sublimits and Parts'!$B$98:$B$101,0)),"?")))</f>
        <v/>
      </c>
      <c r="CA46" s="97" t="str">
        <f>IF($A46="","",IF($AO46="",1,IFERROR(INDEX('Sublimits and Parts'!$C$105:$C$109,MATCH($AO46,'Sublimits and Parts'!$B$105:$B$109,0)),"?")))</f>
        <v/>
      </c>
      <c r="CB46" s="98" t="str">
        <f t="shared" si="2"/>
        <v/>
      </c>
      <c r="CC46" s="98" t="str">
        <f t="shared" si="3"/>
        <v/>
      </c>
      <c r="CD46" s="101" t="str">
        <f>IF($A46="","",IF(OR($CB46="?",$CC46="?"),"?",MIN($CB46*$CC46,'Technical Premium'!$C$17)))</f>
        <v/>
      </c>
      <c r="CE46" s="100" t="str">
        <f t="shared" si="4"/>
        <v/>
      </c>
      <c r="CF46" s="100" t="str">
        <f>IF($A46="","",IFERROR(INDEX('Territory Factors'!$F$6:$F$56,MATCH($K46,'Territory Factors'!$B$6:$B$56,0)),"?"))</f>
        <v/>
      </c>
      <c r="CG46" s="98" t="str">
        <f>IF($A46="","",IFERROR(INDEX('Usage and Coverage'!$C$79:$C$84,MATCH($Y46,'Usage and Coverage'!$B$79:$B$84,0)),"?"))</f>
        <v/>
      </c>
      <c r="CH46" s="100" t="str">
        <f>IFERROR(IF(ISNUMBER($CD46),$CF46*$CG46*MIN($BG46*$BA46*$BC46*$BD46*$BH46*$BF46,'Technical Premium'!$C$17),""),"")</f>
        <v/>
      </c>
      <c r="CI46" s="100" t="str">
        <f t="shared" si="5"/>
        <v/>
      </c>
      <c r="CJ46" s="100" t="str">
        <f>IFERROR($CI46*(1+'Technical Premium'!$C$5)*(1+'Technical Premium'!$C$6),"")</f>
        <v/>
      </c>
      <c r="CK46" s="100" t="str">
        <f>IFERROR($CE46*INDEX('Territory Factors'!$G$6:$G$56,MATCH($K46,'Territory Factors'!$B$6:$B$56,0))*$AU46*$AV46,"")</f>
        <v/>
      </c>
      <c r="CL46" s="100" t="str">
        <f>IFERROR(($CJ46+$CK46)*(1+'Technical Premium'!$C$7),"")</f>
        <v/>
      </c>
      <c r="CM46" s="102" t="str">
        <f>IFERROR($CL46/'Technical Premium'!$C$13,"")</f>
        <v/>
      </c>
      <c r="CN46" s="103" t="str">
        <f t="shared" si="6"/>
        <v/>
      </c>
      <c r="CO46" s="102" t="str">
        <f t="shared" si="7"/>
        <v/>
      </c>
      <c r="CP46" s="103" t="str">
        <f t="shared" si="8"/>
        <v/>
      </c>
      <c r="CQ46" s="104" t="str">
        <f t="shared" si="9"/>
        <v/>
      </c>
      <c r="CR46" s="100" t="str">
        <f>IF(ISNUMBER($CM46),'Technical Premium'!$C$14+IF($J46&gt;=1000000,'Technical Premium'!$C$15,0),"")</f>
        <v/>
      </c>
      <c r="CS46" s="100" t="str">
        <f>IFERROR(($CO46+$CR46)*(INDEX('Territory Factors'!$K$6:$K$56,MATCH($K46,'Territory Factors'!$B$6:$B$56,0))+'Commission Structure'!$C$21),"")</f>
        <v/>
      </c>
      <c r="CT46" s="102" t="str">
        <f t="shared" si="10"/>
        <v/>
      </c>
      <c r="CU46" s="100" t="str">
        <f>IFERROR($CO46*('Commission Structure'!$C$6+'Commission Structure'!$C$7),"")</f>
        <v/>
      </c>
      <c r="CV46" s="100" t="str">
        <f>IFERROR($CO46*'Commission Structure'!$C$5-$CU46,"")</f>
        <v/>
      </c>
      <c r="CW46" s="100" t="str">
        <f>IFERROR($CO46*(1-'Commission Structure'!$C$5),"")</f>
        <v/>
      </c>
      <c r="CX46" s="105" t="str">
        <f>IF($A46="","",IF(OR($CB46="?",$CC46="?",NOT(ISNUMBER($AU46))),"CHECK INPUTS",IF(OR($J46&lt;'Technical Premium'!$C$18,LEFT(IFERROR(INDEX('Driver Factors'!$D$6:$D$15,MATCH($R46,'Driver Factors'!$B$6:$B$15,0)),""),7)="DECLINE",LEFT(IFERROR(INDEX('Driver Factors'!$D$28:$D$36,MATCH($T46,'Driver Factors'!$B$28:$B$36,0)),""),7)="DECLINE",LEFT(IFERROR(INDEX('Claims History'!$D$6:$D$15,MATCH($U46,'Claims History'!$B$6:$B$15,0)),""),7)="DECLINE",LEFT(IFERROR(INDEX('Usage and Coverage'!$E$6:$E$20,MATCH($N46,'Usage and Coverage'!$C$6:$C$20,0)),""),7)="DECLINE"),"DECLINE",IF(OR($CD46&gt;2.5,$CD46&gt;='Technical Premium'!$C$17,$J46&gt;='Technical Premium'!$C$16,N($AQ46)&lt;'Technical Premium'!$C$19,N($AQ46)&gt;'Technical Premium'!$C$20,LEFT(IFERROR(INDEX('Driver Factors'!$D$6:$D$15,MATCH($R46,'Driver Factors'!$B$6:$B$15,0)),""),5)="Refer",LEFT(IFERROR(INDEX('Driver Factors'!$D$28:$D$36,MATCH($T46,'Driver Factors'!$B$28:$B$36,0)),""),5)="Refer",LEFT(IFERROR(INDEX('Claims History'!$D$6:$D$15,MATCH($U46,'Claims History'!$B$6:$B$15,0)),""),5)="Refer",LEFT(IFERROR(INDEX('Usage and Coverage'!$E$6:$E$20,MATCH($N46,'Usage and Coverage'!$C$6:$C$20,0)),""),5)="Refer"),"REFER","AUTO-BIND"))))</f>
        <v/>
      </c>
      <c r="CY46" s="106" t="str">
        <f t="shared" si="11"/>
        <v/>
      </c>
      <c r="CZ46" s="97" t="str">
        <f>IF($CY46="","",IF($CY46&lt;'Technical Premium'!$C$19,"BEYOND AUTHORITY",IF($CY46&gt;0.005,"Above technical",IF($CY46&lt;-0.005,"BELOW technical","At technical"))))</f>
        <v/>
      </c>
      <c r="DA46" s="97" t="str">
        <f>IF($A46="","",IF($CX46="AUTO-BIND","",TRIM(IF($J46&lt;'Technical Premium'!$C$18,"Below programme minimum agreed value. ","")&amp;IF(N($AQ46)&lt;'Technical Premium'!$C$19,"DISCOUNT AUTHORITY BREACH. ","")&amp;IF(N($AQ46)&gt;'Technical Premium'!$C$20,"Load authority breach. ","")&amp;IF($J46&gt;='Technical Premium'!$C$16,"Agreed value at or above auto-bind limit. ","")&amp;IF(AND(ISNUMBER($CD46),$CD46&gt;='Technical Premium'!$C$17),"Composite factor at cap. ","")&amp;IF(AND(ISNUMBER($CD46),$CD46&gt;2.5),"Composite factor above 2.50. ","")&amp;IF(LEFT(IFERROR(INDEX('Driver Factors'!$D$6:$D$15,MATCH($R46,'Driver Factors'!$B$6:$B$15,0)),""),7)="DECLINE","DECLINE - driver age. ",IF(LEFT(IFERROR(INDEX('Driver Factors'!$D$6:$D$15,MATCH($R46,'Driver Factors'!$B$6:$B$15,0)),""),5)="Refer","Driver age band. ",""))&amp;IF(LEFT(IFERROR(INDEX('Driver Factors'!$D$28:$D$36,MATCH($T46,'Driver Factors'!$B$28:$B$36,0)),""),7)="DECLINE","DECLINE - MVR. ",IF(LEFT(IFERROR(INDEX('Driver Factors'!$D$28:$D$36,MATCH($T46,'Driver Factors'!$B$28:$B$36,0)),""),5)="Refer","MVR record. ",""))&amp;IF(LEFT(IFERROR(INDEX('Claims History'!$D$6:$D$15,MATCH($U46,'Claims History'!$B$6:$B$15,0)),""),7)="DECLINE","DECLINE - claims. ",IF(LEFT(IFERROR(INDEX('Claims History'!$D$6:$D$15,MATCH($U46,'Claims History'!$B$6:$B$15,0)),""),5)="Refer","Claims history. ",""))&amp;IF(LEFT(IFERROR(INDEX('Usage and Coverage'!$E$6:$E$20,MATCH($N46,'Usage and Coverage'!$C$6:$C$20,0)),""),7)="DECLINE","DECLINE - usage class. ",IF(LEFT(IFERROR(INDEX('Usage and Coverage'!$E$6:$E$20,MATCH($N46,'Usage and Coverage'!$C$6:$C$20,0)),""),5)="Refer","Usage class. ",""))&amp;IF($CX46="CHECK INPUTS","Incomplete inputs. ",""))))</f>
        <v/>
      </c>
      <c r="DB46" s="92"/>
      <c r="DC46" s="92"/>
      <c r="DD46" s="93"/>
      <c r="DE46" s="92"/>
      <c r="DF46" s="92"/>
      <c r="DG46" s="97" t="str">
        <f t="shared" si="12"/>
        <v/>
      </c>
      <c r="DH46" s="97" t="str">
        <f>IF($A46="","",IF(OR($CX46="REFER",$CX46="DECLINE"),COUNTIF($CX$5:$CX46,"REFER")+COUNTIF($CX$5:$CX46,"DECLINE"),""))</f>
        <v/>
      </c>
      <c r="DI46" s="92"/>
    </row>
    <row r="47" spans="1:113" x14ac:dyDescent="0.25">
      <c r="A47" s="92"/>
      <c r="B47" s="92"/>
      <c r="C47" s="93"/>
      <c r="D47" s="93"/>
      <c r="E47" s="94"/>
      <c r="F47" s="92"/>
      <c r="G47" s="92"/>
      <c r="H47" s="92"/>
      <c r="I47" s="92"/>
      <c r="J47" s="95"/>
      <c r="K47" s="92"/>
      <c r="L47" s="92"/>
      <c r="M47" s="92"/>
      <c r="N47" s="92"/>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92"/>
      <c r="AN47" s="92"/>
      <c r="AO47" s="92"/>
      <c r="AP47" s="92"/>
      <c r="AQ47" s="96"/>
      <c r="AR47" s="97" t="str">
        <f t="shared" si="0"/>
        <v/>
      </c>
      <c r="AS47" s="97" t="str">
        <f>IF($A47="","",IF($AP47&lt;&gt;"",$AP47,IFERROR(INDEX('Cat Zone by ZIP'!$D$6:$D$856,MATCH($AR47,'Cat Zone by ZIP'!$B$6:$B$856,0)),IFERROR(INDEX('Cat Zone by ZIP'!$C$860:$C$910,MATCH($K47,'Cat Zone by ZIP'!$B$860:$B$910,0)),"NOT FOUND"))))</f>
        <v/>
      </c>
      <c r="AT47" s="97" t="str">
        <f>IF($A47="","",IF($AP47&lt;&gt;"","Override",IF(ISNUMBER(MATCH($AR47,'Cat Zone by ZIP'!$B$6:$B$856,0)),"ZIP-3","State default")))</f>
        <v/>
      </c>
      <c r="AU47" s="98" t="str">
        <f>IF($A47="","",IFERROR(INDEX('Natural Catastrophe'!$D$6:$D$17,MATCH($AS47,'Natural Catastrophe'!$B$6:$B$17,0)),"?"))</f>
        <v/>
      </c>
      <c r="AV47" s="98" t="str">
        <f>IF($A47="","",IFERROR(INDEX('Natural Catastrophe'!$C$21:$C$26,MATCH($AA47,'Natural Catastrophe'!$B$21:$B$26,0)),"?"))</f>
        <v/>
      </c>
      <c r="AW47" s="97" t="str">
        <f>IF($A47="","",IFERROR(INDEX('Base Rates'!$C$4:$I$4,MATCH(MAX($J47,'Technical Premium'!$C$18),'Base Rates'!$C$3:$I$3,1)),"?"))</f>
        <v/>
      </c>
      <c r="AX47" s="99" t="str">
        <f>IF($A47="","",IFERROR(INDEX('Base Rates'!$C$5:$I$16,MATCH($I47,'Base Rates'!$B$5:$B$16,0),MATCH(MAX($J47,'Technical Premium'!$C$18),'Base Rates'!$C$3:$I$3,1)),"?"))</f>
        <v/>
      </c>
      <c r="AY47" s="100" t="str">
        <f t="shared" si="1"/>
        <v/>
      </c>
      <c r="AZ47" s="97" t="str">
        <f>IF($A47="","",IFERROR(INDEX('Make Factors'!$G$5:$G$69,MATCH($F47,'Make Factors'!$B$5:$B$69,0)),"?"))</f>
        <v/>
      </c>
      <c r="BA47" s="97" t="str">
        <f>IF($A47="","",IFERROR(INDEX('Driver Factors'!$C$6:$C$15,MATCH($R47,'Driver Factors'!$B$6:$B$15,0)),"?"))</f>
        <v/>
      </c>
      <c r="BB47" s="97" t="str">
        <f>IF($A47="","",IFERROR(INDEX('Driver Factors'!$C$19:$C$24,MATCH($S47,'Driver Factors'!$B$19:$B$24,0)),"?"))</f>
        <v/>
      </c>
      <c r="BC47" s="97" t="str">
        <f>IF($A47="","",IFERROR(INDEX('Driver Factors'!$C$28:$C$36,MATCH($T47,'Driver Factors'!$B$28:$B$36,0)),"?"))</f>
        <v/>
      </c>
      <c r="BD47" s="97" t="str">
        <f>IF($A47="","",IFERROR(INDEX('Claims History'!$C$6:$C$15,MATCH($U47,'Claims History'!$B$6:$B$15,0)),"?"))</f>
        <v/>
      </c>
      <c r="BE47" s="97" t="str">
        <f>IF($A47="","",IFERROR(INDEX('Territory Factors'!$E$6:$E$56,MATCH($K47,'Territory Factors'!$B$6:$B$56,0)),"?"))</f>
        <v/>
      </c>
      <c r="BF47" s="97" t="str">
        <f>IF($A47="","",IFERROR(INDEX('City Accident Ratings'!$G$6:$G$54,MATCH($Z47,'City Accident Ratings'!$B$6:$B$54,0)),"?"))</f>
        <v/>
      </c>
      <c r="BG47" s="97" t="str">
        <f>IF($A47="","",IFERROR(INDEX('Usage and Coverage'!$D$6:$D$20,MATCH($N47,'Usage and Coverage'!$C$6:$C$20,0)),"?"))</f>
        <v/>
      </c>
      <c r="BH47" s="97" t="str">
        <f>IF($A47="","",IFERROR(INDEX('Usage and Coverage'!$C$24:$C$30,MATCH($O47,'Usage and Coverage'!$B$24:$B$30,0)),"?"))</f>
        <v/>
      </c>
      <c r="BI47" s="97" t="str">
        <f>IF($A47="","",IFERROR(INDEX('Usage and Coverage'!$C$34:$C$40,MATCH($P47,'Usage and Coverage'!$B$34:$B$40,0)),"?"))</f>
        <v/>
      </c>
      <c r="BJ47" s="97" t="str">
        <f>IF($A47="","",IFERROR(INDEX('Usage and Coverage'!$C$44:$C$49,MATCH($Q47,'Usage and Coverage'!$B$44:$B$49,0)),"?"))</f>
        <v/>
      </c>
      <c r="BK47" s="97" t="str">
        <f>IF($A47="","",IFERROR(INDEX(Deductibles!$C$6:$I$15,MATCH($W47,Deductibles!$B$6:$B$15,0),MATCH(MAX($J47,'Technical Premium'!$C$18),'Base Rates'!$C$3:$I$3,1)),"?"))</f>
        <v/>
      </c>
      <c r="BL47" s="97" t="str">
        <f>IF($A47="","",IFERROR(INDEX('Usage and Coverage'!$C$63:$C$66,MATCH($X47,'Usage and Coverage'!$B$63:$B$66,0)),"?"))</f>
        <v/>
      </c>
      <c r="BM47" s="97" t="str">
        <f>IF($A47="","",IFERROR(INDEX('Usage and Coverage'!$C$70:$C$75,MATCH($V47,'Usage and Coverage'!$B$70:$B$75,0)),"?"))</f>
        <v/>
      </c>
      <c r="BN47" s="97" t="str">
        <f>IF($A47="","",IF($AB47="",1,IFERROR(INDEX(Deductibles!$C$48:$C$51,MATCH($AB47,Deductibles!$B$48:$B$51,0)),"?")))</f>
        <v/>
      </c>
      <c r="BO47" s="97" t="str">
        <f>IF($A47="","",IF($AC47="",1,IFERROR(INDEX(Deductibles!$C$55:$C$57,MATCH($AC47,Deductibles!$B$55:$B$57,0)),"?")))</f>
        <v/>
      </c>
      <c r="BP47" s="97" t="str">
        <f>IF($A47="","",IF($AD47="",1,IFERROR(INDEX(Deductibles!$C$61:$C$63,MATCH($AD47,Deductibles!$B$61:$B$63,0)),"?")))</f>
        <v/>
      </c>
      <c r="BQ47" s="97" t="str">
        <f>IF($A47="","",IF($AE47="",1,IFERROR(INDEX(Deductibles!$C$67:$C$69,MATCH($AE47,Deductibles!$B$67:$B$69,0)),"?")))</f>
        <v/>
      </c>
      <c r="BR47" s="97" t="str">
        <f>IF($A47="","",IF($AF47="",1,IFERROR(INDEX(Deductibles!$C$73:$C$74,MATCH($AF47,Deductibles!$B$73:$B$74,0)),"?")))</f>
        <v/>
      </c>
      <c r="BS47" s="97" t="str">
        <f>IF($A47="","",IF($AG47="",1,IFERROR(INDEX('Sublimits and Parts'!$C$49:$C$52,MATCH($AG47,'Sublimits and Parts'!$B$49:$B$52,0)),"?")))</f>
        <v/>
      </c>
      <c r="BT47" s="97" t="str">
        <f>IF($A47="","",IF($AH47="",1,IFERROR(INDEX('Sublimits and Parts'!$C$56:$C$60,MATCH($AH47,'Sublimits and Parts'!$B$56:$B$60,0)),"?")))</f>
        <v/>
      </c>
      <c r="BU47" s="97" t="str">
        <f>IF($A47="","",IF($AI47="",1,IFERROR(INDEX('Sublimits and Parts'!$C$64:$C$67,MATCH($AI47,'Sublimits and Parts'!$B$64:$B$67,0)),"?")))</f>
        <v/>
      </c>
      <c r="BV47" s="97" t="str">
        <f>IF($A47="","",IF($AJ47="",1,IFERROR(INDEX('Sublimits and Parts'!$C$71:$C$74,MATCH($AJ47,'Sublimits and Parts'!$B$71:$B$74,0)),"?")))</f>
        <v/>
      </c>
      <c r="BW47" s="97" t="str">
        <f>IF($A47="","",IF($AK47="",1,IFERROR(INDEX('Sublimits and Parts'!$C$78:$C$80,MATCH($AK47,'Sublimits and Parts'!$B$78:$B$80,0)),"?")))</f>
        <v/>
      </c>
      <c r="BX47" s="97" t="str">
        <f>IF($A47="","",IF($AL47="",1,IFERROR(INDEX('Sublimits and Parts'!$C$84:$C$87,MATCH($AL47,'Sublimits and Parts'!$B$84:$B$87,0)),"?")))</f>
        <v/>
      </c>
      <c r="BY47" s="97" t="str">
        <f>IF($A47="","",IF($AM47="",1,IFERROR(INDEX('Sublimits and Parts'!$C$91:$C$94,MATCH($AM47,'Sublimits and Parts'!$B$91:$B$94,0)),"?")))</f>
        <v/>
      </c>
      <c r="BZ47" s="97" t="str">
        <f>IF($A47="","",IF($AN47="",1,IFERROR(INDEX('Sublimits and Parts'!$C$98:$C$101,MATCH($AN47,'Sublimits and Parts'!$B$98:$B$101,0)),"?")))</f>
        <v/>
      </c>
      <c r="CA47" s="97" t="str">
        <f>IF($A47="","",IF($AO47="",1,IFERROR(INDEX('Sublimits and Parts'!$C$105:$C$109,MATCH($AO47,'Sublimits and Parts'!$B$105:$B$109,0)),"?")))</f>
        <v/>
      </c>
      <c r="CB47" s="98" t="str">
        <f t="shared" si="2"/>
        <v/>
      </c>
      <c r="CC47" s="98" t="str">
        <f t="shared" si="3"/>
        <v/>
      </c>
      <c r="CD47" s="101" t="str">
        <f>IF($A47="","",IF(OR($CB47="?",$CC47="?"),"?",MIN($CB47*$CC47,'Technical Premium'!$C$17)))</f>
        <v/>
      </c>
      <c r="CE47" s="100" t="str">
        <f t="shared" si="4"/>
        <v/>
      </c>
      <c r="CF47" s="100" t="str">
        <f>IF($A47="","",IFERROR(INDEX('Territory Factors'!$F$6:$F$56,MATCH($K47,'Territory Factors'!$B$6:$B$56,0)),"?"))</f>
        <v/>
      </c>
      <c r="CG47" s="98" t="str">
        <f>IF($A47="","",IFERROR(INDEX('Usage and Coverage'!$C$79:$C$84,MATCH($Y47,'Usage and Coverage'!$B$79:$B$84,0)),"?"))</f>
        <v/>
      </c>
      <c r="CH47" s="100" t="str">
        <f>IFERROR(IF(ISNUMBER($CD47),$CF47*$CG47*MIN($BG47*$BA47*$BC47*$BD47*$BH47*$BF47,'Technical Premium'!$C$17),""),"")</f>
        <v/>
      </c>
      <c r="CI47" s="100" t="str">
        <f t="shared" si="5"/>
        <v/>
      </c>
      <c r="CJ47" s="100" t="str">
        <f>IFERROR($CI47*(1+'Technical Premium'!$C$5)*(1+'Technical Premium'!$C$6),"")</f>
        <v/>
      </c>
      <c r="CK47" s="100" t="str">
        <f>IFERROR($CE47*INDEX('Territory Factors'!$G$6:$G$56,MATCH($K47,'Territory Factors'!$B$6:$B$56,0))*$AU47*$AV47,"")</f>
        <v/>
      </c>
      <c r="CL47" s="100" t="str">
        <f>IFERROR(($CJ47+$CK47)*(1+'Technical Premium'!$C$7),"")</f>
        <v/>
      </c>
      <c r="CM47" s="102" t="str">
        <f>IFERROR($CL47/'Technical Premium'!$C$13,"")</f>
        <v/>
      </c>
      <c r="CN47" s="103" t="str">
        <f t="shared" si="6"/>
        <v/>
      </c>
      <c r="CO47" s="102" t="str">
        <f t="shared" si="7"/>
        <v/>
      </c>
      <c r="CP47" s="103" t="str">
        <f t="shared" si="8"/>
        <v/>
      </c>
      <c r="CQ47" s="104" t="str">
        <f t="shared" si="9"/>
        <v/>
      </c>
      <c r="CR47" s="100" t="str">
        <f>IF(ISNUMBER($CM47),'Technical Premium'!$C$14+IF($J47&gt;=1000000,'Technical Premium'!$C$15,0),"")</f>
        <v/>
      </c>
      <c r="CS47" s="100" t="str">
        <f>IFERROR(($CO47+$CR47)*(INDEX('Territory Factors'!$K$6:$K$56,MATCH($K47,'Territory Factors'!$B$6:$B$56,0))+'Commission Structure'!$C$21),"")</f>
        <v/>
      </c>
      <c r="CT47" s="102" t="str">
        <f t="shared" si="10"/>
        <v/>
      </c>
      <c r="CU47" s="100" t="str">
        <f>IFERROR($CO47*('Commission Structure'!$C$6+'Commission Structure'!$C$7),"")</f>
        <v/>
      </c>
      <c r="CV47" s="100" t="str">
        <f>IFERROR($CO47*'Commission Structure'!$C$5-$CU47,"")</f>
        <v/>
      </c>
      <c r="CW47" s="100" t="str">
        <f>IFERROR($CO47*(1-'Commission Structure'!$C$5),"")</f>
        <v/>
      </c>
      <c r="CX47" s="105" t="str">
        <f>IF($A47="","",IF(OR($CB47="?",$CC47="?",NOT(ISNUMBER($AU47))),"CHECK INPUTS",IF(OR($J47&lt;'Technical Premium'!$C$18,LEFT(IFERROR(INDEX('Driver Factors'!$D$6:$D$15,MATCH($R47,'Driver Factors'!$B$6:$B$15,0)),""),7)="DECLINE",LEFT(IFERROR(INDEX('Driver Factors'!$D$28:$D$36,MATCH($T47,'Driver Factors'!$B$28:$B$36,0)),""),7)="DECLINE",LEFT(IFERROR(INDEX('Claims History'!$D$6:$D$15,MATCH($U47,'Claims History'!$B$6:$B$15,0)),""),7)="DECLINE",LEFT(IFERROR(INDEX('Usage and Coverage'!$E$6:$E$20,MATCH($N47,'Usage and Coverage'!$C$6:$C$20,0)),""),7)="DECLINE"),"DECLINE",IF(OR($CD47&gt;2.5,$CD47&gt;='Technical Premium'!$C$17,$J47&gt;='Technical Premium'!$C$16,N($AQ47)&lt;'Technical Premium'!$C$19,N($AQ47)&gt;'Technical Premium'!$C$20,LEFT(IFERROR(INDEX('Driver Factors'!$D$6:$D$15,MATCH($R47,'Driver Factors'!$B$6:$B$15,0)),""),5)="Refer",LEFT(IFERROR(INDEX('Driver Factors'!$D$28:$D$36,MATCH($T47,'Driver Factors'!$B$28:$B$36,0)),""),5)="Refer",LEFT(IFERROR(INDEX('Claims History'!$D$6:$D$15,MATCH($U47,'Claims History'!$B$6:$B$15,0)),""),5)="Refer",LEFT(IFERROR(INDEX('Usage and Coverage'!$E$6:$E$20,MATCH($N47,'Usage and Coverage'!$C$6:$C$20,0)),""),5)="Refer"),"REFER","AUTO-BIND"))))</f>
        <v/>
      </c>
      <c r="CY47" s="106" t="str">
        <f t="shared" si="11"/>
        <v/>
      </c>
      <c r="CZ47" s="97" t="str">
        <f>IF($CY47="","",IF($CY47&lt;'Technical Premium'!$C$19,"BEYOND AUTHORITY",IF($CY47&gt;0.005,"Above technical",IF($CY47&lt;-0.005,"BELOW technical","At technical"))))</f>
        <v/>
      </c>
      <c r="DA47" s="97" t="str">
        <f>IF($A47="","",IF($CX47="AUTO-BIND","",TRIM(IF($J47&lt;'Technical Premium'!$C$18,"Below programme minimum agreed value. ","")&amp;IF(N($AQ47)&lt;'Technical Premium'!$C$19,"DISCOUNT AUTHORITY BREACH. ","")&amp;IF(N($AQ47)&gt;'Technical Premium'!$C$20,"Load authority breach. ","")&amp;IF($J47&gt;='Technical Premium'!$C$16,"Agreed value at or above auto-bind limit. ","")&amp;IF(AND(ISNUMBER($CD47),$CD47&gt;='Technical Premium'!$C$17),"Composite factor at cap. ","")&amp;IF(AND(ISNUMBER($CD47),$CD47&gt;2.5),"Composite factor above 2.50. ","")&amp;IF(LEFT(IFERROR(INDEX('Driver Factors'!$D$6:$D$15,MATCH($R47,'Driver Factors'!$B$6:$B$15,0)),""),7)="DECLINE","DECLINE - driver age. ",IF(LEFT(IFERROR(INDEX('Driver Factors'!$D$6:$D$15,MATCH($R47,'Driver Factors'!$B$6:$B$15,0)),""),5)="Refer","Driver age band. ",""))&amp;IF(LEFT(IFERROR(INDEX('Driver Factors'!$D$28:$D$36,MATCH($T47,'Driver Factors'!$B$28:$B$36,0)),""),7)="DECLINE","DECLINE - MVR. ",IF(LEFT(IFERROR(INDEX('Driver Factors'!$D$28:$D$36,MATCH($T47,'Driver Factors'!$B$28:$B$36,0)),""),5)="Refer","MVR record. ",""))&amp;IF(LEFT(IFERROR(INDEX('Claims History'!$D$6:$D$15,MATCH($U47,'Claims History'!$B$6:$B$15,0)),""),7)="DECLINE","DECLINE - claims. ",IF(LEFT(IFERROR(INDEX('Claims History'!$D$6:$D$15,MATCH($U47,'Claims History'!$B$6:$B$15,0)),""),5)="Refer","Claims history. ",""))&amp;IF(LEFT(IFERROR(INDEX('Usage and Coverage'!$E$6:$E$20,MATCH($N47,'Usage and Coverage'!$C$6:$C$20,0)),""),7)="DECLINE","DECLINE - usage class. ",IF(LEFT(IFERROR(INDEX('Usage and Coverage'!$E$6:$E$20,MATCH($N47,'Usage and Coverage'!$C$6:$C$20,0)),""),5)="Refer","Usage class. ",""))&amp;IF($CX47="CHECK INPUTS","Incomplete inputs. ",""))))</f>
        <v/>
      </c>
      <c r="DB47" s="92"/>
      <c r="DC47" s="92"/>
      <c r="DD47" s="93"/>
      <c r="DE47" s="92"/>
      <c r="DF47" s="92"/>
      <c r="DG47" s="97" t="str">
        <f t="shared" si="12"/>
        <v/>
      </c>
      <c r="DH47" s="97" t="str">
        <f>IF($A47="","",IF(OR($CX47="REFER",$CX47="DECLINE"),COUNTIF($CX$5:$CX47,"REFER")+COUNTIF($CX$5:$CX47,"DECLINE"),""))</f>
        <v/>
      </c>
      <c r="DI47" s="92"/>
    </row>
    <row r="48" spans="1:113" x14ac:dyDescent="0.25">
      <c r="A48" s="92"/>
      <c r="B48" s="92"/>
      <c r="C48" s="93"/>
      <c r="D48" s="93"/>
      <c r="E48" s="94"/>
      <c r="F48" s="92"/>
      <c r="G48" s="92"/>
      <c r="H48" s="92"/>
      <c r="I48" s="92"/>
      <c r="J48" s="95"/>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2"/>
      <c r="AK48" s="92"/>
      <c r="AL48" s="92"/>
      <c r="AM48" s="92"/>
      <c r="AN48" s="92"/>
      <c r="AO48" s="92"/>
      <c r="AP48" s="92"/>
      <c r="AQ48" s="96"/>
      <c r="AR48" s="97" t="str">
        <f t="shared" si="0"/>
        <v/>
      </c>
      <c r="AS48" s="97" t="str">
        <f>IF($A48="","",IF($AP48&lt;&gt;"",$AP48,IFERROR(INDEX('Cat Zone by ZIP'!$D$6:$D$856,MATCH($AR48,'Cat Zone by ZIP'!$B$6:$B$856,0)),IFERROR(INDEX('Cat Zone by ZIP'!$C$860:$C$910,MATCH($K48,'Cat Zone by ZIP'!$B$860:$B$910,0)),"NOT FOUND"))))</f>
        <v/>
      </c>
      <c r="AT48" s="97" t="str">
        <f>IF($A48="","",IF($AP48&lt;&gt;"","Override",IF(ISNUMBER(MATCH($AR48,'Cat Zone by ZIP'!$B$6:$B$856,0)),"ZIP-3","State default")))</f>
        <v/>
      </c>
      <c r="AU48" s="98" t="str">
        <f>IF($A48="","",IFERROR(INDEX('Natural Catastrophe'!$D$6:$D$17,MATCH($AS48,'Natural Catastrophe'!$B$6:$B$17,0)),"?"))</f>
        <v/>
      </c>
      <c r="AV48" s="98" t="str">
        <f>IF($A48="","",IFERROR(INDEX('Natural Catastrophe'!$C$21:$C$26,MATCH($AA48,'Natural Catastrophe'!$B$21:$B$26,0)),"?"))</f>
        <v/>
      </c>
      <c r="AW48" s="97" t="str">
        <f>IF($A48="","",IFERROR(INDEX('Base Rates'!$C$4:$I$4,MATCH(MAX($J48,'Technical Premium'!$C$18),'Base Rates'!$C$3:$I$3,1)),"?"))</f>
        <v/>
      </c>
      <c r="AX48" s="99" t="str">
        <f>IF($A48="","",IFERROR(INDEX('Base Rates'!$C$5:$I$16,MATCH($I48,'Base Rates'!$B$5:$B$16,0),MATCH(MAX($J48,'Technical Premium'!$C$18),'Base Rates'!$C$3:$I$3,1)),"?"))</f>
        <v/>
      </c>
      <c r="AY48" s="100" t="str">
        <f t="shared" si="1"/>
        <v/>
      </c>
      <c r="AZ48" s="97" t="str">
        <f>IF($A48="","",IFERROR(INDEX('Make Factors'!$G$5:$G$69,MATCH($F48,'Make Factors'!$B$5:$B$69,0)),"?"))</f>
        <v/>
      </c>
      <c r="BA48" s="97" t="str">
        <f>IF($A48="","",IFERROR(INDEX('Driver Factors'!$C$6:$C$15,MATCH($R48,'Driver Factors'!$B$6:$B$15,0)),"?"))</f>
        <v/>
      </c>
      <c r="BB48" s="97" t="str">
        <f>IF($A48="","",IFERROR(INDEX('Driver Factors'!$C$19:$C$24,MATCH($S48,'Driver Factors'!$B$19:$B$24,0)),"?"))</f>
        <v/>
      </c>
      <c r="BC48" s="97" t="str">
        <f>IF($A48="","",IFERROR(INDEX('Driver Factors'!$C$28:$C$36,MATCH($T48,'Driver Factors'!$B$28:$B$36,0)),"?"))</f>
        <v/>
      </c>
      <c r="BD48" s="97" t="str">
        <f>IF($A48="","",IFERROR(INDEX('Claims History'!$C$6:$C$15,MATCH($U48,'Claims History'!$B$6:$B$15,0)),"?"))</f>
        <v/>
      </c>
      <c r="BE48" s="97" t="str">
        <f>IF($A48="","",IFERROR(INDEX('Territory Factors'!$E$6:$E$56,MATCH($K48,'Territory Factors'!$B$6:$B$56,0)),"?"))</f>
        <v/>
      </c>
      <c r="BF48" s="97" t="str">
        <f>IF($A48="","",IFERROR(INDEX('City Accident Ratings'!$G$6:$G$54,MATCH($Z48,'City Accident Ratings'!$B$6:$B$54,0)),"?"))</f>
        <v/>
      </c>
      <c r="BG48" s="97" t="str">
        <f>IF($A48="","",IFERROR(INDEX('Usage and Coverage'!$D$6:$D$20,MATCH($N48,'Usage and Coverage'!$C$6:$C$20,0)),"?"))</f>
        <v/>
      </c>
      <c r="BH48" s="97" t="str">
        <f>IF($A48="","",IFERROR(INDEX('Usage and Coverage'!$C$24:$C$30,MATCH($O48,'Usage and Coverage'!$B$24:$B$30,0)),"?"))</f>
        <v/>
      </c>
      <c r="BI48" s="97" t="str">
        <f>IF($A48="","",IFERROR(INDEX('Usage and Coverage'!$C$34:$C$40,MATCH($P48,'Usage and Coverage'!$B$34:$B$40,0)),"?"))</f>
        <v/>
      </c>
      <c r="BJ48" s="97" t="str">
        <f>IF($A48="","",IFERROR(INDEX('Usage and Coverage'!$C$44:$C$49,MATCH($Q48,'Usage and Coverage'!$B$44:$B$49,0)),"?"))</f>
        <v/>
      </c>
      <c r="BK48" s="97" t="str">
        <f>IF($A48="","",IFERROR(INDEX(Deductibles!$C$6:$I$15,MATCH($W48,Deductibles!$B$6:$B$15,0),MATCH(MAX($J48,'Technical Premium'!$C$18),'Base Rates'!$C$3:$I$3,1)),"?"))</f>
        <v/>
      </c>
      <c r="BL48" s="97" t="str">
        <f>IF($A48="","",IFERROR(INDEX('Usage and Coverage'!$C$63:$C$66,MATCH($X48,'Usage and Coverage'!$B$63:$B$66,0)),"?"))</f>
        <v/>
      </c>
      <c r="BM48" s="97" t="str">
        <f>IF($A48="","",IFERROR(INDEX('Usage and Coverage'!$C$70:$C$75,MATCH($V48,'Usage and Coverage'!$B$70:$B$75,0)),"?"))</f>
        <v/>
      </c>
      <c r="BN48" s="97" t="str">
        <f>IF($A48="","",IF($AB48="",1,IFERROR(INDEX(Deductibles!$C$48:$C$51,MATCH($AB48,Deductibles!$B$48:$B$51,0)),"?")))</f>
        <v/>
      </c>
      <c r="BO48" s="97" t="str">
        <f>IF($A48="","",IF($AC48="",1,IFERROR(INDEX(Deductibles!$C$55:$C$57,MATCH($AC48,Deductibles!$B$55:$B$57,0)),"?")))</f>
        <v/>
      </c>
      <c r="BP48" s="97" t="str">
        <f>IF($A48="","",IF($AD48="",1,IFERROR(INDEX(Deductibles!$C$61:$C$63,MATCH($AD48,Deductibles!$B$61:$B$63,0)),"?")))</f>
        <v/>
      </c>
      <c r="BQ48" s="97" t="str">
        <f>IF($A48="","",IF($AE48="",1,IFERROR(INDEX(Deductibles!$C$67:$C$69,MATCH($AE48,Deductibles!$B$67:$B$69,0)),"?")))</f>
        <v/>
      </c>
      <c r="BR48" s="97" t="str">
        <f>IF($A48="","",IF($AF48="",1,IFERROR(INDEX(Deductibles!$C$73:$C$74,MATCH($AF48,Deductibles!$B$73:$B$74,0)),"?")))</f>
        <v/>
      </c>
      <c r="BS48" s="97" t="str">
        <f>IF($A48="","",IF($AG48="",1,IFERROR(INDEX('Sublimits and Parts'!$C$49:$C$52,MATCH($AG48,'Sublimits and Parts'!$B$49:$B$52,0)),"?")))</f>
        <v/>
      </c>
      <c r="BT48" s="97" t="str">
        <f>IF($A48="","",IF($AH48="",1,IFERROR(INDEX('Sublimits and Parts'!$C$56:$C$60,MATCH($AH48,'Sublimits and Parts'!$B$56:$B$60,0)),"?")))</f>
        <v/>
      </c>
      <c r="BU48" s="97" t="str">
        <f>IF($A48="","",IF($AI48="",1,IFERROR(INDEX('Sublimits and Parts'!$C$64:$C$67,MATCH($AI48,'Sublimits and Parts'!$B$64:$B$67,0)),"?")))</f>
        <v/>
      </c>
      <c r="BV48" s="97" t="str">
        <f>IF($A48="","",IF($AJ48="",1,IFERROR(INDEX('Sublimits and Parts'!$C$71:$C$74,MATCH($AJ48,'Sublimits and Parts'!$B$71:$B$74,0)),"?")))</f>
        <v/>
      </c>
      <c r="BW48" s="97" t="str">
        <f>IF($A48="","",IF($AK48="",1,IFERROR(INDEX('Sublimits and Parts'!$C$78:$C$80,MATCH($AK48,'Sublimits and Parts'!$B$78:$B$80,0)),"?")))</f>
        <v/>
      </c>
      <c r="BX48" s="97" t="str">
        <f>IF($A48="","",IF($AL48="",1,IFERROR(INDEX('Sublimits and Parts'!$C$84:$C$87,MATCH($AL48,'Sublimits and Parts'!$B$84:$B$87,0)),"?")))</f>
        <v/>
      </c>
      <c r="BY48" s="97" t="str">
        <f>IF($A48="","",IF($AM48="",1,IFERROR(INDEX('Sublimits and Parts'!$C$91:$C$94,MATCH($AM48,'Sublimits and Parts'!$B$91:$B$94,0)),"?")))</f>
        <v/>
      </c>
      <c r="BZ48" s="97" t="str">
        <f>IF($A48="","",IF($AN48="",1,IFERROR(INDEX('Sublimits and Parts'!$C$98:$C$101,MATCH($AN48,'Sublimits and Parts'!$B$98:$B$101,0)),"?")))</f>
        <v/>
      </c>
      <c r="CA48" s="97" t="str">
        <f>IF($A48="","",IF($AO48="",1,IFERROR(INDEX('Sublimits and Parts'!$C$105:$C$109,MATCH($AO48,'Sublimits and Parts'!$B$105:$B$109,0)),"?")))</f>
        <v/>
      </c>
      <c r="CB48" s="98" t="str">
        <f t="shared" si="2"/>
        <v/>
      </c>
      <c r="CC48" s="98" t="str">
        <f t="shared" si="3"/>
        <v/>
      </c>
      <c r="CD48" s="101" t="str">
        <f>IF($A48="","",IF(OR($CB48="?",$CC48="?"),"?",MIN($CB48*$CC48,'Technical Premium'!$C$17)))</f>
        <v/>
      </c>
      <c r="CE48" s="100" t="str">
        <f t="shared" si="4"/>
        <v/>
      </c>
      <c r="CF48" s="100" t="str">
        <f>IF($A48="","",IFERROR(INDEX('Territory Factors'!$F$6:$F$56,MATCH($K48,'Territory Factors'!$B$6:$B$56,0)),"?"))</f>
        <v/>
      </c>
      <c r="CG48" s="98" t="str">
        <f>IF($A48="","",IFERROR(INDEX('Usage and Coverage'!$C$79:$C$84,MATCH($Y48,'Usage and Coverage'!$B$79:$B$84,0)),"?"))</f>
        <v/>
      </c>
      <c r="CH48" s="100" t="str">
        <f>IFERROR(IF(ISNUMBER($CD48),$CF48*$CG48*MIN($BG48*$BA48*$BC48*$BD48*$BH48*$BF48,'Technical Premium'!$C$17),""),"")</f>
        <v/>
      </c>
      <c r="CI48" s="100" t="str">
        <f t="shared" si="5"/>
        <v/>
      </c>
      <c r="CJ48" s="100" t="str">
        <f>IFERROR($CI48*(1+'Technical Premium'!$C$5)*(1+'Technical Premium'!$C$6),"")</f>
        <v/>
      </c>
      <c r="CK48" s="100" t="str">
        <f>IFERROR($CE48*INDEX('Territory Factors'!$G$6:$G$56,MATCH($K48,'Territory Factors'!$B$6:$B$56,0))*$AU48*$AV48,"")</f>
        <v/>
      </c>
      <c r="CL48" s="100" t="str">
        <f>IFERROR(($CJ48+$CK48)*(1+'Technical Premium'!$C$7),"")</f>
        <v/>
      </c>
      <c r="CM48" s="102" t="str">
        <f>IFERROR($CL48/'Technical Premium'!$C$13,"")</f>
        <v/>
      </c>
      <c r="CN48" s="103" t="str">
        <f t="shared" si="6"/>
        <v/>
      </c>
      <c r="CO48" s="102" t="str">
        <f t="shared" si="7"/>
        <v/>
      </c>
      <c r="CP48" s="103" t="str">
        <f t="shared" si="8"/>
        <v/>
      </c>
      <c r="CQ48" s="104" t="str">
        <f t="shared" si="9"/>
        <v/>
      </c>
      <c r="CR48" s="100" t="str">
        <f>IF(ISNUMBER($CM48),'Technical Premium'!$C$14+IF($J48&gt;=1000000,'Technical Premium'!$C$15,0),"")</f>
        <v/>
      </c>
      <c r="CS48" s="100" t="str">
        <f>IFERROR(($CO48+$CR48)*(INDEX('Territory Factors'!$K$6:$K$56,MATCH($K48,'Territory Factors'!$B$6:$B$56,0))+'Commission Structure'!$C$21),"")</f>
        <v/>
      </c>
      <c r="CT48" s="102" t="str">
        <f t="shared" si="10"/>
        <v/>
      </c>
      <c r="CU48" s="100" t="str">
        <f>IFERROR($CO48*('Commission Structure'!$C$6+'Commission Structure'!$C$7),"")</f>
        <v/>
      </c>
      <c r="CV48" s="100" t="str">
        <f>IFERROR($CO48*'Commission Structure'!$C$5-$CU48,"")</f>
        <v/>
      </c>
      <c r="CW48" s="100" t="str">
        <f>IFERROR($CO48*(1-'Commission Structure'!$C$5),"")</f>
        <v/>
      </c>
      <c r="CX48" s="105" t="str">
        <f>IF($A48="","",IF(OR($CB48="?",$CC48="?",NOT(ISNUMBER($AU48))),"CHECK INPUTS",IF(OR($J48&lt;'Technical Premium'!$C$18,LEFT(IFERROR(INDEX('Driver Factors'!$D$6:$D$15,MATCH($R48,'Driver Factors'!$B$6:$B$15,0)),""),7)="DECLINE",LEFT(IFERROR(INDEX('Driver Factors'!$D$28:$D$36,MATCH($T48,'Driver Factors'!$B$28:$B$36,0)),""),7)="DECLINE",LEFT(IFERROR(INDEX('Claims History'!$D$6:$D$15,MATCH($U48,'Claims History'!$B$6:$B$15,0)),""),7)="DECLINE",LEFT(IFERROR(INDEX('Usage and Coverage'!$E$6:$E$20,MATCH($N48,'Usage and Coverage'!$C$6:$C$20,0)),""),7)="DECLINE"),"DECLINE",IF(OR($CD48&gt;2.5,$CD48&gt;='Technical Premium'!$C$17,$J48&gt;='Technical Premium'!$C$16,N($AQ48)&lt;'Technical Premium'!$C$19,N($AQ48)&gt;'Technical Premium'!$C$20,LEFT(IFERROR(INDEX('Driver Factors'!$D$6:$D$15,MATCH($R48,'Driver Factors'!$B$6:$B$15,0)),""),5)="Refer",LEFT(IFERROR(INDEX('Driver Factors'!$D$28:$D$36,MATCH($T48,'Driver Factors'!$B$28:$B$36,0)),""),5)="Refer",LEFT(IFERROR(INDEX('Claims History'!$D$6:$D$15,MATCH($U48,'Claims History'!$B$6:$B$15,0)),""),5)="Refer",LEFT(IFERROR(INDEX('Usage and Coverage'!$E$6:$E$20,MATCH($N48,'Usage and Coverage'!$C$6:$C$20,0)),""),5)="Refer"),"REFER","AUTO-BIND"))))</f>
        <v/>
      </c>
      <c r="CY48" s="106" t="str">
        <f t="shared" si="11"/>
        <v/>
      </c>
      <c r="CZ48" s="97" t="str">
        <f>IF($CY48="","",IF($CY48&lt;'Technical Premium'!$C$19,"BEYOND AUTHORITY",IF($CY48&gt;0.005,"Above technical",IF($CY48&lt;-0.005,"BELOW technical","At technical"))))</f>
        <v/>
      </c>
      <c r="DA48" s="97" t="str">
        <f>IF($A48="","",IF($CX48="AUTO-BIND","",TRIM(IF($J48&lt;'Technical Premium'!$C$18,"Below programme minimum agreed value. ","")&amp;IF(N($AQ48)&lt;'Technical Premium'!$C$19,"DISCOUNT AUTHORITY BREACH. ","")&amp;IF(N($AQ48)&gt;'Technical Premium'!$C$20,"Load authority breach. ","")&amp;IF($J48&gt;='Technical Premium'!$C$16,"Agreed value at or above auto-bind limit. ","")&amp;IF(AND(ISNUMBER($CD48),$CD48&gt;='Technical Premium'!$C$17),"Composite factor at cap. ","")&amp;IF(AND(ISNUMBER($CD48),$CD48&gt;2.5),"Composite factor above 2.50. ","")&amp;IF(LEFT(IFERROR(INDEX('Driver Factors'!$D$6:$D$15,MATCH($R48,'Driver Factors'!$B$6:$B$15,0)),""),7)="DECLINE","DECLINE - driver age. ",IF(LEFT(IFERROR(INDEX('Driver Factors'!$D$6:$D$15,MATCH($R48,'Driver Factors'!$B$6:$B$15,0)),""),5)="Refer","Driver age band. ",""))&amp;IF(LEFT(IFERROR(INDEX('Driver Factors'!$D$28:$D$36,MATCH($T48,'Driver Factors'!$B$28:$B$36,0)),""),7)="DECLINE","DECLINE - MVR. ",IF(LEFT(IFERROR(INDEX('Driver Factors'!$D$28:$D$36,MATCH($T48,'Driver Factors'!$B$28:$B$36,0)),""),5)="Refer","MVR record. ",""))&amp;IF(LEFT(IFERROR(INDEX('Claims History'!$D$6:$D$15,MATCH($U48,'Claims History'!$B$6:$B$15,0)),""),7)="DECLINE","DECLINE - claims. ",IF(LEFT(IFERROR(INDEX('Claims History'!$D$6:$D$15,MATCH($U48,'Claims History'!$B$6:$B$15,0)),""),5)="Refer","Claims history. ",""))&amp;IF(LEFT(IFERROR(INDEX('Usage and Coverage'!$E$6:$E$20,MATCH($N48,'Usage and Coverage'!$C$6:$C$20,0)),""),7)="DECLINE","DECLINE - usage class. ",IF(LEFT(IFERROR(INDEX('Usage and Coverage'!$E$6:$E$20,MATCH($N48,'Usage and Coverage'!$C$6:$C$20,0)),""),5)="Refer","Usage class. ",""))&amp;IF($CX48="CHECK INPUTS","Incomplete inputs. ",""))))</f>
        <v/>
      </c>
      <c r="DB48" s="92"/>
      <c r="DC48" s="92"/>
      <c r="DD48" s="93"/>
      <c r="DE48" s="92"/>
      <c r="DF48" s="92"/>
      <c r="DG48" s="97" t="str">
        <f t="shared" si="12"/>
        <v/>
      </c>
      <c r="DH48" s="97" t="str">
        <f>IF($A48="","",IF(OR($CX48="REFER",$CX48="DECLINE"),COUNTIF($CX$5:$CX48,"REFER")+COUNTIF($CX$5:$CX48,"DECLINE"),""))</f>
        <v/>
      </c>
      <c r="DI48" s="92"/>
    </row>
    <row r="49" spans="1:113" x14ac:dyDescent="0.25">
      <c r="A49" s="92"/>
      <c r="B49" s="92"/>
      <c r="C49" s="93"/>
      <c r="D49" s="93"/>
      <c r="E49" s="94"/>
      <c r="F49" s="92"/>
      <c r="G49" s="92"/>
      <c r="H49" s="92"/>
      <c r="I49" s="92"/>
      <c r="J49" s="95"/>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6"/>
      <c r="AR49" s="97" t="str">
        <f t="shared" si="0"/>
        <v/>
      </c>
      <c r="AS49" s="97" t="str">
        <f>IF($A49="","",IF($AP49&lt;&gt;"",$AP49,IFERROR(INDEX('Cat Zone by ZIP'!$D$6:$D$856,MATCH($AR49,'Cat Zone by ZIP'!$B$6:$B$856,0)),IFERROR(INDEX('Cat Zone by ZIP'!$C$860:$C$910,MATCH($K49,'Cat Zone by ZIP'!$B$860:$B$910,0)),"NOT FOUND"))))</f>
        <v/>
      </c>
      <c r="AT49" s="97" t="str">
        <f>IF($A49="","",IF($AP49&lt;&gt;"","Override",IF(ISNUMBER(MATCH($AR49,'Cat Zone by ZIP'!$B$6:$B$856,0)),"ZIP-3","State default")))</f>
        <v/>
      </c>
      <c r="AU49" s="98" t="str">
        <f>IF($A49="","",IFERROR(INDEX('Natural Catastrophe'!$D$6:$D$17,MATCH($AS49,'Natural Catastrophe'!$B$6:$B$17,0)),"?"))</f>
        <v/>
      </c>
      <c r="AV49" s="98" t="str">
        <f>IF($A49="","",IFERROR(INDEX('Natural Catastrophe'!$C$21:$C$26,MATCH($AA49,'Natural Catastrophe'!$B$21:$B$26,0)),"?"))</f>
        <v/>
      </c>
      <c r="AW49" s="97" t="str">
        <f>IF($A49="","",IFERROR(INDEX('Base Rates'!$C$4:$I$4,MATCH(MAX($J49,'Technical Premium'!$C$18),'Base Rates'!$C$3:$I$3,1)),"?"))</f>
        <v/>
      </c>
      <c r="AX49" s="99" t="str">
        <f>IF($A49="","",IFERROR(INDEX('Base Rates'!$C$5:$I$16,MATCH($I49,'Base Rates'!$B$5:$B$16,0),MATCH(MAX($J49,'Technical Premium'!$C$18),'Base Rates'!$C$3:$I$3,1)),"?"))</f>
        <v/>
      </c>
      <c r="AY49" s="100" t="str">
        <f t="shared" si="1"/>
        <v/>
      </c>
      <c r="AZ49" s="97" t="str">
        <f>IF($A49="","",IFERROR(INDEX('Make Factors'!$G$5:$G$69,MATCH($F49,'Make Factors'!$B$5:$B$69,0)),"?"))</f>
        <v/>
      </c>
      <c r="BA49" s="97" t="str">
        <f>IF($A49="","",IFERROR(INDEX('Driver Factors'!$C$6:$C$15,MATCH($R49,'Driver Factors'!$B$6:$B$15,0)),"?"))</f>
        <v/>
      </c>
      <c r="BB49" s="97" t="str">
        <f>IF($A49="","",IFERROR(INDEX('Driver Factors'!$C$19:$C$24,MATCH($S49,'Driver Factors'!$B$19:$B$24,0)),"?"))</f>
        <v/>
      </c>
      <c r="BC49" s="97" t="str">
        <f>IF($A49="","",IFERROR(INDEX('Driver Factors'!$C$28:$C$36,MATCH($T49,'Driver Factors'!$B$28:$B$36,0)),"?"))</f>
        <v/>
      </c>
      <c r="BD49" s="97" t="str">
        <f>IF($A49="","",IFERROR(INDEX('Claims History'!$C$6:$C$15,MATCH($U49,'Claims History'!$B$6:$B$15,0)),"?"))</f>
        <v/>
      </c>
      <c r="BE49" s="97" t="str">
        <f>IF($A49="","",IFERROR(INDEX('Territory Factors'!$E$6:$E$56,MATCH($K49,'Territory Factors'!$B$6:$B$56,0)),"?"))</f>
        <v/>
      </c>
      <c r="BF49" s="97" t="str">
        <f>IF($A49="","",IFERROR(INDEX('City Accident Ratings'!$G$6:$G$54,MATCH($Z49,'City Accident Ratings'!$B$6:$B$54,0)),"?"))</f>
        <v/>
      </c>
      <c r="BG49" s="97" t="str">
        <f>IF($A49="","",IFERROR(INDEX('Usage and Coverage'!$D$6:$D$20,MATCH($N49,'Usage and Coverage'!$C$6:$C$20,0)),"?"))</f>
        <v/>
      </c>
      <c r="BH49" s="97" t="str">
        <f>IF($A49="","",IFERROR(INDEX('Usage and Coverage'!$C$24:$C$30,MATCH($O49,'Usage and Coverage'!$B$24:$B$30,0)),"?"))</f>
        <v/>
      </c>
      <c r="BI49" s="97" t="str">
        <f>IF($A49="","",IFERROR(INDEX('Usage and Coverage'!$C$34:$C$40,MATCH($P49,'Usage and Coverage'!$B$34:$B$40,0)),"?"))</f>
        <v/>
      </c>
      <c r="BJ49" s="97" t="str">
        <f>IF($A49="","",IFERROR(INDEX('Usage and Coverage'!$C$44:$C$49,MATCH($Q49,'Usage and Coverage'!$B$44:$B$49,0)),"?"))</f>
        <v/>
      </c>
      <c r="BK49" s="97" t="str">
        <f>IF($A49="","",IFERROR(INDEX(Deductibles!$C$6:$I$15,MATCH($W49,Deductibles!$B$6:$B$15,0),MATCH(MAX($J49,'Technical Premium'!$C$18),'Base Rates'!$C$3:$I$3,1)),"?"))</f>
        <v/>
      </c>
      <c r="BL49" s="97" t="str">
        <f>IF($A49="","",IFERROR(INDEX('Usage and Coverage'!$C$63:$C$66,MATCH($X49,'Usage and Coverage'!$B$63:$B$66,0)),"?"))</f>
        <v/>
      </c>
      <c r="BM49" s="97" t="str">
        <f>IF($A49="","",IFERROR(INDEX('Usage and Coverage'!$C$70:$C$75,MATCH($V49,'Usage and Coverage'!$B$70:$B$75,0)),"?"))</f>
        <v/>
      </c>
      <c r="BN49" s="97" t="str">
        <f>IF($A49="","",IF($AB49="",1,IFERROR(INDEX(Deductibles!$C$48:$C$51,MATCH($AB49,Deductibles!$B$48:$B$51,0)),"?")))</f>
        <v/>
      </c>
      <c r="BO49" s="97" t="str">
        <f>IF($A49="","",IF($AC49="",1,IFERROR(INDEX(Deductibles!$C$55:$C$57,MATCH($AC49,Deductibles!$B$55:$B$57,0)),"?")))</f>
        <v/>
      </c>
      <c r="BP49" s="97" t="str">
        <f>IF($A49="","",IF($AD49="",1,IFERROR(INDEX(Deductibles!$C$61:$C$63,MATCH($AD49,Deductibles!$B$61:$B$63,0)),"?")))</f>
        <v/>
      </c>
      <c r="BQ49" s="97" t="str">
        <f>IF($A49="","",IF($AE49="",1,IFERROR(INDEX(Deductibles!$C$67:$C$69,MATCH($AE49,Deductibles!$B$67:$B$69,0)),"?")))</f>
        <v/>
      </c>
      <c r="BR49" s="97" t="str">
        <f>IF($A49="","",IF($AF49="",1,IFERROR(INDEX(Deductibles!$C$73:$C$74,MATCH($AF49,Deductibles!$B$73:$B$74,0)),"?")))</f>
        <v/>
      </c>
      <c r="BS49" s="97" t="str">
        <f>IF($A49="","",IF($AG49="",1,IFERROR(INDEX('Sublimits and Parts'!$C$49:$C$52,MATCH($AG49,'Sublimits and Parts'!$B$49:$B$52,0)),"?")))</f>
        <v/>
      </c>
      <c r="BT49" s="97" t="str">
        <f>IF($A49="","",IF($AH49="",1,IFERROR(INDEX('Sublimits and Parts'!$C$56:$C$60,MATCH($AH49,'Sublimits and Parts'!$B$56:$B$60,0)),"?")))</f>
        <v/>
      </c>
      <c r="BU49" s="97" t="str">
        <f>IF($A49="","",IF($AI49="",1,IFERROR(INDEX('Sublimits and Parts'!$C$64:$C$67,MATCH($AI49,'Sublimits and Parts'!$B$64:$B$67,0)),"?")))</f>
        <v/>
      </c>
      <c r="BV49" s="97" t="str">
        <f>IF($A49="","",IF($AJ49="",1,IFERROR(INDEX('Sublimits and Parts'!$C$71:$C$74,MATCH($AJ49,'Sublimits and Parts'!$B$71:$B$74,0)),"?")))</f>
        <v/>
      </c>
      <c r="BW49" s="97" t="str">
        <f>IF($A49="","",IF($AK49="",1,IFERROR(INDEX('Sublimits and Parts'!$C$78:$C$80,MATCH($AK49,'Sublimits and Parts'!$B$78:$B$80,0)),"?")))</f>
        <v/>
      </c>
      <c r="BX49" s="97" t="str">
        <f>IF($A49="","",IF($AL49="",1,IFERROR(INDEX('Sublimits and Parts'!$C$84:$C$87,MATCH($AL49,'Sublimits and Parts'!$B$84:$B$87,0)),"?")))</f>
        <v/>
      </c>
      <c r="BY49" s="97" t="str">
        <f>IF($A49="","",IF($AM49="",1,IFERROR(INDEX('Sublimits and Parts'!$C$91:$C$94,MATCH($AM49,'Sublimits and Parts'!$B$91:$B$94,0)),"?")))</f>
        <v/>
      </c>
      <c r="BZ49" s="97" t="str">
        <f>IF($A49="","",IF($AN49="",1,IFERROR(INDEX('Sublimits and Parts'!$C$98:$C$101,MATCH($AN49,'Sublimits and Parts'!$B$98:$B$101,0)),"?")))</f>
        <v/>
      </c>
      <c r="CA49" s="97" t="str">
        <f>IF($A49="","",IF($AO49="",1,IFERROR(INDEX('Sublimits and Parts'!$C$105:$C$109,MATCH($AO49,'Sublimits and Parts'!$B$105:$B$109,0)),"?")))</f>
        <v/>
      </c>
      <c r="CB49" s="98" t="str">
        <f t="shared" si="2"/>
        <v/>
      </c>
      <c r="CC49" s="98" t="str">
        <f t="shared" si="3"/>
        <v/>
      </c>
      <c r="CD49" s="101" t="str">
        <f>IF($A49="","",IF(OR($CB49="?",$CC49="?"),"?",MIN($CB49*$CC49,'Technical Premium'!$C$17)))</f>
        <v/>
      </c>
      <c r="CE49" s="100" t="str">
        <f t="shared" si="4"/>
        <v/>
      </c>
      <c r="CF49" s="100" t="str">
        <f>IF($A49="","",IFERROR(INDEX('Territory Factors'!$F$6:$F$56,MATCH($K49,'Territory Factors'!$B$6:$B$56,0)),"?"))</f>
        <v/>
      </c>
      <c r="CG49" s="98" t="str">
        <f>IF($A49="","",IFERROR(INDEX('Usage and Coverage'!$C$79:$C$84,MATCH($Y49,'Usage and Coverage'!$B$79:$B$84,0)),"?"))</f>
        <v/>
      </c>
      <c r="CH49" s="100" t="str">
        <f>IFERROR(IF(ISNUMBER($CD49),$CF49*$CG49*MIN($BG49*$BA49*$BC49*$BD49*$BH49*$BF49,'Technical Premium'!$C$17),""),"")</f>
        <v/>
      </c>
      <c r="CI49" s="100" t="str">
        <f t="shared" si="5"/>
        <v/>
      </c>
      <c r="CJ49" s="100" t="str">
        <f>IFERROR($CI49*(1+'Technical Premium'!$C$5)*(1+'Technical Premium'!$C$6),"")</f>
        <v/>
      </c>
      <c r="CK49" s="100" t="str">
        <f>IFERROR($CE49*INDEX('Territory Factors'!$G$6:$G$56,MATCH($K49,'Territory Factors'!$B$6:$B$56,0))*$AU49*$AV49,"")</f>
        <v/>
      </c>
      <c r="CL49" s="100" t="str">
        <f>IFERROR(($CJ49+$CK49)*(1+'Technical Premium'!$C$7),"")</f>
        <v/>
      </c>
      <c r="CM49" s="102" t="str">
        <f>IFERROR($CL49/'Technical Premium'!$C$13,"")</f>
        <v/>
      </c>
      <c r="CN49" s="103" t="str">
        <f t="shared" si="6"/>
        <v/>
      </c>
      <c r="CO49" s="102" t="str">
        <f t="shared" si="7"/>
        <v/>
      </c>
      <c r="CP49" s="103" t="str">
        <f t="shared" si="8"/>
        <v/>
      </c>
      <c r="CQ49" s="104" t="str">
        <f t="shared" si="9"/>
        <v/>
      </c>
      <c r="CR49" s="100" t="str">
        <f>IF(ISNUMBER($CM49),'Technical Premium'!$C$14+IF($J49&gt;=1000000,'Technical Premium'!$C$15,0),"")</f>
        <v/>
      </c>
      <c r="CS49" s="100" t="str">
        <f>IFERROR(($CO49+$CR49)*(INDEX('Territory Factors'!$K$6:$K$56,MATCH($K49,'Territory Factors'!$B$6:$B$56,0))+'Commission Structure'!$C$21),"")</f>
        <v/>
      </c>
      <c r="CT49" s="102" t="str">
        <f t="shared" si="10"/>
        <v/>
      </c>
      <c r="CU49" s="100" t="str">
        <f>IFERROR($CO49*('Commission Structure'!$C$6+'Commission Structure'!$C$7),"")</f>
        <v/>
      </c>
      <c r="CV49" s="100" t="str">
        <f>IFERROR($CO49*'Commission Structure'!$C$5-$CU49,"")</f>
        <v/>
      </c>
      <c r="CW49" s="100" t="str">
        <f>IFERROR($CO49*(1-'Commission Structure'!$C$5),"")</f>
        <v/>
      </c>
      <c r="CX49" s="105" t="str">
        <f>IF($A49="","",IF(OR($CB49="?",$CC49="?",NOT(ISNUMBER($AU49))),"CHECK INPUTS",IF(OR($J49&lt;'Technical Premium'!$C$18,LEFT(IFERROR(INDEX('Driver Factors'!$D$6:$D$15,MATCH($R49,'Driver Factors'!$B$6:$B$15,0)),""),7)="DECLINE",LEFT(IFERROR(INDEX('Driver Factors'!$D$28:$D$36,MATCH($T49,'Driver Factors'!$B$28:$B$36,0)),""),7)="DECLINE",LEFT(IFERROR(INDEX('Claims History'!$D$6:$D$15,MATCH($U49,'Claims History'!$B$6:$B$15,0)),""),7)="DECLINE",LEFT(IFERROR(INDEX('Usage and Coverage'!$E$6:$E$20,MATCH($N49,'Usage and Coverage'!$C$6:$C$20,0)),""),7)="DECLINE"),"DECLINE",IF(OR($CD49&gt;2.5,$CD49&gt;='Technical Premium'!$C$17,$J49&gt;='Technical Premium'!$C$16,N($AQ49)&lt;'Technical Premium'!$C$19,N($AQ49)&gt;'Technical Premium'!$C$20,LEFT(IFERROR(INDEX('Driver Factors'!$D$6:$D$15,MATCH($R49,'Driver Factors'!$B$6:$B$15,0)),""),5)="Refer",LEFT(IFERROR(INDEX('Driver Factors'!$D$28:$D$36,MATCH($T49,'Driver Factors'!$B$28:$B$36,0)),""),5)="Refer",LEFT(IFERROR(INDEX('Claims History'!$D$6:$D$15,MATCH($U49,'Claims History'!$B$6:$B$15,0)),""),5)="Refer",LEFT(IFERROR(INDEX('Usage and Coverage'!$E$6:$E$20,MATCH($N49,'Usage and Coverage'!$C$6:$C$20,0)),""),5)="Refer"),"REFER","AUTO-BIND"))))</f>
        <v/>
      </c>
      <c r="CY49" s="106" t="str">
        <f t="shared" si="11"/>
        <v/>
      </c>
      <c r="CZ49" s="97" t="str">
        <f>IF($CY49="","",IF($CY49&lt;'Technical Premium'!$C$19,"BEYOND AUTHORITY",IF($CY49&gt;0.005,"Above technical",IF($CY49&lt;-0.005,"BELOW technical","At technical"))))</f>
        <v/>
      </c>
      <c r="DA49" s="97" t="str">
        <f>IF($A49="","",IF($CX49="AUTO-BIND","",TRIM(IF($J49&lt;'Technical Premium'!$C$18,"Below programme minimum agreed value. ","")&amp;IF(N($AQ49)&lt;'Technical Premium'!$C$19,"DISCOUNT AUTHORITY BREACH. ","")&amp;IF(N($AQ49)&gt;'Technical Premium'!$C$20,"Load authority breach. ","")&amp;IF($J49&gt;='Technical Premium'!$C$16,"Agreed value at or above auto-bind limit. ","")&amp;IF(AND(ISNUMBER($CD49),$CD49&gt;='Technical Premium'!$C$17),"Composite factor at cap. ","")&amp;IF(AND(ISNUMBER($CD49),$CD49&gt;2.5),"Composite factor above 2.50. ","")&amp;IF(LEFT(IFERROR(INDEX('Driver Factors'!$D$6:$D$15,MATCH($R49,'Driver Factors'!$B$6:$B$15,0)),""),7)="DECLINE","DECLINE - driver age. ",IF(LEFT(IFERROR(INDEX('Driver Factors'!$D$6:$D$15,MATCH($R49,'Driver Factors'!$B$6:$B$15,0)),""),5)="Refer","Driver age band. ",""))&amp;IF(LEFT(IFERROR(INDEX('Driver Factors'!$D$28:$D$36,MATCH($T49,'Driver Factors'!$B$28:$B$36,0)),""),7)="DECLINE","DECLINE - MVR. ",IF(LEFT(IFERROR(INDEX('Driver Factors'!$D$28:$D$36,MATCH($T49,'Driver Factors'!$B$28:$B$36,0)),""),5)="Refer","MVR record. ",""))&amp;IF(LEFT(IFERROR(INDEX('Claims History'!$D$6:$D$15,MATCH($U49,'Claims History'!$B$6:$B$15,0)),""),7)="DECLINE","DECLINE - claims. ",IF(LEFT(IFERROR(INDEX('Claims History'!$D$6:$D$15,MATCH($U49,'Claims History'!$B$6:$B$15,0)),""),5)="Refer","Claims history. ",""))&amp;IF(LEFT(IFERROR(INDEX('Usage and Coverage'!$E$6:$E$20,MATCH($N49,'Usage and Coverage'!$C$6:$C$20,0)),""),7)="DECLINE","DECLINE - usage class. ",IF(LEFT(IFERROR(INDEX('Usage and Coverage'!$E$6:$E$20,MATCH($N49,'Usage and Coverage'!$C$6:$C$20,0)),""),5)="Refer","Usage class. ",""))&amp;IF($CX49="CHECK INPUTS","Incomplete inputs. ",""))))</f>
        <v/>
      </c>
      <c r="DB49" s="92"/>
      <c r="DC49" s="92"/>
      <c r="DD49" s="93"/>
      <c r="DE49" s="92"/>
      <c r="DF49" s="92"/>
      <c r="DG49" s="97" t="str">
        <f t="shared" si="12"/>
        <v/>
      </c>
      <c r="DH49" s="97" t="str">
        <f>IF($A49="","",IF(OR($CX49="REFER",$CX49="DECLINE"),COUNTIF($CX$5:$CX49,"REFER")+COUNTIF($CX$5:$CX49,"DECLINE"),""))</f>
        <v/>
      </c>
      <c r="DI49" s="92"/>
    </row>
    <row r="50" spans="1:113" x14ac:dyDescent="0.25">
      <c r="A50" s="92"/>
      <c r="B50" s="92"/>
      <c r="C50" s="93"/>
      <c r="D50" s="93"/>
      <c r="E50" s="94"/>
      <c r="F50" s="92"/>
      <c r="G50" s="92"/>
      <c r="H50" s="92"/>
      <c r="I50" s="92"/>
      <c r="J50" s="95"/>
      <c r="K50" s="92"/>
      <c r="L50" s="92"/>
      <c r="M50" s="92"/>
      <c r="N50" s="92"/>
      <c r="O50" s="92"/>
      <c r="P50" s="92"/>
      <c r="Q50" s="92"/>
      <c r="R50" s="92"/>
      <c r="S50" s="92"/>
      <c r="T50" s="92"/>
      <c r="U50" s="92"/>
      <c r="V50" s="92"/>
      <c r="W50" s="92"/>
      <c r="X50" s="92"/>
      <c r="Y50" s="92"/>
      <c r="Z50" s="92"/>
      <c r="AA50" s="92"/>
      <c r="AB50" s="92"/>
      <c r="AC50" s="92"/>
      <c r="AD50" s="92"/>
      <c r="AE50" s="92"/>
      <c r="AF50" s="92"/>
      <c r="AG50" s="92"/>
      <c r="AH50" s="92"/>
      <c r="AI50" s="92"/>
      <c r="AJ50" s="92"/>
      <c r="AK50" s="92"/>
      <c r="AL50" s="92"/>
      <c r="AM50" s="92"/>
      <c r="AN50" s="92"/>
      <c r="AO50" s="92"/>
      <c r="AP50" s="92"/>
      <c r="AQ50" s="96"/>
      <c r="AR50" s="97" t="str">
        <f t="shared" si="0"/>
        <v/>
      </c>
      <c r="AS50" s="97" t="str">
        <f>IF($A50="","",IF($AP50&lt;&gt;"",$AP50,IFERROR(INDEX('Cat Zone by ZIP'!$D$6:$D$856,MATCH($AR50,'Cat Zone by ZIP'!$B$6:$B$856,0)),IFERROR(INDEX('Cat Zone by ZIP'!$C$860:$C$910,MATCH($K50,'Cat Zone by ZIP'!$B$860:$B$910,0)),"NOT FOUND"))))</f>
        <v/>
      </c>
      <c r="AT50" s="97" t="str">
        <f>IF($A50="","",IF($AP50&lt;&gt;"","Override",IF(ISNUMBER(MATCH($AR50,'Cat Zone by ZIP'!$B$6:$B$856,0)),"ZIP-3","State default")))</f>
        <v/>
      </c>
      <c r="AU50" s="98" t="str">
        <f>IF($A50="","",IFERROR(INDEX('Natural Catastrophe'!$D$6:$D$17,MATCH($AS50,'Natural Catastrophe'!$B$6:$B$17,0)),"?"))</f>
        <v/>
      </c>
      <c r="AV50" s="98" t="str">
        <f>IF($A50="","",IFERROR(INDEX('Natural Catastrophe'!$C$21:$C$26,MATCH($AA50,'Natural Catastrophe'!$B$21:$B$26,0)),"?"))</f>
        <v/>
      </c>
      <c r="AW50" s="97" t="str">
        <f>IF($A50="","",IFERROR(INDEX('Base Rates'!$C$4:$I$4,MATCH(MAX($J50,'Technical Premium'!$C$18),'Base Rates'!$C$3:$I$3,1)),"?"))</f>
        <v/>
      </c>
      <c r="AX50" s="99" t="str">
        <f>IF($A50="","",IFERROR(INDEX('Base Rates'!$C$5:$I$16,MATCH($I50,'Base Rates'!$B$5:$B$16,0),MATCH(MAX($J50,'Technical Premium'!$C$18),'Base Rates'!$C$3:$I$3,1)),"?"))</f>
        <v/>
      </c>
      <c r="AY50" s="100" t="str">
        <f t="shared" si="1"/>
        <v/>
      </c>
      <c r="AZ50" s="97" t="str">
        <f>IF($A50="","",IFERROR(INDEX('Make Factors'!$G$5:$G$69,MATCH($F50,'Make Factors'!$B$5:$B$69,0)),"?"))</f>
        <v/>
      </c>
      <c r="BA50" s="97" t="str">
        <f>IF($A50="","",IFERROR(INDEX('Driver Factors'!$C$6:$C$15,MATCH($R50,'Driver Factors'!$B$6:$B$15,0)),"?"))</f>
        <v/>
      </c>
      <c r="BB50" s="97" t="str">
        <f>IF($A50="","",IFERROR(INDEX('Driver Factors'!$C$19:$C$24,MATCH($S50,'Driver Factors'!$B$19:$B$24,0)),"?"))</f>
        <v/>
      </c>
      <c r="BC50" s="97" t="str">
        <f>IF($A50="","",IFERROR(INDEX('Driver Factors'!$C$28:$C$36,MATCH($T50,'Driver Factors'!$B$28:$B$36,0)),"?"))</f>
        <v/>
      </c>
      <c r="BD50" s="97" t="str">
        <f>IF($A50="","",IFERROR(INDEX('Claims History'!$C$6:$C$15,MATCH($U50,'Claims History'!$B$6:$B$15,0)),"?"))</f>
        <v/>
      </c>
      <c r="BE50" s="97" t="str">
        <f>IF($A50="","",IFERROR(INDEX('Territory Factors'!$E$6:$E$56,MATCH($K50,'Territory Factors'!$B$6:$B$56,0)),"?"))</f>
        <v/>
      </c>
      <c r="BF50" s="97" t="str">
        <f>IF($A50="","",IFERROR(INDEX('City Accident Ratings'!$G$6:$G$54,MATCH($Z50,'City Accident Ratings'!$B$6:$B$54,0)),"?"))</f>
        <v/>
      </c>
      <c r="BG50" s="97" t="str">
        <f>IF($A50="","",IFERROR(INDEX('Usage and Coverage'!$D$6:$D$20,MATCH($N50,'Usage and Coverage'!$C$6:$C$20,0)),"?"))</f>
        <v/>
      </c>
      <c r="BH50" s="97" t="str">
        <f>IF($A50="","",IFERROR(INDEX('Usage and Coverage'!$C$24:$C$30,MATCH($O50,'Usage and Coverage'!$B$24:$B$30,0)),"?"))</f>
        <v/>
      </c>
      <c r="BI50" s="97" t="str">
        <f>IF($A50="","",IFERROR(INDEX('Usage and Coverage'!$C$34:$C$40,MATCH($P50,'Usage and Coverage'!$B$34:$B$40,0)),"?"))</f>
        <v/>
      </c>
      <c r="BJ50" s="97" t="str">
        <f>IF($A50="","",IFERROR(INDEX('Usage and Coverage'!$C$44:$C$49,MATCH($Q50,'Usage and Coverage'!$B$44:$B$49,0)),"?"))</f>
        <v/>
      </c>
      <c r="BK50" s="97" t="str">
        <f>IF($A50="","",IFERROR(INDEX(Deductibles!$C$6:$I$15,MATCH($W50,Deductibles!$B$6:$B$15,0),MATCH(MAX($J50,'Technical Premium'!$C$18),'Base Rates'!$C$3:$I$3,1)),"?"))</f>
        <v/>
      </c>
      <c r="BL50" s="97" t="str">
        <f>IF($A50="","",IFERROR(INDEX('Usage and Coverage'!$C$63:$C$66,MATCH($X50,'Usage and Coverage'!$B$63:$B$66,0)),"?"))</f>
        <v/>
      </c>
      <c r="BM50" s="97" t="str">
        <f>IF($A50="","",IFERROR(INDEX('Usage and Coverage'!$C$70:$C$75,MATCH($V50,'Usage and Coverage'!$B$70:$B$75,0)),"?"))</f>
        <v/>
      </c>
      <c r="BN50" s="97" t="str">
        <f>IF($A50="","",IF($AB50="",1,IFERROR(INDEX(Deductibles!$C$48:$C$51,MATCH($AB50,Deductibles!$B$48:$B$51,0)),"?")))</f>
        <v/>
      </c>
      <c r="BO50" s="97" t="str">
        <f>IF($A50="","",IF($AC50="",1,IFERROR(INDEX(Deductibles!$C$55:$C$57,MATCH($AC50,Deductibles!$B$55:$B$57,0)),"?")))</f>
        <v/>
      </c>
      <c r="BP50" s="97" t="str">
        <f>IF($A50="","",IF($AD50="",1,IFERROR(INDEX(Deductibles!$C$61:$C$63,MATCH($AD50,Deductibles!$B$61:$B$63,0)),"?")))</f>
        <v/>
      </c>
      <c r="BQ50" s="97" t="str">
        <f>IF($A50="","",IF($AE50="",1,IFERROR(INDEX(Deductibles!$C$67:$C$69,MATCH($AE50,Deductibles!$B$67:$B$69,0)),"?")))</f>
        <v/>
      </c>
      <c r="BR50" s="97" t="str">
        <f>IF($A50="","",IF($AF50="",1,IFERROR(INDEX(Deductibles!$C$73:$C$74,MATCH($AF50,Deductibles!$B$73:$B$74,0)),"?")))</f>
        <v/>
      </c>
      <c r="BS50" s="97" t="str">
        <f>IF($A50="","",IF($AG50="",1,IFERROR(INDEX('Sublimits and Parts'!$C$49:$C$52,MATCH($AG50,'Sublimits and Parts'!$B$49:$B$52,0)),"?")))</f>
        <v/>
      </c>
      <c r="BT50" s="97" t="str">
        <f>IF($A50="","",IF($AH50="",1,IFERROR(INDEX('Sublimits and Parts'!$C$56:$C$60,MATCH($AH50,'Sublimits and Parts'!$B$56:$B$60,0)),"?")))</f>
        <v/>
      </c>
      <c r="BU50" s="97" t="str">
        <f>IF($A50="","",IF($AI50="",1,IFERROR(INDEX('Sublimits and Parts'!$C$64:$C$67,MATCH($AI50,'Sublimits and Parts'!$B$64:$B$67,0)),"?")))</f>
        <v/>
      </c>
      <c r="BV50" s="97" t="str">
        <f>IF($A50="","",IF($AJ50="",1,IFERROR(INDEX('Sublimits and Parts'!$C$71:$C$74,MATCH($AJ50,'Sublimits and Parts'!$B$71:$B$74,0)),"?")))</f>
        <v/>
      </c>
      <c r="BW50" s="97" t="str">
        <f>IF($A50="","",IF($AK50="",1,IFERROR(INDEX('Sublimits and Parts'!$C$78:$C$80,MATCH($AK50,'Sublimits and Parts'!$B$78:$B$80,0)),"?")))</f>
        <v/>
      </c>
      <c r="BX50" s="97" t="str">
        <f>IF($A50="","",IF($AL50="",1,IFERROR(INDEX('Sublimits and Parts'!$C$84:$C$87,MATCH($AL50,'Sublimits and Parts'!$B$84:$B$87,0)),"?")))</f>
        <v/>
      </c>
      <c r="BY50" s="97" t="str">
        <f>IF($A50="","",IF($AM50="",1,IFERROR(INDEX('Sublimits and Parts'!$C$91:$C$94,MATCH($AM50,'Sublimits and Parts'!$B$91:$B$94,0)),"?")))</f>
        <v/>
      </c>
      <c r="BZ50" s="97" t="str">
        <f>IF($A50="","",IF($AN50="",1,IFERROR(INDEX('Sublimits and Parts'!$C$98:$C$101,MATCH($AN50,'Sublimits and Parts'!$B$98:$B$101,0)),"?")))</f>
        <v/>
      </c>
      <c r="CA50" s="97" t="str">
        <f>IF($A50="","",IF($AO50="",1,IFERROR(INDEX('Sublimits and Parts'!$C$105:$C$109,MATCH($AO50,'Sublimits and Parts'!$B$105:$B$109,0)),"?")))</f>
        <v/>
      </c>
      <c r="CB50" s="98" t="str">
        <f t="shared" si="2"/>
        <v/>
      </c>
      <c r="CC50" s="98" t="str">
        <f t="shared" si="3"/>
        <v/>
      </c>
      <c r="CD50" s="101" t="str">
        <f>IF($A50="","",IF(OR($CB50="?",$CC50="?"),"?",MIN($CB50*$CC50,'Technical Premium'!$C$17)))</f>
        <v/>
      </c>
      <c r="CE50" s="100" t="str">
        <f t="shared" si="4"/>
        <v/>
      </c>
      <c r="CF50" s="100" t="str">
        <f>IF($A50="","",IFERROR(INDEX('Territory Factors'!$F$6:$F$56,MATCH($K50,'Territory Factors'!$B$6:$B$56,0)),"?"))</f>
        <v/>
      </c>
      <c r="CG50" s="98" t="str">
        <f>IF($A50="","",IFERROR(INDEX('Usage and Coverage'!$C$79:$C$84,MATCH($Y50,'Usage and Coverage'!$B$79:$B$84,0)),"?"))</f>
        <v/>
      </c>
      <c r="CH50" s="100" t="str">
        <f>IFERROR(IF(ISNUMBER($CD50),$CF50*$CG50*MIN($BG50*$BA50*$BC50*$BD50*$BH50*$BF50,'Technical Premium'!$C$17),""),"")</f>
        <v/>
      </c>
      <c r="CI50" s="100" t="str">
        <f t="shared" si="5"/>
        <v/>
      </c>
      <c r="CJ50" s="100" t="str">
        <f>IFERROR($CI50*(1+'Technical Premium'!$C$5)*(1+'Technical Premium'!$C$6),"")</f>
        <v/>
      </c>
      <c r="CK50" s="100" t="str">
        <f>IFERROR($CE50*INDEX('Territory Factors'!$G$6:$G$56,MATCH($K50,'Territory Factors'!$B$6:$B$56,0))*$AU50*$AV50,"")</f>
        <v/>
      </c>
      <c r="CL50" s="100" t="str">
        <f>IFERROR(($CJ50+$CK50)*(1+'Technical Premium'!$C$7),"")</f>
        <v/>
      </c>
      <c r="CM50" s="102" t="str">
        <f>IFERROR($CL50/'Technical Premium'!$C$13,"")</f>
        <v/>
      </c>
      <c r="CN50" s="103" t="str">
        <f t="shared" si="6"/>
        <v/>
      </c>
      <c r="CO50" s="102" t="str">
        <f t="shared" si="7"/>
        <v/>
      </c>
      <c r="CP50" s="103" t="str">
        <f t="shared" si="8"/>
        <v/>
      </c>
      <c r="CQ50" s="104" t="str">
        <f t="shared" si="9"/>
        <v/>
      </c>
      <c r="CR50" s="100" t="str">
        <f>IF(ISNUMBER($CM50),'Technical Premium'!$C$14+IF($J50&gt;=1000000,'Technical Premium'!$C$15,0),"")</f>
        <v/>
      </c>
      <c r="CS50" s="100" t="str">
        <f>IFERROR(($CO50+$CR50)*(INDEX('Territory Factors'!$K$6:$K$56,MATCH($K50,'Territory Factors'!$B$6:$B$56,0))+'Commission Structure'!$C$21),"")</f>
        <v/>
      </c>
      <c r="CT50" s="102" t="str">
        <f t="shared" si="10"/>
        <v/>
      </c>
      <c r="CU50" s="100" t="str">
        <f>IFERROR($CO50*('Commission Structure'!$C$6+'Commission Structure'!$C$7),"")</f>
        <v/>
      </c>
      <c r="CV50" s="100" t="str">
        <f>IFERROR($CO50*'Commission Structure'!$C$5-$CU50,"")</f>
        <v/>
      </c>
      <c r="CW50" s="100" t="str">
        <f>IFERROR($CO50*(1-'Commission Structure'!$C$5),"")</f>
        <v/>
      </c>
      <c r="CX50" s="105" t="str">
        <f>IF($A50="","",IF(OR($CB50="?",$CC50="?",NOT(ISNUMBER($AU50))),"CHECK INPUTS",IF(OR($J50&lt;'Technical Premium'!$C$18,LEFT(IFERROR(INDEX('Driver Factors'!$D$6:$D$15,MATCH($R50,'Driver Factors'!$B$6:$B$15,0)),""),7)="DECLINE",LEFT(IFERROR(INDEX('Driver Factors'!$D$28:$D$36,MATCH($T50,'Driver Factors'!$B$28:$B$36,0)),""),7)="DECLINE",LEFT(IFERROR(INDEX('Claims History'!$D$6:$D$15,MATCH($U50,'Claims History'!$B$6:$B$15,0)),""),7)="DECLINE",LEFT(IFERROR(INDEX('Usage and Coverage'!$E$6:$E$20,MATCH($N50,'Usage and Coverage'!$C$6:$C$20,0)),""),7)="DECLINE"),"DECLINE",IF(OR($CD50&gt;2.5,$CD50&gt;='Technical Premium'!$C$17,$J50&gt;='Technical Premium'!$C$16,N($AQ50)&lt;'Technical Premium'!$C$19,N($AQ50)&gt;'Technical Premium'!$C$20,LEFT(IFERROR(INDEX('Driver Factors'!$D$6:$D$15,MATCH($R50,'Driver Factors'!$B$6:$B$15,0)),""),5)="Refer",LEFT(IFERROR(INDEX('Driver Factors'!$D$28:$D$36,MATCH($T50,'Driver Factors'!$B$28:$B$36,0)),""),5)="Refer",LEFT(IFERROR(INDEX('Claims History'!$D$6:$D$15,MATCH($U50,'Claims History'!$B$6:$B$15,0)),""),5)="Refer",LEFT(IFERROR(INDEX('Usage and Coverage'!$E$6:$E$20,MATCH($N50,'Usage and Coverage'!$C$6:$C$20,0)),""),5)="Refer"),"REFER","AUTO-BIND"))))</f>
        <v/>
      </c>
      <c r="CY50" s="106" t="str">
        <f t="shared" si="11"/>
        <v/>
      </c>
      <c r="CZ50" s="97" t="str">
        <f>IF($CY50="","",IF($CY50&lt;'Technical Premium'!$C$19,"BEYOND AUTHORITY",IF($CY50&gt;0.005,"Above technical",IF($CY50&lt;-0.005,"BELOW technical","At technical"))))</f>
        <v/>
      </c>
      <c r="DA50" s="97" t="str">
        <f>IF($A50="","",IF($CX50="AUTO-BIND","",TRIM(IF($J50&lt;'Technical Premium'!$C$18,"Below programme minimum agreed value. ","")&amp;IF(N($AQ50)&lt;'Technical Premium'!$C$19,"DISCOUNT AUTHORITY BREACH. ","")&amp;IF(N($AQ50)&gt;'Technical Premium'!$C$20,"Load authority breach. ","")&amp;IF($J50&gt;='Technical Premium'!$C$16,"Agreed value at or above auto-bind limit. ","")&amp;IF(AND(ISNUMBER($CD50),$CD50&gt;='Technical Premium'!$C$17),"Composite factor at cap. ","")&amp;IF(AND(ISNUMBER($CD50),$CD50&gt;2.5),"Composite factor above 2.50. ","")&amp;IF(LEFT(IFERROR(INDEX('Driver Factors'!$D$6:$D$15,MATCH($R50,'Driver Factors'!$B$6:$B$15,0)),""),7)="DECLINE","DECLINE - driver age. ",IF(LEFT(IFERROR(INDEX('Driver Factors'!$D$6:$D$15,MATCH($R50,'Driver Factors'!$B$6:$B$15,0)),""),5)="Refer","Driver age band. ",""))&amp;IF(LEFT(IFERROR(INDEX('Driver Factors'!$D$28:$D$36,MATCH($T50,'Driver Factors'!$B$28:$B$36,0)),""),7)="DECLINE","DECLINE - MVR. ",IF(LEFT(IFERROR(INDEX('Driver Factors'!$D$28:$D$36,MATCH($T50,'Driver Factors'!$B$28:$B$36,0)),""),5)="Refer","MVR record. ",""))&amp;IF(LEFT(IFERROR(INDEX('Claims History'!$D$6:$D$15,MATCH($U50,'Claims History'!$B$6:$B$15,0)),""),7)="DECLINE","DECLINE - claims. ",IF(LEFT(IFERROR(INDEX('Claims History'!$D$6:$D$15,MATCH($U50,'Claims History'!$B$6:$B$15,0)),""),5)="Refer","Claims history. ",""))&amp;IF(LEFT(IFERROR(INDEX('Usage and Coverage'!$E$6:$E$20,MATCH($N50,'Usage and Coverage'!$C$6:$C$20,0)),""),7)="DECLINE","DECLINE - usage class. ",IF(LEFT(IFERROR(INDEX('Usage and Coverage'!$E$6:$E$20,MATCH($N50,'Usage and Coverage'!$C$6:$C$20,0)),""),5)="Refer","Usage class. ",""))&amp;IF($CX50="CHECK INPUTS","Incomplete inputs. ",""))))</f>
        <v/>
      </c>
      <c r="DB50" s="92"/>
      <c r="DC50" s="92"/>
      <c r="DD50" s="93"/>
      <c r="DE50" s="92"/>
      <c r="DF50" s="92"/>
      <c r="DG50" s="97" t="str">
        <f t="shared" si="12"/>
        <v/>
      </c>
      <c r="DH50" s="97" t="str">
        <f>IF($A50="","",IF(OR($CX50="REFER",$CX50="DECLINE"),COUNTIF($CX$5:$CX50,"REFER")+COUNTIF($CX$5:$CX50,"DECLINE"),""))</f>
        <v/>
      </c>
      <c r="DI50" s="92"/>
    </row>
    <row r="51" spans="1:113" x14ac:dyDescent="0.25">
      <c r="A51" s="92"/>
      <c r="B51" s="92"/>
      <c r="C51" s="93"/>
      <c r="D51" s="93"/>
      <c r="E51" s="94"/>
      <c r="F51" s="92"/>
      <c r="G51" s="92"/>
      <c r="H51" s="92"/>
      <c r="I51" s="92"/>
      <c r="J51" s="95"/>
      <c r="K51" s="92"/>
      <c r="L51" s="92"/>
      <c r="M51" s="92"/>
      <c r="N51" s="92"/>
      <c r="O51" s="92"/>
      <c r="P51" s="92"/>
      <c r="Q51" s="92"/>
      <c r="R51" s="92"/>
      <c r="S51" s="92"/>
      <c r="T51" s="92"/>
      <c r="U51" s="92"/>
      <c r="V51" s="92"/>
      <c r="W51" s="92"/>
      <c r="X51" s="92"/>
      <c r="Y51" s="92"/>
      <c r="Z51" s="92"/>
      <c r="AA51" s="92"/>
      <c r="AB51" s="92"/>
      <c r="AC51" s="92"/>
      <c r="AD51" s="92"/>
      <c r="AE51" s="92"/>
      <c r="AF51" s="92"/>
      <c r="AG51" s="92"/>
      <c r="AH51" s="92"/>
      <c r="AI51" s="92"/>
      <c r="AJ51" s="92"/>
      <c r="AK51" s="92"/>
      <c r="AL51" s="92"/>
      <c r="AM51" s="92"/>
      <c r="AN51" s="92"/>
      <c r="AO51" s="92"/>
      <c r="AP51" s="92"/>
      <c r="AQ51" s="96"/>
      <c r="AR51" s="97" t="str">
        <f t="shared" si="0"/>
        <v/>
      </c>
      <c r="AS51" s="97" t="str">
        <f>IF($A51="","",IF($AP51&lt;&gt;"",$AP51,IFERROR(INDEX('Cat Zone by ZIP'!$D$6:$D$856,MATCH($AR51,'Cat Zone by ZIP'!$B$6:$B$856,0)),IFERROR(INDEX('Cat Zone by ZIP'!$C$860:$C$910,MATCH($K51,'Cat Zone by ZIP'!$B$860:$B$910,0)),"NOT FOUND"))))</f>
        <v/>
      </c>
      <c r="AT51" s="97" t="str">
        <f>IF($A51="","",IF($AP51&lt;&gt;"","Override",IF(ISNUMBER(MATCH($AR51,'Cat Zone by ZIP'!$B$6:$B$856,0)),"ZIP-3","State default")))</f>
        <v/>
      </c>
      <c r="AU51" s="98" t="str">
        <f>IF($A51="","",IFERROR(INDEX('Natural Catastrophe'!$D$6:$D$17,MATCH($AS51,'Natural Catastrophe'!$B$6:$B$17,0)),"?"))</f>
        <v/>
      </c>
      <c r="AV51" s="98" t="str">
        <f>IF($A51="","",IFERROR(INDEX('Natural Catastrophe'!$C$21:$C$26,MATCH($AA51,'Natural Catastrophe'!$B$21:$B$26,0)),"?"))</f>
        <v/>
      </c>
      <c r="AW51" s="97" t="str">
        <f>IF($A51="","",IFERROR(INDEX('Base Rates'!$C$4:$I$4,MATCH(MAX($J51,'Technical Premium'!$C$18),'Base Rates'!$C$3:$I$3,1)),"?"))</f>
        <v/>
      </c>
      <c r="AX51" s="99" t="str">
        <f>IF($A51="","",IFERROR(INDEX('Base Rates'!$C$5:$I$16,MATCH($I51,'Base Rates'!$B$5:$B$16,0),MATCH(MAX($J51,'Technical Premium'!$C$18),'Base Rates'!$C$3:$I$3,1)),"?"))</f>
        <v/>
      </c>
      <c r="AY51" s="100" t="str">
        <f t="shared" si="1"/>
        <v/>
      </c>
      <c r="AZ51" s="97" t="str">
        <f>IF($A51="","",IFERROR(INDEX('Make Factors'!$G$5:$G$69,MATCH($F51,'Make Factors'!$B$5:$B$69,0)),"?"))</f>
        <v/>
      </c>
      <c r="BA51" s="97" t="str">
        <f>IF($A51="","",IFERROR(INDEX('Driver Factors'!$C$6:$C$15,MATCH($R51,'Driver Factors'!$B$6:$B$15,0)),"?"))</f>
        <v/>
      </c>
      <c r="BB51" s="97" t="str">
        <f>IF($A51="","",IFERROR(INDEX('Driver Factors'!$C$19:$C$24,MATCH($S51,'Driver Factors'!$B$19:$B$24,0)),"?"))</f>
        <v/>
      </c>
      <c r="BC51" s="97" t="str">
        <f>IF($A51="","",IFERROR(INDEX('Driver Factors'!$C$28:$C$36,MATCH($T51,'Driver Factors'!$B$28:$B$36,0)),"?"))</f>
        <v/>
      </c>
      <c r="BD51" s="97" t="str">
        <f>IF($A51="","",IFERROR(INDEX('Claims History'!$C$6:$C$15,MATCH($U51,'Claims History'!$B$6:$B$15,0)),"?"))</f>
        <v/>
      </c>
      <c r="BE51" s="97" t="str">
        <f>IF($A51="","",IFERROR(INDEX('Territory Factors'!$E$6:$E$56,MATCH($K51,'Territory Factors'!$B$6:$B$56,0)),"?"))</f>
        <v/>
      </c>
      <c r="BF51" s="97" t="str">
        <f>IF($A51="","",IFERROR(INDEX('City Accident Ratings'!$G$6:$G$54,MATCH($Z51,'City Accident Ratings'!$B$6:$B$54,0)),"?"))</f>
        <v/>
      </c>
      <c r="BG51" s="97" t="str">
        <f>IF($A51="","",IFERROR(INDEX('Usage and Coverage'!$D$6:$D$20,MATCH($N51,'Usage and Coverage'!$C$6:$C$20,0)),"?"))</f>
        <v/>
      </c>
      <c r="BH51" s="97" t="str">
        <f>IF($A51="","",IFERROR(INDEX('Usage and Coverage'!$C$24:$C$30,MATCH($O51,'Usage and Coverage'!$B$24:$B$30,0)),"?"))</f>
        <v/>
      </c>
      <c r="BI51" s="97" t="str">
        <f>IF($A51="","",IFERROR(INDEX('Usage and Coverage'!$C$34:$C$40,MATCH($P51,'Usage and Coverage'!$B$34:$B$40,0)),"?"))</f>
        <v/>
      </c>
      <c r="BJ51" s="97" t="str">
        <f>IF($A51="","",IFERROR(INDEX('Usage and Coverage'!$C$44:$C$49,MATCH($Q51,'Usage and Coverage'!$B$44:$B$49,0)),"?"))</f>
        <v/>
      </c>
      <c r="BK51" s="97" t="str">
        <f>IF($A51="","",IFERROR(INDEX(Deductibles!$C$6:$I$15,MATCH($W51,Deductibles!$B$6:$B$15,0),MATCH(MAX($J51,'Technical Premium'!$C$18),'Base Rates'!$C$3:$I$3,1)),"?"))</f>
        <v/>
      </c>
      <c r="BL51" s="97" t="str">
        <f>IF($A51="","",IFERROR(INDEX('Usage and Coverage'!$C$63:$C$66,MATCH($X51,'Usage and Coverage'!$B$63:$B$66,0)),"?"))</f>
        <v/>
      </c>
      <c r="BM51" s="97" t="str">
        <f>IF($A51="","",IFERROR(INDEX('Usage and Coverage'!$C$70:$C$75,MATCH($V51,'Usage and Coverage'!$B$70:$B$75,0)),"?"))</f>
        <v/>
      </c>
      <c r="BN51" s="97" t="str">
        <f>IF($A51="","",IF($AB51="",1,IFERROR(INDEX(Deductibles!$C$48:$C$51,MATCH($AB51,Deductibles!$B$48:$B$51,0)),"?")))</f>
        <v/>
      </c>
      <c r="BO51" s="97" t="str">
        <f>IF($A51="","",IF($AC51="",1,IFERROR(INDEX(Deductibles!$C$55:$C$57,MATCH($AC51,Deductibles!$B$55:$B$57,0)),"?")))</f>
        <v/>
      </c>
      <c r="BP51" s="97" t="str">
        <f>IF($A51="","",IF($AD51="",1,IFERROR(INDEX(Deductibles!$C$61:$C$63,MATCH($AD51,Deductibles!$B$61:$B$63,0)),"?")))</f>
        <v/>
      </c>
      <c r="BQ51" s="97" t="str">
        <f>IF($A51="","",IF($AE51="",1,IFERROR(INDEX(Deductibles!$C$67:$C$69,MATCH($AE51,Deductibles!$B$67:$B$69,0)),"?")))</f>
        <v/>
      </c>
      <c r="BR51" s="97" t="str">
        <f>IF($A51="","",IF($AF51="",1,IFERROR(INDEX(Deductibles!$C$73:$C$74,MATCH($AF51,Deductibles!$B$73:$B$74,0)),"?")))</f>
        <v/>
      </c>
      <c r="BS51" s="97" t="str">
        <f>IF($A51="","",IF($AG51="",1,IFERROR(INDEX('Sublimits and Parts'!$C$49:$C$52,MATCH($AG51,'Sublimits and Parts'!$B$49:$B$52,0)),"?")))</f>
        <v/>
      </c>
      <c r="BT51" s="97" t="str">
        <f>IF($A51="","",IF($AH51="",1,IFERROR(INDEX('Sublimits and Parts'!$C$56:$C$60,MATCH($AH51,'Sublimits and Parts'!$B$56:$B$60,0)),"?")))</f>
        <v/>
      </c>
      <c r="BU51" s="97" t="str">
        <f>IF($A51="","",IF($AI51="",1,IFERROR(INDEX('Sublimits and Parts'!$C$64:$C$67,MATCH($AI51,'Sublimits and Parts'!$B$64:$B$67,0)),"?")))</f>
        <v/>
      </c>
      <c r="BV51" s="97" t="str">
        <f>IF($A51="","",IF($AJ51="",1,IFERROR(INDEX('Sublimits and Parts'!$C$71:$C$74,MATCH($AJ51,'Sublimits and Parts'!$B$71:$B$74,0)),"?")))</f>
        <v/>
      </c>
      <c r="BW51" s="97" t="str">
        <f>IF($A51="","",IF($AK51="",1,IFERROR(INDEX('Sublimits and Parts'!$C$78:$C$80,MATCH($AK51,'Sublimits and Parts'!$B$78:$B$80,0)),"?")))</f>
        <v/>
      </c>
      <c r="BX51" s="97" t="str">
        <f>IF($A51="","",IF($AL51="",1,IFERROR(INDEX('Sublimits and Parts'!$C$84:$C$87,MATCH($AL51,'Sublimits and Parts'!$B$84:$B$87,0)),"?")))</f>
        <v/>
      </c>
      <c r="BY51" s="97" t="str">
        <f>IF($A51="","",IF($AM51="",1,IFERROR(INDEX('Sublimits and Parts'!$C$91:$C$94,MATCH($AM51,'Sublimits and Parts'!$B$91:$B$94,0)),"?")))</f>
        <v/>
      </c>
      <c r="BZ51" s="97" t="str">
        <f>IF($A51="","",IF($AN51="",1,IFERROR(INDEX('Sublimits and Parts'!$C$98:$C$101,MATCH($AN51,'Sublimits and Parts'!$B$98:$B$101,0)),"?")))</f>
        <v/>
      </c>
      <c r="CA51" s="97" t="str">
        <f>IF($A51="","",IF($AO51="",1,IFERROR(INDEX('Sublimits and Parts'!$C$105:$C$109,MATCH($AO51,'Sublimits and Parts'!$B$105:$B$109,0)),"?")))</f>
        <v/>
      </c>
      <c r="CB51" s="98" t="str">
        <f t="shared" si="2"/>
        <v/>
      </c>
      <c r="CC51" s="98" t="str">
        <f t="shared" si="3"/>
        <v/>
      </c>
      <c r="CD51" s="101" t="str">
        <f>IF($A51="","",IF(OR($CB51="?",$CC51="?"),"?",MIN($CB51*$CC51,'Technical Premium'!$C$17)))</f>
        <v/>
      </c>
      <c r="CE51" s="100" t="str">
        <f t="shared" si="4"/>
        <v/>
      </c>
      <c r="CF51" s="100" t="str">
        <f>IF($A51="","",IFERROR(INDEX('Territory Factors'!$F$6:$F$56,MATCH($K51,'Territory Factors'!$B$6:$B$56,0)),"?"))</f>
        <v/>
      </c>
      <c r="CG51" s="98" t="str">
        <f>IF($A51="","",IFERROR(INDEX('Usage and Coverage'!$C$79:$C$84,MATCH($Y51,'Usage and Coverage'!$B$79:$B$84,0)),"?"))</f>
        <v/>
      </c>
      <c r="CH51" s="100" t="str">
        <f>IFERROR(IF(ISNUMBER($CD51),$CF51*$CG51*MIN($BG51*$BA51*$BC51*$BD51*$BH51*$BF51,'Technical Premium'!$C$17),""),"")</f>
        <v/>
      </c>
      <c r="CI51" s="100" t="str">
        <f t="shared" si="5"/>
        <v/>
      </c>
      <c r="CJ51" s="100" t="str">
        <f>IFERROR($CI51*(1+'Technical Premium'!$C$5)*(1+'Technical Premium'!$C$6),"")</f>
        <v/>
      </c>
      <c r="CK51" s="100" t="str">
        <f>IFERROR($CE51*INDEX('Territory Factors'!$G$6:$G$56,MATCH($K51,'Territory Factors'!$B$6:$B$56,0))*$AU51*$AV51,"")</f>
        <v/>
      </c>
      <c r="CL51" s="100" t="str">
        <f>IFERROR(($CJ51+$CK51)*(1+'Technical Premium'!$C$7),"")</f>
        <v/>
      </c>
      <c r="CM51" s="102" t="str">
        <f>IFERROR($CL51/'Technical Premium'!$C$13,"")</f>
        <v/>
      </c>
      <c r="CN51" s="103" t="str">
        <f t="shared" si="6"/>
        <v/>
      </c>
      <c r="CO51" s="102" t="str">
        <f t="shared" si="7"/>
        <v/>
      </c>
      <c r="CP51" s="103" t="str">
        <f t="shared" si="8"/>
        <v/>
      </c>
      <c r="CQ51" s="104" t="str">
        <f t="shared" si="9"/>
        <v/>
      </c>
      <c r="CR51" s="100" t="str">
        <f>IF(ISNUMBER($CM51),'Technical Premium'!$C$14+IF($J51&gt;=1000000,'Technical Premium'!$C$15,0),"")</f>
        <v/>
      </c>
      <c r="CS51" s="100" t="str">
        <f>IFERROR(($CO51+$CR51)*(INDEX('Territory Factors'!$K$6:$K$56,MATCH($K51,'Territory Factors'!$B$6:$B$56,0))+'Commission Structure'!$C$21),"")</f>
        <v/>
      </c>
      <c r="CT51" s="102" t="str">
        <f t="shared" si="10"/>
        <v/>
      </c>
      <c r="CU51" s="100" t="str">
        <f>IFERROR($CO51*('Commission Structure'!$C$6+'Commission Structure'!$C$7),"")</f>
        <v/>
      </c>
      <c r="CV51" s="100" t="str">
        <f>IFERROR($CO51*'Commission Structure'!$C$5-$CU51,"")</f>
        <v/>
      </c>
      <c r="CW51" s="100" t="str">
        <f>IFERROR($CO51*(1-'Commission Structure'!$C$5),"")</f>
        <v/>
      </c>
      <c r="CX51" s="105" t="str">
        <f>IF($A51="","",IF(OR($CB51="?",$CC51="?",NOT(ISNUMBER($AU51))),"CHECK INPUTS",IF(OR($J51&lt;'Technical Premium'!$C$18,LEFT(IFERROR(INDEX('Driver Factors'!$D$6:$D$15,MATCH($R51,'Driver Factors'!$B$6:$B$15,0)),""),7)="DECLINE",LEFT(IFERROR(INDEX('Driver Factors'!$D$28:$D$36,MATCH($T51,'Driver Factors'!$B$28:$B$36,0)),""),7)="DECLINE",LEFT(IFERROR(INDEX('Claims History'!$D$6:$D$15,MATCH($U51,'Claims History'!$B$6:$B$15,0)),""),7)="DECLINE",LEFT(IFERROR(INDEX('Usage and Coverage'!$E$6:$E$20,MATCH($N51,'Usage and Coverage'!$C$6:$C$20,0)),""),7)="DECLINE"),"DECLINE",IF(OR($CD51&gt;2.5,$CD51&gt;='Technical Premium'!$C$17,$J51&gt;='Technical Premium'!$C$16,N($AQ51)&lt;'Technical Premium'!$C$19,N($AQ51)&gt;'Technical Premium'!$C$20,LEFT(IFERROR(INDEX('Driver Factors'!$D$6:$D$15,MATCH($R51,'Driver Factors'!$B$6:$B$15,0)),""),5)="Refer",LEFT(IFERROR(INDEX('Driver Factors'!$D$28:$D$36,MATCH($T51,'Driver Factors'!$B$28:$B$36,0)),""),5)="Refer",LEFT(IFERROR(INDEX('Claims History'!$D$6:$D$15,MATCH($U51,'Claims History'!$B$6:$B$15,0)),""),5)="Refer",LEFT(IFERROR(INDEX('Usage and Coverage'!$E$6:$E$20,MATCH($N51,'Usage and Coverage'!$C$6:$C$20,0)),""),5)="Refer"),"REFER","AUTO-BIND"))))</f>
        <v/>
      </c>
      <c r="CY51" s="106" t="str">
        <f t="shared" si="11"/>
        <v/>
      </c>
      <c r="CZ51" s="97" t="str">
        <f>IF($CY51="","",IF($CY51&lt;'Technical Premium'!$C$19,"BEYOND AUTHORITY",IF($CY51&gt;0.005,"Above technical",IF($CY51&lt;-0.005,"BELOW technical","At technical"))))</f>
        <v/>
      </c>
      <c r="DA51" s="97" t="str">
        <f>IF($A51="","",IF($CX51="AUTO-BIND","",TRIM(IF($J51&lt;'Technical Premium'!$C$18,"Below programme minimum agreed value. ","")&amp;IF(N($AQ51)&lt;'Technical Premium'!$C$19,"DISCOUNT AUTHORITY BREACH. ","")&amp;IF(N($AQ51)&gt;'Technical Premium'!$C$20,"Load authority breach. ","")&amp;IF($J51&gt;='Technical Premium'!$C$16,"Agreed value at or above auto-bind limit. ","")&amp;IF(AND(ISNUMBER($CD51),$CD51&gt;='Technical Premium'!$C$17),"Composite factor at cap. ","")&amp;IF(AND(ISNUMBER($CD51),$CD51&gt;2.5),"Composite factor above 2.50. ","")&amp;IF(LEFT(IFERROR(INDEX('Driver Factors'!$D$6:$D$15,MATCH($R51,'Driver Factors'!$B$6:$B$15,0)),""),7)="DECLINE","DECLINE - driver age. ",IF(LEFT(IFERROR(INDEX('Driver Factors'!$D$6:$D$15,MATCH($R51,'Driver Factors'!$B$6:$B$15,0)),""),5)="Refer","Driver age band. ",""))&amp;IF(LEFT(IFERROR(INDEX('Driver Factors'!$D$28:$D$36,MATCH($T51,'Driver Factors'!$B$28:$B$36,0)),""),7)="DECLINE","DECLINE - MVR. ",IF(LEFT(IFERROR(INDEX('Driver Factors'!$D$28:$D$36,MATCH($T51,'Driver Factors'!$B$28:$B$36,0)),""),5)="Refer","MVR record. ",""))&amp;IF(LEFT(IFERROR(INDEX('Claims History'!$D$6:$D$15,MATCH($U51,'Claims History'!$B$6:$B$15,0)),""),7)="DECLINE","DECLINE - claims. ",IF(LEFT(IFERROR(INDEX('Claims History'!$D$6:$D$15,MATCH($U51,'Claims History'!$B$6:$B$15,0)),""),5)="Refer","Claims history. ",""))&amp;IF(LEFT(IFERROR(INDEX('Usage and Coverage'!$E$6:$E$20,MATCH($N51,'Usage and Coverage'!$C$6:$C$20,0)),""),7)="DECLINE","DECLINE - usage class. ",IF(LEFT(IFERROR(INDEX('Usage and Coverage'!$E$6:$E$20,MATCH($N51,'Usage and Coverage'!$C$6:$C$20,0)),""),5)="Refer","Usage class. ",""))&amp;IF($CX51="CHECK INPUTS","Incomplete inputs. ",""))))</f>
        <v/>
      </c>
      <c r="DB51" s="92"/>
      <c r="DC51" s="92"/>
      <c r="DD51" s="93"/>
      <c r="DE51" s="92"/>
      <c r="DF51" s="92"/>
      <c r="DG51" s="97" t="str">
        <f t="shared" si="12"/>
        <v/>
      </c>
      <c r="DH51" s="97" t="str">
        <f>IF($A51="","",IF(OR($CX51="REFER",$CX51="DECLINE"),COUNTIF($CX$5:$CX51,"REFER")+COUNTIF($CX$5:$CX51,"DECLINE"),""))</f>
        <v/>
      </c>
      <c r="DI51" s="92"/>
    </row>
    <row r="52" spans="1:113" x14ac:dyDescent="0.25">
      <c r="A52" s="92"/>
      <c r="B52" s="92"/>
      <c r="C52" s="93"/>
      <c r="D52" s="93"/>
      <c r="E52" s="94"/>
      <c r="F52" s="92"/>
      <c r="G52" s="92"/>
      <c r="H52" s="92"/>
      <c r="I52" s="92"/>
      <c r="J52" s="95"/>
      <c r="K52" s="92"/>
      <c r="L52" s="92"/>
      <c r="M52" s="92"/>
      <c r="N52" s="92"/>
      <c r="O52" s="92"/>
      <c r="P52" s="92"/>
      <c r="Q52" s="92"/>
      <c r="R52" s="92"/>
      <c r="S52" s="92"/>
      <c r="T52" s="92"/>
      <c r="U52" s="92"/>
      <c r="V52" s="92"/>
      <c r="W52" s="92"/>
      <c r="X52" s="92"/>
      <c r="Y52" s="92"/>
      <c r="Z52" s="92"/>
      <c r="AA52" s="92"/>
      <c r="AB52" s="92"/>
      <c r="AC52" s="92"/>
      <c r="AD52" s="92"/>
      <c r="AE52" s="92"/>
      <c r="AF52" s="92"/>
      <c r="AG52" s="92"/>
      <c r="AH52" s="92"/>
      <c r="AI52" s="92"/>
      <c r="AJ52" s="92"/>
      <c r="AK52" s="92"/>
      <c r="AL52" s="92"/>
      <c r="AM52" s="92"/>
      <c r="AN52" s="92"/>
      <c r="AO52" s="92"/>
      <c r="AP52" s="92"/>
      <c r="AQ52" s="96"/>
      <c r="AR52" s="97" t="str">
        <f t="shared" si="0"/>
        <v/>
      </c>
      <c r="AS52" s="97" t="str">
        <f>IF($A52="","",IF($AP52&lt;&gt;"",$AP52,IFERROR(INDEX('Cat Zone by ZIP'!$D$6:$D$856,MATCH($AR52,'Cat Zone by ZIP'!$B$6:$B$856,0)),IFERROR(INDEX('Cat Zone by ZIP'!$C$860:$C$910,MATCH($K52,'Cat Zone by ZIP'!$B$860:$B$910,0)),"NOT FOUND"))))</f>
        <v/>
      </c>
      <c r="AT52" s="97" t="str">
        <f>IF($A52="","",IF($AP52&lt;&gt;"","Override",IF(ISNUMBER(MATCH($AR52,'Cat Zone by ZIP'!$B$6:$B$856,0)),"ZIP-3","State default")))</f>
        <v/>
      </c>
      <c r="AU52" s="98" t="str">
        <f>IF($A52="","",IFERROR(INDEX('Natural Catastrophe'!$D$6:$D$17,MATCH($AS52,'Natural Catastrophe'!$B$6:$B$17,0)),"?"))</f>
        <v/>
      </c>
      <c r="AV52" s="98" t="str">
        <f>IF($A52="","",IFERROR(INDEX('Natural Catastrophe'!$C$21:$C$26,MATCH($AA52,'Natural Catastrophe'!$B$21:$B$26,0)),"?"))</f>
        <v/>
      </c>
      <c r="AW52" s="97" t="str">
        <f>IF($A52="","",IFERROR(INDEX('Base Rates'!$C$4:$I$4,MATCH(MAX($J52,'Technical Premium'!$C$18),'Base Rates'!$C$3:$I$3,1)),"?"))</f>
        <v/>
      </c>
      <c r="AX52" s="99" t="str">
        <f>IF($A52="","",IFERROR(INDEX('Base Rates'!$C$5:$I$16,MATCH($I52,'Base Rates'!$B$5:$B$16,0),MATCH(MAX($J52,'Technical Premium'!$C$18),'Base Rates'!$C$3:$I$3,1)),"?"))</f>
        <v/>
      </c>
      <c r="AY52" s="100" t="str">
        <f t="shared" si="1"/>
        <v/>
      </c>
      <c r="AZ52" s="97" t="str">
        <f>IF($A52="","",IFERROR(INDEX('Make Factors'!$G$5:$G$69,MATCH($F52,'Make Factors'!$B$5:$B$69,0)),"?"))</f>
        <v/>
      </c>
      <c r="BA52" s="97" t="str">
        <f>IF($A52="","",IFERROR(INDEX('Driver Factors'!$C$6:$C$15,MATCH($R52,'Driver Factors'!$B$6:$B$15,0)),"?"))</f>
        <v/>
      </c>
      <c r="BB52" s="97" t="str">
        <f>IF($A52="","",IFERROR(INDEX('Driver Factors'!$C$19:$C$24,MATCH($S52,'Driver Factors'!$B$19:$B$24,0)),"?"))</f>
        <v/>
      </c>
      <c r="BC52" s="97" t="str">
        <f>IF($A52="","",IFERROR(INDEX('Driver Factors'!$C$28:$C$36,MATCH($T52,'Driver Factors'!$B$28:$B$36,0)),"?"))</f>
        <v/>
      </c>
      <c r="BD52" s="97" t="str">
        <f>IF($A52="","",IFERROR(INDEX('Claims History'!$C$6:$C$15,MATCH($U52,'Claims History'!$B$6:$B$15,0)),"?"))</f>
        <v/>
      </c>
      <c r="BE52" s="97" t="str">
        <f>IF($A52="","",IFERROR(INDEX('Territory Factors'!$E$6:$E$56,MATCH($K52,'Territory Factors'!$B$6:$B$56,0)),"?"))</f>
        <v/>
      </c>
      <c r="BF52" s="97" t="str">
        <f>IF($A52="","",IFERROR(INDEX('City Accident Ratings'!$G$6:$G$54,MATCH($Z52,'City Accident Ratings'!$B$6:$B$54,0)),"?"))</f>
        <v/>
      </c>
      <c r="BG52" s="97" t="str">
        <f>IF($A52="","",IFERROR(INDEX('Usage and Coverage'!$D$6:$D$20,MATCH($N52,'Usage and Coverage'!$C$6:$C$20,0)),"?"))</f>
        <v/>
      </c>
      <c r="BH52" s="97" t="str">
        <f>IF($A52="","",IFERROR(INDEX('Usage and Coverage'!$C$24:$C$30,MATCH($O52,'Usage and Coverage'!$B$24:$B$30,0)),"?"))</f>
        <v/>
      </c>
      <c r="BI52" s="97" t="str">
        <f>IF($A52="","",IFERROR(INDEX('Usage and Coverage'!$C$34:$C$40,MATCH($P52,'Usage and Coverage'!$B$34:$B$40,0)),"?"))</f>
        <v/>
      </c>
      <c r="BJ52" s="97" t="str">
        <f>IF($A52="","",IFERROR(INDEX('Usage and Coverage'!$C$44:$C$49,MATCH($Q52,'Usage and Coverage'!$B$44:$B$49,0)),"?"))</f>
        <v/>
      </c>
      <c r="BK52" s="97" t="str">
        <f>IF($A52="","",IFERROR(INDEX(Deductibles!$C$6:$I$15,MATCH($W52,Deductibles!$B$6:$B$15,0),MATCH(MAX($J52,'Technical Premium'!$C$18),'Base Rates'!$C$3:$I$3,1)),"?"))</f>
        <v/>
      </c>
      <c r="BL52" s="97" t="str">
        <f>IF($A52="","",IFERROR(INDEX('Usage and Coverage'!$C$63:$C$66,MATCH($X52,'Usage and Coverage'!$B$63:$B$66,0)),"?"))</f>
        <v/>
      </c>
      <c r="BM52" s="97" t="str">
        <f>IF($A52="","",IFERROR(INDEX('Usage and Coverage'!$C$70:$C$75,MATCH($V52,'Usage and Coverage'!$B$70:$B$75,0)),"?"))</f>
        <v/>
      </c>
      <c r="BN52" s="97" t="str">
        <f>IF($A52="","",IF($AB52="",1,IFERROR(INDEX(Deductibles!$C$48:$C$51,MATCH($AB52,Deductibles!$B$48:$B$51,0)),"?")))</f>
        <v/>
      </c>
      <c r="BO52" s="97" t="str">
        <f>IF($A52="","",IF($AC52="",1,IFERROR(INDEX(Deductibles!$C$55:$C$57,MATCH($AC52,Deductibles!$B$55:$B$57,0)),"?")))</f>
        <v/>
      </c>
      <c r="BP52" s="97" t="str">
        <f>IF($A52="","",IF($AD52="",1,IFERROR(INDEX(Deductibles!$C$61:$C$63,MATCH($AD52,Deductibles!$B$61:$B$63,0)),"?")))</f>
        <v/>
      </c>
      <c r="BQ52" s="97" t="str">
        <f>IF($A52="","",IF($AE52="",1,IFERROR(INDEX(Deductibles!$C$67:$C$69,MATCH($AE52,Deductibles!$B$67:$B$69,0)),"?")))</f>
        <v/>
      </c>
      <c r="BR52" s="97" t="str">
        <f>IF($A52="","",IF($AF52="",1,IFERROR(INDEX(Deductibles!$C$73:$C$74,MATCH($AF52,Deductibles!$B$73:$B$74,0)),"?")))</f>
        <v/>
      </c>
      <c r="BS52" s="97" t="str">
        <f>IF($A52="","",IF($AG52="",1,IFERROR(INDEX('Sublimits and Parts'!$C$49:$C$52,MATCH($AG52,'Sublimits and Parts'!$B$49:$B$52,0)),"?")))</f>
        <v/>
      </c>
      <c r="BT52" s="97" t="str">
        <f>IF($A52="","",IF($AH52="",1,IFERROR(INDEX('Sublimits and Parts'!$C$56:$C$60,MATCH($AH52,'Sublimits and Parts'!$B$56:$B$60,0)),"?")))</f>
        <v/>
      </c>
      <c r="BU52" s="97" t="str">
        <f>IF($A52="","",IF($AI52="",1,IFERROR(INDEX('Sublimits and Parts'!$C$64:$C$67,MATCH($AI52,'Sublimits and Parts'!$B$64:$B$67,0)),"?")))</f>
        <v/>
      </c>
      <c r="BV52" s="97" t="str">
        <f>IF($A52="","",IF($AJ52="",1,IFERROR(INDEX('Sublimits and Parts'!$C$71:$C$74,MATCH($AJ52,'Sublimits and Parts'!$B$71:$B$74,0)),"?")))</f>
        <v/>
      </c>
      <c r="BW52" s="97" t="str">
        <f>IF($A52="","",IF($AK52="",1,IFERROR(INDEX('Sublimits and Parts'!$C$78:$C$80,MATCH($AK52,'Sublimits and Parts'!$B$78:$B$80,0)),"?")))</f>
        <v/>
      </c>
      <c r="BX52" s="97" t="str">
        <f>IF($A52="","",IF($AL52="",1,IFERROR(INDEX('Sublimits and Parts'!$C$84:$C$87,MATCH($AL52,'Sublimits and Parts'!$B$84:$B$87,0)),"?")))</f>
        <v/>
      </c>
      <c r="BY52" s="97" t="str">
        <f>IF($A52="","",IF($AM52="",1,IFERROR(INDEX('Sublimits and Parts'!$C$91:$C$94,MATCH($AM52,'Sublimits and Parts'!$B$91:$B$94,0)),"?")))</f>
        <v/>
      </c>
      <c r="BZ52" s="97" t="str">
        <f>IF($A52="","",IF($AN52="",1,IFERROR(INDEX('Sublimits and Parts'!$C$98:$C$101,MATCH($AN52,'Sublimits and Parts'!$B$98:$B$101,0)),"?")))</f>
        <v/>
      </c>
      <c r="CA52" s="97" t="str">
        <f>IF($A52="","",IF($AO52="",1,IFERROR(INDEX('Sublimits and Parts'!$C$105:$C$109,MATCH($AO52,'Sublimits and Parts'!$B$105:$B$109,0)),"?")))</f>
        <v/>
      </c>
      <c r="CB52" s="98" t="str">
        <f t="shared" si="2"/>
        <v/>
      </c>
      <c r="CC52" s="98" t="str">
        <f t="shared" si="3"/>
        <v/>
      </c>
      <c r="CD52" s="101" t="str">
        <f>IF($A52="","",IF(OR($CB52="?",$CC52="?"),"?",MIN($CB52*$CC52,'Technical Premium'!$C$17)))</f>
        <v/>
      </c>
      <c r="CE52" s="100" t="str">
        <f t="shared" si="4"/>
        <v/>
      </c>
      <c r="CF52" s="100" t="str">
        <f>IF($A52="","",IFERROR(INDEX('Territory Factors'!$F$6:$F$56,MATCH($K52,'Territory Factors'!$B$6:$B$56,0)),"?"))</f>
        <v/>
      </c>
      <c r="CG52" s="98" t="str">
        <f>IF($A52="","",IFERROR(INDEX('Usage and Coverage'!$C$79:$C$84,MATCH($Y52,'Usage and Coverage'!$B$79:$B$84,0)),"?"))</f>
        <v/>
      </c>
      <c r="CH52" s="100" t="str">
        <f>IFERROR(IF(ISNUMBER($CD52),$CF52*$CG52*MIN($BG52*$BA52*$BC52*$BD52*$BH52*$BF52,'Technical Premium'!$C$17),""),"")</f>
        <v/>
      </c>
      <c r="CI52" s="100" t="str">
        <f t="shared" si="5"/>
        <v/>
      </c>
      <c r="CJ52" s="100" t="str">
        <f>IFERROR($CI52*(1+'Technical Premium'!$C$5)*(1+'Technical Premium'!$C$6),"")</f>
        <v/>
      </c>
      <c r="CK52" s="100" t="str">
        <f>IFERROR($CE52*INDEX('Territory Factors'!$G$6:$G$56,MATCH($K52,'Territory Factors'!$B$6:$B$56,0))*$AU52*$AV52,"")</f>
        <v/>
      </c>
      <c r="CL52" s="100" t="str">
        <f>IFERROR(($CJ52+$CK52)*(1+'Technical Premium'!$C$7),"")</f>
        <v/>
      </c>
      <c r="CM52" s="102" t="str">
        <f>IFERROR($CL52/'Technical Premium'!$C$13,"")</f>
        <v/>
      </c>
      <c r="CN52" s="103" t="str">
        <f t="shared" si="6"/>
        <v/>
      </c>
      <c r="CO52" s="102" t="str">
        <f t="shared" si="7"/>
        <v/>
      </c>
      <c r="CP52" s="103" t="str">
        <f t="shared" si="8"/>
        <v/>
      </c>
      <c r="CQ52" s="104" t="str">
        <f t="shared" si="9"/>
        <v/>
      </c>
      <c r="CR52" s="100" t="str">
        <f>IF(ISNUMBER($CM52),'Technical Premium'!$C$14+IF($J52&gt;=1000000,'Technical Premium'!$C$15,0),"")</f>
        <v/>
      </c>
      <c r="CS52" s="100" t="str">
        <f>IFERROR(($CO52+$CR52)*(INDEX('Territory Factors'!$K$6:$K$56,MATCH($K52,'Territory Factors'!$B$6:$B$56,0))+'Commission Structure'!$C$21),"")</f>
        <v/>
      </c>
      <c r="CT52" s="102" t="str">
        <f t="shared" si="10"/>
        <v/>
      </c>
      <c r="CU52" s="100" t="str">
        <f>IFERROR($CO52*('Commission Structure'!$C$6+'Commission Structure'!$C$7),"")</f>
        <v/>
      </c>
      <c r="CV52" s="100" t="str">
        <f>IFERROR($CO52*'Commission Structure'!$C$5-$CU52,"")</f>
        <v/>
      </c>
      <c r="CW52" s="100" t="str">
        <f>IFERROR($CO52*(1-'Commission Structure'!$C$5),"")</f>
        <v/>
      </c>
      <c r="CX52" s="105" t="str">
        <f>IF($A52="","",IF(OR($CB52="?",$CC52="?",NOT(ISNUMBER($AU52))),"CHECK INPUTS",IF(OR($J52&lt;'Technical Premium'!$C$18,LEFT(IFERROR(INDEX('Driver Factors'!$D$6:$D$15,MATCH($R52,'Driver Factors'!$B$6:$B$15,0)),""),7)="DECLINE",LEFT(IFERROR(INDEX('Driver Factors'!$D$28:$D$36,MATCH($T52,'Driver Factors'!$B$28:$B$36,0)),""),7)="DECLINE",LEFT(IFERROR(INDEX('Claims History'!$D$6:$D$15,MATCH($U52,'Claims History'!$B$6:$B$15,0)),""),7)="DECLINE",LEFT(IFERROR(INDEX('Usage and Coverage'!$E$6:$E$20,MATCH($N52,'Usage and Coverage'!$C$6:$C$20,0)),""),7)="DECLINE"),"DECLINE",IF(OR($CD52&gt;2.5,$CD52&gt;='Technical Premium'!$C$17,$J52&gt;='Technical Premium'!$C$16,N($AQ52)&lt;'Technical Premium'!$C$19,N($AQ52)&gt;'Technical Premium'!$C$20,LEFT(IFERROR(INDEX('Driver Factors'!$D$6:$D$15,MATCH($R52,'Driver Factors'!$B$6:$B$15,0)),""),5)="Refer",LEFT(IFERROR(INDEX('Driver Factors'!$D$28:$D$36,MATCH($T52,'Driver Factors'!$B$28:$B$36,0)),""),5)="Refer",LEFT(IFERROR(INDEX('Claims History'!$D$6:$D$15,MATCH($U52,'Claims History'!$B$6:$B$15,0)),""),5)="Refer",LEFT(IFERROR(INDEX('Usage and Coverage'!$E$6:$E$20,MATCH($N52,'Usage and Coverage'!$C$6:$C$20,0)),""),5)="Refer"),"REFER","AUTO-BIND"))))</f>
        <v/>
      </c>
      <c r="CY52" s="106" t="str">
        <f t="shared" si="11"/>
        <v/>
      </c>
      <c r="CZ52" s="97" t="str">
        <f>IF($CY52="","",IF($CY52&lt;'Technical Premium'!$C$19,"BEYOND AUTHORITY",IF($CY52&gt;0.005,"Above technical",IF($CY52&lt;-0.005,"BELOW technical","At technical"))))</f>
        <v/>
      </c>
      <c r="DA52" s="97" t="str">
        <f>IF($A52="","",IF($CX52="AUTO-BIND","",TRIM(IF($J52&lt;'Technical Premium'!$C$18,"Below programme minimum agreed value. ","")&amp;IF(N($AQ52)&lt;'Technical Premium'!$C$19,"DISCOUNT AUTHORITY BREACH. ","")&amp;IF(N($AQ52)&gt;'Technical Premium'!$C$20,"Load authority breach. ","")&amp;IF($J52&gt;='Technical Premium'!$C$16,"Agreed value at or above auto-bind limit. ","")&amp;IF(AND(ISNUMBER($CD52),$CD52&gt;='Technical Premium'!$C$17),"Composite factor at cap. ","")&amp;IF(AND(ISNUMBER($CD52),$CD52&gt;2.5),"Composite factor above 2.50. ","")&amp;IF(LEFT(IFERROR(INDEX('Driver Factors'!$D$6:$D$15,MATCH($R52,'Driver Factors'!$B$6:$B$15,0)),""),7)="DECLINE","DECLINE - driver age. ",IF(LEFT(IFERROR(INDEX('Driver Factors'!$D$6:$D$15,MATCH($R52,'Driver Factors'!$B$6:$B$15,0)),""),5)="Refer","Driver age band. ",""))&amp;IF(LEFT(IFERROR(INDEX('Driver Factors'!$D$28:$D$36,MATCH($T52,'Driver Factors'!$B$28:$B$36,0)),""),7)="DECLINE","DECLINE - MVR. ",IF(LEFT(IFERROR(INDEX('Driver Factors'!$D$28:$D$36,MATCH($T52,'Driver Factors'!$B$28:$B$36,0)),""),5)="Refer","MVR record. ",""))&amp;IF(LEFT(IFERROR(INDEX('Claims History'!$D$6:$D$15,MATCH($U52,'Claims History'!$B$6:$B$15,0)),""),7)="DECLINE","DECLINE - claims. ",IF(LEFT(IFERROR(INDEX('Claims History'!$D$6:$D$15,MATCH($U52,'Claims History'!$B$6:$B$15,0)),""),5)="Refer","Claims history. ",""))&amp;IF(LEFT(IFERROR(INDEX('Usage and Coverage'!$E$6:$E$20,MATCH($N52,'Usage and Coverage'!$C$6:$C$20,0)),""),7)="DECLINE","DECLINE - usage class. ",IF(LEFT(IFERROR(INDEX('Usage and Coverage'!$E$6:$E$20,MATCH($N52,'Usage and Coverage'!$C$6:$C$20,0)),""),5)="Refer","Usage class. ",""))&amp;IF($CX52="CHECK INPUTS","Incomplete inputs. ",""))))</f>
        <v/>
      </c>
      <c r="DB52" s="92"/>
      <c r="DC52" s="92"/>
      <c r="DD52" s="93"/>
      <c r="DE52" s="92"/>
      <c r="DF52" s="92"/>
      <c r="DG52" s="97" t="str">
        <f t="shared" si="12"/>
        <v/>
      </c>
      <c r="DH52" s="97" t="str">
        <f>IF($A52="","",IF(OR($CX52="REFER",$CX52="DECLINE"),COUNTIF($CX$5:$CX52,"REFER")+COUNTIF($CX$5:$CX52,"DECLINE"),""))</f>
        <v/>
      </c>
      <c r="DI52" s="92"/>
    </row>
    <row r="53" spans="1:113" x14ac:dyDescent="0.25">
      <c r="A53" s="92"/>
      <c r="B53" s="92"/>
      <c r="C53" s="93"/>
      <c r="D53" s="93"/>
      <c r="E53" s="94"/>
      <c r="F53" s="92"/>
      <c r="G53" s="92"/>
      <c r="H53" s="92"/>
      <c r="I53" s="92"/>
      <c r="J53" s="95"/>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6"/>
      <c r="AR53" s="97" t="str">
        <f t="shared" si="0"/>
        <v/>
      </c>
      <c r="AS53" s="97" t="str">
        <f>IF($A53="","",IF($AP53&lt;&gt;"",$AP53,IFERROR(INDEX('Cat Zone by ZIP'!$D$6:$D$856,MATCH($AR53,'Cat Zone by ZIP'!$B$6:$B$856,0)),IFERROR(INDEX('Cat Zone by ZIP'!$C$860:$C$910,MATCH($K53,'Cat Zone by ZIP'!$B$860:$B$910,0)),"NOT FOUND"))))</f>
        <v/>
      </c>
      <c r="AT53" s="97" t="str">
        <f>IF($A53="","",IF($AP53&lt;&gt;"","Override",IF(ISNUMBER(MATCH($AR53,'Cat Zone by ZIP'!$B$6:$B$856,0)),"ZIP-3","State default")))</f>
        <v/>
      </c>
      <c r="AU53" s="98" t="str">
        <f>IF($A53="","",IFERROR(INDEX('Natural Catastrophe'!$D$6:$D$17,MATCH($AS53,'Natural Catastrophe'!$B$6:$B$17,0)),"?"))</f>
        <v/>
      </c>
      <c r="AV53" s="98" t="str">
        <f>IF($A53="","",IFERROR(INDEX('Natural Catastrophe'!$C$21:$C$26,MATCH($AA53,'Natural Catastrophe'!$B$21:$B$26,0)),"?"))</f>
        <v/>
      </c>
      <c r="AW53" s="97" t="str">
        <f>IF($A53="","",IFERROR(INDEX('Base Rates'!$C$4:$I$4,MATCH(MAX($J53,'Technical Premium'!$C$18),'Base Rates'!$C$3:$I$3,1)),"?"))</f>
        <v/>
      </c>
      <c r="AX53" s="99" t="str">
        <f>IF($A53="","",IFERROR(INDEX('Base Rates'!$C$5:$I$16,MATCH($I53,'Base Rates'!$B$5:$B$16,0),MATCH(MAX($J53,'Technical Premium'!$C$18),'Base Rates'!$C$3:$I$3,1)),"?"))</f>
        <v/>
      </c>
      <c r="AY53" s="100" t="str">
        <f t="shared" si="1"/>
        <v/>
      </c>
      <c r="AZ53" s="97" t="str">
        <f>IF($A53="","",IFERROR(INDEX('Make Factors'!$G$5:$G$69,MATCH($F53,'Make Factors'!$B$5:$B$69,0)),"?"))</f>
        <v/>
      </c>
      <c r="BA53" s="97" t="str">
        <f>IF($A53="","",IFERROR(INDEX('Driver Factors'!$C$6:$C$15,MATCH($R53,'Driver Factors'!$B$6:$B$15,0)),"?"))</f>
        <v/>
      </c>
      <c r="BB53" s="97" t="str">
        <f>IF($A53="","",IFERROR(INDEX('Driver Factors'!$C$19:$C$24,MATCH($S53,'Driver Factors'!$B$19:$B$24,0)),"?"))</f>
        <v/>
      </c>
      <c r="BC53" s="97" t="str">
        <f>IF($A53="","",IFERROR(INDEX('Driver Factors'!$C$28:$C$36,MATCH($T53,'Driver Factors'!$B$28:$B$36,0)),"?"))</f>
        <v/>
      </c>
      <c r="BD53" s="97" t="str">
        <f>IF($A53="","",IFERROR(INDEX('Claims History'!$C$6:$C$15,MATCH($U53,'Claims History'!$B$6:$B$15,0)),"?"))</f>
        <v/>
      </c>
      <c r="BE53" s="97" t="str">
        <f>IF($A53="","",IFERROR(INDEX('Territory Factors'!$E$6:$E$56,MATCH($K53,'Territory Factors'!$B$6:$B$56,0)),"?"))</f>
        <v/>
      </c>
      <c r="BF53" s="97" t="str">
        <f>IF($A53="","",IFERROR(INDEX('City Accident Ratings'!$G$6:$G$54,MATCH($Z53,'City Accident Ratings'!$B$6:$B$54,0)),"?"))</f>
        <v/>
      </c>
      <c r="BG53" s="97" t="str">
        <f>IF($A53="","",IFERROR(INDEX('Usage and Coverage'!$D$6:$D$20,MATCH($N53,'Usage and Coverage'!$C$6:$C$20,0)),"?"))</f>
        <v/>
      </c>
      <c r="BH53" s="97" t="str">
        <f>IF($A53="","",IFERROR(INDEX('Usage and Coverage'!$C$24:$C$30,MATCH($O53,'Usage and Coverage'!$B$24:$B$30,0)),"?"))</f>
        <v/>
      </c>
      <c r="BI53" s="97" t="str">
        <f>IF($A53="","",IFERROR(INDEX('Usage and Coverage'!$C$34:$C$40,MATCH($P53,'Usage and Coverage'!$B$34:$B$40,0)),"?"))</f>
        <v/>
      </c>
      <c r="BJ53" s="97" t="str">
        <f>IF($A53="","",IFERROR(INDEX('Usage and Coverage'!$C$44:$C$49,MATCH($Q53,'Usage and Coverage'!$B$44:$B$49,0)),"?"))</f>
        <v/>
      </c>
      <c r="BK53" s="97" t="str">
        <f>IF($A53="","",IFERROR(INDEX(Deductibles!$C$6:$I$15,MATCH($W53,Deductibles!$B$6:$B$15,0),MATCH(MAX($J53,'Technical Premium'!$C$18),'Base Rates'!$C$3:$I$3,1)),"?"))</f>
        <v/>
      </c>
      <c r="BL53" s="97" t="str">
        <f>IF($A53="","",IFERROR(INDEX('Usage and Coverage'!$C$63:$C$66,MATCH($X53,'Usage and Coverage'!$B$63:$B$66,0)),"?"))</f>
        <v/>
      </c>
      <c r="BM53" s="97" t="str">
        <f>IF($A53="","",IFERROR(INDEX('Usage and Coverage'!$C$70:$C$75,MATCH($V53,'Usage and Coverage'!$B$70:$B$75,0)),"?"))</f>
        <v/>
      </c>
      <c r="BN53" s="97" t="str">
        <f>IF($A53="","",IF($AB53="",1,IFERROR(INDEX(Deductibles!$C$48:$C$51,MATCH($AB53,Deductibles!$B$48:$B$51,0)),"?")))</f>
        <v/>
      </c>
      <c r="BO53" s="97" t="str">
        <f>IF($A53="","",IF($AC53="",1,IFERROR(INDEX(Deductibles!$C$55:$C$57,MATCH($AC53,Deductibles!$B$55:$B$57,0)),"?")))</f>
        <v/>
      </c>
      <c r="BP53" s="97" t="str">
        <f>IF($A53="","",IF($AD53="",1,IFERROR(INDEX(Deductibles!$C$61:$C$63,MATCH($AD53,Deductibles!$B$61:$B$63,0)),"?")))</f>
        <v/>
      </c>
      <c r="BQ53" s="97" t="str">
        <f>IF($A53="","",IF($AE53="",1,IFERROR(INDEX(Deductibles!$C$67:$C$69,MATCH($AE53,Deductibles!$B$67:$B$69,0)),"?")))</f>
        <v/>
      </c>
      <c r="BR53" s="97" t="str">
        <f>IF($A53="","",IF($AF53="",1,IFERROR(INDEX(Deductibles!$C$73:$C$74,MATCH($AF53,Deductibles!$B$73:$B$74,0)),"?")))</f>
        <v/>
      </c>
      <c r="BS53" s="97" t="str">
        <f>IF($A53="","",IF($AG53="",1,IFERROR(INDEX('Sublimits and Parts'!$C$49:$C$52,MATCH($AG53,'Sublimits and Parts'!$B$49:$B$52,0)),"?")))</f>
        <v/>
      </c>
      <c r="BT53" s="97" t="str">
        <f>IF($A53="","",IF($AH53="",1,IFERROR(INDEX('Sublimits and Parts'!$C$56:$C$60,MATCH($AH53,'Sublimits and Parts'!$B$56:$B$60,0)),"?")))</f>
        <v/>
      </c>
      <c r="BU53" s="97" t="str">
        <f>IF($A53="","",IF($AI53="",1,IFERROR(INDEX('Sublimits and Parts'!$C$64:$C$67,MATCH($AI53,'Sublimits and Parts'!$B$64:$B$67,0)),"?")))</f>
        <v/>
      </c>
      <c r="BV53" s="97" t="str">
        <f>IF($A53="","",IF($AJ53="",1,IFERROR(INDEX('Sublimits and Parts'!$C$71:$C$74,MATCH($AJ53,'Sublimits and Parts'!$B$71:$B$74,0)),"?")))</f>
        <v/>
      </c>
      <c r="BW53" s="97" t="str">
        <f>IF($A53="","",IF($AK53="",1,IFERROR(INDEX('Sublimits and Parts'!$C$78:$C$80,MATCH($AK53,'Sublimits and Parts'!$B$78:$B$80,0)),"?")))</f>
        <v/>
      </c>
      <c r="BX53" s="97" t="str">
        <f>IF($A53="","",IF($AL53="",1,IFERROR(INDEX('Sublimits and Parts'!$C$84:$C$87,MATCH($AL53,'Sublimits and Parts'!$B$84:$B$87,0)),"?")))</f>
        <v/>
      </c>
      <c r="BY53" s="97" t="str">
        <f>IF($A53="","",IF($AM53="",1,IFERROR(INDEX('Sublimits and Parts'!$C$91:$C$94,MATCH($AM53,'Sublimits and Parts'!$B$91:$B$94,0)),"?")))</f>
        <v/>
      </c>
      <c r="BZ53" s="97" t="str">
        <f>IF($A53="","",IF($AN53="",1,IFERROR(INDEX('Sublimits and Parts'!$C$98:$C$101,MATCH($AN53,'Sublimits and Parts'!$B$98:$B$101,0)),"?")))</f>
        <v/>
      </c>
      <c r="CA53" s="97" t="str">
        <f>IF($A53="","",IF($AO53="",1,IFERROR(INDEX('Sublimits and Parts'!$C$105:$C$109,MATCH($AO53,'Sublimits and Parts'!$B$105:$B$109,0)),"?")))</f>
        <v/>
      </c>
      <c r="CB53" s="98" t="str">
        <f t="shared" si="2"/>
        <v/>
      </c>
      <c r="CC53" s="98" t="str">
        <f t="shared" si="3"/>
        <v/>
      </c>
      <c r="CD53" s="101" t="str">
        <f>IF($A53="","",IF(OR($CB53="?",$CC53="?"),"?",MIN($CB53*$CC53,'Technical Premium'!$C$17)))</f>
        <v/>
      </c>
      <c r="CE53" s="100" t="str">
        <f t="shared" si="4"/>
        <v/>
      </c>
      <c r="CF53" s="100" t="str">
        <f>IF($A53="","",IFERROR(INDEX('Territory Factors'!$F$6:$F$56,MATCH($K53,'Territory Factors'!$B$6:$B$56,0)),"?"))</f>
        <v/>
      </c>
      <c r="CG53" s="98" t="str">
        <f>IF($A53="","",IFERROR(INDEX('Usage and Coverage'!$C$79:$C$84,MATCH($Y53,'Usage and Coverage'!$B$79:$B$84,0)),"?"))</f>
        <v/>
      </c>
      <c r="CH53" s="100" t="str">
        <f>IFERROR(IF(ISNUMBER($CD53),$CF53*$CG53*MIN($BG53*$BA53*$BC53*$BD53*$BH53*$BF53,'Technical Premium'!$C$17),""),"")</f>
        <v/>
      </c>
      <c r="CI53" s="100" t="str">
        <f t="shared" si="5"/>
        <v/>
      </c>
      <c r="CJ53" s="100" t="str">
        <f>IFERROR($CI53*(1+'Technical Premium'!$C$5)*(1+'Technical Premium'!$C$6),"")</f>
        <v/>
      </c>
      <c r="CK53" s="100" t="str">
        <f>IFERROR($CE53*INDEX('Territory Factors'!$G$6:$G$56,MATCH($K53,'Territory Factors'!$B$6:$B$56,0))*$AU53*$AV53,"")</f>
        <v/>
      </c>
      <c r="CL53" s="100" t="str">
        <f>IFERROR(($CJ53+$CK53)*(1+'Technical Premium'!$C$7),"")</f>
        <v/>
      </c>
      <c r="CM53" s="102" t="str">
        <f>IFERROR($CL53/'Technical Premium'!$C$13,"")</f>
        <v/>
      </c>
      <c r="CN53" s="103" t="str">
        <f t="shared" si="6"/>
        <v/>
      </c>
      <c r="CO53" s="102" t="str">
        <f t="shared" si="7"/>
        <v/>
      </c>
      <c r="CP53" s="103" t="str">
        <f t="shared" si="8"/>
        <v/>
      </c>
      <c r="CQ53" s="104" t="str">
        <f t="shared" si="9"/>
        <v/>
      </c>
      <c r="CR53" s="100" t="str">
        <f>IF(ISNUMBER($CM53),'Technical Premium'!$C$14+IF($J53&gt;=1000000,'Technical Premium'!$C$15,0),"")</f>
        <v/>
      </c>
      <c r="CS53" s="100" t="str">
        <f>IFERROR(($CO53+$CR53)*(INDEX('Territory Factors'!$K$6:$K$56,MATCH($K53,'Territory Factors'!$B$6:$B$56,0))+'Commission Structure'!$C$21),"")</f>
        <v/>
      </c>
      <c r="CT53" s="102" t="str">
        <f t="shared" si="10"/>
        <v/>
      </c>
      <c r="CU53" s="100" t="str">
        <f>IFERROR($CO53*('Commission Structure'!$C$6+'Commission Structure'!$C$7),"")</f>
        <v/>
      </c>
      <c r="CV53" s="100" t="str">
        <f>IFERROR($CO53*'Commission Structure'!$C$5-$CU53,"")</f>
        <v/>
      </c>
      <c r="CW53" s="100" t="str">
        <f>IFERROR($CO53*(1-'Commission Structure'!$C$5),"")</f>
        <v/>
      </c>
      <c r="CX53" s="105" t="str">
        <f>IF($A53="","",IF(OR($CB53="?",$CC53="?",NOT(ISNUMBER($AU53))),"CHECK INPUTS",IF(OR($J53&lt;'Technical Premium'!$C$18,LEFT(IFERROR(INDEX('Driver Factors'!$D$6:$D$15,MATCH($R53,'Driver Factors'!$B$6:$B$15,0)),""),7)="DECLINE",LEFT(IFERROR(INDEX('Driver Factors'!$D$28:$D$36,MATCH($T53,'Driver Factors'!$B$28:$B$36,0)),""),7)="DECLINE",LEFT(IFERROR(INDEX('Claims History'!$D$6:$D$15,MATCH($U53,'Claims History'!$B$6:$B$15,0)),""),7)="DECLINE",LEFT(IFERROR(INDEX('Usage and Coverage'!$E$6:$E$20,MATCH($N53,'Usage and Coverage'!$C$6:$C$20,0)),""),7)="DECLINE"),"DECLINE",IF(OR($CD53&gt;2.5,$CD53&gt;='Technical Premium'!$C$17,$J53&gt;='Technical Premium'!$C$16,N($AQ53)&lt;'Technical Premium'!$C$19,N($AQ53)&gt;'Technical Premium'!$C$20,LEFT(IFERROR(INDEX('Driver Factors'!$D$6:$D$15,MATCH($R53,'Driver Factors'!$B$6:$B$15,0)),""),5)="Refer",LEFT(IFERROR(INDEX('Driver Factors'!$D$28:$D$36,MATCH($T53,'Driver Factors'!$B$28:$B$36,0)),""),5)="Refer",LEFT(IFERROR(INDEX('Claims History'!$D$6:$D$15,MATCH($U53,'Claims History'!$B$6:$B$15,0)),""),5)="Refer",LEFT(IFERROR(INDEX('Usage and Coverage'!$E$6:$E$20,MATCH($N53,'Usage and Coverage'!$C$6:$C$20,0)),""),5)="Refer"),"REFER","AUTO-BIND"))))</f>
        <v/>
      </c>
      <c r="CY53" s="106" t="str">
        <f t="shared" si="11"/>
        <v/>
      </c>
      <c r="CZ53" s="97" t="str">
        <f>IF($CY53="","",IF($CY53&lt;'Technical Premium'!$C$19,"BEYOND AUTHORITY",IF($CY53&gt;0.005,"Above technical",IF($CY53&lt;-0.005,"BELOW technical","At technical"))))</f>
        <v/>
      </c>
      <c r="DA53" s="97" t="str">
        <f>IF($A53="","",IF($CX53="AUTO-BIND","",TRIM(IF($J53&lt;'Technical Premium'!$C$18,"Below programme minimum agreed value. ","")&amp;IF(N($AQ53)&lt;'Technical Premium'!$C$19,"DISCOUNT AUTHORITY BREACH. ","")&amp;IF(N($AQ53)&gt;'Technical Premium'!$C$20,"Load authority breach. ","")&amp;IF($J53&gt;='Technical Premium'!$C$16,"Agreed value at or above auto-bind limit. ","")&amp;IF(AND(ISNUMBER($CD53),$CD53&gt;='Technical Premium'!$C$17),"Composite factor at cap. ","")&amp;IF(AND(ISNUMBER($CD53),$CD53&gt;2.5),"Composite factor above 2.50. ","")&amp;IF(LEFT(IFERROR(INDEX('Driver Factors'!$D$6:$D$15,MATCH($R53,'Driver Factors'!$B$6:$B$15,0)),""),7)="DECLINE","DECLINE - driver age. ",IF(LEFT(IFERROR(INDEX('Driver Factors'!$D$6:$D$15,MATCH($R53,'Driver Factors'!$B$6:$B$15,0)),""),5)="Refer","Driver age band. ",""))&amp;IF(LEFT(IFERROR(INDEX('Driver Factors'!$D$28:$D$36,MATCH($T53,'Driver Factors'!$B$28:$B$36,0)),""),7)="DECLINE","DECLINE - MVR. ",IF(LEFT(IFERROR(INDEX('Driver Factors'!$D$28:$D$36,MATCH($T53,'Driver Factors'!$B$28:$B$36,0)),""),5)="Refer","MVR record. ",""))&amp;IF(LEFT(IFERROR(INDEX('Claims History'!$D$6:$D$15,MATCH($U53,'Claims History'!$B$6:$B$15,0)),""),7)="DECLINE","DECLINE - claims. ",IF(LEFT(IFERROR(INDEX('Claims History'!$D$6:$D$15,MATCH($U53,'Claims History'!$B$6:$B$15,0)),""),5)="Refer","Claims history. ",""))&amp;IF(LEFT(IFERROR(INDEX('Usage and Coverage'!$E$6:$E$20,MATCH($N53,'Usage and Coverage'!$C$6:$C$20,0)),""),7)="DECLINE","DECLINE - usage class. ",IF(LEFT(IFERROR(INDEX('Usage and Coverage'!$E$6:$E$20,MATCH($N53,'Usage and Coverage'!$C$6:$C$20,0)),""),5)="Refer","Usage class. ",""))&amp;IF($CX53="CHECK INPUTS","Incomplete inputs. ",""))))</f>
        <v/>
      </c>
      <c r="DB53" s="92"/>
      <c r="DC53" s="92"/>
      <c r="DD53" s="93"/>
      <c r="DE53" s="92"/>
      <c r="DF53" s="92"/>
      <c r="DG53" s="97" t="str">
        <f t="shared" si="12"/>
        <v/>
      </c>
      <c r="DH53" s="97" t="str">
        <f>IF($A53="","",IF(OR($CX53="REFER",$CX53="DECLINE"),COUNTIF($CX$5:$CX53,"REFER")+COUNTIF($CX$5:$CX53,"DECLINE"),""))</f>
        <v/>
      </c>
      <c r="DI53" s="92"/>
    </row>
    <row r="54" spans="1:113" x14ac:dyDescent="0.25">
      <c r="A54" s="92"/>
      <c r="B54" s="92"/>
      <c r="C54" s="93"/>
      <c r="D54" s="93"/>
      <c r="E54" s="94"/>
      <c r="F54" s="92"/>
      <c r="G54" s="92"/>
      <c r="H54" s="92"/>
      <c r="I54" s="92"/>
      <c r="J54" s="95"/>
      <c r="K54" s="92"/>
      <c r="L54" s="92"/>
      <c r="M54" s="92"/>
      <c r="N54" s="92"/>
      <c r="O54" s="92"/>
      <c r="P54" s="92"/>
      <c r="Q54" s="92"/>
      <c r="R54" s="92"/>
      <c r="S54" s="92"/>
      <c r="T54" s="92"/>
      <c r="U54" s="92"/>
      <c r="V54" s="92"/>
      <c r="W54" s="92"/>
      <c r="X54" s="92"/>
      <c r="Y54" s="92"/>
      <c r="Z54" s="92"/>
      <c r="AA54" s="92"/>
      <c r="AB54" s="92"/>
      <c r="AC54" s="92"/>
      <c r="AD54" s="92"/>
      <c r="AE54" s="92"/>
      <c r="AF54" s="92"/>
      <c r="AG54" s="92"/>
      <c r="AH54" s="92"/>
      <c r="AI54" s="92"/>
      <c r="AJ54" s="92"/>
      <c r="AK54" s="92"/>
      <c r="AL54" s="92"/>
      <c r="AM54" s="92"/>
      <c r="AN54" s="92"/>
      <c r="AO54" s="92"/>
      <c r="AP54" s="92"/>
      <c r="AQ54" s="96"/>
      <c r="AR54" s="97" t="str">
        <f t="shared" si="0"/>
        <v/>
      </c>
      <c r="AS54" s="97" t="str">
        <f>IF($A54="","",IF($AP54&lt;&gt;"",$AP54,IFERROR(INDEX('Cat Zone by ZIP'!$D$6:$D$856,MATCH($AR54,'Cat Zone by ZIP'!$B$6:$B$856,0)),IFERROR(INDEX('Cat Zone by ZIP'!$C$860:$C$910,MATCH($K54,'Cat Zone by ZIP'!$B$860:$B$910,0)),"NOT FOUND"))))</f>
        <v/>
      </c>
      <c r="AT54" s="97" t="str">
        <f>IF($A54="","",IF($AP54&lt;&gt;"","Override",IF(ISNUMBER(MATCH($AR54,'Cat Zone by ZIP'!$B$6:$B$856,0)),"ZIP-3","State default")))</f>
        <v/>
      </c>
      <c r="AU54" s="98" t="str">
        <f>IF($A54="","",IFERROR(INDEX('Natural Catastrophe'!$D$6:$D$17,MATCH($AS54,'Natural Catastrophe'!$B$6:$B$17,0)),"?"))</f>
        <v/>
      </c>
      <c r="AV54" s="98" t="str">
        <f>IF($A54="","",IFERROR(INDEX('Natural Catastrophe'!$C$21:$C$26,MATCH($AA54,'Natural Catastrophe'!$B$21:$B$26,0)),"?"))</f>
        <v/>
      </c>
      <c r="AW54" s="97" t="str">
        <f>IF($A54="","",IFERROR(INDEX('Base Rates'!$C$4:$I$4,MATCH(MAX($J54,'Technical Premium'!$C$18),'Base Rates'!$C$3:$I$3,1)),"?"))</f>
        <v/>
      </c>
      <c r="AX54" s="99" t="str">
        <f>IF($A54="","",IFERROR(INDEX('Base Rates'!$C$5:$I$16,MATCH($I54,'Base Rates'!$B$5:$B$16,0),MATCH(MAX($J54,'Technical Premium'!$C$18),'Base Rates'!$C$3:$I$3,1)),"?"))</f>
        <v/>
      </c>
      <c r="AY54" s="100" t="str">
        <f t="shared" si="1"/>
        <v/>
      </c>
      <c r="AZ54" s="97" t="str">
        <f>IF($A54="","",IFERROR(INDEX('Make Factors'!$G$5:$G$69,MATCH($F54,'Make Factors'!$B$5:$B$69,0)),"?"))</f>
        <v/>
      </c>
      <c r="BA54" s="97" t="str">
        <f>IF($A54="","",IFERROR(INDEX('Driver Factors'!$C$6:$C$15,MATCH($R54,'Driver Factors'!$B$6:$B$15,0)),"?"))</f>
        <v/>
      </c>
      <c r="BB54" s="97" t="str">
        <f>IF($A54="","",IFERROR(INDEX('Driver Factors'!$C$19:$C$24,MATCH($S54,'Driver Factors'!$B$19:$B$24,0)),"?"))</f>
        <v/>
      </c>
      <c r="BC54" s="97" t="str">
        <f>IF($A54="","",IFERROR(INDEX('Driver Factors'!$C$28:$C$36,MATCH($T54,'Driver Factors'!$B$28:$B$36,0)),"?"))</f>
        <v/>
      </c>
      <c r="BD54" s="97" t="str">
        <f>IF($A54="","",IFERROR(INDEX('Claims History'!$C$6:$C$15,MATCH($U54,'Claims History'!$B$6:$B$15,0)),"?"))</f>
        <v/>
      </c>
      <c r="BE54" s="97" t="str">
        <f>IF($A54="","",IFERROR(INDEX('Territory Factors'!$E$6:$E$56,MATCH($K54,'Territory Factors'!$B$6:$B$56,0)),"?"))</f>
        <v/>
      </c>
      <c r="BF54" s="97" t="str">
        <f>IF($A54="","",IFERROR(INDEX('City Accident Ratings'!$G$6:$G$54,MATCH($Z54,'City Accident Ratings'!$B$6:$B$54,0)),"?"))</f>
        <v/>
      </c>
      <c r="BG54" s="97" t="str">
        <f>IF($A54="","",IFERROR(INDEX('Usage and Coverage'!$D$6:$D$20,MATCH($N54,'Usage and Coverage'!$C$6:$C$20,0)),"?"))</f>
        <v/>
      </c>
      <c r="BH54" s="97" t="str">
        <f>IF($A54="","",IFERROR(INDEX('Usage and Coverage'!$C$24:$C$30,MATCH($O54,'Usage and Coverage'!$B$24:$B$30,0)),"?"))</f>
        <v/>
      </c>
      <c r="BI54" s="97" t="str">
        <f>IF($A54="","",IFERROR(INDEX('Usage and Coverage'!$C$34:$C$40,MATCH($P54,'Usage and Coverage'!$B$34:$B$40,0)),"?"))</f>
        <v/>
      </c>
      <c r="BJ54" s="97" t="str">
        <f>IF($A54="","",IFERROR(INDEX('Usage and Coverage'!$C$44:$C$49,MATCH($Q54,'Usage and Coverage'!$B$44:$B$49,0)),"?"))</f>
        <v/>
      </c>
      <c r="BK54" s="97" t="str">
        <f>IF($A54="","",IFERROR(INDEX(Deductibles!$C$6:$I$15,MATCH($W54,Deductibles!$B$6:$B$15,0),MATCH(MAX($J54,'Technical Premium'!$C$18),'Base Rates'!$C$3:$I$3,1)),"?"))</f>
        <v/>
      </c>
      <c r="BL54" s="97" t="str">
        <f>IF($A54="","",IFERROR(INDEX('Usage and Coverage'!$C$63:$C$66,MATCH($X54,'Usage and Coverage'!$B$63:$B$66,0)),"?"))</f>
        <v/>
      </c>
      <c r="BM54" s="97" t="str">
        <f>IF($A54="","",IFERROR(INDEX('Usage and Coverage'!$C$70:$C$75,MATCH($V54,'Usage and Coverage'!$B$70:$B$75,0)),"?"))</f>
        <v/>
      </c>
      <c r="BN54" s="97" t="str">
        <f>IF($A54="","",IF($AB54="",1,IFERROR(INDEX(Deductibles!$C$48:$C$51,MATCH($AB54,Deductibles!$B$48:$B$51,0)),"?")))</f>
        <v/>
      </c>
      <c r="BO54" s="97" t="str">
        <f>IF($A54="","",IF($AC54="",1,IFERROR(INDEX(Deductibles!$C$55:$C$57,MATCH($AC54,Deductibles!$B$55:$B$57,0)),"?")))</f>
        <v/>
      </c>
      <c r="BP54" s="97" t="str">
        <f>IF($A54="","",IF($AD54="",1,IFERROR(INDEX(Deductibles!$C$61:$C$63,MATCH($AD54,Deductibles!$B$61:$B$63,0)),"?")))</f>
        <v/>
      </c>
      <c r="BQ54" s="97" t="str">
        <f>IF($A54="","",IF($AE54="",1,IFERROR(INDEX(Deductibles!$C$67:$C$69,MATCH($AE54,Deductibles!$B$67:$B$69,0)),"?")))</f>
        <v/>
      </c>
      <c r="BR54" s="97" t="str">
        <f>IF($A54="","",IF($AF54="",1,IFERROR(INDEX(Deductibles!$C$73:$C$74,MATCH($AF54,Deductibles!$B$73:$B$74,0)),"?")))</f>
        <v/>
      </c>
      <c r="BS54" s="97" t="str">
        <f>IF($A54="","",IF($AG54="",1,IFERROR(INDEX('Sublimits and Parts'!$C$49:$C$52,MATCH($AG54,'Sublimits and Parts'!$B$49:$B$52,0)),"?")))</f>
        <v/>
      </c>
      <c r="BT54" s="97" t="str">
        <f>IF($A54="","",IF($AH54="",1,IFERROR(INDEX('Sublimits and Parts'!$C$56:$C$60,MATCH($AH54,'Sublimits and Parts'!$B$56:$B$60,0)),"?")))</f>
        <v/>
      </c>
      <c r="BU54" s="97" t="str">
        <f>IF($A54="","",IF($AI54="",1,IFERROR(INDEX('Sublimits and Parts'!$C$64:$C$67,MATCH($AI54,'Sublimits and Parts'!$B$64:$B$67,0)),"?")))</f>
        <v/>
      </c>
      <c r="BV54" s="97" t="str">
        <f>IF($A54="","",IF($AJ54="",1,IFERROR(INDEX('Sublimits and Parts'!$C$71:$C$74,MATCH($AJ54,'Sublimits and Parts'!$B$71:$B$74,0)),"?")))</f>
        <v/>
      </c>
      <c r="BW54" s="97" t="str">
        <f>IF($A54="","",IF($AK54="",1,IFERROR(INDEX('Sublimits and Parts'!$C$78:$C$80,MATCH($AK54,'Sublimits and Parts'!$B$78:$B$80,0)),"?")))</f>
        <v/>
      </c>
      <c r="BX54" s="97" t="str">
        <f>IF($A54="","",IF($AL54="",1,IFERROR(INDEX('Sublimits and Parts'!$C$84:$C$87,MATCH($AL54,'Sublimits and Parts'!$B$84:$B$87,0)),"?")))</f>
        <v/>
      </c>
      <c r="BY54" s="97" t="str">
        <f>IF($A54="","",IF($AM54="",1,IFERROR(INDEX('Sublimits and Parts'!$C$91:$C$94,MATCH($AM54,'Sublimits and Parts'!$B$91:$B$94,0)),"?")))</f>
        <v/>
      </c>
      <c r="BZ54" s="97" t="str">
        <f>IF($A54="","",IF($AN54="",1,IFERROR(INDEX('Sublimits and Parts'!$C$98:$C$101,MATCH($AN54,'Sublimits and Parts'!$B$98:$B$101,0)),"?")))</f>
        <v/>
      </c>
      <c r="CA54" s="97" t="str">
        <f>IF($A54="","",IF($AO54="",1,IFERROR(INDEX('Sublimits and Parts'!$C$105:$C$109,MATCH($AO54,'Sublimits and Parts'!$B$105:$B$109,0)),"?")))</f>
        <v/>
      </c>
      <c r="CB54" s="98" t="str">
        <f t="shared" si="2"/>
        <v/>
      </c>
      <c r="CC54" s="98" t="str">
        <f t="shared" si="3"/>
        <v/>
      </c>
      <c r="CD54" s="101" t="str">
        <f>IF($A54="","",IF(OR($CB54="?",$CC54="?"),"?",MIN($CB54*$CC54,'Technical Premium'!$C$17)))</f>
        <v/>
      </c>
      <c r="CE54" s="100" t="str">
        <f t="shared" si="4"/>
        <v/>
      </c>
      <c r="CF54" s="100" t="str">
        <f>IF($A54="","",IFERROR(INDEX('Territory Factors'!$F$6:$F$56,MATCH($K54,'Territory Factors'!$B$6:$B$56,0)),"?"))</f>
        <v/>
      </c>
      <c r="CG54" s="98" t="str">
        <f>IF($A54="","",IFERROR(INDEX('Usage and Coverage'!$C$79:$C$84,MATCH($Y54,'Usage and Coverage'!$B$79:$B$84,0)),"?"))</f>
        <v/>
      </c>
      <c r="CH54" s="100" t="str">
        <f>IFERROR(IF(ISNUMBER($CD54),$CF54*$CG54*MIN($BG54*$BA54*$BC54*$BD54*$BH54*$BF54,'Technical Premium'!$C$17),""),"")</f>
        <v/>
      </c>
      <c r="CI54" s="100" t="str">
        <f t="shared" si="5"/>
        <v/>
      </c>
      <c r="CJ54" s="100" t="str">
        <f>IFERROR($CI54*(1+'Technical Premium'!$C$5)*(1+'Technical Premium'!$C$6),"")</f>
        <v/>
      </c>
      <c r="CK54" s="100" t="str">
        <f>IFERROR($CE54*INDEX('Territory Factors'!$G$6:$G$56,MATCH($K54,'Territory Factors'!$B$6:$B$56,0))*$AU54*$AV54,"")</f>
        <v/>
      </c>
      <c r="CL54" s="100" t="str">
        <f>IFERROR(($CJ54+$CK54)*(1+'Technical Premium'!$C$7),"")</f>
        <v/>
      </c>
      <c r="CM54" s="102" t="str">
        <f>IFERROR($CL54/'Technical Premium'!$C$13,"")</f>
        <v/>
      </c>
      <c r="CN54" s="103" t="str">
        <f t="shared" si="6"/>
        <v/>
      </c>
      <c r="CO54" s="102" t="str">
        <f t="shared" si="7"/>
        <v/>
      </c>
      <c r="CP54" s="103" t="str">
        <f t="shared" si="8"/>
        <v/>
      </c>
      <c r="CQ54" s="104" t="str">
        <f t="shared" si="9"/>
        <v/>
      </c>
      <c r="CR54" s="100" t="str">
        <f>IF(ISNUMBER($CM54),'Technical Premium'!$C$14+IF($J54&gt;=1000000,'Technical Premium'!$C$15,0),"")</f>
        <v/>
      </c>
      <c r="CS54" s="100" t="str">
        <f>IFERROR(($CO54+$CR54)*(INDEX('Territory Factors'!$K$6:$K$56,MATCH($K54,'Territory Factors'!$B$6:$B$56,0))+'Commission Structure'!$C$21),"")</f>
        <v/>
      </c>
      <c r="CT54" s="102" t="str">
        <f t="shared" si="10"/>
        <v/>
      </c>
      <c r="CU54" s="100" t="str">
        <f>IFERROR($CO54*('Commission Structure'!$C$6+'Commission Structure'!$C$7),"")</f>
        <v/>
      </c>
      <c r="CV54" s="100" t="str">
        <f>IFERROR($CO54*'Commission Structure'!$C$5-$CU54,"")</f>
        <v/>
      </c>
      <c r="CW54" s="100" t="str">
        <f>IFERROR($CO54*(1-'Commission Structure'!$C$5),"")</f>
        <v/>
      </c>
      <c r="CX54" s="105" t="str">
        <f>IF($A54="","",IF(OR($CB54="?",$CC54="?",NOT(ISNUMBER($AU54))),"CHECK INPUTS",IF(OR($J54&lt;'Technical Premium'!$C$18,LEFT(IFERROR(INDEX('Driver Factors'!$D$6:$D$15,MATCH($R54,'Driver Factors'!$B$6:$B$15,0)),""),7)="DECLINE",LEFT(IFERROR(INDEX('Driver Factors'!$D$28:$D$36,MATCH($T54,'Driver Factors'!$B$28:$B$36,0)),""),7)="DECLINE",LEFT(IFERROR(INDEX('Claims History'!$D$6:$D$15,MATCH($U54,'Claims History'!$B$6:$B$15,0)),""),7)="DECLINE",LEFT(IFERROR(INDEX('Usage and Coverage'!$E$6:$E$20,MATCH($N54,'Usage and Coverage'!$C$6:$C$20,0)),""),7)="DECLINE"),"DECLINE",IF(OR($CD54&gt;2.5,$CD54&gt;='Technical Premium'!$C$17,$J54&gt;='Technical Premium'!$C$16,N($AQ54)&lt;'Technical Premium'!$C$19,N($AQ54)&gt;'Technical Premium'!$C$20,LEFT(IFERROR(INDEX('Driver Factors'!$D$6:$D$15,MATCH($R54,'Driver Factors'!$B$6:$B$15,0)),""),5)="Refer",LEFT(IFERROR(INDEX('Driver Factors'!$D$28:$D$36,MATCH($T54,'Driver Factors'!$B$28:$B$36,0)),""),5)="Refer",LEFT(IFERROR(INDEX('Claims History'!$D$6:$D$15,MATCH($U54,'Claims History'!$B$6:$B$15,0)),""),5)="Refer",LEFT(IFERROR(INDEX('Usage and Coverage'!$E$6:$E$20,MATCH($N54,'Usage and Coverage'!$C$6:$C$20,0)),""),5)="Refer"),"REFER","AUTO-BIND"))))</f>
        <v/>
      </c>
      <c r="CY54" s="106" t="str">
        <f t="shared" si="11"/>
        <v/>
      </c>
      <c r="CZ54" s="97" t="str">
        <f>IF($CY54="","",IF($CY54&lt;'Technical Premium'!$C$19,"BEYOND AUTHORITY",IF($CY54&gt;0.005,"Above technical",IF($CY54&lt;-0.005,"BELOW technical","At technical"))))</f>
        <v/>
      </c>
      <c r="DA54" s="97" t="str">
        <f>IF($A54="","",IF($CX54="AUTO-BIND","",TRIM(IF($J54&lt;'Technical Premium'!$C$18,"Below programme minimum agreed value. ","")&amp;IF(N($AQ54)&lt;'Technical Premium'!$C$19,"DISCOUNT AUTHORITY BREACH. ","")&amp;IF(N($AQ54)&gt;'Technical Premium'!$C$20,"Load authority breach. ","")&amp;IF($J54&gt;='Technical Premium'!$C$16,"Agreed value at or above auto-bind limit. ","")&amp;IF(AND(ISNUMBER($CD54),$CD54&gt;='Technical Premium'!$C$17),"Composite factor at cap. ","")&amp;IF(AND(ISNUMBER($CD54),$CD54&gt;2.5),"Composite factor above 2.50. ","")&amp;IF(LEFT(IFERROR(INDEX('Driver Factors'!$D$6:$D$15,MATCH($R54,'Driver Factors'!$B$6:$B$15,0)),""),7)="DECLINE","DECLINE - driver age. ",IF(LEFT(IFERROR(INDEX('Driver Factors'!$D$6:$D$15,MATCH($R54,'Driver Factors'!$B$6:$B$15,0)),""),5)="Refer","Driver age band. ",""))&amp;IF(LEFT(IFERROR(INDEX('Driver Factors'!$D$28:$D$36,MATCH($T54,'Driver Factors'!$B$28:$B$36,0)),""),7)="DECLINE","DECLINE - MVR. ",IF(LEFT(IFERROR(INDEX('Driver Factors'!$D$28:$D$36,MATCH($T54,'Driver Factors'!$B$28:$B$36,0)),""),5)="Refer","MVR record. ",""))&amp;IF(LEFT(IFERROR(INDEX('Claims History'!$D$6:$D$15,MATCH($U54,'Claims History'!$B$6:$B$15,0)),""),7)="DECLINE","DECLINE - claims. ",IF(LEFT(IFERROR(INDEX('Claims History'!$D$6:$D$15,MATCH($U54,'Claims History'!$B$6:$B$15,0)),""),5)="Refer","Claims history. ",""))&amp;IF(LEFT(IFERROR(INDEX('Usage and Coverage'!$E$6:$E$20,MATCH($N54,'Usage and Coverage'!$C$6:$C$20,0)),""),7)="DECLINE","DECLINE - usage class. ",IF(LEFT(IFERROR(INDEX('Usage and Coverage'!$E$6:$E$20,MATCH($N54,'Usage and Coverage'!$C$6:$C$20,0)),""),5)="Refer","Usage class. ",""))&amp;IF($CX54="CHECK INPUTS","Incomplete inputs. ",""))))</f>
        <v/>
      </c>
      <c r="DB54" s="92"/>
      <c r="DC54" s="92"/>
      <c r="DD54" s="93"/>
      <c r="DE54" s="92"/>
      <c r="DF54" s="92"/>
      <c r="DG54" s="97" t="str">
        <f t="shared" si="12"/>
        <v/>
      </c>
      <c r="DH54" s="97" t="str">
        <f>IF($A54="","",IF(OR($CX54="REFER",$CX54="DECLINE"),COUNTIF($CX$5:$CX54,"REFER")+COUNTIF($CX$5:$CX54,"DECLINE"),""))</f>
        <v/>
      </c>
      <c r="DI54" s="92"/>
    </row>
    <row r="55" spans="1:113" x14ac:dyDescent="0.25">
      <c r="A55" s="92"/>
      <c r="B55" s="92"/>
      <c r="C55" s="93"/>
      <c r="D55" s="93"/>
      <c r="E55" s="94"/>
      <c r="F55" s="92"/>
      <c r="G55" s="92"/>
      <c r="H55" s="92"/>
      <c r="I55" s="92"/>
      <c r="J55" s="95"/>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2"/>
      <c r="AJ55" s="92"/>
      <c r="AK55" s="92"/>
      <c r="AL55" s="92"/>
      <c r="AM55" s="92"/>
      <c r="AN55" s="92"/>
      <c r="AO55" s="92"/>
      <c r="AP55" s="92"/>
      <c r="AQ55" s="96"/>
      <c r="AR55" s="97" t="str">
        <f t="shared" si="0"/>
        <v/>
      </c>
      <c r="AS55" s="97" t="str">
        <f>IF($A55="","",IF($AP55&lt;&gt;"",$AP55,IFERROR(INDEX('Cat Zone by ZIP'!$D$6:$D$856,MATCH($AR55,'Cat Zone by ZIP'!$B$6:$B$856,0)),IFERROR(INDEX('Cat Zone by ZIP'!$C$860:$C$910,MATCH($K55,'Cat Zone by ZIP'!$B$860:$B$910,0)),"NOT FOUND"))))</f>
        <v/>
      </c>
      <c r="AT55" s="97" t="str">
        <f>IF($A55="","",IF($AP55&lt;&gt;"","Override",IF(ISNUMBER(MATCH($AR55,'Cat Zone by ZIP'!$B$6:$B$856,0)),"ZIP-3","State default")))</f>
        <v/>
      </c>
      <c r="AU55" s="98" t="str">
        <f>IF($A55="","",IFERROR(INDEX('Natural Catastrophe'!$D$6:$D$17,MATCH($AS55,'Natural Catastrophe'!$B$6:$B$17,0)),"?"))</f>
        <v/>
      </c>
      <c r="AV55" s="98" t="str">
        <f>IF($A55="","",IFERROR(INDEX('Natural Catastrophe'!$C$21:$C$26,MATCH($AA55,'Natural Catastrophe'!$B$21:$B$26,0)),"?"))</f>
        <v/>
      </c>
      <c r="AW55" s="97" t="str">
        <f>IF($A55="","",IFERROR(INDEX('Base Rates'!$C$4:$I$4,MATCH(MAX($J55,'Technical Premium'!$C$18),'Base Rates'!$C$3:$I$3,1)),"?"))</f>
        <v/>
      </c>
      <c r="AX55" s="99" t="str">
        <f>IF($A55="","",IFERROR(INDEX('Base Rates'!$C$5:$I$16,MATCH($I55,'Base Rates'!$B$5:$B$16,0),MATCH(MAX($J55,'Technical Premium'!$C$18),'Base Rates'!$C$3:$I$3,1)),"?"))</f>
        <v/>
      </c>
      <c r="AY55" s="100" t="str">
        <f t="shared" si="1"/>
        <v/>
      </c>
      <c r="AZ55" s="97" t="str">
        <f>IF($A55="","",IFERROR(INDEX('Make Factors'!$G$5:$G$69,MATCH($F55,'Make Factors'!$B$5:$B$69,0)),"?"))</f>
        <v/>
      </c>
      <c r="BA55" s="97" t="str">
        <f>IF($A55="","",IFERROR(INDEX('Driver Factors'!$C$6:$C$15,MATCH($R55,'Driver Factors'!$B$6:$B$15,0)),"?"))</f>
        <v/>
      </c>
      <c r="BB55" s="97" t="str">
        <f>IF($A55="","",IFERROR(INDEX('Driver Factors'!$C$19:$C$24,MATCH($S55,'Driver Factors'!$B$19:$B$24,0)),"?"))</f>
        <v/>
      </c>
      <c r="BC55" s="97" t="str">
        <f>IF($A55="","",IFERROR(INDEX('Driver Factors'!$C$28:$C$36,MATCH($T55,'Driver Factors'!$B$28:$B$36,0)),"?"))</f>
        <v/>
      </c>
      <c r="BD55" s="97" t="str">
        <f>IF($A55="","",IFERROR(INDEX('Claims History'!$C$6:$C$15,MATCH($U55,'Claims History'!$B$6:$B$15,0)),"?"))</f>
        <v/>
      </c>
      <c r="BE55" s="97" t="str">
        <f>IF($A55="","",IFERROR(INDEX('Territory Factors'!$E$6:$E$56,MATCH($K55,'Territory Factors'!$B$6:$B$56,0)),"?"))</f>
        <v/>
      </c>
      <c r="BF55" s="97" t="str">
        <f>IF($A55="","",IFERROR(INDEX('City Accident Ratings'!$G$6:$G$54,MATCH($Z55,'City Accident Ratings'!$B$6:$B$54,0)),"?"))</f>
        <v/>
      </c>
      <c r="BG55" s="97" t="str">
        <f>IF($A55="","",IFERROR(INDEX('Usage and Coverage'!$D$6:$D$20,MATCH($N55,'Usage and Coverage'!$C$6:$C$20,0)),"?"))</f>
        <v/>
      </c>
      <c r="BH55" s="97" t="str">
        <f>IF($A55="","",IFERROR(INDEX('Usage and Coverage'!$C$24:$C$30,MATCH($O55,'Usage and Coverage'!$B$24:$B$30,0)),"?"))</f>
        <v/>
      </c>
      <c r="BI55" s="97" t="str">
        <f>IF($A55="","",IFERROR(INDEX('Usage and Coverage'!$C$34:$C$40,MATCH($P55,'Usage and Coverage'!$B$34:$B$40,0)),"?"))</f>
        <v/>
      </c>
      <c r="BJ55" s="97" t="str">
        <f>IF($A55="","",IFERROR(INDEX('Usage and Coverage'!$C$44:$C$49,MATCH($Q55,'Usage and Coverage'!$B$44:$B$49,0)),"?"))</f>
        <v/>
      </c>
      <c r="BK55" s="97" t="str">
        <f>IF($A55="","",IFERROR(INDEX(Deductibles!$C$6:$I$15,MATCH($W55,Deductibles!$B$6:$B$15,0),MATCH(MAX($J55,'Technical Premium'!$C$18),'Base Rates'!$C$3:$I$3,1)),"?"))</f>
        <v/>
      </c>
      <c r="BL55" s="97" t="str">
        <f>IF($A55="","",IFERROR(INDEX('Usage and Coverage'!$C$63:$C$66,MATCH($X55,'Usage and Coverage'!$B$63:$B$66,0)),"?"))</f>
        <v/>
      </c>
      <c r="BM55" s="97" t="str">
        <f>IF($A55="","",IFERROR(INDEX('Usage and Coverage'!$C$70:$C$75,MATCH($V55,'Usage and Coverage'!$B$70:$B$75,0)),"?"))</f>
        <v/>
      </c>
      <c r="BN55" s="97" t="str">
        <f>IF($A55="","",IF($AB55="",1,IFERROR(INDEX(Deductibles!$C$48:$C$51,MATCH($AB55,Deductibles!$B$48:$B$51,0)),"?")))</f>
        <v/>
      </c>
      <c r="BO55" s="97" t="str">
        <f>IF($A55="","",IF($AC55="",1,IFERROR(INDEX(Deductibles!$C$55:$C$57,MATCH($AC55,Deductibles!$B$55:$B$57,0)),"?")))</f>
        <v/>
      </c>
      <c r="BP55" s="97" t="str">
        <f>IF($A55="","",IF($AD55="",1,IFERROR(INDEX(Deductibles!$C$61:$C$63,MATCH($AD55,Deductibles!$B$61:$B$63,0)),"?")))</f>
        <v/>
      </c>
      <c r="BQ55" s="97" t="str">
        <f>IF($A55="","",IF($AE55="",1,IFERROR(INDEX(Deductibles!$C$67:$C$69,MATCH($AE55,Deductibles!$B$67:$B$69,0)),"?")))</f>
        <v/>
      </c>
      <c r="BR55" s="97" t="str">
        <f>IF($A55="","",IF($AF55="",1,IFERROR(INDEX(Deductibles!$C$73:$C$74,MATCH($AF55,Deductibles!$B$73:$B$74,0)),"?")))</f>
        <v/>
      </c>
      <c r="BS55" s="97" t="str">
        <f>IF($A55="","",IF($AG55="",1,IFERROR(INDEX('Sublimits and Parts'!$C$49:$C$52,MATCH($AG55,'Sublimits and Parts'!$B$49:$B$52,0)),"?")))</f>
        <v/>
      </c>
      <c r="BT55" s="97" t="str">
        <f>IF($A55="","",IF($AH55="",1,IFERROR(INDEX('Sublimits and Parts'!$C$56:$C$60,MATCH($AH55,'Sublimits and Parts'!$B$56:$B$60,0)),"?")))</f>
        <v/>
      </c>
      <c r="BU55" s="97" t="str">
        <f>IF($A55="","",IF($AI55="",1,IFERROR(INDEX('Sublimits and Parts'!$C$64:$C$67,MATCH($AI55,'Sublimits and Parts'!$B$64:$B$67,0)),"?")))</f>
        <v/>
      </c>
      <c r="BV55" s="97" t="str">
        <f>IF($A55="","",IF($AJ55="",1,IFERROR(INDEX('Sublimits and Parts'!$C$71:$C$74,MATCH($AJ55,'Sublimits and Parts'!$B$71:$B$74,0)),"?")))</f>
        <v/>
      </c>
      <c r="BW55" s="97" t="str">
        <f>IF($A55="","",IF($AK55="",1,IFERROR(INDEX('Sublimits and Parts'!$C$78:$C$80,MATCH($AK55,'Sublimits and Parts'!$B$78:$B$80,0)),"?")))</f>
        <v/>
      </c>
      <c r="BX55" s="97" t="str">
        <f>IF($A55="","",IF($AL55="",1,IFERROR(INDEX('Sublimits and Parts'!$C$84:$C$87,MATCH($AL55,'Sublimits and Parts'!$B$84:$B$87,0)),"?")))</f>
        <v/>
      </c>
      <c r="BY55" s="97" t="str">
        <f>IF($A55="","",IF($AM55="",1,IFERROR(INDEX('Sublimits and Parts'!$C$91:$C$94,MATCH($AM55,'Sublimits and Parts'!$B$91:$B$94,0)),"?")))</f>
        <v/>
      </c>
      <c r="BZ55" s="97" t="str">
        <f>IF($A55="","",IF($AN55="",1,IFERROR(INDEX('Sublimits and Parts'!$C$98:$C$101,MATCH($AN55,'Sublimits and Parts'!$B$98:$B$101,0)),"?")))</f>
        <v/>
      </c>
      <c r="CA55" s="97" t="str">
        <f>IF($A55="","",IF($AO55="",1,IFERROR(INDEX('Sublimits and Parts'!$C$105:$C$109,MATCH($AO55,'Sublimits and Parts'!$B$105:$B$109,0)),"?")))</f>
        <v/>
      </c>
      <c r="CB55" s="98" t="str">
        <f t="shared" si="2"/>
        <v/>
      </c>
      <c r="CC55" s="98" t="str">
        <f t="shared" si="3"/>
        <v/>
      </c>
      <c r="CD55" s="101" t="str">
        <f>IF($A55="","",IF(OR($CB55="?",$CC55="?"),"?",MIN($CB55*$CC55,'Technical Premium'!$C$17)))</f>
        <v/>
      </c>
      <c r="CE55" s="100" t="str">
        <f t="shared" si="4"/>
        <v/>
      </c>
      <c r="CF55" s="100" t="str">
        <f>IF($A55="","",IFERROR(INDEX('Territory Factors'!$F$6:$F$56,MATCH($K55,'Territory Factors'!$B$6:$B$56,0)),"?"))</f>
        <v/>
      </c>
      <c r="CG55" s="98" t="str">
        <f>IF($A55="","",IFERROR(INDEX('Usage and Coverage'!$C$79:$C$84,MATCH($Y55,'Usage and Coverage'!$B$79:$B$84,0)),"?"))</f>
        <v/>
      </c>
      <c r="CH55" s="100" t="str">
        <f>IFERROR(IF(ISNUMBER($CD55),$CF55*$CG55*MIN($BG55*$BA55*$BC55*$BD55*$BH55*$BF55,'Technical Premium'!$C$17),""),"")</f>
        <v/>
      </c>
      <c r="CI55" s="100" t="str">
        <f t="shared" si="5"/>
        <v/>
      </c>
      <c r="CJ55" s="100" t="str">
        <f>IFERROR($CI55*(1+'Technical Premium'!$C$5)*(1+'Technical Premium'!$C$6),"")</f>
        <v/>
      </c>
      <c r="CK55" s="100" t="str">
        <f>IFERROR($CE55*INDEX('Territory Factors'!$G$6:$G$56,MATCH($K55,'Territory Factors'!$B$6:$B$56,0))*$AU55*$AV55,"")</f>
        <v/>
      </c>
      <c r="CL55" s="100" t="str">
        <f>IFERROR(($CJ55+$CK55)*(1+'Technical Premium'!$C$7),"")</f>
        <v/>
      </c>
      <c r="CM55" s="102" t="str">
        <f>IFERROR($CL55/'Technical Premium'!$C$13,"")</f>
        <v/>
      </c>
      <c r="CN55" s="103" t="str">
        <f t="shared" si="6"/>
        <v/>
      </c>
      <c r="CO55" s="102" t="str">
        <f t="shared" si="7"/>
        <v/>
      </c>
      <c r="CP55" s="103" t="str">
        <f t="shared" si="8"/>
        <v/>
      </c>
      <c r="CQ55" s="104" t="str">
        <f t="shared" si="9"/>
        <v/>
      </c>
      <c r="CR55" s="100" t="str">
        <f>IF(ISNUMBER($CM55),'Technical Premium'!$C$14+IF($J55&gt;=1000000,'Technical Premium'!$C$15,0),"")</f>
        <v/>
      </c>
      <c r="CS55" s="100" t="str">
        <f>IFERROR(($CO55+$CR55)*(INDEX('Territory Factors'!$K$6:$K$56,MATCH($K55,'Territory Factors'!$B$6:$B$56,0))+'Commission Structure'!$C$21),"")</f>
        <v/>
      </c>
      <c r="CT55" s="102" t="str">
        <f t="shared" si="10"/>
        <v/>
      </c>
      <c r="CU55" s="100" t="str">
        <f>IFERROR($CO55*('Commission Structure'!$C$6+'Commission Structure'!$C$7),"")</f>
        <v/>
      </c>
      <c r="CV55" s="100" t="str">
        <f>IFERROR($CO55*'Commission Structure'!$C$5-$CU55,"")</f>
        <v/>
      </c>
      <c r="CW55" s="100" t="str">
        <f>IFERROR($CO55*(1-'Commission Structure'!$C$5),"")</f>
        <v/>
      </c>
      <c r="CX55" s="105" t="str">
        <f>IF($A55="","",IF(OR($CB55="?",$CC55="?",NOT(ISNUMBER($AU55))),"CHECK INPUTS",IF(OR($J55&lt;'Technical Premium'!$C$18,LEFT(IFERROR(INDEX('Driver Factors'!$D$6:$D$15,MATCH($R55,'Driver Factors'!$B$6:$B$15,0)),""),7)="DECLINE",LEFT(IFERROR(INDEX('Driver Factors'!$D$28:$D$36,MATCH($T55,'Driver Factors'!$B$28:$B$36,0)),""),7)="DECLINE",LEFT(IFERROR(INDEX('Claims History'!$D$6:$D$15,MATCH($U55,'Claims History'!$B$6:$B$15,0)),""),7)="DECLINE",LEFT(IFERROR(INDEX('Usage and Coverage'!$E$6:$E$20,MATCH($N55,'Usage and Coverage'!$C$6:$C$20,0)),""),7)="DECLINE"),"DECLINE",IF(OR($CD55&gt;2.5,$CD55&gt;='Technical Premium'!$C$17,$J55&gt;='Technical Premium'!$C$16,N($AQ55)&lt;'Technical Premium'!$C$19,N($AQ55)&gt;'Technical Premium'!$C$20,LEFT(IFERROR(INDEX('Driver Factors'!$D$6:$D$15,MATCH($R55,'Driver Factors'!$B$6:$B$15,0)),""),5)="Refer",LEFT(IFERROR(INDEX('Driver Factors'!$D$28:$D$36,MATCH($T55,'Driver Factors'!$B$28:$B$36,0)),""),5)="Refer",LEFT(IFERROR(INDEX('Claims History'!$D$6:$D$15,MATCH($U55,'Claims History'!$B$6:$B$15,0)),""),5)="Refer",LEFT(IFERROR(INDEX('Usage and Coverage'!$E$6:$E$20,MATCH($N55,'Usage and Coverage'!$C$6:$C$20,0)),""),5)="Refer"),"REFER","AUTO-BIND"))))</f>
        <v/>
      </c>
      <c r="CY55" s="106" t="str">
        <f t="shared" si="11"/>
        <v/>
      </c>
      <c r="CZ55" s="97" t="str">
        <f>IF($CY55="","",IF($CY55&lt;'Technical Premium'!$C$19,"BEYOND AUTHORITY",IF($CY55&gt;0.005,"Above technical",IF($CY55&lt;-0.005,"BELOW technical","At technical"))))</f>
        <v/>
      </c>
      <c r="DA55" s="97" t="str">
        <f>IF($A55="","",IF($CX55="AUTO-BIND","",TRIM(IF($J55&lt;'Technical Premium'!$C$18,"Below programme minimum agreed value. ","")&amp;IF(N($AQ55)&lt;'Technical Premium'!$C$19,"DISCOUNT AUTHORITY BREACH. ","")&amp;IF(N($AQ55)&gt;'Technical Premium'!$C$20,"Load authority breach. ","")&amp;IF($J55&gt;='Technical Premium'!$C$16,"Agreed value at or above auto-bind limit. ","")&amp;IF(AND(ISNUMBER($CD55),$CD55&gt;='Technical Premium'!$C$17),"Composite factor at cap. ","")&amp;IF(AND(ISNUMBER($CD55),$CD55&gt;2.5),"Composite factor above 2.50. ","")&amp;IF(LEFT(IFERROR(INDEX('Driver Factors'!$D$6:$D$15,MATCH($R55,'Driver Factors'!$B$6:$B$15,0)),""),7)="DECLINE","DECLINE - driver age. ",IF(LEFT(IFERROR(INDEX('Driver Factors'!$D$6:$D$15,MATCH($R55,'Driver Factors'!$B$6:$B$15,0)),""),5)="Refer","Driver age band. ",""))&amp;IF(LEFT(IFERROR(INDEX('Driver Factors'!$D$28:$D$36,MATCH($T55,'Driver Factors'!$B$28:$B$36,0)),""),7)="DECLINE","DECLINE - MVR. ",IF(LEFT(IFERROR(INDEX('Driver Factors'!$D$28:$D$36,MATCH($T55,'Driver Factors'!$B$28:$B$36,0)),""),5)="Refer","MVR record. ",""))&amp;IF(LEFT(IFERROR(INDEX('Claims History'!$D$6:$D$15,MATCH($U55,'Claims History'!$B$6:$B$15,0)),""),7)="DECLINE","DECLINE - claims. ",IF(LEFT(IFERROR(INDEX('Claims History'!$D$6:$D$15,MATCH($U55,'Claims History'!$B$6:$B$15,0)),""),5)="Refer","Claims history. ",""))&amp;IF(LEFT(IFERROR(INDEX('Usage and Coverage'!$E$6:$E$20,MATCH($N55,'Usage and Coverage'!$C$6:$C$20,0)),""),7)="DECLINE","DECLINE - usage class. ",IF(LEFT(IFERROR(INDEX('Usage and Coverage'!$E$6:$E$20,MATCH($N55,'Usage and Coverage'!$C$6:$C$20,0)),""),5)="Refer","Usage class. ",""))&amp;IF($CX55="CHECK INPUTS","Incomplete inputs. ",""))))</f>
        <v/>
      </c>
      <c r="DB55" s="92"/>
      <c r="DC55" s="92"/>
      <c r="DD55" s="93"/>
      <c r="DE55" s="92"/>
      <c r="DF55" s="92"/>
      <c r="DG55" s="97" t="str">
        <f t="shared" si="12"/>
        <v/>
      </c>
      <c r="DH55" s="97" t="str">
        <f>IF($A55="","",IF(OR($CX55="REFER",$CX55="DECLINE"),COUNTIF($CX$5:$CX55,"REFER")+COUNTIF($CX$5:$CX55,"DECLINE"),""))</f>
        <v/>
      </c>
      <c r="DI55" s="92"/>
    </row>
    <row r="56" spans="1:113" x14ac:dyDescent="0.25">
      <c r="A56" s="92"/>
      <c r="B56" s="92"/>
      <c r="C56" s="93"/>
      <c r="D56" s="93"/>
      <c r="E56" s="94"/>
      <c r="F56" s="92"/>
      <c r="G56" s="92"/>
      <c r="H56" s="92"/>
      <c r="I56" s="92"/>
      <c r="J56" s="95"/>
      <c r="K56" s="92"/>
      <c r="L56" s="92"/>
      <c r="M56" s="92"/>
      <c r="N56" s="92"/>
      <c r="O56" s="92"/>
      <c r="P56" s="92"/>
      <c r="Q56" s="92"/>
      <c r="R56" s="92"/>
      <c r="S56" s="92"/>
      <c r="T56" s="92"/>
      <c r="U56" s="92"/>
      <c r="V56" s="92"/>
      <c r="W56" s="92"/>
      <c r="X56" s="92"/>
      <c r="Y56" s="92"/>
      <c r="Z56" s="92"/>
      <c r="AA56" s="92"/>
      <c r="AB56" s="92"/>
      <c r="AC56" s="92"/>
      <c r="AD56" s="92"/>
      <c r="AE56" s="92"/>
      <c r="AF56" s="92"/>
      <c r="AG56" s="92"/>
      <c r="AH56" s="92"/>
      <c r="AI56" s="92"/>
      <c r="AJ56" s="92"/>
      <c r="AK56" s="92"/>
      <c r="AL56" s="92"/>
      <c r="AM56" s="92"/>
      <c r="AN56" s="92"/>
      <c r="AO56" s="92"/>
      <c r="AP56" s="92"/>
      <c r="AQ56" s="96"/>
      <c r="AR56" s="97" t="str">
        <f t="shared" si="0"/>
        <v/>
      </c>
      <c r="AS56" s="97" t="str">
        <f>IF($A56="","",IF($AP56&lt;&gt;"",$AP56,IFERROR(INDEX('Cat Zone by ZIP'!$D$6:$D$856,MATCH($AR56,'Cat Zone by ZIP'!$B$6:$B$856,0)),IFERROR(INDEX('Cat Zone by ZIP'!$C$860:$C$910,MATCH($K56,'Cat Zone by ZIP'!$B$860:$B$910,0)),"NOT FOUND"))))</f>
        <v/>
      </c>
      <c r="AT56" s="97" t="str">
        <f>IF($A56="","",IF($AP56&lt;&gt;"","Override",IF(ISNUMBER(MATCH($AR56,'Cat Zone by ZIP'!$B$6:$B$856,0)),"ZIP-3","State default")))</f>
        <v/>
      </c>
      <c r="AU56" s="98" t="str">
        <f>IF($A56="","",IFERROR(INDEX('Natural Catastrophe'!$D$6:$D$17,MATCH($AS56,'Natural Catastrophe'!$B$6:$B$17,0)),"?"))</f>
        <v/>
      </c>
      <c r="AV56" s="98" t="str">
        <f>IF($A56="","",IFERROR(INDEX('Natural Catastrophe'!$C$21:$C$26,MATCH($AA56,'Natural Catastrophe'!$B$21:$B$26,0)),"?"))</f>
        <v/>
      </c>
      <c r="AW56" s="97" t="str">
        <f>IF($A56="","",IFERROR(INDEX('Base Rates'!$C$4:$I$4,MATCH(MAX($J56,'Technical Premium'!$C$18),'Base Rates'!$C$3:$I$3,1)),"?"))</f>
        <v/>
      </c>
      <c r="AX56" s="99" t="str">
        <f>IF($A56="","",IFERROR(INDEX('Base Rates'!$C$5:$I$16,MATCH($I56,'Base Rates'!$B$5:$B$16,0),MATCH(MAX($J56,'Technical Premium'!$C$18),'Base Rates'!$C$3:$I$3,1)),"?"))</f>
        <v/>
      </c>
      <c r="AY56" s="100" t="str">
        <f t="shared" si="1"/>
        <v/>
      </c>
      <c r="AZ56" s="97" t="str">
        <f>IF($A56="","",IFERROR(INDEX('Make Factors'!$G$5:$G$69,MATCH($F56,'Make Factors'!$B$5:$B$69,0)),"?"))</f>
        <v/>
      </c>
      <c r="BA56" s="97" t="str">
        <f>IF($A56="","",IFERROR(INDEX('Driver Factors'!$C$6:$C$15,MATCH($R56,'Driver Factors'!$B$6:$B$15,0)),"?"))</f>
        <v/>
      </c>
      <c r="BB56" s="97" t="str">
        <f>IF($A56="","",IFERROR(INDEX('Driver Factors'!$C$19:$C$24,MATCH($S56,'Driver Factors'!$B$19:$B$24,0)),"?"))</f>
        <v/>
      </c>
      <c r="BC56" s="97" t="str">
        <f>IF($A56="","",IFERROR(INDEX('Driver Factors'!$C$28:$C$36,MATCH($T56,'Driver Factors'!$B$28:$B$36,0)),"?"))</f>
        <v/>
      </c>
      <c r="BD56" s="97" t="str">
        <f>IF($A56="","",IFERROR(INDEX('Claims History'!$C$6:$C$15,MATCH($U56,'Claims History'!$B$6:$B$15,0)),"?"))</f>
        <v/>
      </c>
      <c r="BE56" s="97" t="str">
        <f>IF($A56="","",IFERROR(INDEX('Territory Factors'!$E$6:$E$56,MATCH($K56,'Territory Factors'!$B$6:$B$56,0)),"?"))</f>
        <v/>
      </c>
      <c r="BF56" s="97" t="str">
        <f>IF($A56="","",IFERROR(INDEX('City Accident Ratings'!$G$6:$G$54,MATCH($Z56,'City Accident Ratings'!$B$6:$B$54,0)),"?"))</f>
        <v/>
      </c>
      <c r="BG56" s="97" t="str">
        <f>IF($A56="","",IFERROR(INDEX('Usage and Coverage'!$D$6:$D$20,MATCH($N56,'Usage and Coverage'!$C$6:$C$20,0)),"?"))</f>
        <v/>
      </c>
      <c r="BH56" s="97" t="str">
        <f>IF($A56="","",IFERROR(INDEX('Usage and Coverage'!$C$24:$C$30,MATCH($O56,'Usage and Coverage'!$B$24:$B$30,0)),"?"))</f>
        <v/>
      </c>
      <c r="BI56" s="97" t="str">
        <f>IF($A56="","",IFERROR(INDEX('Usage and Coverage'!$C$34:$C$40,MATCH($P56,'Usage and Coverage'!$B$34:$B$40,0)),"?"))</f>
        <v/>
      </c>
      <c r="BJ56" s="97" t="str">
        <f>IF($A56="","",IFERROR(INDEX('Usage and Coverage'!$C$44:$C$49,MATCH($Q56,'Usage and Coverage'!$B$44:$B$49,0)),"?"))</f>
        <v/>
      </c>
      <c r="BK56" s="97" t="str">
        <f>IF($A56="","",IFERROR(INDEX(Deductibles!$C$6:$I$15,MATCH($W56,Deductibles!$B$6:$B$15,0),MATCH(MAX($J56,'Technical Premium'!$C$18),'Base Rates'!$C$3:$I$3,1)),"?"))</f>
        <v/>
      </c>
      <c r="BL56" s="97" t="str">
        <f>IF($A56="","",IFERROR(INDEX('Usage and Coverage'!$C$63:$C$66,MATCH($X56,'Usage and Coverage'!$B$63:$B$66,0)),"?"))</f>
        <v/>
      </c>
      <c r="BM56" s="97" t="str">
        <f>IF($A56="","",IFERROR(INDEX('Usage and Coverage'!$C$70:$C$75,MATCH($V56,'Usage and Coverage'!$B$70:$B$75,0)),"?"))</f>
        <v/>
      </c>
      <c r="BN56" s="97" t="str">
        <f>IF($A56="","",IF($AB56="",1,IFERROR(INDEX(Deductibles!$C$48:$C$51,MATCH($AB56,Deductibles!$B$48:$B$51,0)),"?")))</f>
        <v/>
      </c>
      <c r="BO56" s="97" t="str">
        <f>IF($A56="","",IF($AC56="",1,IFERROR(INDEX(Deductibles!$C$55:$C$57,MATCH($AC56,Deductibles!$B$55:$B$57,0)),"?")))</f>
        <v/>
      </c>
      <c r="BP56" s="97" t="str">
        <f>IF($A56="","",IF($AD56="",1,IFERROR(INDEX(Deductibles!$C$61:$C$63,MATCH($AD56,Deductibles!$B$61:$B$63,0)),"?")))</f>
        <v/>
      </c>
      <c r="BQ56" s="97" t="str">
        <f>IF($A56="","",IF($AE56="",1,IFERROR(INDEX(Deductibles!$C$67:$C$69,MATCH($AE56,Deductibles!$B$67:$B$69,0)),"?")))</f>
        <v/>
      </c>
      <c r="BR56" s="97" t="str">
        <f>IF($A56="","",IF($AF56="",1,IFERROR(INDEX(Deductibles!$C$73:$C$74,MATCH($AF56,Deductibles!$B$73:$B$74,0)),"?")))</f>
        <v/>
      </c>
      <c r="BS56" s="97" t="str">
        <f>IF($A56="","",IF($AG56="",1,IFERROR(INDEX('Sublimits and Parts'!$C$49:$C$52,MATCH($AG56,'Sublimits and Parts'!$B$49:$B$52,0)),"?")))</f>
        <v/>
      </c>
      <c r="BT56" s="97" t="str">
        <f>IF($A56="","",IF($AH56="",1,IFERROR(INDEX('Sublimits and Parts'!$C$56:$C$60,MATCH($AH56,'Sublimits and Parts'!$B$56:$B$60,0)),"?")))</f>
        <v/>
      </c>
      <c r="BU56" s="97" t="str">
        <f>IF($A56="","",IF($AI56="",1,IFERROR(INDEX('Sublimits and Parts'!$C$64:$C$67,MATCH($AI56,'Sublimits and Parts'!$B$64:$B$67,0)),"?")))</f>
        <v/>
      </c>
      <c r="BV56" s="97" t="str">
        <f>IF($A56="","",IF($AJ56="",1,IFERROR(INDEX('Sublimits and Parts'!$C$71:$C$74,MATCH($AJ56,'Sublimits and Parts'!$B$71:$B$74,0)),"?")))</f>
        <v/>
      </c>
      <c r="BW56" s="97" t="str">
        <f>IF($A56="","",IF($AK56="",1,IFERROR(INDEX('Sublimits and Parts'!$C$78:$C$80,MATCH($AK56,'Sublimits and Parts'!$B$78:$B$80,0)),"?")))</f>
        <v/>
      </c>
      <c r="BX56" s="97" t="str">
        <f>IF($A56="","",IF($AL56="",1,IFERROR(INDEX('Sublimits and Parts'!$C$84:$C$87,MATCH($AL56,'Sublimits and Parts'!$B$84:$B$87,0)),"?")))</f>
        <v/>
      </c>
      <c r="BY56" s="97" t="str">
        <f>IF($A56="","",IF($AM56="",1,IFERROR(INDEX('Sublimits and Parts'!$C$91:$C$94,MATCH($AM56,'Sublimits and Parts'!$B$91:$B$94,0)),"?")))</f>
        <v/>
      </c>
      <c r="BZ56" s="97" t="str">
        <f>IF($A56="","",IF($AN56="",1,IFERROR(INDEX('Sublimits and Parts'!$C$98:$C$101,MATCH($AN56,'Sublimits and Parts'!$B$98:$B$101,0)),"?")))</f>
        <v/>
      </c>
      <c r="CA56" s="97" t="str">
        <f>IF($A56="","",IF($AO56="",1,IFERROR(INDEX('Sublimits and Parts'!$C$105:$C$109,MATCH($AO56,'Sublimits and Parts'!$B$105:$B$109,0)),"?")))</f>
        <v/>
      </c>
      <c r="CB56" s="98" t="str">
        <f t="shared" si="2"/>
        <v/>
      </c>
      <c r="CC56" s="98" t="str">
        <f t="shared" si="3"/>
        <v/>
      </c>
      <c r="CD56" s="101" t="str">
        <f>IF($A56="","",IF(OR($CB56="?",$CC56="?"),"?",MIN($CB56*$CC56,'Technical Premium'!$C$17)))</f>
        <v/>
      </c>
      <c r="CE56" s="100" t="str">
        <f t="shared" si="4"/>
        <v/>
      </c>
      <c r="CF56" s="100" t="str">
        <f>IF($A56="","",IFERROR(INDEX('Territory Factors'!$F$6:$F$56,MATCH($K56,'Territory Factors'!$B$6:$B$56,0)),"?"))</f>
        <v/>
      </c>
      <c r="CG56" s="98" t="str">
        <f>IF($A56="","",IFERROR(INDEX('Usage and Coverage'!$C$79:$C$84,MATCH($Y56,'Usage and Coverage'!$B$79:$B$84,0)),"?"))</f>
        <v/>
      </c>
      <c r="CH56" s="100" t="str">
        <f>IFERROR(IF(ISNUMBER($CD56),$CF56*$CG56*MIN($BG56*$BA56*$BC56*$BD56*$BH56*$BF56,'Technical Premium'!$C$17),""),"")</f>
        <v/>
      </c>
      <c r="CI56" s="100" t="str">
        <f t="shared" si="5"/>
        <v/>
      </c>
      <c r="CJ56" s="100" t="str">
        <f>IFERROR($CI56*(1+'Technical Premium'!$C$5)*(1+'Technical Premium'!$C$6),"")</f>
        <v/>
      </c>
      <c r="CK56" s="100" t="str">
        <f>IFERROR($CE56*INDEX('Territory Factors'!$G$6:$G$56,MATCH($K56,'Territory Factors'!$B$6:$B$56,0))*$AU56*$AV56,"")</f>
        <v/>
      </c>
      <c r="CL56" s="100" t="str">
        <f>IFERROR(($CJ56+$CK56)*(1+'Technical Premium'!$C$7),"")</f>
        <v/>
      </c>
      <c r="CM56" s="102" t="str">
        <f>IFERROR($CL56/'Technical Premium'!$C$13,"")</f>
        <v/>
      </c>
      <c r="CN56" s="103" t="str">
        <f t="shared" si="6"/>
        <v/>
      </c>
      <c r="CO56" s="102" t="str">
        <f t="shared" si="7"/>
        <v/>
      </c>
      <c r="CP56" s="103" t="str">
        <f t="shared" si="8"/>
        <v/>
      </c>
      <c r="CQ56" s="104" t="str">
        <f t="shared" si="9"/>
        <v/>
      </c>
      <c r="CR56" s="100" t="str">
        <f>IF(ISNUMBER($CM56),'Technical Premium'!$C$14+IF($J56&gt;=1000000,'Technical Premium'!$C$15,0),"")</f>
        <v/>
      </c>
      <c r="CS56" s="100" t="str">
        <f>IFERROR(($CO56+$CR56)*(INDEX('Territory Factors'!$K$6:$K$56,MATCH($K56,'Territory Factors'!$B$6:$B$56,0))+'Commission Structure'!$C$21),"")</f>
        <v/>
      </c>
      <c r="CT56" s="102" t="str">
        <f t="shared" si="10"/>
        <v/>
      </c>
      <c r="CU56" s="100" t="str">
        <f>IFERROR($CO56*('Commission Structure'!$C$6+'Commission Structure'!$C$7),"")</f>
        <v/>
      </c>
      <c r="CV56" s="100" t="str">
        <f>IFERROR($CO56*'Commission Structure'!$C$5-$CU56,"")</f>
        <v/>
      </c>
      <c r="CW56" s="100" t="str">
        <f>IFERROR($CO56*(1-'Commission Structure'!$C$5),"")</f>
        <v/>
      </c>
      <c r="CX56" s="105" t="str">
        <f>IF($A56="","",IF(OR($CB56="?",$CC56="?",NOT(ISNUMBER($AU56))),"CHECK INPUTS",IF(OR($J56&lt;'Technical Premium'!$C$18,LEFT(IFERROR(INDEX('Driver Factors'!$D$6:$D$15,MATCH($R56,'Driver Factors'!$B$6:$B$15,0)),""),7)="DECLINE",LEFT(IFERROR(INDEX('Driver Factors'!$D$28:$D$36,MATCH($T56,'Driver Factors'!$B$28:$B$36,0)),""),7)="DECLINE",LEFT(IFERROR(INDEX('Claims History'!$D$6:$D$15,MATCH($U56,'Claims History'!$B$6:$B$15,0)),""),7)="DECLINE",LEFT(IFERROR(INDEX('Usage and Coverage'!$E$6:$E$20,MATCH($N56,'Usage and Coverage'!$C$6:$C$20,0)),""),7)="DECLINE"),"DECLINE",IF(OR($CD56&gt;2.5,$CD56&gt;='Technical Premium'!$C$17,$J56&gt;='Technical Premium'!$C$16,N($AQ56)&lt;'Technical Premium'!$C$19,N($AQ56)&gt;'Technical Premium'!$C$20,LEFT(IFERROR(INDEX('Driver Factors'!$D$6:$D$15,MATCH($R56,'Driver Factors'!$B$6:$B$15,0)),""),5)="Refer",LEFT(IFERROR(INDEX('Driver Factors'!$D$28:$D$36,MATCH($T56,'Driver Factors'!$B$28:$B$36,0)),""),5)="Refer",LEFT(IFERROR(INDEX('Claims History'!$D$6:$D$15,MATCH($U56,'Claims History'!$B$6:$B$15,0)),""),5)="Refer",LEFT(IFERROR(INDEX('Usage and Coverage'!$E$6:$E$20,MATCH($N56,'Usage and Coverage'!$C$6:$C$20,0)),""),5)="Refer"),"REFER","AUTO-BIND"))))</f>
        <v/>
      </c>
      <c r="CY56" s="106" t="str">
        <f t="shared" si="11"/>
        <v/>
      </c>
      <c r="CZ56" s="97" t="str">
        <f>IF($CY56="","",IF($CY56&lt;'Technical Premium'!$C$19,"BEYOND AUTHORITY",IF($CY56&gt;0.005,"Above technical",IF($CY56&lt;-0.005,"BELOW technical","At technical"))))</f>
        <v/>
      </c>
      <c r="DA56" s="97" t="str">
        <f>IF($A56="","",IF($CX56="AUTO-BIND","",TRIM(IF($J56&lt;'Technical Premium'!$C$18,"Below programme minimum agreed value. ","")&amp;IF(N($AQ56)&lt;'Technical Premium'!$C$19,"DISCOUNT AUTHORITY BREACH. ","")&amp;IF(N($AQ56)&gt;'Technical Premium'!$C$20,"Load authority breach. ","")&amp;IF($J56&gt;='Technical Premium'!$C$16,"Agreed value at or above auto-bind limit. ","")&amp;IF(AND(ISNUMBER($CD56),$CD56&gt;='Technical Premium'!$C$17),"Composite factor at cap. ","")&amp;IF(AND(ISNUMBER($CD56),$CD56&gt;2.5),"Composite factor above 2.50. ","")&amp;IF(LEFT(IFERROR(INDEX('Driver Factors'!$D$6:$D$15,MATCH($R56,'Driver Factors'!$B$6:$B$15,0)),""),7)="DECLINE","DECLINE - driver age. ",IF(LEFT(IFERROR(INDEX('Driver Factors'!$D$6:$D$15,MATCH($R56,'Driver Factors'!$B$6:$B$15,0)),""),5)="Refer","Driver age band. ",""))&amp;IF(LEFT(IFERROR(INDEX('Driver Factors'!$D$28:$D$36,MATCH($T56,'Driver Factors'!$B$28:$B$36,0)),""),7)="DECLINE","DECLINE - MVR. ",IF(LEFT(IFERROR(INDEX('Driver Factors'!$D$28:$D$36,MATCH($T56,'Driver Factors'!$B$28:$B$36,0)),""),5)="Refer","MVR record. ",""))&amp;IF(LEFT(IFERROR(INDEX('Claims History'!$D$6:$D$15,MATCH($U56,'Claims History'!$B$6:$B$15,0)),""),7)="DECLINE","DECLINE - claims. ",IF(LEFT(IFERROR(INDEX('Claims History'!$D$6:$D$15,MATCH($U56,'Claims History'!$B$6:$B$15,0)),""),5)="Refer","Claims history. ",""))&amp;IF(LEFT(IFERROR(INDEX('Usage and Coverage'!$E$6:$E$20,MATCH($N56,'Usage and Coverage'!$C$6:$C$20,0)),""),7)="DECLINE","DECLINE - usage class. ",IF(LEFT(IFERROR(INDEX('Usage and Coverage'!$E$6:$E$20,MATCH($N56,'Usage and Coverage'!$C$6:$C$20,0)),""),5)="Refer","Usage class. ",""))&amp;IF($CX56="CHECK INPUTS","Incomplete inputs. ",""))))</f>
        <v/>
      </c>
      <c r="DB56" s="92"/>
      <c r="DC56" s="92"/>
      <c r="DD56" s="93"/>
      <c r="DE56" s="92"/>
      <c r="DF56" s="92"/>
      <c r="DG56" s="97" t="str">
        <f t="shared" si="12"/>
        <v/>
      </c>
      <c r="DH56" s="97" t="str">
        <f>IF($A56="","",IF(OR($CX56="REFER",$CX56="DECLINE"),COUNTIF($CX$5:$CX56,"REFER")+COUNTIF($CX$5:$CX56,"DECLINE"),""))</f>
        <v/>
      </c>
      <c r="DI56" s="92"/>
    </row>
    <row r="57" spans="1:113" x14ac:dyDescent="0.25">
      <c r="A57" s="92"/>
      <c r="B57" s="92"/>
      <c r="C57" s="93"/>
      <c r="D57" s="93"/>
      <c r="E57" s="94"/>
      <c r="F57" s="92"/>
      <c r="G57" s="92"/>
      <c r="H57" s="92"/>
      <c r="I57" s="92"/>
      <c r="J57" s="95"/>
      <c r="K57" s="92"/>
      <c r="L57" s="92"/>
      <c r="M57" s="92"/>
      <c r="N57" s="92"/>
      <c r="O57" s="92"/>
      <c r="P57" s="92"/>
      <c r="Q57" s="92"/>
      <c r="R57" s="92"/>
      <c r="S57" s="92"/>
      <c r="T57" s="92"/>
      <c r="U57" s="92"/>
      <c r="V57" s="92"/>
      <c r="W57" s="92"/>
      <c r="X57" s="92"/>
      <c r="Y57" s="92"/>
      <c r="Z57" s="92"/>
      <c r="AA57" s="92"/>
      <c r="AB57" s="92"/>
      <c r="AC57" s="92"/>
      <c r="AD57" s="92"/>
      <c r="AE57" s="92"/>
      <c r="AF57" s="92"/>
      <c r="AG57" s="92"/>
      <c r="AH57" s="92"/>
      <c r="AI57" s="92"/>
      <c r="AJ57" s="92"/>
      <c r="AK57" s="92"/>
      <c r="AL57" s="92"/>
      <c r="AM57" s="92"/>
      <c r="AN57" s="92"/>
      <c r="AO57" s="92"/>
      <c r="AP57" s="92"/>
      <c r="AQ57" s="96"/>
      <c r="AR57" s="97" t="str">
        <f t="shared" si="0"/>
        <v/>
      </c>
      <c r="AS57" s="97" t="str">
        <f>IF($A57="","",IF($AP57&lt;&gt;"",$AP57,IFERROR(INDEX('Cat Zone by ZIP'!$D$6:$D$856,MATCH($AR57,'Cat Zone by ZIP'!$B$6:$B$856,0)),IFERROR(INDEX('Cat Zone by ZIP'!$C$860:$C$910,MATCH($K57,'Cat Zone by ZIP'!$B$860:$B$910,0)),"NOT FOUND"))))</f>
        <v/>
      </c>
      <c r="AT57" s="97" t="str">
        <f>IF($A57="","",IF($AP57&lt;&gt;"","Override",IF(ISNUMBER(MATCH($AR57,'Cat Zone by ZIP'!$B$6:$B$856,0)),"ZIP-3","State default")))</f>
        <v/>
      </c>
      <c r="AU57" s="98" t="str">
        <f>IF($A57="","",IFERROR(INDEX('Natural Catastrophe'!$D$6:$D$17,MATCH($AS57,'Natural Catastrophe'!$B$6:$B$17,0)),"?"))</f>
        <v/>
      </c>
      <c r="AV57" s="98" t="str">
        <f>IF($A57="","",IFERROR(INDEX('Natural Catastrophe'!$C$21:$C$26,MATCH($AA57,'Natural Catastrophe'!$B$21:$B$26,0)),"?"))</f>
        <v/>
      </c>
      <c r="AW57" s="97" t="str">
        <f>IF($A57="","",IFERROR(INDEX('Base Rates'!$C$4:$I$4,MATCH(MAX($J57,'Technical Premium'!$C$18),'Base Rates'!$C$3:$I$3,1)),"?"))</f>
        <v/>
      </c>
      <c r="AX57" s="99" t="str">
        <f>IF($A57="","",IFERROR(INDEX('Base Rates'!$C$5:$I$16,MATCH($I57,'Base Rates'!$B$5:$B$16,0),MATCH(MAX($J57,'Technical Premium'!$C$18),'Base Rates'!$C$3:$I$3,1)),"?"))</f>
        <v/>
      </c>
      <c r="AY57" s="100" t="str">
        <f t="shared" si="1"/>
        <v/>
      </c>
      <c r="AZ57" s="97" t="str">
        <f>IF($A57="","",IFERROR(INDEX('Make Factors'!$G$5:$G$69,MATCH($F57,'Make Factors'!$B$5:$B$69,0)),"?"))</f>
        <v/>
      </c>
      <c r="BA57" s="97" t="str">
        <f>IF($A57="","",IFERROR(INDEX('Driver Factors'!$C$6:$C$15,MATCH($R57,'Driver Factors'!$B$6:$B$15,0)),"?"))</f>
        <v/>
      </c>
      <c r="BB57" s="97" t="str">
        <f>IF($A57="","",IFERROR(INDEX('Driver Factors'!$C$19:$C$24,MATCH($S57,'Driver Factors'!$B$19:$B$24,0)),"?"))</f>
        <v/>
      </c>
      <c r="BC57" s="97" t="str">
        <f>IF($A57="","",IFERROR(INDEX('Driver Factors'!$C$28:$C$36,MATCH($T57,'Driver Factors'!$B$28:$B$36,0)),"?"))</f>
        <v/>
      </c>
      <c r="BD57" s="97" t="str">
        <f>IF($A57="","",IFERROR(INDEX('Claims History'!$C$6:$C$15,MATCH($U57,'Claims History'!$B$6:$B$15,0)),"?"))</f>
        <v/>
      </c>
      <c r="BE57" s="97" t="str">
        <f>IF($A57="","",IFERROR(INDEX('Territory Factors'!$E$6:$E$56,MATCH($K57,'Territory Factors'!$B$6:$B$56,0)),"?"))</f>
        <v/>
      </c>
      <c r="BF57" s="97" t="str">
        <f>IF($A57="","",IFERROR(INDEX('City Accident Ratings'!$G$6:$G$54,MATCH($Z57,'City Accident Ratings'!$B$6:$B$54,0)),"?"))</f>
        <v/>
      </c>
      <c r="BG57" s="97" t="str">
        <f>IF($A57="","",IFERROR(INDEX('Usage and Coverage'!$D$6:$D$20,MATCH($N57,'Usage and Coverage'!$C$6:$C$20,0)),"?"))</f>
        <v/>
      </c>
      <c r="BH57" s="97" t="str">
        <f>IF($A57="","",IFERROR(INDEX('Usage and Coverage'!$C$24:$C$30,MATCH($O57,'Usage and Coverage'!$B$24:$B$30,0)),"?"))</f>
        <v/>
      </c>
      <c r="BI57" s="97" t="str">
        <f>IF($A57="","",IFERROR(INDEX('Usage and Coverage'!$C$34:$C$40,MATCH($P57,'Usage and Coverage'!$B$34:$B$40,0)),"?"))</f>
        <v/>
      </c>
      <c r="BJ57" s="97" t="str">
        <f>IF($A57="","",IFERROR(INDEX('Usage and Coverage'!$C$44:$C$49,MATCH($Q57,'Usage and Coverage'!$B$44:$B$49,0)),"?"))</f>
        <v/>
      </c>
      <c r="BK57" s="97" t="str">
        <f>IF($A57="","",IFERROR(INDEX(Deductibles!$C$6:$I$15,MATCH($W57,Deductibles!$B$6:$B$15,0),MATCH(MAX($J57,'Technical Premium'!$C$18),'Base Rates'!$C$3:$I$3,1)),"?"))</f>
        <v/>
      </c>
      <c r="BL57" s="97" t="str">
        <f>IF($A57="","",IFERROR(INDEX('Usage and Coverage'!$C$63:$C$66,MATCH($X57,'Usage and Coverage'!$B$63:$B$66,0)),"?"))</f>
        <v/>
      </c>
      <c r="BM57" s="97" t="str">
        <f>IF($A57="","",IFERROR(INDEX('Usage and Coverage'!$C$70:$C$75,MATCH($V57,'Usage and Coverage'!$B$70:$B$75,0)),"?"))</f>
        <v/>
      </c>
      <c r="BN57" s="97" t="str">
        <f>IF($A57="","",IF($AB57="",1,IFERROR(INDEX(Deductibles!$C$48:$C$51,MATCH($AB57,Deductibles!$B$48:$B$51,0)),"?")))</f>
        <v/>
      </c>
      <c r="BO57" s="97" t="str">
        <f>IF($A57="","",IF($AC57="",1,IFERROR(INDEX(Deductibles!$C$55:$C$57,MATCH($AC57,Deductibles!$B$55:$B$57,0)),"?")))</f>
        <v/>
      </c>
      <c r="BP57" s="97" t="str">
        <f>IF($A57="","",IF($AD57="",1,IFERROR(INDEX(Deductibles!$C$61:$C$63,MATCH($AD57,Deductibles!$B$61:$B$63,0)),"?")))</f>
        <v/>
      </c>
      <c r="BQ57" s="97" t="str">
        <f>IF($A57="","",IF($AE57="",1,IFERROR(INDEX(Deductibles!$C$67:$C$69,MATCH($AE57,Deductibles!$B$67:$B$69,0)),"?")))</f>
        <v/>
      </c>
      <c r="BR57" s="97" t="str">
        <f>IF($A57="","",IF($AF57="",1,IFERROR(INDEX(Deductibles!$C$73:$C$74,MATCH($AF57,Deductibles!$B$73:$B$74,0)),"?")))</f>
        <v/>
      </c>
      <c r="BS57" s="97" t="str">
        <f>IF($A57="","",IF($AG57="",1,IFERROR(INDEX('Sublimits and Parts'!$C$49:$C$52,MATCH($AG57,'Sublimits and Parts'!$B$49:$B$52,0)),"?")))</f>
        <v/>
      </c>
      <c r="BT57" s="97" t="str">
        <f>IF($A57="","",IF($AH57="",1,IFERROR(INDEX('Sublimits and Parts'!$C$56:$C$60,MATCH($AH57,'Sublimits and Parts'!$B$56:$B$60,0)),"?")))</f>
        <v/>
      </c>
      <c r="BU57" s="97" t="str">
        <f>IF($A57="","",IF($AI57="",1,IFERROR(INDEX('Sublimits and Parts'!$C$64:$C$67,MATCH($AI57,'Sublimits and Parts'!$B$64:$B$67,0)),"?")))</f>
        <v/>
      </c>
      <c r="BV57" s="97" t="str">
        <f>IF($A57="","",IF($AJ57="",1,IFERROR(INDEX('Sublimits and Parts'!$C$71:$C$74,MATCH($AJ57,'Sublimits and Parts'!$B$71:$B$74,0)),"?")))</f>
        <v/>
      </c>
      <c r="BW57" s="97" t="str">
        <f>IF($A57="","",IF($AK57="",1,IFERROR(INDEX('Sublimits and Parts'!$C$78:$C$80,MATCH($AK57,'Sublimits and Parts'!$B$78:$B$80,0)),"?")))</f>
        <v/>
      </c>
      <c r="BX57" s="97" t="str">
        <f>IF($A57="","",IF($AL57="",1,IFERROR(INDEX('Sublimits and Parts'!$C$84:$C$87,MATCH($AL57,'Sublimits and Parts'!$B$84:$B$87,0)),"?")))</f>
        <v/>
      </c>
      <c r="BY57" s="97" t="str">
        <f>IF($A57="","",IF($AM57="",1,IFERROR(INDEX('Sublimits and Parts'!$C$91:$C$94,MATCH($AM57,'Sublimits and Parts'!$B$91:$B$94,0)),"?")))</f>
        <v/>
      </c>
      <c r="BZ57" s="97" t="str">
        <f>IF($A57="","",IF($AN57="",1,IFERROR(INDEX('Sublimits and Parts'!$C$98:$C$101,MATCH($AN57,'Sublimits and Parts'!$B$98:$B$101,0)),"?")))</f>
        <v/>
      </c>
      <c r="CA57" s="97" t="str">
        <f>IF($A57="","",IF($AO57="",1,IFERROR(INDEX('Sublimits and Parts'!$C$105:$C$109,MATCH($AO57,'Sublimits and Parts'!$B$105:$B$109,0)),"?")))</f>
        <v/>
      </c>
      <c r="CB57" s="98" t="str">
        <f t="shared" si="2"/>
        <v/>
      </c>
      <c r="CC57" s="98" t="str">
        <f t="shared" si="3"/>
        <v/>
      </c>
      <c r="CD57" s="101" t="str">
        <f>IF($A57="","",IF(OR($CB57="?",$CC57="?"),"?",MIN($CB57*$CC57,'Technical Premium'!$C$17)))</f>
        <v/>
      </c>
      <c r="CE57" s="100" t="str">
        <f t="shared" si="4"/>
        <v/>
      </c>
      <c r="CF57" s="100" t="str">
        <f>IF($A57="","",IFERROR(INDEX('Territory Factors'!$F$6:$F$56,MATCH($K57,'Territory Factors'!$B$6:$B$56,0)),"?"))</f>
        <v/>
      </c>
      <c r="CG57" s="98" t="str">
        <f>IF($A57="","",IFERROR(INDEX('Usage and Coverage'!$C$79:$C$84,MATCH($Y57,'Usage and Coverage'!$B$79:$B$84,0)),"?"))</f>
        <v/>
      </c>
      <c r="CH57" s="100" t="str">
        <f>IFERROR(IF(ISNUMBER($CD57),$CF57*$CG57*MIN($BG57*$BA57*$BC57*$BD57*$BH57*$BF57,'Technical Premium'!$C$17),""),"")</f>
        <v/>
      </c>
      <c r="CI57" s="100" t="str">
        <f t="shared" si="5"/>
        <v/>
      </c>
      <c r="CJ57" s="100" t="str">
        <f>IFERROR($CI57*(1+'Technical Premium'!$C$5)*(1+'Technical Premium'!$C$6),"")</f>
        <v/>
      </c>
      <c r="CK57" s="100" t="str">
        <f>IFERROR($CE57*INDEX('Territory Factors'!$G$6:$G$56,MATCH($K57,'Territory Factors'!$B$6:$B$56,0))*$AU57*$AV57,"")</f>
        <v/>
      </c>
      <c r="CL57" s="100" t="str">
        <f>IFERROR(($CJ57+$CK57)*(1+'Technical Premium'!$C$7),"")</f>
        <v/>
      </c>
      <c r="CM57" s="102" t="str">
        <f>IFERROR($CL57/'Technical Premium'!$C$13,"")</f>
        <v/>
      </c>
      <c r="CN57" s="103" t="str">
        <f t="shared" si="6"/>
        <v/>
      </c>
      <c r="CO57" s="102" t="str">
        <f t="shared" si="7"/>
        <v/>
      </c>
      <c r="CP57" s="103" t="str">
        <f t="shared" si="8"/>
        <v/>
      </c>
      <c r="CQ57" s="104" t="str">
        <f t="shared" si="9"/>
        <v/>
      </c>
      <c r="CR57" s="100" t="str">
        <f>IF(ISNUMBER($CM57),'Technical Premium'!$C$14+IF($J57&gt;=1000000,'Technical Premium'!$C$15,0),"")</f>
        <v/>
      </c>
      <c r="CS57" s="100" t="str">
        <f>IFERROR(($CO57+$CR57)*(INDEX('Territory Factors'!$K$6:$K$56,MATCH($K57,'Territory Factors'!$B$6:$B$56,0))+'Commission Structure'!$C$21),"")</f>
        <v/>
      </c>
      <c r="CT57" s="102" t="str">
        <f t="shared" si="10"/>
        <v/>
      </c>
      <c r="CU57" s="100" t="str">
        <f>IFERROR($CO57*('Commission Structure'!$C$6+'Commission Structure'!$C$7),"")</f>
        <v/>
      </c>
      <c r="CV57" s="100" t="str">
        <f>IFERROR($CO57*'Commission Structure'!$C$5-$CU57,"")</f>
        <v/>
      </c>
      <c r="CW57" s="100" t="str">
        <f>IFERROR($CO57*(1-'Commission Structure'!$C$5),"")</f>
        <v/>
      </c>
      <c r="CX57" s="105" t="str">
        <f>IF($A57="","",IF(OR($CB57="?",$CC57="?",NOT(ISNUMBER($AU57))),"CHECK INPUTS",IF(OR($J57&lt;'Technical Premium'!$C$18,LEFT(IFERROR(INDEX('Driver Factors'!$D$6:$D$15,MATCH($R57,'Driver Factors'!$B$6:$B$15,0)),""),7)="DECLINE",LEFT(IFERROR(INDEX('Driver Factors'!$D$28:$D$36,MATCH($T57,'Driver Factors'!$B$28:$B$36,0)),""),7)="DECLINE",LEFT(IFERROR(INDEX('Claims History'!$D$6:$D$15,MATCH($U57,'Claims History'!$B$6:$B$15,0)),""),7)="DECLINE",LEFT(IFERROR(INDEX('Usage and Coverage'!$E$6:$E$20,MATCH($N57,'Usage and Coverage'!$C$6:$C$20,0)),""),7)="DECLINE"),"DECLINE",IF(OR($CD57&gt;2.5,$CD57&gt;='Technical Premium'!$C$17,$J57&gt;='Technical Premium'!$C$16,N($AQ57)&lt;'Technical Premium'!$C$19,N($AQ57)&gt;'Technical Premium'!$C$20,LEFT(IFERROR(INDEX('Driver Factors'!$D$6:$D$15,MATCH($R57,'Driver Factors'!$B$6:$B$15,0)),""),5)="Refer",LEFT(IFERROR(INDEX('Driver Factors'!$D$28:$D$36,MATCH($T57,'Driver Factors'!$B$28:$B$36,0)),""),5)="Refer",LEFT(IFERROR(INDEX('Claims History'!$D$6:$D$15,MATCH($U57,'Claims History'!$B$6:$B$15,0)),""),5)="Refer",LEFT(IFERROR(INDEX('Usage and Coverage'!$E$6:$E$20,MATCH($N57,'Usage and Coverage'!$C$6:$C$20,0)),""),5)="Refer"),"REFER","AUTO-BIND"))))</f>
        <v/>
      </c>
      <c r="CY57" s="106" t="str">
        <f t="shared" si="11"/>
        <v/>
      </c>
      <c r="CZ57" s="97" t="str">
        <f>IF($CY57="","",IF($CY57&lt;'Technical Premium'!$C$19,"BEYOND AUTHORITY",IF($CY57&gt;0.005,"Above technical",IF($CY57&lt;-0.005,"BELOW technical","At technical"))))</f>
        <v/>
      </c>
      <c r="DA57" s="97" t="str">
        <f>IF($A57="","",IF($CX57="AUTO-BIND","",TRIM(IF($J57&lt;'Technical Premium'!$C$18,"Below programme minimum agreed value. ","")&amp;IF(N($AQ57)&lt;'Technical Premium'!$C$19,"DISCOUNT AUTHORITY BREACH. ","")&amp;IF(N($AQ57)&gt;'Technical Premium'!$C$20,"Load authority breach. ","")&amp;IF($J57&gt;='Technical Premium'!$C$16,"Agreed value at or above auto-bind limit. ","")&amp;IF(AND(ISNUMBER($CD57),$CD57&gt;='Technical Premium'!$C$17),"Composite factor at cap. ","")&amp;IF(AND(ISNUMBER($CD57),$CD57&gt;2.5),"Composite factor above 2.50. ","")&amp;IF(LEFT(IFERROR(INDEX('Driver Factors'!$D$6:$D$15,MATCH($R57,'Driver Factors'!$B$6:$B$15,0)),""),7)="DECLINE","DECLINE - driver age. ",IF(LEFT(IFERROR(INDEX('Driver Factors'!$D$6:$D$15,MATCH($R57,'Driver Factors'!$B$6:$B$15,0)),""),5)="Refer","Driver age band. ",""))&amp;IF(LEFT(IFERROR(INDEX('Driver Factors'!$D$28:$D$36,MATCH($T57,'Driver Factors'!$B$28:$B$36,0)),""),7)="DECLINE","DECLINE - MVR. ",IF(LEFT(IFERROR(INDEX('Driver Factors'!$D$28:$D$36,MATCH($T57,'Driver Factors'!$B$28:$B$36,0)),""),5)="Refer","MVR record. ",""))&amp;IF(LEFT(IFERROR(INDEX('Claims History'!$D$6:$D$15,MATCH($U57,'Claims History'!$B$6:$B$15,0)),""),7)="DECLINE","DECLINE - claims. ",IF(LEFT(IFERROR(INDEX('Claims History'!$D$6:$D$15,MATCH($U57,'Claims History'!$B$6:$B$15,0)),""),5)="Refer","Claims history. ",""))&amp;IF(LEFT(IFERROR(INDEX('Usage and Coverage'!$E$6:$E$20,MATCH($N57,'Usage and Coverage'!$C$6:$C$20,0)),""),7)="DECLINE","DECLINE - usage class. ",IF(LEFT(IFERROR(INDEX('Usage and Coverage'!$E$6:$E$20,MATCH($N57,'Usage and Coverage'!$C$6:$C$20,0)),""),5)="Refer","Usage class. ",""))&amp;IF($CX57="CHECK INPUTS","Incomplete inputs. ",""))))</f>
        <v/>
      </c>
      <c r="DB57" s="92"/>
      <c r="DC57" s="92"/>
      <c r="DD57" s="93"/>
      <c r="DE57" s="92"/>
      <c r="DF57" s="92"/>
      <c r="DG57" s="97" t="str">
        <f t="shared" si="12"/>
        <v/>
      </c>
      <c r="DH57" s="97" t="str">
        <f>IF($A57="","",IF(OR($CX57="REFER",$CX57="DECLINE"),COUNTIF($CX$5:$CX57,"REFER")+COUNTIF($CX$5:$CX57,"DECLINE"),""))</f>
        <v/>
      </c>
      <c r="DI57" s="92"/>
    </row>
    <row r="58" spans="1:113" x14ac:dyDescent="0.25">
      <c r="A58" s="92"/>
      <c r="B58" s="92"/>
      <c r="C58" s="93"/>
      <c r="D58" s="93"/>
      <c r="E58" s="94"/>
      <c r="F58" s="92"/>
      <c r="G58" s="92"/>
      <c r="H58" s="92"/>
      <c r="I58" s="92"/>
      <c r="J58" s="95"/>
      <c r="K58" s="92"/>
      <c r="L58" s="92"/>
      <c r="M58" s="92"/>
      <c r="N58" s="92"/>
      <c r="O58" s="92"/>
      <c r="P58" s="92"/>
      <c r="Q58" s="92"/>
      <c r="R58" s="92"/>
      <c r="S58" s="92"/>
      <c r="T58" s="92"/>
      <c r="U58" s="92"/>
      <c r="V58" s="92"/>
      <c r="W58" s="92"/>
      <c r="X58" s="92"/>
      <c r="Y58" s="92"/>
      <c r="Z58" s="92"/>
      <c r="AA58" s="92"/>
      <c r="AB58" s="92"/>
      <c r="AC58" s="92"/>
      <c r="AD58" s="92"/>
      <c r="AE58" s="92"/>
      <c r="AF58" s="92"/>
      <c r="AG58" s="92"/>
      <c r="AH58" s="92"/>
      <c r="AI58" s="92"/>
      <c r="AJ58" s="92"/>
      <c r="AK58" s="92"/>
      <c r="AL58" s="92"/>
      <c r="AM58" s="92"/>
      <c r="AN58" s="92"/>
      <c r="AO58" s="92"/>
      <c r="AP58" s="92"/>
      <c r="AQ58" s="96"/>
      <c r="AR58" s="97" t="str">
        <f t="shared" si="0"/>
        <v/>
      </c>
      <c r="AS58" s="97" t="str">
        <f>IF($A58="","",IF($AP58&lt;&gt;"",$AP58,IFERROR(INDEX('Cat Zone by ZIP'!$D$6:$D$856,MATCH($AR58,'Cat Zone by ZIP'!$B$6:$B$856,0)),IFERROR(INDEX('Cat Zone by ZIP'!$C$860:$C$910,MATCH($K58,'Cat Zone by ZIP'!$B$860:$B$910,0)),"NOT FOUND"))))</f>
        <v/>
      </c>
      <c r="AT58" s="97" t="str">
        <f>IF($A58="","",IF($AP58&lt;&gt;"","Override",IF(ISNUMBER(MATCH($AR58,'Cat Zone by ZIP'!$B$6:$B$856,0)),"ZIP-3","State default")))</f>
        <v/>
      </c>
      <c r="AU58" s="98" t="str">
        <f>IF($A58="","",IFERROR(INDEX('Natural Catastrophe'!$D$6:$D$17,MATCH($AS58,'Natural Catastrophe'!$B$6:$B$17,0)),"?"))</f>
        <v/>
      </c>
      <c r="AV58" s="98" t="str">
        <f>IF($A58="","",IFERROR(INDEX('Natural Catastrophe'!$C$21:$C$26,MATCH($AA58,'Natural Catastrophe'!$B$21:$B$26,0)),"?"))</f>
        <v/>
      </c>
      <c r="AW58" s="97" t="str">
        <f>IF($A58="","",IFERROR(INDEX('Base Rates'!$C$4:$I$4,MATCH(MAX($J58,'Technical Premium'!$C$18),'Base Rates'!$C$3:$I$3,1)),"?"))</f>
        <v/>
      </c>
      <c r="AX58" s="99" t="str">
        <f>IF($A58="","",IFERROR(INDEX('Base Rates'!$C$5:$I$16,MATCH($I58,'Base Rates'!$B$5:$B$16,0),MATCH(MAX($J58,'Technical Premium'!$C$18),'Base Rates'!$C$3:$I$3,1)),"?"))</f>
        <v/>
      </c>
      <c r="AY58" s="100" t="str">
        <f t="shared" si="1"/>
        <v/>
      </c>
      <c r="AZ58" s="97" t="str">
        <f>IF($A58="","",IFERROR(INDEX('Make Factors'!$G$5:$G$69,MATCH($F58,'Make Factors'!$B$5:$B$69,0)),"?"))</f>
        <v/>
      </c>
      <c r="BA58" s="97" t="str">
        <f>IF($A58="","",IFERROR(INDEX('Driver Factors'!$C$6:$C$15,MATCH($R58,'Driver Factors'!$B$6:$B$15,0)),"?"))</f>
        <v/>
      </c>
      <c r="BB58" s="97" t="str">
        <f>IF($A58="","",IFERROR(INDEX('Driver Factors'!$C$19:$C$24,MATCH($S58,'Driver Factors'!$B$19:$B$24,0)),"?"))</f>
        <v/>
      </c>
      <c r="BC58" s="97" t="str">
        <f>IF($A58="","",IFERROR(INDEX('Driver Factors'!$C$28:$C$36,MATCH($T58,'Driver Factors'!$B$28:$B$36,0)),"?"))</f>
        <v/>
      </c>
      <c r="BD58" s="97" t="str">
        <f>IF($A58="","",IFERROR(INDEX('Claims History'!$C$6:$C$15,MATCH($U58,'Claims History'!$B$6:$B$15,0)),"?"))</f>
        <v/>
      </c>
      <c r="BE58" s="97" t="str">
        <f>IF($A58="","",IFERROR(INDEX('Territory Factors'!$E$6:$E$56,MATCH($K58,'Territory Factors'!$B$6:$B$56,0)),"?"))</f>
        <v/>
      </c>
      <c r="BF58" s="97" t="str">
        <f>IF($A58="","",IFERROR(INDEX('City Accident Ratings'!$G$6:$G$54,MATCH($Z58,'City Accident Ratings'!$B$6:$B$54,0)),"?"))</f>
        <v/>
      </c>
      <c r="BG58" s="97" t="str">
        <f>IF($A58="","",IFERROR(INDEX('Usage and Coverage'!$D$6:$D$20,MATCH($N58,'Usage and Coverage'!$C$6:$C$20,0)),"?"))</f>
        <v/>
      </c>
      <c r="BH58" s="97" t="str">
        <f>IF($A58="","",IFERROR(INDEX('Usage and Coverage'!$C$24:$C$30,MATCH($O58,'Usage and Coverage'!$B$24:$B$30,0)),"?"))</f>
        <v/>
      </c>
      <c r="BI58" s="97" t="str">
        <f>IF($A58="","",IFERROR(INDEX('Usage and Coverage'!$C$34:$C$40,MATCH($P58,'Usage and Coverage'!$B$34:$B$40,0)),"?"))</f>
        <v/>
      </c>
      <c r="BJ58" s="97" t="str">
        <f>IF($A58="","",IFERROR(INDEX('Usage and Coverage'!$C$44:$C$49,MATCH($Q58,'Usage and Coverage'!$B$44:$B$49,0)),"?"))</f>
        <v/>
      </c>
      <c r="BK58" s="97" t="str">
        <f>IF($A58="","",IFERROR(INDEX(Deductibles!$C$6:$I$15,MATCH($W58,Deductibles!$B$6:$B$15,0),MATCH(MAX($J58,'Technical Premium'!$C$18),'Base Rates'!$C$3:$I$3,1)),"?"))</f>
        <v/>
      </c>
      <c r="BL58" s="97" t="str">
        <f>IF($A58="","",IFERROR(INDEX('Usage and Coverage'!$C$63:$C$66,MATCH($X58,'Usage and Coverage'!$B$63:$B$66,0)),"?"))</f>
        <v/>
      </c>
      <c r="BM58" s="97" t="str">
        <f>IF($A58="","",IFERROR(INDEX('Usage and Coverage'!$C$70:$C$75,MATCH($V58,'Usage and Coverage'!$B$70:$B$75,0)),"?"))</f>
        <v/>
      </c>
      <c r="BN58" s="97" t="str">
        <f>IF($A58="","",IF($AB58="",1,IFERROR(INDEX(Deductibles!$C$48:$C$51,MATCH($AB58,Deductibles!$B$48:$B$51,0)),"?")))</f>
        <v/>
      </c>
      <c r="BO58" s="97" t="str">
        <f>IF($A58="","",IF($AC58="",1,IFERROR(INDEX(Deductibles!$C$55:$C$57,MATCH($AC58,Deductibles!$B$55:$B$57,0)),"?")))</f>
        <v/>
      </c>
      <c r="BP58" s="97" t="str">
        <f>IF($A58="","",IF($AD58="",1,IFERROR(INDEX(Deductibles!$C$61:$C$63,MATCH($AD58,Deductibles!$B$61:$B$63,0)),"?")))</f>
        <v/>
      </c>
      <c r="BQ58" s="97" t="str">
        <f>IF($A58="","",IF($AE58="",1,IFERROR(INDEX(Deductibles!$C$67:$C$69,MATCH($AE58,Deductibles!$B$67:$B$69,0)),"?")))</f>
        <v/>
      </c>
      <c r="BR58" s="97" t="str">
        <f>IF($A58="","",IF($AF58="",1,IFERROR(INDEX(Deductibles!$C$73:$C$74,MATCH($AF58,Deductibles!$B$73:$B$74,0)),"?")))</f>
        <v/>
      </c>
      <c r="BS58" s="97" t="str">
        <f>IF($A58="","",IF($AG58="",1,IFERROR(INDEX('Sublimits and Parts'!$C$49:$C$52,MATCH($AG58,'Sublimits and Parts'!$B$49:$B$52,0)),"?")))</f>
        <v/>
      </c>
      <c r="BT58" s="97" t="str">
        <f>IF($A58="","",IF($AH58="",1,IFERROR(INDEX('Sublimits and Parts'!$C$56:$C$60,MATCH($AH58,'Sublimits and Parts'!$B$56:$B$60,0)),"?")))</f>
        <v/>
      </c>
      <c r="BU58" s="97" t="str">
        <f>IF($A58="","",IF($AI58="",1,IFERROR(INDEX('Sublimits and Parts'!$C$64:$C$67,MATCH($AI58,'Sublimits and Parts'!$B$64:$B$67,0)),"?")))</f>
        <v/>
      </c>
      <c r="BV58" s="97" t="str">
        <f>IF($A58="","",IF($AJ58="",1,IFERROR(INDEX('Sublimits and Parts'!$C$71:$C$74,MATCH($AJ58,'Sublimits and Parts'!$B$71:$B$74,0)),"?")))</f>
        <v/>
      </c>
      <c r="BW58" s="97" t="str">
        <f>IF($A58="","",IF($AK58="",1,IFERROR(INDEX('Sublimits and Parts'!$C$78:$C$80,MATCH($AK58,'Sublimits and Parts'!$B$78:$B$80,0)),"?")))</f>
        <v/>
      </c>
      <c r="BX58" s="97" t="str">
        <f>IF($A58="","",IF($AL58="",1,IFERROR(INDEX('Sublimits and Parts'!$C$84:$C$87,MATCH($AL58,'Sublimits and Parts'!$B$84:$B$87,0)),"?")))</f>
        <v/>
      </c>
      <c r="BY58" s="97" t="str">
        <f>IF($A58="","",IF($AM58="",1,IFERROR(INDEX('Sublimits and Parts'!$C$91:$C$94,MATCH($AM58,'Sublimits and Parts'!$B$91:$B$94,0)),"?")))</f>
        <v/>
      </c>
      <c r="BZ58" s="97" t="str">
        <f>IF($A58="","",IF($AN58="",1,IFERROR(INDEX('Sublimits and Parts'!$C$98:$C$101,MATCH($AN58,'Sublimits and Parts'!$B$98:$B$101,0)),"?")))</f>
        <v/>
      </c>
      <c r="CA58" s="97" t="str">
        <f>IF($A58="","",IF($AO58="",1,IFERROR(INDEX('Sublimits and Parts'!$C$105:$C$109,MATCH($AO58,'Sublimits and Parts'!$B$105:$B$109,0)),"?")))</f>
        <v/>
      </c>
      <c r="CB58" s="98" t="str">
        <f t="shared" si="2"/>
        <v/>
      </c>
      <c r="CC58" s="98" t="str">
        <f t="shared" si="3"/>
        <v/>
      </c>
      <c r="CD58" s="101" t="str">
        <f>IF($A58="","",IF(OR($CB58="?",$CC58="?"),"?",MIN($CB58*$CC58,'Technical Premium'!$C$17)))</f>
        <v/>
      </c>
      <c r="CE58" s="100" t="str">
        <f t="shared" si="4"/>
        <v/>
      </c>
      <c r="CF58" s="100" t="str">
        <f>IF($A58="","",IFERROR(INDEX('Territory Factors'!$F$6:$F$56,MATCH($K58,'Territory Factors'!$B$6:$B$56,0)),"?"))</f>
        <v/>
      </c>
      <c r="CG58" s="98" t="str">
        <f>IF($A58="","",IFERROR(INDEX('Usage and Coverage'!$C$79:$C$84,MATCH($Y58,'Usage and Coverage'!$B$79:$B$84,0)),"?"))</f>
        <v/>
      </c>
      <c r="CH58" s="100" t="str">
        <f>IFERROR(IF(ISNUMBER($CD58),$CF58*$CG58*MIN($BG58*$BA58*$BC58*$BD58*$BH58*$BF58,'Technical Premium'!$C$17),""),"")</f>
        <v/>
      </c>
      <c r="CI58" s="100" t="str">
        <f t="shared" si="5"/>
        <v/>
      </c>
      <c r="CJ58" s="100" t="str">
        <f>IFERROR($CI58*(1+'Technical Premium'!$C$5)*(1+'Technical Premium'!$C$6),"")</f>
        <v/>
      </c>
      <c r="CK58" s="100" t="str">
        <f>IFERROR($CE58*INDEX('Territory Factors'!$G$6:$G$56,MATCH($K58,'Territory Factors'!$B$6:$B$56,0))*$AU58*$AV58,"")</f>
        <v/>
      </c>
      <c r="CL58" s="100" t="str">
        <f>IFERROR(($CJ58+$CK58)*(1+'Technical Premium'!$C$7),"")</f>
        <v/>
      </c>
      <c r="CM58" s="102" t="str">
        <f>IFERROR($CL58/'Technical Premium'!$C$13,"")</f>
        <v/>
      </c>
      <c r="CN58" s="103" t="str">
        <f t="shared" si="6"/>
        <v/>
      </c>
      <c r="CO58" s="102" t="str">
        <f t="shared" si="7"/>
        <v/>
      </c>
      <c r="CP58" s="103" t="str">
        <f t="shared" si="8"/>
        <v/>
      </c>
      <c r="CQ58" s="104" t="str">
        <f t="shared" si="9"/>
        <v/>
      </c>
      <c r="CR58" s="100" t="str">
        <f>IF(ISNUMBER($CM58),'Technical Premium'!$C$14+IF($J58&gt;=1000000,'Technical Premium'!$C$15,0),"")</f>
        <v/>
      </c>
      <c r="CS58" s="100" t="str">
        <f>IFERROR(($CO58+$CR58)*(INDEX('Territory Factors'!$K$6:$K$56,MATCH($K58,'Territory Factors'!$B$6:$B$56,0))+'Commission Structure'!$C$21),"")</f>
        <v/>
      </c>
      <c r="CT58" s="102" t="str">
        <f t="shared" si="10"/>
        <v/>
      </c>
      <c r="CU58" s="100" t="str">
        <f>IFERROR($CO58*('Commission Structure'!$C$6+'Commission Structure'!$C$7),"")</f>
        <v/>
      </c>
      <c r="CV58" s="100" t="str">
        <f>IFERROR($CO58*'Commission Structure'!$C$5-$CU58,"")</f>
        <v/>
      </c>
      <c r="CW58" s="100" t="str">
        <f>IFERROR($CO58*(1-'Commission Structure'!$C$5),"")</f>
        <v/>
      </c>
      <c r="CX58" s="105" t="str">
        <f>IF($A58="","",IF(OR($CB58="?",$CC58="?",NOT(ISNUMBER($AU58))),"CHECK INPUTS",IF(OR($J58&lt;'Technical Premium'!$C$18,LEFT(IFERROR(INDEX('Driver Factors'!$D$6:$D$15,MATCH($R58,'Driver Factors'!$B$6:$B$15,0)),""),7)="DECLINE",LEFT(IFERROR(INDEX('Driver Factors'!$D$28:$D$36,MATCH($T58,'Driver Factors'!$B$28:$B$36,0)),""),7)="DECLINE",LEFT(IFERROR(INDEX('Claims History'!$D$6:$D$15,MATCH($U58,'Claims History'!$B$6:$B$15,0)),""),7)="DECLINE",LEFT(IFERROR(INDEX('Usage and Coverage'!$E$6:$E$20,MATCH($N58,'Usage and Coverage'!$C$6:$C$20,0)),""),7)="DECLINE"),"DECLINE",IF(OR($CD58&gt;2.5,$CD58&gt;='Technical Premium'!$C$17,$J58&gt;='Technical Premium'!$C$16,N($AQ58)&lt;'Technical Premium'!$C$19,N($AQ58)&gt;'Technical Premium'!$C$20,LEFT(IFERROR(INDEX('Driver Factors'!$D$6:$D$15,MATCH($R58,'Driver Factors'!$B$6:$B$15,0)),""),5)="Refer",LEFT(IFERROR(INDEX('Driver Factors'!$D$28:$D$36,MATCH($T58,'Driver Factors'!$B$28:$B$36,0)),""),5)="Refer",LEFT(IFERROR(INDEX('Claims History'!$D$6:$D$15,MATCH($U58,'Claims History'!$B$6:$B$15,0)),""),5)="Refer",LEFT(IFERROR(INDEX('Usage and Coverage'!$E$6:$E$20,MATCH($N58,'Usage and Coverage'!$C$6:$C$20,0)),""),5)="Refer"),"REFER","AUTO-BIND"))))</f>
        <v/>
      </c>
      <c r="CY58" s="106" t="str">
        <f t="shared" si="11"/>
        <v/>
      </c>
      <c r="CZ58" s="97" t="str">
        <f>IF($CY58="","",IF($CY58&lt;'Technical Premium'!$C$19,"BEYOND AUTHORITY",IF($CY58&gt;0.005,"Above technical",IF($CY58&lt;-0.005,"BELOW technical","At technical"))))</f>
        <v/>
      </c>
      <c r="DA58" s="97" t="str">
        <f>IF($A58="","",IF($CX58="AUTO-BIND","",TRIM(IF($J58&lt;'Technical Premium'!$C$18,"Below programme minimum agreed value. ","")&amp;IF(N($AQ58)&lt;'Technical Premium'!$C$19,"DISCOUNT AUTHORITY BREACH. ","")&amp;IF(N($AQ58)&gt;'Technical Premium'!$C$20,"Load authority breach. ","")&amp;IF($J58&gt;='Technical Premium'!$C$16,"Agreed value at or above auto-bind limit. ","")&amp;IF(AND(ISNUMBER($CD58),$CD58&gt;='Technical Premium'!$C$17),"Composite factor at cap. ","")&amp;IF(AND(ISNUMBER($CD58),$CD58&gt;2.5),"Composite factor above 2.50. ","")&amp;IF(LEFT(IFERROR(INDEX('Driver Factors'!$D$6:$D$15,MATCH($R58,'Driver Factors'!$B$6:$B$15,0)),""),7)="DECLINE","DECLINE - driver age. ",IF(LEFT(IFERROR(INDEX('Driver Factors'!$D$6:$D$15,MATCH($R58,'Driver Factors'!$B$6:$B$15,0)),""),5)="Refer","Driver age band. ",""))&amp;IF(LEFT(IFERROR(INDEX('Driver Factors'!$D$28:$D$36,MATCH($T58,'Driver Factors'!$B$28:$B$36,0)),""),7)="DECLINE","DECLINE - MVR. ",IF(LEFT(IFERROR(INDEX('Driver Factors'!$D$28:$D$36,MATCH($T58,'Driver Factors'!$B$28:$B$36,0)),""),5)="Refer","MVR record. ",""))&amp;IF(LEFT(IFERROR(INDEX('Claims History'!$D$6:$D$15,MATCH($U58,'Claims History'!$B$6:$B$15,0)),""),7)="DECLINE","DECLINE - claims. ",IF(LEFT(IFERROR(INDEX('Claims History'!$D$6:$D$15,MATCH($U58,'Claims History'!$B$6:$B$15,0)),""),5)="Refer","Claims history. ",""))&amp;IF(LEFT(IFERROR(INDEX('Usage and Coverage'!$E$6:$E$20,MATCH($N58,'Usage and Coverage'!$C$6:$C$20,0)),""),7)="DECLINE","DECLINE - usage class. ",IF(LEFT(IFERROR(INDEX('Usage and Coverage'!$E$6:$E$20,MATCH($N58,'Usage and Coverage'!$C$6:$C$20,0)),""),5)="Refer","Usage class. ",""))&amp;IF($CX58="CHECK INPUTS","Incomplete inputs. ",""))))</f>
        <v/>
      </c>
      <c r="DB58" s="92"/>
      <c r="DC58" s="92"/>
      <c r="DD58" s="93"/>
      <c r="DE58" s="92"/>
      <c r="DF58" s="92"/>
      <c r="DG58" s="97" t="str">
        <f t="shared" si="12"/>
        <v/>
      </c>
      <c r="DH58" s="97" t="str">
        <f>IF($A58="","",IF(OR($CX58="REFER",$CX58="DECLINE"),COUNTIF($CX$5:$CX58,"REFER")+COUNTIF($CX$5:$CX58,"DECLINE"),""))</f>
        <v/>
      </c>
      <c r="DI58" s="92"/>
    </row>
    <row r="59" spans="1:113" x14ac:dyDescent="0.25">
      <c r="A59" s="92"/>
      <c r="B59" s="92"/>
      <c r="C59" s="93"/>
      <c r="D59" s="93"/>
      <c r="E59" s="94"/>
      <c r="F59" s="92"/>
      <c r="G59" s="92"/>
      <c r="H59" s="92"/>
      <c r="I59" s="92"/>
      <c r="J59" s="95"/>
      <c r="K59" s="92"/>
      <c r="L59" s="92"/>
      <c r="M59" s="92"/>
      <c r="N59" s="92"/>
      <c r="O59" s="92"/>
      <c r="P59" s="92"/>
      <c r="Q59" s="92"/>
      <c r="R59" s="92"/>
      <c r="S59" s="92"/>
      <c r="T59" s="92"/>
      <c r="U59" s="92"/>
      <c r="V59" s="92"/>
      <c r="W59" s="92"/>
      <c r="X59" s="92"/>
      <c r="Y59" s="92"/>
      <c r="Z59" s="92"/>
      <c r="AA59" s="92"/>
      <c r="AB59" s="92"/>
      <c r="AC59" s="92"/>
      <c r="AD59" s="92"/>
      <c r="AE59" s="92"/>
      <c r="AF59" s="92"/>
      <c r="AG59" s="92"/>
      <c r="AH59" s="92"/>
      <c r="AI59" s="92"/>
      <c r="AJ59" s="92"/>
      <c r="AK59" s="92"/>
      <c r="AL59" s="92"/>
      <c r="AM59" s="92"/>
      <c r="AN59" s="92"/>
      <c r="AO59" s="92"/>
      <c r="AP59" s="92"/>
      <c r="AQ59" s="96"/>
      <c r="AR59" s="97" t="str">
        <f t="shared" si="0"/>
        <v/>
      </c>
      <c r="AS59" s="97" t="str">
        <f>IF($A59="","",IF($AP59&lt;&gt;"",$AP59,IFERROR(INDEX('Cat Zone by ZIP'!$D$6:$D$856,MATCH($AR59,'Cat Zone by ZIP'!$B$6:$B$856,0)),IFERROR(INDEX('Cat Zone by ZIP'!$C$860:$C$910,MATCH($K59,'Cat Zone by ZIP'!$B$860:$B$910,0)),"NOT FOUND"))))</f>
        <v/>
      </c>
      <c r="AT59" s="97" t="str">
        <f>IF($A59="","",IF($AP59&lt;&gt;"","Override",IF(ISNUMBER(MATCH($AR59,'Cat Zone by ZIP'!$B$6:$B$856,0)),"ZIP-3","State default")))</f>
        <v/>
      </c>
      <c r="AU59" s="98" t="str">
        <f>IF($A59="","",IFERROR(INDEX('Natural Catastrophe'!$D$6:$D$17,MATCH($AS59,'Natural Catastrophe'!$B$6:$B$17,0)),"?"))</f>
        <v/>
      </c>
      <c r="AV59" s="98" t="str">
        <f>IF($A59="","",IFERROR(INDEX('Natural Catastrophe'!$C$21:$C$26,MATCH($AA59,'Natural Catastrophe'!$B$21:$B$26,0)),"?"))</f>
        <v/>
      </c>
      <c r="AW59" s="97" t="str">
        <f>IF($A59="","",IFERROR(INDEX('Base Rates'!$C$4:$I$4,MATCH(MAX($J59,'Technical Premium'!$C$18),'Base Rates'!$C$3:$I$3,1)),"?"))</f>
        <v/>
      </c>
      <c r="AX59" s="99" t="str">
        <f>IF($A59="","",IFERROR(INDEX('Base Rates'!$C$5:$I$16,MATCH($I59,'Base Rates'!$B$5:$B$16,0),MATCH(MAX($J59,'Technical Premium'!$C$18),'Base Rates'!$C$3:$I$3,1)),"?"))</f>
        <v/>
      </c>
      <c r="AY59" s="100" t="str">
        <f t="shared" si="1"/>
        <v/>
      </c>
      <c r="AZ59" s="97" t="str">
        <f>IF($A59="","",IFERROR(INDEX('Make Factors'!$G$5:$G$69,MATCH($F59,'Make Factors'!$B$5:$B$69,0)),"?"))</f>
        <v/>
      </c>
      <c r="BA59" s="97" t="str">
        <f>IF($A59="","",IFERROR(INDEX('Driver Factors'!$C$6:$C$15,MATCH($R59,'Driver Factors'!$B$6:$B$15,0)),"?"))</f>
        <v/>
      </c>
      <c r="BB59" s="97" t="str">
        <f>IF($A59="","",IFERROR(INDEX('Driver Factors'!$C$19:$C$24,MATCH($S59,'Driver Factors'!$B$19:$B$24,0)),"?"))</f>
        <v/>
      </c>
      <c r="BC59" s="97" t="str">
        <f>IF($A59="","",IFERROR(INDEX('Driver Factors'!$C$28:$C$36,MATCH($T59,'Driver Factors'!$B$28:$B$36,0)),"?"))</f>
        <v/>
      </c>
      <c r="BD59" s="97" t="str">
        <f>IF($A59="","",IFERROR(INDEX('Claims History'!$C$6:$C$15,MATCH($U59,'Claims History'!$B$6:$B$15,0)),"?"))</f>
        <v/>
      </c>
      <c r="BE59" s="97" t="str">
        <f>IF($A59="","",IFERROR(INDEX('Territory Factors'!$E$6:$E$56,MATCH($K59,'Territory Factors'!$B$6:$B$56,0)),"?"))</f>
        <v/>
      </c>
      <c r="BF59" s="97" t="str">
        <f>IF($A59="","",IFERROR(INDEX('City Accident Ratings'!$G$6:$G$54,MATCH($Z59,'City Accident Ratings'!$B$6:$B$54,0)),"?"))</f>
        <v/>
      </c>
      <c r="BG59" s="97" t="str">
        <f>IF($A59="","",IFERROR(INDEX('Usage and Coverage'!$D$6:$D$20,MATCH($N59,'Usage and Coverage'!$C$6:$C$20,0)),"?"))</f>
        <v/>
      </c>
      <c r="BH59" s="97" t="str">
        <f>IF($A59="","",IFERROR(INDEX('Usage and Coverage'!$C$24:$C$30,MATCH($O59,'Usage and Coverage'!$B$24:$B$30,0)),"?"))</f>
        <v/>
      </c>
      <c r="BI59" s="97" t="str">
        <f>IF($A59="","",IFERROR(INDEX('Usage and Coverage'!$C$34:$C$40,MATCH($P59,'Usage and Coverage'!$B$34:$B$40,0)),"?"))</f>
        <v/>
      </c>
      <c r="BJ59" s="97" t="str">
        <f>IF($A59="","",IFERROR(INDEX('Usage and Coverage'!$C$44:$C$49,MATCH($Q59,'Usage and Coverage'!$B$44:$B$49,0)),"?"))</f>
        <v/>
      </c>
      <c r="BK59" s="97" t="str">
        <f>IF($A59="","",IFERROR(INDEX(Deductibles!$C$6:$I$15,MATCH($W59,Deductibles!$B$6:$B$15,0),MATCH(MAX($J59,'Technical Premium'!$C$18),'Base Rates'!$C$3:$I$3,1)),"?"))</f>
        <v/>
      </c>
      <c r="BL59" s="97" t="str">
        <f>IF($A59="","",IFERROR(INDEX('Usage and Coverage'!$C$63:$C$66,MATCH($X59,'Usage and Coverage'!$B$63:$B$66,0)),"?"))</f>
        <v/>
      </c>
      <c r="BM59" s="97" t="str">
        <f>IF($A59="","",IFERROR(INDEX('Usage and Coverage'!$C$70:$C$75,MATCH($V59,'Usage and Coverage'!$B$70:$B$75,0)),"?"))</f>
        <v/>
      </c>
      <c r="BN59" s="97" t="str">
        <f>IF($A59="","",IF($AB59="",1,IFERROR(INDEX(Deductibles!$C$48:$C$51,MATCH($AB59,Deductibles!$B$48:$B$51,0)),"?")))</f>
        <v/>
      </c>
      <c r="BO59" s="97" t="str">
        <f>IF($A59="","",IF($AC59="",1,IFERROR(INDEX(Deductibles!$C$55:$C$57,MATCH($AC59,Deductibles!$B$55:$B$57,0)),"?")))</f>
        <v/>
      </c>
      <c r="BP59" s="97" t="str">
        <f>IF($A59="","",IF($AD59="",1,IFERROR(INDEX(Deductibles!$C$61:$C$63,MATCH($AD59,Deductibles!$B$61:$B$63,0)),"?")))</f>
        <v/>
      </c>
      <c r="BQ59" s="97" t="str">
        <f>IF($A59="","",IF($AE59="",1,IFERROR(INDEX(Deductibles!$C$67:$C$69,MATCH($AE59,Deductibles!$B$67:$B$69,0)),"?")))</f>
        <v/>
      </c>
      <c r="BR59" s="97" t="str">
        <f>IF($A59="","",IF($AF59="",1,IFERROR(INDEX(Deductibles!$C$73:$C$74,MATCH($AF59,Deductibles!$B$73:$B$74,0)),"?")))</f>
        <v/>
      </c>
      <c r="BS59" s="97" t="str">
        <f>IF($A59="","",IF($AG59="",1,IFERROR(INDEX('Sublimits and Parts'!$C$49:$C$52,MATCH($AG59,'Sublimits and Parts'!$B$49:$B$52,0)),"?")))</f>
        <v/>
      </c>
      <c r="BT59" s="97" t="str">
        <f>IF($A59="","",IF($AH59="",1,IFERROR(INDEX('Sublimits and Parts'!$C$56:$C$60,MATCH($AH59,'Sublimits and Parts'!$B$56:$B$60,0)),"?")))</f>
        <v/>
      </c>
      <c r="BU59" s="97" t="str">
        <f>IF($A59="","",IF($AI59="",1,IFERROR(INDEX('Sublimits and Parts'!$C$64:$C$67,MATCH($AI59,'Sublimits and Parts'!$B$64:$B$67,0)),"?")))</f>
        <v/>
      </c>
      <c r="BV59" s="97" t="str">
        <f>IF($A59="","",IF($AJ59="",1,IFERROR(INDEX('Sublimits and Parts'!$C$71:$C$74,MATCH($AJ59,'Sublimits and Parts'!$B$71:$B$74,0)),"?")))</f>
        <v/>
      </c>
      <c r="BW59" s="97" t="str">
        <f>IF($A59="","",IF($AK59="",1,IFERROR(INDEX('Sublimits and Parts'!$C$78:$C$80,MATCH($AK59,'Sublimits and Parts'!$B$78:$B$80,0)),"?")))</f>
        <v/>
      </c>
      <c r="BX59" s="97" t="str">
        <f>IF($A59="","",IF($AL59="",1,IFERROR(INDEX('Sublimits and Parts'!$C$84:$C$87,MATCH($AL59,'Sublimits and Parts'!$B$84:$B$87,0)),"?")))</f>
        <v/>
      </c>
      <c r="BY59" s="97" t="str">
        <f>IF($A59="","",IF($AM59="",1,IFERROR(INDEX('Sublimits and Parts'!$C$91:$C$94,MATCH($AM59,'Sublimits and Parts'!$B$91:$B$94,0)),"?")))</f>
        <v/>
      </c>
      <c r="BZ59" s="97" t="str">
        <f>IF($A59="","",IF($AN59="",1,IFERROR(INDEX('Sublimits and Parts'!$C$98:$C$101,MATCH($AN59,'Sublimits and Parts'!$B$98:$B$101,0)),"?")))</f>
        <v/>
      </c>
      <c r="CA59" s="97" t="str">
        <f>IF($A59="","",IF($AO59="",1,IFERROR(INDEX('Sublimits and Parts'!$C$105:$C$109,MATCH($AO59,'Sublimits and Parts'!$B$105:$B$109,0)),"?")))</f>
        <v/>
      </c>
      <c r="CB59" s="98" t="str">
        <f t="shared" si="2"/>
        <v/>
      </c>
      <c r="CC59" s="98" t="str">
        <f t="shared" si="3"/>
        <v/>
      </c>
      <c r="CD59" s="101" t="str">
        <f>IF($A59="","",IF(OR($CB59="?",$CC59="?"),"?",MIN($CB59*$CC59,'Technical Premium'!$C$17)))</f>
        <v/>
      </c>
      <c r="CE59" s="100" t="str">
        <f t="shared" si="4"/>
        <v/>
      </c>
      <c r="CF59" s="100" t="str">
        <f>IF($A59="","",IFERROR(INDEX('Territory Factors'!$F$6:$F$56,MATCH($K59,'Territory Factors'!$B$6:$B$56,0)),"?"))</f>
        <v/>
      </c>
      <c r="CG59" s="98" t="str">
        <f>IF($A59="","",IFERROR(INDEX('Usage and Coverage'!$C$79:$C$84,MATCH($Y59,'Usage and Coverage'!$B$79:$B$84,0)),"?"))</f>
        <v/>
      </c>
      <c r="CH59" s="100" t="str">
        <f>IFERROR(IF(ISNUMBER($CD59),$CF59*$CG59*MIN($BG59*$BA59*$BC59*$BD59*$BH59*$BF59,'Technical Premium'!$C$17),""),"")</f>
        <v/>
      </c>
      <c r="CI59" s="100" t="str">
        <f t="shared" si="5"/>
        <v/>
      </c>
      <c r="CJ59" s="100" t="str">
        <f>IFERROR($CI59*(1+'Technical Premium'!$C$5)*(1+'Technical Premium'!$C$6),"")</f>
        <v/>
      </c>
      <c r="CK59" s="100" t="str">
        <f>IFERROR($CE59*INDEX('Territory Factors'!$G$6:$G$56,MATCH($K59,'Territory Factors'!$B$6:$B$56,0))*$AU59*$AV59,"")</f>
        <v/>
      </c>
      <c r="CL59" s="100" t="str">
        <f>IFERROR(($CJ59+$CK59)*(1+'Technical Premium'!$C$7),"")</f>
        <v/>
      </c>
      <c r="CM59" s="102" t="str">
        <f>IFERROR($CL59/'Technical Premium'!$C$13,"")</f>
        <v/>
      </c>
      <c r="CN59" s="103" t="str">
        <f t="shared" si="6"/>
        <v/>
      </c>
      <c r="CO59" s="102" t="str">
        <f t="shared" si="7"/>
        <v/>
      </c>
      <c r="CP59" s="103" t="str">
        <f t="shared" si="8"/>
        <v/>
      </c>
      <c r="CQ59" s="104" t="str">
        <f t="shared" si="9"/>
        <v/>
      </c>
      <c r="CR59" s="100" t="str">
        <f>IF(ISNUMBER($CM59),'Technical Premium'!$C$14+IF($J59&gt;=1000000,'Technical Premium'!$C$15,0),"")</f>
        <v/>
      </c>
      <c r="CS59" s="100" t="str">
        <f>IFERROR(($CO59+$CR59)*(INDEX('Territory Factors'!$K$6:$K$56,MATCH($K59,'Territory Factors'!$B$6:$B$56,0))+'Commission Structure'!$C$21),"")</f>
        <v/>
      </c>
      <c r="CT59" s="102" t="str">
        <f t="shared" si="10"/>
        <v/>
      </c>
      <c r="CU59" s="100" t="str">
        <f>IFERROR($CO59*('Commission Structure'!$C$6+'Commission Structure'!$C$7),"")</f>
        <v/>
      </c>
      <c r="CV59" s="100" t="str">
        <f>IFERROR($CO59*'Commission Structure'!$C$5-$CU59,"")</f>
        <v/>
      </c>
      <c r="CW59" s="100" t="str">
        <f>IFERROR($CO59*(1-'Commission Structure'!$C$5),"")</f>
        <v/>
      </c>
      <c r="CX59" s="105" t="str">
        <f>IF($A59="","",IF(OR($CB59="?",$CC59="?",NOT(ISNUMBER($AU59))),"CHECK INPUTS",IF(OR($J59&lt;'Technical Premium'!$C$18,LEFT(IFERROR(INDEX('Driver Factors'!$D$6:$D$15,MATCH($R59,'Driver Factors'!$B$6:$B$15,0)),""),7)="DECLINE",LEFT(IFERROR(INDEX('Driver Factors'!$D$28:$D$36,MATCH($T59,'Driver Factors'!$B$28:$B$36,0)),""),7)="DECLINE",LEFT(IFERROR(INDEX('Claims History'!$D$6:$D$15,MATCH($U59,'Claims History'!$B$6:$B$15,0)),""),7)="DECLINE",LEFT(IFERROR(INDEX('Usage and Coverage'!$E$6:$E$20,MATCH($N59,'Usage and Coverage'!$C$6:$C$20,0)),""),7)="DECLINE"),"DECLINE",IF(OR($CD59&gt;2.5,$CD59&gt;='Technical Premium'!$C$17,$J59&gt;='Technical Premium'!$C$16,N($AQ59)&lt;'Technical Premium'!$C$19,N($AQ59)&gt;'Technical Premium'!$C$20,LEFT(IFERROR(INDEX('Driver Factors'!$D$6:$D$15,MATCH($R59,'Driver Factors'!$B$6:$B$15,0)),""),5)="Refer",LEFT(IFERROR(INDEX('Driver Factors'!$D$28:$D$36,MATCH($T59,'Driver Factors'!$B$28:$B$36,0)),""),5)="Refer",LEFT(IFERROR(INDEX('Claims History'!$D$6:$D$15,MATCH($U59,'Claims History'!$B$6:$B$15,0)),""),5)="Refer",LEFT(IFERROR(INDEX('Usage and Coverage'!$E$6:$E$20,MATCH($N59,'Usage and Coverage'!$C$6:$C$20,0)),""),5)="Refer"),"REFER","AUTO-BIND"))))</f>
        <v/>
      </c>
      <c r="CY59" s="106" t="str">
        <f t="shared" si="11"/>
        <v/>
      </c>
      <c r="CZ59" s="97" t="str">
        <f>IF($CY59="","",IF($CY59&lt;'Technical Premium'!$C$19,"BEYOND AUTHORITY",IF($CY59&gt;0.005,"Above technical",IF($CY59&lt;-0.005,"BELOW technical","At technical"))))</f>
        <v/>
      </c>
      <c r="DA59" s="97" t="str">
        <f>IF($A59="","",IF($CX59="AUTO-BIND","",TRIM(IF($J59&lt;'Technical Premium'!$C$18,"Below programme minimum agreed value. ","")&amp;IF(N($AQ59)&lt;'Technical Premium'!$C$19,"DISCOUNT AUTHORITY BREACH. ","")&amp;IF(N($AQ59)&gt;'Technical Premium'!$C$20,"Load authority breach. ","")&amp;IF($J59&gt;='Technical Premium'!$C$16,"Agreed value at or above auto-bind limit. ","")&amp;IF(AND(ISNUMBER($CD59),$CD59&gt;='Technical Premium'!$C$17),"Composite factor at cap. ","")&amp;IF(AND(ISNUMBER($CD59),$CD59&gt;2.5),"Composite factor above 2.50. ","")&amp;IF(LEFT(IFERROR(INDEX('Driver Factors'!$D$6:$D$15,MATCH($R59,'Driver Factors'!$B$6:$B$15,0)),""),7)="DECLINE","DECLINE - driver age. ",IF(LEFT(IFERROR(INDEX('Driver Factors'!$D$6:$D$15,MATCH($R59,'Driver Factors'!$B$6:$B$15,0)),""),5)="Refer","Driver age band. ",""))&amp;IF(LEFT(IFERROR(INDEX('Driver Factors'!$D$28:$D$36,MATCH($T59,'Driver Factors'!$B$28:$B$36,0)),""),7)="DECLINE","DECLINE - MVR. ",IF(LEFT(IFERROR(INDEX('Driver Factors'!$D$28:$D$36,MATCH($T59,'Driver Factors'!$B$28:$B$36,0)),""),5)="Refer","MVR record. ",""))&amp;IF(LEFT(IFERROR(INDEX('Claims History'!$D$6:$D$15,MATCH($U59,'Claims History'!$B$6:$B$15,0)),""),7)="DECLINE","DECLINE - claims. ",IF(LEFT(IFERROR(INDEX('Claims History'!$D$6:$D$15,MATCH($U59,'Claims History'!$B$6:$B$15,0)),""),5)="Refer","Claims history. ",""))&amp;IF(LEFT(IFERROR(INDEX('Usage and Coverage'!$E$6:$E$20,MATCH($N59,'Usage and Coverage'!$C$6:$C$20,0)),""),7)="DECLINE","DECLINE - usage class. ",IF(LEFT(IFERROR(INDEX('Usage and Coverage'!$E$6:$E$20,MATCH($N59,'Usage and Coverage'!$C$6:$C$20,0)),""),5)="Refer","Usage class. ",""))&amp;IF($CX59="CHECK INPUTS","Incomplete inputs. ",""))))</f>
        <v/>
      </c>
      <c r="DB59" s="92"/>
      <c r="DC59" s="92"/>
      <c r="DD59" s="93"/>
      <c r="DE59" s="92"/>
      <c r="DF59" s="92"/>
      <c r="DG59" s="97" t="str">
        <f t="shared" si="12"/>
        <v/>
      </c>
      <c r="DH59" s="97" t="str">
        <f>IF($A59="","",IF(OR($CX59="REFER",$CX59="DECLINE"),COUNTIF($CX$5:$CX59,"REFER")+COUNTIF($CX$5:$CX59,"DECLINE"),""))</f>
        <v/>
      </c>
      <c r="DI59" s="92"/>
    </row>
    <row r="60" spans="1:113" x14ac:dyDescent="0.25">
      <c r="A60" s="92"/>
      <c r="B60" s="92"/>
      <c r="C60" s="93"/>
      <c r="D60" s="93"/>
      <c r="E60" s="94"/>
      <c r="F60" s="92"/>
      <c r="G60" s="92"/>
      <c r="H60" s="92"/>
      <c r="I60" s="92"/>
      <c r="J60" s="95"/>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c r="AP60" s="92"/>
      <c r="AQ60" s="96"/>
      <c r="AR60" s="97" t="str">
        <f t="shared" si="0"/>
        <v/>
      </c>
      <c r="AS60" s="97" t="str">
        <f>IF($A60="","",IF($AP60&lt;&gt;"",$AP60,IFERROR(INDEX('Cat Zone by ZIP'!$D$6:$D$856,MATCH($AR60,'Cat Zone by ZIP'!$B$6:$B$856,0)),IFERROR(INDEX('Cat Zone by ZIP'!$C$860:$C$910,MATCH($K60,'Cat Zone by ZIP'!$B$860:$B$910,0)),"NOT FOUND"))))</f>
        <v/>
      </c>
      <c r="AT60" s="97" t="str">
        <f>IF($A60="","",IF($AP60&lt;&gt;"","Override",IF(ISNUMBER(MATCH($AR60,'Cat Zone by ZIP'!$B$6:$B$856,0)),"ZIP-3","State default")))</f>
        <v/>
      </c>
      <c r="AU60" s="98" t="str">
        <f>IF($A60="","",IFERROR(INDEX('Natural Catastrophe'!$D$6:$D$17,MATCH($AS60,'Natural Catastrophe'!$B$6:$B$17,0)),"?"))</f>
        <v/>
      </c>
      <c r="AV60" s="98" t="str">
        <f>IF($A60="","",IFERROR(INDEX('Natural Catastrophe'!$C$21:$C$26,MATCH($AA60,'Natural Catastrophe'!$B$21:$B$26,0)),"?"))</f>
        <v/>
      </c>
      <c r="AW60" s="97" t="str">
        <f>IF($A60="","",IFERROR(INDEX('Base Rates'!$C$4:$I$4,MATCH(MAX($J60,'Technical Premium'!$C$18),'Base Rates'!$C$3:$I$3,1)),"?"))</f>
        <v/>
      </c>
      <c r="AX60" s="99" t="str">
        <f>IF($A60="","",IFERROR(INDEX('Base Rates'!$C$5:$I$16,MATCH($I60,'Base Rates'!$B$5:$B$16,0),MATCH(MAX($J60,'Technical Premium'!$C$18),'Base Rates'!$C$3:$I$3,1)),"?"))</f>
        <v/>
      </c>
      <c r="AY60" s="100" t="str">
        <f t="shared" si="1"/>
        <v/>
      </c>
      <c r="AZ60" s="97" t="str">
        <f>IF($A60="","",IFERROR(INDEX('Make Factors'!$G$5:$G$69,MATCH($F60,'Make Factors'!$B$5:$B$69,0)),"?"))</f>
        <v/>
      </c>
      <c r="BA60" s="97" t="str">
        <f>IF($A60="","",IFERROR(INDEX('Driver Factors'!$C$6:$C$15,MATCH($R60,'Driver Factors'!$B$6:$B$15,0)),"?"))</f>
        <v/>
      </c>
      <c r="BB60" s="97" t="str">
        <f>IF($A60="","",IFERROR(INDEX('Driver Factors'!$C$19:$C$24,MATCH($S60,'Driver Factors'!$B$19:$B$24,0)),"?"))</f>
        <v/>
      </c>
      <c r="BC60" s="97" t="str">
        <f>IF($A60="","",IFERROR(INDEX('Driver Factors'!$C$28:$C$36,MATCH($T60,'Driver Factors'!$B$28:$B$36,0)),"?"))</f>
        <v/>
      </c>
      <c r="BD60" s="97" t="str">
        <f>IF($A60="","",IFERROR(INDEX('Claims History'!$C$6:$C$15,MATCH($U60,'Claims History'!$B$6:$B$15,0)),"?"))</f>
        <v/>
      </c>
      <c r="BE60" s="97" t="str">
        <f>IF($A60="","",IFERROR(INDEX('Territory Factors'!$E$6:$E$56,MATCH($K60,'Territory Factors'!$B$6:$B$56,0)),"?"))</f>
        <v/>
      </c>
      <c r="BF60" s="97" t="str">
        <f>IF($A60="","",IFERROR(INDEX('City Accident Ratings'!$G$6:$G$54,MATCH($Z60,'City Accident Ratings'!$B$6:$B$54,0)),"?"))</f>
        <v/>
      </c>
      <c r="BG60" s="97" t="str">
        <f>IF($A60="","",IFERROR(INDEX('Usage and Coverage'!$D$6:$D$20,MATCH($N60,'Usage and Coverage'!$C$6:$C$20,0)),"?"))</f>
        <v/>
      </c>
      <c r="BH60" s="97" t="str">
        <f>IF($A60="","",IFERROR(INDEX('Usage and Coverage'!$C$24:$C$30,MATCH($O60,'Usage and Coverage'!$B$24:$B$30,0)),"?"))</f>
        <v/>
      </c>
      <c r="BI60" s="97" t="str">
        <f>IF($A60="","",IFERROR(INDEX('Usage and Coverage'!$C$34:$C$40,MATCH($P60,'Usage and Coverage'!$B$34:$B$40,0)),"?"))</f>
        <v/>
      </c>
      <c r="BJ60" s="97" t="str">
        <f>IF($A60="","",IFERROR(INDEX('Usage and Coverage'!$C$44:$C$49,MATCH($Q60,'Usage and Coverage'!$B$44:$B$49,0)),"?"))</f>
        <v/>
      </c>
      <c r="BK60" s="97" t="str">
        <f>IF($A60="","",IFERROR(INDEX(Deductibles!$C$6:$I$15,MATCH($W60,Deductibles!$B$6:$B$15,0),MATCH(MAX($J60,'Technical Premium'!$C$18),'Base Rates'!$C$3:$I$3,1)),"?"))</f>
        <v/>
      </c>
      <c r="BL60" s="97" t="str">
        <f>IF($A60="","",IFERROR(INDEX('Usage and Coverage'!$C$63:$C$66,MATCH($X60,'Usage and Coverage'!$B$63:$B$66,0)),"?"))</f>
        <v/>
      </c>
      <c r="BM60" s="97" t="str">
        <f>IF($A60="","",IFERROR(INDEX('Usage and Coverage'!$C$70:$C$75,MATCH($V60,'Usage and Coverage'!$B$70:$B$75,0)),"?"))</f>
        <v/>
      </c>
      <c r="BN60" s="97" t="str">
        <f>IF($A60="","",IF($AB60="",1,IFERROR(INDEX(Deductibles!$C$48:$C$51,MATCH($AB60,Deductibles!$B$48:$B$51,0)),"?")))</f>
        <v/>
      </c>
      <c r="BO60" s="97" t="str">
        <f>IF($A60="","",IF($AC60="",1,IFERROR(INDEX(Deductibles!$C$55:$C$57,MATCH($AC60,Deductibles!$B$55:$B$57,0)),"?")))</f>
        <v/>
      </c>
      <c r="BP60" s="97" t="str">
        <f>IF($A60="","",IF($AD60="",1,IFERROR(INDEX(Deductibles!$C$61:$C$63,MATCH($AD60,Deductibles!$B$61:$B$63,0)),"?")))</f>
        <v/>
      </c>
      <c r="BQ60" s="97" t="str">
        <f>IF($A60="","",IF($AE60="",1,IFERROR(INDEX(Deductibles!$C$67:$C$69,MATCH($AE60,Deductibles!$B$67:$B$69,0)),"?")))</f>
        <v/>
      </c>
      <c r="BR60" s="97" t="str">
        <f>IF($A60="","",IF($AF60="",1,IFERROR(INDEX(Deductibles!$C$73:$C$74,MATCH($AF60,Deductibles!$B$73:$B$74,0)),"?")))</f>
        <v/>
      </c>
      <c r="BS60" s="97" t="str">
        <f>IF($A60="","",IF($AG60="",1,IFERROR(INDEX('Sublimits and Parts'!$C$49:$C$52,MATCH($AG60,'Sublimits and Parts'!$B$49:$B$52,0)),"?")))</f>
        <v/>
      </c>
      <c r="BT60" s="97" t="str">
        <f>IF($A60="","",IF($AH60="",1,IFERROR(INDEX('Sublimits and Parts'!$C$56:$C$60,MATCH($AH60,'Sublimits and Parts'!$B$56:$B$60,0)),"?")))</f>
        <v/>
      </c>
      <c r="BU60" s="97" t="str">
        <f>IF($A60="","",IF($AI60="",1,IFERROR(INDEX('Sublimits and Parts'!$C$64:$C$67,MATCH($AI60,'Sublimits and Parts'!$B$64:$B$67,0)),"?")))</f>
        <v/>
      </c>
      <c r="BV60" s="97" t="str">
        <f>IF($A60="","",IF($AJ60="",1,IFERROR(INDEX('Sublimits and Parts'!$C$71:$C$74,MATCH($AJ60,'Sublimits and Parts'!$B$71:$B$74,0)),"?")))</f>
        <v/>
      </c>
      <c r="BW60" s="97" t="str">
        <f>IF($A60="","",IF($AK60="",1,IFERROR(INDEX('Sublimits and Parts'!$C$78:$C$80,MATCH($AK60,'Sublimits and Parts'!$B$78:$B$80,0)),"?")))</f>
        <v/>
      </c>
      <c r="BX60" s="97" t="str">
        <f>IF($A60="","",IF($AL60="",1,IFERROR(INDEX('Sublimits and Parts'!$C$84:$C$87,MATCH($AL60,'Sublimits and Parts'!$B$84:$B$87,0)),"?")))</f>
        <v/>
      </c>
      <c r="BY60" s="97" t="str">
        <f>IF($A60="","",IF($AM60="",1,IFERROR(INDEX('Sublimits and Parts'!$C$91:$C$94,MATCH($AM60,'Sublimits and Parts'!$B$91:$B$94,0)),"?")))</f>
        <v/>
      </c>
      <c r="BZ60" s="97" t="str">
        <f>IF($A60="","",IF($AN60="",1,IFERROR(INDEX('Sublimits and Parts'!$C$98:$C$101,MATCH($AN60,'Sublimits and Parts'!$B$98:$B$101,0)),"?")))</f>
        <v/>
      </c>
      <c r="CA60" s="97" t="str">
        <f>IF($A60="","",IF($AO60="",1,IFERROR(INDEX('Sublimits and Parts'!$C$105:$C$109,MATCH($AO60,'Sublimits and Parts'!$B$105:$B$109,0)),"?")))</f>
        <v/>
      </c>
      <c r="CB60" s="98" t="str">
        <f t="shared" si="2"/>
        <v/>
      </c>
      <c r="CC60" s="98" t="str">
        <f t="shared" si="3"/>
        <v/>
      </c>
      <c r="CD60" s="101" t="str">
        <f>IF($A60="","",IF(OR($CB60="?",$CC60="?"),"?",MIN($CB60*$CC60,'Technical Premium'!$C$17)))</f>
        <v/>
      </c>
      <c r="CE60" s="100" t="str">
        <f t="shared" si="4"/>
        <v/>
      </c>
      <c r="CF60" s="100" t="str">
        <f>IF($A60="","",IFERROR(INDEX('Territory Factors'!$F$6:$F$56,MATCH($K60,'Territory Factors'!$B$6:$B$56,0)),"?"))</f>
        <v/>
      </c>
      <c r="CG60" s="98" t="str">
        <f>IF($A60="","",IFERROR(INDEX('Usage and Coverage'!$C$79:$C$84,MATCH($Y60,'Usage and Coverage'!$B$79:$B$84,0)),"?"))</f>
        <v/>
      </c>
      <c r="CH60" s="100" t="str">
        <f>IFERROR(IF(ISNUMBER($CD60),$CF60*$CG60*MIN($BG60*$BA60*$BC60*$BD60*$BH60*$BF60,'Technical Premium'!$C$17),""),"")</f>
        <v/>
      </c>
      <c r="CI60" s="100" t="str">
        <f t="shared" si="5"/>
        <v/>
      </c>
      <c r="CJ60" s="100" t="str">
        <f>IFERROR($CI60*(1+'Technical Premium'!$C$5)*(1+'Technical Premium'!$C$6),"")</f>
        <v/>
      </c>
      <c r="CK60" s="100" t="str">
        <f>IFERROR($CE60*INDEX('Territory Factors'!$G$6:$G$56,MATCH($K60,'Territory Factors'!$B$6:$B$56,0))*$AU60*$AV60,"")</f>
        <v/>
      </c>
      <c r="CL60" s="100" t="str">
        <f>IFERROR(($CJ60+$CK60)*(1+'Technical Premium'!$C$7),"")</f>
        <v/>
      </c>
      <c r="CM60" s="102" t="str">
        <f>IFERROR($CL60/'Technical Premium'!$C$13,"")</f>
        <v/>
      </c>
      <c r="CN60" s="103" t="str">
        <f t="shared" si="6"/>
        <v/>
      </c>
      <c r="CO60" s="102" t="str">
        <f t="shared" si="7"/>
        <v/>
      </c>
      <c r="CP60" s="103" t="str">
        <f t="shared" si="8"/>
        <v/>
      </c>
      <c r="CQ60" s="104" t="str">
        <f t="shared" si="9"/>
        <v/>
      </c>
      <c r="CR60" s="100" t="str">
        <f>IF(ISNUMBER($CM60),'Technical Premium'!$C$14+IF($J60&gt;=1000000,'Technical Premium'!$C$15,0),"")</f>
        <v/>
      </c>
      <c r="CS60" s="100" t="str">
        <f>IFERROR(($CO60+$CR60)*(INDEX('Territory Factors'!$K$6:$K$56,MATCH($K60,'Territory Factors'!$B$6:$B$56,0))+'Commission Structure'!$C$21),"")</f>
        <v/>
      </c>
      <c r="CT60" s="102" t="str">
        <f t="shared" si="10"/>
        <v/>
      </c>
      <c r="CU60" s="100" t="str">
        <f>IFERROR($CO60*('Commission Structure'!$C$6+'Commission Structure'!$C$7),"")</f>
        <v/>
      </c>
      <c r="CV60" s="100" t="str">
        <f>IFERROR($CO60*'Commission Structure'!$C$5-$CU60,"")</f>
        <v/>
      </c>
      <c r="CW60" s="100" t="str">
        <f>IFERROR($CO60*(1-'Commission Structure'!$C$5),"")</f>
        <v/>
      </c>
      <c r="CX60" s="105" t="str">
        <f>IF($A60="","",IF(OR($CB60="?",$CC60="?",NOT(ISNUMBER($AU60))),"CHECK INPUTS",IF(OR($J60&lt;'Technical Premium'!$C$18,LEFT(IFERROR(INDEX('Driver Factors'!$D$6:$D$15,MATCH($R60,'Driver Factors'!$B$6:$B$15,0)),""),7)="DECLINE",LEFT(IFERROR(INDEX('Driver Factors'!$D$28:$D$36,MATCH($T60,'Driver Factors'!$B$28:$B$36,0)),""),7)="DECLINE",LEFT(IFERROR(INDEX('Claims History'!$D$6:$D$15,MATCH($U60,'Claims History'!$B$6:$B$15,0)),""),7)="DECLINE",LEFT(IFERROR(INDEX('Usage and Coverage'!$E$6:$E$20,MATCH($N60,'Usage and Coverage'!$C$6:$C$20,0)),""),7)="DECLINE"),"DECLINE",IF(OR($CD60&gt;2.5,$CD60&gt;='Technical Premium'!$C$17,$J60&gt;='Technical Premium'!$C$16,N($AQ60)&lt;'Technical Premium'!$C$19,N($AQ60)&gt;'Technical Premium'!$C$20,LEFT(IFERROR(INDEX('Driver Factors'!$D$6:$D$15,MATCH($R60,'Driver Factors'!$B$6:$B$15,0)),""),5)="Refer",LEFT(IFERROR(INDEX('Driver Factors'!$D$28:$D$36,MATCH($T60,'Driver Factors'!$B$28:$B$36,0)),""),5)="Refer",LEFT(IFERROR(INDEX('Claims History'!$D$6:$D$15,MATCH($U60,'Claims History'!$B$6:$B$15,0)),""),5)="Refer",LEFT(IFERROR(INDEX('Usage and Coverage'!$E$6:$E$20,MATCH($N60,'Usage and Coverage'!$C$6:$C$20,0)),""),5)="Refer"),"REFER","AUTO-BIND"))))</f>
        <v/>
      </c>
      <c r="CY60" s="106" t="str">
        <f t="shared" si="11"/>
        <v/>
      </c>
      <c r="CZ60" s="97" t="str">
        <f>IF($CY60="","",IF($CY60&lt;'Technical Premium'!$C$19,"BEYOND AUTHORITY",IF($CY60&gt;0.005,"Above technical",IF($CY60&lt;-0.005,"BELOW technical","At technical"))))</f>
        <v/>
      </c>
      <c r="DA60" s="97" t="str">
        <f>IF($A60="","",IF($CX60="AUTO-BIND","",TRIM(IF($J60&lt;'Technical Premium'!$C$18,"Below programme minimum agreed value. ","")&amp;IF(N($AQ60)&lt;'Technical Premium'!$C$19,"DISCOUNT AUTHORITY BREACH. ","")&amp;IF(N($AQ60)&gt;'Technical Premium'!$C$20,"Load authority breach. ","")&amp;IF($J60&gt;='Technical Premium'!$C$16,"Agreed value at or above auto-bind limit. ","")&amp;IF(AND(ISNUMBER($CD60),$CD60&gt;='Technical Premium'!$C$17),"Composite factor at cap. ","")&amp;IF(AND(ISNUMBER($CD60),$CD60&gt;2.5),"Composite factor above 2.50. ","")&amp;IF(LEFT(IFERROR(INDEX('Driver Factors'!$D$6:$D$15,MATCH($R60,'Driver Factors'!$B$6:$B$15,0)),""),7)="DECLINE","DECLINE - driver age. ",IF(LEFT(IFERROR(INDEX('Driver Factors'!$D$6:$D$15,MATCH($R60,'Driver Factors'!$B$6:$B$15,0)),""),5)="Refer","Driver age band. ",""))&amp;IF(LEFT(IFERROR(INDEX('Driver Factors'!$D$28:$D$36,MATCH($T60,'Driver Factors'!$B$28:$B$36,0)),""),7)="DECLINE","DECLINE - MVR. ",IF(LEFT(IFERROR(INDEX('Driver Factors'!$D$28:$D$36,MATCH($T60,'Driver Factors'!$B$28:$B$36,0)),""),5)="Refer","MVR record. ",""))&amp;IF(LEFT(IFERROR(INDEX('Claims History'!$D$6:$D$15,MATCH($U60,'Claims History'!$B$6:$B$15,0)),""),7)="DECLINE","DECLINE - claims. ",IF(LEFT(IFERROR(INDEX('Claims History'!$D$6:$D$15,MATCH($U60,'Claims History'!$B$6:$B$15,0)),""),5)="Refer","Claims history. ",""))&amp;IF(LEFT(IFERROR(INDEX('Usage and Coverage'!$E$6:$E$20,MATCH($N60,'Usage and Coverage'!$C$6:$C$20,0)),""),7)="DECLINE","DECLINE - usage class. ",IF(LEFT(IFERROR(INDEX('Usage and Coverage'!$E$6:$E$20,MATCH($N60,'Usage and Coverage'!$C$6:$C$20,0)),""),5)="Refer","Usage class. ",""))&amp;IF($CX60="CHECK INPUTS","Incomplete inputs. ",""))))</f>
        <v/>
      </c>
      <c r="DB60" s="92"/>
      <c r="DC60" s="92"/>
      <c r="DD60" s="93"/>
      <c r="DE60" s="92"/>
      <c r="DF60" s="92"/>
      <c r="DG60" s="97" t="str">
        <f t="shared" si="12"/>
        <v/>
      </c>
      <c r="DH60" s="97" t="str">
        <f>IF($A60="","",IF(OR($CX60="REFER",$CX60="DECLINE"),COUNTIF($CX$5:$CX60,"REFER")+COUNTIF($CX$5:$CX60,"DECLINE"),""))</f>
        <v/>
      </c>
      <c r="DI60" s="92"/>
    </row>
    <row r="61" spans="1:113" x14ac:dyDescent="0.25">
      <c r="A61" s="92"/>
      <c r="B61" s="92"/>
      <c r="C61" s="93"/>
      <c r="D61" s="93"/>
      <c r="E61" s="94"/>
      <c r="F61" s="92"/>
      <c r="G61" s="92"/>
      <c r="H61" s="92"/>
      <c r="I61" s="92"/>
      <c r="J61" s="95"/>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6"/>
      <c r="AR61" s="97" t="str">
        <f t="shared" si="0"/>
        <v/>
      </c>
      <c r="AS61" s="97" t="str">
        <f>IF($A61="","",IF($AP61&lt;&gt;"",$AP61,IFERROR(INDEX('Cat Zone by ZIP'!$D$6:$D$856,MATCH($AR61,'Cat Zone by ZIP'!$B$6:$B$856,0)),IFERROR(INDEX('Cat Zone by ZIP'!$C$860:$C$910,MATCH($K61,'Cat Zone by ZIP'!$B$860:$B$910,0)),"NOT FOUND"))))</f>
        <v/>
      </c>
      <c r="AT61" s="97" t="str">
        <f>IF($A61="","",IF($AP61&lt;&gt;"","Override",IF(ISNUMBER(MATCH($AR61,'Cat Zone by ZIP'!$B$6:$B$856,0)),"ZIP-3","State default")))</f>
        <v/>
      </c>
      <c r="AU61" s="98" t="str">
        <f>IF($A61="","",IFERROR(INDEX('Natural Catastrophe'!$D$6:$D$17,MATCH($AS61,'Natural Catastrophe'!$B$6:$B$17,0)),"?"))</f>
        <v/>
      </c>
      <c r="AV61" s="98" t="str">
        <f>IF($A61="","",IFERROR(INDEX('Natural Catastrophe'!$C$21:$C$26,MATCH($AA61,'Natural Catastrophe'!$B$21:$B$26,0)),"?"))</f>
        <v/>
      </c>
      <c r="AW61" s="97" t="str">
        <f>IF($A61="","",IFERROR(INDEX('Base Rates'!$C$4:$I$4,MATCH(MAX($J61,'Technical Premium'!$C$18),'Base Rates'!$C$3:$I$3,1)),"?"))</f>
        <v/>
      </c>
      <c r="AX61" s="99" t="str">
        <f>IF($A61="","",IFERROR(INDEX('Base Rates'!$C$5:$I$16,MATCH($I61,'Base Rates'!$B$5:$B$16,0),MATCH(MAX($J61,'Technical Premium'!$C$18),'Base Rates'!$C$3:$I$3,1)),"?"))</f>
        <v/>
      </c>
      <c r="AY61" s="100" t="str">
        <f t="shared" si="1"/>
        <v/>
      </c>
      <c r="AZ61" s="97" t="str">
        <f>IF($A61="","",IFERROR(INDEX('Make Factors'!$G$5:$G$69,MATCH($F61,'Make Factors'!$B$5:$B$69,0)),"?"))</f>
        <v/>
      </c>
      <c r="BA61" s="97" t="str">
        <f>IF($A61="","",IFERROR(INDEX('Driver Factors'!$C$6:$C$15,MATCH($R61,'Driver Factors'!$B$6:$B$15,0)),"?"))</f>
        <v/>
      </c>
      <c r="BB61" s="97" t="str">
        <f>IF($A61="","",IFERROR(INDEX('Driver Factors'!$C$19:$C$24,MATCH($S61,'Driver Factors'!$B$19:$B$24,0)),"?"))</f>
        <v/>
      </c>
      <c r="BC61" s="97" t="str">
        <f>IF($A61="","",IFERROR(INDEX('Driver Factors'!$C$28:$C$36,MATCH($T61,'Driver Factors'!$B$28:$B$36,0)),"?"))</f>
        <v/>
      </c>
      <c r="BD61" s="97" t="str">
        <f>IF($A61="","",IFERROR(INDEX('Claims History'!$C$6:$C$15,MATCH($U61,'Claims History'!$B$6:$B$15,0)),"?"))</f>
        <v/>
      </c>
      <c r="BE61" s="97" t="str">
        <f>IF($A61="","",IFERROR(INDEX('Territory Factors'!$E$6:$E$56,MATCH($K61,'Territory Factors'!$B$6:$B$56,0)),"?"))</f>
        <v/>
      </c>
      <c r="BF61" s="97" t="str">
        <f>IF($A61="","",IFERROR(INDEX('City Accident Ratings'!$G$6:$G$54,MATCH($Z61,'City Accident Ratings'!$B$6:$B$54,0)),"?"))</f>
        <v/>
      </c>
      <c r="BG61" s="97" t="str">
        <f>IF($A61="","",IFERROR(INDEX('Usage and Coverage'!$D$6:$D$20,MATCH($N61,'Usage and Coverage'!$C$6:$C$20,0)),"?"))</f>
        <v/>
      </c>
      <c r="BH61" s="97" t="str">
        <f>IF($A61="","",IFERROR(INDEX('Usage and Coverage'!$C$24:$C$30,MATCH($O61,'Usage and Coverage'!$B$24:$B$30,0)),"?"))</f>
        <v/>
      </c>
      <c r="BI61" s="97" t="str">
        <f>IF($A61="","",IFERROR(INDEX('Usage and Coverage'!$C$34:$C$40,MATCH($P61,'Usage and Coverage'!$B$34:$B$40,0)),"?"))</f>
        <v/>
      </c>
      <c r="BJ61" s="97" t="str">
        <f>IF($A61="","",IFERROR(INDEX('Usage and Coverage'!$C$44:$C$49,MATCH($Q61,'Usage and Coverage'!$B$44:$B$49,0)),"?"))</f>
        <v/>
      </c>
      <c r="BK61" s="97" t="str">
        <f>IF($A61="","",IFERROR(INDEX(Deductibles!$C$6:$I$15,MATCH($W61,Deductibles!$B$6:$B$15,0),MATCH(MAX($J61,'Technical Premium'!$C$18),'Base Rates'!$C$3:$I$3,1)),"?"))</f>
        <v/>
      </c>
      <c r="BL61" s="97" t="str">
        <f>IF($A61="","",IFERROR(INDEX('Usage and Coverage'!$C$63:$C$66,MATCH($X61,'Usage and Coverage'!$B$63:$B$66,0)),"?"))</f>
        <v/>
      </c>
      <c r="BM61" s="97" t="str">
        <f>IF($A61="","",IFERROR(INDEX('Usage and Coverage'!$C$70:$C$75,MATCH($V61,'Usage and Coverage'!$B$70:$B$75,0)),"?"))</f>
        <v/>
      </c>
      <c r="BN61" s="97" t="str">
        <f>IF($A61="","",IF($AB61="",1,IFERROR(INDEX(Deductibles!$C$48:$C$51,MATCH($AB61,Deductibles!$B$48:$B$51,0)),"?")))</f>
        <v/>
      </c>
      <c r="BO61" s="97" t="str">
        <f>IF($A61="","",IF($AC61="",1,IFERROR(INDEX(Deductibles!$C$55:$C$57,MATCH($AC61,Deductibles!$B$55:$B$57,0)),"?")))</f>
        <v/>
      </c>
      <c r="BP61" s="97" t="str">
        <f>IF($A61="","",IF($AD61="",1,IFERROR(INDEX(Deductibles!$C$61:$C$63,MATCH($AD61,Deductibles!$B$61:$B$63,0)),"?")))</f>
        <v/>
      </c>
      <c r="BQ61" s="97" t="str">
        <f>IF($A61="","",IF($AE61="",1,IFERROR(INDEX(Deductibles!$C$67:$C$69,MATCH($AE61,Deductibles!$B$67:$B$69,0)),"?")))</f>
        <v/>
      </c>
      <c r="BR61" s="97" t="str">
        <f>IF($A61="","",IF($AF61="",1,IFERROR(INDEX(Deductibles!$C$73:$C$74,MATCH($AF61,Deductibles!$B$73:$B$74,0)),"?")))</f>
        <v/>
      </c>
      <c r="BS61" s="97" t="str">
        <f>IF($A61="","",IF($AG61="",1,IFERROR(INDEX('Sublimits and Parts'!$C$49:$C$52,MATCH($AG61,'Sublimits and Parts'!$B$49:$B$52,0)),"?")))</f>
        <v/>
      </c>
      <c r="BT61" s="97" t="str">
        <f>IF($A61="","",IF($AH61="",1,IFERROR(INDEX('Sublimits and Parts'!$C$56:$C$60,MATCH($AH61,'Sublimits and Parts'!$B$56:$B$60,0)),"?")))</f>
        <v/>
      </c>
      <c r="BU61" s="97" t="str">
        <f>IF($A61="","",IF($AI61="",1,IFERROR(INDEX('Sublimits and Parts'!$C$64:$C$67,MATCH($AI61,'Sublimits and Parts'!$B$64:$B$67,0)),"?")))</f>
        <v/>
      </c>
      <c r="BV61" s="97" t="str">
        <f>IF($A61="","",IF($AJ61="",1,IFERROR(INDEX('Sublimits and Parts'!$C$71:$C$74,MATCH($AJ61,'Sublimits and Parts'!$B$71:$B$74,0)),"?")))</f>
        <v/>
      </c>
      <c r="BW61" s="97" t="str">
        <f>IF($A61="","",IF($AK61="",1,IFERROR(INDEX('Sublimits and Parts'!$C$78:$C$80,MATCH($AK61,'Sublimits and Parts'!$B$78:$B$80,0)),"?")))</f>
        <v/>
      </c>
      <c r="BX61" s="97" t="str">
        <f>IF($A61="","",IF($AL61="",1,IFERROR(INDEX('Sublimits and Parts'!$C$84:$C$87,MATCH($AL61,'Sublimits and Parts'!$B$84:$B$87,0)),"?")))</f>
        <v/>
      </c>
      <c r="BY61" s="97" t="str">
        <f>IF($A61="","",IF($AM61="",1,IFERROR(INDEX('Sublimits and Parts'!$C$91:$C$94,MATCH($AM61,'Sublimits and Parts'!$B$91:$B$94,0)),"?")))</f>
        <v/>
      </c>
      <c r="BZ61" s="97" t="str">
        <f>IF($A61="","",IF($AN61="",1,IFERROR(INDEX('Sublimits and Parts'!$C$98:$C$101,MATCH($AN61,'Sublimits and Parts'!$B$98:$B$101,0)),"?")))</f>
        <v/>
      </c>
      <c r="CA61" s="97" t="str">
        <f>IF($A61="","",IF($AO61="",1,IFERROR(INDEX('Sublimits and Parts'!$C$105:$C$109,MATCH($AO61,'Sublimits and Parts'!$B$105:$B$109,0)),"?")))</f>
        <v/>
      </c>
      <c r="CB61" s="98" t="str">
        <f t="shared" si="2"/>
        <v/>
      </c>
      <c r="CC61" s="98" t="str">
        <f t="shared" si="3"/>
        <v/>
      </c>
      <c r="CD61" s="101" t="str">
        <f>IF($A61="","",IF(OR($CB61="?",$CC61="?"),"?",MIN($CB61*$CC61,'Technical Premium'!$C$17)))</f>
        <v/>
      </c>
      <c r="CE61" s="100" t="str">
        <f t="shared" si="4"/>
        <v/>
      </c>
      <c r="CF61" s="100" t="str">
        <f>IF($A61="","",IFERROR(INDEX('Territory Factors'!$F$6:$F$56,MATCH($K61,'Territory Factors'!$B$6:$B$56,0)),"?"))</f>
        <v/>
      </c>
      <c r="CG61" s="98" t="str">
        <f>IF($A61="","",IFERROR(INDEX('Usage and Coverage'!$C$79:$C$84,MATCH($Y61,'Usage and Coverage'!$B$79:$B$84,0)),"?"))</f>
        <v/>
      </c>
      <c r="CH61" s="100" t="str">
        <f>IFERROR(IF(ISNUMBER($CD61),$CF61*$CG61*MIN($BG61*$BA61*$BC61*$BD61*$BH61*$BF61,'Technical Premium'!$C$17),""),"")</f>
        <v/>
      </c>
      <c r="CI61" s="100" t="str">
        <f t="shared" si="5"/>
        <v/>
      </c>
      <c r="CJ61" s="100" t="str">
        <f>IFERROR($CI61*(1+'Technical Premium'!$C$5)*(1+'Technical Premium'!$C$6),"")</f>
        <v/>
      </c>
      <c r="CK61" s="100" t="str">
        <f>IFERROR($CE61*INDEX('Territory Factors'!$G$6:$G$56,MATCH($K61,'Territory Factors'!$B$6:$B$56,0))*$AU61*$AV61,"")</f>
        <v/>
      </c>
      <c r="CL61" s="100" t="str">
        <f>IFERROR(($CJ61+$CK61)*(1+'Technical Premium'!$C$7),"")</f>
        <v/>
      </c>
      <c r="CM61" s="102" t="str">
        <f>IFERROR($CL61/'Technical Premium'!$C$13,"")</f>
        <v/>
      </c>
      <c r="CN61" s="103" t="str">
        <f t="shared" si="6"/>
        <v/>
      </c>
      <c r="CO61" s="102" t="str">
        <f t="shared" si="7"/>
        <v/>
      </c>
      <c r="CP61" s="103" t="str">
        <f t="shared" si="8"/>
        <v/>
      </c>
      <c r="CQ61" s="104" t="str">
        <f t="shared" si="9"/>
        <v/>
      </c>
      <c r="CR61" s="100" t="str">
        <f>IF(ISNUMBER($CM61),'Technical Premium'!$C$14+IF($J61&gt;=1000000,'Technical Premium'!$C$15,0),"")</f>
        <v/>
      </c>
      <c r="CS61" s="100" t="str">
        <f>IFERROR(($CO61+$CR61)*(INDEX('Territory Factors'!$K$6:$K$56,MATCH($K61,'Territory Factors'!$B$6:$B$56,0))+'Commission Structure'!$C$21),"")</f>
        <v/>
      </c>
      <c r="CT61" s="102" t="str">
        <f t="shared" si="10"/>
        <v/>
      </c>
      <c r="CU61" s="100" t="str">
        <f>IFERROR($CO61*('Commission Structure'!$C$6+'Commission Structure'!$C$7),"")</f>
        <v/>
      </c>
      <c r="CV61" s="100" t="str">
        <f>IFERROR($CO61*'Commission Structure'!$C$5-$CU61,"")</f>
        <v/>
      </c>
      <c r="CW61" s="100" t="str">
        <f>IFERROR($CO61*(1-'Commission Structure'!$C$5),"")</f>
        <v/>
      </c>
      <c r="CX61" s="105" t="str">
        <f>IF($A61="","",IF(OR($CB61="?",$CC61="?",NOT(ISNUMBER($AU61))),"CHECK INPUTS",IF(OR($J61&lt;'Technical Premium'!$C$18,LEFT(IFERROR(INDEX('Driver Factors'!$D$6:$D$15,MATCH($R61,'Driver Factors'!$B$6:$B$15,0)),""),7)="DECLINE",LEFT(IFERROR(INDEX('Driver Factors'!$D$28:$D$36,MATCH($T61,'Driver Factors'!$B$28:$B$36,0)),""),7)="DECLINE",LEFT(IFERROR(INDEX('Claims History'!$D$6:$D$15,MATCH($U61,'Claims History'!$B$6:$B$15,0)),""),7)="DECLINE",LEFT(IFERROR(INDEX('Usage and Coverage'!$E$6:$E$20,MATCH($N61,'Usage and Coverage'!$C$6:$C$20,0)),""),7)="DECLINE"),"DECLINE",IF(OR($CD61&gt;2.5,$CD61&gt;='Technical Premium'!$C$17,$J61&gt;='Technical Premium'!$C$16,N($AQ61)&lt;'Technical Premium'!$C$19,N($AQ61)&gt;'Technical Premium'!$C$20,LEFT(IFERROR(INDEX('Driver Factors'!$D$6:$D$15,MATCH($R61,'Driver Factors'!$B$6:$B$15,0)),""),5)="Refer",LEFT(IFERROR(INDEX('Driver Factors'!$D$28:$D$36,MATCH($T61,'Driver Factors'!$B$28:$B$36,0)),""),5)="Refer",LEFT(IFERROR(INDEX('Claims History'!$D$6:$D$15,MATCH($U61,'Claims History'!$B$6:$B$15,0)),""),5)="Refer",LEFT(IFERROR(INDEX('Usage and Coverage'!$E$6:$E$20,MATCH($N61,'Usage and Coverage'!$C$6:$C$20,0)),""),5)="Refer"),"REFER","AUTO-BIND"))))</f>
        <v/>
      </c>
      <c r="CY61" s="106" t="str">
        <f t="shared" si="11"/>
        <v/>
      </c>
      <c r="CZ61" s="97" t="str">
        <f>IF($CY61="","",IF($CY61&lt;'Technical Premium'!$C$19,"BEYOND AUTHORITY",IF($CY61&gt;0.005,"Above technical",IF($CY61&lt;-0.005,"BELOW technical","At technical"))))</f>
        <v/>
      </c>
      <c r="DA61" s="97" t="str">
        <f>IF($A61="","",IF($CX61="AUTO-BIND","",TRIM(IF($J61&lt;'Technical Premium'!$C$18,"Below programme minimum agreed value. ","")&amp;IF(N($AQ61)&lt;'Technical Premium'!$C$19,"DISCOUNT AUTHORITY BREACH. ","")&amp;IF(N($AQ61)&gt;'Technical Premium'!$C$20,"Load authority breach. ","")&amp;IF($J61&gt;='Technical Premium'!$C$16,"Agreed value at or above auto-bind limit. ","")&amp;IF(AND(ISNUMBER($CD61),$CD61&gt;='Technical Premium'!$C$17),"Composite factor at cap. ","")&amp;IF(AND(ISNUMBER($CD61),$CD61&gt;2.5),"Composite factor above 2.50. ","")&amp;IF(LEFT(IFERROR(INDEX('Driver Factors'!$D$6:$D$15,MATCH($R61,'Driver Factors'!$B$6:$B$15,0)),""),7)="DECLINE","DECLINE - driver age. ",IF(LEFT(IFERROR(INDEX('Driver Factors'!$D$6:$D$15,MATCH($R61,'Driver Factors'!$B$6:$B$15,0)),""),5)="Refer","Driver age band. ",""))&amp;IF(LEFT(IFERROR(INDEX('Driver Factors'!$D$28:$D$36,MATCH($T61,'Driver Factors'!$B$28:$B$36,0)),""),7)="DECLINE","DECLINE - MVR. ",IF(LEFT(IFERROR(INDEX('Driver Factors'!$D$28:$D$36,MATCH($T61,'Driver Factors'!$B$28:$B$36,0)),""),5)="Refer","MVR record. ",""))&amp;IF(LEFT(IFERROR(INDEX('Claims History'!$D$6:$D$15,MATCH($U61,'Claims History'!$B$6:$B$15,0)),""),7)="DECLINE","DECLINE - claims. ",IF(LEFT(IFERROR(INDEX('Claims History'!$D$6:$D$15,MATCH($U61,'Claims History'!$B$6:$B$15,0)),""),5)="Refer","Claims history. ",""))&amp;IF(LEFT(IFERROR(INDEX('Usage and Coverage'!$E$6:$E$20,MATCH($N61,'Usage and Coverage'!$C$6:$C$20,0)),""),7)="DECLINE","DECLINE - usage class. ",IF(LEFT(IFERROR(INDEX('Usage and Coverage'!$E$6:$E$20,MATCH($N61,'Usage and Coverage'!$C$6:$C$20,0)),""),5)="Refer","Usage class. ",""))&amp;IF($CX61="CHECK INPUTS","Incomplete inputs. ",""))))</f>
        <v/>
      </c>
      <c r="DB61" s="92"/>
      <c r="DC61" s="92"/>
      <c r="DD61" s="93"/>
      <c r="DE61" s="92"/>
      <c r="DF61" s="92"/>
      <c r="DG61" s="97" t="str">
        <f t="shared" si="12"/>
        <v/>
      </c>
      <c r="DH61" s="97" t="str">
        <f>IF($A61="","",IF(OR($CX61="REFER",$CX61="DECLINE"),COUNTIF($CX$5:$CX61,"REFER")+COUNTIF($CX$5:$CX61,"DECLINE"),""))</f>
        <v/>
      </c>
      <c r="DI61" s="92"/>
    </row>
    <row r="62" spans="1:113" x14ac:dyDescent="0.25">
      <c r="A62" s="92"/>
      <c r="B62" s="92"/>
      <c r="C62" s="93"/>
      <c r="D62" s="93"/>
      <c r="E62" s="94"/>
      <c r="F62" s="92"/>
      <c r="G62" s="92"/>
      <c r="H62" s="92"/>
      <c r="I62" s="92"/>
      <c r="J62" s="95"/>
      <c r="K62" s="92"/>
      <c r="L62" s="92"/>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6"/>
      <c r="AR62" s="97" t="str">
        <f t="shared" si="0"/>
        <v/>
      </c>
      <c r="AS62" s="97" t="str">
        <f>IF($A62="","",IF($AP62&lt;&gt;"",$AP62,IFERROR(INDEX('Cat Zone by ZIP'!$D$6:$D$856,MATCH($AR62,'Cat Zone by ZIP'!$B$6:$B$856,0)),IFERROR(INDEX('Cat Zone by ZIP'!$C$860:$C$910,MATCH($K62,'Cat Zone by ZIP'!$B$860:$B$910,0)),"NOT FOUND"))))</f>
        <v/>
      </c>
      <c r="AT62" s="97" t="str">
        <f>IF($A62="","",IF($AP62&lt;&gt;"","Override",IF(ISNUMBER(MATCH($AR62,'Cat Zone by ZIP'!$B$6:$B$856,0)),"ZIP-3","State default")))</f>
        <v/>
      </c>
      <c r="AU62" s="98" t="str">
        <f>IF($A62="","",IFERROR(INDEX('Natural Catastrophe'!$D$6:$D$17,MATCH($AS62,'Natural Catastrophe'!$B$6:$B$17,0)),"?"))</f>
        <v/>
      </c>
      <c r="AV62" s="98" t="str">
        <f>IF($A62="","",IFERROR(INDEX('Natural Catastrophe'!$C$21:$C$26,MATCH($AA62,'Natural Catastrophe'!$B$21:$B$26,0)),"?"))</f>
        <v/>
      </c>
      <c r="AW62" s="97" t="str">
        <f>IF($A62="","",IFERROR(INDEX('Base Rates'!$C$4:$I$4,MATCH(MAX($J62,'Technical Premium'!$C$18),'Base Rates'!$C$3:$I$3,1)),"?"))</f>
        <v/>
      </c>
      <c r="AX62" s="99" t="str">
        <f>IF($A62="","",IFERROR(INDEX('Base Rates'!$C$5:$I$16,MATCH($I62,'Base Rates'!$B$5:$B$16,0),MATCH(MAX($J62,'Technical Premium'!$C$18),'Base Rates'!$C$3:$I$3,1)),"?"))</f>
        <v/>
      </c>
      <c r="AY62" s="100" t="str">
        <f t="shared" si="1"/>
        <v/>
      </c>
      <c r="AZ62" s="97" t="str">
        <f>IF($A62="","",IFERROR(INDEX('Make Factors'!$G$5:$G$69,MATCH($F62,'Make Factors'!$B$5:$B$69,0)),"?"))</f>
        <v/>
      </c>
      <c r="BA62" s="97" t="str">
        <f>IF($A62="","",IFERROR(INDEX('Driver Factors'!$C$6:$C$15,MATCH($R62,'Driver Factors'!$B$6:$B$15,0)),"?"))</f>
        <v/>
      </c>
      <c r="BB62" s="97" t="str">
        <f>IF($A62="","",IFERROR(INDEX('Driver Factors'!$C$19:$C$24,MATCH($S62,'Driver Factors'!$B$19:$B$24,0)),"?"))</f>
        <v/>
      </c>
      <c r="BC62" s="97" t="str">
        <f>IF($A62="","",IFERROR(INDEX('Driver Factors'!$C$28:$C$36,MATCH($T62,'Driver Factors'!$B$28:$B$36,0)),"?"))</f>
        <v/>
      </c>
      <c r="BD62" s="97" t="str">
        <f>IF($A62="","",IFERROR(INDEX('Claims History'!$C$6:$C$15,MATCH($U62,'Claims History'!$B$6:$B$15,0)),"?"))</f>
        <v/>
      </c>
      <c r="BE62" s="97" t="str">
        <f>IF($A62="","",IFERROR(INDEX('Territory Factors'!$E$6:$E$56,MATCH($K62,'Territory Factors'!$B$6:$B$56,0)),"?"))</f>
        <v/>
      </c>
      <c r="BF62" s="97" t="str">
        <f>IF($A62="","",IFERROR(INDEX('City Accident Ratings'!$G$6:$G$54,MATCH($Z62,'City Accident Ratings'!$B$6:$B$54,0)),"?"))</f>
        <v/>
      </c>
      <c r="BG62" s="97" t="str">
        <f>IF($A62="","",IFERROR(INDEX('Usage and Coverage'!$D$6:$D$20,MATCH($N62,'Usage and Coverage'!$C$6:$C$20,0)),"?"))</f>
        <v/>
      </c>
      <c r="BH62" s="97" t="str">
        <f>IF($A62="","",IFERROR(INDEX('Usage and Coverage'!$C$24:$C$30,MATCH($O62,'Usage and Coverage'!$B$24:$B$30,0)),"?"))</f>
        <v/>
      </c>
      <c r="BI62" s="97" t="str">
        <f>IF($A62="","",IFERROR(INDEX('Usage and Coverage'!$C$34:$C$40,MATCH($P62,'Usage and Coverage'!$B$34:$B$40,0)),"?"))</f>
        <v/>
      </c>
      <c r="BJ62" s="97" t="str">
        <f>IF($A62="","",IFERROR(INDEX('Usage and Coverage'!$C$44:$C$49,MATCH($Q62,'Usage and Coverage'!$B$44:$B$49,0)),"?"))</f>
        <v/>
      </c>
      <c r="BK62" s="97" t="str">
        <f>IF($A62="","",IFERROR(INDEX(Deductibles!$C$6:$I$15,MATCH($W62,Deductibles!$B$6:$B$15,0),MATCH(MAX($J62,'Technical Premium'!$C$18),'Base Rates'!$C$3:$I$3,1)),"?"))</f>
        <v/>
      </c>
      <c r="BL62" s="97" t="str">
        <f>IF($A62="","",IFERROR(INDEX('Usage and Coverage'!$C$63:$C$66,MATCH($X62,'Usage and Coverage'!$B$63:$B$66,0)),"?"))</f>
        <v/>
      </c>
      <c r="BM62" s="97" t="str">
        <f>IF($A62="","",IFERROR(INDEX('Usage and Coverage'!$C$70:$C$75,MATCH($V62,'Usage and Coverage'!$B$70:$B$75,0)),"?"))</f>
        <v/>
      </c>
      <c r="BN62" s="97" t="str">
        <f>IF($A62="","",IF($AB62="",1,IFERROR(INDEX(Deductibles!$C$48:$C$51,MATCH($AB62,Deductibles!$B$48:$B$51,0)),"?")))</f>
        <v/>
      </c>
      <c r="BO62" s="97" t="str">
        <f>IF($A62="","",IF($AC62="",1,IFERROR(INDEX(Deductibles!$C$55:$C$57,MATCH($AC62,Deductibles!$B$55:$B$57,0)),"?")))</f>
        <v/>
      </c>
      <c r="BP62" s="97" t="str">
        <f>IF($A62="","",IF($AD62="",1,IFERROR(INDEX(Deductibles!$C$61:$C$63,MATCH($AD62,Deductibles!$B$61:$B$63,0)),"?")))</f>
        <v/>
      </c>
      <c r="BQ62" s="97" t="str">
        <f>IF($A62="","",IF($AE62="",1,IFERROR(INDEX(Deductibles!$C$67:$C$69,MATCH($AE62,Deductibles!$B$67:$B$69,0)),"?")))</f>
        <v/>
      </c>
      <c r="BR62" s="97" t="str">
        <f>IF($A62="","",IF($AF62="",1,IFERROR(INDEX(Deductibles!$C$73:$C$74,MATCH($AF62,Deductibles!$B$73:$B$74,0)),"?")))</f>
        <v/>
      </c>
      <c r="BS62" s="97" t="str">
        <f>IF($A62="","",IF($AG62="",1,IFERROR(INDEX('Sublimits and Parts'!$C$49:$C$52,MATCH($AG62,'Sublimits and Parts'!$B$49:$B$52,0)),"?")))</f>
        <v/>
      </c>
      <c r="BT62" s="97" t="str">
        <f>IF($A62="","",IF($AH62="",1,IFERROR(INDEX('Sublimits and Parts'!$C$56:$C$60,MATCH($AH62,'Sublimits and Parts'!$B$56:$B$60,0)),"?")))</f>
        <v/>
      </c>
      <c r="BU62" s="97" t="str">
        <f>IF($A62="","",IF($AI62="",1,IFERROR(INDEX('Sublimits and Parts'!$C$64:$C$67,MATCH($AI62,'Sublimits and Parts'!$B$64:$B$67,0)),"?")))</f>
        <v/>
      </c>
      <c r="BV62" s="97" t="str">
        <f>IF($A62="","",IF($AJ62="",1,IFERROR(INDEX('Sublimits and Parts'!$C$71:$C$74,MATCH($AJ62,'Sublimits and Parts'!$B$71:$B$74,0)),"?")))</f>
        <v/>
      </c>
      <c r="BW62" s="97" t="str">
        <f>IF($A62="","",IF($AK62="",1,IFERROR(INDEX('Sublimits and Parts'!$C$78:$C$80,MATCH($AK62,'Sublimits and Parts'!$B$78:$B$80,0)),"?")))</f>
        <v/>
      </c>
      <c r="BX62" s="97" t="str">
        <f>IF($A62="","",IF($AL62="",1,IFERROR(INDEX('Sublimits and Parts'!$C$84:$C$87,MATCH($AL62,'Sublimits and Parts'!$B$84:$B$87,0)),"?")))</f>
        <v/>
      </c>
      <c r="BY62" s="97" t="str">
        <f>IF($A62="","",IF($AM62="",1,IFERROR(INDEX('Sublimits and Parts'!$C$91:$C$94,MATCH($AM62,'Sublimits and Parts'!$B$91:$B$94,0)),"?")))</f>
        <v/>
      </c>
      <c r="BZ62" s="97" t="str">
        <f>IF($A62="","",IF($AN62="",1,IFERROR(INDEX('Sublimits and Parts'!$C$98:$C$101,MATCH($AN62,'Sublimits and Parts'!$B$98:$B$101,0)),"?")))</f>
        <v/>
      </c>
      <c r="CA62" s="97" t="str">
        <f>IF($A62="","",IF($AO62="",1,IFERROR(INDEX('Sublimits and Parts'!$C$105:$C$109,MATCH($AO62,'Sublimits and Parts'!$B$105:$B$109,0)),"?")))</f>
        <v/>
      </c>
      <c r="CB62" s="98" t="str">
        <f t="shared" si="2"/>
        <v/>
      </c>
      <c r="CC62" s="98" t="str">
        <f t="shared" si="3"/>
        <v/>
      </c>
      <c r="CD62" s="101" t="str">
        <f>IF($A62="","",IF(OR($CB62="?",$CC62="?"),"?",MIN($CB62*$CC62,'Technical Premium'!$C$17)))</f>
        <v/>
      </c>
      <c r="CE62" s="100" t="str">
        <f t="shared" si="4"/>
        <v/>
      </c>
      <c r="CF62" s="100" t="str">
        <f>IF($A62="","",IFERROR(INDEX('Territory Factors'!$F$6:$F$56,MATCH($K62,'Territory Factors'!$B$6:$B$56,0)),"?"))</f>
        <v/>
      </c>
      <c r="CG62" s="98" t="str">
        <f>IF($A62="","",IFERROR(INDEX('Usage and Coverage'!$C$79:$C$84,MATCH($Y62,'Usage and Coverage'!$B$79:$B$84,0)),"?"))</f>
        <v/>
      </c>
      <c r="CH62" s="100" t="str">
        <f>IFERROR(IF(ISNUMBER($CD62),$CF62*$CG62*MIN($BG62*$BA62*$BC62*$BD62*$BH62*$BF62,'Technical Premium'!$C$17),""),"")</f>
        <v/>
      </c>
      <c r="CI62" s="100" t="str">
        <f t="shared" si="5"/>
        <v/>
      </c>
      <c r="CJ62" s="100" t="str">
        <f>IFERROR($CI62*(1+'Technical Premium'!$C$5)*(1+'Technical Premium'!$C$6),"")</f>
        <v/>
      </c>
      <c r="CK62" s="100" t="str">
        <f>IFERROR($CE62*INDEX('Territory Factors'!$G$6:$G$56,MATCH($K62,'Territory Factors'!$B$6:$B$56,0))*$AU62*$AV62,"")</f>
        <v/>
      </c>
      <c r="CL62" s="100" t="str">
        <f>IFERROR(($CJ62+$CK62)*(1+'Technical Premium'!$C$7),"")</f>
        <v/>
      </c>
      <c r="CM62" s="102" t="str">
        <f>IFERROR($CL62/'Technical Premium'!$C$13,"")</f>
        <v/>
      </c>
      <c r="CN62" s="103" t="str">
        <f t="shared" si="6"/>
        <v/>
      </c>
      <c r="CO62" s="102" t="str">
        <f t="shared" si="7"/>
        <v/>
      </c>
      <c r="CP62" s="103" t="str">
        <f t="shared" si="8"/>
        <v/>
      </c>
      <c r="CQ62" s="104" t="str">
        <f t="shared" si="9"/>
        <v/>
      </c>
      <c r="CR62" s="100" t="str">
        <f>IF(ISNUMBER($CM62),'Technical Premium'!$C$14+IF($J62&gt;=1000000,'Technical Premium'!$C$15,0),"")</f>
        <v/>
      </c>
      <c r="CS62" s="100" t="str">
        <f>IFERROR(($CO62+$CR62)*(INDEX('Territory Factors'!$K$6:$K$56,MATCH($K62,'Territory Factors'!$B$6:$B$56,0))+'Commission Structure'!$C$21),"")</f>
        <v/>
      </c>
      <c r="CT62" s="102" t="str">
        <f t="shared" si="10"/>
        <v/>
      </c>
      <c r="CU62" s="100" t="str">
        <f>IFERROR($CO62*('Commission Structure'!$C$6+'Commission Structure'!$C$7),"")</f>
        <v/>
      </c>
      <c r="CV62" s="100" t="str">
        <f>IFERROR($CO62*'Commission Structure'!$C$5-$CU62,"")</f>
        <v/>
      </c>
      <c r="CW62" s="100" t="str">
        <f>IFERROR($CO62*(1-'Commission Structure'!$C$5),"")</f>
        <v/>
      </c>
      <c r="CX62" s="105" t="str">
        <f>IF($A62="","",IF(OR($CB62="?",$CC62="?",NOT(ISNUMBER($AU62))),"CHECK INPUTS",IF(OR($J62&lt;'Technical Premium'!$C$18,LEFT(IFERROR(INDEX('Driver Factors'!$D$6:$D$15,MATCH($R62,'Driver Factors'!$B$6:$B$15,0)),""),7)="DECLINE",LEFT(IFERROR(INDEX('Driver Factors'!$D$28:$D$36,MATCH($T62,'Driver Factors'!$B$28:$B$36,0)),""),7)="DECLINE",LEFT(IFERROR(INDEX('Claims History'!$D$6:$D$15,MATCH($U62,'Claims History'!$B$6:$B$15,0)),""),7)="DECLINE",LEFT(IFERROR(INDEX('Usage and Coverage'!$E$6:$E$20,MATCH($N62,'Usage and Coverage'!$C$6:$C$20,0)),""),7)="DECLINE"),"DECLINE",IF(OR($CD62&gt;2.5,$CD62&gt;='Technical Premium'!$C$17,$J62&gt;='Technical Premium'!$C$16,N($AQ62)&lt;'Technical Premium'!$C$19,N($AQ62)&gt;'Technical Premium'!$C$20,LEFT(IFERROR(INDEX('Driver Factors'!$D$6:$D$15,MATCH($R62,'Driver Factors'!$B$6:$B$15,0)),""),5)="Refer",LEFT(IFERROR(INDEX('Driver Factors'!$D$28:$D$36,MATCH($T62,'Driver Factors'!$B$28:$B$36,0)),""),5)="Refer",LEFT(IFERROR(INDEX('Claims History'!$D$6:$D$15,MATCH($U62,'Claims History'!$B$6:$B$15,0)),""),5)="Refer",LEFT(IFERROR(INDEX('Usage and Coverage'!$E$6:$E$20,MATCH($N62,'Usage and Coverage'!$C$6:$C$20,0)),""),5)="Refer"),"REFER","AUTO-BIND"))))</f>
        <v/>
      </c>
      <c r="CY62" s="106" t="str">
        <f t="shared" si="11"/>
        <v/>
      </c>
      <c r="CZ62" s="97" t="str">
        <f>IF($CY62="","",IF($CY62&lt;'Technical Premium'!$C$19,"BEYOND AUTHORITY",IF($CY62&gt;0.005,"Above technical",IF($CY62&lt;-0.005,"BELOW technical","At technical"))))</f>
        <v/>
      </c>
      <c r="DA62" s="97" t="str">
        <f>IF($A62="","",IF($CX62="AUTO-BIND","",TRIM(IF($J62&lt;'Technical Premium'!$C$18,"Below programme minimum agreed value. ","")&amp;IF(N($AQ62)&lt;'Technical Premium'!$C$19,"DISCOUNT AUTHORITY BREACH. ","")&amp;IF(N($AQ62)&gt;'Technical Premium'!$C$20,"Load authority breach. ","")&amp;IF($J62&gt;='Technical Premium'!$C$16,"Agreed value at or above auto-bind limit. ","")&amp;IF(AND(ISNUMBER($CD62),$CD62&gt;='Technical Premium'!$C$17),"Composite factor at cap. ","")&amp;IF(AND(ISNUMBER($CD62),$CD62&gt;2.5),"Composite factor above 2.50. ","")&amp;IF(LEFT(IFERROR(INDEX('Driver Factors'!$D$6:$D$15,MATCH($R62,'Driver Factors'!$B$6:$B$15,0)),""),7)="DECLINE","DECLINE - driver age. ",IF(LEFT(IFERROR(INDEX('Driver Factors'!$D$6:$D$15,MATCH($R62,'Driver Factors'!$B$6:$B$15,0)),""),5)="Refer","Driver age band. ",""))&amp;IF(LEFT(IFERROR(INDEX('Driver Factors'!$D$28:$D$36,MATCH($T62,'Driver Factors'!$B$28:$B$36,0)),""),7)="DECLINE","DECLINE - MVR. ",IF(LEFT(IFERROR(INDEX('Driver Factors'!$D$28:$D$36,MATCH($T62,'Driver Factors'!$B$28:$B$36,0)),""),5)="Refer","MVR record. ",""))&amp;IF(LEFT(IFERROR(INDEX('Claims History'!$D$6:$D$15,MATCH($U62,'Claims History'!$B$6:$B$15,0)),""),7)="DECLINE","DECLINE - claims. ",IF(LEFT(IFERROR(INDEX('Claims History'!$D$6:$D$15,MATCH($U62,'Claims History'!$B$6:$B$15,0)),""),5)="Refer","Claims history. ",""))&amp;IF(LEFT(IFERROR(INDEX('Usage and Coverage'!$E$6:$E$20,MATCH($N62,'Usage and Coverage'!$C$6:$C$20,0)),""),7)="DECLINE","DECLINE - usage class. ",IF(LEFT(IFERROR(INDEX('Usage and Coverage'!$E$6:$E$20,MATCH($N62,'Usage and Coverage'!$C$6:$C$20,0)),""),5)="Refer","Usage class. ",""))&amp;IF($CX62="CHECK INPUTS","Incomplete inputs. ",""))))</f>
        <v/>
      </c>
      <c r="DB62" s="92"/>
      <c r="DC62" s="92"/>
      <c r="DD62" s="93"/>
      <c r="DE62" s="92"/>
      <c r="DF62" s="92"/>
      <c r="DG62" s="97" t="str">
        <f t="shared" si="12"/>
        <v/>
      </c>
      <c r="DH62" s="97" t="str">
        <f>IF($A62="","",IF(OR($CX62="REFER",$CX62="DECLINE"),COUNTIF($CX$5:$CX62,"REFER")+COUNTIF($CX$5:$CX62,"DECLINE"),""))</f>
        <v/>
      </c>
      <c r="DI62" s="92"/>
    </row>
    <row r="63" spans="1:113" x14ac:dyDescent="0.25">
      <c r="A63" s="92"/>
      <c r="B63" s="92"/>
      <c r="C63" s="93"/>
      <c r="D63" s="93"/>
      <c r="E63" s="94"/>
      <c r="F63" s="92"/>
      <c r="G63" s="92"/>
      <c r="H63" s="92"/>
      <c r="I63" s="92"/>
      <c r="J63" s="95"/>
      <c r="K63" s="92"/>
      <c r="L63" s="92"/>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6"/>
      <c r="AR63" s="97" t="str">
        <f t="shared" si="0"/>
        <v/>
      </c>
      <c r="AS63" s="97" t="str">
        <f>IF($A63="","",IF($AP63&lt;&gt;"",$AP63,IFERROR(INDEX('Cat Zone by ZIP'!$D$6:$D$856,MATCH($AR63,'Cat Zone by ZIP'!$B$6:$B$856,0)),IFERROR(INDEX('Cat Zone by ZIP'!$C$860:$C$910,MATCH($K63,'Cat Zone by ZIP'!$B$860:$B$910,0)),"NOT FOUND"))))</f>
        <v/>
      </c>
      <c r="AT63" s="97" t="str">
        <f>IF($A63="","",IF($AP63&lt;&gt;"","Override",IF(ISNUMBER(MATCH($AR63,'Cat Zone by ZIP'!$B$6:$B$856,0)),"ZIP-3","State default")))</f>
        <v/>
      </c>
      <c r="AU63" s="98" t="str">
        <f>IF($A63="","",IFERROR(INDEX('Natural Catastrophe'!$D$6:$D$17,MATCH($AS63,'Natural Catastrophe'!$B$6:$B$17,0)),"?"))</f>
        <v/>
      </c>
      <c r="AV63" s="98" t="str">
        <f>IF($A63="","",IFERROR(INDEX('Natural Catastrophe'!$C$21:$C$26,MATCH($AA63,'Natural Catastrophe'!$B$21:$B$26,0)),"?"))</f>
        <v/>
      </c>
      <c r="AW63" s="97" t="str">
        <f>IF($A63="","",IFERROR(INDEX('Base Rates'!$C$4:$I$4,MATCH(MAX($J63,'Technical Premium'!$C$18),'Base Rates'!$C$3:$I$3,1)),"?"))</f>
        <v/>
      </c>
      <c r="AX63" s="99" t="str">
        <f>IF($A63="","",IFERROR(INDEX('Base Rates'!$C$5:$I$16,MATCH($I63,'Base Rates'!$B$5:$B$16,0),MATCH(MAX($J63,'Technical Premium'!$C$18),'Base Rates'!$C$3:$I$3,1)),"?"))</f>
        <v/>
      </c>
      <c r="AY63" s="100" t="str">
        <f t="shared" si="1"/>
        <v/>
      </c>
      <c r="AZ63" s="97" t="str">
        <f>IF($A63="","",IFERROR(INDEX('Make Factors'!$G$5:$G$69,MATCH($F63,'Make Factors'!$B$5:$B$69,0)),"?"))</f>
        <v/>
      </c>
      <c r="BA63" s="97" t="str">
        <f>IF($A63="","",IFERROR(INDEX('Driver Factors'!$C$6:$C$15,MATCH($R63,'Driver Factors'!$B$6:$B$15,0)),"?"))</f>
        <v/>
      </c>
      <c r="BB63" s="97" t="str">
        <f>IF($A63="","",IFERROR(INDEX('Driver Factors'!$C$19:$C$24,MATCH($S63,'Driver Factors'!$B$19:$B$24,0)),"?"))</f>
        <v/>
      </c>
      <c r="BC63" s="97" t="str">
        <f>IF($A63="","",IFERROR(INDEX('Driver Factors'!$C$28:$C$36,MATCH($T63,'Driver Factors'!$B$28:$B$36,0)),"?"))</f>
        <v/>
      </c>
      <c r="BD63" s="97" t="str">
        <f>IF($A63="","",IFERROR(INDEX('Claims History'!$C$6:$C$15,MATCH($U63,'Claims History'!$B$6:$B$15,0)),"?"))</f>
        <v/>
      </c>
      <c r="BE63" s="97" t="str">
        <f>IF($A63="","",IFERROR(INDEX('Territory Factors'!$E$6:$E$56,MATCH($K63,'Territory Factors'!$B$6:$B$56,0)),"?"))</f>
        <v/>
      </c>
      <c r="BF63" s="97" t="str">
        <f>IF($A63="","",IFERROR(INDEX('City Accident Ratings'!$G$6:$G$54,MATCH($Z63,'City Accident Ratings'!$B$6:$B$54,0)),"?"))</f>
        <v/>
      </c>
      <c r="BG63" s="97" t="str">
        <f>IF($A63="","",IFERROR(INDEX('Usage and Coverage'!$D$6:$D$20,MATCH($N63,'Usage and Coverage'!$C$6:$C$20,0)),"?"))</f>
        <v/>
      </c>
      <c r="BH63" s="97" t="str">
        <f>IF($A63="","",IFERROR(INDEX('Usage and Coverage'!$C$24:$C$30,MATCH($O63,'Usage and Coverage'!$B$24:$B$30,0)),"?"))</f>
        <v/>
      </c>
      <c r="BI63" s="97" t="str">
        <f>IF($A63="","",IFERROR(INDEX('Usage and Coverage'!$C$34:$C$40,MATCH($P63,'Usage and Coverage'!$B$34:$B$40,0)),"?"))</f>
        <v/>
      </c>
      <c r="BJ63" s="97" t="str">
        <f>IF($A63="","",IFERROR(INDEX('Usage and Coverage'!$C$44:$C$49,MATCH($Q63,'Usage and Coverage'!$B$44:$B$49,0)),"?"))</f>
        <v/>
      </c>
      <c r="BK63" s="97" t="str">
        <f>IF($A63="","",IFERROR(INDEX(Deductibles!$C$6:$I$15,MATCH($W63,Deductibles!$B$6:$B$15,0),MATCH(MAX($J63,'Technical Premium'!$C$18),'Base Rates'!$C$3:$I$3,1)),"?"))</f>
        <v/>
      </c>
      <c r="BL63" s="97" t="str">
        <f>IF($A63="","",IFERROR(INDEX('Usage and Coverage'!$C$63:$C$66,MATCH($X63,'Usage and Coverage'!$B$63:$B$66,0)),"?"))</f>
        <v/>
      </c>
      <c r="BM63" s="97" t="str">
        <f>IF($A63="","",IFERROR(INDEX('Usage and Coverage'!$C$70:$C$75,MATCH($V63,'Usage and Coverage'!$B$70:$B$75,0)),"?"))</f>
        <v/>
      </c>
      <c r="BN63" s="97" t="str">
        <f>IF($A63="","",IF($AB63="",1,IFERROR(INDEX(Deductibles!$C$48:$C$51,MATCH($AB63,Deductibles!$B$48:$B$51,0)),"?")))</f>
        <v/>
      </c>
      <c r="BO63" s="97" t="str">
        <f>IF($A63="","",IF($AC63="",1,IFERROR(INDEX(Deductibles!$C$55:$C$57,MATCH($AC63,Deductibles!$B$55:$B$57,0)),"?")))</f>
        <v/>
      </c>
      <c r="BP63" s="97" t="str">
        <f>IF($A63="","",IF($AD63="",1,IFERROR(INDEX(Deductibles!$C$61:$C$63,MATCH($AD63,Deductibles!$B$61:$B$63,0)),"?")))</f>
        <v/>
      </c>
      <c r="BQ63" s="97" t="str">
        <f>IF($A63="","",IF($AE63="",1,IFERROR(INDEX(Deductibles!$C$67:$C$69,MATCH($AE63,Deductibles!$B$67:$B$69,0)),"?")))</f>
        <v/>
      </c>
      <c r="BR63" s="97" t="str">
        <f>IF($A63="","",IF($AF63="",1,IFERROR(INDEX(Deductibles!$C$73:$C$74,MATCH($AF63,Deductibles!$B$73:$B$74,0)),"?")))</f>
        <v/>
      </c>
      <c r="BS63" s="97" t="str">
        <f>IF($A63="","",IF($AG63="",1,IFERROR(INDEX('Sublimits and Parts'!$C$49:$C$52,MATCH($AG63,'Sublimits and Parts'!$B$49:$B$52,0)),"?")))</f>
        <v/>
      </c>
      <c r="BT63" s="97" t="str">
        <f>IF($A63="","",IF($AH63="",1,IFERROR(INDEX('Sublimits and Parts'!$C$56:$C$60,MATCH($AH63,'Sublimits and Parts'!$B$56:$B$60,0)),"?")))</f>
        <v/>
      </c>
      <c r="BU63" s="97" t="str">
        <f>IF($A63="","",IF($AI63="",1,IFERROR(INDEX('Sublimits and Parts'!$C$64:$C$67,MATCH($AI63,'Sublimits and Parts'!$B$64:$B$67,0)),"?")))</f>
        <v/>
      </c>
      <c r="BV63" s="97" t="str">
        <f>IF($A63="","",IF($AJ63="",1,IFERROR(INDEX('Sublimits and Parts'!$C$71:$C$74,MATCH($AJ63,'Sublimits and Parts'!$B$71:$B$74,0)),"?")))</f>
        <v/>
      </c>
      <c r="BW63" s="97" t="str">
        <f>IF($A63="","",IF($AK63="",1,IFERROR(INDEX('Sublimits and Parts'!$C$78:$C$80,MATCH($AK63,'Sublimits and Parts'!$B$78:$B$80,0)),"?")))</f>
        <v/>
      </c>
      <c r="BX63" s="97" t="str">
        <f>IF($A63="","",IF($AL63="",1,IFERROR(INDEX('Sublimits and Parts'!$C$84:$C$87,MATCH($AL63,'Sublimits and Parts'!$B$84:$B$87,0)),"?")))</f>
        <v/>
      </c>
      <c r="BY63" s="97" t="str">
        <f>IF($A63="","",IF($AM63="",1,IFERROR(INDEX('Sublimits and Parts'!$C$91:$C$94,MATCH($AM63,'Sublimits and Parts'!$B$91:$B$94,0)),"?")))</f>
        <v/>
      </c>
      <c r="BZ63" s="97" t="str">
        <f>IF($A63="","",IF($AN63="",1,IFERROR(INDEX('Sublimits and Parts'!$C$98:$C$101,MATCH($AN63,'Sublimits and Parts'!$B$98:$B$101,0)),"?")))</f>
        <v/>
      </c>
      <c r="CA63" s="97" t="str">
        <f>IF($A63="","",IF($AO63="",1,IFERROR(INDEX('Sublimits and Parts'!$C$105:$C$109,MATCH($AO63,'Sublimits and Parts'!$B$105:$B$109,0)),"?")))</f>
        <v/>
      </c>
      <c r="CB63" s="98" t="str">
        <f t="shared" si="2"/>
        <v/>
      </c>
      <c r="CC63" s="98" t="str">
        <f t="shared" si="3"/>
        <v/>
      </c>
      <c r="CD63" s="101" t="str">
        <f>IF($A63="","",IF(OR($CB63="?",$CC63="?"),"?",MIN($CB63*$CC63,'Technical Premium'!$C$17)))</f>
        <v/>
      </c>
      <c r="CE63" s="100" t="str">
        <f t="shared" si="4"/>
        <v/>
      </c>
      <c r="CF63" s="100" t="str">
        <f>IF($A63="","",IFERROR(INDEX('Territory Factors'!$F$6:$F$56,MATCH($K63,'Territory Factors'!$B$6:$B$56,0)),"?"))</f>
        <v/>
      </c>
      <c r="CG63" s="98" t="str">
        <f>IF($A63="","",IFERROR(INDEX('Usage and Coverage'!$C$79:$C$84,MATCH($Y63,'Usage and Coverage'!$B$79:$B$84,0)),"?"))</f>
        <v/>
      </c>
      <c r="CH63" s="100" t="str">
        <f>IFERROR(IF(ISNUMBER($CD63),$CF63*$CG63*MIN($BG63*$BA63*$BC63*$BD63*$BH63*$BF63,'Technical Premium'!$C$17),""),"")</f>
        <v/>
      </c>
      <c r="CI63" s="100" t="str">
        <f t="shared" si="5"/>
        <v/>
      </c>
      <c r="CJ63" s="100" t="str">
        <f>IFERROR($CI63*(1+'Technical Premium'!$C$5)*(1+'Technical Premium'!$C$6),"")</f>
        <v/>
      </c>
      <c r="CK63" s="100" t="str">
        <f>IFERROR($CE63*INDEX('Territory Factors'!$G$6:$G$56,MATCH($K63,'Territory Factors'!$B$6:$B$56,0))*$AU63*$AV63,"")</f>
        <v/>
      </c>
      <c r="CL63" s="100" t="str">
        <f>IFERROR(($CJ63+$CK63)*(1+'Technical Premium'!$C$7),"")</f>
        <v/>
      </c>
      <c r="CM63" s="102" t="str">
        <f>IFERROR($CL63/'Technical Premium'!$C$13,"")</f>
        <v/>
      </c>
      <c r="CN63" s="103" t="str">
        <f t="shared" si="6"/>
        <v/>
      </c>
      <c r="CO63" s="102" t="str">
        <f t="shared" si="7"/>
        <v/>
      </c>
      <c r="CP63" s="103" t="str">
        <f t="shared" si="8"/>
        <v/>
      </c>
      <c r="CQ63" s="104" t="str">
        <f t="shared" si="9"/>
        <v/>
      </c>
      <c r="CR63" s="100" t="str">
        <f>IF(ISNUMBER($CM63),'Technical Premium'!$C$14+IF($J63&gt;=1000000,'Technical Premium'!$C$15,0),"")</f>
        <v/>
      </c>
      <c r="CS63" s="100" t="str">
        <f>IFERROR(($CO63+$CR63)*(INDEX('Territory Factors'!$K$6:$K$56,MATCH($K63,'Territory Factors'!$B$6:$B$56,0))+'Commission Structure'!$C$21),"")</f>
        <v/>
      </c>
      <c r="CT63" s="102" t="str">
        <f t="shared" si="10"/>
        <v/>
      </c>
      <c r="CU63" s="100" t="str">
        <f>IFERROR($CO63*('Commission Structure'!$C$6+'Commission Structure'!$C$7),"")</f>
        <v/>
      </c>
      <c r="CV63" s="100" t="str">
        <f>IFERROR($CO63*'Commission Structure'!$C$5-$CU63,"")</f>
        <v/>
      </c>
      <c r="CW63" s="100" t="str">
        <f>IFERROR($CO63*(1-'Commission Structure'!$C$5),"")</f>
        <v/>
      </c>
      <c r="CX63" s="105" t="str">
        <f>IF($A63="","",IF(OR($CB63="?",$CC63="?",NOT(ISNUMBER($AU63))),"CHECK INPUTS",IF(OR($J63&lt;'Technical Premium'!$C$18,LEFT(IFERROR(INDEX('Driver Factors'!$D$6:$D$15,MATCH($R63,'Driver Factors'!$B$6:$B$15,0)),""),7)="DECLINE",LEFT(IFERROR(INDEX('Driver Factors'!$D$28:$D$36,MATCH($T63,'Driver Factors'!$B$28:$B$36,0)),""),7)="DECLINE",LEFT(IFERROR(INDEX('Claims History'!$D$6:$D$15,MATCH($U63,'Claims History'!$B$6:$B$15,0)),""),7)="DECLINE",LEFT(IFERROR(INDEX('Usage and Coverage'!$E$6:$E$20,MATCH($N63,'Usage and Coverage'!$C$6:$C$20,0)),""),7)="DECLINE"),"DECLINE",IF(OR($CD63&gt;2.5,$CD63&gt;='Technical Premium'!$C$17,$J63&gt;='Technical Premium'!$C$16,N($AQ63)&lt;'Technical Premium'!$C$19,N($AQ63)&gt;'Technical Premium'!$C$20,LEFT(IFERROR(INDEX('Driver Factors'!$D$6:$D$15,MATCH($R63,'Driver Factors'!$B$6:$B$15,0)),""),5)="Refer",LEFT(IFERROR(INDEX('Driver Factors'!$D$28:$D$36,MATCH($T63,'Driver Factors'!$B$28:$B$36,0)),""),5)="Refer",LEFT(IFERROR(INDEX('Claims History'!$D$6:$D$15,MATCH($U63,'Claims History'!$B$6:$B$15,0)),""),5)="Refer",LEFT(IFERROR(INDEX('Usage and Coverage'!$E$6:$E$20,MATCH($N63,'Usage and Coverage'!$C$6:$C$20,0)),""),5)="Refer"),"REFER","AUTO-BIND"))))</f>
        <v/>
      </c>
      <c r="CY63" s="106" t="str">
        <f t="shared" si="11"/>
        <v/>
      </c>
      <c r="CZ63" s="97" t="str">
        <f>IF($CY63="","",IF($CY63&lt;'Technical Premium'!$C$19,"BEYOND AUTHORITY",IF($CY63&gt;0.005,"Above technical",IF($CY63&lt;-0.005,"BELOW technical","At technical"))))</f>
        <v/>
      </c>
      <c r="DA63" s="97" t="str">
        <f>IF($A63="","",IF($CX63="AUTO-BIND","",TRIM(IF($J63&lt;'Technical Premium'!$C$18,"Below programme minimum agreed value. ","")&amp;IF(N($AQ63)&lt;'Technical Premium'!$C$19,"DISCOUNT AUTHORITY BREACH. ","")&amp;IF(N($AQ63)&gt;'Technical Premium'!$C$20,"Load authority breach. ","")&amp;IF($J63&gt;='Technical Premium'!$C$16,"Agreed value at or above auto-bind limit. ","")&amp;IF(AND(ISNUMBER($CD63),$CD63&gt;='Technical Premium'!$C$17),"Composite factor at cap. ","")&amp;IF(AND(ISNUMBER($CD63),$CD63&gt;2.5),"Composite factor above 2.50. ","")&amp;IF(LEFT(IFERROR(INDEX('Driver Factors'!$D$6:$D$15,MATCH($R63,'Driver Factors'!$B$6:$B$15,0)),""),7)="DECLINE","DECLINE - driver age. ",IF(LEFT(IFERROR(INDEX('Driver Factors'!$D$6:$D$15,MATCH($R63,'Driver Factors'!$B$6:$B$15,0)),""),5)="Refer","Driver age band. ",""))&amp;IF(LEFT(IFERROR(INDEX('Driver Factors'!$D$28:$D$36,MATCH($T63,'Driver Factors'!$B$28:$B$36,0)),""),7)="DECLINE","DECLINE - MVR. ",IF(LEFT(IFERROR(INDEX('Driver Factors'!$D$28:$D$36,MATCH($T63,'Driver Factors'!$B$28:$B$36,0)),""),5)="Refer","MVR record. ",""))&amp;IF(LEFT(IFERROR(INDEX('Claims History'!$D$6:$D$15,MATCH($U63,'Claims History'!$B$6:$B$15,0)),""),7)="DECLINE","DECLINE - claims. ",IF(LEFT(IFERROR(INDEX('Claims History'!$D$6:$D$15,MATCH($U63,'Claims History'!$B$6:$B$15,0)),""),5)="Refer","Claims history. ",""))&amp;IF(LEFT(IFERROR(INDEX('Usage and Coverage'!$E$6:$E$20,MATCH($N63,'Usage and Coverage'!$C$6:$C$20,0)),""),7)="DECLINE","DECLINE - usage class. ",IF(LEFT(IFERROR(INDEX('Usage and Coverage'!$E$6:$E$20,MATCH($N63,'Usage and Coverage'!$C$6:$C$20,0)),""),5)="Refer","Usage class. ",""))&amp;IF($CX63="CHECK INPUTS","Incomplete inputs. ",""))))</f>
        <v/>
      </c>
      <c r="DB63" s="92"/>
      <c r="DC63" s="92"/>
      <c r="DD63" s="93"/>
      <c r="DE63" s="92"/>
      <c r="DF63" s="92"/>
      <c r="DG63" s="97" t="str">
        <f t="shared" si="12"/>
        <v/>
      </c>
      <c r="DH63" s="97" t="str">
        <f>IF($A63="","",IF(OR($CX63="REFER",$CX63="DECLINE"),COUNTIF($CX$5:$CX63,"REFER")+COUNTIF($CX$5:$CX63,"DECLINE"),""))</f>
        <v/>
      </c>
      <c r="DI63" s="92"/>
    </row>
    <row r="64" spans="1:113" x14ac:dyDescent="0.25">
      <c r="A64" s="92"/>
      <c r="B64" s="92"/>
      <c r="C64" s="93"/>
      <c r="D64" s="93"/>
      <c r="E64" s="94"/>
      <c r="F64" s="92"/>
      <c r="G64" s="92"/>
      <c r="H64" s="92"/>
      <c r="I64" s="92"/>
      <c r="J64" s="95"/>
      <c r="K64" s="92"/>
      <c r="L64" s="92"/>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6"/>
      <c r="AR64" s="97" t="str">
        <f t="shared" si="0"/>
        <v/>
      </c>
      <c r="AS64" s="97" t="str">
        <f>IF($A64="","",IF($AP64&lt;&gt;"",$AP64,IFERROR(INDEX('Cat Zone by ZIP'!$D$6:$D$856,MATCH($AR64,'Cat Zone by ZIP'!$B$6:$B$856,0)),IFERROR(INDEX('Cat Zone by ZIP'!$C$860:$C$910,MATCH($K64,'Cat Zone by ZIP'!$B$860:$B$910,0)),"NOT FOUND"))))</f>
        <v/>
      </c>
      <c r="AT64" s="97" t="str">
        <f>IF($A64="","",IF($AP64&lt;&gt;"","Override",IF(ISNUMBER(MATCH($AR64,'Cat Zone by ZIP'!$B$6:$B$856,0)),"ZIP-3","State default")))</f>
        <v/>
      </c>
      <c r="AU64" s="98" t="str">
        <f>IF($A64="","",IFERROR(INDEX('Natural Catastrophe'!$D$6:$D$17,MATCH($AS64,'Natural Catastrophe'!$B$6:$B$17,0)),"?"))</f>
        <v/>
      </c>
      <c r="AV64" s="98" t="str">
        <f>IF($A64="","",IFERROR(INDEX('Natural Catastrophe'!$C$21:$C$26,MATCH($AA64,'Natural Catastrophe'!$B$21:$B$26,0)),"?"))</f>
        <v/>
      </c>
      <c r="AW64" s="97" t="str">
        <f>IF($A64="","",IFERROR(INDEX('Base Rates'!$C$4:$I$4,MATCH(MAX($J64,'Technical Premium'!$C$18),'Base Rates'!$C$3:$I$3,1)),"?"))</f>
        <v/>
      </c>
      <c r="AX64" s="99" t="str">
        <f>IF($A64="","",IFERROR(INDEX('Base Rates'!$C$5:$I$16,MATCH($I64,'Base Rates'!$B$5:$B$16,0),MATCH(MAX($J64,'Technical Premium'!$C$18),'Base Rates'!$C$3:$I$3,1)),"?"))</f>
        <v/>
      </c>
      <c r="AY64" s="100" t="str">
        <f t="shared" si="1"/>
        <v/>
      </c>
      <c r="AZ64" s="97" t="str">
        <f>IF($A64="","",IFERROR(INDEX('Make Factors'!$G$5:$G$69,MATCH($F64,'Make Factors'!$B$5:$B$69,0)),"?"))</f>
        <v/>
      </c>
      <c r="BA64" s="97" t="str">
        <f>IF($A64="","",IFERROR(INDEX('Driver Factors'!$C$6:$C$15,MATCH($R64,'Driver Factors'!$B$6:$B$15,0)),"?"))</f>
        <v/>
      </c>
      <c r="BB64" s="97" t="str">
        <f>IF($A64="","",IFERROR(INDEX('Driver Factors'!$C$19:$C$24,MATCH($S64,'Driver Factors'!$B$19:$B$24,0)),"?"))</f>
        <v/>
      </c>
      <c r="BC64" s="97" t="str">
        <f>IF($A64="","",IFERROR(INDEX('Driver Factors'!$C$28:$C$36,MATCH($T64,'Driver Factors'!$B$28:$B$36,0)),"?"))</f>
        <v/>
      </c>
      <c r="BD64" s="97" t="str">
        <f>IF($A64="","",IFERROR(INDEX('Claims History'!$C$6:$C$15,MATCH($U64,'Claims History'!$B$6:$B$15,0)),"?"))</f>
        <v/>
      </c>
      <c r="BE64" s="97" t="str">
        <f>IF($A64="","",IFERROR(INDEX('Territory Factors'!$E$6:$E$56,MATCH($K64,'Territory Factors'!$B$6:$B$56,0)),"?"))</f>
        <v/>
      </c>
      <c r="BF64" s="97" t="str">
        <f>IF($A64="","",IFERROR(INDEX('City Accident Ratings'!$G$6:$G$54,MATCH($Z64,'City Accident Ratings'!$B$6:$B$54,0)),"?"))</f>
        <v/>
      </c>
      <c r="BG64" s="97" t="str">
        <f>IF($A64="","",IFERROR(INDEX('Usage and Coverage'!$D$6:$D$20,MATCH($N64,'Usage and Coverage'!$C$6:$C$20,0)),"?"))</f>
        <v/>
      </c>
      <c r="BH64" s="97" t="str">
        <f>IF($A64="","",IFERROR(INDEX('Usage and Coverage'!$C$24:$C$30,MATCH($O64,'Usage and Coverage'!$B$24:$B$30,0)),"?"))</f>
        <v/>
      </c>
      <c r="BI64" s="97" t="str">
        <f>IF($A64="","",IFERROR(INDEX('Usage and Coverage'!$C$34:$C$40,MATCH($P64,'Usage and Coverage'!$B$34:$B$40,0)),"?"))</f>
        <v/>
      </c>
      <c r="BJ64" s="97" t="str">
        <f>IF($A64="","",IFERROR(INDEX('Usage and Coverage'!$C$44:$C$49,MATCH($Q64,'Usage and Coverage'!$B$44:$B$49,0)),"?"))</f>
        <v/>
      </c>
      <c r="BK64" s="97" t="str">
        <f>IF($A64="","",IFERROR(INDEX(Deductibles!$C$6:$I$15,MATCH($W64,Deductibles!$B$6:$B$15,0),MATCH(MAX($J64,'Technical Premium'!$C$18),'Base Rates'!$C$3:$I$3,1)),"?"))</f>
        <v/>
      </c>
      <c r="BL64" s="97" t="str">
        <f>IF($A64="","",IFERROR(INDEX('Usage and Coverage'!$C$63:$C$66,MATCH($X64,'Usage and Coverage'!$B$63:$B$66,0)),"?"))</f>
        <v/>
      </c>
      <c r="BM64" s="97" t="str">
        <f>IF($A64="","",IFERROR(INDEX('Usage and Coverage'!$C$70:$C$75,MATCH($V64,'Usage and Coverage'!$B$70:$B$75,0)),"?"))</f>
        <v/>
      </c>
      <c r="BN64" s="97" t="str">
        <f>IF($A64="","",IF($AB64="",1,IFERROR(INDEX(Deductibles!$C$48:$C$51,MATCH($AB64,Deductibles!$B$48:$B$51,0)),"?")))</f>
        <v/>
      </c>
      <c r="BO64" s="97" t="str">
        <f>IF($A64="","",IF($AC64="",1,IFERROR(INDEX(Deductibles!$C$55:$C$57,MATCH($AC64,Deductibles!$B$55:$B$57,0)),"?")))</f>
        <v/>
      </c>
      <c r="BP64" s="97" t="str">
        <f>IF($A64="","",IF($AD64="",1,IFERROR(INDEX(Deductibles!$C$61:$C$63,MATCH($AD64,Deductibles!$B$61:$B$63,0)),"?")))</f>
        <v/>
      </c>
      <c r="BQ64" s="97" t="str">
        <f>IF($A64="","",IF($AE64="",1,IFERROR(INDEX(Deductibles!$C$67:$C$69,MATCH($AE64,Deductibles!$B$67:$B$69,0)),"?")))</f>
        <v/>
      </c>
      <c r="BR64" s="97" t="str">
        <f>IF($A64="","",IF($AF64="",1,IFERROR(INDEX(Deductibles!$C$73:$C$74,MATCH($AF64,Deductibles!$B$73:$B$74,0)),"?")))</f>
        <v/>
      </c>
      <c r="BS64" s="97" t="str">
        <f>IF($A64="","",IF($AG64="",1,IFERROR(INDEX('Sublimits and Parts'!$C$49:$C$52,MATCH($AG64,'Sublimits and Parts'!$B$49:$B$52,0)),"?")))</f>
        <v/>
      </c>
      <c r="BT64" s="97" t="str">
        <f>IF($A64="","",IF($AH64="",1,IFERROR(INDEX('Sublimits and Parts'!$C$56:$C$60,MATCH($AH64,'Sublimits and Parts'!$B$56:$B$60,0)),"?")))</f>
        <v/>
      </c>
      <c r="BU64" s="97" t="str">
        <f>IF($A64="","",IF($AI64="",1,IFERROR(INDEX('Sublimits and Parts'!$C$64:$C$67,MATCH($AI64,'Sublimits and Parts'!$B$64:$B$67,0)),"?")))</f>
        <v/>
      </c>
      <c r="BV64" s="97" t="str">
        <f>IF($A64="","",IF($AJ64="",1,IFERROR(INDEX('Sublimits and Parts'!$C$71:$C$74,MATCH($AJ64,'Sublimits and Parts'!$B$71:$B$74,0)),"?")))</f>
        <v/>
      </c>
      <c r="BW64" s="97" t="str">
        <f>IF($A64="","",IF($AK64="",1,IFERROR(INDEX('Sublimits and Parts'!$C$78:$C$80,MATCH($AK64,'Sublimits and Parts'!$B$78:$B$80,0)),"?")))</f>
        <v/>
      </c>
      <c r="BX64" s="97" t="str">
        <f>IF($A64="","",IF($AL64="",1,IFERROR(INDEX('Sublimits and Parts'!$C$84:$C$87,MATCH($AL64,'Sublimits and Parts'!$B$84:$B$87,0)),"?")))</f>
        <v/>
      </c>
      <c r="BY64" s="97" t="str">
        <f>IF($A64="","",IF($AM64="",1,IFERROR(INDEX('Sublimits and Parts'!$C$91:$C$94,MATCH($AM64,'Sublimits and Parts'!$B$91:$B$94,0)),"?")))</f>
        <v/>
      </c>
      <c r="BZ64" s="97" t="str">
        <f>IF($A64="","",IF($AN64="",1,IFERROR(INDEX('Sublimits and Parts'!$C$98:$C$101,MATCH($AN64,'Sublimits and Parts'!$B$98:$B$101,0)),"?")))</f>
        <v/>
      </c>
      <c r="CA64" s="97" t="str">
        <f>IF($A64="","",IF($AO64="",1,IFERROR(INDEX('Sublimits and Parts'!$C$105:$C$109,MATCH($AO64,'Sublimits and Parts'!$B$105:$B$109,0)),"?")))</f>
        <v/>
      </c>
      <c r="CB64" s="98" t="str">
        <f t="shared" si="2"/>
        <v/>
      </c>
      <c r="CC64" s="98" t="str">
        <f t="shared" si="3"/>
        <v/>
      </c>
      <c r="CD64" s="101" t="str">
        <f>IF($A64="","",IF(OR($CB64="?",$CC64="?"),"?",MIN($CB64*$CC64,'Technical Premium'!$C$17)))</f>
        <v/>
      </c>
      <c r="CE64" s="100" t="str">
        <f t="shared" si="4"/>
        <v/>
      </c>
      <c r="CF64" s="100" t="str">
        <f>IF($A64="","",IFERROR(INDEX('Territory Factors'!$F$6:$F$56,MATCH($K64,'Territory Factors'!$B$6:$B$56,0)),"?"))</f>
        <v/>
      </c>
      <c r="CG64" s="98" t="str">
        <f>IF($A64="","",IFERROR(INDEX('Usage and Coverage'!$C$79:$C$84,MATCH($Y64,'Usage and Coverage'!$B$79:$B$84,0)),"?"))</f>
        <v/>
      </c>
      <c r="CH64" s="100" t="str">
        <f>IFERROR(IF(ISNUMBER($CD64),$CF64*$CG64*MIN($BG64*$BA64*$BC64*$BD64*$BH64*$BF64,'Technical Premium'!$C$17),""),"")</f>
        <v/>
      </c>
      <c r="CI64" s="100" t="str">
        <f t="shared" si="5"/>
        <v/>
      </c>
      <c r="CJ64" s="100" t="str">
        <f>IFERROR($CI64*(1+'Technical Premium'!$C$5)*(1+'Technical Premium'!$C$6),"")</f>
        <v/>
      </c>
      <c r="CK64" s="100" t="str">
        <f>IFERROR($CE64*INDEX('Territory Factors'!$G$6:$G$56,MATCH($K64,'Territory Factors'!$B$6:$B$56,0))*$AU64*$AV64,"")</f>
        <v/>
      </c>
      <c r="CL64" s="100" t="str">
        <f>IFERROR(($CJ64+$CK64)*(1+'Technical Premium'!$C$7),"")</f>
        <v/>
      </c>
      <c r="CM64" s="102" t="str">
        <f>IFERROR($CL64/'Technical Premium'!$C$13,"")</f>
        <v/>
      </c>
      <c r="CN64" s="103" t="str">
        <f t="shared" si="6"/>
        <v/>
      </c>
      <c r="CO64" s="102" t="str">
        <f t="shared" si="7"/>
        <v/>
      </c>
      <c r="CP64" s="103" t="str">
        <f t="shared" si="8"/>
        <v/>
      </c>
      <c r="CQ64" s="104" t="str">
        <f t="shared" si="9"/>
        <v/>
      </c>
      <c r="CR64" s="100" t="str">
        <f>IF(ISNUMBER($CM64),'Technical Premium'!$C$14+IF($J64&gt;=1000000,'Technical Premium'!$C$15,0),"")</f>
        <v/>
      </c>
      <c r="CS64" s="100" t="str">
        <f>IFERROR(($CO64+$CR64)*(INDEX('Territory Factors'!$K$6:$K$56,MATCH($K64,'Territory Factors'!$B$6:$B$56,0))+'Commission Structure'!$C$21),"")</f>
        <v/>
      </c>
      <c r="CT64" s="102" t="str">
        <f t="shared" si="10"/>
        <v/>
      </c>
      <c r="CU64" s="100" t="str">
        <f>IFERROR($CO64*('Commission Structure'!$C$6+'Commission Structure'!$C$7),"")</f>
        <v/>
      </c>
      <c r="CV64" s="100" t="str">
        <f>IFERROR($CO64*'Commission Structure'!$C$5-$CU64,"")</f>
        <v/>
      </c>
      <c r="CW64" s="100" t="str">
        <f>IFERROR($CO64*(1-'Commission Structure'!$C$5),"")</f>
        <v/>
      </c>
      <c r="CX64" s="105" t="str">
        <f>IF($A64="","",IF(OR($CB64="?",$CC64="?",NOT(ISNUMBER($AU64))),"CHECK INPUTS",IF(OR($J64&lt;'Technical Premium'!$C$18,LEFT(IFERROR(INDEX('Driver Factors'!$D$6:$D$15,MATCH($R64,'Driver Factors'!$B$6:$B$15,0)),""),7)="DECLINE",LEFT(IFERROR(INDEX('Driver Factors'!$D$28:$D$36,MATCH($T64,'Driver Factors'!$B$28:$B$36,0)),""),7)="DECLINE",LEFT(IFERROR(INDEX('Claims History'!$D$6:$D$15,MATCH($U64,'Claims History'!$B$6:$B$15,0)),""),7)="DECLINE",LEFT(IFERROR(INDEX('Usage and Coverage'!$E$6:$E$20,MATCH($N64,'Usage and Coverage'!$C$6:$C$20,0)),""),7)="DECLINE"),"DECLINE",IF(OR($CD64&gt;2.5,$CD64&gt;='Technical Premium'!$C$17,$J64&gt;='Technical Premium'!$C$16,N($AQ64)&lt;'Technical Premium'!$C$19,N($AQ64)&gt;'Technical Premium'!$C$20,LEFT(IFERROR(INDEX('Driver Factors'!$D$6:$D$15,MATCH($R64,'Driver Factors'!$B$6:$B$15,0)),""),5)="Refer",LEFT(IFERROR(INDEX('Driver Factors'!$D$28:$D$36,MATCH($T64,'Driver Factors'!$B$28:$B$36,0)),""),5)="Refer",LEFT(IFERROR(INDEX('Claims History'!$D$6:$D$15,MATCH($U64,'Claims History'!$B$6:$B$15,0)),""),5)="Refer",LEFT(IFERROR(INDEX('Usage and Coverage'!$E$6:$E$20,MATCH($N64,'Usage and Coverage'!$C$6:$C$20,0)),""),5)="Refer"),"REFER","AUTO-BIND"))))</f>
        <v/>
      </c>
      <c r="CY64" s="106" t="str">
        <f t="shared" si="11"/>
        <v/>
      </c>
      <c r="CZ64" s="97" t="str">
        <f>IF($CY64="","",IF($CY64&lt;'Technical Premium'!$C$19,"BEYOND AUTHORITY",IF($CY64&gt;0.005,"Above technical",IF($CY64&lt;-0.005,"BELOW technical","At technical"))))</f>
        <v/>
      </c>
      <c r="DA64" s="97" t="str">
        <f>IF($A64="","",IF($CX64="AUTO-BIND","",TRIM(IF($J64&lt;'Technical Premium'!$C$18,"Below programme minimum agreed value. ","")&amp;IF(N($AQ64)&lt;'Technical Premium'!$C$19,"DISCOUNT AUTHORITY BREACH. ","")&amp;IF(N($AQ64)&gt;'Technical Premium'!$C$20,"Load authority breach. ","")&amp;IF($J64&gt;='Technical Premium'!$C$16,"Agreed value at or above auto-bind limit. ","")&amp;IF(AND(ISNUMBER($CD64),$CD64&gt;='Technical Premium'!$C$17),"Composite factor at cap. ","")&amp;IF(AND(ISNUMBER($CD64),$CD64&gt;2.5),"Composite factor above 2.50. ","")&amp;IF(LEFT(IFERROR(INDEX('Driver Factors'!$D$6:$D$15,MATCH($R64,'Driver Factors'!$B$6:$B$15,0)),""),7)="DECLINE","DECLINE - driver age. ",IF(LEFT(IFERROR(INDEX('Driver Factors'!$D$6:$D$15,MATCH($R64,'Driver Factors'!$B$6:$B$15,0)),""),5)="Refer","Driver age band. ",""))&amp;IF(LEFT(IFERROR(INDEX('Driver Factors'!$D$28:$D$36,MATCH($T64,'Driver Factors'!$B$28:$B$36,0)),""),7)="DECLINE","DECLINE - MVR. ",IF(LEFT(IFERROR(INDEX('Driver Factors'!$D$28:$D$36,MATCH($T64,'Driver Factors'!$B$28:$B$36,0)),""),5)="Refer","MVR record. ",""))&amp;IF(LEFT(IFERROR(INDEX('Claims History'!$D$6:$D$15,MATCH($U64,'Claims History'!$B$6:$B$15,0)),""),7)="DECLINE","DECLINE - claims. ",IF(LEFT(IFERROR(INDEX('Claims History'!$D$6:$D$15,MATCH($U64,'Claims History'!$B$6:$B$15,0)),""),5)="Refer","Claims history. ",""))&amp;IF(LEFT(IFERROR(INDEX('Usage and Coverage'!$E$6:$E$20,MATCH($N64,'Usage and Coverage'!$C$6:$C$20,0)),""),7)="DECLINE","DECLINE - usage class. ",IF(LEFT(IFERROR(INDEX('Usage and Coverage'!$E$6:$E$20,MATCH($N64,'Usage and Coverage'!$C$6:$C$20,0)),""),5)="Refer","Usage class. ",""))&amp;IF($CX64="CHECK INPUTS","Incomplete inputs. ",""))))</f>
        <v/>
      </c>
      <c r="DB64" s="92"/>
      <c r="DC64" s="92"/>
      <c r="DD64" s="93"/>
      <c r="DE64" s="92"/>
      <c r="DF64" s="92"/>
      <c r="DG64" s="97" t="str">
        <f t="shared" si="12"/>
        <v/>
      </c>
      <c r="DH64" s="97" t="str">
        <f>IF($A64="","",IF(OR($CX64="REFER",$CX64="DECLINE"),COUNTIF($CX$5:$CX64,"REFER")+COUNTIF($CX$5:$CX64,"DECLINE"),""))</f>
        <v/>
      </c>
      <c r="DI64" s="92"/>
    </row>
    <row r="65" spans="1:113" x14ac:dyDescent="0.25">
      <c r="A65" s="92"/>
      <c r="B65" s="92"/>
      <c r="C65" s="93"/>
      <c r="D65" s="93"/>
      <c r="E65" s="94"/>
      <c r="F65" s="92"/>
      <c r="G65" s="92"/>
      <c r="H65" s="92"/>
      <c r="I65" s="92"/>
      <c r="J65" s="95"/>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6"/>
      <c r="AR65" s="97" t="str">
        <f t="shared" si="0"/>
        <v/>
      </c>
      <c r="AS65" s="97" t="str">
        <f>IF($A65="","",IF($AP65&lt;&gt;"",$AP65,IFERROR(INDEX('Cat Zone by ZIP'!$D$6:$D$856,MATCH($AR65,'Cat Zone by ZIP'!$B$6:$B$856,0)),IFERROR(INDEX('Cat Zone by ZIP'!$C$860:$C$910,MATCH($K65,'Cat Zone by ZIP'!$B$860:$B$910,0)),"NOT FOUND"))))</f>
        <v/>
      </c>
      <c r="AT65" s="97" t="str">
        <f>IF($A65="","",IF($AP65&lt;&gt;"","Override",IF(ISNUMBER(MATCH($AR65,'Cat Zone by ZIP'!$B$6:$B$856,0)),"ZIP-3","State default")))</f>
        <v/>
      </c>
      <c r="AU65" s="98" t="str">
        <f>IF($A65="","",IFERROR(INDEX('Natural Catastrophe'!$D$6:$D$17,MATCH($AS65,'Natural Catastrophe'!$B$6:$B$17,0)),"?"))</f>
        <v/>
      </c>
      <c r="AV65" s="98" t="str">
        <f>IF($A65="","",IFERROR(INDEX('Natural Catastrophe'!$C$21:$C$26,MATCH($AA65,'Natural Catastrophe'!$B$21:$B$26,0)),"?"))</f>
        <v/>
      </c>
      <c r="AW65" s="97" t="str">
        <f>IF($A65="","",IFERROR(INDEX('Base Rates'!$C$4:$I$4,MATCH(MAX($J65,'Technical Premium'!$C$18),'Base Rates'!$C$3:$I$3,1)),"?"))</f>
        <v/>
      </c>
      <c r="AX65" s="99" t="str">
        <f>IF($A65="","",IFERROR(INDEX('Base Rates'!$C$5:$I$16,MATCH($I65,'Base Rates'!$B$5:$B$16,0),MATCH(MAX($J65,'Technical Premium'!$C$18),'Base Rates'!$C$3:$I$3,1)),"?"))</f>
        <v/>
      </c>
      <c r="AY65" s="100" t="str">
        <f t="shared" si="1"/>
        <v/>
      </c>
      <c r="AZ65" s="97" t="str">
        <f>IF($A65="","",IFERROR(INDEX('Make Factors'!$G$5:$G$69,MATCH($F65,'Make Factors'!$B$5:$B$69,0)),"?"))</f>
        <v/>
      </c>
      <c r="BA65" s="97" t="str">
        <f>IF($A65="","",IFERROR(INDEX('Driver Factors'!$C$6:$C$15,MATCH($R65,'Driver Factors'!$B$6:$B$15,0)),"?"))</f>
        <v/>
      </c>
      <c r="BB65" s="97" t="str">
        <f>IF($A65="","",IFERROR(INDEX('Driver Factors'!$C$19:$C$24,MATCH($S65,'Driver Factors'!$B$19:$B$24,0)),"?"))</f>
        <v/>
      </c>
      <c r="BC65" s="97" t="str">
        <f>IF($A65="","",IFERROR(INDEX('Driver Factors'!$C$28:$C$36,MATCH($T65,'Driver Factors'!$B$28:$B$36,0)),"?"))</f>
        <v/>
      </c>
      <c r="BD65" s="97" t="str">
        <f>IF($A65="","",IFERROR(INDEX('Claims History'!$C$6:$C$15,MATCH($U65,'Claims History'!$B$6:$B$15,0)),"?"))</f>
        <v/>
      </c>
      <c r="BE65" s="97" t="str">
        <f>IF($A65="","",IFERROR(INDEX('Territory Factors'!$E$6:$E$56,MATCH($K65,'Territory Factors'!$B$6:$B$56,0)),"?"))</f>
        <v/>
      </c>
      <c r="BF65" s="97" t="str">
        <f>IF($A65="","",IFERROR(INDEX('City Accident Ratings'!$G$6:$G$54,MATCH($Z65,'City Accident Ratings'!$B$6:$B$54,0)),"?"))</f>
        <v/>
      </c>
      <c r="BG65" s="97" t="str">
        <f>IF($A65="","",IFERROR(INDEX('Usage and Coverage'!$D$6:$D$20,MATCH($N65,'Usage and Coverage'!$C$6:$C$20,0)),"?"))</f>
        <v/>
      </c>
      <c r="BH65" s="97" t="str">
        <f>IF($A65="","",IFERROR(INDEX('Usage and Coverage'!$C$24:$C$30,MATCH($O65,'Usage and Coverage'!$B$24:$B$30,0)),"?"))</f>
        <v/>
      </c>
      <c r="BI65" s="97" t="str">
        <f>IF($A65="","",IFERROR(INDEX('Usage and Coverage'!$C$34:$C$40,MATCH($P65,'Usage and Coverage'!$B$34:$B$40,0)),"?"))</f>
        <v/>
      </c>
      <c r="BJ65" s="97" t="str">
        <f>IF($A65="","",IFERROR(INDEX('Usage and Coverage'!$C$44:$C$49,MATCH($Q65,'Usage and Coverage'!$B$44:$B$49,0)),"?"))</f>
        <v/>
      </c>
      <c r="BK65" s="97" t="str">
        <f>IF($A65="","",IFERROR(INDEX(Deductibles!$C$6:$I$15,MATCH($W65,Deductibles!$B$6:$B$15,0),MATCH(MAX($J65,'Technical Premium'!$C$18),'Base Rates'!$C$3:$I$3,1)),"?"))</f>
        <v/>
      </c>
      <c r="BL65" s="97" t="str">
        <f>IF($A65="","",IFERROR(INDEX('Usage and Coverage'!$C$63:$C$66,MATCH($X65,'Usage and Coverage'!$B$63:$B$66,0)),"?"))</f>
        <v/>
      </c>
      <c r="BM65" s="97" t="str">
        <f>IF($A65="","",IFERROR(INDEX('Usage and Coverage'!$C$70:$C$75,MATCH($V65,'Usage and Coverage'!$B$70:$B$75,0)),"?"))</f>
        <v/>
      </c>
      <c r="BN65" s="97" t="str">
        <f>IF($A65="","",IF($AB65="",1,IFERROR(INDEX(Deductibles!$C$48:$C$51,MATCH($AB65,Deductibles!$B$48:$B$51,0)),"?")))</f>
        <v/>
      </c>
      <c r="BO65" s="97" t="str">
        <f>IF($A65="","",IF($AC65="",1,IFERROR(INDEX(Deductibles!$C$55:$C$57,MATCH($AC65,Deductibles!$B$55:$B$57,0)),"?")))</f>
        <v/>
      </c>
      <c r="BP65" s="97" t="str">
        <f>IF($A65="","",IF($AD65="",1,IFERROR(INDEX(Deductibles!$C$61:$C$63,MATCH($AD65,Deductibles!$B$61:$B$63,0)),"?")))</f>
        <v/>
      </c>
      <c r="BQ65" s="97" t="str">
        <f>IF($A65="","",IF($AE65="",1,IFERROR(INDEX(Deductibles!$C$67:$C$69,MATCH($AE65,Deductibles!$B$67:$B$69,0)),"?")))</f>
        <v/>
      </c>
      <c r="BR65" s="97" t="str">
        <f>IF($A65="","",IF($AF65="",1,IFERROR(INDEX(Deductibles!$C$73:$C$74,MATCH($AF65,Deductibles!$B$73:$B$74,0)),"?")))</f>
        <v/>
      </c>
      <c r="BS65" s="97" t="str">
        <f>IF($A65="","",IF($AG65="",1,IFERROR(INDEX('Sublimits and Parts'!$C$49:$C$52,MATCH($AG65,'Sublimits and Parts'!$B$49:$B$52,0)),"?")))</f>
        <v/>
      </c>
      <c r="BT65" s="97" t="str">
        <f>IF($A65="","",IF($AH65="",1,IFERROR(INDEX('Sublimits and Parts'!$C$56:$C$60,MATCH($AH65,'Sublimits and Parts'!$B$56:$B$60,0)),"?")))</f>
        <v/>
      </c>
      <c r="BU65" s="97" t="str">
        <f>IF($A65="","",IF($AI65="",1,IFERROR(INDEX('Sublimits and Parts'!$C$64:$C$67,MATCH($AI65,'Sublimits and Parts'!$B$64:$B$67,0)),"?")))</f>
        <v/>
      </c>
      <c r="BV65" s="97" t="str">
        <f>IF($A65="","",IF($AJ65="",1,IFERROR(INDEX('Sublimits and Parts'!$C$71:$C$74,MATCH($AJ65,'Sublimits and Parts'!$B$71:$B$74,0)),"?")))</f>
        <v/>
      </c>
      <c r="BW65" s="97" t="str">
        <f>IF($A65="","",IF($AK65="",1,IFERROR(INDEX('Sublimits and Parts'!$C$78:$C$80,MATCH($AK65,'Sublimits and Parts'!$B$78:$B$80,0)),"?")))</f>
        <v/>
      </c>
      <c r="BX65" s="97" t="str">
        <f>IF($A65="","",IF($AL65="",1,IFERROR(INDEX('Sublimits and Parts'!$C$84:$C$87,MATCH($AL65,'Sublimits and Parts'!$B$84:$B$87,0)),"?")))</f>
        <v/>
      </c>
      <c r="BY65" s="97" t="str">
        <f>IF($A65="","",IF($AM65="",1,IFERROR(INDEX('Sublimits and Parts'!$C$91:$C$94,MATCH($AM65,'Sublimits and Parts'!$B$91:$B$94,0)),"?")))</f>
        <v/>
      </c>
      <c r="BZ65" s="97" t="str">
        <f>IF($A65="","",IF($AN65="",1,IFERROR(INDEX('Sublimits and Parts'!$C$98:$C$101,MATCH($AN65,'Sublimits and Parts'!$B$98:$B$101,0)),"?")))</f>
        <v/>
      </c>
      <c r="CA65" s="97" t="str">
        <f>IF($A65="","",IF($AO65="",1,IFERROR(INDEX('Sublimits and Parts'!$C$105:$C$109,MATCH($AO65,'Sublimits and Parts'!$B$105:$B$109,0)),"?")))</f>
        <v/>
      </c>
      <c r="CB65" s="98" t="str">
        <f t="shared" si="2"/>
        <v/>
      </c>
      <c r="CC65" s="98" t="str">
        <f t="shared" si="3"/>
        <v/>
      </c>
      <c r="CD65" s="101" t="str">
        <f>IF($A65="","",IF(OR($CB65="?",$CC65="?"),"?",MIN($CB65*$CC65,'Technical Premium'!$C$17)))</f>
        <v/>
      </c>
      <c r="CE65" s="100" t="str">
        <f t="shared" si="4"/>
        <v/>
      </c>
      <c r="CF65" s="100" t="str">
        <f>IF($A65="","",IFERROR(INDEX('Territory Factors'!$F$6:$F$56,MATCH($K65,'Territory Factors'!$B$6:$B$56,0)),"?"))</f>
        <v/>
      </c>
      <c r="CG65" s="98" t="str">
        <f>IF($A65="","",IFERROR(INDEX('Usage and Coverage'!$C$79:$C$84,MATCH($Y65,'Usage and Coverage'!$B$79:$B$84,0)),"?"))</f>
        <v/>
      </c>
      <c r="CH65" s="100" t="str">
        <f>IFERROR(IF(ISNUMBER($CD65),$CF65*$CG65*MIN($BG65*$BA65*$BC65*$BD65*$BH65*$BF65,'Technical Premium'!$C$17),""),"")</f>
        <v/>
      </c>
      <c r="CI65" s="100" t="str">
        <f t="shared" si="5"/>
        <v/>
      </c>
      <c r="CJ65" s="100" t="str">
        <f>IFERROR($CI65*(1+'Technical Premium'!$C$5)*(1+'Technical Premium'!$C$6),"")</f>
        <v/>
      </c>
      <c r="CK65" s="100" t="str">
        <f>IFERROR($CE65*INDEX('Territory Factors'!$G$6:$G$56,MATCH($K65,'Territory Factors'!$B$6:$B$56,0))*$AU65*$AV65,"")</f>
        <v/>
      </c>
      <c r="CL65" s="100" t="str">
        <f>IFERROR(($CJ65+$CK65)*(1+'Technical Premium'!$C$7),"")</f>
        <v/>
      </c>
      <c r="CM65" s="102" t="str">
        <f>IFERROR($CL65/'Technical Premium'!$C$13,"")</f>
        <v/>
      </c>
      <c r="CN65" s="103" t="str">
        <f t="shared" si="6"/>
        <v/>
      </c>
      <c r="CO65" s="102" t="str">
        <f t="shared" si="7"/>
        <v/>
      </c>
      <c r="CP65" s="103" t="str">
        <f t="shared" si="8"/>
        <v/>
      </c>
      <c r="CQ65" s="104" t="str">
        <f t="shared" si="9"/>
        <v/>
      </c>
      <c r="CR65" s="100" t="str">
        <f>IF(ISNUMBER($CM65),'Technical Premium'!$C$14+IF($J65&gt;=1000000,'Technical Premium'!$C$15,0),"")</f>
        <v/>
      </c>
      <c r="CS65" s="100" t="str">
        <f>IFERROR(($CO65+$CR65)*(INDEX('Territory Factors'!$K$6:$K$56,MATCH($K65,'Territory Factors'!$B$6:$B$56,0))+'Commission Structure'!$C$21),"")</f>
        <v/>
      </c>
      <c r="CT65" s="102" t="str">
        <f t="shared" si="10"/>
        <v/>
      </c>
      <c r="CU65" s="100" t="str">
        <f>IFERROR($CO65*('Commission Structure'!$C$6+'Commission Structure'!$C$7),"")</f>
        <v/>
      </c>
      <c r="CV65" s="100" t="str">
        <f>IFERROR($CO65*'Commission Structure'!$C$5-$CU65,"")</f>
        <v/>
      </c>
      <c r="CW65" s="100" t="str">
        <f>IFERROR($CO65*(1-'Commission Structure'!$C$5),"")</f>
        <v/>
      </c>
      <c r="CX65" s="105" t="str">
        <f>IF($A65="","",IF(OR($CB65="?",$CC65="?",NOT(ISNUMBER($AU65))),"CHECK INPUTS",IF(OR($J65&lt;'Technical Premium'!$C$18,LEFT(IFERROR(INDEX('Driver Factors'!$D$6:$D$15,MATCH($R65,'Driver Factors'!$B$6:$B$15,0)),""),7)="DECLINE",LEFT(IFERROR(INDEX('Driver Factors'!$D$28:$D$36,MATCH($T65,'Driver Factors'!$B$28:$B$36,0)),""),7)="DECLINE",LEFT(IFERROR(INDEX('Claims History'!$D$6:$D$15,MATCH($U65,'Claims History'!$B$6:$B$15,0)),""),7)="DECLINE",LEFT(IFERROR(INDEX('Usage and Coverage'!$E$6:$E$20,MATCH($N65,'Usage and Coverage'!$C$6:$C$20,0)),""),7)="DECLINE"),"DECLINE",IF(OR($CD65&gt;2.5,$CD65&gt;='Technical Premium'!$C$17,$J65&gt;='Technical Premium'!$C$16,N($AQ65)&lt;'Technical Premium'!$C$19,N($AQ65)&gt;'Technical Premium'!$C$20,LEFT(IFERROR(INDEX('Driver Factors'!$D$6:$D$15,MATCH($R65,'Driver Factors'!$B$6:$B$15,0)),""),5)="Refer",LEFT(IFERROR(INDEX('Driver Factors'!$D$28:$D$36,MATCH($T65,'Driver Factors'!$B$28:$B$36,0)),""),5)="Refer",LEFT(IFERROR(INDEX('Claims History'!$D$6:$D$15,MATCH($U65,'Claims History'!$B$6:$B$15,0)),""),5)="Refer",LEFT(IFERROR(INDEX('Usage and Coverage'!$E$6:$E$20,MATCH($N65,'Usage and Coverage'!$C$6:$C$20,0)),""),5)="Refer"),"REFER","AUTO-BIND"))))</f>
        <v/>
      </c>
      <c r="CY65" s="106" t="str">
        <f t="shared" si="11"/>
        <v/>
      </c>
      <c r="CZ65" s="97" t="str">
        <f>IF($CY65="","",IF($CY65&lt;'Technical Premium'!$C$19,"BEYOND AUTHORITY",IF($CY65&gt;0.005,"Above technical",IF($CY65&lt;-0.005,"BELOW technical","At technical"))))</f>
        <v/>
      </c>
      <c r="DA65" s="97" t="str">
        <f>IF($A65="","",IF($CX65="AUTO-BIND","",TRIM(IF($J65&lt;'Technical Premium'!$C$18,"Below programme minimum agreed value. ","")&amp;IF(N($AQ65)&lt;'Technical Premium'!$C$19,"DISCOUNT AUTHORITY BREACH. ","")&amp;IF(N($AQ65)&gt;'Technical Premium'!$C$20,"Load authority breach. ","")&amp;IF($J65&gt;='Technical Premium'!$C$16,"Agreed value at or above auto-bind limit. ","")&amp;IF(AND(ISNUMBER($CD65),$CD65&gt;='Technical Premium'!$C$17),"Composite factor at cap. ","")&amp;IF(AND(ISNUMBER($CD65),$CD65&gt;2.5),"Composite factor above 2.50. ","")&amp;IF(LEFT(IFERROR(INDEX('Driver Factors'!$D$6:$D$15,MATCH($R65,'Driver Factors'!$B$6:$B$15,0)),""),7)="DECLINE","DECLINE - driver age. ",IF(LEFT(IFERROR(INDEX('Driver Factors'!$D$6:$D$15,MATCH($R65,'Driver Factors'!$B$6:$B$15,0)),""),5)="Refer","Driver age band. ",""))&amp;IF(LEFT(IFERROR(INDEX('Driver Factors'!$D$28:$D$36,MATCH($T65,'Driver Factors'!$B$28:$B$36,0)),""),7)="DECLINE","DECLINE - MVR. ",IF(LEFT(IFERROR(INDEX('Driver Factors'!$D$28:$D$36,MATCH($T65,'Driver Factors'!$B$28:$B$36,0)),""),5)="Refer","MVR record. ",""))&amp;IF(LEFT(IFERROR(INDEX('Claims History'!$D$6:$D$15,MATCH($U65,'Claims History'!$B$6:$B$15,0)),""),7)="DECLINE","DECLINE - claims. ",IF(LEFT(IFERROR(INDEX('Claims History'!$D$6:$D$15,MATCH($U65,'Claims History'!$B$6:$B$15,0)),""),5)="Refer","Claims history. ",""))&amp;IF(LEFT(IFERROR(INDEX('Usage and Coverage'!$E$6:$E$20,MATCH($N65,'Usage and Coverage'!$C$6:$C$20,0)),""),7)="DECLINE","DECLINE - usage class. ",IF(LEFT(IFERROR(INDEX('Usage and Coverage'!$E$6:$E$20,MATCH($N65,'Usage and Coverage'!$C$6:$C$20,0)),""),5)="Refer","Usage class. ",""))&amp;IF($CX65="CHECK INPUTS","Incomplete inputs. ",""))))</f>
        <v/>
      </c>
      <c r="DB65" s="92"/>
      <c r="DC65" s="92"/>
      <c r="DD65" s="93"/>
      <c r="DE65" s="92"/>
      <c r="DF65" s="92"/>
      <c r="DG65" s="97" t="str">
        <f t="shared" si="12"/>
        <v/>
      </c>
      <c r="DH65" s="97" t="str">
        <f>IF($A65="","",IF(OR($CX65="REFER",$CX65="DECLINE"),COUNTIF($CX$5:$CX65,"REFER")+COUNTIF($CX$5:$CX65,"DECLINE"),""))</f>
        <v/>
      </c>
      <c r="DI65" s="92"/>
    </row>
    <row r="66" spans="1:113" x14ac:dyDescent="0.25">
      <c r="A66" s="92"/>
      <c r="B66" s="92"/>
      <c r="C66" s="93"/>
      <c r="D66" s="93"/>
      <c r="E66" s="94"/>
      <c r="F66" s="92"/>
      <c r="G66" s="92"/>
      <c r="H66" s="92"/>
      <c r="I66" s="92"/>
      <c r="J66" s="95"/>
      <c r="K66" s="92"/>
      <c r="L66" s="92"/>
      <c r="M66" s="92"/>
      <c r="N66" s="92"/>
      <c r="O66" s="92"/>
      <c r="P66" s="92"/>
      <c r="Q66" s="92"/>
      <c r="R66" s="92"/>
      <c r="S66" s="92"/>
      <c r="T66" s="92"/>
      <c r="U66" s="92"/>
      <c r="V66" s="92"/>
      <c r="W66" s="92"/>
      <c r="X66" s="92"/>
      <c r="Y66" s="92"/>
      <c r="Z66" s="92"/>
      <c r="AA66" s="92"/>
      <c r="AB66" s="92"/>
      <c r="AC66" s="92"/>
      <c r="AD66" s="92"/>
      <c r="AE66" s="92"/>
      <c r="AF66" s="92"/>
      <c r="AG66" s="92"/>
      <c r="AH66" s="92"/>
      <c r="AI66" s="92"/>
      <c r="AJ66" s="92"/>
      <c r="AK66" s="92"/>
      <c r="AL66" s="92"/>
      <c r="AM66" s="92"/>
      <c r="AN66" s="92"/>
      <c r="AO66" s="92"/>
      <c r="AP66" s="92"/>
      <c r="AQ66" s="96"/>
      <c r="AR66" s="97" t="str">
        <f t="shared" si="0"/>
        <v/>
      </c>
      <c r="AS66" s="97" t="str">
        <f>IF($A66="","",IF($AP66&lt;&gt;"",$AP66,IFERROR(INDEX('Cat Zone by ZIP'!$D$6:$D$856,MATCH($AR66,'Cat Zone by ZIP'!$B$6:$B$856,0)),IFERROR(INDEX('Cat Zone by ZIP'!$C$860:$C$910,MATCH($K66,'Cat Zone by ZIP'!$B$860:$B$910,0)),"NOT FOUND"))))</f>
        <v/>
      </c>
      <c r="AT66" s="97" t="str">
        <f>IF($A66="","",IF($AP66&lt;&gt;"","Override",IF(ISNUMBER(MATCH($AR66,'Cat Zone by ZIP'!$B$6:$B$856,0)),"ZIP-3","State default")))</f>
        <v/>
      </c>
      <c r="AU66" s="98" t="str">
        <f>IF($A66="","",IFERROR(INDEX('Natural Catastrophe'!$D$6:$D$17,MATCH($AS66,'Natural Catastrophe'!$B$6:$B$17,0)),"?"))</f>
        <v/>
      </c>
      <c r="AV66" s="98" t="str">
        <f>IF($A66="","",IFERROR(INDEX('Natural Catastrophe'!$C$21:$C$26,MATCH($AA66,'Natural Catastrophe'!$B$21:$B$26,0)),"?"))</f>
        <v/>
      </c>
      <c r="AW66" s="97" t="str">
        <f>IF($A66="","",IFERROR(INDEX('Base Rates'!$C$4:$I$4,MATCH(MAX($J66,'Technical Premium'!$C$18),'Base Rates'!$C$3:$I$3,1)),"?"))</f>
        <v/>
      </c>
      <c r="AX66" s="99" t="str">
        <f>IF($A66="","",IFERROR(INDEX('Base Rates'!$C$5:$I$16,MATCH($I66,'Base Rates'!$B$5:$B$16,0),MATCH(MAX($J66,'Technical Premium'!$C$18),'Base Rates'!$C$3:$I$3,1)),"?"))</f>
        <v/>
      </c>
      <c r="AY66" s="100" t="str">
        <f t="shared" si="1"/>
        <v/>
      </c>
      <c r="AZ66" s="97" t="str">
        <f>IF($A66="","",IFERROR(INDEX('Make Factors'!$G$5:$G$69,MATCH($F66,'Make Factors'!$B$5:$B$69,0)),"?"))</f>
        <v/>
      </c>
      <c r="BA66" s="97" t="str">
        <f>IF($A66="","",IFERROR(INDEX('Driver Factors'!$C$6:$C$15,MATCH($R66,'Driver Factors'!$B$6:$B$15,0)),"?"))</f>
        <v/>
      </c>
      <c r="BB66" s="97" t="str">
        <f>IF($A66="","",IFERROR(INDEX('Driver Factors'!$C$19:$C$24,MATCH($S66,'Driver Factors'!$B$19:$B$24,0)),"?"))</f>
        <v/>
      </c>
      <c r="BC66" s="97" t="str">
        <f>IF($A66="","",IFERROR(INDEX('Driver Factors'!$C$28:$C$36,MATCH($T66,'Driver Factors'!$B$28:$B$36,0)),"?"))</f>
        <v/>
      </c>
      <c r="BD66" s="97" t="str">
        <f>IF($A66="","",IFERROR(INDEX('Claims History'!$C$6:$C$15,MATCH($U66,'Claims History'!$B$6:$B$15,0)),"?"))</f>
        <v/>
      </c>
      <c r="BE66" s="97" t="str">
        <f>IF($A66="","",IFERROR(INDEX('Territory Factors'!$E$6:$E$56,MATCH($K66,'Territory Factors'!$B$6:$B$56,0)),"?"))</f>
        <v/>
      </c>
      <c r="BF66" s="97" t="str">
        <f>IF($A66="","",IFERROR(INDEX('City Accident Ratings'!$G$6:$G$54,MATCH($Z66,'City Accident Ratings'!$B$6:$B$54,0)),"?"))</f>
        <v/>
      </c>
      <c r="BG66" s="97" t="str">
        <f>IF($A66="","",IFERROR(INDEX('Usage and Coverage'!$D$6:$D$20,MATCH($N66,'Usage and Coverage'!$C$6:$C$20,0)),"?"))</f>
        <v/>
      </c>
      <c r="BH66" s="97" t="str">
        <f>IF($A66="","",IFERROR(INDEX('Usage and Coverage'!$C$24:$C$30,MATCH($O66,'Usage and Coverage'!$B$24:$B$30,0)),"?"))</f>
        <v/>
      </c>
      <c r="BI66" s="97" t="str">
        <f>IF($A66="","",IFERROR(INDEX('Usage and Coverage'!$C$34:$C$40,MATCH($P66,'Usage and Coverage'!$B$34:$B$40,0)),"?"))</f>
        <v/>
      </c>
      <c r="BJ66" s="97" t="str">
        <f>IF($A66="","",IFERROR(INDEX('Usage and Coverage'!$C$44:$C$49,MATCH($Q66,'Usage and Coverage'!$B$44:$B$49,0)),"?"))</f>
        <v/>
      </c>
      <c r="BK66" s="97" t="str">
        <f>IF($A66="","",IFERROR(INDEX(Deductibles!$C$6:$I$15,MATCH($W66,Deductibles!$B$6:$B$15,0),MATCH(MAX($J66,'Technical Premium'!$C$18),'Base Rates'!$C$3:$I$3,1)),"?"))</f>
        <v/>
      </c>
      <c r="BL66" s="97" t="str">
        <f>IF($A66="","",IFERROR(INDEX('Usage and Coverage'!$C$63:$C$66,MATCH($X66,'Usage and Coverage'!$B$63:$B$66,0)),"?"))</f>
        <v/>
      </c>
      <c r="BM66" s="97" t="str">
        <f>IF($A66="","",IFERROR(INDEX('Usage and Coverage'!$C$70:$C$75,MATCH($V66,'Usage and Coverage'!$B$70:$B$75,0)),"?"))</f>
        <v/>
      </c>
      <c r="BN66" s="97" t="str">
        <f>IF($A66="","",IF($AB66="",1,IFERROR(INDEX(Deductibles!$C$48:$C$51,MATCH($AB66,Deductibles!$B$48:$B$51,0)),"?")))</f>
        <v/>
      </c>
      <c r="BO66" s="97" t="str">
        <f>IF($A66="","",IF($AC66="",1,IFERROR(INDEX(Deductibles!$C$55:$C$57,MATCH($AC66,Deductibles!$B$55:$B$57,0)),"?")))</f>
        <v/>
      </c>
      <c r="BP66" s="97" t="str">
        <f>IF($A66="","",IF($AD66="",1,IFERROR(INDEX(Deductibles!$C$61:$C$63,MATCH($AD66,Deductibles!$B$61:$B$63,0)),"?")))</f>
        <v/>
      </c>
      <c r="BQ66" s="97" t="str">
        <f>IF($A66="","",IF($AE66="",1,IFERROR(INDEX(Deductibles!$C$67:$C$69,MATCH($AE66,Deductibles!$B$67:$B$69,0)),"?")))</f>
        <v/>
      </c>
      <c r="BR66" s="97" t="str">
        <f>IF($A66="","",IF($AF66="",1,IFERROR(INDEX(Deductibles!$C$73:$C$74,MATCH($AF66,Deductibles!$B$73:$B$74,0)),"?")))</f>
        <v/>
      </c>
      <c r="BS66" s="97" t="str">
        <f>IF($A66="","",IF($AG66="",1,IFERROR(INDEX('Sublimits and Parts'!$C$49:$C$52,MATCH($AG66,'Sublimits and Parts'!$B$49:$B$52,0)),"?")))</f>
        <v/>
      </c>
      <c r="BT66" s="97" t="str">
        <f>IF($A66="","",IF($AH66="",1,IFERROR(INDEX('Sublimits and Parts'!$C$56:$C$60,MATCH($AH66,'Sublimits and Parts'!$B$56:$B$60,0)),"?")))</f>
        <v/>
      </c>
      <c r="BU66" s="97" t="str">
        <f>IF($A66="","",IF($AI66="",1,IFERROR(INDEX('Sublimits and Parts'!$C$64:$C$67,MATCH($AI66,'Sublimits and Parts'!$B$64:$B$67,0)),"?")))</f>
        <v/>
      </c>
      <c r="BV66" s="97" t="str">
        <f>IF($A66="","",IF($AJ66="",1,IFERROR(INDEX('Sublimits and Parts'!$C$71:$C$74,MATCH($AJ66,'Sublimits and Parts'!$B$71:$B$74,0)),"?")))</f>
        <v/>
      </c>
      <c r="BW66" s="97" t="str">
        <f>IF($A66="","",IF($AK66="",1,IFERROR(INDEX('Sublimits and Parts'!$C$78:$C$80,MATCH($AK66,'Sublimits and Parts'!$B$78:$B$80,0)),"?")))</f>
        <v/>
      </c>
      <c r="BX66" s="97" t="str">
        <f>IF($A66="","",IF($AL66="",1,IFERROR(INDEX('Sublimits and Parts'!$C$84:$C$87,MATCH($AL66,'Sublimits and Parts'!$B$84:$B$87,0)),"?")))</f>
        <v/>
      </c>
      <c r="BY66" s="97" t="str">
        <f>IF($A66="","",IF($AM66="",1,IFERROR(INDEX('Sublimits and Parts'!$C$91:$C$94,MATCH($AM66,'Sublimits and Parts'!$B$91:$B$94,0)),"?")))</f>
        <v/>
      </c>
      <c r="BZ66" s="97" t="str">
        <f>IF($A66="","",IF($AN66="",1,IFERROR(INDEX('Sublimits and Parts'!$C$98:$C$101,MATCH($AN66,'Sublimits and Parts'!$B$98:$B$101,0)),"?")))</f>
        <v/>
      </c>
      <c r="CA66" s="97" t="str">
        <f>IF($A66="","",IF($AO66="",1,IFERROR(INDEX('Sublimits and Parts'!$C$105:$C$109,MATCH($AO66,'Sublimits and Parts'!$B$105:$B$109,0)),"?")))</f>
        <v/>
      </c>
      <c r="CB66" s="98" t="str">
        <f t="shared" si="2"/>
        <v/>
      </c>
      <c r="CC66" s="98" t="str">
        <f t="shared" si="3"/>
        <v/>
      </c>
      <c r="CD66" s="101" t="str">
        <f>IF($A66="","",IF(OR($CB66="?",$CC66="?"),"?",MIN($CB66*$CC66,'Technical Premium'!$C$17)))</f>
        <v/>
      </c>
      <c r="CE66" s="100" t="str">
        <f t="shared" si="4"/>
        <v/>
      </c>
      <c r="CF66" s="100" t="str">
        <f>IF($A66="","",IFERROR(INDEX('Territory Factors'!$F$6:$F$56,MATCH($K66,'Territory Factors'!$B$6:$B$56,0)),"?"))</f>
        <v/>
      </c>
      <c r="CG66" s="98" t="str">
        <f>IF($A66="","",IFERROR(INDEX('Usage and Coverage'!$C$79:$C$84,MATCH($Y66,'Usage and Coverage'!$B$79:$B$84,0)),"?"))</f>
        <v/>
      </c>
      <c r="CH66" s="100" t="str">
        <f>IFERROR(IF(ISNUMBER($CD66),$CF66*$CG66*MIN($BG66*$BA66*$BC66*$BD66*$BH66*$BF66,'Technical Premium'!$C$17),""),"")</f>
        <v/>
      </c>
      <c r="CI66" s="100" t="str">
        <f t="shared" si="5"/>
        <v/>
      </c>
      <c r="CJ66" s="100" t="str">
        <f>IFERROR($CI66*(1+'Technical Premium'!$C$5)*(1+'Technical Premium'!$C$6),"")</f>
        <v/>
      </c>
      <c r="CK66" s="100" t="str">
        <f>IFERROR($CE66*INDEX('Territory Factors'!$G$6:$G$56,MATCH($K66,'Territory Factors'!$B$6:$B$56,0))*$AU66*$AV66,"")</f>
        <v/>
      </c>
      <c r="CL66" s="100" t="str">
        <f>IFERROR(($CJ66+$CK66)*(1+'Technical Premium'!$C$7),"")</f>
        <v/>
      </c>
      <c r="CM66" s="102" t="str">
        <f>IFERROR($CL66/'Technical Premium'!$C$13,"")</f>
        <v/>
      </c>
      <c r="CN66" s="103" t="str">
        <f t="shared" si="6"/>
        <v/>
      </c>
      <c r="CO66" s="102" t="str">
        <f t="shared" si="7"/>
        <v/>
      </c>
      <c r="CP66" s="103" t="str">
        <f t="shared" si="8"/>
        <v/>
      </c>
      <c r="CQ66" s="104" t="str">
        <f t="shared" si="9"/>
        <v/>
      </c>
      <c r="CR66" s="100" t="str">
        <f>IF(ISNUMBER($CM66),'Technical Premium'!$C$14+IF($J66&gt;=1000000,'Technical Premium'!$C$15,0),"")</f>
        <v/>
      </c>
      <c r="CS66" s="100" t="str">
        <f>IFERROR(($CO66+$CR66)*(INDEX('Territory Factors'!$K$6:$K$56,MATCH($K66,'Territory Factors'!$B$6:$B$56,0))+'Commission Structure'!$C$21),"")</f>
        <v/>
      </c>
      <c r="CT66" s="102" t="str">
        <f t="shared" si="10"/>
        <v/>
      </c>
      <c r="CU66" s="100" t="str">
        <f>IFERROR($CO66*('Commission Structure'!$C$6+'Commission Structure'!$C$7),"")</f>
        <v/>
      </c>
      <c r="CV66" s="100" t="str">
        <f>IFERROR($CO66*'Commission Structure'!$C$5-$CU66,"")</f>
        <v/>
      </c>
      <c r="CW66" s="100" t="str">
        <f>IFERROR($CO66*(1-'Commission Structure'!$C$5),"")</f>
        <v/>
      </c>
      <c r="CX66" s="105" t="str">
        <f>IF($A66="","",IF(OR($CB66="?",$CC66="?",NOT(ISNUMBER($AU66))),"CHECK INPUTS",IF(OR($J66&lt;'Technical Premium'!$C$18,LEFT(IFERROR(INDEX('Driver Factors'!$D$6:$D$15,MATCH($R66,'Driver Factors'!$B$6:$B$15,0)),""),7)="DECLINE",LEFT(IFERROR(INDEX('Driver Factors'!$D$28:$D$36,MATCH($T66,'Driver Factors'!$B$28:$B$36,0)),""),7)="DECLINE",LEFT(IFERROR(INDEX('Claims History'!$D$6:$D$15,MATCH($U66,'Claims History'!$B$6:$B$15,0)),""),7)="DECLINE",LEFT(IFERROR(INDEX('Usage and Coverage'!$E$6:$E$20,MATCH($N66,'Usage and Coverage'!$C$6:$C$20,0)),""),7)="DECLINE"),"DECLINE",IF(OR($CD66&gt;2.5,$CD66&gt;='Technical Premium'!$C$17,$J66&gt;='Technical Premium'!$C$16,N($AQ66)&lt;'Technical Premium'!$C$19,N($AQ66)&gt;'Technical Premium'!$C$20,LEFT(IFERROR(INDEX('Driver Factors'!$D$6:$D$15,MATCH($R66,'Driver Factors'!$B$6:$B$15,0)),""),5)="Refer",LEFT(IFERROR(INDEX('Driver Factors'!$D$28:$D$36,MATCH($T66,'Driver Factors'!$B$28:$B$36,0)),""),5)="Refer",LEFT(IFERROR(INDEX('Claims History'!$D$6:$D$15,MATCH($U66,'Claims History'!$B$6:$B$15,0)),""),5)="Refer",LEFT(IFERROR(INDEX('Usage and Coverage'!$E$6:$E$20,MATCH($N66,'Usage and Coverage'!$C$6:$C$20,0)),""),5)="Refer"),"REFER","AUTO-BIND"))))</f>
        <v/>
      </c>
      <c r="CY66" s="106" t="str">
        <f t="shared" si="11"/>
        <v/>
      </c>
      <c r="CZ66" s="97" t="str">
        <f>IF($CY66="","",IF($CY66&lt;'Technical Premium'!$C$19,"BEYOND AUTHORITY",IF($CY66&gt;0.005,"Above technical",IF($CY66&lt;-0.005,"BELOW technical","At technical"))))</f>
        <v/>
      </c>
      <c r="DA66" s="97" t="str">
        <f>IF($A66="","",IF($CX66="AUTO-BIND","",TRIM(IF($J66&lt;'Technical Premium'!$C$18,"Below programme minimum agreed value. ","")&amp;IF(N($AQ66)&lt;'Technical Premium'!$C$19,"DISCOUNT AUTHORITY BREACH. ","")&amp;IF(N($AQ66)&gt;'Technical Premium'!$C$20,"Load authority breach. ","")&amp;IF($J66&gt;='Technical Premium'!$C$16,"Agreed value at or above auto-bind limit. ","")&amp;IF(AND(ISNUMBER($CD66),$CD66&gt;='Technical Premium'!$C$17),"Composite factor at cap. ","")&amp;IF(AND(ISNUMBER($CD66),$CD66&gt;2.5),"Composite factor above 2.50. ","")&amp;IF(LEFT(IFERROR(INDEX('Driver Factors'!$D$6:$D$15,MATCH($R66,'Driver Factors'!$B$6:$B$15,0)),""),7)="DECLINE","DECLINE - driver age. ",IF(LEFT(IFERROR(INDEX('Driver Factors'!$D$6:$D$15,MATCH($R66,'Driver Factors'!$B$6:$B$15,0)),""),5)="Refer","Driver age band. ",""))&amp;IF(LEFT(IFERROR(INDEX('Driver Factors'!$D$28:$D$36,MATCH($T66,'Driver Factors'!$B$28:$B$36,0)),""),7)="DECLINE","DECLINE - MVR. ",IF(LEFT(IFERROR(INDEX('Driver Factors'!$D$28:$D$36,MATCH($T66,'Driver Factors'!$B$28:$B$36,0)),""),5)="Refer","MVR record. ",""))&amp;IF(LEFT(IFERROR(INDEX('Claims History'!$D$6:$D$15,MATCH($U66,'Claims History'!$B$6:$B$15,0)),""),7)="DECLINE","DECLINE - claims. ",IF(LEFT(IFERROR(INDEX('Claims History'!$D$6:$D$15,MATCH($U66,'Claims History'!$B$6:$B$15,0)),""),5)="Refer","Claims history. ",""))&amp;IF(LEFT(IFERROR(INDEX('Usage and Coverage'!$E$6:$E$20,MATCH($N66,'Usage and Coverage'!$C$6:$C$20,0)),""),7)="DECLINE","DECLINE - usage class. ",IF(LEFT(IFERROR(INDEX('Usage and Coverage'!$E$6:$E$20,MATCH($N66,'Usage and Coverage'!$C$6:$C$20,0)),""),5)="Refer","Usage class. ",""))&amp;IF($CX66="CHECK INPUTS","Incomplete inputs. ",""))))</f>
        <v/>
      </c>
      <c r="DB66" s="92"/>
      <c r="DC66" s="92"/>
      <c r="DD66" s="93"/>
      <c r="DE66" s="92"/>
      <c r="DF66" s="92"/>
      <c r="DG66" s="97" t="str">
        <f t="shared" si="12"/>
        <v/>
      </c>
      <c r="DH66" s="97" t="str">
        <f>IF($A66="","",IF(OR($CX66="REFER",$CX66="DECLINE"),COUNTIF($CX$5:$CX66,"REFER")+COUNTIF($CX$5:$CX66,"DECLINE"),""))</f>
        <v/>
      </c>
      <c r="DI66" s="92"/>
    </row>
    <row r="67" spans="1:113" x14ac:dyDescent="0.25">
      <c r="A67" s="92"/>
      <c r="B67" s="92"/>
      <c r="C67" s="93"/>
      <c r="D67" s="93"/>
      <c r="E67" s="94"/>
      <c r="F67" s="92"/>
      <c r="G67" s="92"/>
      <c r="H67" s="92"/>
      <c r="I67" s="92"/>
      <c r="J67" s="95"/>
      <c r="K67" s="92"/>
      <c r="L67" s="92"/>
      <c r="M67" s="92"/>
      <c r="N67" s="92"/>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6"/>
      <c r="AR67" s="97" t="str">
        <f t="shared" si="0"/>
        <v/>
      </c>
      <c r="AS67" s="97" t="str">
        <f>IF($A67="","",IF($AP67&lt;&gt;"",$AP67,IFERROR(INDEX('Cat Zone by ZIP'!$D$6:$D$856,MATCH($AR67,'Cat Zone by ZIP'!$B$6:$B$856,0)),IFERROR(INDEX('Cat Zone by ZIP'!$C$860:$C$910,MATCH($K67,'Cat Zone by ZIP'!$B$860:$B$910,0)),"NOT FOUND"))))</f>
        <v/>
      </c>
      <c r="AT67" s="97" t="str">
        <f>IF($A67="","",IF($AP67&lt;&gt;"","Override",IF(ISNUMBER(MATCH($AR67,'Cat Zone by ZIP'!$B$6:$B$856,0)),"ZIP-3","State default")))</f>
        <v/>
      </c>
      <c r="AU67" s="98" t="str">
        <f>IF($A67="","",IFERROR(INDEX('Natural Catastrophe'!$D$6:$D$17,MATCH($AS67,'Natural Catastrophe'!$B$6:$B$17,0)),"?"))</f>
        <v/>
      </c>
      <c r="AV67" s="98" t="str">
        <f>IF($A67="","",IFERROR(INDEX('Natural Catastrophe'!$C$21:$C$26,MATCH($AA67,'Natural Catastrophe'!$B$21:$B$26,0)),"?"))</f>
        <v/>
      </c>
      <c r="AW67" s="97" t="str">
        <f>IF($A67="","",IFERROR(INDEX('Base Rates'!$C$4:$I$4,MATCH(MAX($J67,'Technical Premium'!$C$18),'Base Rates'!$C$3:$I$3,1)),"?"))</f>
        <v/>
      </c>
      <c r="AX67" s="99" t="str">
        <f>IF($A67="","",IFERROR(INDEX('Base Rates'!$C$5:$I$16,MATCH($I67,'Base Rates'!$B$5:$B$16,0),MATCH(MAX($J67,'Technical Premium'!$C$18),'Base Rates'!$C$3:$I$3,1)),"?"))</f>
        <v/>
      </c>
      <c r="AY67" s="100" t="str">
        <f t="shared" si="1"/>
        <v/>
      </c>
      <c r="AZ67" s="97" t="str">
        <f>IF($A67="","",IFERROR(INDEX('Make Factors'!$G$5:$G$69,MATCH($F67,'Make Factors'!$B$5:$B$69,0)),"?"))</f>
        <v/>
      </c>
      <c r="BA67" s="97" t="str">
        <f>IF($A67="","",IFERROR(INDEX('Driver Factors'!$C$6:$C$15,MATCH($R67,'Driver Factors'!$B$6:$B$15,0)),"?"))</f>
        <v/>
      </c>
      <c r="BB67" s="97" t="str">
        <f>IF($A67="","",IFERROR(INDEX('Driver Factors'!$C$19:$C$24,MATCH($S67,'Driver Factors'!$B$19:$B$24,0)),"?"))</f>
        <v/>
      </c>
      <c r="BC67" s="97" t="str">
        <f>IF($A67="","",IFERROR(INDEX('Driver Factors'!$C$28:$C$36,MATCH($T67,'Driver Factors'!$B$28:$B$36,0)),"?"))</f>
        <v/>
      </c>
      <c r="BD67" s="97" t="str">
        <f>IF($A67="","",IFERROR(INDEX('Claims History'!$C$6:$C$15,MATCH($U67,'Claims History'!$B$6:$B$15,0)),"?"))</f>
        <v/>
      </c>
      <c r="BE67" s="97" t="str">
        <f>IF($A67="","",IFERROR(INDEX('Territory Factors'!$E$6:$E$56,MATCH($K67,'Territory Factors'!$B$6:$B$56,0)),"?"))</f>
        <v/>
      </c>
      <c r="BF67" s="97" t="str">
        <f>IF($A67="","",IFERROR(INDEX('City Accident Ratings'!$G$6:$G$54,MATCH($Z67,'City Accident Ratings'!$B$6:$B$54,0)),"?"))</f>
        <v/>
      </c>
      <c r="BG67" s="97" t="str">
        <f>IF($A67="","",IFERROR(INDEX('Usage and Coverage'!$D$6:$D$20,MATCH($N67,'Usage and Coverage'!$C$6:$C$20,0)),"?"))</f>
        <v/>
      </c>
      <c r="BH67" s="97" t="str">
        <f>IF($A67="","",IFERROR(INDEX('Usage and Coverage'!$C$24:$C$30,MATCH($O67,'Usage and Coverage'!$B$24:$B$30,0)),"?"))</f>
        <v/>
      </c>
      <c r="BI67" s="97" t="str">
        <f>IF($A67="","",IFERROR(INDEX('Usage and Coverage'!$C$34:$C$40,MATCH($P67,'Usage and Coverage'!$B$34:$B$40,0)),"?"))</f>
        <v/>
      </c>
      <c r="BJ67" s="97" t="str">
        <f>IF($A67="","",IFERROR(INDEX('Usage and Coverage'!$C$44:$C$49,MATCH($Q67,'Usage and Coverage'!$B$44:$B$49,0)),"?"))</f>
        <v/>
      </c>
      <c r="BK67" s="97" t="str">
        <f>IF($A67="","",IFERROR(INDEX(Deductibles!$C$6:$I$15,MATCH($W67,Deductibles!$B$6:$B$15,0),MATCH(MAX($J67,'Technical Premium'!$C$18),'Base Rates'!$C$3:$I$3,1)),"?"))</f>
        <v/>
      </c>
      <c r="BL67" s="97" t="str">
        <f>IF($A67="","",IFERROR(INDEX('Usage and Coverage'!$C$63:$C$66,MATCH($X67,'Usage and Coverage'!$B$63:$B$66,0)),"?"))</f>
        <v/>
      </c>
      <c r="BM67" s="97" t="str">
        <f>IF($A67="","",IFERROR(INDEX('Usage and Coverage'!$C$70:$C$75,MATCH($V67,'Usage and Coverage'!$B$70:$B$75,0)),"?"))</f>
        <v/>
      </c>
      <c r="BN67" s="97" t="str">
        <f>IF($A67="","",IF($AB67="",1,IFERROR(INDEX(Deductibles!$C$48:$C$51,MATCH($AB67,Deductibles!$B$48:$B$51,0)),"?")))</f>
        <v/>
      </c>
      <c r="BO67" s="97" t="str">
        <f>IF($A67="","",IF($AC67="",1,IFERROR(INDEX(Deductibles!$C$55:$C$57,MATCH($AC67,Deductibles!$B$55:$B$57,0)),"?")))</f>
        <v/>
      </c>
      <c r="BP67" s="97" t="str">
        <f>IF($A67="","",IF($AD67="",1,IFERROR(INDEX(Deductibles!$C$61:$C$63,MATCH($AD67,Deductibles!$B$61:$B$63,0)),"?")))</f>
        <v/>
      </c>
      <c r="BQ67" s="97" t="str">
        <f>IF($A67="","",IF($AE67="",1,IFERROR(INDEX(Deductibles!$C$67:$C$69,MATCH($AE67,Deductibles!$B$67:$B$69,0)),"?")))</f>
        <v/>
      </c>
      <c r="BR67" s="97" t="str">
        <f>IF($A67="","",IF($AF67="",1,IFERROR(INDEX(Deductibles!$C$73:$C$74,MATCH($AF67,Deductibles!$B$73:$B$74,0)),"?")))</f>
        <v/>
      </c>
      <c r="BS67" s="97" t="str">
        <f>IF($A67="","",IF($AG67="",1,IFERROR(INDEX('Sublimits and Parts'!$C$49:$C$52,MATCH($AG67,'Sublimits and Parts'!$B$49:$B$52,0)),"?")))</f>
        <v/>
      </c>
      <c r="BT67" s="97" t="str">
        <f>IF($A67="","",IF($AH67="",1,IFERROR(INDEX('Sublimits and Parts'!$C$56:$C$60,MATCH($AH67,'Sublimits and Parts'!$B$56:$B$60,0)),"?")))</f>
        <v/>
      </c>
      <c r="BU67" s="97" t="str">
        <f>IF($A67="","",IF($AI67="",1,IFERROR(INDEX('Sublimits and Parts'!$C$64:$C$67,MATCH($AI67,'Sublimits and Parts'!$B$64:$B$67,0)),"?")))</f>
        <v/>
      </c>
      <c r="BV67" s="97" t="str">
        <f>IF($A67="","",IF($AJ67="",1,IFERROR(INDEX('Sublimits and Parts'!$C$71:$C$74,MATCH($AJ67,'Sublimits and Parts'!$B$71:$B$74,0)),"?")))</f>
        <v/>
      </c>
      <c r="BW67" s="97" t="str">
        <f>IF($A67="","",IF($AK67="",1,IFERROR(INDEX('Sublimits and Parts'!$C$78:$C$80,MATCH($AK67,'Sublimits and Parts'!$B$78:$B$80,0)),"?")))</f>
        <v/>
      </c>
      <c r="BX67" s="97" t="str">
        <f>IF($A67="","",IF($AL67="",1,IFERROR(INDEX('Sublimits and Parts'!$C$84:$C$87,MATCH($AL67,'Sublimits and Parts'!$B$84:$B$87,0)),"?")))</f>
        <v/>
      </c>
      <c r="BY67" s="97" t="str">
        <f>IF($A67="","",IF($AM67="",1,IFERROR(INDEX('Sublimits and Parts'!$C$91:$C$94,MATCH($AM67,'Sublimits and Parts'!$B$91:$B$94,0)),"?")))</f>
        <v/>
      </c>
      <c r="BZ67" s="97" t="str">
        <f>IF($A67="","",IF($AN67="",1,IFERROR(INDEX('Sublimits and Parts'!$C$98:$C$101,MATCH($AN67,'Sublimits and Parts'!$B$98:$B$101,0)),"?")))</f>
        <v/>
      </c>
      <c r="CA67" s="97" t="str">
        <f>IF($A67="","",IF($AO67="",1,IFERROR(INDEX('Sublimits and Parts'!$C$105:$C$109,MATCH($AO67,'Sublimits and Parts'!$B$105:$B$109,0)),"?")))</f>
        <v/>
      </c>
      <c r="CB67" s="98" t="str">
        <f t="shared" si="2"/>
        <v/>
      </c>
      <c r="CC67" s="98" t="str">
        <f t="shared" si="3"/>
        <v/>
      </c>
      <c r="CD67" s="101" t="str">
        <f>IF($A67="","",IF(OR($CB67="?",$CC67="?"),"?",MIN($CB67*$CC67,'Technical Premium'!$C$17)))</f>
        <v/>
      </c>
      <c r="CE67" s="100" t="str">
        <f t="shared" si="4"/>
        <v/>
      </c>
      <c r="CF67" s="100" t="str">
        <f>IF($A67="","",IFERROR(INDEX('Territory Factors'!$F$6:$F$56,MATCH($K67,'Territory Factors'!$B$6:$B$56,0)),"?"))</f>
        <v/>
      </c>
      <c r="CG67" s="98" t="str">
        <f>IF($A67="","",IFERROR(INDEX('Usage and Coverage'!$C$79:$C$84,MATCH($Y67,'Usage and Coverage'!$B$79:$B$84,0)),"?"))</f>
        <v/>
      </c>
      <c r="CH67" s="100" t="str">
        <f>IFERROR(IF(ISNUMBER($CD67),$CF67*$CG67*MIN($BG67*$BA67*$BC67*$BD67*$BH67*$BF67,'Technical Premium'!$C$17),""),"")</f>
        <v/>
      </c>
      <c r="CI67" s="100" t="str">
        <f t="shared" si="5"/>
        <v/>
      </c>
      <c r="CJ67" s="100" t="str">
        <f>IFERROR($CI67*(1+'Technical Premium'!$C$5)*(1+'Technical Premium'!$C$6),"")</f>
        <v/>
      </c>
      <c r="CK67" s="100" t="str">
        <f>IFERROR($CE67*INDEX('Territory Factors'!$G$6:$G$56,MATCH($K67,'Territory Factors'!$B$6:$B$56,0))*$AU67*$AV67,"")</f>
        <v/>
      </c>
      <c r="CL67" s="100" t="str">
        <f>IFERROR(($CJ67+$CK67)*(1+'Technical Premium'!$C$7),"")</f>
        <v/>
      </c>
      <c r="CM67" s="102" t="str">
        <f>IFERROR($CL67/'Technical Premium'!$C$13,"")</f>
        <v/>
      </c>
      <c r="CN67" s="103" t="str">
        <f t="shared" si="6"/>
        <v/>
      </c>
      <c r="CO67" s="102" t="str">
        <f t="shared" si="7"/>
        <v/>
      </c>
      <c r="CP67" s="103" t="str">
        <f t="shared" si="8"/>
        <v/>
      </c>
      <c r="CQ67" s="104" t="str">
        <f t="shared" si="9"/>
        <v/>
      </c>
      <c r="CR67" s="100" t="str">
        <f>IF(ISNUMBER($CM67),'Technical Premium'!$C$14+IF($J67&gt;=1000000,'Technical Premium'!$C$15,0),"")</f>
        <v/>
      </c>
      <c r="CS67" s="100" t="str">
        <f>IFERROR(($CO67+$CR67)*(INDEX('Territory Factors'!$K$6:$K$56,MATCH($K67,'Territory Factors'!$B$6:$B$56,0))+'Commission Structure'!$C$21),"")</f>
        <v/>
      </c>
      <c r="CT67" s="102" t="str">
        <f t="shared" si="10"/>
        <v/>
      </c>
      <c r="CU67" s="100" t="str">
        <f>IFERROR($CO67*('Commission Structure'!$C$6+'Commission Structure'!$C$7),"")</f>
        <v/>
      </c>
      <c r="CV67" s="100" t="str">
        <f>IFERROR($CO67*'Commission Structure'!$C$5-$CU67,"")</f>
        <v/>
      </c>
      <c r="CW67" s="100" t="str">
        <f>IFERROR($CO67*(1-'Commission Structure'!$C$5),"")</f>
        <v/>
      </c>
      <c r="CX67" s="105" t="str">
        <f>IF($A67="","",IF(OR($CB67="?",$CC67="?",NOT(ISNUMBER($AU67))),"CHECK INPUTS",IF(OR($J67&lt;'Technical Premium'!$C$18,LEFT(IFERROR(INDEX('Driver Factors'!$D$6:$D$15,MATCH($R67,'Driver Factors'!$B$6:$B$15,0)),""),7)="DECLINE",LEFT(IFERROR(INDEX('Driver Factors'!$D$28:$D$36,MATCH($T67,'Driver Factors'!$B$28:$B$36,0)),""),7)="DECLINE",LEFT(IFERROR(INDEX('Claims History'!$D$6:$D$15,MATCH($U67,'Claims History'!$B$6:$B$15,0)),""),7)="DECLINE",LEFT(IFERROR(INDEX('Usage and Coverage'!$E$6:$E$20,MATCH($N67,'Usage and Coverage'!$C$6:$C$20,0)),""),7)="DECLINE"),"DECLINE",IF(OR($CD67&gt;2.5,$CD67&gt;='Technical Premium'!$C$17,$J67&gt;='Technical Premium'!$C$16,N($AQ67)&lt;'Technical Premium'!$C$19,N($AQ67)&gt;'Technical Premium'!$C$20,LEFT(IFERROR(INDEX('Driver Factors'!$D$6:$D$15,MATCH($R67,'Driver Factors'!$B$6:$B$15,0)),""),5)="Refer",LEFT(IFERROR(INDEX('Driver Factors'!$D$28:$D$36,MATCH($T67,'Driver Factors'!$B$28:$B$36,0)),""),5)="Refer",LEFT(IFERROR(INDEX('Claims History'!$D$6:$D$15,MATCH($U67,'Claims History'!$B$6:$B$15,0)),""),5)="Refer",LEFT(IFERROR(INDEX('Usage and Coverage'!$E$6:$E$20,MATCH($N67,'Usage and Coverage'!$C$6:$C$20,0)),""),5)="Refer"),"REFER","AUTO-BIND"))))</f>
        <v/>
      </c>
      <c r="CY67" s="106" t="str">
        <f t="shared" si="11"/>
        <v/>
      </c>
      <c r="CZ67" s="97" t="str">
        <f>IF($CY67="","",IF($CY67&lt;'Technical Premium'!$C$19,"BEYOND AUTHORITY",IF($CY67&gt;0.005,"Above technical",IF($CY67&lt;-0.005,"BELOW technical","At technical"))))</f>
        <v/>
      </c>
      <c r="DA67" s="97" t="str">
        <f>IF($A67="","",IF($CX67="AUTO-BIND","",TRIM(IF($J67&lt;'Technical Premium'!$C$18,"Below programme minimum agreed value. ","")&amp;IF(N($AQ67)&lt;'Technical Premium'!$C$19,"DISCOUNT AUTHORITY BREACH. ","")&amp;IF(N($AQ67)&gt;'Technical Premium'!$C$20,"Load authority breach. ","")&amp;IF($J67&gt;='Technical Premium'!$C$16,"Agreed value at or above auto-bind limit. ","")&amp;IF(AND(ISNUMBER($CD67),$CD67&gt;='Technical Premium'!$C$17),"Composite factor at cap. ","")&amp;IF(AND(ISNUMBER($CD67),$CD67&gt;2.5),"Composite factor above 2.50. ","")&amp;IF(LEFT(IFERROR(INDEX('Driver Factors'!$D$6:$D$15,MATCH($R67,'Driver Factors'!$B$6:$B$15,0)),""),7)="DECLINE","DECLINE - driver age. ",IF(LEFT(IFERROR(INDEX('Driver Factors'!$D$6:$D$15,MATCH($R67,'Driver Factors'!$B$6:$B$15,0)),""),5)="Refer","Driver age band. ",""))&amp;IF(LEFT(IFERROR(INDEX('Driver Factors'!$D$28:$D$36,MATCH($T67,'Driver Factors'!$B$28:$B$36,0)),""),7)="DECLINE","DECLINE - MVR. ",IF(LEFT(IFERROR(INDEX('Driver Factors'!$D$28:$D$36,MATCH($T67,'Driver Factors'!$B$28:$B$36,0)),""),5)="Refer","MVR record. ",""))&amp;IF(LEFT(IFERROR(INDEX('Claims History'!$D$6:$D$15,MATCH($U67,'Claims History'!$B$6:$B$15,0)),""),7)="DECLINE","DECLINE - claims. ",IF(LEFT(IFERROR(INDEX('Claims History'!$D$6:$D$15,MATCH($U67,'Claims History'!$B$6:$B$15,0)),""),5)="Refer","Claims history. ",""))&amp;IF(LEFT(IFERROR(INDEX('Usage and Coverage'!$E$6:$E$20,MATCH($N67,'Usage and Coverage'!$C$6:$C$20,0)),""),7)="DECLINE","DECLINE - usage class. ",IF(LEFT(IFERROR(INDEX('Usage and Coverage'!$E$6:$E$20,MATCH($N67,'Usage and Coverage'!$C$6:$C$20,0)),""),5)="Refer","Usage class. ",""))&amp;IF($CX67="CHECK INPUTS","Incomplete inputs. ",""))))</f>
        <v/>
      </c>
      <c r="DB67" s="92"/>
      <c r="DC67" s="92"/>
      <c r="DD67" s="93"/>
      <c r="DE67" s="92"/>
      <c r="DF67" s="92"/>
      <c r="DG67" s="97" t="str">
        <f t="shared" si="12"/>
        <v/>
      </c>
      <c r="DH67" s="97" t="str">
        <f>IF($A67="","",IF(OR($CX67="REFER",$CX67="DECLINE"),COUNTIF($CX$5:$CX67,"REFER")+COUNTIF($CX$5:$CX67,"DECLINE"),""))</f>
        <v/>
      </c>
      <c r="DI67" s="92"/>
    </row>
    <row r="68" spans="1:113" x14ac:dyDescent="0.25">
      <c r="A68" s="92"/>
      <c r="B68" s="92"/>
      <c r="C68" s="93"/>
      <c r="D68" s="93"/>
      <c r="E68" s="94"/>
      <c r="F68" s="92"/>
      <c r="G68" s="92"/>
      <c r="H68" s="92"/>
      <c r="I68" s="92"/>
      <c r="J68" s="95"/>
      <c r="K68" s="92"/>
      <c r="L68" s="92"/>
      <c r="M68" s="92"/>
      <c r="N68" s="92"/>
      <c r="O68" s="92"/>
      <c r="P68" s="92"/>
      <c r="Q68" s="92"/>
      <c r="R68" s="92"/>
      <c r="S68" s="92"/>
      <c r="T68" s="92"/>
      <c r="U68" s="92"/>
      <c r="V68" s="92"/>
      <c r="W68" s="92"/>
      <c r="X68" s="92"/>
      <c r="Y68" s="92"/>
      <c r="Z68" s="92"/>
      <c r="AA68" s="92"/>
      <c r="AB68" s="92"/>
      <c r="AC68" s="92"/>
      <c r="AD68" s="92"/>
      <c r="AE68" s="92"/>
      <c r="AF68" s="92"/>
      <c r="AG68" s="92"/>
      <c r="AH68" s="92"/>
      <c r="AI68" s="92"/>
      <c r="AJ68" s="92"/>
      <c r="AK68" s="92"/>
      <c r="AL68" s="92"/>
      <c r="AM68" s="92"/>
      <c r="AN68" s="92"/>
      <c r="AO68" s="92"/>
      <c r="AP68" s="92"/>
      <c r="AQ68" s="96"/>
      <c r="AR68" s="97" t="str">
        <f t="shared" si="0"/>
        <v/>
      </c>
      <c r="AS68" s="97" t="str">
        <f>IF($A68="","",IF($AP68&lt;&gt;"",$AP68,IFERROR(INDEX('Cat Zone by ZIP'!$D$6:$D$856,MATCH($AR68,'Cat Zone by ZIP'!$B$6:$B$856,0)),IFERROR(INDEX('Cat Zone by ZIP'!$C$860:$C$910,MATCH($K68,'Cat Zone by ZIP'!$B$860:$B$910,0)),"NOT FOUND"))))</f>
        <v/>
      </c>
      <c r="AT68" s="97" t="str">
        <f>IF($A68="","",IF($AP68&lt;&gt;"","Override",IF(ISNUMBER(MATCH($AR68,'Cat Zone by ZIP'!$B$6:$B$856,0)),"ZIP-3","State default")))</f>
        <v/>
      </c>
      <c r="AU68" s="98" t="str">
        <f>IF($A68="","",IFERROR(INDEX('Natural Catastrophe'!$D$6:$D$17,MATCH($AS68,'Natural Catastrophe'!$B$6:$B$17,0)),"?"))</f>
        <v/>
      </c>
      <c r="AV68" s="98" t="str">
        <f>IF($A68="","",IFERROR(INDEX('Natural Catastrophe'!$C$21:$C$26,MATCH($AA68,'Natural Catastrophe'!$B$21:$B$26,0)),"?"))</f>
        <v/>
      </c>
      <c r="AW68" s="97" t="str">
        <f>IF($A68="","",IFERROR(INDEX('Base Rates'!$C$4:$I$4,MATCH(MAX($J68,'Technical Premium'!$C$18),'Base Rates'!$C$3:$I$3,1)),"?"))</f>
        <v/>
      </c>
      <c r="AX68" s="99" t="str">
        <f>IF($A68="","",IFERROR(INDEX('Base Rates'!$C$5:$I$16,MATCH($I68,'Base Rates'!$B$5:$B$16,0),MATCH(MAX($J68,'Technical Premium'!$C$18),'Base Rates'!$C$3:$I$3,1)),"?"))</f>
        <v/>
      </c>
      <c r="AY68" s="100" t="str">
        <f t="shared" si="1"/>
        <v/>
      </c>
      <c r="AZ68" s="97" t="str">
        <f>IF($A68="","",IFERROR(INDEX('Make Factors'!$G$5:$G$69,MATCH($F68,'Make Factors'!$B$5:$B$69,0)),"?"))</f>
        <v/>
      </c>
      <c r="BA68" s="97" t="str">
        <f>IF($A68="","",IFERROR(INDEX('Driver Factors'!$C$6:$C$15,MATCH($R68,'Driver Factors'!$B$6:$B$15,0)),"?"))</f>
        <v/>
      </c>
      <c r="BB68" s="97" t="str">
        <f>IF($A68="","",IFERROR(INDEX('Driver Factors'!$C$19:$C$24,MATCH($S68,'Driver Factors'!$B$19:$B$24,0)),"?"))</f>
        <v/>
      </c>
      <c r="BC68" s="97" t="str">
        <f>IF($A68="","",IFERROR(INDEX('Driver Factors'!$C$28:$C$36,MATCH($T68,'Driver Factors'!$B$28:$B$36,0)),"?"))</f>
        <v/>
      </c>
      <c r="BD68" s="97" t="str">
        <f>IF($A68="","",IFERROR(INDEX('Claims History'!$C$6:$C$15,MATCH($U68,'Claims History'!$B$6:$B$15,0)),"?"))</f>
        <v/>
      </c>
      <c r="BE68" s="97" t="str">
        <f>IF($A68="","",IFERROR(INDEX('Territory Factors'!$E$6:$E$56,MATCH($K68,'Territory Factors'!$B$6:$B$56,0)),"?"))</f>
        <v/>
      </c>
      <c r="BF68" s="97" t="str">
        <f>IF($A68="","",IFERROR(INDEX('City Accident Ratings'!$G$6:$G$54,MATCH($Z68,'City Accident Ratings'!$B$6:$B$54,0)),"?"))</f>
        <v/>
      </c>
      <c r="BG68" s="97" t="str">
        <f>IF($A68="","",IFERROR(INDEX('Usage and Coverage'!$D$6:$D$20,MATCH($N68,'Usage and Coverage'!$C$6:$C$20,0)),"?"))</f>
        <v/>
      </c>
      <c r="BH68" s="97" t="str">
        <f>IF($A68="","",IFERROR(INDEX('Usage and Coverage'!$C$24:$C$30,MATCH($O68,'Usage and Coverage'!$B$24:$B$30,0)),"?"))</f>
        <v/>
      </c>
      <c r="BI68" s="97" t="str">
        <f>IF($A68="","",IFERROR(INDEX('Usage and Coverage'!$C$34:$C$40,MATCH($P68,'Usage and Coverage'!$B$34:$B$40,0)),"?"))</f>
        <v/>
      </c>
      <c r="BJ68" s="97" t="str">
        <f>IF($A68="","",IFERROR(INDEX('Usage and Coverage'!$C$44:$C$49,MATCH($Q68,'Usage and Coverage'!$B$44:$B$49,0)),"?"))</f>
        <v/>
      </c>
      <c r="BK68" s="97" t="str">
        <f>IF($A68="","",IFERROR(INDEX(Deductibles!$C$6:$I$15,MATCH($W68,Deductibles!$B$6:$B$15,0),MATCH(MAX($J68,'Technical Premium'!$C$18),'Base Rates'!$C$3:$I$3,1)),"?"))</f>
        <v/>
      </c>
      <c r="BL68" s="97" t="str">
        <f>IF($A68="","",IFERROR(INDEX('Usage and Coverage'!$C$63:$C$66,MATCH($X68,'Usage and Coverage'!$B$63:$B$66,0)),"?"))</f>
        <v/>
      </c>
      <c r="BM68" s="97" t="str">
        <f>IF($A68="","",IFERROR(INDEX('Usage and Coverage'!$C$70:$C$75,MATCH($V68,'Usage and Coverage'!$B$70:$B$75,0)),"?"))</f>
        <v/>
      </c>
      <c r="BN68" s="97" t="str">
        <f>IF($A68="","",IF($AB68="",1,IFERROR(INDEX(Deductibles!$C$48:$C$51,MATCH($AB68,Deductibles!$B$48:$B$51,0)),"?")))</f>
        <v/>
      </c>
      <c r="BO68" s="97" t="str">
        <f>IF($A68="","",IF($AC68="",1,IFERROR(INDEX(Deductibles!$C$55:$C$57,MATCH($AC68,Deductibles!$B$55:$B$57,0)),"?")))</f>
        <v/>
      </c>
      <c r="BP68" s="97" t="str">
        <f>IF($A68="","",IF($AD68="",1,IFERROR(INDEX(Deductibles!$C$61:$C$63,MATCH($AD68,Deductibles!$B$61:$B$63,0)),"?")))</f>
        <v/>
      </c>
      <c r="BQ68" s="97" t="str">
        <f>IF($A68="","",IF($AE68="",1,IFERROR(INDEX(Deductibles!$C$67:$C$69,MATCH($AE68,Deductibles!$B$67:$B$69,0)),"?")))</f>
        <v/>
      </c>
      <c r="BR68" s="97" t="str">
        <f>IF($A68="","",IF($AF68="",1,IFERROR(INDEX(Deductibles!$C$73:$C$74,MATCH($AF68,Deductibles!$B$73:$B$74,0)),"?")))</f>
        <v/>
      </c>
      <c r="BS68" s="97" t="str">
        <f>IF($A68="","",IF($AG68="",1,IFERROR(INDEX('Sublimits and Parts'!$C$49:$C$52,MATCH($AG68,'Sublimits and Parts'!$B$49:$B$52,0)),"?")))</f>
        <v/>
      </c>
      <c r="BT68" s="97" t="str">
        <f>IF($A68="","",IF($AH68="",1,IFERROR(INDEX('Sublimits and Parts'!$C$56:$C$60,MATCH($AH68,'Sublimits and Parts'!$B$56:$B$60,0)),"?")))</f>
        <v/>
      </c>
      <c r="BU68" s="97" t="str">
        <f>IF($A68="","",IF($AI68="",1,IFERROR(INDEX('Sublimits and Parts'!$C$64:$C$67,MATCH($AI68,'Sublimits and Parts'!$B$64:$B$67,0)),"?")))</f>
        <v/>
      </c>
      <c r="BV68" s="97" t="str">
        <f>IF($A68="","",IF($AJ68="",1,IFERROR(INDEX('Sublimits and Parts'!$C$71:$C$74,MATCH($AJ68,'Sublimits and Parts'!$B$71:$B$74,0)),"?")))</f>
        <v/>
      </c>
      <c r="BW68" s="97" t="str">
        <f>IF($A68="","",IF($AK68="",1,IFERROR(INDEX('Sublimits and Parts'!$C$78:$C$80,MATCH($AK68,'Sublimits and Parts'!$B$78:$B$80,0)),"?")))</f>
        <v/>
      </c>
      <c r="BX68" s="97" t="str">
        <f>IF($A68="","",IF($AL68="",1,IFERROR(INDEX('Sublimits and Parts'!$C$84:$C$87,MATCH($AL68,'Sublimits and Parts'!$B$84:$B$87,0)),"?")))</f>
        <v/>
      </c>
      <c r="BY68" s="97" t="str">
        <f>IF($A68="","",IF($AM68="",1,IFERROR(INDEX('Sublimits and Parts'!$C$91:$C$94,MATCH($AM68,'Sublimits and Parts'!$B$91:$B$94,0)),"?")))</f>
        <v/>
      </c>
      <c r="BZ68" s="97" t="str">
        <f>IF($A68="","",IF($AN68="",1,IFERROR(INDEX('Sublimits and Parts'!$C$98:$C$101,MATCH($AN68,'Sublimits and Parts'!$B$98:$B$101,0)),"?")))</f>
        <v/>
      </c>
      <c r="CA68" s="97" t="str">
        <f>IF($A68="","",IF($AO68="",1,IFERROR(INDEX('Sublimits and Parts'!$C$105:$C$109,MATCH($AO68,'Sublimits and Parts'!$B$105:$B$109,0)),"?")))</f>
        <v/>
      </c>
      <c r="CB68" s="98" t="str">
        <f t="shared" si="2"/>
        <v/>
      </c>
      <c r="CC68" s="98" t="str">
        <f t="shared" si="3"/>
        <v/>
      </c>
      <c r="CD68" s="101" t="str">
        <f>IF($A68="","",IF(OR($CB68="?",$CC68="?"),"?",MIN($CB68*$CC68,'Technical Premium'!$C$17)))</f>
        <v/>
      </c>
      <c r="CE68" s="100" t="str">
        <f t="shared" si="4"/>
        <v/>
      </c>
      <c r="CF68" s="100" t="str">
        <f>IF($A68="","",IFERROR(INDEX('Territory Factors'!$F$6:$F$56,MATCH($K68,'Territory Factors'!$B$6:$B$56,0)),"?"))</f>
        <v/>
      </c>
      <c r="CG68" s="98" t="str">
        <f>IF($A68="","",IFERROR(INDEX('Usage and Coverage'!$C$79:$C$84,MATCH($Y68,'Usage and Coverage'!$B$79:$B$84,0)),"?"))</f>
        <v/>
      </c>
      <c r="CH68" s="100" t="str">
        <f>IFERROR(IF(ISNUMBER($CD68),$CF68*$CG68*MIN($BG68*$BA68*$BC68*$BD68*$BH68*$BF68,'Technical Premium'!$C$17),""),"")</f>
        <v/>
      </c>
      <c r="CI68" s="100" t="str">
        <f t="shared" si="5"/>
        <v/>
      </c>
      <c r="CJ68" s="100" t="str">
        <f>IFERROR($CI68*(1+'Technical Premium'!$C$5)*(1+'Technical Premium'!$C$6),"")</f>
        <v/>
      </c>
      <c r="CK68" s="100" t="str">
        <f>IFERROR($CE68*INDEX('Territory Factors'!$G$6:$G$56,MATCH($K68,'Territory Factors'!$B$6:$B$56,0))*$AU68*$AV68,"")</f>
        <v/>
      </c>
      <c r="CL68" s="100" t="str">
        <f>IFERROR(($CJ68+$CK68)*(1+'Technical Premium'!$C$7),"")</f>
        <v/>
      </c>
      <c r="CM68" s="102" t="str">
        <f>IFERROR($CL68/'Technical Premium'!$C$13,"")</f>
        <v/>
      </c>
      <c r="CN68" s="103" t="str">
        <f t="shared" si="6"/>
        <v/>
      </c>
      <c r="CO68" s="102" t="str">
        <f t="shared" si="7"/>
        <v/>
      </c>
      <c r="CP68" s="103" t="str">
        <f t="shared" si="8"/>
        <v/>
      </c>
      <c r="CQ68" s="104" t="str">
        <f t="shared" si="9"/>
        <v/>
      </c>
      <c r="CR68" s="100" t="str">
        <f>IF(ISNUMBER($CM68),'Technical Premium'!$C$14+IF($J68&gt;=1000000,'Technical Premium'!$C$15,0),"")</f>
        <v/>
      </c>
      <c r="CS68" s="100" t="str">
        <f>IFERROR(($CO68+$CR68)*(INDEX('Territory Factors'!$K$6:$K$56,MATCH($K68,'Territory Factors'!$B$6:$B$56,0))+'Commission Structure'!$C$21),"")</f>
        <v/>
      </c>
      <c r="CT68" s="102" t="str">
        <f t="shared" si="10"/>
        <v/>
      </c>
      <c r="CU68" s="100" t="str">
        <f>IFERROR($CO68*('Commission Structure'!$C$6+'Commission Structure'!$C$7),"")</f>
        <v/>
      </c>
      <c r="CV68" s="100" t="str">
        <f>IFERROR($CO68*'Commission Structure'!$C$5-$CU68,"")</f>
        <v/>
      </c>
      <c r="CW68" s="100" t="str">
        <f>IFERROR($CO68*(1-'Commission Structure'!$C$5),"")</f>
        <v/>
      </c>
      <c r="CX68" s="105" t="str">
        <f>IF($A68="","",IF(OR($CB68="?",$CC68="?",NOT(ISNUMBER($AU68))),"CHECK INPUTS",IF(OR($J68&lt;'Technical Premium'!$C$18,LEFT(IFERROR(INDEX('Driver Factors'!$D$6:$D$15,MATCH($R68,'Driver Factors'!$B$6:$B$15,0)),""),7)="DECLINE",LEFT(IFERROR(INDEX('Driver Factors'!$D$28:$D$36,MATCH($T68,'Driver Factors'!$B$28:$B$36,0)),""),7)="DECLINE",LEFT(IFERROR(INDEX('Claims History'!$D$6:$D$15,MATCH($U68,'Claims History'!$B$6:$B$15,0)),""),7)="DECLINE",LEFT(IFERROR(INDEX('Usage and Coverage'!$E$6:$E$20,MATCH($N68,'Usage and Coverage'!$C$6:$C$20,0)),""),7)="DECLINE"),"DECLINE",IF(OR($CD68&gt;2.5,$CD68&gt;='Technical Premium'!$C$17,$J68&gt;='Technical Premium'!$C$16,N($AQ68)&lt;'Technical Premium'!$C$19,N($AQ68)&gt;'Technical Premium'!$C$20,LEFT(IFERROR(INDEX('Driver Factors'!$D$6:$D$15,MATCH($R68,'Driver Factors'!$B$6:$B$15,0)),""),5)="Refer",LEFT(IFERROR(INDEX('Driver Factors'!$D$28:$D$36,MATCH($T68,'Driver Factors'!$B$28:$B$36,0)),""),5)="Refer",LEFT(IFERROR(INDEX('Claims History'!$D$6:$D$15,MATCH($U68,'Claims History'!$B$6:$B$15,0)),""),5)="Refer",LEFT(IFERROR(INDEX('Usage and Coverage'!$E$6:$E$20,MATCH($N68,'Usage and Coverage'!$C$6:$C$20,0)),""),5)="Refer"),"REFER","AUTO-BIND"))))</f>
        <v/>
      </c>
      <c r="CY68" s="106" t="str">
        <f t="shared" si="11"/>
        <v/>
      </c>
      <c r="CZ68" s="97" t="str">
        <f>IF($CY68="","",IF($CY68&lt;'Technical Premium'!$C$19,"BEYOND AUTHORITY",IF($CY68&gt;0.005,"Above technical",IF($CY68&lt;-0.005,"BELOW technical","At technical"))))</f>
        <v/>
      </c>
      <c r="DA68" s="97" t="str">
        <f>IF($A68="","",IF($CX68="AUTO-BIND","",TRIM(IF($J68&lt;'Technical Premium'!$C$18,"Below programme minimum agreed value. ","")&amp;IF(N($AQ68)&lt;'Technical Premium'!$C$19,"DISCOUNT AUTHORITY BREACH. ","")&amp;IF(N($AQ68)&gt;'Technical Premium'!$C$20,"Load authority breach. ","")&amp;IF($J68&gt;='Technical Premium'!$C$16,"Agreed value at or above auto-bind limit. ","")&amp;IF(AND(ISNUMBER($CD68),$CD68&gt;='Technical Premium'!$C$17),"Composite factor at cap. ","")&amp;IF(AND(ISNUMBER($CD68),$CD68&gt;2.5),"Composite factor above 2.50. ","")&amp;IF(LEFT(IFERROR(INDEX('Driver Factors'!$D$6:$D$15,MATCH($R68,'Driver Factors'!$B$6:$B$15,0)),""),7)="DECLINE","DECLINE - driver age. ",IF(LEFT(IFERROR(INDEX('Driver Factors'!$D$6:$D$15,MATCH($R68,'Driver Factors'!$B$6:$B$15,0)),""),5)="Refer","Driver age band. ",""))&amp;IF(LEFT(IFERROR(INDEX('Driver Factors'!$D$28:$D$36,MATCH($T68,'Driver Factors'!$B$28:$B$36,0)),""),7)="DECLINE","DECLINE - MVR. ",IF(LEFT(IFERROR(INDEX('Driver Factors'!$D$28:$D$36,MATCH($T68,'Driver Factors'!$B$28:$B$36,0)),""),5)="Refer","MVR record. ",""))&amp;IF(LEFT(IFERROR(INDEX('Claims History'!$D$6:$D$15,MATCH($U68,'Claims History'!$B$6:$B$15,0)),""),7)="DECLINE","DECLINE - claims. ",IF(LEFT(IFERROR(INDEX('Claims History'!$D$6:$D$15,MATCH($U68,'Claims History'!$B$6:$B$15,0)),""),5)="Refer","Claims history. ",""))&amp;IF(LEFT(IFERROR(INDEX('Usage and Coverage'!$E$6:$E$20,MATCH($N68,'Usage and Coverage'!$C$6:$C$20,0)),""),7)="DECLINE","DECLINE - usage class. ",IF(LEFT(IFERROR(INDEX('Usage and Coverage'!$E$6:$E$20,MATCH($N68,'Usage and Coverage'!$C$6:$C$20,0)),""),5)="Refer","Usage class. ",""))&amp;IF($CX68="CHECK INPUTS","Incomplete inputs. ",""))))</f>
        <v/>
      </c>
      <c r="DB68" s="92"/>
      <c r="DC68" s="92"/>
      <c r="DD68" s="93"/>
      <c r="DE68" s="92"/>
      <c r="DF68" s="92"/>
      <c r="DG68" s="97" t="str">
        <f t="shared" si="12"/>
        <v/>
      </c>
      <c r="DH68" s="97" t="str">
        <f>IF($A68="","",IF(OR($CX68="REFER",$CX68="DECLINE"),COUNTIF($CX$5:$CX68,"REFER")+COUNTIF($CX$5:$CX68,"DECLINE"),""))</f>
        <v/>
      </c>
      <c r="DI68" s="92"/>
    </row>
    <row r="69" spans="1:113" x14ac:dyDescent="0.25">
      <c r="A69" s="92"/>
      <c r="B69" s="92"/>
      <c r="C69" s="93"/>
      <c r="D69" s="93"/>
      <c r="E69" s="94"/>
      <c r="F69" s="92"/>
      <c r="G69" s="92"/>
      <c r="H69" s="92"/>
      <c r="I69" s="92"/>
      <c r="J69" s="95"/>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6"/>
      <c r="AR69" s="97" t="str">
        <f t="shared" ref="AR69:AR132" si="13">IF($A69="","",IFERROR(LEFT(TEXT(VALUE($L69),"00000"),3),"---"))</f>
        <v/>
      </c>
      <c r="AS69" s="97" t="str">
        <f>IF($A69="","",IF($AP69&lt;&gt;"",$AP69,IFERROR(INDEX('Cat Zone by ZIP'!$D$6:$D$856,MATCH($AR69,'Cat Zone by ZIP'!$B$6:$B$856,0)),IFERROR(INDEX('Cat Zone by ZIP'!$C$860:$C$910,MATCH($K69,'Cat Zone by ZIP'!$B$860:$B$910,0)),"NOT FOUND"))))</f>
        <v/>
      </c>
      <c r="AT69" s="97" t="str">
        <f>IF($A69="","",IF($AP69&lt;&gt;"","Override",IF(ISNUMBER(MATCH($AR69,'Cat Zone by ZIP'!$B$6:$B$856,0)),"ZIP-3","State default")))</f>
        <v/>
      </c>
      <c r="AU69" s="98" t="str">
        <f>IF($A69="","",IFERROR(INDEX('Natural Catastrophe'!$D$6:$D$17,MATCH($AS69,'Natural Catastrophe'!$B$6:$B$17,0)),"?"))</f>
        <v/>
      </c>
      <c r="AV69" s="98" t="str">
        <f>IF($A69="","",IFERROR(INDEX('Natural Catastrophe'!$C$21:$C$26,MATCH($AA69,'Natural Catastrophe'!$B$21:$B$26,0)),"?"))</f>
        <v/>
      </c>
      <c r="AW69" s="97" t="str">
        <f>IF($A69="","",IFERROR(INDEX('Base Rates'!$C$4:$I$4,MATCH(MAX($J69,'Technical Premium'!$C$18),'Base Rates'!$C$3:$I$3,1)),"?"))</f>
        <v/>
      </c>
      <c r="AX69" s="99" t="str">
        <f>IF($A69="","",IFERROR(INDEX('Base Rates'!$C$5:$I$16,MATCH($I69,'Base Rates'!$B$5:$B$16,0),MATCH(MAX($J69,'Technical Premium'!$C$18),'Base Rates'!$C$3:$I$3,1)),"?"))</f>
        <v/>
      </c>
      <c r="AY69" s="100" t="str">
        <f t="shared" ref="AY69:AY132" si="14">IF(ISNUMBER($AX69),$J69/100*$AX69,"")</f>
        <v/>
      </c>
      <c r="AZ69" s="97" t="str">
        <f>IF($A69="","",IFERROR(INDEX('Make Factors'!$G$5:$G$69,MATCH($F69,'Make Factors'!$B$5:$B$69,0)),"?"))</f>
        <v/>
      </c>
      <c r="BA69" s="97" t="str">
        <f>IF($A69="","",IFERROR(INDEX('Driver Factors'!$C$6:$C$15,MATCH($R69,'Driver Factors'!$B$6:$B$15,0)),"?"))</f>
        <v/>
      </c>
      <c r="BB69" s="97" t="str">
        <f>IF($A69="","",IFERROR(INDEX('Driver Factors'!$C$19:$C$24,MATCH($S69,'Driver Factors'!$B$19:$B$24,0)),"?"))</f>
        <v/>
      </c>
      <c r="BC69" s="97" t="str">
        <f>IF($A69="","",IFERROR(INDEX('Driver Factors'!$C$28:$C$36,MATCH($T69,'Driver Factors'!$B$28:$B$36,0)),"?"))</f>
        <v/>
      </c>
      <c r="BD69" s="97" t="str">
        <f>IF($A69="","",IFERROR(INDEX('Claims History'!$C$6:$C$15,MATCH($U69,'Claims History'!$B$6:$B$15,0)),"?"))</f>
        <v/>
      </c>
      <c r="BE69" s="97" t="str">
        <f>IF($A69="","",IFERROR(INDEX('Territory Factors'!$E$6:$E$56,MATCH($K69,'Territory Factors'!$B$6:$B$56,0)),"?"))</f>
        <v/>
      </c>
      <c r="BF69" s="97" t="str">
        <f>IF($A69="","",IFERROR(INDEX('City Accident Ratings'!$G$6:$G$54,MATCH($Z69,'City Accident Ratings'!$B$6:$B$54,0)),"?"))</f>
        <v/>
      </c>
      <c r="BG69" s="97" t="str">
        <f>IF($A69="","",IFERROR(INDEX('Usage and Coverage'!$D$6:$D$20,MATCH($N69,'Usage and Coverage'!$C$6:$C$20,0)),"?"))</f>
        <v/>
      </c>
      <c r="BH69" s="97" t="str">
        <f>IF($A69="","",IFERROR(INDEX('Usage and Coverage'!$C$24:$C$30,MATCH($O69,'Usage and Coverage'!$B$24:$B$30,0)),"?"))</f>
        <v/>
      </c>
      <c r="BI69" s="97" t="str">
        <f>IF($A69="","",IFERROR(INDEX('Usage and Coverage'!$C$34:$C$40,MATCH($P69,'Usage and Coverage'!$B$34:$B$40,0)),"?"))</f>
        <v/>
      </c>
      <c r="BJ69" s="97" t="str">
        <f>IF($A69="","",IFERROR(INDEX('Usage and Coverage'!$C$44:$C$49,MATCH($Q69,'Usage and Coverage'!$B$44:$B$49,0)),"?"))</f>
        <v/>
      </c>
      <c r="BK69" s="97" t="str">
        <f>IF($A69="","",IFERROR(INDEX(Deductibles!$C$6:$I$15,MATCH($W69,Deductibles!$B$6:$B$15,0),MATCH(MAX($J69,'Technical Premium'!$C$18),'Base Rates'!$C$3:$I$3,1)),"?"))</f>
        <v/>
      </c>
      <c r="BL69" s="97" t="str">
        <f>IF($A69="","",IFERROR(INDEX('Usage and Coverage'!$C$63:$C$66,MATCH($X69,'Usage and Coverage'!$B$63:$B$66,0)),"?"))</f>
        <v/>
      </c>
      <c r="BM69" s="97" t="str">
        <f>IF($A69="","",IFERROR(INDEX('Usage and Coverage'!$C$70:$C$75,MATCH($V69,'Usage and Coverage'!$B$70:$B$75,0)),"?"))</f>
        <v/>
      </c>
      <c r="BN69" s="97" t="str">
        <f>IF($A69="","",IF($AB69="",1,IFERROR(INDEX(Deductibles!$C$48:$C$51,MATCH($AB69,Deductibles!$B$48:$B$51,0)),"?")))</f>
        <v/>
      </c>
      <c r="BO69" s="97" t="str">
        <f>IF($A69="","",IF($AC69="",1,IFERROR(INDEX(Deductibles!$C$55:$C$57,MATCH($AC69,Deductibles!$B$55:$B$57,0)),"?")))</f>
        <v/>
      </c>
      <c r="BP69" s="97" t="str">
        <f>IF($A69="","",IF($AD69="",1,IFERROR(INDEX(Deductibles!$C$61:$C$63,MATCH($AD69,Deductibles!$B$61:$B$63,0)),"?")))</f>
        <v/>
      </c>
      <c r="BQ69" s="97" t="str">
        <f>IF($A69="","",IF($AE69="",1,IFERROR(INDEX(Deductibles!$C$67:$C$69,MATCH($AE69,Deductibles!$B$67:$B$69,0)),"?")))</f>
        <v/>
      </c>
      <c r="BR69" s="97" t="str">
        <f>IF($A69="","",IF($AF69="",1,IFERROR(INDEX(Deductibles!$C$73:$C$74,MATCH($AF69,Deductibles!$B$73:$B$74,0)),"?")))</f>
        <v/>
      </c>
      <c r="BS69" s="97" t="str">
        <f>IF($A69="","",IF($AG69="",1,IFERROR(INDEX('Sublimits and Parts'!$C$49:$C$52,MATCH($AG69,'Sublimits and Parts'!$B$49:$B$52,0)),"?")))</f>
        <v/>
      </c>
      <c r="BT69" s="97" t="str">
        <f>IF($A69="","",IF($AH69="",1,IFERROR(INDEX('Sublimits and Parts'!$C$56:$C$60,MATCH($AH69,'Sublimits and Parts'!$B$56:$B$60,0)),"?")))</f>
        <v/>
      </c>
      <c r="BU69" s="97" t="str">
        <f>IF($A69="","",IF($AI69="",1,IFERROR(INDEX('Sublimits and Parts'!$C$64:$C$67,MATCH($AI69,'Sublimits and Parts'!$B$64:$B$67,0)),"?")))</f>
        <v/>
      </c>
      <c r="BV69" s="97" t="str">
        <f>IF($A69="","",IF($AJ69="",1,IFERROR(INDEX('Sublimits and Parts'!$C$71:$C$74,MATCH($AJ69,'Sublimits and Parts'!$B$71:$B$74,0)),"?")))</f>
        <v/>
      </c>
      <c r="BW69" s="97" t="str">
        <f>IF($A69="","",IF($AK69="",1,IFERROR(INDEX('Sublimits and Parts'!$C$78:$C$80,MATCH($AK69,'Sublimits and Parts'!$B$78:$B$80,0)),"?")))</f>
        <v/>
      </c>
      <c r="BX69" s="97" t="str">
        <f>IF($A69="","",IF($AL69="",1,IFERROR(INDEX('Sublimits and Parts'!$C$84:$C$87,MATCH($AL69,'Sublimits and Parts'!$B$84:$B$87,0)),"?")))</f>
        <v/>
      </c>
      <c r="BY69" s="97" t="str">
        <f>IF($A69="","",IF($AM69="",1,IFERROR(INDEX('Sublimits and Parts'!$C$91:$C$94,MATCH($AM69,'Sublimits and Parts'!$B$91:$B$94,0)),"?")))</f>
        <v/>
      </c>
      <c r="BZ69" s="97" t="str">
        <f>IF($A69="","",IF($AN69="",1,IFERROR(INDEX('Sublimits and Parts'!$C$98:$C$101,MATCH($AN69,'Sublimits and Parts'!$B$98:$B$101,0)),"?")))</f>
        <v/>
      </c>
      <c r="CA69" s="97" t="str">
        <f>IF($A69="","",IF($AO69="",1,IFERROR(INDEX('Sublimits and Parts'!$C$105:$C$109,MATCH($AO69,'Sublimits and Parts'!$B$105:$B$109,0)),"?")))</f>
        <v/>
      </c>
      <c r="CB69" s="98" t="str">
        <f t="shared" ref="CB69:CB132" si="15">IF($A69="","",IF(SUMPRODUCT(--ISTEXT($AZ69:$BM69))&gt;0,"?",PRODUCT($AZ69:$BM69)))</f>
        <v/>
      </c>
      <c r="CC69" s="98" t="str">
        <f t="shared" ref="CC69:CC132" si="16">IF($A69="","",IF(SUMPRODUCT(--ISTEXT($BN69:$CA69))&gt;0,"?",PRODUCT($BN69:$CA69)))</f>
        <v/>
      </c>
      <c r="CD69" s="101" t="str">
        <f>IF($A69="","",IF(OR($CB69="?",$CC69="?"),"?",MIN($CB69*$CC69,'Technical Premium'!$C$17)))</f>
        <v/>
      </c>
      <c r="CE69" s="100" t="str">
        <f t="shared" ref="CE69:CE132" si="17">IF(ISNUMBER($CD69),$AY69*$CD69,"")</f>
        <v/>
      </c>
      <c r="CF69" s="100" t="str">
        <f>IF($A69="","",IFERROR(INDEX('Territory Factors'!$F$6:$F$56,MATCH($K69,'Territory Factors'!$B$6:$B$56,0)),"?"))</f>
        <v/>
      </c>
      <c r="CG69" s="98" t="str">
        <f>IF($A69="","",IFERROR(INDEX('Usage and Coverage'!$C$79:$C$84,MATCH($Y69,'Usage and Coverage'!$B$79:$B$84,0)),"?"))</f>
        <v/>
      </c>
      <c r="CH69" s="100" t="str">
        <f>IFERROR(IF(ISNUMBER($CD69),$CF69*$CG69*MIN($BG69*$BA69*$BC69*$BD69*$BH69*$BF69,'Technical Premium'!$C$17),""),"")</f>
        <v/>
      </c>
      <c r="CI69" s="100" t="str">
        <f t="shared" ref="CI69:CI132" si="18">IFERROR($CE69+$CH69,"")</f>
        <v/>
      </c>
      <c r="CJ69" s="100" t="str">
        <f>IFERROR($CI69*(1+'Technical Premium'!$C$5)*(1+'Technical Premium'!$C$6),"")</f>
        <v/>
      </c>
      <c r="CK69" s="100" t="str">
        <f>IFERROR($CE69*INDEX('Territory Factors'!$G$6:$G$56,MATCH($K69,'Territory Factors'!$B$6:$B$56,0))*$AU69*$AV69,"")</f>
        <v/>
      </c>
      <c r="CL69" s="100" t="str">
        <f>IFERROR(($CJ69+$CK69)*(1+'Technical Premium'!$C$7),"")</f>
        <v/>
      </c>
      <c r="CM69" s="102" t="str">
        <f>IFERROR($CL69/'Technical Premium'!$C$13,"")</f>
        <v/>
      </c>
      <c r="CN69" s="103" t="str">
        <f t="shared" ref="CN69:CN132" si="19">IFERROR($CM69/$J69*100,"")</f>
        <v/>
      </c>
      <c r="CO69" s="102" t="str">
        <f t="shared" ref="CO69:CO132" si="20">IFERROR($CM69*(1+N($AQ69)),"")</f>
        <v/>
      </c>
      <c r="CP69" s="103" t="str">
        <f t="shared" ref="CP69:CP132" si="21">IFERROR($CO69/$J69*100,"")</f>
        <v/>
      </c>
      <c r="CQ69" s="104" t="str">
        <f t="shared" ref="CQ69:CQ132" si="22">IFERROR($CP69/$CN69,"")</f>
        <v/>
      </c>
      <c r="CR69" s="100" t="str">
        <f>IF(ISNUMBER($CM69),'Technical Premium'!$C$14+IF($J69&gt;=1000000,'Technical Premium'!$C$15,0),"")</f>
        <v/>
      </c>
      <c r="CS69" s="100" t="str">
        <f>IFERROR(($CO69+$CR69)*(INDEX('Territory Factors'!$K$6:$K$56,MATCH($K69,'Territory Factors'!$B$6:$B$56,0))+'Commission Structure'!$C$21),"")</f>
        <v/>
      </c>
      <c r="CT69" s="102" t="str">
        <f t="shared" ref="CT69:CT132" si="23">IFERROR($CO69+$CR69+$CS69,"")</f>
        <v/>
      </c>
      <c r="CU69" s="100" t="str">
        <f>IFERROR($CO69*('Commission Structure'!$C$6+'Commission Structure'!$C$7),"")</f>
        <v/>
      </c>
      <c r="CV69" s="100" t="str">
        <f>IFERROR($CO69*'Commission Structure'!$C$5-$CU69,"")</f>
        <v/>
      </c>
      <c r="CW69" s="100" t="str">
        <f>IFERROR($CO69*(1-'Commission Structure'!$C$5),"")</f>
        <v/>
      </c>
      <c r="CX69" s="105" t="str">
        <f>IF($A69="","",IF(OR($CB69="?",$CC69="?",NOT(ISNUMBER($AU69))),"CHECK INPUTS",IF(OR($J69&lt;'Technical Premium'!$C$18,LEFT(IFERROR(INDEX('Driver Factors'!$D$6:$D$15,MATCH($R69,'Driver Factors'!$B$6:$B$15,0)),""),7)="DECLINE",LEFT(IFERROR(INDEX('Driver Factors'!$D$28:$D$36,MATCH($T69,'Driver Factors'!$B$28:$B$36,0)),""),7)="DECLINE",LEFT(IFERROR(INDEX('Claims History'!$D$6:$D$15,MATCH($U69,'Claims History'!$B$6:$B$15,0)),""),7)="DECLINE",LEFT(IFERROR(INDEX('Usage and Coverage'!$E$6:$E$20,MATCH($N69,'Usage and Coverage'!$C$6:$C$20,0)),""),7)="DECLINE"),"DECLINE",IF(OR($CD69&gt;2.5,$CD69&gt;='Technical Premium'!$C$17,$J69&gt;='Technical Premium'!$C$16,N($AQ69)&lt;'Technical Premium'!$C$19,N($AQ69)&gt;'Technical Premium'!$C$20,LEFT(IFERROR(INDEX('Driver Factors'!$D$6:$D$15,MATCH($R69,'Driver Factors'!$B$6:$B$15,0)),""),5)="Refer",LEFT(IFERROR(INDEX('Driver Factors'!$D$28:$D$36,MATCH($T69,'Driver Factors'!$B$28:$B$36,0)),""),5)="Refer",LEFT(IFERROR(INDEX('Claims History'!$D$6:$D$15,MATCH($U69,'Claims History'!$B$6:$B$15,0)),""),5)="Refer",LEFT(IFERROR(INDEX('Usage and Coverage'!$E$6:$E$20,MATCH($N69,'Usage and Coverage'!$C$6:$C$20,0)),""),5)="Refer"),"REFER","AUTO-BIND"))))</f>
        <v/>
      </c>
      <c r="CY69" s="106" t="str">
        <f t="shared" ref="CY69:CY132" si="24">IFERROR($CO69/$CM69-1,"")</f>
        <v/>
      </c>
      <c r="CZ69" s="97" t="str">
        <f>IF($CY69="","",IF($CY69&lt;'Technical Premium'!$C$19,"BEYOND AUTHORITY",IF($CY69&gt;0.005,"Above technical",IF($CY69&lt;-0.005,"BELOW technical","At technical"))))</f>
        <v/>
      </c>
      <c r="DA69" s="97" t="str">
        <f>IF($A69="","",IF($CX69="AUTO-BIND","",TRIM(IF($J69&lt;'Technical Premium'!$C$18,"Below programme minimum agreed value. ","")&amp;IF(N($AQ69)&lt;'Technical Premium'!$C$19,"DISCOUNT AUTHORITY BREACH. ","")&amp;IF(N($AQ69)&gt;'Technical Premium'!$C$20,"Load authority breach. ","")&amp;IF($J69&gt;='Technical Premium'!$C$16,"Agreed value at or above auto-bind limit. ","")&amp;IF(AND(ISNUMBER($CD69),$CD69&gt;='Technical Premium'!$C$17),"Composite factor at cap. ","")&amp;IF(AND(ISNUMBER($CD69),$CD69&gt;2.5),"Composite factor above 2.50. ","")&amp;IF(LEFT(IFERROR(INDEX('Driver Factors'!$D$6:$D$15,MATCH($R69,'Driver Factors'!$B$6:$B$15,0)),""),7)="DECLINE","DECLINE - driver age. ",IF(LEFT(IFERROR(INDEX('Driver Factors'!$D$6:$D$15,MATCH($R69,'Driver Factors'!$B$6:$B$15,0)),""),5)="Refer","Driver age band. ",""))&amp;IF(LEFT(IFERROR(INDEX('Driver Factors'!$D$28:$D$36,MATCH($T69,'Driver Factors'!$B$28:$B$36,0)),""),7)="DECLINE","DECLINE - MVR. ",IF(LEFT(IFERROR(INDEX('Driver Factors'!$D$28:$D$36,MATCH($T69,'Driver Factors'!$B$28:$B$36,0)),""),5)="Refer","MVR record. ",""))&amp;IF(LEFT(IFERROR(INDEX('Claims History'!$D$6:$D$15,MATCH($U69,'Claims History'!$B$6:$B$15,0)),""),7)="DECLINE","DECLINE - claims. ",IF(LEFT(IFERROR(INDEX('Claims History'!$D$6:$D$15,MATCH($U69,'Claims History'!$B$6:$B$15,0)),""),5)="Refer","Claims history. ",""))&amp;IF(LEFT(IFERROR(INDEX('Usage and Coverage'!$E$6:$E$20,MATCH($N69,'Usage and Coverage'!$C$6:$C$20,0)),""),7)="DECLINE","DECLINE - usage class. ",IF(LEFT(IFERROR(INDEX('Usage and Coverage'!$E$6:$E$20,MATCH($N69,'Usage and Coverage'!$C$6:$C$20,0)),""),5)="Refer","Usage class. ",""))&amp;IF($CX69="CHECK INPUTS","Incomplete inputs. ",""))))</f>
        <v/>
      </c>
      <c r="DB69" s="92"/>
      <c r="DC69" s="92"/>
      <c r="DD69" s="93"/>
      <c r="DE69" s="92"/>
      <c r="DF69" s="92"/>
      <c r="DG69" s="97" t="str">
        <f t="shared" ref="DG69:DG132" si="25">IF($A69="","",IF($CX69="DECLINE","NO - DECLINED",IF($CX69="CHECK INPUTS","NO - INCOMPLETE INPUTS",IF($CX69="AUTO-BIND","YES - within authority",IF(AND($DB69&lt;&gt;"",$DD69&lt;&gt;""),"YES - approved "&amp;TEXT($DD69,"dd-mmm-yy"),"NO - AWAITING APPROVAL")))))</f>
        <v/>
      </c>
      <c r="DH69" s="97" t="str">
        <f>IF($A69="","",IF(OR($CX69="REFER",$CX69="DECLINE"),COUNTIF($CX$5:$CX69,"REFER")+COUNTIF($CX$5:$CX69,"DECLINE"),""))</f>
        <v/>
      </c>
      <c r="DI69" s="92"/>
    </row>
    <row r="70" spans="1:113" x14ac:dyDescent="0.25">
      <c r="A70" s="92"/>
      <c r="B70" s="92"/>
      <c r="C70" s="93"/>
      <c r="D70" s="93"/>
      <c r="E70" s="94"/>
      <c r="F70" s="92"/>
      <c r="G70" s="92"/>
      <c r="H70" s="92"/>
      <c r="I70" s="92"/>
      <c r="J70" s="95"/>
      <c r="K70" s="92"/>
      <c r="L70" s="92"/>
      <c r="M70" s="92"/>
      <c r="N70" s="92"/>
      <c r="O70" s="92"/>
      <c r="P70" s="92"/>
      <c r="Q70" s="92"/>
      <c r="R70" s="92"/>
      <c r="S70" s="92"/>
      <c r="T70" s="92"/>
      <c r="U70" s="92"/>
      <c r="V70" s="92"/>
      <c r="W70" s="92"/>
      <c r="X70" s="92"/>
      <c r="Y70" s="92"/>
      <c r="Z70" s="92"/>
      <c r="AA70" s="92"/>
      <c r="AB70" s="92"/>
      <c r="AC70" s="92"/>
      <c r="AD70" s="92"/>
      <c r="AE70" s="92"/>
      <c r="AF70" s="92"/>
      <c r="AG70" s="92"/>
      <c r="AH70" s="92"/>
      <c r="AI70" s="92"/>
      <c r="AJ70" s="92"/>
      <c r="AK70" s="92"/>
      <c r="AL70" s="92"/>
      <c r="AM70" s="92"/>
      <c r="AN70" s="92"/>
      <c r="AO70" s="92"/>
      <c r="AP70" s="92"/>
      <c r="AQ70" s="96"/>
      <c r="AR70" s="97" t="str">
        <f t="shared" si="13"/>
        <v/>
      </c>
      <c r="AS70" s="97" t="str">
        <f>IF($A70="","",IF($AP70&lt;&gt;"",$AP70,IFERROR(INDEX('Cat Zone by ZIP'!$D$6:$D$856,MATCH($AR70,'Cat Zone by ZIP'!$B$6:$B$856,0)),IFERROR(INDEX('Cat Zone by ZIP'!$C$860:$C$910,MATCH($K70,'Cat Zone by ZIP'!$B$860:$B$910,0)),"NOT FOUND"))))</f>
        <v/>
      </c>
      <c r="AT70" s="97" t="str">
        <f>IF($A70="","",IF($AP70&lt;&gt;"","Override",IF(ISNUMBER(MATCH($AR70,'Cat Zone by ZIP'!$B$6:$B$856,0)),"ZIP-3","State default")))</f>
        <v/>
      </c>
      <c r="AU70" s="98" t="str">
        <f>IF($A70="","",IFERROR(INDEX('Natural Catastrophe'!$D$6:$D$17,MATCH($AS70,'Natural Catastrophe'!$B$6:$B$17,0)),"?"))</f>
        <v/>
      </c>
      <c r="AV70" s="98" t="str">
        <f>IF($A70="","",IFERROR(INDEX('Natural Catastrophe'!$C$21:$C$26,MATCH($AA70,'Natural Catastrophe'!$B$21:$B$26,0)),"?"))</f>
        <v/>
      </c>
      <c r="AW70" s="97" t="str">
        <f>IF($A70="","",IFERROR(INDEX('Base Rates'!$C$4:$I$4,MATCH(MAX($J70,'Technical Premium'!$C$18),'Base Rates'!$C$3:$I$3,1)),"?"))</f>
        <v/>
      </c>
      <c r="AX70" s="99" t="str">
        <f>IF($A70="","",IFERROR(INDEX('Base Rates'!$C$5:$I$16,MATCH($I70,'Base Rates'!$B$5:$B$16,0),MATCH(MAX($J70,'Technical Premium'!$C$18),'Base Rates'!$C$3:$I$3,1)),"?"))</f>
        <v/>
      </c>
      <c r="AY70" s="100" t="str">
        <f t="shared" si="14"/>
        <v/>
      </c>
      <c r="AZ70" s="97" t="str">
        <f>IF($A70="","",IFERROR(INDEX('Make Factors'!$G$5:$G$69,MATCH($F70,'Make Factors'!$B$5:$B$69,0)),"?"))</f>
        <v/>
      </c>
      <c r="BA70" s="97" t="str">
        <f>IF($A70="","",IFERROR(INDEX('Driver Factors'!$C$6:$C$15,MATCH($R70,'Driver Factors'!$B$6:$B$15,0)),"?"))</f>
        <v/>
      </c>
      <c r="BB70" s="97" t="str">
        <f>IF($A70="","",IFERROR(INDEX('Driver Factors'!$C$19:$C$24,MATCH($S70,'Driver Factors'!$B$19:$B$24,0)),"?"))</f>
        <v/>
      </c>
      <c r="BC70" s="97" t="str">
        <f>IF($A70="","",IFERROR(INDEX('Driver Factors'!$C$28:$C$36,MATCH($T70,'Driver Factors'!$B$28:$B$36,0)),"?"))</f>
        <v/>
      </c>
      <c r="BD70" s="97" t="str">
        <f>IF($A70="","",IFERROR(INDEX('Claims History'!$C$6:$C$15,MATCH($U70,'Claims History'!$B$6:$B$15,0)),"?"))</f>
        <v/>
      </c>
      <c r="BE70" s="97" t="str">
        <f>IF($A70="","",IFERROR(INDEX('Territory Factors'!$E$6:$E$56,MATCH($K70,'Territory Factors'!$B$6:$B$56,0)),"?"))</f>
        <v/>
      </c>
      <c r="BF70" s="97" t="str">
        <f>IF($A70="","",IFERROR(INDEX('City Accident Ratings'!$G$6:$G$54,MATCH($Z70,'City Accident Ratings'!$B$6:$B$54,0)),"?"))</f>
        <v/>
      </c>
      <c r="BG70" s="97" t="str">
        <f>IF($A70="","",IFERROR(INDEX('Usage and Coverage'!$D$6:$D$20,MATCH($N70,'Usage and Coverage'!$C$6:$C$20,0)),"?"))</f>
        <v/>
      </c>
      <c r="BH70" s="97" t="str">
        <f>IF($A70="","",IFERROR(INDEX('Usage and Coverage'!$C$24:$C$30,MATCH($O70,'Usage and Coverage'!$B$24:$B$30,0)),"?"))</f>
        <v/>
      </c>
      <c r="BI70" s="97" t="str">
        <f>IF($A70="","",IFERROR(INDEX('Usage and Coverage'!$C$34:$C$40,MATCH($P70,'Usage and Coverage'!$B$34:$B$40,0)),"?"))</f>
        <v/>
      </c>
      <c r="BJ70" s="97" t="str">
        <f>IF($A70="","",IFERROR(INDEX('Usage and Coverage'!$C$44:$C$49,MATCH($Q70,'Usage and Coverage'!$B$44:$B$49,0)),"?"))</f>
        <v/>
      </c>
      <c r="BK70" s="97" t="str">
        <f>IF($A70="","",IFERROR(INDEX(Deductibles!$C$6:$I$15,MATCH($W70,Deductibles!$B$6:$B$15,0),MATCH(MAX($J70,'Technical Premium'!$C$18),'Base Rates'!$C$3:$I$3,1)),"?"))</f>
        <v/>
      </c>
      <c r="BL70" s="97" t="str">
        <f>IF($A70="","",IFERROR(INDEX('Usage and Coverage'!$C$63:$C$66,MATCH($X70,'Usage and Coverage'!$B$63:$B$66,0)),"?"))</f>
        <v/>
      </c>
      <c r="BM70" s="97" t="str">
        <f>IF($A70="","",IFERROR(INDEX('Usage and Coverage'!$C$70:$C$75,MATCH($V70,'Usage and Coverage'!$B$70:$B$75,0)),"?"))</f>
        <v/>
      </c>
      <c r="BN70" s="97" t="str">
        <f>IF($A70="","",IF($AB70="",1,IFERROR(INDEX(Deductibles!$C$48:$C$51,MATCH($AB70,Deductibles!$B$48:$B$51,0)),"?")))</f>
        <v/>
      </c>
      <c r="BO70" s="97" t="str">
        <f>IF($A70="","",IF($AC70="",1,IFERROR(INDEX(Deductibles!$C$55:$C$57,MATCH($AC70,Deductibles!$B$55:$B$57,0)),"?")))</f>
        <v/>
      </c>
      <c r="BP70" s="97" t="str">
        <f>IF($A70="","",IF($AD70="",1,IFERROR(INDEX(Deductibles!$C$61:$C$63,MATCH($AD70,Deductibles!$B$61:$B$63,0)),"?")))</f>
        <v/>
      </c>
      <c r="BQ70" s="97" t="str">
        <f>IF($A70="","",IF($AE70="",1,IFERROR(INDEX(Deductibles!$C$67:$C$69,MATCH($AE70,Deductibles!$B$67:$B$69,0)),"?")))</f>
        <v/>
      </c>
      <c r="BR70" s="97" t="str">
        <f>IF($A70="","",IF($AF70="",1,IFERROR(INDEX(Deductibles!$C$73:$C$74,MATCH($AF70,Deductibles!$B$73:$B$74,0)),"?")))</f>
        <v/>
      </c>
      <c r="BS70" s="97" t="str">
        <f>IF($A70="","",IF($AG70="",1,IFERROR(INDEX('Sublimits and Parts'!$C$49:$C$52,MATCH($AG70,'Sublimits and Parts'!$B$49:$B$52,0)),"?")))</f>
        <v/>
      </c>
      <c r="BT70" s="97" t="str">
        <f>IF($A70="","",IF($AH70="",1,IFERROR(INDEX('Sublimits and Parts'!$C$56:$C$60,MATCH($AH70,'Sublimits and Parts'!$B$56:$B$60,0)),"?")))</f>
        <v/>
      </c>
      <c r="BU70" s="97" t="str">
        <f>IF($A70="","",IF($AI70="",1,IFERROR(INDEX('Sublimits and Parts'!$C$64:$C$67,MATCH($AI70,'Sublimits and Parts'!$B$64:$B$67,0)),"?")))</f>
        <v/>
      </c>
      <c r="BV70" s="97" t="str">
        <f>IF($A70="","",IF($AJ70="",1,IFERROR(INDEX('Sublimits and Parts'!$C$71:$C$74,MATCH($AJ70,'Sublimits and Parts'!$B$71:$B$74,0)),"?")))</f>
        <v/>
      </c>
      <c r="BW70" s="97" t="str">
        <f>IF($A70="","",IF($AK70="",1,IFERROR(INDEX('Sublimits and Parts'!$C$78:$C$80,MATCH($AK70,'Sublimits and Parts'!$B$78:$B$80,0)),"?")))</f>
        <v/>
      </c>
      <c r="BX70" s="97" t="str">
        <f>IF($A70="","",IF($AL70="",1,IFERROR(INDEX('Sublimits and Parts'!$C$84:$C$87,MATCH($AL70,'Sublimits and Parts'!$B$84:$B$87,0)),"?")))</f>
        <v/>
      </c>
      <c r="BY70" s="97" t="str">
        <f>IF($A70="","",IF($AM70="",1,IFERROR(INDEX('Sublimits and Parts'!$C$91:$C$94,MATCH($AM70,'Sublimits and Parts'!$B$91:$B$94,0)),"?")))</f>
        <v/>
      </c>
      <c r="BZ70" s="97" t="str">
        <f>IF($A70="","",IF($AN70="",1,IFERROR(INDEX('Sublimits and Parts'!$C$98:$C$101,MATCH($AN70,'Sublimits and Parts'!$B$98:$B$101,0)),"?")))</f>
        <v/>
      </c>
      <c r="CA70" s="97" t="str">
        <f>IF($A70="","",IF($AO70="",1,IFERROR(INDEX('Sublimits and Parts'!$C$105:$C$109,MATCH($AO70,'Sublimits and Parts'!$B$105:$B$109,0)),"?")))</f>
        <v/>
      </c>
      <c r="CB70" s="98" t="str">
        <f t="shared" si="15"/>
        <v/>
      </c>
      <c r="CC70" s="98" t="str">
        <f t="shared" si="16"/>
        <v/>
      </c>
      <c r="CD70" s="101" t="str">
        <f>IF($A70="","",IF(OR($CB70="?",$CC70="?"),"?",MIN($CB70*$CC70,'Technical Premium'!$C$17)))</f>
        <v/>
      </c>
      <c r="CE70" s="100" t="str">
        <f t="shared" si="17"/>
        <v/>
      </c>
      <c r="CF70" s="100" t="str">
        <f>IF($A70="","",IFERROR(INDEX('Territory Factors'!$F$6:$F$56,MATCH($K70,'Territory Factors'!$B$6:$B$56,0)),"?"))</f>
        <v/>
      </c>
      <c r="CG70" s="98" t="str">
        <f>IF($A70="","",IFERROR(INDEX('Usage and Coverage'!$C$79:$C$84,MATCH($Y70,'Usage and Coverage'!$B$79:$B$84,0)),"?"))</f>
        <v/>
      </c>
      <c r="CH70" s="100" t="str">
        <f>IFERROR(IF(ISNUMBER($CD70),$CF70*$CG70*MIN($BG70*$BA70*$BC70*$BD70*$BH70*$BF70,'Technical Premium'!$C$17),""),"")</f>
        <v/>
      </c>
      <c r="CI70" s="100" t="str">
        <f t="shared" si="18"/>
        <v/>
      </c>
      <c r="CJ70" s="100" t="str">
        <f>IFERROR($CI70*(1+'Technical Premium'!$C$5)*(1+'Technical Premium'!$C$6),"")</f>
        <v/>
      </c>
      <c r="CK70" s="100" t="str">
        <f>IFERROR($CE70*INDEX('Territory Factors'!$G$6:$G$56,MATCH($K70,'Territory Factors'!$B$6:$B$56,0))*$AU70*$AV70,"")</f>
        <v/>
      </c>
      <c r="CL70" s="100" t="str">
        <f>IFERROR(($CJ70+$CK70)*(1+'Technical Premium'!$C$7),"")</f>
        <v/>
      </c>
      <c r="CM70" s="102" t="str">
        <f>IFERROR($CL70/'Technical Premium'!$C$13,"")</f>
        <v/>
      </c>
      <c r="CN70" s="103" t="str">
        <f t="shared" si="19"/>
        <v/>
      </c>
      <c r="CO70" s="102" t="str">
        <f t="shared" si="20"/>
        <v/>
      </c>
      <c r="CP70" s="103" t="str">
        <f t="shared" si="21"/>
        <v/>
      </c>
      <c r="CQ70" s="104" t="str">
        <f t="shared" si="22"/>
        <v/>
      </c>
      <c r="CR70" s="100" t="str">
        <f>IF(ISNUMBER($CM70),'Technical Premium'!$C$14+IF($J70&gt;=1000000,'Technical Premium'!$C$15,0),"")</f>
        <v/>
      </c>
      <c r="CS70" s="100" t="str">
        <f>IFERROR(($CO70+$CR70)*(INDEX('Territory Factors'!$K$6:$K$56,MATCH($K70,'Territory Factors'!$B$6:$B$56,0))+'Commission Structure'!$C$21),"")</f>
        <v/>
      </c>
      <c r="CT70" s="102" t="str">
        <f t="shared" si="23"/>
        <v/>
      </c>
      <c r="CU70" s="100" t="str">
        <f>IFERROR($CO70*('Commission Structure'!$C$6+'Commission Structure'!$C$7),"")</f>
        <v/>
      </c>
      <c r="CV70" s="100" t="str">
        <f>IFERROR($CO70*'Commission Structure'!$C$5-$CU70,"")</f>
        <v/>
      </c>
      <c r="CW70" s="100" t="str">
        <f>IFERROR($CO70*(1-'Commission Structure'!$C$5),"")</f>
        <v/>
      </c>
      <c r="CX70" s="105" t="str">
        <f>IF($A70="","",IF(OR($CB70="?",$CC70="?",NOT(ISNUMBER($AU70))),"CHECK INPUTS",IF(OR($J70&lt;'Technical Premium'!$C$18,LEFT(IFERROR(INDEX('Driver Factors'!$D$6:$D$15,MATCH($R70,'Driver Factors'!$B$6:$B$15,0)),""),7)="DECLINE",LEFT(IFERROR(INDEX('Driver Factors'!$D$28:$D$36,MATCH($T70,'Driver Factors'!$B$28:$B$36,0)),""),7)="DECLINE",LEFT(IFERROR(INDEX('Claims History'!$D$6:$D$15,MATCH($U70,'Claims History'!$B$6:$B$15,0)),""),7)="DECLINE",LEFT(IFERROR(INDEX('Usage and Coverage'!$E$6:$E$20,MATCH($N70,'Usage and Coverage'!$C$6:$C$20,0)),""),7)="DECLINE"),"DECLINE",IF(OR($CD70&gt;2.5,$CD70&gt;='Technical Premium'!$C$17,$J70&gt;='Technical Premium'!$C$16,N($AQ70)&lt;'Technical Premium'!$C$19,N($AQ70)&gt;'Technical Premium'!$C$20,LEFT(IFERROR(INDEX('Driver Factors'!$D$6:$D$15,MATCH($R70,'Driver Factors'!$B$6:$B$15,0)),""),5)="Refer",LEFT(IFERROR(INDEX('Driver Factors'!$D$28:$D$36,MATCH($T70,'Driver Factors'!$B$28:$B$36,0)),""),5)="Refer",LEFT(IFERROR(INDEX('Claims History'!$D$6:$D$15,MATCH($U70,'Claims History'!$B$6:$B$15,0)),""),5)="Refer",LEFT(IFERROR(INDEX('Usage and Coverage'!$E$6:$E$20,MATCH($N70,'Usage and Coverage'!$C$6:$C$20,0)),""),5)="Refer"),"REFER","AUTO-BIND"))))</f>
        <v/>
      </c>
      <c r="CY70" s="106" t="str">
        <f t="shared" si="24"/>
        <v/>
      </c>
      <c r="CZ70" s="97" t="str">
        <f>IF($CY70="","",IF($CY70&lt;'Technical Premium'!$C$19,"BEYOND AUTHORITY",IF($CY70&gt;0.005,"Above technical",IF($CY70&lt;-0.005,"BELOW technical","At technical"))))</f>
        <v/>
      </c>
      <c r="DA70" s="97" t="str">
        <f>IF($A70="","",IF($CX70="AUTO-BIND","",TRIM(IF($J70&lt;'Technical Premium'!$C$18,"Below programme minimum agreed value. ","")&amp;IF(N($AQ70)&lt;'Technical Premium'!$C$19,"DISCOUNT AUTHORITY BREACH. ","")&amp;IF(N($AQ70)&gt;'Technical Premium'!$C$20,"Load authority breach. ","")&amp;IF($J70&gt;='Technical Premium'!$C$16,"Agreed value at or above auto-bind limit. ","")&amp;IF(AND(ISNUMBER($CD70),$CD70&gt;='Technical Premium'!$C$17),"Composite factor at cap. ","")&amp;IF(AND(ISNUMBER($CD70),$CD70&gt;2.5),"Composite factor above 2.50. ","")&amp;IF(LEFT(IFERROR(INDEX('Driver Factors'!$D$6:$D$15,MATCH($R70,'Driver Factors'!$B$6:$B$15,0)),""),7)="DECLINE","DECLINE - driver age. ",IF(LEFT(IFERROR(INDEX('Driver Factors'!$D$6:$D$15,MATCH($R70,'Driver Factors'!$B$6:$B$15,0)),""),5)="Refer","Driver age band. ",""))&amp;IF(LEFT(IFERROR(INDEX('Driver Factors'!$D$28:$D$36,MATCH($T70,'Driver Factors'!$B$28:$B$36,0)),""),7)="DECLINE","DECLINE - MVR. ",IF(LEFT(IFERROR(INDEX('Driver Factors'!$D$28:$D$36,MATCH($T70,'Driver Factors'!$B$28:$B$36,0)),""),5)="Refer","MVR record. ",""))&amp;IF(LEFT(IFERROR(INDEX('Claims History'!$D$6:$D$15,MATCH($U70,'Claims History'!$B$6:$B$15,0)),""),7)="DECLINE","DECLINE - claims. ",IF(LEFT(IFERROR(INDEX('Claims History'!$D$6:$D$15,MATCH($U70,'Claims History'!$B$6:$B$15,0)),""),5)="Refer","Claims history. ",""))&amp;IF(LEFT(IFERROR(INDEX('Usage and Coverage'!$E$6:$E$20,MATCH($N70,'Usage and Coverage'!$C$6:$C$20,0)),""),7)="DECLINE","DECLINE - usage class. ",IF(LEFT(IFERROR(INDEX('Usage and Coverage'!$E$6:$E$20,MATCH($N70,'Usage and Coverage'!$C$6:$C$20,0)),""),5)="Refer","Usage class. ",""))&amp;IF($CX70="CHECK INPUTS","Incomplete inputs. ",""))))</f>
        <v/>
      </c>
      <c r="DB70" s="92"/>
      <c r="DC70" s="92"/>
      <c r="DD70" s="93"/>
      <c r="DE70" s="92"/>
      <c r="DF70" s="92"/>
      <c r="DG70" s="97" t="str">
        <f t="shared" si="25"/>
        <v/>
      </c>
      <c r="DH70" s="97" t="str">
        <f>IF($A70="","",IF(OR($CX70="REFER",$CX70="DECLINE"),COUNTIF($CX$5:$CX70,"REFER")+COUNTIF($CX$5:$CX70,"DECLINE"),""))</f>
        <v/>
      </c>
      <c r="DI70" s="92"/>
    </row>
    <row r="71" spans="1:113" x14ac:dyDescent="0.25">
      <c r="A71" s="92"/>
      <c r="B71" s="92"/>
      <c r="C71" s="93"/>
      <c r="D71" s="93"/>
      <c r="E71" s="94"/>
      <c r="F71" s="92"/>
      <c r="G71" s="92"/>
      <c r="H71" s="92"/>
      <c r="I71" s="92"/>
      <c r="J71" s="95"/>
      <c r="K71" s="92"/>
      <c r="L71" s="92"/>
      <c r="M71" s="92"/>
      <c r="N71" s="92"/>
      <c r="O71" s="92"/>
      <c r="P71" s="92"/>
      <c r="Q71" s="92"/>
      <c r="R71" s="92"/>
      <c r="S71" s="92"/>
      <c r="T71" s="92"/>
      <c r="U71" s="92"/>
      <c r="V71" s="92"/>
      <c r="W71" s="92"/>
      <c r="X71" s="92"/>
      <c r="Y71" s="92"/>
      <c r="Z71" s="92"/>
      <c r="AA71" s="92"/>
      <c r="AB71" s="92"/>
      <c r="AC71" s="92"/>
      <c r="AD71" s="92"/>
      <c r="AE71" s="92"/>
      <c r="AF71" s="92"/>
      <c r="AG71" s="92"/>
      <c r="AH71" s="92"/>
      <c r="AI71" s="92"/>
      <c r="AJ71" s="92"/>
      <c r="AK71" s="92"/>
      <c r="AL71" s="92"/>
      <c r="AM71" s="92"/>
      <c r="AN71" s="92"/>
      <c r="AO71" s="92"/>
      <c r="AP71" s="92"/>
      <c r="AQ71" s="96"/>
      <c r="AR71" s="97" t="str">
        <f t="shared" si="13"/>
        <v/>
      </c>
      <c r="AS71" s="97" t="str">
        <f>IF($A71="","",IF($AP71&lt;&gt;"",$AP71,IFERROR(INDEX('Cat Zone by ZIP'!$D$6:$D$856,MATCH($AR71,'Cat Zone by ZIP'!$B$6:$B$856,0)),IFERROR(INDEX('Cat Zone by ZIP'!$C$860:$C$910,MATCH($K71,'Cat Zone by ZIP'!$B$860:$B$910,0)),"NOT FOUND"))))</f>
        <v/>
      </c>
      <c r="AT71" s="97" t="str">
        <f>IF($A71="","",IF($AP71&lt;&gt;"","Override",IF(ISNUMBER(MATCH($AR71,'Cat Zone by ZIP'!$B$6:$B$856,0)),"ZIP-3","State default")))</f>
        <v/>
      </c>
      <c r="AU71" s="98" t="str">
        <f>IF($A71="","",IFERROR(INDEX('Natural Catastrophe'!$D$6:$D$17,MATCH($AS71,'Natural Catastrophe'!$B$6:$B$17,0)),"?"))</f>
        <v/>
      </c>
      <c r="AV71" s="98" t="str">
        <f>IF($A71="","",IFERROR(INDEX('Natural Catastrophe'!$C$21:$C$26,MATCH($AA71,'Natural Catastrophe'!$B$21:$B$26,0)),"?"))</f>
        <v/>
      </c>
      <c r="AW71" s="97" t="str">
        <f>IF($A71="","",IFERROR(INDEX('Base Rates'!$C$4:$I$4,MATCH(MAX($J71,'Technical Premium'!$C$18),'Base Rates'!$C$3:$I$3,1)),"?"))</f>
        <v/>
      </c>
      <c r="AX71" s="99" t="str">
        <f>IF($A71="","",IFERROR(INDEX('Base Rates'!$C$5:$I$16,MATCH($I71,'Base Rates'!$B$5:$B$16,0),MATCH(MAX($J71,'Technical Premium'!$C$18),'Base Rates'!$C$3:$I$3,1)),"?"))</f>
        <v/>
      </c>
      <c r="AY71" s="100" t="str">
        <f t="shared" si="14"/>
        <v/>
      </c>
      <c r="AZ71" s="97" t="str">
        <f>IF($A71="","",IFERROR(INDEX('Make Factors'!$G$5:$G$69,MATCH($F71,'Make Factors'!$B$5:$B$69,0)),"?"))</f>
        <v/>
      </c>
      <c r="BA71" s="97" t="str">
        <f>IF($A71="","",IFERROR(INDEX('Driver Factors'!$C$6:$C$15,MATCH($R71,'Driver Factors'!$B$6:$B$15,0)),"?"))</f>
        <v/>
      </c>
      <c r="BB71" s="97" t="str">
        <f>IF($A71="","",IFERROR(INDEX('Driver Factors'!$C$19:$C$24,MATCH($S71,'Driver Factors'!$B$19:$B$24,0)),"?"))</f>
        <v/>
      </c>
      <c r="BC71" s="97" t="str">
        <f>IF($A71="","",IFERROR(INDEX('Driver Factors'!$C$28:$C$36,MATCH($T71,'Driver Factors'!$B$28:$B$36,0)),"?"))</f>
        <v/>
      </c>
      <c r="BD71" s="97" t="str">
        <f>IF($A71="","",IFERROR(INDEX('Claims History'!$C$6:$C$15,MATCH($U71,'Claims History'!$B$6:$B$15,0)),"?"))</f>
        <v/>
      </c>
      <c r="BE71" s="97" t="str">
        <f>IF($A71="","",IFERROR(INDEX('Territory Factors'!$E$6:$E$56,MATCH($K71,'Territory Factors'!$B$6:$B$56,0)),"?"))</f>
        <v/>
      </c>
      <c r="BF71" s="97" t="str">
        <f>IF($A71="","",IFERROR(INDEX('City Accident Ratings'!$G$6:$G$54,MATCH($Z71,'City Accident Ratings'!$B$6:$B$54,0)),"?"))</f>
        <v/>
      </c>
      <c r="BG71" s="97" t="str">
        <f>IF($A71="","",IFERROR(INDEX('Usage and Coverage'!$D$6:$D$20,MATCH($N71,'Usage and Coverage'!$C$6:$C$20,0)),"?"))</f>
        <v/>
      </c>
      <c r="BH71" s="97" t="str">
        <f>IF($A71="","",IFERROR(INDEX('Usage and Coverage'!$C$24:$C$30,MATCH($O71,'Usage and Coverage'!$B$24:$B$30,0)),"?"))</f>
        <v/>
      </c>
      <c r="BI71" s="97" t="str">
        <f>IF($A71="","",IFERROR(INDEX('Usage and Coverage'!$C$34:$C$40,MATCH($P71,'Usage and Coverage'!$B$34:$B$40,0)),"?"))</f>
        <v/>
      </c>
      <c r="BJ71" s="97" t="str">
        <f>IF($A71="","",IFERROR(INDEX('Usage and Coverage'!$C$44:$C$49,MATCH($Q71,'Usage and Coverage'!$B$44:$B$49,0)),"?"))</f>
        <v/>
      </c>
      <c r="BK71" s="97" t="str">
        <f>IF($A71="","",IFERROR(INDEX(Deductibles!$C$6:$I$15,MATCH($W71,Deductibles!$B$6:$B$15,0),MATCH(MAX($J71,'Technical Premium'!$C$18),'Base Rates'!$C$3:$I$3,1)),"?"))</f>
        <v/>
      </c>
      <c r="BL71" s="97" t="str">
        <f>IF($A71="","",IFERROR(INDEX('Usage and Coverage'!$C$63:$C$66,MATCH($X71,'Usage and Coverage'!$B$63:$B$66,0)),"?"))</f>
        <v/>
      </c>
      <c r="BM71" s="97" t="str">
        <f>IF($A71="","",IFERROR(INDEX('Usage and Coverage'!$C$70:$C$75,MATCH($V71,'Usage and Coverage'!$B$70:$B$75,0)),"?"))</f>
        <v/>
      </c>
      <c r="BN71" s="97" t="str">
        <f>IF($A71="","",IF($AB71="",1,IFERROR(INDEX(Deductibles!$C$48:$C$51,MATCH($AB71,Deductibles!$B$48:$B$51,0)),"?")))</f>
        <v/>
      </c>
      <c r="BO71" s="97" t="str">
        <f>IF($A71="","",IF($AC71="",1,IFERROR(INDEX(Deductibles!$C$55:$C$57,MATCH($AC71,Deductibles!$B$55:$B$57,0)),"?")))</f>
        <v/>
      </c>
      <c r="BP71" s="97" t="str">
        <f>IF($A71="","",IF($AD71="",1,IFERROR(INDEX(Deductibles!$C$61:$C$63,MATCH($AD71,Deductibles!$B$61:$B$63,0)),"?")))</f>
        <v/>
      </c>
      <c r="BQ71" s="97" t="str">
        <f>IF($A71="","",IF($AE71="",1,IFERROR(INDEX(Deductibles!$C$67:$C$69,MATCH($AE71,Deductibles!$B$67:$B$69,0)),"?")))</f>
        <v/>
      </c>
      <c r="BR71" s="97" t="str">
        <f>IF($A71="","",IF($AF71="",1,IFERROR(INDEX(Deductibles!$C$73:$C$74,MATCH($AF71,Deductibles!$B$73:$B$74,0)),"?")))</f>
        <v/>
      </c>
      <c r="BS71" s="97" t="str">
        <f>IF($A71="","",IF($AG71="",1,IFERROR(INDEX('Sublimits and Parts'!$C$49:$C$52,MATCH($AG71,'Sublimits and Parts'!$B$49:$B$52,0)),"?")))</f>
        <v/>
      </c>
      <c r="BT71" s="97" t="str">
        <f>IF($A71="","",IF($AH71="",1,IFERROR(INDEX('Sublimits and Parts'!$C$56:$C$60,MATCH($AH71,'Sublimits and Parts'!$B$56:$B$60,0)),"?")))</f>
        <v/>
      </c>
      <c r="BU71" s="97" t="str">
        <f>IF($A71="","",IF($AI71="",1,IFERROR(INDEX('Sublimits and Parts'!$C$64:$C$67,MATCH($AI71,'Sublimits and Parts'!$B$64:$B$67,0)),"?")))</f>
        <v/>
      </c>
      <c r="BV71" s="97" t="str">
        <f>IF($A71="","",IF($AJ71="",1,IFERROR(INDEX('Sublimits and Parts'!$C$71:$C$74,MATCH($AJ71,'Sublimits and Parts'!$B$71:$B$74,0)),"?")))</f>
        <v/>
      </c>
      <c r="BW71" s="97" t="str">
        <f>IF($A71="","",IF($AK71="",1,IFERROR(INDEX('Sublimits and Parts'!$C$78:$C$80,MATCH($AK71,'Sublimits and Parts'!$B$78:$B$80,0)),"?")))</f>
        <v/>
      </c>
      <c r="BX71" s="97" t="str">
        <f>IF($A71="","",IF($AL71="",1,IFERROR(INDEX('Sublimits and Parts'!$C$84:$C$87,MATCH($AL71,'Sublimits and Parts'!$B$84:$B$87,0)),"?")))</f>
        <v/>
      </c>
      <c r="BY71" s="97" t="str">
        <f>IF($A71="","",IF($AM71="",1,IFERROR(INDEX('Sublimits and Parts'!$C$91:$C$94,MATCH($AM71,'Sublimits and Parts'!$B$91:$B$94,0)),"?")))</f>
        <v/>
      </c>
      <c r="BZ71" s="97" t="str">
        <f>IF($A71="","",IF($AN71="",1,IFERROR(INDEX('Sublimits and Parts'!$C$98:$C$101,MATCH($AN71,'Sublimits and Parts'!$B$98:$B$101,0)),"?")))</f>
        <v/>
      </c>
      <c r="CA71" s="97" t="str">
        <f>IF($A71="","",IF($AO71="",1,IFERROR(INDEX('Sublimits and Parts'!$C$105:$C$109,MATCH($AO71,'Sublimits and Parts'!$B$105:$B$109,0)),"?")))</f>
        <v/>
      </c>
      <c r="CB71" s="98" t="str">
        <f t="shared" si="15"/>
        <v/>
      </c>
      <c r="CC71" s="98" t="str">
        <f t="shared" si="16"/>
        <v/>
      </c>
      <c r="CD71" s="101" t="str">
        <f>IF($A71="","",IF(OR($CB71="?",$CC71="?"),"?",MIN($CB71*$CC71,'Technical Premium'!$C$17)))</f>
        <v/>
      </c>
      <c r="CE71" s="100" t="str">
        <f t="shared" si="17"/>
        <v/>
      </c>
      <c r="CF71" s="100" t="str">
        <f>IF($A71="","",IFERROR(INDEX('Territory Factors'!$F$6:$F$56,MATCH($K71,'Territory Factors'!$B$6:$B$56,0)),"?"))</f>
        <v/>
      </c>
      <c r="CG71" s="98" t="str">
        <f>IF($A71="","",IFERROR(INDEX('Usage and Coverage'!$C$79:$C$84,MATCH($Y71,'Usage and Coverage'!$B$79:$B$84,0)),"?"))</f>
        <v/>
      </c>
      <c r="CH71" s="100" t="str">
        <f>IFERROR(IF(ISNUMBER($CD71),$CF71*$CG71*MIN($BG71*$BA71*$BC71*$BD71*$BH71*$BF71,'Technical Premium'!$C$17),""),"")</f>
        <v/>
      </c>
      <c r="CI71" s="100" t="str">
        <f t="shared" si="18"/>
        <v/>
      </c>
      <c r="CJ71" s="100" t="str">
        <f>IFERROR($CI71*(1+'Technical Premium'!$C$5)*(1+'Technical Premium'!$C$6),"")</f>
        <v/>
      </c>
      <c r="CK71" s="100" t="str">
        <f>IFERROR($CE71*INDEX('Territory Factors'!$G$6:$G$56,MATCH($K71,'Territory Factors'!$B$6:$B$56,0))*$AU71*$AV71,"")</f>
        <v/>
      </c>
      <c r="CL71" s="100" t="str">
        <f>IFERROR(($CJ71+$CK71)*(1+'Technical Premium'!$C$7),"")</f>
        <v/>
      </c>
      <c r="CM71" s="102" t="str">
        <f>IFERROR($CL71/'Technical Premium'!$C$13,"")</f>
        <v/>
      </c>
      <c r="CN71" s="103" t="str">
        <f t="shared" si="19"/>
        <v/>
      </c>
      <c r="CO71" s="102" t="str">
        <f t="shared" si="20"/>
        <v/>
      </c>
      <c r="CP71" s="103" t="str">
        <f t="shared" si="21"/>
        <v/>
      </c>
      <c r="CQ71" s="104" t="str">
        <f t="shared" si="22"/>
        <v/>
      </c>
      <c r="CR71" s="100" t="str">
        <f>IF(ISNUMBER($CM71),'Technical Premium'!$C$14+IF($J71&gt;=1000000,'Technical Premium'!$C$15,0),"")</f>
        <v/>
      </c>
      <c r="CS71" s="100" t="str">
        <f>IFERROR(($CO71+$CR71)*(INDEX('Territory Factors'!$K$6:$K$56,MATCH($K71,'Territory Factors'!$B$6:$B$56,0))+'Commission Structure'!$C$21),"")</f>
        <v/>
      </c>
      <c r="CT71" s="102" t="str">
        <f t="shared" si="23"/>
        <v/>
      </c>
      <c r="CU71" s="100" t="str">
        <f>IFERROR($CO71*('Commission Structure'!$C$6+'Commission Structure'!$C$7),"")</f>
        <v/>
      </c>
      <c r="CV71" s="100" t="str">
        <f>IFERROR($CO71*'Commission Structure'!$C$5-$CU71,"")</f>
        <v/>
      </c>
      <c r="CW71" s="100" t="str">
        <f>IFERROR($CO71*(1-'Commission Structure'!$C$5),"")</f>
        <v/>
      </c>
      <c r="CX71" s="105" t="str">
        <f>IF($A71="","",IF(OR($CB71="?",$CC71="?",NOT(ISNUMBER($AU71))),"CHECK INPUTS",IF(OR($J71&lt;'Technical Premium'!$C$18,LEFT(IFERROR(INDEX('Driver Factors'!$D$6:$D$15,MATCH($R71,'Driver Factors'!$B$6:$B$15,0)),""),7)="DECLINE",LEFT(IFERROR(INDEX('Driver Factors'!$D$28:$D$36,MATCH($T71,'Driver Factors'!$B$28:$B$36,0)),""),7)="DECLINE",LEFT(IFERROR(INDEX('Claims History'!$D$6:$D$15,MATCH($U71,'Claims History'!$B$6:$B$15,0)),""),7)="DECLINE",LEFT(IFERROR(INDEX('Usage and Coverage'!$E$6:$E$20,MATCH($N71,'Usage and Coverage'!$C$6:$C$20,0)),""),7)="DECLINE"),"DECLINE",IF(OR($CD71&gt;2.5,$CD71&gt;='Technical Premium'!$C$17,$J71&gt;='Technical Premium'!$C$16,N($AQ71)&lt;'Technical Premium'!$C$19,N($AQ71)&gt;'Technical Premium'!$C$20,LEFT(IFERROR(INDEX('Driver Factors'!$D$6:$D$15,MATCH($R71,'Driver Factors'!$B$6:$B$15,0)),""),5)="Refer",LEFT(IFERROR(INDEX('Driver Factors'!$D$28:$D$36,MATCH($T71,'Driver Factors'!$B$28:$B$36,0)),""),5)="Refer",LEFT(IFERROR(INDEX('Claims History'!$D$6:$D$15,MATCH($U71,'Claims History'!$B$6:$B$15,0)),""),5)="Refer",LEFT(IFERROR(INDEX('Usage and Coverage'!$E$6:$E$20,MATCH($N71,'Usage and Coverage'!$C$6:$C$20,0)),""),5)="Refer"),"REFER","AUTO-BIND"))))</f>
        <v/>
      </c>
      <c r="CY71" s="106" t="str">
        <f t="shared" si="24"/>
        <v/>
      </c>
      <c r="CZ71" s="97" t="str">
        <f>IF($CY71="","",IF($CY71&lt;'Technical Premium'!$C$19,"BEYOND AUTHORITY",IF($CY71&gt;0.005,"Above technical",IF($CY71&lt;-0.005,"BELOW technical","At technical"))))</f>
        <v/>
      </c>
      <c r="DA71" s="97" t="str">
        <f>IF($A71="","",IF($CX71="AUTO-BIND","",TRIM(IF($J71&lt;'Technical Premium'!$C$18,"Below programme minimum agreed value. ","")&amp;IF(N($AQ71)&lt;'Technical Premium'!$C$19,"DISCOUNT AUTHORITY BREACH. ","")&amp;IF(N($AQ71)&gt;'Technical Premium'!$C$20,"Load authority breach. ","")&amp;IF($J71&gt;='Technical Premium'!$C$16,"Agreed value at or above auto-bind limit. ","")&amp;IF(AND(ISNUMBER($CD71),$CD71&gt;='Technical Premium'!$C$17),"Composite factor at cap. ","")&amp;IF(AND(ISNUMBER($CD71),$CD71&gt;2.5),"Composite factor above 2.50. ","")&amp;IF(LEFT(IFERROR(INDEX('Driver Factors'!$D$6:$D$15,MATCH($R71,'Driver Factors'!$B$6:$B$15,0)),""),7)="DECLINE","DECLINE - driver age. ",IF(LEFT(IFERROR(INDEX('Driver Factors'!$D$6:$D$15,MATCH($R71,'Driver Factors'!$B$6:$B$15,0)),""),5)="Refer","Driver age band. ",""))&amp;IF(LEFT(IFERROR(INDEX('Driver Factors'!$D$28:$D$36,MATCH($T71,'Driver Factors'!$B$28:$B$36,0)),""),7)="DECLINE","DECLINE - MVR. ",IF(LEFT(IFERROR(INDEX('Driver Factors'!$D$28:$D$36,MATCH($T71,'Driver Factors'!$B$28:$B$36,0)),""),5)="Refer","MVR record. ",""))&amp;IF(LEFT(IFERROR(INDEX('Claims History'!$D$6:$D$15,MATCH($U71,'Claims History'!$B$6:$B$15,0)),""),7)="DECLINE","DECLINE - claims. ",IF(LEFT(IFERROR(INDEX('Claims History'!$D$6:$D$15,MATCH($U71,'Claims History'!$B$6:$B$15,0)),""),5)="Refer","Claims history. ",""))&amp;IF(LEFT(IFERROR(INDEX('Usage and Coverage'!$E$6:$E$20,MATCH($N71,'Usage and Coverage'!$C$6:$C$20,0)),""),7)="DECLINE","DECLINE - usage class. ",IF(LEFT(IFERROR(INDEX('Usage and Coverage'!$E$6:$E$20,MATCH($N71,'Usage and Coverage'!$C$6:$C$20,0)),""),5)="Refer","Usage class. ",""))&amp;IF($CX71="CHECK INPUTS","Incomplete inputs. ",""))))</f>
        <v/>
      </c>
      <c r="DB71" s="92"/>
      <c r="DC71" s="92"/>
      <c r="DD71" s="93"/>
      <c r="DE71" s="92"/>
      <c r="DF71" s="92"/>
      <c r="DG71" s="97" t="str">
        <f t="shared" si="25"/>
        <v/>
      </c>
      <c r="DH71" s="97" t="str">
        <f>IF($A71="","",IF(OR($CX71="REFER",$CX71="DECLINE"),COUNTIF($CX$5:$CX71,"REFER")+COUNTIF($CX$5:$CX71,"DECLINE"),""))</f>
        <v/>
      </c>
      <c r="DI71" s="92"/>
    </row>
    <row r="72" spans="1:113" x14ac:dyDescent="0.25">
      <c r="A72" s="92"/>
      <c r="B72" s="92"/>
      <c r="C72" s="93"/>
      <c r="D72" s="93"/>
      <c r="E72" s="94"/>
      <c r="F72" s="92"/>
      <c r="G72" s="92"/>
      <c r="H72" s="92"/>
      <c r="I72" s="92"/>
      <c r="J72" s="95"/>
      <c r="K72" s="92"/>
      <c r="L72" s="92"/>
      <c r="M72" s="92"/>
      <c r="N72" s="92"/>
      <c r="O72" s="92"/>
      <c r="P72" s="92"/>
      <c r="Q72" s="92"/>
      <c r="R72" s="92"/>
      <c r="S72" s="92"/>
      <c r="T72" s="92"/>
      <c r="U72" s="92"/>
      <c r="V72" s="92"/>
      <c r="W72" s="92"/>
      <c r="X72" s="92"/>
      <c r="Y72" s="92"/>
      <c r="Z72" s="92"/>
      <c r="AA72" s="92"/>
      <c r="AB72" s="92"/>
      <c r="AC72" s="92"/>
      <c r="AD72" s="92"/>
      <c r="AE72" s="92"/>
      <c r="AF72" s="92"/>
      <c r="AG72" s="92"/>
      <c r="AH72" s="92"/>
      <c r="AI72" s="92"/>
      <c r="AJ72" s="92"/>
      <c r="AK72" s="92"/>
      <c r="AL72" s="92"/>
      <c r="AM72" s="92"/>
      <c r="AN72" s="92"/>
      <c r="AO72" s="92"/>
      <c r="AP72" s="92"/>
      <c r="AQ72" s="96"/>
      <c r="AR72" s="97" t="str">
        <f t="shared" si="13"/>
        <v/>
      </c>
      <c r="AS72" s="97" t="str">
        <f>IF($A72="","",IF($AP72&lt;&gt;"",$AP72,IFERROR(INDEX('Cat Zone by ZIP'!$D$6:$D$856,MATCH($AR72,'Cat Zone by ZIP'!$B$6:$B$856,0)),IFERROR(INDEX('Cat Zone by ZIP'!$C$860:$C$910,MATCH($K72,'Cat Zone by ZIP'!$B$860:$B$910,0)),"NOT FOUND"))))</f>
        <v/>
      </c>
      <c r="AT72" s="97" t="str">
        <f>IF($A72="","",IF($AP72&lt;&gt;"","Override",IF(ISNUMBER(MATCH($AR72,'Cat Zone by ZIP'!$B$6:$B$856,0)),"ZIP-3","State default")))</f>
        <v/>
      </c>
      <c r="AU72" s="98" t="str">
        <f>IF($A72="","",IFERROR(INDEX('Natural Catastrophe'!$D$6:$D$17,MATCH($AS72,'Natural Catastrophe'!$B$6:$B$17,0)),"?"))</f>
        <v/>
      </c>
      <c r="AV72" s="98" t="str">
        <f>IF($A72="","",IFERROR(INDEX('Natural Catastrophe'!$C$21:$C$26,MATCH($AA72,'Natural Catastrophe'!$B$21:$B$26,0)),"?"))</f>
        <v/>
      </c>
      <c r="AW72" s="97" t="str">
        <f>IF($A72="","",IFERROR(INDEX('Base Rates'!$C$4:$I$4,MATCH(MAX($J72,'Technical Premium'!$C$18),'Base Rates'!$C$3:$I$3,1)),"?"))</f>
        <v/>
      </c>
      <c r="AX72" s="99" t="str">
        <f>IF($A72="","",IFERROR(INDEX('Base Rates'!$C$5:$I$16,MATCH($I72,'Base Rates'!$B$5:$B$16,0),MATCH(MAX($J72,'Technical Premium'!$C$18),'Base Rates'!$C$3:$I$3,1)),"?"))</f>
        <v/>
      </c>
      <c r="AY72" s="100" t="str">
        <f t="shared" si="14"/>
        <v/>
      </c>
      <c r="AZ72" s="97" t="str">
        <f>IF($A72="","",IFERROR(INDEX('Make Factors'!$G$5:$G$69,MATCH($F72,'Make Factors'!$B$5:$B$69,0)),"?"))</f>
        <v/>
      </c>
      <c r="BA72" s="97" t="str">
        <f>IF($A72="","",IFERROR(INDEX('Driver Factors'!$C$6:$C$15,MATCH($R72,'Driver Factors'!$B$6:$B$15,0)),"?"))</f>
        <v/>
      </c>
      <c r="BB72" s="97" t="str">
        <f>IF($A72="","",IFERROR(INDEX('Driver Factors'!$C$19:$C$24,MATCH($S72,'Driver Factors'!$B$19:$B$24,0)),"?"))</f>
        <v/>
      </c>
      <c r="BC72" s="97" t="str">
        <f>IF($A72="","",IFERROR(INDEX('Driver Factors'!$C$28:$C$36,MATCH($T72,'Driver Factors'!$B$28:$B$36,0)),"?"))</f>
        <v/>
      </c>
      <c r="BD72" s="97" t="str">
        <f>IF($A72="","",IFERROR(INDEX('Claims History'!$C$6:$C$15,MATCH($U72,'Claims History'!$B$6:$B$15,0)),"?"))</f>
        <v/>
      </c>
      <c r="BE72" s="97" t="str">
        <f>IF($A72="","",IFERROR(INDEX('Territory Factors'!$E$6:$E$56,MATCH($K72,'Territory Factors'!$B$6:$B$56,0)),"?"))</f>
        <v/>
      </c>
      <c r="BF72" s="97" t="str">
        <f>IF($A72="","",IFERROR(INDEX('City Accident Ratings'!$G$6:$G$54,MATCH($Z72,'City Accident Ratings'!$B$6:$B$54,0)),"?"))</f>
        <v/>
      </c>
      <c r="BG72" s="97" t="str">
        <f>IF($A72="","",IFERROR(INDEX('Usage and Coverage'!$D$6:$D$20,MATCH($N72,'Usage and Coverage'!$C$6:$C$20,0)),"?"))</f>
        <v/>
      </c>
      <c r="BH72" s="97" t="str">
        <f>IF($A72="","",IFERROR(INDEX('Usage and Coverage'!$C$24:$C$30,MATCH($O72,'Usage and Coverage'!$B$24:$B$30,0)),"?"))</f>
        <v/>
      </c>
      <c r="BI72" s="97" t="str">
        <f>IF($A72="","",IFERROR(INDEX('Usage and Coverage'!$C$34:$C$40,MATCH($P72,'Usage and Coverage'!$B$34:$B$40,0)),"?"))</f>
        <v/>
      </c>
      <c r="BJ72" s="97" t="str">
        <f>IF($A72="","",IFERROR(INDEX('Usage and Coverage'!$C$44:$C$49,MATCH($Q72,'Usage and Coverage'!$B$44:$B$49,0)),"?"))</f>
        <v/>
      </c>
      <c r="BK72" s="97" t="str">
        <f>IF($A72="","",IFERROR(INDEX(Deductibles!$C$6:$I$15,MATCH($W72,Deductibles!$B$6:$B$15,0),MATCH(MAX($J72,'Technical Premium'!$C$18),'Base Rates'!$C$3:$I$3,1)),"?"))</f>
        <v/>
      </c>
      <c r="BL72" s="97" t="str">
        <f>IF($A72="","",IFERROR(INDEX('Usage and Coverage'!$C$63:$C$66,MATCH($X72,'Usage and Coverage'!$B$63:$B$66,0)),"?"))</f>
        <v/>
      </c>
      <c r="BM72" s="97" t="str">
        <f>IF($A72="","",IFERROR(INDEX('Usage and Coverage'!$C$70:$C$75,MATCH($V72,'Usage and Coverage'!$B$70:$B$75,0)),"?"))</f>
        <v/>
      </c>
      <c r="BN72" s="97" t="str">
        <f>IF($A72="","",IF($AB72="",1,IFERROR(INDEX(Deductibles!$C$48:$C$51,MATCH($AB72,Deductibles!$B$48:$B$51,0)),"?")))</f>
        <v/>
      </c>
      <c r="BO72" s="97" t="str">
        <f>IF($A72="","",IF($AC72="",1,IFERROR(INDEX(Deductibles!$C$55:$C$57,MATCH($AC72,Deductibles!$B$55:$B$57,0)),"?")))</f>
        <v/>
      </c>
      <c r="BP72" s="97" t="str">
        <f>IF($A72="","",IF($AD72="",1,IFERROR(INDEX(Deductibles!$C$61:$C$63,MATCH($AD72,Deductibles!$B$61:$B$63,0)),"?")))</f>
        <v/>
      </c>
      <c r="BQ72" s="97" t="str">
        <f>IF($A72="","",IF($AE72="",1,IFERROR(INDEX(Deductibles!$C$67:$C$69,MATCH($AE72,Deductibles!$B$67:$B$69,0)),"?")))</f>
        <v/>
      </c>
      <c r="BR72" s="97" t="str">
        <f>IF($A72="","",IF($AF72="",1,IFERROR(INDEX(Deductibles!$C$73:$C$74,MATCH($AF72,Deductibles!$B$73:$B$74,0)),"?")))</f>
        <v/>
      </c>
      <c r="BS72" s="97" t="str">
        <f>IF($A72="","",IF($AG72="",1,IFERROR(INDEX('Sublimits and Parts'!$C$49:$C$52,MATCH($AG72,'Sublimits and Parts'!$B$49:$B$52,0)),"?")))</f>
        <v/>
      </c>
      <c r="BT72" s="97" t="str">
        <f>IF($A72="","",IF($AH72="",1,IFERROR(INDEX('Sublimits and Parts'!$C$56:$C$60,MATCH($AH72,'Sublimits and Parts'!$B$56:$B$60,0)),"?")))</f>
        <v/>
      </c>
      <c r="BU72" s="97" t="str">
        <f>IF($A72="","",IF($AI72="",1,IFERROR(INDEX('Sublimits and Parts'!$C$64:$C$67,MATCH($AI72,'Sublimits and Parts'!$B$64:$B$67,0)),"?")))</f>
        <v/>
      </c>
      <c r="BV72" s="97" t="str">
        <f>IF($A72="","",IF($AJ72="",1,IFERROR(INDEX('Sublimits and Parts'!$C$71:$C$74,MATCH($AJ72,'Sublimits and Parts'!$B$71:$B$74,0)),"?")))</f>
        <v/>
      </c>
      <c r="BW72" s="97" t="str">
        <f>IF($A72="","",IF($AK72="",1,IFERROR(INDEX('Sublimits and Parts'!$C$78:$C$80,MATCH($AK72,'Sublimits and Parts'!$B$78:$B$80,0)),"?")))</f>
        <v/>
      </c>
      <c r="BX72" s="97" t="str">
        <f>IF($A72="","",IF($AL72="",1,IFERROR(INDEX('Sublimits and Parts'!$C$84:$C$87,MATCH($AL72,'Sublimits and Parts'!$B$84:$B$87,0)),"?")))</f>
        <v/>
      </c>
      <c r="BY72" s="97" t="str">
        <f>IF($A72="","",IF($AM72="",1,IFERROR(INDEX('Sublimits and Parts'!$C$91:$C$94,MATCH($AM72,'Sublimits and Parts'!$B$91:$B$94,0)),"?")))</f>
        <v/>
      </c>
      <c r="BZ72" s="97" t="str">
        <f>IF($A72="","",IF($AN72="",1,IFERROR(INDEX('Sublimits and Parts'!$C$98:$C$101,MATCH($AN72,'Sublimits and Parts'!$B$98:$B$101,0)),"?")))</f>
        <v/>
      </c>
      <c r="CA72" s="97" t="str">
        <f>IF($A72="","",IF($AO72="",1,IFERROR(INDEX('Sublimits and Parts'!$C$105:$C$109,MATCH($AO72,'Sublimits and Parts'!$B$105:$B$109,0)),"?")))</f>
        <v/>
      </c>
      <c r="CB72" s="98" t="str">
        <f t="shared" si="15"/>
        <v/>
      </c>
      <c r="CC72" s="98" t="str">
        <f t="shared" si="16"/>
        <v/>
      </c>
      <c r="CD72" s="101" t="str">
        <f>IF($A72="","",IF(OR($CB72="?",$CC72="?"),"?",MIN($CB72*$CC72,'Technical Premium'!$C$17)))</f>
        <v/>
      </c>
      <c r="CE72" s="100" t="str">
        <f t="shared" si="17"/>
        <v/>
      </c>
      <c r="CF72" s="100" t="str">
        <f>IF($A72="","",IFERROR(INDEX('Territory Factors'!$F$6:$F$56,MATCH($K72,'Territory Factors'!$B$6:$B$56,0)),"?"))</f>
        <v/>
      </c>
      <c r="CG72" s="98" t="str">
        <f>IF($A72="","",IFERROR(INDEX('Usage and Coverage'!$C$79:$C$84,MATCH($Y72,'Usage and Coverage'!$B$79:$B$84,0)),"?"))</f>
        <v/>
      </c>
      <c r="CH72" s="100" t="str">
        <f>IFERROR(IF(ISNUMBER($CD72),$CF72*$CG72*MIN($BG72*$BA72*$BC72*$BD72*$BH72*$BF72,'Technical Premium'!$C$17),""),"")</f>
        <v/>
      </c>
      <c r="CI72" s="100" t="str">
        <f t="shared" si="18"/>
        <v/>
      </c>
      <c r="CJ72" s="100" t="str">
        <f>IFERROR($CI72*(1+'Technical Premium'!$C$5)*(1+'Technical Premium'!$C$6),"")</f>
        <v/>
      </c>
      <c r="CK72" s="100" t="str">
        <f>IFERROR($CE72*INDEX('Territory Factors'!$G$6:$G$56,MATCH($K72,'Territory Factors'!$B$6:$B$56,0))*$AU72*$AV72,"")</f>
        <v/>
      </c>
      <c r="CL72" s="100" t="str">
        <f>IFERROR(($CJ72+$CK72)*(1+'Technical Premium'!$C$7),"")</f>
        <v/>
      </c>
      <c r="CM72" s="102" t="str">
        <f>IFERROR($CL72/'Technical Premium'!$C$13,"")</f>
        <v/>
      </c>
      <c r="CN72" s="103" t="str">
        <f t="shared" si="19"/>
        <v/>
      </c>
      <c r="CO72" s="102" t="str">
        <f t="shared" si="20"/>
        <v/>
      </c>
      <c r="CP72" s="103" t="str">
        <f t="shared" si="21"/>
        <v/>
      </c>
      <c r="CQ72" s="104" t="str">
        <f t="shared" si="22"/>
        <v/>
      </c>
      <c r="CR72" s="100" t="str">
        <f>IF(ISNUMBER($CM72),'Technical Premium'!$C$14+IF($J72&gt;=1000000,'Technical Premium'!$C$15,0),"")</f>
        <v/>
      </c>
      <c r="CS72" s="100" t="str">
        <f>IFERROR(($CO72+$CR72)*(INDEX('Territory Factors'!$K$6:$K$56,MATCH($K72,'Territory Factors'!$B$6:$B$56,0))+'Commission Structure'!$C$21),"")</f>
        <v/>
      </c>
      <c r="CT72" s="102" t="str">
        <f t="shared" si="23"/>
        <v/>
      </c>
      <c r="CU72" s="100" t="str">
        <f>IFERROR($CO72*('Commission Structure'!$C$6+'Commission Structure'!$C$7),"")</f>
        <v/>
      </c>
      <c r="CV72" s="100" t="str">
        <f>IFERROR($CO72*'Commission Structure'!$C$5-$CU72,"")</f>
        <v/>
      </c>
      <c r="CW72" s="100" t="str">
        <f>IFERROR($CO72*(1-'Commission Structure'!$C$5),"")</f>
        <v/>
      </c>
      <c r="CX72" s="105" t="str">
        <f>IF($A72="","",IF(OR($CB72="?",$CC72="?",NOT(ISNUMBER($AU72))),"CHECK INPUTS",IF(OR($J72&lt;'Technical Premium'!$C$18,LEFT(IFERROR(INDEX('Driver Factors'!$D$6:$D$15,MATCH($R72,'Driver Factors'!$B$6:$B$15,0)),""),7)="DECLINE",LEFT(IFERROR(INDEX('Driver Factors'!$D$28:$D$36,MATCH($T72,'Driver Factors'!$B$28:$B$36,0)),""),7)="DECLINE",LEFT(IFERROR(INDEX('Claims History'!$D$6:$D$15,MATCH($U72,'Claims History'!$B$6:$B$15,0)),""),7)="DECLINE",LEFT(IFERROR(INDEX('Usage and Coverage'!$E$6:$E$20,MATCH($N72,'Usage and Coverage'!$C$6:$C$20,0)),""),7)="DECLINE"),"DECLINE",IF(OR($CD72&gt;2.5,$CD72&gt;='Technical Premium'!$C$17,$J72&gt;='Technical Premium'!$C$16,N($AQ72)&lt;'Technical Premium'!$C$19,N($AQ72)&gt;'Technical Premium'!$C$20,LEFT(IFERROR(INDEX('Driver Factors'!$D$6:$D$15,MATCH($R72,'Driver Factors'!$B$6:$B$15,0)),""),5)="Refer",LEFT(IFERROR(INDEX('Driver Factors'!$D$28:$D$36,MATCH($T72,'Driver Factors'!$B$28:$B$36,0)),""),5)="Refer",LEFT(IFERROR(INDEX('Claims History'!$D$6:$D$15,MATCH($U72,'Claims History'!$B$6:$B$15,0)),""),5)="Refer",LEFT(IFERROR(INDEX('Usage and Coverage'!$E$6:$E$20,MATCH($N72,'Usage and Coverage'!$C$6:$C$20,0)),""),5)="Refer"),"REFER","AUTO-BIND"))))</f>
        <v/>
      </c>
      <c r="CY72" s="106" t="str">
        <f t="shared" si="24"/>
        <v/>
      </c>
      <c r="CZ72" s="97" t="str">
        <f>IF($CY72="","",IF($CY72&lt;'Technical Premium'!$C$19,"BEYOND AUTHORITY",IF($CY72&gt;0.005,"Above technical",IF($CY72&lt;-0.005,"BELOW technical","At technical"))))</f>
        <v/>
      </c>
      <c r="DA72" s="97" t="str">
        <f>IF($A72="","",IF($CX72="AUTO-BIND","",TRIM(IF($J72&lt;'Technical Premium'!$C$18,"Below programme minimum agreed value. ","")&amp;IF(N($AQ72)&lt;'Technical Premium'!$C$19,"DISCOUNT AUTHORITY BREACH. ","")&amp;IF(N($AQ72)&gt;'Technical Premium'!$C$20,"Load authority breach. ","")&amp;IF($J72&gt;='Technical Premium'!$C$16,"Agreed value at or above auto-bind limit. ","")&amp;IF(AND(ISNUMBER($CD72),$CD72&gt;='Technical Premium'!$C$17),"Composite factor at cap. ","")&amp;IF(AND(ISNUMBER($CD72),$CD72&gt;2.5),"Composite factor above 2.50. ","")&amp;IF(LEFT(IFERROR(INDEX('Driver Factors'!$D$6:$D$15,MATCH($R72,'Driver Factors'!$B$6:$B$15,0)),""),7)="DECLINE","DECLINE - driver age. ",IF(LEFT(IFERROR(INDEX('Driver Factors'!$D$6:$D$15,MATCH($R72,'Driver Factors'!$B$6:$B$15,0)),""),5)="Refer","Driver age band. ",""))&amp;IF(LEFT(IFERROR(INDEX('Driver Factors'!$D$28:$D$36,MATCH($T72,'Driver Factors'!$B$28:$B$36,0)),""),7)="DECLINE","DECLINE - MVR. ",IF(LEFT(IFERROR(INDEX('Driver Factors'!$D$28:$D$36,MATCH($T72,'Driver Factors'!$B$28:$B$36,0)),""),5)="Refer","MVR record. ",""))&amp;IF(LEFT(IFERROR(INDEX('Claims History'!$D$6:$D$15,MATCH($U72,'Claims History'!$B$6:$B$15,0)),""),7)="DECLINE","DECLINE - claims. ",IF(LEFT(IFERROR(INDEX('Claims History'!$D$6:$D$15,MATCH($U72,'Claims History'!$B$6:$B$15,0)),""),5)="Refer","Claims history. ",""))&amp;IF(LEFT(IFERROR(INDEX('Usage and Coverage'!$E$6:$E$20,MATCH($N72,'Usage and Coverage'!$C$6:$C$20,0)),""),7)="DECLINE","DECLINE - usage class. ",IF(LEFT(IFERROR(INDEX('Usage and Coverage'!$E$6:$E$20,MATCH($N72,'Usage and Coverage'!$C$6:$C$20,0)),""),5)="Refer","Usage class. ",""))&amp;IF($CX72="CHECK INPUTS","Incomplete inputs. ",""))))</f>
        <v/>
      </c>
      <c r="DB72" s="92"/>
      <c r="DC72" s="92"/>
      <c r="DD72" s="93"/>
      <c r="DE72" s="92"/>
      <c r="DF72" s="92"/>
      <c r="DG72" s="97" t="str">
        <f t="shared" si="25"/>
        <v/>
      </c>
      <c r="DH72" s="97" t="str">
        <f>IF($A72="","",IF(OR($CX72="REFER",$CX72="DECLINE"),COUNTIF($CX$5:$CX72,"REFER")+COUNTIF($CX$5:$CX72,"DECLINE"),""))</f>
        <v/>
      </c>
      <c r="DI72" s="92"/>
    </row>
    <row r="73" spans="1:113" x14ac:dyDescent="0.25">
      <c r="A73" s="92"/>
      <c r="B73" s="92"/>
      <c r="C73" s="93"/>
      <c r="D73" s="93"/>
      <c r="E73" s="94"/>
      <c r="F73" s="92"/>
      <c r="G73" s="92"/>
      <c r="H73" s="92"/>
      <c r="I73" s="92"/>
      <c r="J73" s="95"/>
      <c r="K73" s="92"/>
      <c r="L73" s="92"/>
      <c r="M73" s="92"/>
      <c r="N73" s="92"/>
      <c r="O73" s="92"/>
      <c r="P73" s="92"/>
      <c r="Q73" s="92"/>
      <c r="R73" s="92"/>
      <c r="S73" s="92"/>
      <c r="T73" s="92"/>
      <c r="U73" s="92"/>
      <c r="V73" s="92"/>
      <c r="W73" s="92"/>
      <c r="X73" s="92"/>
      <c r="Y73" s="92"/>
      <c r="Z73" s="92"/>
      <c r="AA73" s="92"/>
      <c r="AB73" s="92"/>
      <c r="AC73" s="92"/>
      <c r="AD73" s="92"/>
      <c r="AE73" s="92"/>
      <c r="AF73" s="92"/>
      <c r="AG73" s="92"/>
      <c r="AH73" s="92"/>
      <c r="AI73" s="92"/>
      <c r="AJ73" s="92"/>
      <c r="AK73" s="92"/>
      <c r="AL73" s="92"/>
      <c r="AM73" s="92"/>
      <c r="AN73" s="92"/>
      <c r="AO73" s="92"/>
      <c r="AP73" s="92"/>
      <c r="AQ73" s="96"/>
      <c r="AR73" s="97" t="str">
        <f t="shared" si="13"/>
        <v/>
      </c>
      <c r="AS73" s="97" t="str">
        <f>IF($A73="","",IF($AP73&lt;&gt;"",$AP73,IFERROR(INDEX('Cat Zone by ZIP'!$D$6:$D$856,MATCH($AR73,'Cat Zone by ZIP'!$B$6:$B$856,0)),IFERROR(INDEX('Cat Zone by ZIP'!$C$860:$C$910,MATCH($K73,'Cat Zone by ZIP'!$B$860:$B$910,0)),"NOT FOUND"))))</f>
        <v/>
      </c>
      <c r="AT73" s="97" t="str">
        <f>IF($A73="","",IF($AP73&lt;&gt;"","Override",IF(ISNUMBER(MATCH($AR73,'Cat Zone by ZIP'!$B$6:$B$856,0)),"ZIP-3","State default")))</f>
        <v/>
      </c>
      <c r="AU73" s="98" t="str">
        <f>IF($A73="","",IFERROR(INDEX('Natural Catastrophe'!$D$6:$D$17,MATCH($AS73,'Natural Catastrophe'!$B$6:$B$17,0)),"?"))</f>
        <v/>
      </c>
      <c r="AV73" s="98" t="str">
        <f>IF($A73="","",IFERROR(INDEX('Natural Catastrophe'!$C$21:$C$26,MATCH($AA73,'Natural Catastrophe'!$B$21:$B$26,0)),"?"))</f>
        <v/>
      </c>
      <c r="AW73" s="97" t="str">
        <f>IF($A73="","",IFERROR(INDEX('Base Rates'!$C$4:$I$4,MATCH(MAX($J73,'Technical Premium'!$C$18),'Base Rates'!$C$3:$I$3,1)),"?"))</f>
        <v/>
      </c>
      <c r="AX73" s="99" t="str">
        <f>IF($A73="","",IFERROR(INDEX('Base Rates'!$C$5:$I$16,MATCH($I73,'Base Rates'!$B$5:$B$16,0),MATCH(MAX($J73,'Technical Premium'!$C$18),'Base Rates'!$C$3:$I$3,1)),"?"))</f>
        <v/>
      </c>
      <c r="AY73" s="100" t="str">
        <f t="shared" si="14"/>
        <v/>
      </c>
      <c r="AZ73" s="97" t="str">
        <f>IF($A73="","",IFERROR(INDEX('Make Factors'!$G$5:$G$69,MATCH($F73,'Make Factors'!$B$5:$B$69,0)),"?"))</f>
        <v/>
      </c>
      <c r="BA73" s="97" t="str">
        <f>IF($A73="","",IFERROR(INDEX('Driver Factors'!$C$6:$C$15,MATCH($R73,'Driver Factors'!$B$6:$B$15,0)),"?"))</f>
        <v/>
      </c>
      <c r="BB73" s="97" t="str">
        <f>IF($A73="","",IFERROR(INDEX('Driver Factors'!$C$19:$C$24,MATCH($S73,'Driver Factors'!$B$19:$B$24,0)),"?"))</f>
        <v/>
      </c>
      <c r="BC73" s="97" t="str">
        <f>IF($A73="","",IFERROR(INDEX('Driver Factors'!$C$28:$C$36,MATCH($T73,'Driver Factors'!$B$28:$B$36,0)),"?"))</f>
        <v/>
      </c>
      <c r="BD73" s="97" t="str">
        <f>IF($A73="","",IFERROR(INDEX('Claims History'!$C$6:$C$15,MATCH($U73,'Claims History'!$B$6:$B$15,0)),"?"))</f>
        <v/>
      </c>
      <c r="BE73" s="97" t="str">
        <f>IF($A73="","",IFERROR(INDEX('Territory Factors'!$E$6:$E$56,MATCH($K73,'Territory Factors'!$B$6:$B$56,0)),"?"))</f>
        <v/>
      </c>
      <c r="BF73" s="97" t="str">
        <f>IF($A73="","",IFERROR(INDEX('City Accident Ratings'!$G$6:$G$54,MATCH($Z73,'City Accident Ratings'!$B$6:$B$54,0)),"?"))</f>
        <v/>
      </c>
      <c r="BG73" s="97" t="str">
        <f>IF($A73="","",IFERROR(INDEX('Usage and Coverage'!$D$6:$D$20,MATCH($N73,'Usage and Coverage'!$C$6:$C$20,0)),"?"))</f>
        <v/>
      </c>
      <c r="BH73" s="97" t="str">
        <f>IF($A73="","",IFERROR(INDEX('Usage and Coverage'!$C$24:$C$30,MATCH($O73,'Usage and Coverage'!$B$24:$B$30,0)),"?"))</f>
        <v/>
      </c>
      <c r="BI73" s="97" t="str">
        <f>IF($A73="","",IFERROR(INDEX('Usage and Coverage'!$C$34:$C$40,MATCH($P73,'Usage and Coverage'!$B$34:$B$40,0)),"?"))</f>
        <v/>
      </c>
      <c r="BJ73" s="97" t="str">
        <f>IF($A73="","",IFERROR(INDEX('Usage and Coverage'!$C$44:$C$49,MATCH($Q73,'Usage and Coverage'!$B$44:$B$49,0)),"?"))</f>
        <v/>
      </c>
      <c r="BK73" s="97" t="str">
        <f>IF($A73="","",IFERROR(INDEX(Deductibles!$C$6:$I$15,MATCH($W73,Deductibles!$B$6:$B$15,0),MATCH(MAX($J73,'Technical Premium'!$C$18),'Base Rates'!$C$3:$I$3,1)),"?"))</f>
        <v/>
      </c>
      <c r="BL73" s="97" t="str">
        <f>IF($A73="","",IFERROR(INDEX('Usage and Coverage'!$C$63:$C$66,MATCH($X73,'Usage and Coverage'!$B$63:$B$66,0)),"?"))</f>
        <v/>
      </c>
      <c r="BM73" s="97" t="str">
        <f>IF($A73="","",IFERROR(INDEX('Usage and Coverage'!$C$70:$C$75,MATCH($V73,'Usage and Coverage'!$B$70:$B$75,0)),"?"))</f>
        <v/>
      </c>
      <c r="BN73" s="97" t="str">
        <f>IF($A73="","",IF($AB73="",1,IFERROR(INDEX(Deductibles!$C$48:$C$51,MATCH($AB73,Deductibles!$B$48:$B$51,0)),"?")))</f>
        <v/>
      </c>
      <c r="BO73" s="97" t="str">
        <f>IF($A73="","",IF($AC73="",1,IFERROR(INDEX(Deductibles!$C$55:$C$57,MATCH($AC73,Deductibles!$B$55:$B$57,0)),"?")))</f>
        <v/>
      </c>
      <c r="BP73" s="97" t="str">
        <f>IF($A73="","",IF($AD73="",1,IFERROR(INDEX(Deductibles!$C$61:$C$63,MATCH($AD73,Deductibles!$B$61:$B$63,0)),"?")))</f>
        <v/>
      </c>
      <c r="BQ73" s="97" t="str">
        <f>IF($A73="","",IF($AE73="",1,IFERROR(INDEX(Deductibles!$C$67:$C$69,MATCH($AE73,Deductibles!$B$67:$B$69,0)),"?")))</f>
        <v/>
      </c>
      <c r="BR73" s="97" t="str">
        <f>IF($A73="","",IF($AF73="",1,IFERROR(INDEX(Deductibles!$C$73:$C$74,MATCH($AF73,Deductibles!$B$73:$B$74,0)),"?")))</f>
        <v/>
      </c>
      <c r="BS73" s="97" t="str">
        <f>IF($A73="","",IF($AG73="",1,IFERROR(INDEX('Sublimits and Parts'!$C$49:$C$52,MATCH($AG73,'Sublimits and Parts'!$B$49:$B$52,0)),"?")))</f>
        <v/>
      </c>
      <c r="BT73" s="97" t="str">
        <f>IF($A73="","",IF($AH73="",1,IFERROR(INDEX('Sublimits and Parts'!$C$56:$C$60,MATCH($AH73,'Sublimits and Parts'!$B$56:$B$60,0)),"?")))</f>
        <v/>
      </c>
      <c r="BU73" s="97" t="str">
        <f>IF($A73="","",IF($AI73="",1,IFERROR(INDEX('Sublimits and Parts'!$C$64:$C$67,MATCH($AI73,'Sublimits and Parts'!$B$64:$B$67,0)),"?")))</f>
        <v/>
      </c>
      <c r="BV73" s="97" t="str">
        <f>IF($A73="","",IF($AJ73="",1,IFERROR(INDEX('Sublimits and Parts'!$C$71:$C$74,MATCH($AJ73,'Sublimits and Parts'!$B$71:$B$74,0)),"?")))</f>
        <v/>
      </c>
      <c r="BW73" s="97" t="str">
        <f>IF($A73="","",IF($AK73="",1,IFERROR(INDEX('Sublimits and Parts'!$C$78:$C$80,MATCH($AK73,'Sublimits and Parts'!$B$78:$B$80,0)),"?")))</f>
        <v/>
      </c>
      <c r="BX73" s="97" t="str">
        <f>IF($A73="","",IF($AL73="",1,IFERROR(INDEX('Sublimits and Parts'!$C$84:$C$87,MATCH($AL73,'Sublimits and Parts'!$B$84:$B$87,0)),"?")))</f>
        <v/>
      </c>
      <c r="BY73" s="97" t="str">
        <f>IF($A73="","",IF($AM73="",1,IFERROR(INDEX('Sublimits and Parts'!$C$91:$C$94,MATCH($AM73,'Sublimits and Parts'!$B$91:$B$94,0)),"?")))</f>
        <v/>
      </c>
      <c r="BZ73" s="97" t="str">
        <f>IF($A73="","",IF($AN73="",1,IFERROR(INDEX('Sublimits and Parts'!$C$98:$C$101,MATCH($AN73,'Sublimits and Parts'!$B$98:$B$101,0)),"?")))</f>
        <v/>
      </c>
      <c r="CA73" s="97" t="str">
        <f>IF($A73="","",IF($AO73="",1,IFERROR(INDEX('Sublimits and Parts'!$C$105:$C$109,MATCH($AO73,'Sublimits and Parts'!$B$105:$B$109,0)),"?")))</f>
        <v/>
      </c>
      <c r="CB73" s="98" t="str">
        <f t="shared" si="15"/>
        <v/>
      </c>
      <c r="CC73" s="98" t="str">
        <f t="shared" si="16"/>
        <v/>
      </c>
      <c r="CD73" s="101" t="str">
        <f>IF($A73="","",IF(OR($CB73="?",$CC73="?"),"?",MIN($CB73*$CC73,'Technical Premium'!$C$17)))</f>
        <v/>
      </c>
      <c r="CE73" s="100" t="str">
        <f t="shared" si="17"/>
        <v/>
      </c>
      <c r="CF73" s="100" t="str">
        <f>IF($A73="","",IFERROR(INDEX('Territory Factors'!$F$6:$F$56,MATCH($K73,'Territory Factors'!$B$6:$B$56,0)),"?"))</f>
        <v/>
      </c>
      <c r="CG73" s="98" t="str">
        <f>IF($A73="","",IFERROR(INDEX('Usage and Coverage'!$C$79:$C$84,MATCH($Y73,'Usage and Coverage'!$B$79:$B$84,0)),"?"))</f>
        <v/>
      </c>
      <c r="CH73" s="100" t="str">
        <f>IFERROR(IF(ISNUMBER($CD73),$CF73*$CG73*MIN($BG73*$BA73*$BC73*$BD73*$BH73*$BF73,'Technical Premium'!$C$17),""),"")</f>
        <v/>
      </c>
      <c r="CI73" s="100" t="str">
        <f t="shared" si="18"/>
        <v/>
      </c>
      <c r="CJ73" s="100" t="str">
        <f>IFERROR($CI73*(1+'Technical Premium'!$C$5)*(1+'Technical Premium'!$C$6),"")</f>
        <v/>
      </c>
      <c r="CK73" s="100" t="str">
        <f>IFERROR($CE73*INDEX('Territory Factors'!$G$6:$G$56,MATCH($K73,'Territory Factors'!$B$6:$B$56,0))*$AU73*$AV73,"")</f>
        <v/>
      </c>
      <c r="CL73" s="100" t="str">
        <f>IFERROR(($CJ73+$CK73)*(1+'Technical Premium'!$C$7),"")</f>
        <v/>
      </c>
      <c r="CM73" s="102" t="str">
        <f>IFERROR($CL73/'Technical Premium'!$C$13,"")</f>
        <v/>
      </c>
      <c r="CN73" s="103" t="str">
        <f t="shared" si="19"/>
        <v/>
      </c>
      <c r="CO73" s="102" t="str">
        <f t="shared" si="20"/>
        <v/>
      </c>
      <c r="CP73" s="103" t="str">
        <f t="shared" si="21"/>
        <v/>
      </c>
      <c r="CQ73" s="104" t="str">
        <f t="shared" si="22"/>
        <v/>
      </c>
      <c r="CR73" s="100" t="str">
        <f>IF(ISNUMBER($CM73),'Technical Premium'!$C$14+IF($J73&gt;=1000000,'Technical Premium'!$C$15,0),"")</f>
        <v/>
      </c>
      <c r="CS73" s="100" t="str">
        <f>IFERROR(($CO73+$CR73)*(INDEX('Territory Factors'!$K$6:$K$56,MATCH($K73,'Territory Factors'!$B$6:$B$56,0))+'Commission Structure'!$C$21),"")</f>
        <v/>
      </c>
      <c r="CT73" s="102" t="str">
        <f t="shared" si="23"/>
        <v/>
      </c>
      <c r="CU73" s="100" t="str">
        <f>IFERROR($CO73*('Commission Structure'!$C$6+'Commission Structure'!$C$7),"")</f>
        <v/>
      </c>
      <c r="CV73" s="100" t="str">
        <f>IFERROR($CO73*'Commission Structure'!$C$5-$CU73,"")</f>
        <v/>
      </c>
      <c r="CW73" s="100" t="str">
        <f>IFERROR($CO73*(1-'Commission Structure'!$C$5),"")</f>
        <v/>
      </c>
      <c r="CX73" s="105" t="str">
        <f>IF($A73="","",IF(OR($CB73="?",$CC73="?",NOT(ISNUMBER($AU73))),"CHECK INPUTS",IF(OR($J73&lt;'Technical Premium'!$C$18,LEFT(IFERROR(INDEX('Driver Factors'!$D$6:$D$15,MATCH($R73,'Driver Factors'!$B$6:$B$15,0)),""),7)="DECLINE",LEFT(IFERROR(INDEX('Driver Factors'!$D$28:$D$36,MATCH($T73,'Driver Factors'!$B$28:$B$36,0)),""),7)="DECLINE",LEFT(IFERROR(INDEX('Claims History'!$D$6:$D$15,MATCH($U73,'Claims History'!$B$6:$B$15,0)),""),7)="DECLINE",LEFT(IFERROR(INDEX('Usage and Coverage'!$E$6:$E$20,MATCH($N73,'Usage and Coverage'!$C$6:$C$20,0)),""),7)="DECLINE"),"DECLINE",IF(OR($CD73&gt;2.5,$CD73&gt;='Technical Premium'!$C$17,$J73&gt;='Technical Premium'!$C$16,N($AQ73)&lt;'Technical Premium'!$C$19,N($AQ73)&gt;'Technical Premium'!$C$20,LEFT(IFERROR(INDEX('Driver Factors'!$D$6:$D$15,MATCH($R73,'Driver Factors'!$B$6:$B$15,0)),""),5)="Refer",LEFT(IFERROR(INDEX('Driver Factors'!$D$28:$D$36,MATCH($T73,'Driver Factors'!$B$28:$B$36,0)),""),5)="Refer",LEFT(IFERROR(INDEX('Claims History'!$D$6:$D$15,MATCH($U73,'Claims History'!$B$6:$B$15,0)),""),5)="Refer",LEFT(IFERROR(INDEX('Usage and Coverage'!$E$6:$E$20,MATCH($N73,'Usage and Coverage'!$C$6:$C$20,0)),""),5)="Refer"),"REFER","AUTO-BIND"))))</f>
        <v/>
      </c>
      <c r="CY73" s="106" t="str">
        <f t="shared" si="24"/>
        <v/>
      </c>
      <c r="CZ73" s="97" t="str">
        <f>IF($CY73="","",IF($CY73&lt;'Technical Premium'!$C$19,"BEYOND AUTHORITY",IF($CY73&gt;0.005,"Above technical",IF($CY73&lt;-0.005,"BELOW technical","At technical"))))</f>
        <v/>
      </c>
      <c r="DA73" s="97" t="str">
        <f>IF($A73="","",IF($CX73="AUTO-BIND","",TRIM(IF($J73&lt;'Technical Premium'!$C$18,"Below programme minimum agreed value. ","")&amp;IF(N($AQ73)&lt;'Technical Premium'!$C$19,"DISCOUNT AUTHORITY BREACH. ","")&amp;IF(N($AQ73)&gt;'Technical Premium'!$C$20,"Load authority breach. ","")&amp;IF($J73&gt;='Technical Premium'!$C$16,"Agreed value at or above auto-bind limit. ","")&amp;IF(AND(ISNUMBER($CD73),$CD73&gt;='Technical Premium'!$C$17),"Composite factor at cap. ","")&amp;IF(AND(ISNUMBER($CD73),$CD73&gt;2.5),"Composite factor above 2.50. ","")&amp;IF(LEFT(IFERROR(INDEX('Driver Factors'!$D$6:$D$15,MATCH($R73,'Driver Factors'!$B$6:$B$15,0)),""),7)="DECLINE","DECLINE - driver age. ",IF(LEFT(IFERROR(INDEX('Driver Factors'!$D$6:$D$15,MATCH($R73,'Driver Factors'!$B$6:$B$15,0)),""),5)="Refer","Driver age band. ",""))&amp;IF(LEFT(IFERROR(INDEX('Driver Factors'!$D$28:$D$36,MATCH($T73,'Driver Factors'!$B$28:$B$36,0)),""),7)="DECLINE","DECLINE - MVR. ",IF(LEFT(IFERROR(INDEX('Driver Factors'!$D$28:$D$36,MATCH($T73,'Driver Factors'!$B$28:$B$36,0)),""),5)="Refer","MVR record. ",""))&amp;IF(LEFT(IFERROR(INDEX('Claims History'!$D$6:$D$15,MATCH($U73,'Claims History'!$B$6:$B$15,0)),""),7)="DECLINE","DECLINE - claims. ",IF(LEFT(IFERROR(INDEX('Claims History'!$D$6:$D$15,MATCH($U73,'Claims History'!$B$6:$B$15,0)),""),5)="Refer","Claims history. ",""))&amp;IF(LEFT(IFERROR(INDEX('Usage and Coverage'!$E$6:$E$20,MATCH($N73,'Usage and Coverage'!$C$6:$C$20,0)),""),7)="DECLINE","DECLINE - usage class. ",IF(LEFT(IFERROR(INDEX('Usage and Coverage'!$E$6:$E$20,MATCH($N73,'Usage and Coverage'!$C$6:$C$20,0)),""),5)="Refer","Usage class. ",""))&amp;IF($CX73="CHECK INPUTS","Incomplete inputs. ",""))))</f>
        <v/>
      </c>
      <c r="DB73" s="92"/>
      <c r="DC73" s="92"/>
      <c r="DD73" s="93"/>
      <c r="DE73" s="92"/>
      <c r="DF73" s="92"/>
      <c r="DG73" s="97" t="str">
        <f t="shared" si="25"/>
        <v/>
      </c>
      <c r="DH73" s="97" t="str">
        <f>IF($A73="","",IF(OR($CX73="REFER",$CX73="DECLINE"),COUNTIF($CX$5:$CX73,"REFER")+COUNTIF($CX$5:$CX73,"DECLINE"),""))</f>
        <v/>
      </c>
      <c r="DI73" s="92"/>
    </row>
    <row r="74" spans="1:113" x14ac:dyDescent="0.25">
      <c r="A74" s="92"/>
      <c r="B74" s="92"/>
      <c r="C74" s="93"/>
      <c r="D74" s="93"/>
      <c r="E74" s="94"/>
      <c r="F74" s="92"/>
      <c r="G74" s="92"/>
      <c r="H74" s="92"/>
      <c r="I74" s="92"/>
      <c r="J74" s="95"/>
      <c r="K74" s="92"/>
      <c r="L74" s="92"/>
      <c r="M74" s="92"/>
      <c r="N74" s="92"/>
      <c r="O74" s="92"/>
      <c r="P74" s="92"/>
      <c r="Q74" s="92"/>
      <c r="R74" s="92"/>
      <c r="S74" s="92"/>
      <c r="T74" s="92"/>
      <c r="U74" s="92"/>
      <c r="V74" s="92"/>
      <c r="W74" s="92"/>
      <c r="X74" s="92"/>
      <c r="Y74" s="92"/>
      <c r="Z74" s="92"/>
      <c r="AA74" s="92"/>
      <c r="AB74" s="92"/>
      <c r="AC74" s="92"/>
      <c r="AD74" s="92"/>
      <c r="AE74" s="92"/>
      <c r="AF74" s="92"/>
      <c r="AG74" s="92"/>
      <c r="AH74" s="92"/>
      <c r="AI74" s="92"/>
      <c r="AJ74" s="92"/>
      <c r="AK74" s="92"/>
      <c r="AL74" s="92"/>
      <c r="AM74" s="92"/>
      <c r="AN74" s="92"/>
      <c r="AO74" s="92"/>
      <c r="AP74" s="92"/>
      <c r="AQ74" s="96"/>
      <c r="AR74" s="97" t="str">
        <f t="shared" si="13"/>
        <v/>
      </c>
      <c r="AS74" s="97" t="str">
        <f>IF($A74="","",IF($AP74&lt;&gt;"",$AP74,IFERROR(INDEX('Cat Zone by ZIP'!$D$6:$D$856,MATCH($AR74,'Cat Zone by ZIP'!$B$6:$B$856,0)),IFERROR(INDEX('Cat Zone by ZIP'!$C$860:$C$910,MATCH($K74,'Cat Zone by ZIP'!$B$860:$B$910,0)),"NOT FOUND"))))</f>
        <v/>
      </c>
      <c r="AT74" s="97" t="str">
        <f>IF($A74="","",IF($AP74&lt;&gt;"","Override",IF(ISNUMBER(MATCH($AR74,'Cat Zone by ZIP'!$B$6:$B$856,0)),"ZIP-3","State default")))</f>
        <v/>
      </c>
      <c r="AU74" s="98" t="str">
        <f>IF($A74="","",IFERROR(INDEX('Natural Catastrophe'!$D$6:$D$17,MATCH($AS74,'Natural Catastrophe'!$B$6:$B$17,0)),"?"))</f>
        <v/>
      </c>
      <c r="AV74" s="98" t="str">
        <f>IF($A74="","",IFERROR(INDEX('Natural Catastrophe'!$C$21:$C$26,MATCH($AA74,'Natural Catastrophe'!$B$21:$B$26,0)),"?"))</f>
        <v/>
      </c>
      <c r="AW74" s="97" t="str">
        <f>IF($A74="","",IFERROR(INDEX('Base Rates'!$C$4:$I$4,MATCH(MAX($J74,'Technical Premium'!$C$18),'Base Rates'!$C$3:$I$3,1)),"?"))</f>
        <v/>
      </c>
      <c r="AX74" s="99" t="str">
        <f>IF($A74="","",IFERROR(INDEX('Base Rates'!$C$5:$I$16,MATCH($I74,'Base Rates'!$B$5:$B$16,0),MATCH(MAX($J74,'Technical Premium'!$C$18),'Base Rates'!$C$3:$I$3,1)),"?"))</f>
        <v/>
      </c>
      <c r="AY74" s="100" t="str">
        <f t="shared" si="14"/>
        <v/>
      </c>
      <c r="AZ74" s="97" t="str">
        <f>IF($A74="","",IFERROR(INDEX('Make Factors'!$G$5:$G$69,MATCH($F74,'Make Factors'!$B$5:$B$69,0)),"?"))</f>
        <v/>
      </c>
      <c r="BA74" s="97" t="str">
        <f>IF($A74="","",IFERROR(INDEX('Driver Factors'!$C$6:$C$15,MATCH($R74,'Driver Factors'!$B$6:$B$15,0)),"?"))</f>
        <v/>
      </c>
      <c r="BB74" s="97" t="str">
        <f>IF($A74="","",IFERROR(INDEX('Driver Factors'!$C$19:$C$24,MATCH($S74,'Driver Factors'!$B$19:$B$24,0)),"?"))</f>
        <v/>
      </c>
      <c r="BC74" s="97" t="str">
        <f>IF($A74="","",IFERROR(INDEX('Driver Factors'!$C$28:$C$36,MATCH($T74,'Driver Factors'!$B$28:$B$36,0)),"?"))</f>
        <v/>
      </c>
      <c r="BD74" s="97" t="str">
        <f>IF($A74="","",IFERROR(INDEX('Claims History'!$C$6:$C$15,MATCH($U74,'Claims History'!$B$6:$B$15,0)),"?"))</f>
        <v/>
      </c>
      <c r="BE74" s="97" t="str">
        <f>IF($A74="","",IFERROR(INDEX('Territory Factors'!$E$6:$E$56,MATCH($K74,'Territory Factors'!$B$6:$B$56,0)),"?"))</f>
        <v/>
      </c>
      <c r="BF74" s="97" t="str">
        <f>IF($A74="","",IFERROR(INDEX('City Accident Ratings'!$G$6:$G$54,MATCH($Z74,'City Accident Ratings'!$B$6:$B$54,0)),"?"))</f>
        <v/>
      </c>
      <c r="BG74" s="97" t="str">
        <f>IF($A74="","",IFERROR(INDEX('Usage and Coverage'!$D$6:$D$20,MATCH($N74,'Usage and Coverage'!$C$6:$C$20,0)),"?"))</f>
        <v/>
      </c>
      <c r="BH74" s="97" t="str">
        <f>IF($A74="","",IFERROR(INDEX('Usage and Coverage'!$C$24:$C$30,MATCH($O74,'Usage and Coverage'!$B$24:$B$30,0)),"?"))</f>
        <v/>
      </c>
      <c r="BI74" s="97" t="str">
        <f>IF($A74="","",IFERROR(INDEX('Usage and Coverage'!$C$34:$C$40,MATCH($P74,'Usage and Coverage'!$B$34:$B$40,0)),"?"))</f>
        <v/>
      </c>
      <c r="BJ74" s="97" t="str">
        <f>IF($A74="","",IFERROR(INDEX('Usage and Coverage'!$C$44:$C$49,MATCH($Q74,'Usage and Coverage'!$B$44:$B$49,0)),"?"))</f>
        <v/>
      </c>
      <c r="BK74" s="97" t="str">
        <f>IF($A74="","",IFERROR(INDEX(Deductibles!$C$6:$I$15,MATCH($W74,Deductibles!$B$6:$B$15,0),MATCH(MAX($J74,'Technical Premium'!$C$18),'Base Rates'!$C$3:$I$3,1)),"?"))</f>
        <v/>
      </c>
      <c r="BL74" s="97" t="str">
        <f>IF($A74="","",IFERROR(INDEX('Usage and Coverage'!$C$63:$C$66,MATCH($X74,'Usage and Coverage'!$B$63:$B$66,0)),"?"))</f>
        <v/>
      </c>
      <c r="BM74" s="97" t="str">
        <f>IF($A74="","",IFERROR(INDEX('Usage and Coverage'!$C$70:$C$75,MATCH($V74,'Usage and Coverage'!$B$70:$B$75,0)),"?"))</f>
        <v/>
      </c>
      <c r="BN74" s="97" t="str">
        <f>IF($A74="","",IF($AB74="",1,IFERROR(INDEX(Deductibles!$C$48:$C$51,MATCH($AB74,Deductibles!$B$48:$B$51,0)),"?")))</f>
        <v/>
      </c>
      <c r="BO74" s="97" t="str">
        <f>IF($A74="","",IF($AC74="",1,IFERROR(INDEX(Deductibles!$C$55:$C$57,MATCH($AC74,Deductibles!$B$55:$B$57,0)),"?")))</f>
        <v/>
      </c>
      <c r="BP74" s="97" t="str">
        <f>IF($A74="","",IF($AD74="",1,IFERROR(INDEX(Deductibles!$C$61:$C$63,MATCH($AD74,Deductibles!$B$61:$B$63,0)),"?")))</f>
        <v/>
      </c>
      <c r="BQ74" s="97" t="str">
        <f>IF($A74="","",IF($AE74="",1,IFERROR(INDEX(Deductibles!$C$67:$C$69,MATCH($AE74,Deductibles!$B$67:$B$69,0)),"?")))</f>
        <v/>
      </c>
      <c r="BR74" s="97" t="str">
        <f>IF($A74="","",IF($AF74="",1,IFERROR(INDEX(Deductibles!$C$73:$C$74,MATCH($AF74,Deductibles!$B$73:$B$74,0)),"?")))</f>
        <v/>
      </c>
      <c r="BS74" s="97" t="str">
        <f>IF($A74="","",IF($AG74="",1,IFERROR(INDEX('Sublimits and Parts'!$C$49:$C$52,MATCH($AG74,'Sublimits and Parts'!$B$49:$B$52,0)),"?")))</f>
        <v/>
      </c>
      <c r="BT74" s="97" t="str">
        <f>IF($A74="","",IF($AH74="",1,IFERROR(INDEX('Sublimits and Parts'!$C$56:$C$60,MATCH($AH74,'Sublimits and Parts'!$B$56:$B$60,0)),"?")))</f>
        <v/>
      </c>
      <c r="BU74" s="97" t="str">
        <f>IF($A74="","",IF($AI74="",1,IFERROR(INDEX('Sublimits and Parts'!$C$64:$C$67,MATCH($AI74,'Sublimits and Parts'!$B$64:$B$67,0)),"?")))</f>
        <v/>
      </c>
      <c r="BV74" s="97" t="str">
        <f>IF($A74="","",IF($AJ74="",1,IFERROR(INDEX('Sublimits and Parts'!$C$71:$C$74,MATCH($AJ74,'Sublimits and Parts'!$B$71:$B$74,0)),"?")))</f>
        <v/>
      </c>
      <c r="BW74" s="97" t="str">
        <f>IF($A74="","",IF($AK74="",1,IFERROR(INDEX('Sublimits and Parts'!$C$78:$C$80,MATCH($AK74,'Sublimits and Parts'!$B$78:$B$80,0)),"?")))</f>
        <v/>
      </c>
      <c r="BX74" s="97" t="str">
        <f>IF($A74="","",IF($AL74="",1,IFERROR(INDEX('Sublimits and Parts'!$C$84:$C$87,MATCH($AL74,'Sublimits and Parts'!$B$84:$B$87,0)),"?")))</f>
        <v/>
      </c>
      <c r="BY74" s="97" t="str">
        <f>IF($A74="","",IF($AM74="",1,IFERROR(INDEX('Sublimits and Parts'!$C$91:$C$94,MATCH($AM74,'Sublimits and Parts'!$B$91:$B$94,0)),"?")))</f>
        <v/>
      </c>
      <c r="BZ74" s="97" t="str">
        <f>IF($A74="","",IF($AN74="",1,IFERROR(INDEX('Sublimits and Parts'!$C$98:$C$101,MATCH($AN74,'Sublimits and Parts'!$B$98:$B$101,0)),"?")))</f>
        <v/>
      </c>
      <c r="CA74" s="97" t="str">
        <f>IF($A74="","",IF($AO74="",1,IFERROR(INDEX('Sublimits and Parts'!$C$105:$C$109,MATCH($AO74,'Sublimits and Parts'!$B$105:$B$109,0)),"?")))</f>
        <v/>
      </c>
      <c r="CB74" s="98" t="str">
        <f t="shared" si="15"/>
        <v/>
      </c>
      <c r="CC74" s="98" t="str">
        <f t="shared" si="16"/>
        <v/>
      </c>
      <c r="CD74" s="101" t="str">
        <f>IF($A74="","",IF(OR($CB74="?",$CC74="?"),"?",MIN($CB74*$CC74,'Technical Premium'!$C$17)))</f>
        <v/>
      </c>
      <c r="CE74" s="100" t="str">
        <f t="shared" si="17"/>
        <v/>
      </c>
      <c r="CF74" s="100" t="str">
        <f>IF($A74="","",IFERROR(INDEX('Territory Factors'!$F$6:$F$56,MATCH($K74,'Territory Factors'!$B$6:$B$56,0)),"?"))</f>
        <v/>
      </c>
      <c r="CG74" s="98" t="str">
        <f>IF($A74="","",IFERROR(INDEX('Usage and Coverage'!$C$79:$C$84,MATCH($Y74,'Usage and Coverage'!$B$79:$B$84,0)),"?"))</f>
        <v/>
      </c>
      <c r="CH74" s="100" t="str">
        <f>IFERROR(IF(ISNUMBER($CD74),$CF74*$CG74*MIN($BG74*$BA74*$BC74*$BD74*$BH74*$BF74,'Technical Premium'!$C$17),""),"")</f>
        <v/>
      </c>
      <c r="CI74" s="100" t="str">
        <f t="shared" si="18"/>
        <v/>
      </c>
      <c r="CJ74" s="100" t="str">
        <f>IFERROR($CI74*(1+'Technical Premium'!$C$5)*(1+'Technical Premium'!$C$6),"")</f>
        <v/>
      </c>
      <c r="CK74" s="100" t="str">
        <f>IFERROR($CE74*INDEX('Territory Factors'!$G$6:$G$56,MATCH($K74,'Territory Factors'!$B$6:$B$56,0))*$AU74*$AV74,"")</f>
        <v/>
      </c>
      <c r="CL74" s="100" t="str">
        <f>IFERROR(($CJ74+$CK74)*(1+'Technical Premium'!$C$7),"")</f>
        <v/>
      </c>
      <c r="CM74" s="102" t="str">
        <f>IFERROR($CL74/'Technical Premium'!$C$13,"")</f>
        <v/>
      </c>
      <c r="CN74" s="103" t="str">
        <f t="shared" si="19"/>
        <v/>
      </c>
      <c r="CO74" s="102" t="str">
        <f t="shared" si="20"/>
        <v/>
      </c>
      <c r="CP74" s="103" t="str">
        <f t="shared" si="21"/>
        <v/>
      </c>
      <c r="CQ74" s="104" t="str">
        <f t="shared" si="22"/>
        <v/>
      </c>
      <c r="CR74" s="100" t="str">
        <f>IF(ISNUMBER($CM74),'Technical Premium'!$C$14+IF($J74&gt;=1000000,'Technical Premium'!$C$15,0),"")</f>
        <v/>
      </c>
      <c r="CS74" s="100" t="str">
        <f>IFERROR(($CO74+$CR74)*(INDEX('Territory Factors'!$K$6:$K$56,MATCH($K74,'Territory Factors'!$B$6:$B$56,0))+'Commission Structure'!$C$21),"")</f>
        <v/>
      </c>
      <c r="CT74" s="102" t="str">
        <f t="shared" si="23"/>
        <v/>
      </c>
      <c r="CU74" s="100" t="str">
        <f>IFERROR($CO74*('Commission Structure'!$C$6+'Commission Structure'!$C$7),"")</f>
        <v/>
      </c>
      <c r="CV74" s="100" t="str">
        <f>IFERROR($CO74*'Commission Structure'!$C$5-$CU74,"")</f>
        <v/>
      </c>
      <c r="CW74" s="100" t="str">
        <f>IFERROR($CO74*(1-'Commission Structure'!$C$5),"")</f>
        <v/>
      </c>
      <c r="CX74" s="105" t="str">
        <f>IF($A74="","",IF(OR($CB74="?",$CC74="?",NOT(ISNUMBER($AU74))),"CHECK INPUTS",IF(OR($J74&lt;'Technical Premium'!$C$18,LEFT(IFERROR(INDEX('Driver Factors'!$D$6:$D$15,MATCH($R74,'Driver Factors'!$B$6:$B$15,0)),""),7)="DECLINE",LEFT(IFERROR(INDEX('Driver Factors'!$D$28:$D$36,MATCH($T74,'Driver Factors'!$B$28:$B$36,0)),""),7)="DECLINE",LEFT(IFERROR(INDEX('Claims History'!$D$6:$D$15,MATCH($U74,'Claims History'!$B$6:$B$15,0)),""),7)="DECLINE",LEFT(IFERROR(INDEX('Usage and Coverage'!$E$6:$E$20,MATCH($N74,'Usage and Coverage'!$C$6:$C$20,0)),""),7)="DECLINE"),"DECLINE",IF(OR($CD74&gt;2.5,$CD74&gt;='Technical Premium'!$C$17,$J74&gt;='Technical Premium'!$C$16,N($AQ74)&lt;'Technical Premium'!$C$19,N($AQ74)&gt;'Technical Premium'!$C$20,LEFT(IFERROR(INDEX('Driver Factors'!$D$6:$D$15,MATCH($R74,'Driver Factors'!$B$6:$B$15,0)),""),5)="Refer",LEFT(IFERROR(INDEX('Driver Factors'!$D$28:$D$36,MATCH($T74,'Driver Factors'!$B$28:$B$36,0)),""),5)="Refer",LEFT(IFERROR(INDEX('Claims History'!$D$6:$D$15,MATCH($U74,'Claims History'!$B$6:$B$15,0)),""),5)="Refer",LEFT(IFERROR(INDEX('Usage and Coverage'!$E$6:$E$20,MATCH($N74,'Usage and Coverage'!$C$6:$C$20,0)),""),5)="Refer"),"REFER","AUTO-BIND"))))</f>
        <v/>
      </c>
      <c r="CY74" s="106" t="str">
        <f t="shared" si="24"/>
        <v/>
      </c>
      <c r="CZ74" s="97" t="str">
        <f>IF($CY74="","",IF($CY74&lt;'Technical Premium'!$C$19,"BEYOND AUTHORITY",IF($CY74&gt;0.005,"Above technical",IF($CY74&lt;-0.005,"BELOW technical","At technical"))))</f>
        <v/>
      </c>
      <c r="DA74" s="97" t="str">
        <f>IF($A74="","",IF($CX74="AUTO-BIND","",TRIM(IF($J74&lt;'Technical Premium'!$C$18,"Below programme minimum agreed value. ","")&amp;IF(N($AQ74)&lt;'Technical Premium'!$C$19,"DISCOUNT AUTHORITY BREACH. ","")&amp;IF(N($AQ74)&gt;'Technical Premium'!$C$20,"Load authority breach. ","")&amp;IF($J74&gt;='Technical Premium'!$C$16,"Agreed value at or above auto-bind limit. ","")&amp;IF(AND(ISNUMBER($CD74),$CD74&gt;='Technical Premium'!$C$17),"Composite factor at cap. ","")&amp;IF(AND(ISNUMBER($CD74),$CD74&gt;2.5),"Composite factor above 2.50. ","")&amp;IF(LEFT(IFERROR(INDEX('Driver Factors'!$D$6:$D$15,MATCH($R74,'Driver Factors'!$B$6:$B$15,0)),""),7)="DECLINE","DECLINE - driver age. ",IF(LEFT(IFERROR(INDEX('Driver Factors'!$D$6:$D$15,MATCH($R74,'Driver Factors'!$B$6:$B$15,0)),""),5)="Refer","Driver age band. ",""))&amp;IF(LEFT(IFERROR(INDEX('Driver Factors'!$D$28:$D$36,MATCH($T74,'Driver Factors'!$B$28:$B$36,0)),""),7)="DECLINE","DECLINE - MVR. ",IF(LEFT(IFERROR(INDEX('Driver Factors'!$D$28:$D$36,MATCH($T74,'Driver Factors'!$B$28:$B$36,0)),""),5)="Refer","MVR record. ",""))&amp;IF(LEFT(IFERROR(INDEX('Claims History'!$D$6:$D$15,MATCH($U74,'Claims History'!$B$6:$B$15,0)),""),7)="DECLINE","DECLINE - claims. ",IF(LEFT(IFERROR(INDEX('Claims History'!$D$6:$D$15,MATCH($U74,'Claims History'!$B$6:$B$15,0)),""),5)="Refer","Claims history. ",""))&amp;IF(LEFT(IFERROR(INDEX('Usage and Coverage'!$E$6:$E$20,MATCH($N74,'Usage and Coverage'!$C$6:$C$20,0)),""),7)="DECLINE","DECLINE - usage class. ",IF(LEFT(IFERROR(INDEX('Usage and Coverage'!$E$6:$E$20,MATCH($N74,'Usage and Coverage'!$C$6:$C$20,0)),""),5)="Refer","Usage class. ",""))&amp;IF($CX74="CHECK INPUTS","Incomplete inputs. ",""))))</f>
        <v/>
      </c>
      <c r="DB74" s="92"/>
      <c r="DC74" s="92"/>
      <c r="DD74" s="93"/>
      <c r="DE74" s="92"/>
      <c r="DF74" s="92"/>
      <c r="DG74" s="97" t="str">
        <f t="shared" si="25"/>
        <v/>
      </c>
      <c r="DH74" s="97" t="str">
        <f>IF($A74="","",IF(OR($CX74="REFER",$CX74="DECLINE"),COUNTIF($CX$5:$CX74,"REFER")+COUNTIF($CX$5:$CX74,"DECLINE"),""))</f>
        <v/>
      </c>
      <c r="DI74" s="92"/>
    </row>
    <row r="75" spans="1:113" x14ac:dyDescent="0.25">
      <c r="A75" s="92"/>
      <c r="B75" s="92"/>
      <c r="C75" s="93"/>
      <c r="D75" s="93"/>
      <c r="E75" s="94"/>
      <c r="F75" s="92"/>
      <c r="G75" s="92"/>
      <c r="H75" s="92"/>
      <c r="I75" s="92"/>
      <c r="J75" s="95"/>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6"/>
      <c r="AR75" s="97" t="str">
        <f t="shared" si="13"/>
        <v/>
      </c>
      <c r="AS75" s="97" t="str">
        <f>IF($A75="","",IF($AP75&lt;&gt;"",$AP75,IFERROR(INDEX('Cat Zone by ZIP'!$D$6:$D$856,MATCH($AR75,'Cat Zone by ZIP'!$B$6:$B$856,0)),IFERROR(INDEX('Cat Zone by ZIP'!$C$860:$C$910,MATCH($K75,'Cat Zone by ZIP'!$B$860:$B$910,0)),"NOT FOUND"))))</f>
        <v/>
      </c>
      <c r="AT75" s="97" t="str">
        <f>IF($A75="","",IF($AP75&lt;&gt;"","Override",IF(ISNUMBER(MATCH($AR75,'Cat Zone by ZIP'!$B$6:$B$856,0)),"ZIP-3","State default")))</f>
        <v/>
      </c>
      <c r="AU75" s="98" t="str">
        <f>IF($A75="","",IFERROR(INDEX('Natural Catastrophe'!$D$6:$D$17,MATCH($AS75,'Natural Catastrophe'!$B$6:$B$17,0)),"?"))</f>
        <v/>
      </c>
      <c r="AV75" s="98" t="str">
        <f>IF($A75="","",IFERROR(INDEX('Natural Catastrophe'!$C$21:$C$26,MATCH($AA75,'Natural Catastrophe'!$B$21:$B$26,0)),"?"))</f>
        <v/>
      </c>
      <c r="AW75" s="97" t="str">
        <f>IF($A75="","",IFERROR(INDEX('Base Rates'!$C$4:$I$4,MATCH(MAX($J75,'Technical Premium'!$C$18),'Base Rates'!$C$3:$I$3,1)),"?"))</f>
        <v/>
      </c>
      <c r="AX75" s="99" t="str">
        <f>IF($A75="","",IFERROR(INDEX('Base Rates'!$C$5:$I$16,MATCH($I75,'Base Rates'!$B$5:$B$16,0),MATCH(MAX($J75,'Technical Premium'!$C$18),'Base Rates'!$C$3:$I$3,1)),"?"))</f>
        <v/>
      </c>
      <c r="AY75" s="100" t="str">
        <f t="shared" si="14"/>
        <v/>
      </c>
      <c r="AZ75" s="97" t="str">
        <f>IF($A75="","",IFERROR(INDEX('Make Factors'!$G$5:$G$69,MATCH($F75,'Make Factors'!$B$5:$B$69,0)),"?"))</f>
        <v/>
      </c>
      <c r="BA75" s="97" t="str">
        <f>IF($A75="","",IFERROR(INDEX('Driver Factors'!$C$6:$C$15,MATCH($R75,'Driver Factors'!$B$6:$B$15,0)),"?"))</f>
        <v/>
      </c>
      <c r="BB75" s="97" t="str">
        <f>IF($A75="","",IFERROR(INDEX('Driver Factors'!$C$19:$C$24,MATCH($S75,'Driver Factors'!$B$19:$B$24,0)),"?"))</f>
        <v/>
      </c>
      <c r="BC75" s="97" t="str">
        <f>IF($A75="","",IFERROR(INDEX('Driver Factors'!$C$28:$C$36,MATCH($T75,'Driver Factors'!$B$28:$B$36,0)),"?"))</f>
        <v/>
      </c>
      <c r="BD75" s="97" t="str">
        <f>IF($A75="","",IFERROR(INDEX('Claims History'!$C$6:$C$15,MATCH($U75,'Claims History'!$B$6:$B$15,0)),"?"))</f>
        <v/>
      </c>
      <c r="BE75" s="97" t="str">
        <f>IF($A75="","",IFERROR(INDEX('Territory Factors'!$E$6:$E$56,MATCH($K75,'Territory Factors'!$B$6:$B$56,0)),"?"))</f>
        <v/>
      </c>
      <c r="BF75" s="97" t="str">
        <f>IF($A75="","",IFERROR(INDEX('City Accident Ratings'!$G$6:$G$54,MATCH($Z75,'City Accident Ratings'!$B$6:$B$54,0)),"?"))</f>
        <v/>
      </c>
      <c r="BG75" s="97" t="str">
        <f>IF($A75="","",IFERROR(INDEX('Usage and Coverage'!$D$6:$D$20,MATCH($N75,'Usage and Coverage'!$C$6:$C$20,0)),"?"))</f>
        <v/>
      </c>
      <c r="BH75" s="97" t="str">
        <f>IF($A75="","",IFERROR(INDEX('Usage and Coverage'!$C$24:$C$30,MATCH($O75,'Usage and Coverage'!$B$24:$B$30,0)),"?"))</f>
        <v/>
      </c>
      <c r="BI75" s="97" t="str">
        <f>IF($A75="","",IFERROR(INDEX('Usage and Coverage'!$C$34:$C$40,MATCH($P75,'Usage and Coverage'!$B$34:$B$40,0)),"?"))</f>
        <v/>
      </c>
      <c r="BJ75" s="97" t="str">
        <f>IF($A75="","",IFERROR(INDEX('Usage and Coverage'!$C$44:$C$49,MATCH($Q75,'Usage and Coverage'!$B$44:$B$49,0)),"?"))</f>
        <v/>
      </c>
      <c r="BK75" s="97" t="str">
        <f>IF($A75="","",IFERROR(INDEX(Deductibles!$C$6:$I$15,MATCH($W75,Deductibles!$B$6:$B$15,0),MATCH(MAX($J75,'Technical Premium'!$C$18),'Base Rates'!$C$3:$I$3,1)),"?"))</f>
        <v/>
      </c>
      <c r="BL75" s="97" t="str">
        <f>IF($A75="","",IFERROR(INDEX('Usage and Coverage'!$C$63:$C$66,MATCH($X75,'Usage and Coverage'!$B$63:$B$66,0)),"?"))</f>
        <v/>
      </c>
      <c r="BM75" s="97" t="str">
        <f>IF($A75="","",IFERROR(INDEX('Usage and Coverage'!$C$70:$C$75,MATCH($V75,'Usage and Coverage'!$B$70:$B$75,0)),"?"))</f>
        <v/>
      </c>
      <c r="BN75" s="97" t="str">
        <f>IF($A75="","",IF($AB75="",1,IFERROR(INDEX(Deductibles!$C$48:$C$51,MATCH($AB75,Deductibles!$B$48:$B$51,0)),"?")))</f>
        <v/>
      </c>
      <c r="BO75" s="97" t="str">
        <f>IF($A75="","",IF($AC75="",1,IFERROR(INDEX(Deductibles!$C$55:$C$57,MATCH($AC75,Deductibles!$B$55:$B$57,0)),"?")))</f>
        <v/>
      </c>
      <c r="BP75" s="97" t="str">
        <f>IF($A75="","",IF($AD75="",1,IFERROR(INDEX(Deductibles!$C$61:$C$63,MATCH($AD75,Deductibles!$B$61:$B$63,0)),"?")))</f>
        <v/>
      </c>
      <c r="BQ75" s="97" t="str">
        <f>IF($A75="","",IF($AE75="",1,IFERROR(INDEX(Deductibles!$C$67:$C$69,MATCH($AE75,Deductibles!$B$67:$B$69,0)),"?")))</f>
        <v/>
      </c>
      <c r="BR75" s="97" t="str">
        <f>IF($A75="","",IF($AF75="",1,IFERROR(INDEX(Deductibles!$C$73:$C$74,MATCH($AF75,Deductibles!$B$73:$B$74,0)),"?")))</f>
        <v/>
      </c>
      <c r="BS75" s="97" t="str">
        <f>IF($A75="","",IF($AG75="",1,IFERROR(INDEX('Sublimits and Parts'!$C$49:$C$52,MATCH($AG75,'Sublimits and Parts'!$B$49:$B$52,0)),"?")))</f>
        <v/>
      </c>
      <c r="BT75" s="97" t="str">
        <f>IF($A75="","",IF($AH75="",1,IFERROR(INDEX('Sublimits and Parts'!$C$56:$C$60,MATCH($AH75,'Sublimits and Parts'!$B$56:$B$60,0)),"?")))</f>
        <v/>
      </c>
      <c r="BU75" s="97" t="str">
        <f>IF($A75="","",IF($AI75="",1,IFERROR(INDEX('Sublimits and Parts'!$C$64:$C$67,MATCH($AI75,'Sublimits and Parts'!$B$64:$B$67,0)),"?")))</f>
        <v/>
      </c>
      <c r="BV75" s="97" t="str">
        <f>IF($A75="","",IF($AJ75="",1,IFERROR(INDEX('Sublimits and Parts'!$C$71:$C$74,MATCH($AJ75,'Sublimits and Parts'!$B$71:$B$74,0)),"?")))</f>
        <v/>
      </c>
      <c r="BW75" s="97" t="str">
        <f>IF($A75="","",IF($AK75="",1,IFERROR(INDEX('Sublimits and Parts'!$C$78:$C$80,MATCH($AK75,'Sublimits and Parts'!$B$78:$B$80,0)),"?")))</f>
        <v/>
      </c>
      <c r="BX75" s="97" t="str">
        <f>IF($A75="","",IF($AL75="",1,IFERROR(INDEX('Sublimits and Parts'!$C$84:$C$87,MATCH($AL75,'Sublimits and Parts'!$B$84:$B$87,0)),"?")))</f>
        <v/>
      </c>
      <c r="BY75" s="97" t="str">
        <f>IF($A75="","",IF($AM75="",1,IFERROR(INDEX('Sublimits and Parts'!$C$91:$C$94,MATCH($AM75,'Sublimits and Parts'!$B$91:$B$94,0)),"?")))</f>
        <v/>
      </c>
      <c r="BZ75" s="97" t="str">
        <f>IF($A75="","",IF($AN75="",1,IFERROR(INDEX('Sublimits and Parts'!$C$98:$C$101,MATCH($AN75,'Sublimits and Parts'!$B$98:$B$101,0)),"?")))</f>
        <v/>
      </c>
      <c r="CA75" s="97" t="str">
        <f>IF($A75="","",IF($AO75="",1,IFERROR(INDEX('Sublimits and Parts'!$C$105:$C$109,MATCH($AO75,'Sublimits and Parts'!$B$105:$B$109,0)),"?")))</f>
        <v/>
      </c>
      <c r="CB75" s="98" t="str">
        <f t="shared" si="15"/>
        <v/>
      </c>
      <c r="CC75" s="98" t="str">
        <f t="shared" si="16"/>
        <v/>
      </c>
      <c r="CD75" s="101" t="str">
        <f>IF($A75="","",IF(OR($CB75="?",$CC75="?"),"?",MIN($CB75*$CC75,'Technical Premium'!$C$17)))</f>
        <v/>
      </c>
      <c r="CE75" s="100" t="str">
        <f t="shared" si="17"/>
        <v/>
      </c>
      <c r="CF75" s="100" t="str">
        <f>IF($A75="","",IFERROR(INDEX('Territory Factors'!$F$6:$F$56,MATCH($K75,'Territory Factors'!$B$6:$B$56,0)),"?"))</f>
        <v/>
      </c>
      <c r="CG75" s="98" t="str">
        <f>IF($A75="","",IFERROR(INDEX('Usage and Coverage'!$C$79:$C$84,MATCH($Y75,'Usage and Coverage'!$B$79:$B$84,0)),"?"))</f>
        <v/>
      </c>
      <c r="CH75" s="100" t="str">
        <f>IFERROR(IF(ISNUMBER($CD75),$CF75*$CG75*MIN($BG75*$BA75*$BC75*$BD75*$BH75*$BF75,'Technical Premium'!$C$17),""),"")</f>
        <v/>
      </c>
      <c r="CI75" s="100" t="str">
        <f t="shared" si="18"/>
        <v/>
      </c>
      <c r="CJ75" s="100" t="str">
        <f>IFERROR($CI75*(1+'Technical Premium'!$C$5)*(1+'Technical Premium'!$C$6),"")</f>
        <v/>
      </c>
      <c r="CK75" s="100" t="str">
        <f>IFERROR($CE75*INDEX('Territory Factors'!$G$6:$G$56,MATCH($K75,'Territory Factors'!$B$6:$B$56,0))*$AU75*$AV75,"")</f>
        <v/>
      </c>
      <c r="CL75" s="100" t="str">
        <f>IFERROR(($CJ75+$CK75)*(1+'Technical Premium'!$C$7),"")</f>
        <v/>
      </c>
      <c r="CM75" s="102" t="str">
        <f>IFERROR($CL75/'Technical Premium'!$C$13,"")</f>
        <v/>
      </c>
      <c r="CN75" s="103" t="str">
        <f t="shared" si="19"/>
        <v/>
      </c>
      <c r="CO75" s="102" t="str">
        <f t="shared" si="20"/>
        <v/>
      </c>
      <c r="CP75" s="103" t="str">
        <f t="shared" si="21"/>
        <v/>
      </c>
      <c r="CQ75" s="104" t="str">
        <f t="shared" si="22"/>
        <v/>
      </c>
      <c r="CR75" s="100" t="str">
        <f>IF(ISNUMBER($CM75),'Technical Premium'!$C$14+IF($J75&gt;=1000000,'Technical Premium'!$C$15,0),"")</f>
        <v/>
      </c>
      <c r="CS75" s="100" t="str">
        <f>IFERROR(($CO75+$CR75)*(INDEX('Territory Factors'!$K$6:$K$56,MATCH($K75,'Territory Factors'!$B$6:$B$56,0))+'Commission Structure'!$C$21),"")</f>
        <v/>
      </c>
      <c r="CT75" s="102" t="str">
        <f t="shared" si="23"/>
        <v/>
      </c>
      <c r="CU75" s="100" t="str">
        <f>IFERROR($CO75*('Commission Structure'!$C$6+'Commission Structure'!$C$7),"")</f>
        <v/>
      </c>
      <c r="CV75" s="100" t="str">
        <f>IFERROR($CO75*'Commission Structure'!$C$5-$CU75,"")</f>
        <v/>
      </c>
      <c r="CW75" s="100" t="str">
        <f>IFERROR($CO75*(1-'Commission Structure'!$C$5),"")</f>
        <v/>
      </c>
      <c r="CX75" s="105" t="str">
        <f>IF($A75="","",IF(OR($CB75="?",$CC75="?",NOT(ISNUMBER($AU75))),"CHECK INPUTS",IF(OR($J75&lt;'Technical Premium'!$C$18,LEFT(IFERROR(INDEX('Driver Factors'!$D$6:$D$15,MATCH($R75,'Driver Factors'!$B$6:$B$15,0)),""),7)="DECLINE",LEFT(IFERROR(INDEX('Driver Factors'!$D$28:$D$36,MATCH($T75,'Driver Factors'!$B$28:$B$36,0)),""),7)="DECLINE",LEFT(IFERROR(INDEX('Claims History'!$D$6:$D$15,MATCH($U75,'Claims History'!$B$6:$B$15,0)),""),7)="DECLINE",LEFT(IFERROR(INDEX('Usage and Coverage'!$E$6:$E$20,MATCH($N75,'Usage and Coverage'!$C$6:$C$20,0)),""),7)="DECLINE"),"DECLINE",IF(OR($CD75&gt;2.5,$CD75&gt;='Technical Premium'!$C$17,$J75&gt;='Technical Premium'!$C$16,N($AQ75)&lt;'Technical Premium'!$C$19,N($AQ75)&gt;'Technical Premium'!$C$20,LEFT(IFERROR(INDEX('Driver Factors'!$D$6:$D$15,MATCH($R75,'Driver Factors'!$B$6:$B$15,0)),""),5)="Refer",LEFT(IFERROR(INDEX('Driver Factors'!$D$28:$D$36,MATCH($T75,'Driver Factors'!$B$28:$B$36,0)),""),5)="Refer",LEFT(IFERROR(INDEX('Claims History'!$D$6:$D$15,MATCH($U75,'Claims History'!$B$6:$B$15,0)),""),5)="Refer",LEFT(IFERROR(INDEX('Usage and Coverage'!$E$6:$E$20,MATCH($N75,'Usage and Coverage'!$C$6:$C$20,0)),""),5)="Refer"),"REFER","AUTO-BIND"))))</f>
        <v/>
      </c>
      <c r="CY75" s="106" t="str">
        <f t="shared" si="24"/>
        <v/>
      </c>
      <c r="CZ75" s="97" t="str">
        <f>IF($CY75="","",IF($CY75&lt;'Technical Premium'!$C$19,"BEYOND AUTHORITY",IF($CY75&gt;0.005,"Above technical",IF($CY75&lt;-0.005,"BELOW technical","At technical"))))</f>
        <v/>
      </c>
      <c r="DA75" s="97" t="str">
        <f>IF($A75="","",IF($CX75="AUTO-BIND","",TRIM(IF($J75&lt;'Technical Premium'!$C$18,"Below programme minimum agreed value. ","")&amp;IF(N($AQ75)&lt;'Technical Premium'!$C$19,"DISCOUNT AUTHORITY BREACH. ","")&amp;IF(N($AQ75)&gt;'Technical Premium'!$C$20,"Load authority breach. ","")&amp;IF($J75&gt;='Technical Premium'!$C$16,"Agreed value at or above auto-bind limit. ","")&amp;IF(AND(ISNUMBER($CD75),$CD75&gt;='Technical Premium'!$C$17),"Composite factor at cap. ","")&amp;IF(AND(ISNUMBER($CD75),$CD75&gt;2.5),"Composite factor above 2.50. ","")&amp;IF(LEFT(IFERROR(INDEX('Driver Factors'!$D$6:$D$15,MATCH($R75,'Driver Factors'!$B$6:$B$15,0)),""),7)="DECLINE","DECLINE - driver age. ",IF(LEFT(IFERROR(INDEX('Driver Factors'!$D$6:$D$15,MATCH($R75,'Driver Factors'!$B$6:$B$15,0)),""),5)="Refer","Driver age band. ",""))&amp;IF(LEFT(IFERROR(INDEX('Driver Factors'!$D$28:$D$36,MATCH($T75,'Driver Factors'!$B$28:$B$36,0)),""),7)="DECLINE","DECLINE - MVR. ",IF(LEFT(IFERROR(INDEX('Driver Factors'!$D$28:$D$36,MATCH($T75,'Driver Factors'!$B$28:$B$36,0)),""),5)="Refer","MVR record. ",""))&amp;IF(LEFT(IFERROR(INDEX('Claims History'!$D$6:$D$15,MATCH($U75,'Claims History'!$B$6:$B$15,0)),""),7)="DECLINE","DECLINE - claims. ",IF(LEFT(IFERROR(INDEX('Claims History'!$D$6:$D$15,MATCH($U75,'Claims History'!$B$6:$B$15,0)),""),5)="Refer","Claims history. ",""))&amp;IF(LEFT(IFERROR(INDEX('Usage and Coverage'!$E$6:$E$20,MATCH($N75,'Usage and Coverage'!$C$6:$C$20,0)),""),7)="DECLINE","DECLINE - usage class. ",IF(LEFT(IFERROR(INDEX('Usage and Coverage'!$E$6:$E$20,MATCH($N75,'Usage and Coverage'!$C$6:$C$20,0)),""),5)="Refer","Usage class. ",""))&amp;IF($CX75="CHECK INPUTS","Incomplete inputs. ",""))))</f>
        <v/>
      </c>
      <c r="DB75" s="92"/>
      <c r="DC75" s="92"/>
      <c r="DD75" s="93"/>
      <c r="DE75" s="92"/>
      <c r="DF75" s="92"/>
      <c r="DG75" s="97" t="str">
        <f t="shared" si="25"/>
        <v/>
      </c>
      <c r="DH75" s="97" t="str">
        <f>IF($A75="","",IF(OR($CX75="REFER",$CX75="DECLINE"),COUNTIF($CX$5:$CX75,"REFER")+COUNTIF($CX$5:$CX75,"DECLINE"),""))</f>
        <v/>
      </c>
      <c r="DI75" s="92"/>
    </row>
    <row r="76" spans="1:113" x14ac:dyDescent="0.25">
      <c r="A76" s="92"/>
      <c r="B76" s="92"/>
      <c r="C76" s="93"/>
      <c r="D76" s="93"/>
      <c r="E76" s="94"/>
      <c r="F76" s="92"/>
      <c r="G76" s="92"/>
      <c r="H76" s="92"/>
      <c r="I76" s="92"/>
      <c r="J76" s="95"/>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6"/>
      <c r="AR76" s="97" t="str">
        <f t="shared" si="13"/>
        <v/>
      </c>
      <c r="AS76" s="97" t="str">
        <f>IF($A76="","",IF($AP76&lt;&gt;"",$AP76,IFERROR(INDEX('Cat Zone by ZIP'!$D$6:$D$856,MATCH($AR76,'Cat Zone by ZIP'!$B$6:$B$856,0)),IFERROR(INDEX('Cat Zone by ZIP'!$C$860:$C$910,MATCH($K76,'Cat Zone by ZIP'!$B$860:$B$910,0)),"NOT FOUND"))))</f>
        <v/>
      </c>
      <c r="AT76" s="97" t="str">
        <f>IF($A76="","",IF($AP76&lt;&gt;"","Override",IF(ISNUMBER(MATCH($AR76,'Cat Zone by ZIP'!$B$6:$B$856,0)),"ZIP-3","State default")))</f>
        <v/>
      </c>
      <c r="AU76" s="98" t="str">
        <f>IF($A76="","",IFERROR(INDEX('Natural Catastrophe'!$D$6:$D$17,MATCH($AS76,'Natural Catastrophe'!$B$6:$B$17,0)),"?"))</f>
        <v/>
      </c>
      <c r="AV76" s="98" t="str">
        <f>IF($A76="","",IFERROR(INDEX('Natural Catastrophe'!$C$21:$C$26,MATCH($AA76,'Natural Catastrophe'!$B$21:$B$26,0)),"?"))</f>
        <v/>
      </c>
      <c r="AW76" s="97" t="str">
        <f>IF($A76="","",IFERROR(INDEX('Base Rates'!$C$4:$I$4,MATCH(MAX($J76,'Technical Premium'!$C$18),'Base Rates'!$C$3:$I$3,1)),"?"))</f>
        <v/>
      </c>
      <c r="AX76" s="99" t="str">
        <f>IF($A76="","",IFERROR(INDEX('Base Rates'!$C$5:$I$16,MATCH($I76,'Base Rates'!$B$5:$B$16,0),MATCH(MAX($J76,'Technical Premium'!$C$18),'Base Rates'!$C$3:$I$3,1)),"?"))</f>
        <v/>
      </c>
      <c r="AY76" s="100" t="str">
        <f t="shared" si="14"/>
        <v/>
      </c>
      <c r="AZ76" s="97" t="str">
        <f>IF($A76="","",IFERROR(INDEX('Make Factors'!$G$5:$G$69,MATCH($F76,'Make Factors'!$B$5:$B$69,0)),"?"))</f>
        <v/>
      </c>
      <c r="BA76" s="97" t="str">
        <f>IF($A76="","",IFERROR(INDEX('Driver Factors'!$C$6:$C$15,MATCH($R76,'Driver Factors'!$B$6:$B$15,0)),"?"))</f>
        <v/>
      </c>
      <c r="BB76" s="97" t="str">
        <f>IF($A76="","",IFERROR(INDEX('Driver Factors'!$C$19:$C$24,MATCH($S76,'Driver Factors'!$B$19:$B$24,0)),"?"))</f>
        <v/>
      </c>
      <c r="BC76" s="97" t="str">
        <f>IF($A76="","",IFERROR(INDEX('Driver Factors'!$C$28:$C$36,MATCH($T76,'Driver Factors'!$B$28:$B$36,0)),"?"))</f>
        <v/>
      </c>
      <c r="BD76" s="97" t="str">
        <f>IF($A76="","",IFERROR(INDEX('Claims History'!$C$6:$C$15,MATCH($U76,'Claims History'!$B$6:$B$15,0)),"?"))</f>
        <v/>
      </c>
      <c r="BE76" s="97" t="str">
        <f>IF($A76="","",IFERROR(INDEX('Territory Factors'!$E$6:$E$56,MATCH($K76,'Territory Factors'!$B$6:$B$56,0)),"?"))</f>
        <v/>
      </c>
      <c r="BF76" s="97" t="str">
        <f>IF($A76="","",IFERROR(INDEX('City Accident Ratings'!$G$6:$G$54,MATCH($Z76,'City Accident Ratings'!$B$6:$B$54,0)),"?"))</f>
        <v/>
      </c>
      <c r="BG76" s="97" t="str">
        <f>IF($A76="","",IFERROR(INDEX('Usage and Coverage'!$D$6:$D$20,MATCH($N76,'Usage and Coverage'!$C$6:$C$20,0)),"?"))</f>
        <v/>
      </c>
      <c r="BH76" s="97" t="str">
        <f>IF($A76="","",IFERROR(INDEX('Usage and Coverage'!$C$24:$C$30,MATCH($O76,'Usage and Coverage'!$B$24:$B$30,0)),"?"))</f>
        <v/>
      </c>
      <c r="BI76" s="97" t="str">
        <f>IF($A76="","",IFERROR(INDEX('Usage and Coverage'!$C$34:$C$40,MATCH($P76,'Usage and Coverage'!$B$34:$B$40,0)),"?"))</f>
        <v/>
      </c>
      <c r="BJ76" s="97" t="str">
        <f>IF($A76="","",IFERROR(INDEX('Usage and Coverage'!$C$44:$C$49,MATCH($Q76,'Usage and Coverage'!$B$44:$B$49,0)),"?"))</f>
        <v/>
      </c>
      <c r="BK76" s="97" t="str">
        <f>IF($A76="","",IFERROR(INDEX(Deductibles!$C$6:$I$15,MATCH($W76,Deductibles!$B$6:$B$15,0),MATCH(MAX($J76,'Technical Premium'!$C$18),'Base Rates'!$C$3:$I$3,1)),"?"))</f>
        <v/>
      </c>
      <c r="BL76" s="97" t="str">
        <f>IF($A76="","",IFERROR(INDEX('Usage and Coverage'!$C$63:$C$66,MATCH($X76,'Usage and Coverage'!$B$63:$B$66,0)),"?"))</f>
        <v/>
      </c>
      <c r="BM76" s="97" t="str">
        <f>IF($A76="","",IFERROR(INDEX('Usage and Coverage'!$C$70:$C$75,MATCH($V76,'Usage and Coverage'!$B$70:$B$75,0)),"?"))</f>
        <v/>
      </c>
      <c r="BN76" s="97" t="str">
        <f>IF($A76="","",IF($AB76="",1,IFERROR(INDEX(Deductibles!$C$48:$C$51,MATCH($AB76,Deductibles!$B$48:$B$51,0)),"?")))</f>
        <v/>
      </c>
      <c r="BO76" s="97" t="str">
        <f>IF($A76="","",IF($AC76="",1,IFERROR(INDEX(Deductibles!$C$55:$C$57,MATCH($AC76,Deductibles!$B$55:$B$57,0)),"?")))</f>
        <v/>
      </c>
      <c r="BP76" s="97" t="str">
        <f>IF($A76="","",IF($AD76="",1,IFERROR(INDEX(Deductibles!$C$61:$C$63,MATCH($AD76,Deductibles!$B$61:$B$63,0)),"?")))</f>
        <v/>
      </c>
      <c r="BQ76" s="97" t="str">
        <f>IF($A76="","",IF($AE76="",1,IFERROR(INDEX(Deductibles!$C$67:$C$69,MATCH($AE76,Deductibles!$B$67:$B$69,0)),"?")))</f>
        <v/>
      </c>
      <c r="BR76" s="97" t="str">
        <f>IF($A76="","",IF($AF76="",1,IFERROR(INDEX(Deductibles!$C$73:$C$74,MATCH($AF76,Deductibles!$B$73:$B$74,0)),"?")))</f>
        <v/>
      </c>
      <c r="BS76" s="97" t="str">
        <f>IF($A76="","",IF($AG76="",1,IFERROR(INDEX('Sublimits and Parts'!$C$49:$C$52,MATCH($AG76,'Sublimits and Parts'!$B$49:$B$52,0)),"?")))</f>
        <v/>
      </c>
      <c r="BT76" s="97" t="str">
        <f>IF($A76="","",IF($AH76="",1,IFERROR(INDEX('Sublimits and Parts'!$C$56:$C$60,MATCH($AH76,'Sublimits and Parts'!$B$56:$B$60,0)),"?")))</f>
        <v/>
      </c>
      <c r="BU76" s="97" t="str">
        <f>IF($A76="","",IF($AI76="",1,IFERROR(INDEX('Sublimits and Parts'!$C$64:$C$67,MATCH($AI76,'Sublimits and Parts'!$B$64:$B$67,0)),"?")))</f>
        <v/>
      </c>
      <c r="BV76" s="97" t="str">
        <f>IF($A76="","",IF($AJ76="",1,IFERROR(INDEX('Sublimits and Parts'!$C$71:$C$74,MATCH($AJ76,'Sublimits and Parts'!$B$71:$B$74,0)),"?")))</f>
        <v/>
      </c>
      <c r="BW76" s="97" t="str">
        <f>IF($A76="","",IF($AK76="",1,IFERROR(INDEX('Sublimits and Parts'!$C$78:$C$80,MATCH($AK76,'Sublimits and Parts'!$B$78:$B$80,0)),"?")))</f>
        <v/>
      </c>
      <c r="BX76" s="97" t="str">
        <f>IF($A76="","",IF($AL76="",1,IFERROR(INDEX('Sublimits and Parts'!$C$84:$C$87,MATCH($AL76,'Sublimits and Parts'!$B$84:$B$87,0)),"?")))</f>
        <v/>
      </c>
      <c r="BY76" s="97" t="str">
        <f>IF($A76="","",IF($AM76="",1,IFERROR(INDEX('Sublimits and Parts'!$C$91:$C$94,MATCH($AM76,'Sublimits and Parts'!$B$91:$B$94,0)),"?")))</f>
        <v/>
      </c>
      <c r="BZ76" s="97" t="str">
        <f>IF($A76="","",IF($AN76="",1,IFERROR(INDEX('Sublimits and Parts'!$C$98:$C$101,MATCH($AN76,'Sublimits and Parts'!$B$98:$B$101,0)),"?")))</f>
        <v/>
      </c>
      <c r="CA76" s="97" t="str">
        <f>IF($A76="","",IF($AO76="",1,IFERROR(INDEX('Sublimits and Parts'!$C$105:$C$109,MATCH($AO76,'Sublimits and Parts'!$B$105:$B$109,0)),"?")))</f>
        <v/>
      </c>
      <c r="CB76" s="98" t="str">
        <f t="shared" si="15"/>
        <v/>
      </c>
      <c r="CC76" s="98" t="str">
        <f t="shared" si="16"/>
        <v/>
      </c>
      <c r="CD76" s="101" t="str">
        <f>IF($A76="","",IF(OR($CB76="?",$CC76="?"),"?",MIN($CB76*$CC76,'Technical Premium'!$C$17)))</f>
        <v/>
      </c>
      <c r="CE76" s="100" t="str">
        <f t="shared" si="17"/>
        <v/>
      </c>
      <c r="CF76" s="100" t="str">
        <f>IF($A76="","",IFERROR(INDEX('Territory Factors'!$F$6:$F$56,MATCH($K76,'Territory Factors'!$B$6:$B$56,0)),"?"))</f>
        <v/>
      </c>
      <c r="CG76" s="98" t="str">
        <f>IF($A76="","",IFERROR(INDEX('Usage and Coverage'!$C$79:$C$84,MATCH($Y76,'Usage and Coverage'!$B$79:$B$84,0)),"?"))</f>
        <v/>
      </c>
      <c r="CH76" s="100" t="str">
        <f>IFERROR(IF(ISNUMBER($CD76),$CF76*$CG76*MIN($BG76*$BA76*$BC76*$BD76*$BH76*$BF76,'Technical Premium'!$C$17),""),"")</f>
        <v/>
      </c>
      <c r="CI76" s="100" t="str">
        <f t="shared" si="18"/>
        <v/>
      </c>
      <c r="CJ76" s="100" t="str">
        <f>IFERROR($CI76*(1+'Technical Premium'!$C$5)*(1+'Technical Premium'!$C$6),"")</f>
        <v/>
      </c>
      <c r="CK76" s="100" t="str">
        <f>IFERROR($CE76*INDEX('Territory Factors'!$G$6:$G$56,MATCH($K76,'Territory Factors'!$B$6:$B$56,0))*$AU76*$AV76,"")</f>
        <v/>
      </c>
      <c r="CL76" s="100" t="str">
        <f>IFERROR(($CJ76+$CK76)*(1+'Technical Premium'!$C$7),"")</f>
        <v/>
      </c>
      <c r="CM76" s="102" t="str">
        <f>IFERROR($CL76/'Technical Premium'!$C$13,"")</f>
        <v/>
      </c>
      <c r="CN76" s="103" t="str">
        <f t="shared" si="19"/>
        <v/>
      </c>
      <c r="CO76" s="102" t="str">
        <f t="shared" si="20"/>
        <v/>
      </c>
      <c r="CP76" s="103" t="str">
        <f t="shared" si="21"/>
        <v/>
      </c>
      <c r="CQ76" s="104" t="str">
        <f t="shared" si="22"/>
        <v/>
      </c>
      <c r="CR76" s="100" t="str">
        <f>IF(ISNUMBER($CM76),'Technical Premium'!$C$14+IF($J76&gt;=1000000,'Technical Premium'!$C$15,0),"")</f>
        <v/>
      </c>
      <c r="CS76" s="100" t="str">
        <f>IFERROR(($CO76+$CR76)*(INDEX('Territory Factors'!$K$6:$K$56,MATCH($K76,'Territory Factors'!$B$6:$B$56,0))+'Commission Structure'!$C$21),"")</f>
        <v/>
      </c>
      <c r="CT76" s="102" t="str">
        <f t="shared" si="23"/>
        <v/>
      </c>
      <c r="CU76" s="100" t="str">
        <f>IFERROR($CO76*('Commission Structure'!$C$6+'Commission Structure'!$C$7),"")</f>
        <v/>
      </c>
      <c r="CV76" s="100" t="str">
        <f>IFERROR($CO76*'Commission Structure'!$C$5-$CU76,"")</f>
        <v/>
      </c>
      <c r="CW76" s="100" t="str">
        <f>IFERROR($CO76*(1-'Commission Structure'!$C$5),"")</f>
        <v/>
      </c>
      <c r="CX76" s="105" t="str">
        <f>IF($A76="","",IF(OR($CB76="?",$CC76="?",NOT(ISNUMBER($AU76))),"CHECK INPUTS",IF(OR($J76&lt;'Technical Premium'!$C$18,LEFT(IFERROR(INDEX('Driver Factors'!$D$6:$D$15,MATCH($R76,'Driver Factors'!$B$6:$B$15,0)),""),7)="DECLINE",LEFT(IFERROR(INDEX('Driver Factors'!$D$28:$D$36,MATCH($T76,'Driver Factors'!$B$28:$B$36,0)),""),7)="DECLINE",LEFT(IFERROR(INDEX('Claims History'!$D$6:$D$15,MATCH($U76,'Claims History'!$B$6:$B$15,0)),""),7)="DECLINE",LEFT(IFERROR(INDEX('Usage and Coverage'!$E$6:$E$20,MATCH($N76,'Usage and Coverage'!$C$6:$C$20,0)),""),7)="DECLINE"),"DECLINE",IF(OR($CD76&gt;2.5,$CD76&gt;='Technical Premium'!$C$17,$J76&gt;='Technical Premium'!$C$16,N($AQ76)&lt;'Technical Premium'!$C$19,N($AQ76)&gt;'Technical Premium'!$C$20,LEFT(IFERROR(INDEX('Driver Factors'!$D$6:$D$15,MATCH($R76,'Driver Factors'!$B$6:$B$15,0)),""),5)="Refer",LEFT(IFERROR(INDEX('Driver Factors'!$D$28:$D$36,MATCH($T76,'Driver Factors'!$B$28:$B$36,0)),""),5)="Refer",LEFT(IFERROR(INDEX('Claims History'!$D$6:$D$15,MATCH($U76,'Claims History'!$B$6:$B$15,0)),""),5)="Refer",LEFT(IFERROR(INDEX('Usage and Coverage'!$E$6:$E$20,MATCH($N76,'Usage and Coverage'!$C$6:$C$20,0)),""),5)="Refer"),"REFER","AUTO-BIND"))))</f>
        <v/>
      </c>
      <c r="CY76" s="106" t="str">
        <f t="shared" si="24"/>
        <v/>
      </c>
      <c r="CZ76" s="97" t="str">
        <f>IF($CY76="","",IF($CY76&lt;'Technical Premium'!$C$19,"BEYOND AUTHORITY",IF($CY76&gt;0.005,"Above technical",IF($CY76&lt;-0.005,"BELOW technical","At technical"))))</f>
        <v/>
      </c>
      <c r="DA76" s="97" t="str">
        <f>IF($A76="","",IF($CX76="AUTO-BIND","",TRIM(IF($J76&lt;'Technical Premium'!$C$18,"Below programme minimum agreed value. ","")&amp;IF(N($AQ76)&lt;'Technical Premium'!$C$19,"DISCOUNT AUTHORITY BREACH. ","")&amp;IF(N($AQ76)&gt;'Technical Premium'!$C$20,"Load authority breach. ","")&amp;IF($J76&gt;='Technical Premium'!$C$16,"Agreed value at or above auto-bind limit. ","")&amp;IF(AND(ISNUMBER($CD76),$CD76&gt;='Technical Premium'!$C$17),"Composite factor at cap. ","")&amp;IF(AND(ISNUMBER($CD76),$CD76&gt;2.5),"Composite factor above 2.50. ","")&amp;IF(LEFT(IFERROR(INDEX('Driver Factors'!$D$6:$D$15,MATCH($R76,'Driver Factors'!$B$6:$B$15,0)),""),7)="DECLINE","DECLINE - driver age. ",IF(LEFT(IFERROR(INDEX('Driver Factors'!$D$6:$D$15,MATCH($R76,'Driver Factors'!$B$6:$B$15,0)),""),5)="Refer","Driver age band. ",""))&amp;IF(LEFT(IFERROR(INDEX('Driver Factors'!$D$28:$D$36,MATCH($T76,'Driver Factors'!$B$28:$B$36,0)),""),7)="DECLINE","DECLINE - MVR. ",IF(LEFT(IFERROR(INDEX('Driver Factors'!$D$28:$D$36,MATCH($T76,'Driver Factors'!$B$28:$B$36,0)),""),5)="Refer","MVR record. ",""))&amp;IF(LEFT(IFERROR(INDEX('Claims History'!$D$6:$D$15,MATCH($U76,'Claims History'!$B$6:$B$15,0)),""),7)="DECLINE","DECLINE - claims. ",IF(LEFT(IFERROR(INDEX('Claims History'!$D$6:$D$15,MATCH($U76,'Claims History'!$B$6:$B$15,0)),""),5)="Refer","Claims history. ",""))&amp;IF(LEFT(IFERROR(INDEX('Usage and Coverage'!$E$6:$E$20,MATCH($N76,'Usage and Coverage'!$C$6:$C$20,0)),""),7)="DECLINE","DECLINE - usage class. ",IF(LEFT(IFERROR(INDEX('Usage and Coverage'!$E$6:$E$20,MATCH($N76,'Usage and Coverage'!$C$6:$C$20,0)),""),5)="Refer","Usage class. ",""))&amp;IF($CX76="CHECK INPUTS","Incomplete inputs. ",""))))</f>
        <v/>
      </c>
      <c r="DB76" s="92"/>
      <c r="DC76" s="92"/>
      <c r="DD76" s="93"/>
      <c r="DE76" s="92"/>
      <c r="DF76" s="92"/>
      <c r="DG76" s="97" t="str">
        <f t="shared" si="25"/>
        <v/>
      </c>
      <c r="DH76" s="97" t="str">
        <f>IF($A76="","",IF(OR($CX76="REFER",$CX76="DECLINE"),COUNTIF($CX$5:$CX76,"REFER")+COUNTIF($CX$5:$CX76,"DECLINE"),""))</f>
        <v/>
      </c>
      <c r="DI76" s="92"/>
    </row>
    <row r="77" spans="1:113" x14ac:dyDescent="0.25">
      <c r="A77" s="92"/>
      <c r="B77" s="92"/>
      <c r="C77" s="93"/>
      <c r="D77" s="93"/>
      <c r="E77" s="94"/>
      <c r="F77" s="92"/>
      <c r="G77" s="92"/>
      <c r="H77" s="92"/>
      <c r="I77" s="92"/>
      <c r="J77" s="95"/>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6"/>
      <c r="AR77" s="97" t="str">
        <f t="shared" si="13"/>
        <v/>
      </c>
      <c r="AS77" s="97" t="str">
        <f>IF($A77="","",IF($AP77&lt;&gt;"",$AP77,IFERROR(INDEX('Cat Zone by ZIP'!$D$6:$D$856,MATCH($AR77,'Cat Zone by ZIP'!$B$6:$B$856,0)),IFERROR(INDEX('Cat Zone by ZIP'!$C$860:$C$910,MATCH($K77,'Cat Zone by ZIP'!$B$860:$B$910,0)),"NOT FOUND"))))</f>
        <v/>
      </c>
      <c r="AT77" s="97" t="str">
        <f>IF($A77="","",IF($AP77&lt;&gt;"","Override",IF(ISNUMBER(MATCH($AR77,'Cat Zone by ZIP'!$B$6:$B$856,0)),"ZIP-3","State default")))</f>
        <v/>
      </c>
      <c r="AU77" s="98" t="str">
        <f>IF($A77="","",IFERROR(INDEX('Natural Catastrophe'!$D$6:$D$17,MATCH($AS77,'Natural Catastrophe'!$B$6:$B$17,0)),"?"))</f>
        <v/>
      </c>
      <c r="AV77" s="98" t="str">
        <f>IF($A77="","",IFERROR(INDEX('Natural Catastrophe'!$C$21:$C$26,MATCH($AA77,'Natural Catastrophe'!$B$21:$B$26,0)),"?"))</f>
        <v/>
      </c>
      <c r="AW77" s="97" t="str">
        <f>IF($A77="","",IFERROR(INDEX('Base Rates'!$C$4:$I$4,MATCH(MAX($J77,'Technical Premium'!$C$18),'Base Rates'!$C$3:$I$3,1)),"?"))</f>
        <v/>
      </c>
      <c r="AX77" s="99" t="str">
        <f>IF($A77="","",IFERROR(INDEX('Base Rates'!$C$5:$I$16,MATCH($I77,'Base Rates'!$B$5:$B$16,0),MATCH(MAX($J77,'Technical Premium'!$C$18),'Base Rates'!$C$3:$I$3,1)),"?"))</f>
        <v/>
      </c>
      <c r="AY77" s="100" t="str">
        <f t="shared" si="14"/>
        <v/>
      </c>
      <c r="AZ77" s="97" t="str">
        <f>IF($A77="","",IFERROR(INDEX('Make Factors'!$G$5:$G$69,MATCH($F77,'Make Factors'!$B$5:$B$69,0)),"?"))</f>
        <v/>
      </c>
      <c r="BA77" s="97" t="str">
        <f>IF($A77="","",IFERROR(INDEX('Driver Factors'!$C$6:$C$15,MATCH($R77,'Driver Factors'!$B$6:$B$15,0)),"?"))</f>
        <v/>
      </c>
      <c r="BB77" s="97" t="str">
        <f>IF($A77="","",IFERROR(INDEX('Driver Factors'!$C$19:$C$24,MATCH($S77,'Driver Factors'!$B$19:$B$24,0)),"?"))</f>
        <v/>
      </c>
      <c r="BC77" s="97" t="str">
        <f>IF($A77="","",IFERROR(INDEX('Driver Factors'!$C$28:$C$36,MATCH($T77,'Driver Factors'!$B$28:$B$36,0)),"?"))</f>
        <v/>
      </c>
      <c r="BD77" s="97" t="str">
        <f>IF($A77="","",IFERROR(INDEX('Claims History'!$C$6:$C$15,MATCH($U77,'Claims History'!$B$6:$B$15,0)),"?"))</f>
        <v/>
      </c>
      <c r="BE77" s="97" t="str">
        <f>IF($A77="","",IFERROR(INDEX('Territory Factors'!$E$6:$E$56,MATCH($K77,'Territory Factors'!$B$6:$B$56,0)),"?"))</f>
        <v/>
      </c>
      <c r="BF77" s="97" t="str">
        <f>IF($A77="","",IFERROR(INDEX('City Accident Ratings'!$G$6:$G$54,MATCH($Z77,'City Accident Ratings'!$B$6:$B$54,0)),"?"))</f>
        <v/>
      </c>
      <c r="BG77" s="97" t="str">
        <f>IF($A77="","",IFERROR(INDEX('Usage and Coverage'!$D$6:$D$20,MATCH($N77,'Usage and Coverage'!$C$6:$C$20,0)),"?"))</f>
        <v/>
      </c>
      <c r="BH77" s="97" t="str">
        <f>IF($A77="","",IFERROR(INDEX('Usage and Coverage'!$C$24:$C$30,MATCH($O77,'Usage and Coverage'!$B$24:$B$30,0)),"?"))</f>
        <v/>
      </c>
      <c r="BI77" s="97" t="str">
        <f>IF($A77="","",IFERROR(INDEX('Usage and Coverage'!$C$34:$C$40,MATCH($P77,'Usage and Coverage'!$B$34:$B$40,0)),"?"))</f>
        <v/>
      </c>
      <c r="BJ77" s="97" t="str">
        <f>IF($A77="","",IFERROR(INDEX('Usage and Coverage'!$C$44:$C$49,MATCH($Q77,'Usage and Coverage'!$B$44:$B$49,0)),"?"))</f>
        <v/>
      </c>
      <c r="BK77" s="97" t="str">
        <f>IF($A77="","",IFERROR(INDEX(Deductibles!$C$6:$I$15,MATCH($W77,Deductibles!$B$6:$B$15,0),MATCH(MAX($J77,'Technical Premium'!$C$18),'Base Rates'!$C$3:$I$3,1)),"?"))</f>
        <v/>
      </c>
      <c r="BL77" s="97" t="str">
        <f>IF($A77="","",IFERROR(INDEX('Usage and Coverage'!$C$63:$C$66,MATCH($X77,'Usage and Coverage'!$B$63:$B$66,0)),"?"))</f>
        <v/>
      </c>
      <c r="BM77" s="97" t="str">
        <f>IF($A77="","",IFERROR(INDEX('Usage and Coverage'!$C$70:$C$75,MATCH($V77,'Usage and Coverage'!$B$70:$B$75,0)),"?"))</f>
        <v/>
      </c>
      <c r="BN77" s="97" t="str">
        <f>IF($A77="","",IF($AB77="",1,IFERROR(INDEX(Deductibles!$C$48:$C$51,MATCH($AB77,Deductibles!$B$48:$B$51,0)),"?")))</f>
        <v/>
      </c>
      <c r="BO77" s="97" t="str">
        <f>IF($A77="","",IF($AC77="",1,IFERROR(INDEX(Deductibles!$C$55:$C$57,MATCH($AC77,Deductibles!$B$55:$B$57,0)),"?")))</f>
        <v/>
      </c>
      <c r="BP77" s="97" t="str">
        <f>IF($A77="","",IF($AD77="",1,IFERROR(INDEX(Deductibles!$C$61:$C$63,MATCH($AD77,Deductibles!$B$61:$B$63,0)),"?")))</f>
        <v/>
      </c>
      <c r="BQ77" s="97" t="str">
        <f>IF($A77="","",IF($AE77="",1,IFERROR(INDEX(Deductibles!$C$67:$C$69,MATCH($AE77,Deductibles!$B$67:$B$69,0)),"?")))</f>
        <v/>
      </c>
      <c r="BR77" s="97" t="str">
        <f>IF($A77="","",IF($AF77="",1,IFERROR(INDEX(Deductibles!$C$73:$C$74,MATCH($AF77,Deductibles!$B$73:$B$74,0)),"?")))</f>
        <v/>
      </c>
      <c r="BS77" s="97" t="str">
        <f>IF($A77="","",IF($AG77="",1,IFERROR(INDEX('Sublimits and Parts'!$C$49:$C$52,MATCH($AG77,'Sublimits and Parts'!$B$49:$B$52,0)),"?")))</f>
        <v/>
      </c>
      <c r="BT77" s="97" t="str">
        <f>IF($A77="","",IF($AH77="",1,IFERROR(INDEX('Sublimits and Parts'!$C$56:$C$60,MATCH($AH77,'Sublimits and Parts'!$B$56:$B$60,0)),"?")))</f>
        <v/>
      </c>
      <c r="BU77" s="97" t="str">
        <f>IF($A77="","",IF($AI77="",1,IFERROR(INDEX('Sublimits and Parts'!$C$64:$C$67,MATCH($AI77,'Sublimits and Parts'!$B$64:$B$67,0)),"?")))</f>
        <v/>
      </c>
      <c r="BV77" s="97" t="str">
        <f>IF($A77="","",IF($AJ77="",1,IFERROR(INDEX('Sublimits and Parts'!$C$71:$C$74,MATCH($AJ77,'Sublimits and Parts'!$B$71:$B$74,0)),"?")))</f>
        <v/>
      </c>
      <c r="BW77" s="97" t="str">
        <f>IF($A77="","",IF($AK77="",1,IFERROR(INDEX('Sublimits and Parts'!$C$78:$C$80,MATCH($AK77,'Sublimits and Parts'!$B$78:$B$80,0)),"?")))</f>
        <v/>
      </c>
      <c r="BX77" s="97" t="str">
        <f>IF($A77="","",IF($AL77="",1,IFERROR(INDEX('Sublimits and Parts'!$C$84:$C$87,MATCH($AL77,'Sublimits and Parts'!$B$84:$B$87,0)),"?")))</f>
        <v/>
      </c>
      <c r="BY77" s="97" t="str">
        <f>IF($A77="","",IF($AM77="",1,IFERROR(INDEX('Sublimits and Parts'!$C$91:$C$94,MATCH($AM77,'Sublimits and Parts'!$B$91:$B$94,0)),"?")))</f>
        <v/>
      </c>
      <c r="BZ77" s="97" t="str">
        <f>IF($A77="","",IF($AN77="",1,IFERROR(INDEX('Sublimits and Parts'!$C$98:$C$101,MATCH($AN77,'Sublimits and Parts'!$B$98:$B$101,0)),"?")))</f>
        <v/>
      </c>
      <c r="CA77" s="97" t="str">
        <f>IF($A77="","",IF($AO77="",1,IFERROR(INDEX('Sublimits and Parts'!$C$105:$C$109,MATCH($AO77,'Sublimits and Parts'!$B$105:$B$109,0)),"?")))</f>
        <v/>
      </c>
      <c r="CB77" s="98" t="str">
        <f t="shared" si="15"/>
        <v/>
      </c>
      <c r="CC77" s="98" t="str">
        <f t="shared" si="16"/>
        <v/>
      </c>
      <c r="CD77" s="101" t="str">
        <f>IF($A77="","",IF(OR($CB77="?",$CC77="?"),"?",MIN($CB77*$CC77,'Technical Premium'!$C$17)))</f>
        <v/>
      </c>
      <c r="CE77" s="100" t="str">
        <f t="shared" si="17"/>
        <v/>
      </c>
      <c r="CF77" s="100" t="str">
        <f>IF($A77="","",IFERROR(INDEX('Territory Factors'!$F$6:$F$56,MATCH($K77,'Territory Factors'!$B$6:$B$56,0)),"?"))</f>
        <v/>
      </c>
      <c r="CG77" s="98" t="str">
        <f>IF($A77="","",IFERROR(INDEX('Usage and Coverage'!$C$79:$C$84,MATCH($Y77,'Usage and Coverage'!$B$79:$B$84,0)),"?"))</f>
        <v/>
      </c>
      <c r="CH77" s="100" t="str">
        <f>IFERROR(IF(ISNUMBER($CD77),$CF77*$CG77*MIN($BG77*$BA77*$BC77*$BD77*$BH77*$BF77,'Technical Premium'!$C$17),""),"")</f>
        <v/>
      </c>
      <c r="CI77" s="100" t="str">
        <f t="shared" si="18"/>
        <v/>
      </c>
      <c r="CJ77" s="100" t="str">
        <f>IFERROR($CI77*(1+'Technical Premium'!$C$5)*(1+'Technical Premium'!$C$6),"")</f>
        <v/>
      </c>
      <c r="CK77" s="100" t="str">
        <f>IFERROR($CE77*INDEX('Territory Factors'!$G$6:$G$56,MATCH($K77,'Territory Factors'!$B$6:$B$56,0))*$AU77*$AV77,"")</f>
        <v/>
      </c>
      <c r="CL77" s="100" t="str">
        <f>IFERROR(($CJ77+$CK77)*(1+'Technical Premium'!$C$7),"")</f>
        <v/>
      </c>
      <c r="CM77" s="102" t="str">
        <f>IFERROR($CL77/'Technical Premium'!$C$13,"")</f>
        <v/>
      </c>
      <c r="CN77" s="103" t="str">
        <f t="shared" si="19"/>
        <v/>
      </c>
      <c r="CO77" s="102" t="str">
        <f t="shared" si="20"/>
        <v/>
      </c>
      <c r="CP77" s="103" t="str">
        <f t="shared" si="21"/>
        <v/>
      </c>
      <c r="CQ77" s="104" t="str">
        <f t="shared" si="22"/>
        <v/>
      </c>
      <c r="CR77" s="100" t="str">
        <f>IF(ISNUMBER($CM77),'Technical Premium'!$C$14+IF($J77&gt;=1000000,'Technical Premium'!$C$15,0),"")</f>
        <v/>
      </c>
      <c r="CS77" s="100" t="str">
        <f>IFERROR(($CO77+$CR77)*(INDEX('Territory Factors'!$K$6:$K$56,MATCH($K77,'Territory Factors'!$B$6:$B$56,0))+'Commission Structure'!$C$21),"")</f>
        <v/>
      </c>
      <c r="CT77" s="102" t="str">
        <f t="shared" si="23"/>
        <v/>
      </c>
      <c r="CU77" s="100" t="str">
        <f>IFERROR($CO77*('Commission Structure'!$C$6+'Commission Structure'!$C$7),"")</f>
        <v/>
      </c>
      <c r="CV77" s="100" t="str">
        <f>IFERROR($CO77*'Commission Structure'!$C$5-$CU77,"")</f>
        <v/>
      </c>
      <c r="CW77" s="100" t="str">
        <f>IFERROR($CO77*(1-'Commission Structure'!$C$5),"")</f>
        <v/>
      </c>
      <c r="CX77" s="105" t="str">
        <f>IF($A77="","",IF(OR($CB77="?",$CC77="?",NOT(ISNUMBER($AU77))),"CHECK INPUTS",IF(OR($J77&lt;'Technical Premium'!$C$18,LEFT(IFERROR(INDEX('Driver Factors'!$D$6:$D$15,MATCH($R77,'Driver Factors'!$B$6:$B$15,0)),""),7)="DECLINE",LEFT(IFERROR(INDEX('Driver Factors'!$D$28:$D$36,MATCH($T77,'Driver Factors'!$B$28:$B$36,0)),""),7)="DECLINE",LEFT(IFERROR(INDEX('Claims History'!$D$6:$D$15,MATCH($U77,'Claims History'!$B$6:$B$15,0)),""),7)="DECLINE",LEFT(IFERROR(INDEX('Usage and Coverage'!$E$6:$E$20,MATCH($N77,'Usage and Coverage'!$C$6:$C$20,0)),""),7)="DECLINE"),"DECLINE",IF(OR($CD77&gt;2.5,$CD77&gt;='Technical Premium'!$C$17,$J77&gt;='Technical Premium'!$C$16,N($AQ77)&lt;'Technical Premium'!$C$19,N($AQ77)&gt;'Technical Premium'!$C$20,LEFT(IFERROR(INDEX('Driver Factors'!$D$6:$D$15,MATCH($R77,'Driver Factors'!$B$6:$B$15,0)),""),5)="Refer",LEFT(IFERROR(INDEX('Driver Factors'!$D$28:$D$36,MATCH($T77,'Driver Factors'!$B$28:$B$36,0)),""),5)="Refer",LEFT(IFERROR(INDEX('Claims History'!$D$6:$D$15,MATCH($U77,'Claims History'!$B$6:$B$15,0)),""),5)="Refer",LEFT(IFERROR(INDEX('Usage and Coverage'!$E$6:$E$20,MATCH($N77,'Usage and Coverage'!$C$6:$C$20,0)),""),5)="Refer"),"REFER","AUTO-BIND"))))</f>
        <v/>
      </c>
      <c r="CY77" s="106" t="str">
        <f t="shared" si="24"/>
        <v/>
      </c>
      <c r="CZ77" s="97" t="str">
        <f>IF($CY77="","",IF($CY77&lt;'Technical Premium'!$C$19,"BEYOND AUTHORITY",IF($CY77&gt;0.005,"Above technical",IF($CY77&lt;-0.005,"BELOW technical","At technical"))))</f>
        <v/>
      </c>
      <c r="DA77" s="97" t="str">
        <f>IF($A77="","",IF($CX77="AUTO-BIND","",TRIM(IF($J77&lt;'Technical Premium'!$C$18,"Below programme minimum agreed value. ","")&amp;IF(N($AQ77)&lt;'Technical Premium'!$C$19,"DISCOUNT AUTHORITY BREACH. ","")&amp;IF(N($AQ77)&gt;'Technical Premium'!$C$20,"Load authority breach. ","")&amp;IF($J77&gt;='Technical Premium'!$C$16,"Agreed value at or above auto-bind limit. ","")&amp;IF(AND(ISNUMBER($CD77),$CD77&gt;='Technical Premium'!$C$17),"Composite factor at cap. ","")&amp;IF(AND(ISNUMBER($CD77),$CD77&gt;2.5),"Composite factor above 2.50. ","")&amp;IF(LEFT(IFERROR(INDEX('Driver Factors'!$D$6:$D$15,MATCH($R77,'Driver Factors'!$B$6:$B$15,0)),""),7)="DECLINE","DECLINE - driver age. ",IF(LEFT(IFERROR(INDEX('Driver Factors'!$D$6:$D$15,MATCH($R77,'Driver Factors'!$B$6:$B$15,0)),""),5)="Refer","Driver age band. ",""))&amp;IF(LEFT(IFERROR(INDEX('Driver Factors'!$D$28:$D$36,MATCH($T77,'Driver Factors'!$B$28:$B$36,0)),""),7)="DECLINE","DECLINE - MVR. ",IF(LEFT(IFERROR(INDEX('Driver Factors'!$D$28:$D$36,MATCH($T77,'Driver Factors'!$B$28:$B$36,0)),""),5)="Refer","MVR record. ",""))&amp;IF(LEFT(IFERROR(INDEX('Claims History'!$D$6:$D$15,MATCH($U77,'Claims History'!$B$6:$B$15,0)),""),7)="DECLINE","DECLINE - claims. ",IF(LEFT(IFERROR(INDEX('Claims History'!$D$6:$D$15,MATCH($U77,'Claims History'!$B$6:$B$15,0)),""),5)="Refer","Claims history. ",""))&amp;IF(LEFT(IFERROR(INDEX('Usage and Coverage'!$E$6:$E$20,MATCH($N77,'Usage and Coverage'!$C$6:$C$20,0)),""),7)="DECLINE","DECLINE - usage class. ",IF(LEFT(IFERROR(INDEX('Usage and Coverage'!$E$6:$E$20,MATCH($N77,'Usage and Coverage'!$C$6:$C$20,0)),""),5)="Refer","Usage class. ",""))&amp;IF($CX77="CHECK INPUTS","Incomplete inputs. ",""))))</f>
        <v/>
      </c>
      <c r="DB77" s="92"/>
      <c r="DC77" s="92"/>
      <c r="DD77" s="93"/>
      <c r="DE77" s="92"/>
      <c r="DF77" s="92"/>
      <c r="DG77" s="97" t="str">
        <f t="shared" si="25"/>
        <v/>
      </c>
      <c r="DH77" s="97" t="str">
        <f>IF($A77="","",IF(OR($CX77="REFER",$CX77="DECLINE"),COUNTIF($CX$5:$CX77,"REFER")+COUNTIF($CX$5:$CX77,"DECLINE"),""))</f>
        <v/>
      </c>
      <c r="DI77" s="92"/>
    </row>
    <row r="78" spans="1:113" x14ac:dyDescent="0.25">
      <c r="A78" s="92"/>
      <c r="B78" s="92"/>
      <c r="C78" s="93"/>
      <c r="D78" s="93"/>
      <c r="E78" s="94"/>
      <c r="F78" s="92"/>
      <c r="G78" s="92"/>
      <c r="H78" s="92"/>
      <c r="I78" s="92"/>
      <c r="J78" s="95"/>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92"/>
      <c r="AM78" s="92"/>
      <c r="AN78" s="92"/>
      <c r="AO78" s="92"/>
      <c r="AP78" s="92"/>
      <c r="AQ78" s="96"/>
      <c r="AR78" s="97" t="str">
        <f t="shared" si="13"/>
        <v/>
      </c>
      <c r="AS78" s="97" t="str">
        <f>IF($A78="","",IF($AP78&lt;&gt;"",$AP78,IFERROR(INDEX('Cat Zone by ZIP'!$D$6:$D$856,MATCH($AR78,'Cat Zone by ZIP'!$B$6:$B$856,0)),IFERROR(INDEX('Cat Zone by ZIP'!$C$860:$C$910,MATCH($K78,'Cat Zone by ZIP'!$B$860:$B$910,0)),"NOT FOUND"))))</f>
        <v/>
      </c>
      <c r="AT78" s="97" t="str">
        <f>IF($A78="","",IF($AP78&lt;&gt;"","Override",IF(ISNUMBER(MATCH($AR78,'Cat Zone by ZIP'!$B$6:$B$856,0)),"ZIP-3","State default")))</f>
        <v/>
      </c>
      <c r="AU78" s="98" t="str">
        <f>IF($A78="","",IFERROR(INDEX('Natural Catastrophe'!$D$6:$D$17,MATCH($AS78,'Natural Catastrophe'!$B$6:$B$17,0)),"?"))</f>
        <v/>
      </c>
      <c r="AV78" s="98" t="str">
        <f>IF($A78="","",IFERROR(INDEX('Natural Catastrophe'!$C$21:$C$26,MATCH($AA78,'Natural Catastrophe'!$B$21:$B$26,0)),"?"))</f>
        <v/>
      </c>
      <c r="AW78" s="97" t="str">
        <f>IF($A78="","",IFERROR(INDEX('Base Rates'!$C$4:$I$4,MATCH(MAX($J78,'Technical Premium'!$C$18),'Base Rates'!$C$3:$I$3,1)),"?"))</f>
        <v/>
      </c>
      <c r="AX78" s="99" t="str">
        <f>IF($A78="","",IFERROR(INDEX('Base Rates'!$C$5:$I$16,MATCH($I78,'Base Rates'!$B$5:$B$16,0),MATCH(MAX($J78,'Technical Premium'!$C$18),'Base Rates'!$C$3:$I$3,1)),"?"))</f>
        <v/>
      </c>
      <c r="AY78" s="100" t="str">
        <f t="shared" si="14"/>
        <v/>
      </c>
      <c r="AZ78" s="97" t="str">
        <f>IF($A78="","",IFERROR(INDEX('Make Factors'!$G$5:$G$69,MATCH($F78,'Make Factors'!$B$5:$B$69,0)),"?"))</f>
        <v/>
      </c>
      <c r="BA78" s="97" t="str">
        <f>IF($A78="","",IFERROR(INDEX('Driver Factors'!$C$6:$C$15,MATCH($R78,'Driver Factors'!$B$6:$B$15,0)),"?"))</f>
        <v/>
      </c>
      <c r="BB78" s="97" t="str">
        <f>IF($A78="","",IFERROR(INDEX('Driver Factors'!$C$19:$C$24,MATCH($S78,'Driver Factors'!$B$19:$B$24,0)),"?"))</f>
        <v/>
      </c>
      <c r="BC78" s="97" t="str">
        <f>IF($A78="","",IFERROR(INDEX('Driver Factors'!$C$28:$C$36,MATCH($T78,'Driver Factors'!$B$28:$B$36,0)),"?"))</f>
        <v/>
      </c>
      <c r="BD78" s="97" t="str">
        <f>IF($A78="","",IFERROR(INDEX('Claims History'!$C$6:$C$15,MATCH($U78,'Claims History'!$B$6:$B$15,0)),"?"))</f>
        <v/>
      </c>
      <c r="BE78" s="97" t="str">
        <f>IF($A78="","",IFERROR(INDEX('Territory Factors'!$E$6:$E$56,MATCH($K78,'Territory Factors'!$B$6:$B$56,0)),"?"))</f>
        <v/>
      </c>
      <c r="BF78" s="97" t="str">
        <f>IF($A78="","",IFERROR(INDEX('City Accident Ratings'!$G$6:$G$54,MATCH($Z78,'City Accident Ratings'!$B$6:$B$54,0)),"?"))</f>
        <v/>
      </c>
      <c r="BG78" s="97" t="str">
        <f>IF($A78="","",IFERROR(INDEX('Usage and Coverage'!$D$6:$D$20,MATCH($N78,'Usage and Coverage'!$C$6:$C$20,0)),"?"))</f>
        <v/>
      </c>
      <c r="BH78" s="97" t="str">
        <f>IF($A78="","",IFERROR(INDEX('Usage and Coverage'!$C$24:$C$30,MATCH($O78,'Usage and Coverage'!$B$24:$B$30,0)),"?"))</f>
        <v/>
      </c>
      <c r="BI78" s="97" t="str">
        <f>IF($A78="","",IFERROR(INDEX('Usage and Coverage'!$C$34:$C$40,MATCH($P78,'Usage and Coverage'!$B$34:$B$40,0)),"?"))</f>
        <v/>
      </c>
      <c r="BJ78" s="97" t="str">
        <f>IF($A78="","",IFERROR(INDEX('Usage and Coverage'!$C$44:$C$49,MATCH($Q78,'Usage and Coverage'!$B$44:$B$49,0)),"?"))</f>
        <v/>
      </c>
      <c r="BK78" s="97" t="str">
        <f>IF($A78="","",IFERROR(INDEX(Deductibles!$C$6:$I$15,MATCH($W78,Deductibles!$B$6:$B$15,0),MATCH(MAX($J78,'Technical Premium'!$C$18),'Base Rates'!$C$3:$I$3,1)),"?"))</f>
        <v/>
      </c>
      <c r="BL78" s="97" t="str">
        <f>IF($A78="","",IFERROR(INDEX('Usage and Coverage'!$C$63:$C$66,MATCH($X78,'Usage and Coverage'!$B$63:$B$66,0)),"?"))</f>
        <v/>
      </c>
      <c r="BM78" s="97" t="str">
        <f>IF($A78="","",IFERROR(INDEX('Usage and Coverage'!$C$70:$C$75,MATCH($V78,'Usage and Coverage'!$B$70:$B$75,0)),"?"))</f>
        <v/>
      </c>
      <c r="BN78" s="97" t="str">
        <f>IF($A78="","",IF($AB78="",1,IFERROR(INDEX(Deductibles!$C$48:$C$51,MATCH($AB78,Deductibles!$B$48:$B$51,0)),"?")))</f>
        <v/>
      </c>
      <c r="BO78" s="97" t="str">
        <f>IF($A78="","",IF($AC78="",1,IFERROR(INDEX(Deductibles!$C$55:$C$57,MATCH($AC78,Deductibles!$B$55:$B$57,0)),"?")))</f>
        <v/>
      </c>
      <c r="BP78" s="97" t="str">
        <f>IF($A78="","",IF($AD78="",1,IFERROR(INDEX(Deductibles!$C$61:$C$63,MATCH($AD78,Deductibles!$B$61:$B$63,0)),"?")))</f>
        <v/>
      </c>
      <c r="BQ78" s="97" t="str">
        <f>IF($A78="","",IF($AE78="",1,IFERROR(INDEX(Deductibles!$C$67:$C$69,MATCH($AE78,Deductibles!$B$67:$B$69,0)),"?")))</f>
        <v/>
      </c>
      <c r="BR78" s="97" t="str">
        <f>IF($A78="","",IF($AF78="",1,IFERROR(INDEX(Deductibles!$C$73:$C$74,MATCH($AF78,Deductibles!$B$73:$B$74,0)),"?")))</f>
        <v/>
      </c>
      <c r="BS78" s="97" t="str">
        <f>IF($A78="","",IF($AG78="",1,IFERROR(INDEX('Sublimits and Parts'!$C$49:$C$52,MATCH($AG78,'Sublimits and Parts'!$B$49:$B$52,0)),"?")))</f>
        <v/>
      </c>
      <c r="BT78" s="97" t="str">
        <f>IF($A78="","",IF($AH78="",1,IFERROR(INDEX('Sublimits and Parts'!$C$56:$C$60,MATCH($AH78,'Sublimits and Parts'!$B$56:$B$60,0)),"?")))</f>
        <v/>
      </c>
      <c r="BU78" s="97" t="str">
        <f>IF($A78="","",IF($AI78="",1,IFERROR(INDEX('Sublimits and Parts'!$C$64:$C$67,MATCH($AI78,'Sublimits and Parts'!$B$64:$B$67,0)),"?")))</f>
        <v/>
      </c>
      <c r="BV78" s="97" t="str">
        <f>IF($A78="","",IF($AJ78="",1,IFERROR(INDEX('Sublimits and Parts'!$C$71:$C$74,MATCH($AJ78,'Sublimits and Parts'!$B$71:$B$74,0)),"?")))</f>
        <v/>
      </c>
      <c r="BW78" s="97" t="str">
        <f>IF($A78="","",IF($AK78="",1,IFERROR(INDEX('Sublimits and Parts'!$C$78:$C$80,MATCH($AK78,'Sublimits and Parts'!$B$78:$B$80,0)),"?")))</f>
        <v/>
      </c>
      <c r="BX78" s="97" t="str">
        <f>IF($A78="","",IF($AL78="",1,IFERROR(INDEX('Sublimits and Parts'!$C$84:$C$87,MATCH($AL78,'Sublimits and Parts'!$B$84:$B$87,0)),"?")))</f>
        <v/>
      </c>
      <c r="BY78" s="97" t="str">
        <f>IF($A78="","",IF($AM78="",1,IFERROR(INDEX('Sublimits and Parts'!$C$91:$C$94,MATCH($AM78,'Sublimits and Parts'!$B$91:$B$94,0)),"?")))</f>
        <v/>
      </c>
      <c r="BZ78" s="97" t="str">
        <f>IF($A78="","",IF($AN78="",1,IFERROR(INDEX('Sublimits and Parts'!$C$98:$C$101,MATCH($AN78,'Sublimits and Parts'!$B$98:$B$101,0)),"?")))</f>
        <v/>
      </c>
      <c r="CA78" s="97" t="str">
        <f>IF($A78="","",IF($AO78="",1,IFERROR(INDEX('Sublimits and Parts'!$C$105:$C$109,MATCH($AO78,'Sublimits and Parts'!$B$105:$B$109,0)),"?")))</f>
        <v/>
      </c>
      <c r="CB78" s="98" t="str">
        <f t="shared" si="15"/>
        <v/>
      </c>
      <c r="CC78" s="98" t="str">
        <f t="shared" si="16"/>
        <v/>
      </c>
      <c r="CD78" s="101" t="str">
        <f>IF($A78="","",IF(OR($CB78="?",$CC78="?"),"?",MIN($CB78*$CC78,'Technical Premium'!$C$17)))</f>
        <v/>
      </c>
      <c r="CE78" s="100" t="str">
        <f t="shared" si="17"/>
        <v/>
      </c>
      <c r="CF78" s="100" t="str">
        <f>IF($A78="","",IFERROR(INDEX('Territory Factors'!$F$6:$F$56,MATCH($K78,'Territory Factors'!$B$6:$B$56,0)),"?"))</f>
        <v/>
      </c>
      <c r="CG78" s="98" t="str">
        <f>IF($A78="","",IFERROR(INDEX('Usage and Coverage'!$C$79:$C$84,MATCH($Y78,'Usage and Coverage'!$B$79:$B$84,0)),"?"))</f>
        <v/>
      </c>
      <c r="CH78" s="100" t="str">
        <f>IFERROR(IF(ISNUMBER($CD78),$CF78*$CG78*MIN($BG78*$BA78*$BC78*$BD78*$BH78*$BF78,'Technical Premium'!$C$17),""),"")</f>
        <v/>
      </c>
      <c r="CI78" s="100" t="str">
        <f t="shared" si="18"/>
        <v/>
      </c>
      <c r="CJ78" s="100" t="str">
        <f>IFERROR($CI78*(1+'Technical Premium'!$C$5)*(1+'Technical Premium'!$C$6),"")</f>
        <v/>
      </c>
      <c r="CK78" s="100" t="str">
        <f>IFERROR($CE78*INDEX('Territory Factors'!$G$6:$G$56,MATCH($K78,'Territory Factors'!$B$6:$B$56,0))*$AU78*$AV78,"")</f>
        <v/>
      </c>
      <c r="CL78" s="100" t="str">
        <f>IFERROR(($CJ78+$CK78)*(1+'Technical Premium'!$C$7),"")</f>
        <v/>
      </c>
      <c r="CM78" s="102" t="str">
        <f>IFERROR($CL78/'Technical Premium'!$C$13,"")</f>
        <v/>
      </c>
      <c r="CN78" s="103" t="str">
        <f t="shared" si="19"/>
        <v/>
      </c>
      <c r="CO78" s="102" t="str">
        <f t="shared" si="20"/>
        <v/>
      </c>
      <c r="CP78" s="103" t="str">
        <f t="shared" si="21"/>
        <v/>
      </c>
      <c r="CQ78" s="104" t="str">
        <f t="shared" si="22"/>
        <v/>
      </c>
      <c r="CR78" s="100" t="str">
        <f>IF(ISNUMBER($CM78),'Technical Premium'!$C$14+IF($J78&gt;=1000000,'Technical Premium'!$C$15,0),"")</f>
        <v/>
      </c>
      <c r="CS78" s="100" t="str">
        <f>IFERROR(($CO78+$CR78)*(INDEX('Territory Factors'!$K$6:$K$56,MATCH($K78,'Territory Factors'!$B$6:$B$56,0))+'Commission Structure'!$C$21),"")</f>
        <v/>
      </c>
      <c r="CT78" s="102" t="str">
        <f t="shared" si="23"/>
        <v/>
      </c>
      <c r="CU78" s="100" t="str">
        <f>IFERROR($CO78*('Commission Structure'!$C$6+'Commission Structure'!$C$7),"")</f>
        <v/>
      </c>
      <c r="CV78" s="100" t="str">
        <f>IFERROR($CO78*'Commission Structure'!$C$5-$CU78,"")</f>
        <v/>
      </c>
      <c r="CW78" s="100" t="str">
        <f>IFERROR($CO78*(1-'Commission Structure'!$C$5),"")</f>
        <v/>
      </c>
      <c r="CX78" s="105" t="str">
        <f>IF($A78="","",IF(OR($CB78="?",$CC78="?",NOT(ISNUMBER($AU78))),"CHECK INPUTS",IF(OR($J78&lt;'Technical Premium'!$C$18,LEFT(IFERROR(INDEX('Driver Factors'!$D$6:$D$15,MATCH($R78,'Driver Factors'!$B$6:$B$15,0)),""),7)="DECLINE",LEFT(IFERROR(INDEX('Driver Factors'!$D$28:$D$36,MATCH($T78,'Driver Factors'!$B$28:$B$36,0)),""),7)="DECLINE",LEFT(IFERROR(INDEX('Claims History'!$D$6:$D$15,MATCH($U78,'Claims History'!$B$6:$B$15,0)),""),7)="DECLINE",LEFT(IFERROR(INDEX('Usage and Coverage'!$E$6:$E$20,MATCH($N78,'Usage and Coverage'!$C$6:$C$20,0)),""),7)="DECLINE"),"DECLINE",IF(OR($CD78&gt;2.5,$CD78&gt;='Technical Premium'!$C$17,$J78&gt;='Technical Premium'!$C$16,N($AQ78)&lt;'Technical Premium'!$C$19,N($AQ78)&gt;'Technical Premium'!$C$20,LEFT(IFERROR(INDEX('Driver Factors'!$D$6:$D$15,MATCH($R78,'Driver Factors'!$B$6:$B$15,0)),""),5)="Refer",LEFT(IFERROR(INDEX('Driver Factors'!$D$28:$D$36,MATCH($T78,'Driver Factors'!$B$28:$B$36,0)),""),5)="Refer",LEFT(IFERROR(INDEX('Claims History'!$D$6:$D$15,MATCH($U78,'Claims History'!$B$6:$B$15,0)),""),5)="Refer",LEFT(IFERROR(INDEX('Usage and Coverage'!$E$6:$E$20,MATCH($N78,'Usage and Coverage'!$C$6:$C$20,0)),""),5)="Refer"),"REFER","AUTO-BIND"))))</f>
        <v/>
      </c>
      <c r="CY78" s="106" t="str">
        <f t="shared" si="24"/>
        <v/>
      </c>
      <c r="CZ78" s="97" t="str">
        <f>IF($CY78="","",IF($CY78&lt;'Technical Premium'!$C$19,"BEYOND AUTHORITY",IF($CY78&gt;0.005,"Above technical",IF($CY78&lt;-0.005,"BELOW technical","At technical"))))</f>
        <v/>
      </c>
      <c r="DA78" s="97" t="str">
        <f>IF($A78="","",IF($CX78="AUTO-BIND","",TRIM(IF($J78&lt;'Technical Premium'!$C$18,"Below programme minimum agreed value. ","")&amp;IF(N($AQ78)&lt;'Technical Premium'!$C$19,"DISCOUNT AUTHORITY BREACH. ","")&amp;IF(N($AQ78)&gt;'Technical Premium'!$C$20,"Load authority breach. ","")&amp;IF($J78&gt;='Technical Premium'!$C$16,"Agreed value at or above auto-bind limit. ","")&amp;IF(AND(ISNUMBER($CD78),$CD78&gt;='Technical Premium'!$C$17),"Composite factor at cap. ","")&amp;IF(AND(ISNUMBER($CD78),$CD78&gt;2.5),"Composite factor above 2.50. ","")&amp;IF(LEFT(IFERROR(INDEX('Driver Factors'!$D$6:$D$15,MATCH($R78,'Driver Factors'!$B$6:$B$15,0)),""),7)="DECLINE","DECLINE - driver age. ",IF(LEFT(IFERROR(INDEX('Driver Factors'!$D$6:$D$15,MATCH($R78,'Driver Factors'!$B$6:$B$15,0)),""),5)="Refer","Driver age band. ",""))&amp;IF(LEFT(IFERROR(INDEX('Driver Factors'!$D$28:$D$36,MATCH($T78,'Driver Factors'!$B$28:$B$36,0)),""),7)="DECLINE","DECLINE - MVR. ",IF(LEFT(IFERROR(INDEX('Driver Factors'!$D$28:$D$36,MATCH($T78,'Driver Factors'!$B$28:$B$36,0)),""),5)="Refer","MVR record. ",""))&amp;IF(LEFT(IFERROR(INDEX('Claims History'!$D$6:$D$15,MATCH($U78,'Claims History'!$B$6:$B$15,0)),""),7)="DECLINE","DECLINE - claims. ",IF(LEFT(IFERROR(INDEX('Claims History'!$D$6:$D$15,MATCH($U78,'Claims History'!$B$6:$B$15,0)),""),5)="Refer","Claims history. ",""))&amp;IF(LEFT(IFERROR(INDEX('Usage and Coverage'!$E$6:$E$20,MATCH($N78,'Usage and Coverage'!$C$6:$C$20,0)),""),7)="DECLINE","DECLINE - usage class. ",IF(LEFT(IFERROR(INDEX('Usage and Coverage'!$E$6:$E$20,MATCH($N78,'Usage and Coverage'!$C$6:$C$20,0)),""),5)="Refer","Usage class. ",""))&amp;IF($CX78="CHECK INPUTS","Incomplete inputs. ",""))))</f>
        <v/>
      </c>
      <c r="DB78" s="92"/>
      <c r="DC78" s="92"/>
      <c r="DD78" s="93"/>
      <c r="DE78" s="92"/>
      <c r="DF78" s="92"/>
      <c r="DG78" s="97" t="str">
        <f t="shared" si="25"/>
        <v/>
      </c>
      <c r="DH78" s="97" t="str">
        <f>IF($A78="","",IF(OR($CX78="REFER",$CX78="DECLINE"),COUNTIF($CX$5:$CX78,"REFER")+COUNTIF($CX$5:$CX78,"DECLINE"),""))</f>
        <v/>
      </c>
      <c r="DI78" s="92"/>
    </row>
    <row r="79" spans="1:113" x14ac:dyDescent="0.25">
      <c r="A79" s="92"/>
      <c r="B79" s="92"/>
      <c r="C79" s="93"/>
      <c r="D79" s="93"/>
      <c r="E79" s="94"/>
      <c r="F79" s="92"/>
      <c r="G79" s="92"/>
      <c r="H79" s="92"/>
      <c r="I79" s="92"/>
      <c r="J79" s="95"/>
      <c r="K79" s="92"/>
      <c r="L79" s="92"/>
      <c r="M79" s="92"/>
      <c r="N79" s="92"/>
      <c r="O79" s="92"/>
      <c r="P79" s="92"/>
      <c r="Q79" s="92"/>
      <c r="R79" s="92"/>
      <c r="S79" s="92"/>
      <c r="T79" s="92"/>
      <c r="U79" s="92"/>
      <c r="V79" s="92"/>
      <c r="W79" s="92"/>
      <c r="X79" s="92"/>
      <c r="Y79" s="92"/>
      <c r="Z79" s="92"/>
      <c r="AA79" s="92"/>
      <c r="AB79" s="92"/>
      <c r="AC79" s="92"/>
      <c r="AD79" s="92"/>
      <c r="AE79" s="92"/>
      <c r="AF79" s="92"/>
      <c r="AG79" s="92"/>
      <c r="AH79" s="92"/>
      <c r="AI79" s="92"/>
      <c r="AJ79" s="92"/>
      <c r="AK79" s="92"/>
      <c r="AL79" s="92"/>
      <c r="AM79" s="92"/>
      <c r="AN79" s="92"/>
      <c r="AO79" s="92"/>
      <c r="AP79" s="92"/>
      <c r="AQ79" s="96"/>
      <c r="AR79" s="97" t="str">
        <f t="shared" si="13"/>
        <v/>
      </c>
      <c r="AS79" s="97" t="str">
        <f>IF($A79="","",IF($AP79&lt;&gt;"",$AP79,IFERROR(INDEX('Cat Zone by ZIP'!$D$6:$D$856,MATCH($AR79,'Cat Zone by ZIP'!$B$6:$B$856,0)),IFERROR(INDEX('Cat Zone by ZIP'!$C$860:$C$910,MATCH($K79,'Cat Zone by ZIP'!$B$860:$B$910,0)),"NOT FOUND"))))</f>
        <v/>
      </c>
      <c r="AT79" s="97" t="str">
        <f>IF($A79="","",IF($AP79&lt;&gt;"","Override",IF(ISNUMBER(MATCH($AR79,'Cat Zone by ZIP'!$B$6:$B$856,0)),"ZIP-3","State default")))</f>
        <v/>
      </c>
      <c r="AU79" s="98" t="str">
        <f>IF($A79="","",IFERROR(INDEX('Natural Catastrophe'!$D$6:$D$17,MATCH($AS79,'Natural Catastrophe'!$B$6:$B$17,0)),"?"))</f>
        <v/>
      </c>
      <c r="AV79" s="98" t="str">
        <f>IF($A79="","",IFERROR(INDEX('Natural Catastrophe'!$C$21:$C$26,MATCH($AA79,'Natural Catastrophe'!$B$21:$B$26,0)),"?"))</f>
        <v/>
      </c>
      <c r="AW79" s="97" t="str">
        <f>IF($A79="","",IFERROR(INDEX('Base Rates'!$C$4:$I$4,MATCH(MAX($J79,'Technical Premium'!$C$18),'Base Rates'!$C$3:$I$3,1)),"?"))</f>
        <v/>
      </c>
      <c r="AX79" s="99" t="str">
        <f>IF($A79="","",IFERROR(INDEX('Base Rates'!$C$5:$I$16,MATCH($I79,'Base Rates'!$B$5:$B$16,0),MATCH(MAX($J79,'Technical Premium'!$C$18),'Base Rates'!$C$3:$I$3,1)),"?"))</f>
        <v/>
      </c>
      <c r="AY79" s="100" t="str">
        <f t="shared" si="14"/>
        <v/>
      </c>
      <c r="AZ79" s="97" t="str">
        <f>IF($A79="","",IFERROR(INDEX('Make Factors'!$G$5:$G$69,MATCH($F79,'Make Factors'!$B$5:$B$69,0)),"?"))</f>
        <v/>
      </c>
      <c r="BA79" s="97" t="str">
        <f>IF($A79="","",IFERROR(INDEX('Driver Factors'!$C$6:$C$15,MATCH($R79,'Driver Factors'!$B$6:$B$15,0)),"?"))</f>
        <v/>
      </c>
      <c r="BB79" s="97" t="str">
        <f>IF($A79="","",IFERROR(INDEX('Driver Factors'!$C$19:$C$24,MATCH($S79,'Driver Factors'!$B$19:$B$24,0)),"?"))</f>
        <v/>
      </c>
      <c r="BC79" s="97" t="str">
        <f>IF($A79="","",IFERROR(INDEX('Driver Factors'!$C$28:$C$36,MATCH($T79,'Driver Factors'!$B$28:$B$36,0)),"?"))</f>
        <v/>
      </c>
      <c r="BD79" s="97" t="str">
        <f>IF($A79="","",IFERROR(INDEX('Claims History'!$C$6:$C$15,MATCH($U79,'Claims History'!$B$6:$B$15,0)),"?"))</f>
        <v/>
      </c>
      <c r="BE79" s="97" t="str">
        <f>IF($A79="","",IFERROR(INDEX('Territory Factors'!$E$6:$E$56,MATCH($K79,'Territory Factors'!$B$6:$B$56,0)),"?"))</f>
        <v/>
      </c>
      <c r="BF79" s="97" t="str">
        <f>IF($A79="","",IFERROR(INDEX('City Accident Ratings'!$G$6:$G$54,MATCH($Z79,'City Accident Ratings'!$B$6:$B$54,0)),"?"))</f>
        <v/>
      </c>
      <c r="BG79" s="97" t="str">
        <f>IF($A79="","",IFERROR(INDEX('Usage and Coverage'!$D$6:$D$20,MATCH($N79,'Usage and Coverage'!$C$6:$C$20,0)),"?"))</f>
        <v/>
      </c>
      <c r="BH79" s="97" t="str">
        <f>IF($A79="","",IFERROR(INDEX('Usage and Coverage'!$C$24:$C$30,MATCH($O79,'Usage and Coverage'!$B$24:$B$30,0)),"?"))</f>
        <v/>
      </c>
      <c r="BI79" s="97" t="str">
        <f>IF($A79="","",IFERROR(INDEX('Usage and Coverage'!$C$34:$C$40,MATCH($P79,'Usage and Coverage'!$B$34:$B$40,0)),"?"))</f>
        <v/>
      </c>
      <c r="BJ79" s="97" t="str">
        <f>IF($A79="","",IFERROR(INDEX('Usage and Coverage'!$C$44:$C$49,MATCH($Q79,'Usage and Coverage'!$B$44:$B$49,0)),"?"))</f>
        <v/>
      </c>
      <c r="BK79" s="97" t="str">
        <f>IF($A79="","",IFERROR(INDEX(Deductibles!$C$6:$I$15,MATCH($W79,Deductibles!$B$6:$B$15,0),MATCH(MAX($J79,'Technical Premium'!$C$18),'Base Rates'!$C$3:$I$3,1)),"?"))</f>
        <v/>
      </c>
      <c r="BL79" s="97" t="str">
        <f>IF($A79="","",IFERROR(INDEX('Usage and Coverage'!$C$63:$C$66,MATCH($X79,'Usage and Coverage'!$B$63:$B$66,0)),"?"))</f>
        <v/>
      </c>
      <c r="BM79" s="97" t="str">
        <f>IF($A79="","",IFERROR(INDEX('Usage and Coverage'!$C$70:$C$75,MATCH($V79,'Usage and Coverage'!$B$70:$B$75,0)),"?"))</f>
        <v/>
      </c>
      <c r="BN79" s="97" t="str">
        <f>IF($A79="","",IF($AB79="",1,IFERROR(INDEX(Deductibles!$C$48:$C$51,MATCH($AB79,Deductibles!$B$48:$B$51,0)),"?")))</f>
        <v/>
      </c>
      <c r="BO79" s="97" t="str">
        <f>IF($A79="","",IF($AC79="",1,IFERROR(INDEX(Deductibles!$C$55:$C$57,MATCH($AC79,Deductibles!$B$55:$B$57,0)),"?")))</f>
        <v/>
      </c>
      <c r="BP79" s="97" t="str">
        <f>IF($A79="","",IF($AD79="",1,IFERROR(INDEX(Deductibles!$C$61:$C$63,MATCH($AD79,Deductibles!$B$61:$B$63,0)),"?")))</f>
        <v/>
      </c>
      <c r="BQ79" s="97" t="str">
        <f>IF($A79="","",IF($AE79="",1,IFERROR(INDEX(Deductibles!$C$67:$C$69,MATCH($AE79,Deductibles!$B$67:$B$69,0)),"?")))</f>
        <v/>
      </c>
      <c r="BR79" s="97" t="str">
        <f>IF($A79="","",IF($AF79="",1,IFERROR(INDEX(Deductibles!$C$73:$C$74,MATCH($AF79,Deductibles!$B$73:$B$74,0)),"?")))</f>
        <v/>
      </c>
      <c r="BS79" s="97" t="str">
        <f>IF($A79="","",IF($AG79="",1,IFERROR(INDEX('Sublimits and Parts'!$C$49:$C$52,MATCH($AG79,'Sublimits and Parts'!$B$49:$B$52,0)),"?")))</f>
        <v/>
      </c>
      <c r="BT79" s="97" t="str">
        <f>IF($A79="","",IF($AH79="",1,IFERROR(INDEX('Sublimits and Parts'!$C$56:$C$60,MATCH($AH79,'Sublimits and Parts'!$B$56:$B$60,0)),"?")))</f>
        <v/>
      </c>
      <c r="BU79" s="97" t="str">
        <f>IF($A79="","",IF($AI79="",1,IFERROR(INDEX('Sublimits and Parts'!$C$64:$C$67,MATCH($AI79,'Sublimits and Parts'!$B$64:$B$67,0)),"?")))</f>
        <v/>
      </c>
      <c r="BV79" s="97" t="str">
        <f>IF($A79="","",IF($AJ79="",1,IFERROR(INDEX('Sublimits and Parts'!$C$71:$C$74,MATCH($AJ79,'Sublimits and Parts'!$B$71:$B$74,0)),"?")))</f>
        <v/>
      </c>
      <c r="BW79" s="97" t="str">
        <f>IF($A79="","",IF($AK79="",1,IFERROR(INDEX('Sublimits and Parts'!$C$78:$C$80,MATCH($AK79,'Sublimits and Parts'!$B$78:$B$80,0)),"?")))</f>
        <v/>
      </c>
      <c r="BX79" s="97" t="str">
        <f>IF($A79="","",IF($AL79="",1,IFERROR(INDEX('Sublimits and Parts'!$C$84:$C$87,MATCH($AL79,'Sublimits and Parts'!$B$84:$B$87,0)),"?")))</f>
        <v/>
      </c>
      <c r="BY79" s="97" t="str">
        <f>IF($A79="","",IF($AM79="",1,IFERROR(INDEX('Sublimits and Parts'!$C$91:$C$94,MATCH($AM79,'Sublimits and Parts'!$B$91:$B$94,0)),"?")))</f>
        <v/>
      </c>
      <c r="BZ79" s="97" t="str">
        <f>IF($A79="","",IF($AN79="",1,IFERROR(INDEX('Sublimits and Parts'!$C$98:$C$101,MATCH($AN79,'Sublimits and Parts'!$B$98:$B$101,0)),"?")))</f>
        <v/>
      </c>
      <c r="CA79" s="97" t="str">
        <f>IF($A79="","",IF($AO79="",1,IFERROR(INDEX('Sublimits and Parts'!$C$105:$C$109,MATCH($AO79,'Sublimits and Parts'!$B$105:$B$109,0)),"?")))</f>
        <v/>
      </c>
      <c r="CB79" s="98" t="str">
        <f t="shared" si="15"/>
        <v/>
      </c>
      <c r="CC79" s="98" t="str">
        <f t="shared" si="16"/>
        <v/>
      </c>
      <c r="CD79" s="101" t="str">
        <f>IF($A79="","",IF(OR($CB79="?",$CC79="?"),"?",MIN($CB79*$CC79,'Technical Premium'!$C$17)))</f>
        <v/>
      </c>
      <c r="CE79" s="100" t="str">
        <f t="shared" si="17"/>
        <v/>
      </c>
      <c r="CF79" s="100" t="str">
        <f>IF($A79="","",IFERROR(INDEX('Territory Factors'!$F$6:$F$56,MATCH($K79,'Territory Factors'!$B$6:$B$56,0)),"?"))</f>
        <v/>
      </c>
      <c r="CG79" s="98" t="str">
        <f>IF($A79="","",IFERROR(INDEX('Usage and Coverage'!$C$79:$C$84,MATCH($Y79,'Usage and Coverage'!$B$79:$B$84,0)),"?"))</f>
        <v/>
      </c>
      <c r="CH79" s="100" t="str">
        <f>IFERROR(IF(ISNUMBER($CD79),$CF79*$CG79*MIN($BG79*$BA79*$BC79*$BD79*$BH79*$BF79,'Technical Premium'!$C$17),""),"")</f>
        <v/>
      </c>
      <c r="CI79" s="100" t="str">
        <f t="shared" si="18"/>
        <v/>
      </c>
      <c r="CJ79" s="100" t="str">
        <f>IFERROR($CI79*(1+'Technical Premium'!$C$5)*(1+'Technical Premium'!$C$6),"")</f>
        <v/>
      </c>
      <c r="CK79" s="100" t="str">
        <f>IFERROR($CE79*INDEX('Territory Factors'!$G$6:$G$56,MATCH($K79,'Territory Factors'!$B$6:$B$56,0))*$AU79*$AV79,"")</f>
        <v/>
      </c>
      <c r="CL79" s="100" t="str">
        <f>IFERROR(($CJ79+$CK79)*(1+'Technical Premium'!$C$7),"")</f>
        <v/>
      </c>
      <c r="CM79" s="102" t="str">
        <f>IFERROR($CL79/'Technical Premium'!$C$13,"")</f>
        <v/>
      </c>
      <c r="CN79" s="103" t="str">
        <f t="shared" si="19"/>
        <v/>
      </c>
      <c r="CO79" s="102" t="str">
        <f t="shared" si="20"/>
        <v/>
      </c>
      <c r="CP79" s="103" t="str">
        <f t="shared" si="21"/>
        <v/>
      </c>
      <c r="CQ79" s="104" t="str">
        <f t="shared" si="22"/>
        <v/>
      </c>
      <c r="CR79" s="100" t="str">
        <f>IF(ISNUMBER($CM79),'Technical Premium'!$C$14+IF($J79&gt;=1000000,'Technical Premium'!$C$15,0),"")</f>
        <v/>
      </c>
      <c r="CS79" s="100" t="str">
        <f>IFERROR(($CO79+$CR79)*(INDEX('Territory Factors'!$K$6:$K$56,MATCH($K79,'Territory Factors'!$B$6:$B$56,0))+'Commission Structure'!$C$21),"")</f>
        <v/>
      </c>
      <c r="CT79" s="102" t="str">
        <f t="shared" si="23"/>
        <v/>
      </c>
      <c r="CU79" s="100" t="str">
        <f>IFERROR($CO79*('Commission Structure'!$C$6+'Commission Structure'!$C$7),"")</f>
        <v/>
      </c>
      <c r="CV79" s="100" t="str">
        <f>IFERROR($CO79*'Commission Structure'!$C$5-$CU79,"")</f>
        <v/>
      </c>
      <c r="CW79" s="100" t="str">
        <f>IFERROR($CO79*(1-'Commission Structure'!$C$5),"")</f>
        <v/>
      </c>
      <c r="CX79" s="105" t="str">
        <f>IF($A79="","",IF(OR($CB79="?",$CC79="?",NOT(ISNUMBER($AU79))),"CHECK INPUTS",IF(OR($J79&lt;'Technical Premium'!$C$18,LEFT(IFERROR(INDEX('Driver Factors'!$D$6:$D$15,MATCH($R79,'Driver Factors'!$B$6:$B$15,0)),""),7)="DECLINE",LEFT(IFERROR(INDEX('Driver Factors'!$D$28:$D$36,MATCH($T79,'Driver Factors'!$B$28:$B$36,0)),""),7)="DECLINE",LEFT(IFERROR(INDEX('Claims History'!$D$6:$D$15,MATCH($U79,'Claims History'!$B$6:$B$15,0)),""),7)="DECLINE",LEFT(IFERROR(INDEX('Usage and Coverage'!$E$6:$E$20,MATCH($N79,'Usage and Coverage'!$C$6:$C$20,0)),""),7)="DECLINE"),"DECLINE",IF(OR($CD79&gt;2.5,$CD79&gt;='Technical Premium'!$C$17,$J79&gt;='Technical Premium'!$C$16,N($AQ79)&lt;'Technical Premium'!$C$19,N($AQ79)&gt;'Technical Premium'!$C$20,LEFT(IFERROR(INDEX('Driver Factors'!$D$6:$D$15,MATCH($R79,'Driver Factors'!$B$6:$B$15,0)),""),5)="Refer",LEFT(IFERROR(INDEX('Driver Factors'!$D$28:$D$36,MATCH($T79,'Driver Factors'!$B$28:$B$36,0)),""),5)="Refer",LEFT(IFERROR(INDEX('Claims History'!$D$6:$D$15,MATCH($U79,'Claims History'!$B$6:$B$15,0)),""),5)="Refer",LEFT(IFERROR(INDEX('Usage and Coverage'!$E$6:$E$20,MATCH($N79,'Usage and Coverage'!$C$6:$C$20,0)),""),5)="Refer"),"REFER","AUTO-BIND"))))</f>
        <v/>
      </c>
      <c r="CY79" s="106" t="str">
        <f t="shared" si="24"/>
        <v/>
      </c>
      <c r="CZ79" s="97" t="str">
        <f>IF($CY79="","",IF($CY79&lt;'Technical Premium'!$C$19,"BEYOND AUTHORITY",IF($CY79&gt;0.005,"Above technical",IF($CY79&lt;-0.005,"BELOW technical","At technical"))))</f>
        <v/>
      </c>
      <c r="DA79" s="97" t="str">
        <f>IF($A79="","",IF($CX79="AUTO-BIND","",TRIM(IF($J79&lt;'Technical Premium'!$C$18,"Below programme minimum agreed value. ","")&amp;IF(N($AQ79)&lt;'Technical Premium'!$C$19,"DISCOUNT AUTHORITY BREACH. ","")&amp;IF(N($AQ79)&gt;'Technical Premium'!$C$20,"Load authority breach. ","")&amp;IF($J79&gt;='Technical Premium'!$C$16,"Agreed value at or above auto-bind limit. ","")&amp;IF(AND(ISNUMBER($CD79),$CD79&gt;='Technical Premium'!$C$17),"Composite factor at cap. ","")&amp;IF(AND(ISNUMBER($CD79),$CD79&gt;2.5),"Composite factor above 2.50. ","")&amp;IF(LEFT(IFERROR(INDEX('Driver Factors'!$D$6:$D$15,MATCH($R79,'Driver Factors'!$B$6:$B$15,0)),""),7)="DECLINE","DECLINE - driver age. ",IF(LEFT(IFERROR(INDEX('Driver Factors'!$D$6:$D$15,MATCH($R79,'Driver Factors'!$B$6:$B$15,0)),""),5)="Refer","Driver age band. ",""))&amp;IF(LEFT(IFERROR(INDEX('Driver Factors'!$D$28:$D$36,MATCH($T79,'Driver Factors'!$B$28:$B$36,0)),""),7)="DECLINE","DECLINE - MVR. ",IF(LEFT(IFERROR(INDEX('Driver Factors'!$D$28:$D$36,MATCH($T79,'Driver Factors'!$B$28:$B$36,0)),""),5)="Refer","MVR record. ",""))&amp;IF(LEFT(IFERROR(INDEX('Claims History'!$D$6:$D$15,MATCH($U79,'Claims History'!$B$6:$B$15,0)),""),7)="DECLINE","DECLINE - claims. ",IF(LEFT(IFERROR(INDEX('Claims History'!$D$6:$D$15,MATCH($U79,'Claims History'!$B$6:$B$15,0)),""),5)="Refer","Claims history. ",""))&amp;IF(LEFT(IFERROR(INDEX('Usage and Coverage'!$E$6:$E$20,MATCH($N79,'Usage and Coverage'!$C$6:$C$20,0)),""),7)="DECLINE","DECLINE - usage class. ",IF(LEFT(IFERROR(INDEX('Usage and Coverage'!$E$6:$E$20,MATCH($N79,'Usage and Coverage'!$C$6:$C$20,0)),""),5)="Refer","Usage class. ",""))&amp;IF($CX79="CHECK INPUTS","Incomplete inputs. ",""))))</f>
        <v/>
      </c>
      <c r="DB79" s="92"/>
      <c r="DC79" s="92"/>
      <c r="DD79" s="93"/>
      <c r="DE79" s="92"/>
      <c r="DF79" s="92"/>
      <c r="DG79" s="97" t="str">
        <f t="shared" si="25"/>
        <v/>
      </c>
      <c r="DH79" s="97" t="str">
        <f>IF($A79="","",IF(OR($CX79="REFER",$CX79="DECLINE"),COUNTIF($CX$5:$CX79,"REFER")+COUNTIF($CX$5:$CX79,"DECLINE"),""))</f>
        <v/>
      </c>
      <c r="DI79" s="92"/>
    </row>
    <row r="80" spans="1:113" x14ac:dyDescent="0.25">
      <c r="A80" s="92"/>
      <c r="B80" s="92"/>
      <c r="C80" s="93"/>
      <c r="D80" s="93"/>
      <c r="E80" s="94"/>
      <c r="F80" s="92"/>
      <c r="G80" s="92"/>
      <c r="H80" s="92"/>
      <c r="I80" s="92"/>
      <c r="J80" s="95"/>
      <c r="K80" s="92"/>
      <c r="L80" s="92"/>
      <c r="M80" s="92"/>
      <c r="N80" s="92"/>
      <c r="O80" s="92"/>
      <c r="P80" s="92"/>
      <c r="Q80" s="92"/>
      <c r="R80" s="92"/>
      <c r="S80" s="92"/>
      <c r="T80" s="92"/>
      <c r="U80" s="92"/>
      <c r="V80" s="92"/>
      <c r="W80" s="92"/>
      <c r="X80" s="92"/>
      <c r="Y80" s="92"/>
      <c r="Z80" s="92"/>
      <c r="AA80" s="92"/>
      <c r="AB80" s="92"/>
      <c r="AC80" s="92"/>
      <c r="AD80" s="92"/>
      <c r="AE80" s="92"/>
      <c r="AF80" s="92"/>
      <c r="AG80" s="92"/>
      <c r="AH80" s="92"/>
      <c r="AI80" s="92"/>
      <c r="AJ80" s="92"/>
      <c r="AK80" s="92"/>
      <c r="AL80" s="92"/>
      <c r="AM80" s="92"/>
      <c r="AN80" s="92"/>
      <c r="AO80" s="92"/>
      <c r="AP80" s="92"/>
      <c r="AQ80" s="96"/>
      <c r="AR80" s="97" t="str">
        <f t="shared" si="13"/>
        <v/>
      </c>
      <c r="AS80" s="97" t="str">
        <f>IF($A80="","",IF($AP80&lt;&gt;"",$AP80,IFERROR(INDEX('Cat Zone by ZIP'!$D$6:$D$856,MATCH($AR80,'Cat Zone by ZIP'!$B$6:$B$856,0)),IFERROR(INDEX('Cat Zone by ZIP'!$C$860:$C$910,MATCH($K80,'Cat Zone by ZIP'!$B$860:$B$910,0)),"NOT FOUND"))))</f>
        <v/>
      </c>
      <c r="AT80" s="97" t="str">
        <f>IF($A80="","",IF($AP80&lt;&gt;"","Override",IF(ISNUMBER(MATCH($AR80,'Cat Zone by ZIP'!$B$6:$B$856,0)),"ZIP-3","State default")))</f>
        <v/>
      </c>
      <c r="AU80" s="98" t="str">
        <f>IF($A80="","",IFERROR(INDEX('Natural Catastrophe'!$D$6:$D$17,MATCH($AS80,'Natural Catastrophe'!$B$6:$B$17,0)),"?"))</f>
        <v/>
      </c>
      <c r="AV80" s="98" t="str">
        <f>IF($A80="","",IFERROR(INDEX('Natural Catastrophe'!$C$21:$C$26,MATCH($AA80,'Natural Catastrophe'!$B$21:$B$26,0)),"?"))</f>
        <v/>
      </c>
      <c r="AW80" s="97" t="str">
        <f>IF($A80="","",IFERROR(INDEX('Base Rates'!$C$4:$I$4,MATCH(MAX($J80,'Technical Premium'!$C$18),'Base Rates'!$C$3:$I$3,1)),"?"))</f>
        <v/>
      </c>
      <c r="AX80" s="99" t="str">
        <f>IF($A80="","",IFERROR(INDEX('Base Rates'!$C$5:$I$16,MATCH($I80,'Base Rates'!$B$5:$B$16,0),MATCH(MAX($J80,'Technical Premium'!$C$18),'Base Rates'!$C$3:$I$3,1)),"?"))</f>
        <v/>
      </c>
      <c r="AY80" s="100" t="str">
        <f t="shared" si="14"/>
        <v/>
      </c>
      <c r="AZ80" s="97" t="str">
        <f>IF($A80="","",IFERROR(INDEX('Make Factors'!$G$5:$G$69,MATCH($F80,'Make Factors'!$B$5:$B$69,0)),"?"))</f>
        <v/>
      </c>
      <c r="BA80" s="97" t="str">
        <f>IF($A80="","",IFERROR(INDEX('Driver Factors'!$C$6:$C$15,MATCH($R80,'Driver Factors'!$B$6:$B$15,0)),"?"))</f>
        <v/>
      </c>
      <c r="BB80" s="97" t="str">
        <f>IF($A80="","",IFERROR(INDEX('Driver Factors'!$C$19:$C$24,MATCH($S80,'Driver Factors'!$B$19:$B$24,0)),"?"))</f>
        <v/>
      </c>
      <c r="BC80" s="97" t="str">
        <f>IF($A80="","",IFERROR(INDEX('Driver Factors'!$C$28:$C$36,MATCH($T80,'Driver Factors'!$B$28:$B$36,0)),"?"))</f>
        <v/>
      </c>
      <c r="BD80" s="97" t="str">
        <f>IF($A80="","",IFERROR(INDEX('Claims History'!$C$6:$C$15,MATCH($U80,'Claims History'!$B$6:$B$15,0)),"?"))</f>
        <v/>
      </c>
      <c r="BE80" s="97" t="str">
        <f>IF($A80="","",IFERROR(INDEX('Territory Factors'!$E$6:$E$56,MATCH($K80,'Territory Factors'!$B$6:$B$56,0)),"?"))</f>
        <v/>
      </c>
      <c r="BF80" s="97" t="str">
        <f>IF($A80="","",IFERROR(INDEX('City Accident Ratings'!$G$6:$G$54,MATCH($Z80,'City Accident Ratings'!$B$6:$B$54,0)),"?"))</f>
        <v/>
      </c>
      <c r="BG80" s="97" t="str">
        <f>IF($A80="","",IFERROR(INDEX('Usage and Coverage'!$D$6:$D$20,MATCH($N80,'Usage and Coverage'!$C$6:$C$20,0)),"?"))</f>
        <v/>
      </c>
      <c r="BH80" s="97" t="str">
        <f>IF($A80="","",IFERROR(INDEX('Usage and Coverage'!$C$24:$C$30,MATCH($O80,'Usage and Coverage'!$B$24:$B$30,0)),"?"))</f>
        <v/>
      </c>
      <c r="BI80" s="97" t="str">
        <f>IF($A80="","",IFERROR(INDEX('Usage and Coverage'!$C$34:$C$40,MATCH($P80,'Usage and Coverage'!$B$34:$B$40,0)),"?"))</f>
        <v/>
      </c>
      <c r="BJ80" s="97" t="str">
        <f>IF($A80="","",IFERROR(INDEX('Usage and Coverage'!$C$44:$C$49,MATCH($Q80,'Usage and Coverage'!$B$44:$B$49,0)),"?"))</f>
        <v/>
      </c>
      <c r="BK80" s="97" t="str">
        <f>IF($A80="","",IFERROR(INDEX(Deductibles!$C$6:$I$15,MATCH($W80,Deductibles!$B$6:$B$15,0),MATCH(MAX($J80,'Technical Premium'!$C$18),'Base Rates'!$C$3:$I$3,1)),"?"))</f>
        <v/>
      </c>
      <c r="BL80" s="97" t="str">
        <f>IF($A80="","",IFERROR(INDEX('Usage and Coverage'!$C$63:$C$66,MATCH($X80,'Usage and Coverage'!$B$63:$B$66,0)),"?"))</f>
        <v/>
      </c>
      <c r="BM80" s="97" t="str">
        <f>IF($A80="","",IFERROR(INDEX('Usage and Coverage'!$C$70:$C$75,MATCH($V80,'Usage and Coverage'!$B$70:$B$75,0)),"?"))</f>
        <v/>
      </c>
      <c r="BN80" s="97" t="str">
        <f>IF($A80="","",IF($AB80="",1,IFERROR(INDEX(Deductibles!$C$48:$C$51,MATCH($AB80,Deductibles!$B$48:$B$51,0)),"?")))</f>
        <v/>
      </c>
      <c r="BO80" s="97" t="str">
        <f>IF($A80="","",IF($AC80="",1,IFERROR(INDEX(Deductibles!$C$55:$C$57,MATCH($AC80,Deductibles!$B$55:$B$57,0)),"?")))</f>
        <v/>
      </c>
      <c r="BP80" s="97" t="str">
        <f>IF($A80="","",IF($AD80="",1,IFERROR(INDEX(Deductibles!$C$61:$C$63,MATCH($AD80,Deductibles!$B$61:$B$63,0)),"?")))</f>
        <v/>
      </c>
      <c r="BQ80" s="97" t="str">
        <f>IF($A80="","",IF($AE80="",1,IFERROR(INDEX(Deductibles!$C$67:$C$69,MATCH($AE80,Deductibles!$B$67:$B$69,0)),"?")))</f>
        <v/>
      </c>
      <c r="BR80" s="97" t="str">
        <f>IF($A80="","",IF($AF80="",1,IFERROR(INDEX(Deductibles!$C$73:$C$74,MATCH($AF80,Deductibles!$B$73:$B$74,0)),"?")))</f>
        <v/>
      </c>
      <c r="BS80" s="97" t="str">
        <f>IF($A80="","",IF($AG80="",1,IFERROR(INDEX('Sublimits and Parts'!$C$49:$C$52,MATCH($AG80,'Sublimits and Parts'!$B$49:$B$52,0)),"?")))</f>
        <v/>
      </c>
      <c r="BT80" s="97" t="str">
        <f>IF($A80="","",IF($AH80="",1,IFERROR(INDEX('Sublimits and Parts'!$C$56:$C$60,MATCH($AH80,'Sublimits and Parts'!$B$56:$B$60,0)),"?")))</f>
        <v/>
      </c>
      <c r="BU80" s="97" t="str">
        <f>IF($A80="","",IF($AI80="",1,IFERROR(INDEX('Sublimits and Parts'!$C$64:$C$67,MATCH($AI80,'Sublimits and Parts'!$B$64:$B$67,0)),"?")))</f>
        <v/>
      </c>
      <c r="BV80" s="97" t="str">
        <f>IF($A80="","",IF($AJ80="",1,IFERROR(INDEX('Sublimits and Parts'!$C$71:$C$74,MATCH($AJ80,'Sublimits and Parts'!$B$71:$B$74,0)),"?")))</f>
        <v/>
      </c>
      <c r="BW80" s="97" t="str">
        <f>IF($A80="","",IF($AK80="",1,IFERROR(INDEX('Sublimits and Parts'!$C$78:$C$80,MATCH($AK80,'Sublimits and Parts'!$B$78:$B$80,0)),"?")))</f>
        <v/>
      </c>
      <c r="BX80" s="97" t="str">
        <f>IF($A80="","",IF($AL80="",1,IFERROR(INDEX('Sublimits and Parts'!$C$84:$C$87,MATCH($AL80,'Sublimits and Parts'!$B$84:$B$87,0)),"?")))</f>
        <v/>
      </c>
      <c r="BY80" s="97" t="str">
        <f>IF($A80="","",IF($AM80="",1,IFERROR(INDEX('Sublimits and Parts'!$C$91:$C$94,MATCH($AM80,'Sublimits and Parts'!$B$91:$B$94,0)),"?")))</f>
        <v/>
      </c>
      <c r="BZ80" s="97" t="str">
        <f>IF($A80="","",IF($AN80="",1,IFERROR(INDEX('Sublimits and Parts'!$C$98:$C$101,MATCH($AN80,'Sublimits and Parts'!$B$98:$B$101,0)),"?")))</f>
        <v/>
      </c>
      <c r="CA80" s="97" t="str">
        <f>IF($A80="","",IF($AO80="",1,IFERROR(INDEX('Sublimits and Parts'!$C$105:$C$109,MATCH($AO80,'Sublimits and Parts'!$B$105:$B$109,0)),"?")))</f>
        <v/>
      </c>
      <c r="CB80" s="98" t="str">
        <f t="shared" si="15"/>
        <v/>
      </c>
      <c r="CC80" s="98" t="str">
        <f t="shared" si="16"/>
        <v/>
      </c>
      <c r="CD80" s="101" t="str">
        <f>IF($A80="","",IF(OR($CB80="?",$CC80="?"),"?",MIN($CB80*$CC80,'Technical Premium'!$C$17)))</f>
        <v/>
      </c>
      <c r="CE80" s="100" t="str">
        <f t="shared" si="17"/>
        <v/>
      </c>
      <c r="CF80" s="100" t="str">
        <f>IF($A80="","",IFERROR(INDEX('Territory Factors'!$F$6:$F$56,MATCH($K80,'Territory Factors'!$B$6:$B$56,0)),"?"))</f>
        <v/>
      </c>
      <c r="CG80" s="98" t="str">
        <f>IF($A80="","",IFERROR(INDEX('Usage and Coverage'!$C$79:$C$84,MATCH($Y80,'Usage and Coverage'!$B$79:$B$84,0)),"?"))</f>
        <v/>
      </c>
      <c r="CH80" s="100" t="str">
        <f>IFERROR(IF(ISNUMBER($CD80),$CF80*$CG80*MIN($BG80*$BA80*$BC80*$BD80*$BH80*$BF80,'Technical Premium'!$C$17),""),"")</f>
        <v/>
      </c>
      <c r="CI80" s="100" t="str">
        <f t="shared" si="18"/>
        <v/>
      </c>
      <c r="CJ80" s="100" t="str">
        <f>IFERROR($CI80*(1+'Technical Premium'!$C$5)*(1+'Technical Premium'!$C$6),"")</f>
        <v/>
      </c>
      <c r="CK80" s="100" t="str">
        <f>IFERROR($CE80*INDEX('Territory Factors'!$G$6:$G$56,MATCH($K80,'Territory Factors'!$B$6:$B$56,0))*$AU80*$AV80,"")</f>
        <v/>
      </c>
      <c r="CL80" s="100" t="str">
        <f>IFERROR(($CJ80+$CK80)*(1+'Technical Premium'!$C$7),"")</f>
        <v/>
      </c>
      <c r="CM80" s="102" t="str">
        <f>IFERROR($CL80/'Technical Premium'!$C$13,"")</f>
        <v/>
      </c>
      <c r="CN80" s="103" t="str">
        <f t="shared" si="19"/>
        <v/>
      </c>
      <c r="CO80" s="102" t="str">
        <f t="shared" si="20"/>
        <v/>
      </c>
      <c r="CP80" s="103" t="str">
        <f t="shared" si="21"/>
        <v/>
      </c>
      <c r="CQ80" s="104" t="str">
        <f t="shared" si="22"/>
        <v/>
      </c>
      <c r="CR80" s="100" t="str">
        <f>IF(ISNUMBER($CM80),'Technical Premium'!$C$14+IF($J80&gt;=1000000,'Technical Premium'!$C$15,0),"")</f>
        <v/>
      </c>
      <c r="CS80" s="100" t="str">
        <f>IFERROR(($CO80+$CR80)*(INDEX('Territory Factors'!$K$6:$K$56,MATCH($K80,'Territory Factors'!$B$6:$B$56,0))+'Commission Structure'!$C$21),"")</f>
        <v/>
      </c>
      <c r="CT80" s="102" t="str">
        <f t="shared" si="23"/>
        <v/>
      </c>
      <c r="CU80" s="100" t="str">
        <f>IFERROR($CO80*('Commission Structure'!$C$6+'Commission Structure'!$C$7),"")</f>
        <v/>
      </c>
      <c r="CV80" s="100" t="str">
        <f>IFERROR($CO80*'Commission Structure'!$C$5-$CU80,"")</f>
        <v/>
      </c>
      <c r="CW80" s="100" t="str">
        <f>IFERROR($CO80*(1-'Commission Structure'!$C$5),"")</f>
        <v/>
      </c>
      <c r="CX80" s="105" t="str">
        <f>IF($A80="","",IF(OR($CB80="?",$CC80="?",NOT(ISNUMBER($AU80))),"CHECK INPUTS",IF(OR($J80&lt;'Technical Premium'!$C$18,LEFT(IFERROR(INDEX('Driver Factors'!$D$6:$D$15,MATCH($R80,'Driver Factors'!$B$6:$B$15,0)),""),7)="DECLINE",LEFT(IFERROR(INDEX('Driver Factors'!$D$28:$D$36,MATCH($T80,'Driver Factors'!$B$28:$B$36,0)),""),7)="DECLINE",LEFT(IFERROR(INDEX('Claims History'!$D$6:$D$15,MATCH($U80,'Claims History'!$B$6:$B$15,0)),""),7)="DECLINE",LEFT(IFERROR(INDEX('Usage and Coverage'!$E$6:$E$20,MATCH($N80,'Usage and Coverage'!$C$6:$C$20,0)),""),7)="DECLINE"),"DECLINE",IF(OR($CD80&gt;2.5,$CD80&gt;='Technical Premium'!$C$17,$J80&gt;='Technical Premium'!$C$16,N($AQ80)&lt;'Technical Premium'!$C$19,N($AQ80)&gt;'Technical Premium'!$C$20,LEFT(IFERROR(INDEX('Driver Factors'!$D$6:$D$15,MATCH($R80,'Driver Factors'!$B$6:$B$15,0)),""),5)="Refer",LEFT(IFERROR(INDEX('Driver Factors'!$D$28:$D$36,MATCH($T80,'Driver Factors'!$B$28:$B$36,0)),""),5)="Refer",LEFT(IFERROR(INDEX('Claims History'!$D$6:$D$15,MATCH($U80,'Claims History'!$B$6:$B$15,0)),""),5)="Refer",LEFT(IFERROR(INDEX('Usage and Coverage'!$E$6:$E$20,MATCH($N80,'Usage and Coverage'!$C$6:$C$20,0)),""),5)="Refer"),"REFER","AUTO-BIND"))))</f>
        <v/>
      </c>
      <c r="CY80" s="106" t="str">
        <f t="shared" si="24"/>
        <v/>
      </c>
      <c r="CZ80" s="97" t="str">
        <f>IF($CY80="","",IF($CY80&lt;'Technical Premium'!$C$19,"BEYOND AUTHORITY",IF($CY80&gt;0.005,"Above technical",IF($CY80&lt;-0.005,"BELOW technical","At technical"))))</f>
        <v/>
      </c>
      <c r="DA80" s="97" t="str">
        <f>IF($A80="","",IF($CX80="AUTO-BIND","",TRIM(IF($J80&lt;'Technical Premium'!$C$18,"Below programme minimum agreed value. ","")&amp;IF(N($AQ80)&lt;'Technical Premium'!$C$19,"DISCOUNT AUTHORITY BREACH. ","")&amp;IF(N($AQ80)&gt;'Technical Premium'!$C$20,"Load authority breach. ","")&amp;IF($J80&gt;='Technical Premium'!$C$16,"Agreed value at or above auto-bind limit. ","")&amp;IF(AND(ISNUMBER($CD80),$CD80&gt;='Technical Premium'!$C$17),"Composite factor at cap. ","")&amp;IF(AND(ISNUMBER($CD80),$CD80&gt;2.5),"Composite factor above 2.50. ","")&amp;IF(LEFT(IFERROR(INDEX('Driver Factors'!$D$6:$D$15,MATCH($R80,'Driver Factors'!$B$6:$B$15,0)),""),7)="DECLINE","DECLINE - driver age. ",IF(LEFT(IFERROR(INDEX('Driver Factors'!$D$6:$D$15,MATCH($R80,'Driver Factors'!$B$6:$B$15,0)),""),5)="Refer","Driver age band. ",""))&amp;IF(LEFT(IFERROR(INDEX('Driver Factors'!$D$28:$D$36,MATCH($T80,'Driver Factors'!$B$28:$B$36,0)),""),7)="DECLINE","DECLINE - MVR. ",IF(LEFT(IFERROR(INDEX('Driver Factors'!$D$28:$D$36,MATCH($T80,'Driver Factors'!$B$28:$B$36,0)),""),5)="Refer","MVR record. ",""))&amp;IF(LEFT(IFERROR(INDEX('Claims History'!$D$6:$D$15,MATCH($U80,'Claims History'!$B$6:$B$15,0)),""),7)="DECLINE","DECLINE - claims. ",IF(LEFT(IFERROR(INDEX('Claims History'!$D$6:$D$15,MATCH($U80,'Claims History'!$B$6:$B$15,0)),""),5)="Refer","Claims history. ",""))&amp;IF(LEFT(IFERROR(INDEX('Usage and Coverage'!$E$6:$E$20,MATCH($N80,'Usage and Coverage'!$C$6:$C$20,0)),""),7)="DECLINE","DECLINE - usage class. ",IF(LEFT(IFERROR(INDEX('Usage and Coverage'!$E$6:$E$20,MATCH($N80,'Usage and Coverage'!$C$6:$C$20,0)),""),5)="Refer","Usage class. ",""))&amp;IF($CX80="CHECK INPUTS","Incomplete inputs. ",""))))</f>
        <v/>
      </c>
      <c r="DB80" s="92"/>
      <c r="DC80" s="92"/>
      <c r="DD80" s="93"/>
      <c r="DE80" s="92"/>
      <c r="DF80" s="92"/>
      <c r="DG80" s="97" t="str">
        <f t="shared" si="25"/>
        <v/>
      </c>
      <c r="DH80" s="97" t="str">
        <f>IF($A80="","",IF(OR($CX80="REFER",$CX80="DECLINE"),COUNTIF($CX$5:$CX80,"REFER")+COUNTIF($CX$5:$CX80,"DECLINE"),""))</f>
        <v/>
      </c>
      <c r="DI80" s="92"/>
    </row>
    <row r="81" spans="1:113" x14ac:dyDescent="0.25">
      <c r="A81" s="92"/>
      <c r="B81" s="92"/>
      <c r="C81" s="93"/>
      <c r="D81" s="93"/>
      <c r="E81" s="94"/>
      <c r="F81" s="92"/>
      <c r="G81" s="92"/>
      <c r="H81" s="92"/>
      <c r="I81" s="92"/>
      <c r="J81" s="95"/>
      <c r="K81" s="92"/>
      <c r="L81" s="92"/>
      <c r="M81" s="92"/>
      <c r="N81" s="92"/>
      <c r="O81" s="92"/>
      <c r="P81" s="92"/>
      <c r="Q81" s="92"/>
      <c r="R81" s="92"/>
      <c r="S81" s="92"/>
      <c r="T81" s="92"/>
      <c r="U81" s="92"/>
      <c r="V81" s="92"/>
      <c r="W81" s="92"/>
      <c r="X81" s="92"/>
      <c r="Y81" s="92"/>
      <c r="Z81" s="92"/>
      <c r="AA81" s="92"/>
      <c r="AB81" s="92"/>
      <c r="AC81" s="92"/>
      <c r="AD81" s="92"/>
      <c r="AE81" s="92"/>
      <c r="AF81" s="92"/>
      <c r="AG81" s="92"/>
      <c r="AH81" s="92"/>
      <c r="AI81" s="92"/>
      <c r="AJ81" s="92"/>
      <c r="AK81" s="92"/>
      <c r="AL81" s="92"/>
      <c r="AM81" s="92"/>
      <c r="AN81" s="92"/>
      <c r="AO81" s="92"/>
      <c r="AP81" s="92"/>
      <c r="AQ81" s="96"/>
      <c r="AR81" s="97" t="str">
        <f t="shared" si="13"/>
        <v/>
      </c>
      <c r="AS81" s="97" t="str">
        <f>IF($A81="","",IF($AP81&lt;&gt;"",$AP81,IFERROR(INDEX('Cat Zone by ZIP'!$D$6:$D$856,MATCH($AR81,'Cat Zone by ZIP'!$B$6:$B$856,0)),IFERROR(INDEX('Cat Zone by ZIP'!$C$860:$C$910,MATCH($K81,'Cat Zone by ZIP'!$B$860:$B$910,0)),"NOT FOUND"))))</f>
        <v/>
      </c>
      <c r="AT81" s="97" t="str">
        <f>IF($A81="","",IF($AP81&lt;&gt;"","Override",IF(ISNUMBER(MATCH($AR81,'Cat Zone by ZIP'!$B$6:$B$856,0)),"ZIP-3","State default")))</f>
        <v/>
      </c>
      <c r="AU81" s="98" t="str">
        <f>IF($A81="","",IFERROR(INDEX('Natural Catastrophe'!$D$6:$D$17,MATCH($AS81,'Natural Catastrophe'!$B$6:$B$17,0)),"?"))</f>
        <v/>
      </c>
      <c r="AV81" s="98" t="str">
        <f>IF($A81="","",IFERROR(INDEX('Natural Catastrophe'!$C$21:$C$26,MATCH($AA81,'Natural Catastrophe'!$B$21:$B$26,0)),"?"))</f>
        <v/>
      </c>
      <c r="AW81" s="97" t="str">
        <f>IF($A81="","",IFERROR(INDEX('Base Rates'!$C$4:$I$4,MATCH(MAX($J81,'Technical Premium'!$C$18),'Base Rates'!$C$3:$I$3,1)),"?"))</f>
        <v/>
      </c>
      <c r="AX81" s="99" t="str">
        <f>IF($A81="","",IFERROR(INDEX('Base Rates'!$C$5:$I$16,MATCH($I81,'Base Rates'!$B$5:$B$16,0),MATCH(MAX($J81,'Technical Premium'!$C$18),'Base Rates'!$C$3:$I$3,1)),"?"))</f>
        <v/>
      </c>
      <c r="AY81" s="100" t="str">
        <f t="shared" si="14"/>
        <v/>
      </c>
      <c r="AZ81" s="97" t="str">
        <f>IF($A81="","",IFERROR(INDEX('Make Factors'!$G$5:$G$69,MATCH($F81,'Make Factors'!$B$5:$B$69,0)),"?"))</f>
        <v/>
      </c>
      <c r="BA81" s="97" t="str">
        <f>IF($A81="","",IFERROR(INDEX('Driver Factors'!$C$6:$C$15,MATCH($R81,'Driver Factors'!$B$6:$B$15,0)),"?"))</f>
        <v/>
      </c>
      <c r="BB81" s="97" t="str">
        <f>IF($A81="","",IFERROR(INDEX('Driver Factors'!$C$19:$C$24,MATCH($S81,'Driver Factors'!$B$19:$B$24,0)),"?"))</f>
        <v/>
      </c>
      <c r="BC81" s="97" t="str">
        <f>IF($A81="","",IFERROR(INDEX('Driver Factors'!$C$28:$C$36,MATCH($T81,'Driver Factors'!$B$28:$B$36,0)),"?"))</f>
        <v/>
      </c>
      <c r="BD81" s="97" t="str">
        <f>IF($A81="","",IFERROR(INDEX('Claims History'!$C$6:$C$15,MATCH($U81,'Claims History'!$B$6:$B$15,0)),"?"))</f>
        <v/>
      </c>
      <c r="BE81" s="97" t="str">
        <f>IF($A81="","",IFERROR(INDEX('Territory Factors'!$E$6:$E$56,MATCH($K81,'Territory Factors'!$B$6:$B$56,0)),"?"))</f>
        <v/>
      </c>
      <c r="BF81" s="97" t="str">
        <f>IF($A81="","",IFERROR(INDEX('City Accident Ratings'!$G$6:$G$54,MATCH($Z81,'City Accident Ratings'!$B$6:$B$54,0)),"?"))</f>
        <v/>
      </c>
      <c r="BG81" s="97" t="str">
        <f>IF($A81="","",IFERROR(INDEX('Usage and Coverage'!$D$6:$D$20,MATCH($N81,'Usage and Coverage'!$C$6:$C$20,0)),"?"))</f>
        <v/>
      </c>
      <c r="BH81" s="97" t="str">
        <f>IF($A81="","",IFERROR(INDEX('Usage and Coverage'!$C$24:$C$30,MATCH($O81,'Usage and Coverage'!$B$24:$B$30,0)),"?"))</f>
        <v/>
      </c>
      <c r="BI81" s="97" t="str">
        <f>IF($A81="","",IFERROR(INDEX('Usage and Coverage'!$C$34:$C$40,MATCH($P81,'Usage and Coverage'!$B$34:$B$40,0)),"?"))</f>
        <v/>
      </c>
      <c r="BJ81" s="97" t="str">
        <f>IF($A81="","",IFERROR(INDEX('Usage and Coverage'!$C$44:$C$49,MATCH($Q81,'Usage and Coverage'!$B$44:$B$49,0)),"?"))</f>
        <v/>
      </c>
      <c r="BK81" s="97" t="str">
        <f>IF($A81="","",IFERROR(INDEX(Deductibles!$C$6:$I$15,MATCH($W81,Deductibles!$B$6:$B$15,0),MATCH(MAX($J81,'Technical Premium'!$C$18),'Base Rates'!$C$3:$I$3,1)),"?"))</f>
        <v/>
      </c>
      <c r="BL81" s="97" t="str">
        <f>IF($A81="","",IFERROR(INDEX('Usage and Coverage'!$C$63:$C$66,MATCH($X81,'Usage and Coverage'!$B$63:$B$66,0)),"?"))</f>
        <v/>
      </c>
      <c r="BM81" s="97" t="str">
        <f>IF($A81="","",IFERROR(INDEX('Usage and Coverage'!$C$70:$C$75,MATCH($V81,'Usage and Coverage'!$B$70:$B$75,0)),"?"))</f>
        <v/>
      </c>
      <c r="BN81" s="97" t="str">
        <f>IF($A81="","",IF($AB81="",1,IFERROR(INDEX(Deductibles!$C$48:$C$51,MATCH($AB81,Deductibles!$B$48:$B$51,0)),"?")))</f>
        <v/>
      </c>
      <c r="BO81" s="97" t="str">
        <f>IF($A81="","",IF($AC81="",1,IFERROR(INDEX(Deductibles!$C$55:$C$57,MATCH($AC81,Deductibles!$B$55:$B$57,0)),"?")))</f>
        <v/>
      </c>
      <c r="BP81" s="97" t="str">
        <f>IF($A81="","",IF($AD81="",1,IFERROR(INDEX(Deductibles!$C$61:$C$63,MATCH($AD81,Deductibles!$B$61:$B$63,0)),"?")))</f>
        <v/>
      </c>
      <c r="BQ81" s="97" t="str">
        <f>IF($A81="","",IF($AE81="",1,IFERROR(INDEX(Deductibles!$C$67:$C$69,MATCH($AE81,Deductibles!$B$67:$B$69,0)),"?")))</f>
        <v/>
      </c>
      <c r="BR81" s="97" t="str">
        <f>IF($A81="","",IF($AF81="",1,IFERROR(INDEX(Deductibles!$C$73:$C$74,MATCH($AF81,Deductibles!$B$73:$B$74,0)),"?")))</f>
        <v/>
      </c>
      <c r="BS81" s="97" t="str">
        <f>IF($A81="","",IF($AG81="",1,IFERROR(INDEX('Sublimits and Parts'!$C$49:$C$52,MATCH($AG81,'Sublimits and Parts'!$B$49:$B$52,0)),"?")))</f>
        <v/>
      </c>
      <c r="BT81" s="97" t="str">
        <f>IF($A81="","",IF($AH81="",1,IFERROR(INDEX('Sublimits and Parts'!$C$56:$C$60,MATCH($AH81,'Sublimits and Parts'!$B$56:$B$60,0)),"?")))</f>
        <v/>
      </c>
      <c r="BU81" s="97" t="str">
        <f>IF($A81="","",IF($AI81="",1,IFERROR(INDEX('Sublimits and Parts'!$C$64:$C$67,MATCH($AI81,'Sublimits and Parts'!$B$64:$B$67,0)),"?")))</f>
        <v/>
      </c>
      <c r="BV81" s="97" t="str">
        <f>IF($A81="","",IF($AJ81="",1,IFERROR(INDEX('Sublimits and Parts'!$C$71:$C$74,MATCH($AJ81,'Sublimits and Parts'!$B$71:$B$74,0)),"?")))</f>
        <v/>
      </c>
      <c r="BW81" s="97" t="str">
        <f>IF($A81="","",IF($AK81="",1,IFERROR(INDEX('Sublimits and Parts'!$C$78:$C$80,MATCH($AK81,'Sublimits and Parts'!$B$78:$B$80,0)),"?")))</f>
        <v/>
      </c>
      <c r="BX81" s="97" t="str">
        <f>IF($A81="","",IF($AL81="",1,IFERROR(INDEX('Sublimits and Parts'!$C$84:$C$87,MATCH($AL81,'Sublimits and Parts'!$B$84:$B$87,0)),"?")))</f>
        <v/>
      </c>
      <c r="BY81" s="97" t="str">
        <f>IF($A81="","",IF($AM81="",1,IFERROR(INDEX('Sublimits and Parts'!$C$91:$C$94,MATCH($AM81,'Sublimits and Parts'!$B$91:$B$94,0)),"?")))</f>
        <v/>
      </c>
      <c r="BZ81" s="97" t="str">
        <f>IF($A81="","",IF($AN81="",1,IFERROR(INDEX('Sublimits and Parts'!$C$98:$C$101,MATCH($AN81,'Sublimits and Parts'!$B$98:$B$101,0)),"?")))</f>
        <v/>
      </c>
      <c r="CA81" s="97" t="str">
        <f>IF($A81="","",IF($AO81="",1,IFERROR(INDEX('Sublimits and Parts'!$C$105:$C$109,MATCH($AO81,'Sublimits and Parts'!$B$105:$B$109,0)),"?")))</f>
        <v/>
      </c>
      <c r="CB81" s="98" t="str">
        <f t="shared" si="15"/>
        <v/>
      </c>
      <c r="CC81" s="98" t="str">
        <f t="shared" si="16"/>
        <v/>
      </c>
      <c r="CD81" s="101" t="str">
        <f>IF($A81="","",IF(OR($CB81="?",$CC81="?"),"?",MIN($CB81*$CC81,'Technical Premium'!$C$17)))</f>
        <v/>
      </c>
      <c r="CE81" s="100" t="str">
        <f t="shared" si="17"/>
        <v/>
      </c>
      <c r="CF81" s="100" t="str">
        <f>IF($A81="","",IFERROR(INDEX('Territory Factors'!$F$6:$F$56,MATCH($K81,'Territory Factors'!$B$6:$B$56,0)),"?"))</f>
        <v/>
      </c>
      <c r="CG81" s="98" t="str">
        <f>IF($A81="","",IFERROR(INDEX('Usage and Coverage'!$C$79:$C$84,MATCH($Y81,'Usage and Coverage'!$B$79:$B$84,0)),"?"))</f>
        <v/>
      </c>
      <c r="CH81" s="100" t="str">
        <f>IFERROR(IF(ISNUMBER($CD81),$CF81*$CG81*MIN($BG81*$BA81*$BC81*$BD81*$BH81*$BF81,'Technical Premium'!$C$17),""),"")</f>
        <v/>
      </c>
      <c r="CI81" s="100" t="str">
        <f t="shared" si="18"/>
        <v/>
      </c>
      <c r="CJ81" s="100" t="str">
        <f>IFERROR($CI81*(1+'Technical Premium'!$C$5)*(1+'Technical Premium'!$C$6),"")</f>
        <v/>
      </c>
      <c r="CK81" s="100" t="str">
        <f>IFERROR($CE81*INDEX('Territory Factors'!$G$6:$G$56,MATCH($K81,'Territory Factors'!$B$6:$B$56,0))*$AU81*$AV81,"")</f>
        <v/>
      </c>
      <c r="CL81" s="100" t="str">
        <f>IFERROR(($CJ81+$CK81)*(1+'Technical Premium'!$C$7),"")</f>
        <v/>
      </c>
      <c r="CM81" s="102" t="str">
        <f>IFERROR($CL81/'Technical Premium'!$C$13,"")</f>
        <v/>
      </c>
      <c r="CN81" s="103" t="str">
        <f t="shared" si="19"/>
        <v/>
      </c>
      <c r="CO81" s="102" t="str">
        <f t="shared" si="20"/>
        <v/>
      </c>
      <c r="CP81" s="103" t="str">
        <f t="shared" si="21"/>
        <v/>
      </c>
      <c r="CQ81" s="104" t="str">
        <f t="shared" si="22"/>
        <v/>
      </c>
      <c r="CR81" s="100" t="str">
        <f>IF(ISNUMBER($CM81),'Technical Premium'!$C$14+IF($J81&gt;=1000000,'Technical Premium'!$C$15,0),"")</f>
        <v/>
      </c>
      <c r="CS81" s="100" t="str">
        <f>IFERROR(($CO81+$CR81)*(INDEX('Territory Factors'!$K$6:$K$56,MATCH($K81,'Territory Factors'!$B$6:$B$56,0))+'Commission Structure'!$C$21),"")</f>
        <v/>
      </c>
      <c r="CT81" s="102" t="str">
        <f t="shared" si="23"/>
        <v/>
      </c>
      <c r="CU81" s="100" t="str">
        <f>IFERROR($CO81*('Commission Structure'!$C$6+'Commission Structure'!$C$7),"")</f>
        <v/>
      </c>
      <c r="CV81" s="100" t="str">
        <f>IFERROR($CO81*'Commission Structure'!$C$5-$CU81,"")</f>
        <v/>
      </c>
      <c r="CW81" s="100" t="str">
        <f>IFERROR($CO81*(1-'Commission Structure'!$C$5),"")</f>
        <v/>
      </c>
      <c r="CX81" s="105" t="str">
        <f>IF($A81="","",IF(OR($CB81="?",$CC81="?",NOT(ISNUMBER($AU81))),"CHECK INPUTS",IF(OR($J81&lt;'Technical Premium'!$C$18,LEFT(IFERROR(INDEX('Driver Factors'!$D$6:$D$15,MATCH($R81,'Driver Factors'!$B$6:$B$15,0)),""),7)="DECLINE",LEFT(IFERROR(INDEX('Driver Factors'!$D$28:$D$36,MATCH($T81,'Driver Factors'!$B$28:$B$36,0)),""),7)="DECLINE",LEFT(IFERROR(INDEX('Claims History'!$D$6:$D$15,MATCH($U81,'Claims History'!$B$6:$B$15,0)),""),7)="DECLINE",LEFT(IFERROR(INDEX('Usage and Coverage'!$E$6:$E$20,MATCH($N81,'Usage and Coverage'!$C$6:$C$20,0)),""),7)="DECLINE"),"DECLINE",IF(OR($CD81&gt;2.5,$CD81&gt;='Technical Premium'!$C$17,$J81&gt;='Technical Premium'!$C$16,N($AQ81)&lt;'Technical Premium'!$C$19,N($AQ81)&gt;'Technical Premium'!$C$20,LEFT(IFERROR(INDEX('Driver Factors'!$D$6:$D$15,MATCH($R81,'Driver Factors'!$B$6:$B$15,0)),""),5)="Refer",LEFT(IFERROR(INDEX('Driver Factors'!$D$28:$D$36,MATCH($T81,'Driver Factors'!$B$28:$B$36,0)),""),5)="Refer",LEFT(IFERROR(INDEX('Claims History'!$D$6:$D$15,MATCH($U81,'Claims History'!$B$6:$B$15,0)),""),5)="Refer",LEFT(IFERROR(INDEX('Usage and Coverage'!$E$6:$E$20,MATCH($N81,'Usage and Coverage'!$C$6:$C$20,0)),""),5)="Refer"),"REFER","AUTO-BIND"))))</f>
        <v/>
      </c>
      <c r="CY81" s="106" t="str">
        <f t="shared" si="24"/>
        <v/>
      </c>
      <c r="CZ81" s="97" t="str">
        <f>IF($CY81="","",IF($CY81&lt;'Technical Premium'!$C$19,"BEYOND AUTHORITY",IF($CY81&gt;0.005,"Above technical",IF($CY81&lt;-0.005,"BELOW technical","At technical"))))</f>
        <v/>
      </c>
      <c r="DA81" s="97" t="str">
        <f>IF($A81="","",IF($CX81="AUTO-BIND","",TRIM(IF($J81&lt;'Technical Premium'!$C$18,"Below programme minimum agreed value. ","")&amp;IF(N($AQ81)&lt;'Technical Premium'!$C$19,"DISCOUNT AUTHORITY BREACH. ","")&amp;IF(N($AQ81)&gt;'Technical Premium'!$C$20,"Load authority breach. ","")&amp;IF($J81&gt;='Technical Premium'!$C$16,"Agreed value at or above auto-bind limit. ","")&amp;IF(AND(ISNUMBER($CD81),$CD81&gt;='Technical Premium'!$C$17),"Composite factor at cap. ","")&amp;IF(AND(ISNUMBER($CD81),$CD81&gt;2.5),"Composite factor above 2.50. ","")&amp;IF(LEFT(IFERROR(INDEX('Driver Factors'!$D$6:$D$15,MATCH($R81,'Driver Factors'!$B$6:$B$15,0)),""),7)="DECLINE","DECLINE - driver age. ",IF(LEFT(IFERROR(INDEX('Driver Factors'!$D$6:$D$15,MATCH($R81,'Driver Factors'!$B$6:$B$15,0)),""),5)="Refer","Driver age band. ",""))&amp;IF(LEFT(IFERROR(INDEX('Driver Factors'!$D$28:$D$36,MATCH($T81,'Driver Factors'!$B$28:$B$36,0)),""),7)="DECLINE","DECLINE - MVR. ",IF(LEFT(IFERROR(INDEX('Driver Factors'!$D$28:$D$36,MATCH($T81,'Driver Factors'!$B$28:$B$36,0)),""),5)="Refer","MVR record. ",""))&amp;IF(LEFT(IFERROR(INDEX('Claims History'!$D$6:$D$15,MATCH($U81,'Claims History'!$B$6:$B$15,0)),""),7)="DECLINE","DECLINE - claims. ",IF(LEFT(IFERROR(INDEX('Claims History'!$D$6:$D$15,MATCH($U81,'Claims History'!$B$6:$B$15,0)),""),5)="Refer","Claims history. ",""))&amp;IF(LEFT(IFERROR(INDEX('Usage and Coverage'!$E$6:$E$20,MATCH($N81,'Usage and Coverage'!$C$6:$C$20,0)),""),7)="DECLINE","DECLINE - usage class. ",IF(LEFT(IFERROR(INDEX('Usage and Coverage'!$E$6:$E$20,MATCH($N81,'Usage and Coverage'!$C$6:$C$20,0)),""),5)="Refer","Usage class. ",""))&amp;IF($CX81="CHECK INPUTS","Incomplete inputs. ",""))))</f>
        <v/>
      </c>
      <c r="DB81" s="92"/>
      <c r="DC81" s="92"/>
      <c r="DD81" s="93"/>
      <c r="DE81" s="92"/>
      <c r="DF81" s="92"/>
      <c r="DG81" s="97" t="str">
        <f t="shared" si="25"/>
        <v/>
      </c>
      <c r="DH81" s="97" t="str">
        <f>IF($A81="","",IF(OR($CX81="REFER",$CX81="DECLINE"),COUNTIF($CX$5:$CX81,"REFER")+COUNTIF($CX$5:$CX81,"DECLINE"),""))</f>
        <v/>
      </c>
      <c r="DI81" s="92"/>
    </row>
    <row r="82" spans="1:113" x14ac:dyDescent="0.25">
      <c r="A82" s="92"/>
      <c r="B82" s="92"/>
      <c r="C82" s="93"/>
      <c r="D82" s="93"/>
      <c r="E82" s="94"/>
      <c r="F82" s="92"/>
      <c r="G82" s="92"/>
      <c r="H82" s="92"/>
      <c r="I82" s="92"/>
      <c r="J82" s="95"/>
      <c r="K82" s="92"/>
      <c r="L82" s="92"/>
      <c r="M82" s="92"/>
      <c r="N82" s="92"/>
      <c r="O82" s="92"/>
      <c r="P82" s="92"/>
      <c r="Q82" s="92"/>
      <c r="R82" s="92"/>
      <c r="S82" s="92"/>
      <c r="T82" s="92"/>
      <c r="U82" s="92"/>
      <c r="V82" s="92"/>
      <c r="W82" s="92"/>
      <c r="X82" s="92"/>
      <c r="Y82" s="92"/>
      <c r="Z82" s="92"/>
      <c r="AA82" s="92"/>
      <c r="AB82" s="92"/>
      <c r="AC82" s="92"/>
      <c r="AD82" s="92"/>
      <c r="AE82" s="92"/>
      <c r="AF82" s="92"/>
      <c r="AG82" s="92"/>
      <c r="AH82" s="92"/>
      <c r="AI82" s="92"/>
      <c r="AJ82" s="92"/>
      <c r="AK82" s="92"/>
      <c r="AL82" s="92"/>
      <c r="AM82" s="92"/>
      <c r="AN82" s="92"/>
      <c r="AO82" s="92"/>
      <c r="AP82" s="92"/>
      <c r="AQ82" s="96"/>
      <c r="AR82" s="97" t="str">
        <f t="shared" si="13"/>
        <v/>
      </c>
      <c r="AS82" s="97" t="str">
        <f>IF($A82="","",IF($AP82&lt;&gt;"",$AP82,IFERROR(INDEX('Cat Zone by ZIP'!$D$6:$D$856,MATCH($AR82,'Cat Zone by ZIP'!$B$6:$B$856,0)),IFERROR(INDEX('Cat Zone by ZIP'!$C$860:$C$910,MATCH($K82,'Cat Zone by ZIP'!$B$860:$B$910,0)),"NOT FOUND"))))</f>
        <v/>
      </c>
      <c r="AT82" s="97" t="str">
        <f>IF($A82="","",IF($AP82&lt;&gt;"","Override",IF(ISNUMBER(MATCH($AR82,'Cat Zone by ZIP'!$B$6:$B$856,0)),"ZIP-3","State default")))</f>
        <v/>
      </c>
      <c r="AU82" s="98" t="str">
        <f>IF($A82="","",IFERROR(INDEX('Natural Catastrophe'!$D$6:$D$17,MATCH($AS82,'Natural Catastrophe'!$B$6:$B$17,0)),"?"))</f>
        <v/>
      </c>
      <c r="AV82" s="98" t="str">
        <f>IF($A82="","",IFERROR(INDEX('Natural Catastrophe'!$C$21:$C$26,MATCH($AA82,'Natural Catastrophe'!$B$21:$B$26,0)),"?"))</f>
        <v/>
      </c>
      <c r="AW82" s="97" t="str">
        <f>IF($A82="","",IFERROR(INDEX('Base Rates'!$C$4:$I$4,MATCH(MAX($J82,'Technical Premium'!$C$18),'Base Rates'!$C$3:$I$3,1)),"?"))</f>
        <v/>
      </c>
      <c r="AX82" s="99" t="str">
        <f>IF($A82="","",IFERROR(INDEX('Base Rates'!$C$5:$I$16,MATCH($I82,'Base Rates'!$B$5:$B$16,0),MATCH(MAX($J82,'Technical Premium'!$C$18),'Base Rates'!$C$3:$I$3,1)),"?"))</f>
        <v/>
      </c>
      <c r="AY82" s="100" t="str">
        <f t="shared" si="14"/>
        <v/>
      </c>
      <c r="AZ82" s="97" t="str">
        <f>IF($A82="","",IFERROR(INDEX('Make Factors'!$G$5:$G$69,MATCH($F82,'Make Factors'!$B$5:$B$69,0)),"?"))</f>
        <v/>
      </c>
      <c r="BA82" s="97" t="str">
        <f>IF($A82="","",IFERROR(INDEX('Driver Factors'!$C$6:$C$15,MATCH($R82,'Driver Factors'!$B$6:$B$15,0)),"?"))</f>
        <v/>
      </c>
      <c r="BB82" s="97" t="str">
        <f>IF($A82="","",IFERROR(INDEX('Driver Factors'!$C$19:$C$24,MATCH($S82,'Driver Factors'!$B$19:$B$24,0)),"?"))</f>
        <v/>
      </c>
      <c r="BC82" s="97" t="str">
        <f>IF($A82="","",IFERROR(INDEX('Driver Factors'!$C$28:$C$36,MATCH($T82,'Driver Factors'!$B$28:$B$36,0)),"?"))</f>
        <v/>
      </c>
      <c r="BD82" s="97" t="str">
        <f>IF($A82="","",IFERROR(INDEX('Claims History'!$C$6:$C$15,MATCH($U82,'Claims History'!$B$6:$B$15,0)),"?"))</f>
        <v/>
      </c>
      <c r="BE82" s="97" t="str">
        <f>IF($A82="","",IFERROR(INDEX('Territory Factors'!$E$6:$E$56,MATCH($K82,'Territory Factors'!$B$6:$B$56,0)),"?"))</f>
        <v/>
      </c>
      <c r="BF82" s="97" t="str">
        <f>IF($A82="","",IFERROR(INDEX('City Accident Ratings'!$G$6:$G$54,MATCH($Z82,'City Accident Ratings'!$B$6:$B$54,0)),"?"))</f>
        <v/>
      </c>
      <c r="BG82" s="97" t="str">
        <f>IF($A82="","",IFERROR(INDEX('Usage and Coverage'!$D$6:$D$20,MATCH($N82,'Usage and Coverage'!$C$6:$C$20,0)),"?"))</f>
        <v/>
      </c>
      <c r="BH82" s="97" t="str">
        <f>IF($A82="","",IFERROR(INDEX('Usage and Coverage'!$C$24:$C$30,MATCH($O82,'Usage and Coverage'!$B$24:$B$30,0)),"?"))</f>
        <v/>
      </c>
      <c r="BI82" s="97" t="str">
        <f>IF($A82="","",IFERROR(INDEX('Usage and Coverage'!$C$34:$C$40,MATCH($P82,'Usage and Coverage'!$B$34:$B$40,0)),"?"))</f>
        <v/>
      </c>
      <c r="BJ82" s="97" t="str">
        <f>IF($A82="","",IFERROR(INDEX('Usage and Coverage'!$C$44:$C$49,MATCH($Q82,'Usage and Coverage'!$B$44:$B$49,0)),"?"))</f>
        <v/>
      </c>
      <c r="BK82" s="97" t="str">
        <f>IF($A82="","",IFERROR(INDEX(Deductibles!$C$6:$I$15,MATCH($W82,Deductibles!$B$6:$B$15,0),MATCH(MAX($J82,'Technical Premium'!$C$18),'Base Rates'!$C$3:$I$3,1)),"?"))</f>
        <v/>
      </c>
      <c r="BL82" s="97" t="str">
        <f>IF($A82="","",IFERROR(INDEX('Usage and Coverage'!$C$63:$C$66,MATCH($X82,'Usage and Coverage'!$B$63:$B$66,0)),"?"))</f>
        <v/>
      </c>
      <c r="BM82" s="97" t="str">
        <f>IF($A82="","",IFERROR(INDEX('Usage and Coverage'!$C$70:$C$75,MATCH($V82,'Usage and Coverage'!$B$70:$B$75,0)),"?"))</f>
        <v/>
      </c>
      <c r="BN82" s="97" t="str">
        <f>IF($A82="","",IF($AB82="",1,IFERROR(INDEX(Deductibles!$C$48:$C$51,MATCH($AB82,Deductibles!$B$48:$B$51,0)),"?")))</f>
        <v/>
      </c>
      <c r="BO82" s="97" t="str">
        <f>IF($A82="","",IF($AC82="",1,IFERROR(INDEX(Deductibles!$C$55:$C$57,MATCH($AC82,Deductibles!$B$55:$B$57,0)),"?")))</f>
        <v/>
      </c>
      <c r="BP82" s="97" t="str">
        <f>IF($A82="","",IF($AD82="",1,IFERROR(INDEX(Deductibles!$C$61:$C$63,MATCH($AD82,Deductibles!$B$61:$B$63,0)),"?")))</f>
        <v/>
      </c>
      <c r="BQ82" s="97" t="str">
        <f>IF($A82="","",IF($AE82="",1,IFERROR(INDEX(Deductibles!$C$67:$C$69,MATCH($AE82,Deductibles!$B$67:$B$69,0)),"?")))</f>
        <v/>
      </c>
      <c r="BR82" s="97" t="str">
        <f>IF($A82="","",IF($AF82="",1,IFERROR(INDEX(Deductibles!$C$73:$C$74,MATCH($AF82,Deductibles!$B$73:$B$74,0)),"?")))</f>
        <v/>
      </c>
      <c r="BS82" s="97" t="str">
        <f>IF($A82="","",IF($AG82="",1,IFERROR(INDEX('Sublimits and Parts'!$C$49:$C$52,MATCH($AG82,'Sublimits and Parts'!$B$49:$B$52,0)),"?")))</f>
        <v/>
      </c>
      <c r="BT82" s="97" t="str">
        <f>IF($A82="","",IF($AH82="",1,IFERROR(INDEX('Sublimits and Parts'!$C$56:$C$60,MATCH($AH82,'Sublimits and Parts'!$B$56:$B$60,0)),"?")))</f>
        <v/>
      </c>
      <c r="BU82" s="97" t="str">
        <f>IF($A82="","",IF($AI82="",1,IFERROR(INDEX('Sublimits and Parts'!$C$64:$C$67,MATCH($AI82,'Sublimits and Parts'!$B$64:$B$67,0)),"?")))</f>
        <v/>
      </c>
      <c r="BV82" s="97" t="str">
        <f>IF($A82="","",IF($AJ82="",1,IFERROR(INDEX('Sublimits and Parts'!$C$71:$C$74,MATCH($AJ82,'Sublimits and Parts'!$B$71:$B$74,0)),"?")))</f>
        <v/>
      </c>
      <c r="BW82" s="97" t="str">
        <f>IF($A82="","",IF($AK82="",1,IFERROR(INDEX('Sublimits and Parts'!$C$78:$C$80,MATCH($AK82,'Sublimits and Parts'!$B$78:$B$80,0)),"?")))</f>
        <v/>
      </c>
      <c r="BX82" s="97" t="str">
        <f>IF($A82="","",IF($AL82="",1,IFERROR(INDEX('Sublimits and Parts'!$C$84:$C$87,MATCH($AL82,'Sublimits and Parts'!$B$84:$B$87,0)),"?")))</f>
        <v/>
      </c>
      <c r="BY82" s="97" t="str">
        <f>IF($A82="","",IF($AM82="",1,IFERROR(INDEX('Sublimits and Parts'!$C$91:$C$94,MATCH($AM82,'Sublimits and Parts'!$B$91:$B$94,0)),"?")))</f>
        <v/>
      </c>
      <c r="BZ82" s="97" t="str">
        <f>IF($A82="","",IF($AN82="",1,IFERROR(INDEX('Sublimits and Parts'!$C$98:$C$101,MATCH($AN82,'Sublimits and Parts'!$B$98:$B$101,0)),"?")))</f>
        <v/>
      </c>
      <c r="CA82" s="97" t="str">
        <f>IF($A82="","",IF($AO82="",1,IFERROR(INDEX('Sublimits and Parts'!$C$105:$C$109,MATCH($AO82,'Sublimits and Parts'!$B$105:$B$109,0)),"?")))</f>
        <v/>
      </c>
      <c r="CB82" s="98" t="str">
        <f t="shared" si="15"/>
        <v/>
      </c>
      <c r="CC82" s="98" t="str">
        <f t="shared" si="16"/>
        <v/>
      </c>
      <c r="CD82" s="101" t="str">
        <f>IF($A82="","",IF(OR($CB82="?",$CC82="?"),"?",MIN($CB82*$CC82,'Technical Premium'!$C$17)))</f>
        <v/>
      </c>
      <c r="CE82" s="100" t="str">
        <f t="shared" si="17"/>
        <v/>
      </c>
      <c r="CF82" s="100" t="str">
        <f>IF($A82="","",IFERROR(INDEX('Territory Factors'!$F$6:$F$56,MATCH($K82,'Territory Factors'!$B$6:$B$56,0)),"?"))</f>
        <v/>
      </c>
      <c r="CG82" s="98" t="str">
        <f>IF($A82="","",IFERROR(INDEX('Usage and Coverage'!$C$79:$C$84,MATCH($Y82,'Usage and Coverage'!$B$79:$B$84,0)),"?"))</f>
        <v/>
      </c>
      <c r="CH82" s="100" t="str">
        <f>IFERROR(IF(ISNUMBER($CD82),$CF82*$CG82*MIN($BG82*$BA82*$BC82*$BD82*$BH82*$BF82,'Technical Premium'!$C$17),""),"")</f>
        <v/>
      </c>
      <c r="CI82" s="100" t="str">
        <f t="shared" si="18"/>
        <v/>
      </c>
      <c r="CJ82" s="100" t="str">
        <f>IFERROR($CI82*(1+'Technical Premium'!$C$5)*(1+'Technical Premium'!$C$6),"")</f>
        <v/>
      </c>
      <c r="CK82" s="100" t="str">
        <f>IFERROR($CE82*INDEX('Territory Factors'!$G$6:$G$56,MATCH($K82,'Territory Factors'!$B$6:$B$56,0))*$AU82*$AV82,"")</f>
        <v/>
      </c>
      <c r="CL82" s="100" t="str">
        <f>IFERROR(($CJ82+$CK82)*(1+'Technical Premium'!$C$7),"")</f>
        <v/>
      </c>
      <c r="CM82" s="102" t="str">
        <f>IFERROR($CL82/'Technical Premium'!$C$13,"")</f>
        <v/>
      </c>
      <c r="CN82" s="103" t="str">
        <f t="shared" si="19"/>
        <v/>
      </c>
      <c r="CO82" s="102" t="str">
        <f t="shared" si="20"/>
        <v/>
      </c>
      <c r="CP82" s="103" t="str">
        <f t="shared" si="21"/>
        <v/>
      </c>
      <c r="CQ82" s="104" t="str">
        <f t="shared" si="22"/>
        <v/>
      </c>
      <c r="CR82" s="100" t="str">
        <f>IF(ISNUMBER($CM82),'Technical Premium'!$C$14+IF($J82&gt;=1000000,'Technical Premium'!$C$15,0),"")</f>
        <v/>
      </c>
      <c r="CS82" s="100" t="str">
        <f>IFERROR(($CO82+$CR82)*(INDEX('Territory Factors'!$K$6:$K$56,MATCH($K82,'Territory Factors'!$B$6:$B$56,0))+'Commission Structure'!$C$21),"")</f>
        <v/>
      </c>
      <c r="CT82" s="102" t="str">
        <f t="shared" si="23"/>
        <v/>
      </c>
      <c r="CU82" s="100" t="str">
        <f>IFERROR($CO82*('Commission Structure'!$C$6+'Commission Structure'!$C$7),"")</f>
        <v/>
      </c>
      <c r="CV82" s="100" t="str">
        <f>IFERROR($CO82*'Commission Structure'!$C$5-$CU82,"")</f>
        <v/>
      </c>
      <c r="CW82" s="100" t="str">
        <f>IFERROR($CO82*(1-'Commission Structure'!$C$5),"")</f>
        <v/>
      </c>
      <c r="CX82" s="105" t="str">
        <f>IF($A82="","",IF(OR($CB82="?",$CC82="?",NOT(ISNUMBER($AU82))),"CHECK INPUTS",IF(OR($J82&lt;'Technical Premium'!$C$18,LEFT(IFERROR(INDEX('Driver Factors'!$D$6:$D$15,MATCH($R82,'Driver Factors'!$B$6:$B$15,0)),""),7)="DECLINE",LEFT(IFERROR(INDEX('Driver Factors'!$D$28:$D$36,MATCH($T82,'Driver Factors'!$B$28:$B$36,0)),""),7)="DECLINE",LEFT(IFERROR(INDEX('Claims History'!$D$6:$D$15,MATCH($U82,'Claims History'!$B$6:$B$15,0)),""),7)="DECLINE",LEFT(IFERROR(INDEX('Usage and Coverage'!$E$6:$E$20,MATCH($N82,'Usage and Coverage'!$C$6:$C$20,0)),""),7)="DECLINE"),"DECLINE",IF(OR($CD82&gt;2.5,$CD82&gt;='Technical Premium'!$C$17,$J82&gt;='Technical Premium'!$C$16,N($AQ82)&lt;'Technical Premium'!$C$19,N($AQ82)&gt;'Technical Premium'!$C$20,LEFT(IFERROR(INDEX('Driver Factors'!$D$6:$D$15,MATCH($R82,'Driver Factors'!$B$6:$B$15,0)),""),5)="Refer",LEFT(IFERROR(INDEX('Driver Factors'!$D$28:$D$36,MATCH($T82,'Driver Factors'!$B$28:$B$36,0)),""),5)="Refer",LEFT(IFERROR(INDEX('Claims History'!$D$6:$D$15,MATCH($U82,'Claims History'!$B$6:$B$15,0)),""),5)="Refer",LEFT(IFERROR(INDEX('Usage and Coverage'!$E$6:$E$20,MATCH($N82,'Usage and Coverage'!$C$6:$C$20,0)),""),5)="Refer"),"REFER","AUTO-BIND"))))</f>
        <v/>
      </c>
      <c r="CY82" s="106" t="str">
        <f t="shared" si="24"/>
        <v/>
      </c>
      <c r="CZ82" s="97" t="str">
        <f>IF($CY82="","",IF($CY82&lt;'Technical Premium'!$C$19,"BEYOND AUTHORITY",IF($CY82&gt;0.005,"Above technical",IF($CY82&lt;-0.005,"BELOW technical","At technical"))))</f>
        <v/>
      </c>
      <c r="DA82" s="97" t="str">
        <f>IF($A82="","",IF($CX82="AUTO-BIND","",TRIM(IF($J82&lt;'Technical Premium'!$C$18,"Below programme minimum agreed value. ","")&amp;IF(N($AQ82)&lt;'Technical Premium'!$C$19,"DISCOUNT AUTHORITY BREACH. ","")&amp;IF(N($AQ82)&gt;'Technical Premium'!$C$20,"Load authority breach. ","")&amp;IF($J82&gt;='Technical Premium'!$C$16,"Agreed value at or above auto-bind limit. ","")&amp;IF(AND(ISNUMBER($CD82),$CD82&gt;='Technical Premium'!$C$17),"Composite factor at cap. ","")&amp;IF(AND(ISNUMBER($CD82),$CD82&gt;2.5),"Composite factor above 2.50. ","")&amp;IF(LEFT(IFERROR(INDEX('Driver Factors'!$D$6:$D$15,MATCH($R82,'Driver Factors'!$B$6:$B$15,0)),""),7)="DECLINE","DECLINE - driver age. ",IF(LEFT(IFERROR(INDEX('Driver Factors'!$D$6:$D$15,MATCH($R82,'Driver Factors'!$B$6:$B$15,0)),""),5)="Refer","Driver age band. ",""))&amp;IF(LEFT(IFERROR(INDEX('Driver Factors'!$D$28:$D$36,MATCH($T82,'Driver Factors'!$B$28:$B$36,0)),""),7)="DECLINE","DECLINE - MVR. ",IF(LEFT(IFERROR(INDEX('Driver Factors'!$D$28:$D$36,MATCH($T82,'Driver Factors'!$B$28:$B$36,0)),""),5)="Refer","MVR record. ",""))&amp;IF(LEFT(IFERROR(INDEX('Claims History'!$D$6:$D$15,MATCH($U82,'Claims History'!$B$6:$B$15,0)),""),7)="DECLINE","DECLINE - claims. ",IF(LEFT(IFERROR(INDEX('Claims History'!$D$6:$D$15,MATCH($U82,'Claims History'!$B$6:$B$15,0)),""),5)="Refer","Claims history. ",""))&amp;IF(LEFT(IFERROR(INDEX('Usage and Coverage'!$E$6:$E$20,MATCH($N82,'Usage and Coverage'!$C$6:$C$20,0)),""),7)="DECLINE","DECLINE - usage class. ",IF(LEFT(IFERROR(INDEX('Usage and Coverage'!$E$6:$E$20,MATCH($N82,'Usage and Coverage'!$C$6:$C$20,0)),""),5)="Refer","Usage class. ",""))&amp;IF($CX82="CHECK INPUTS","Incomplete inputs. ",""))))</f>
        <v/>
      </c>
      <c r="DB82" s="92"/>
      <c r="DC82" s="92"/>
      <c r="DD82" s="93"/>
      <c r="DE82" s="92"/>
      <c r="DF82" s="92"/>
      <c r="DG82" s="97" t="str">
        <f t="shared" si="25"/>
        <v/>
      </c>
      <c r="DH82" s="97" t="str">
        <f>IF($A82="","",IF(OR($CX82="REFER",$CX82="DECLINE"),COUNTIF($CX$5:$CX82,"REFER")+COUNTIF($CX$5:$CX82,"DECLINE"),""))</f>
        <v/>
      </c>
      <c r="DI82" s="92"/>
    </row>
    <row r="83" spans="1:113" x14ac:dyDescent="0.25">
      <c r="A83" s="92"/>
      <c r="B83" s="92"/>
      <c r="C83" s="93"/>
      <c r="D83" s="93"/>
      <c r="E83" s="94"/>
      <c r="F83" s="92"/>
      <c r="G83" s="92"/>
      <c r="H83" s="92"/>
      <c r="I83" s="92"/>
      <c r="J83" s="95"/>
      <c r="K83" s="92"/>
      <c r="L83" s="92"/>
      <c r="M83" s="92"/>
      <c r="N83" s="92"/>
      <c r="O83" s="92"/>
      <c r="P83" s="92"/>
      <c r="Q83" s="92"/>
      <c r="R83" s="92"/>
      <c r="S83" s="92"/>
      <c r="T83" s="92"/>
      <c r="U83" s="92"/>
      <c r="V83" s="92"/>
      <c r="W83" s="92"/>
      <c r="X83" s="92"/>
      <c r="Y83" s="92"/>
      <c r="Z83" s="92"/>
      <c r="AA83" s="92"/>
      <c r="AB83" s="92"/>
      <c r="AC83" s="92"/>
      <c r="AD83" s="92"/>
      <c r="AE83" s="92"/>
      <c r="AF83" s="92"/>
      <c r="AG83" s="92"/>
      <c r="AH83" s="92"/>
      <c r="AI83" s="92"/>
      <c r="AJ83" s="92"/>
      <c r="AK83" s="92"/>
      <c r="AL83" s="92"/>
      <c r="AM83" s="92"/>
      <c r="AN83" s="92"/>
      <c r="AO83" s="92"/>
      <c r="AP83" s="92"/>
      <c r="AQ83" s="96"/>
      <c r="AR83" s="97" t="str">
        <f t="shared" si="13"/>
        <v/>
      </c>
      <c r="AS83" s="97" t="str">
        <f>IF($A83="","",IF($AP83&lt;&gt;"",$AP83,IFERROR(INDEX('Cat Zone by ZIP'!$D$6:$D$856,MATCH($AR83,'Cat Zone by ZIP'!$B$6:$B$856,0)),IFERROR(INDEX('Cat Zone by ZIP'!$C$860:$C$910,MATCH($K83,'Cat Zone by ZIP'!$B$860:$B$910,0)),"NOT FOUND"))))</f>
        <v/>
      </c>
      <c r="AT83" s="97" t="str">
        <f>IF($A83="","",IF($AP83&lt;&gt;"","Override",IF(ISNUMBER(MATCH($AR83,'Cat Zone by ZIP'!$B$6:$B$856,0)),"ZIP-3","State default")))</f>
        <v/>
      </c>
      <c r="AU83" s="98" t="str">
        <f>IF($A83="","",IFERROR(INDEX('Natural Catastrophe'!$D$6:$D$17,MATCH($AS83,'Natural Catastrophe'!$B$6:$B$17,0)),"?"))</f>
        <v/>
      </c>
      <c r="AV83" s="98" t="str">
        <f>IF($A83="","",IFERROR(INDEX('Natural Catastrophe'!$C$21:$C$26,MATCH($AA83,'Natural Catastrophe'!$B$21:$B$26,0)),"?"))</f>
        <v/>
      </c>
      <c r="AW83" s="97" t="str">
        <f>IF($A83="","",IFERROR(INDEX('Base Rates'!$C$4:$I$4,MATCH(MAX($J83,'Technical Premium'!$C$18),'Base Rates'!$C$3:$I$3,1)),"?"))</f>
        <v/>
      </c>
      <c r="AX83" s="99" t="str">
        <f>IF($A83="","",IFERROR(INDEX('Base Rates'!$C$5:$I$16,MATCH($I83,'Base Rates'!$B$5:$B$16,0),MATCH(MAX($J83,'Technical Premium'!$C$18),'Base Rates'!$C$3:$I$3,1)),"?"))</f>
        <v/>
      </c>
      <c r="AY83" s="100" t="str">
        <f t="shared" si="14"/>
        <v/>
      </c>
      <c r="AZ83" s="97" t="str">
        <f>IF($A83="","",IFERROR(INDEX('Make Factors'!$G$5:$G$69,MATCH($F83,'Make Factors'!$B$5:$B$69,0)),"?"))</f>
        <v/>
      </c>
      <c r="BA83" s="97" t="str">
        <f>IF($A83="","",IFERROR(INDEX('Driver Factors'!$C$6:$C$15,MATCH($R83,'Driver Factors'!$B$6:$B$15,0)),"?"))</f>
        <v/>
      </c>
      <c r="BB83" s="97" t="str">
        <f>IF($A83="","",IFERROR(INDEX('Driver Factors'!$C$19:$C$24,MATCH($S83,'Driver Factors'!$B$19:$B$24,0)),"?"))</f>
        <v/>
      </c>
      <c r="BC83" s="97" t="str">
        <f>IF($A83="","",IFERROR(INDEX('Driver Factors'!$C$28:$C$36,MATCH($T83,'Driver Factors'!$B$28:$B$36,0)),"?"))</f>
        <v/>
      </c>
      <c r="BD83" s="97" t="str">
        <f>IF($A83="","",IFERROR(INDEX('Claims History'!$C$6:$C$15,MATCH($U83,'Claims History'!$B$6:$B$15,0)),"?"))</f>
        <v/>
      </c>
      <c r="BE83" s="97" t="str">
        <f>IF($A83="","",IFERROR(INDEX('Territory Factors'!$E$6:$E$56,MATCH($K83,'Territory Factors'!$B$6:$B$56,0)),"?"))</f>
        <v/>
      </c>
      <c r="BF83" s="97" t="str">
        <f>IF($A83="","",IFERROR(INDEX('City Accident Ratings'!$G$6:$G$54,MATCH($Z83,'City Accident Ratings'!$B$6:$B$54,0)),"?"))</f>
        <v/>
      </c>
      <c r="BG83" s="97" t="str">
        <f>IF($A83="","",IFERROR(INDEX('Usage and Coverage'!$D$6:$D$20,MATCH($N83,'Usage and Coverage'!$C$6:$C$20,0)),"?"))</f>
        <v/>
      </c>
      <c r="BH83" s="97" t="str">
        <f>IF($A83="","",IFERROR(INDEX('Usage and Coverage'!$C$24:$C$30,MATCH($O83,'Usage and Coverage'!$B$24:$B$30,0)),"?"))</f>
        <v/>
      </c>
      <c r="BI83" s="97" t="str">
        <f>IF($A83="","",IFERROR(INDEX('Usage and Coverage'!$C$34:$C$40,MATCH($P83,'Usage and Coverage'!$B$34:$B$40,0)),"?"))</f>
        <v/>
      </c>
      <c r="BJ83" s="97" t="str">
        <f>IF($A83="","",IFERROR(INDEX('Usage and Coverage'!$C$44:$C$49,MATCH($Q83,'Usage and Coverage'!$B$44:$B$49,0)),"?"))</f>
        <v/>
      </c>
      <c r="BK83" s="97" t="str">
        <f>IF($A83="","",IFERROR(INDEX(Deductibles!$C$6:$I$15,MATCH($W83,Deductibles!$B$6:$B$15,0),MATCH(MAX($J83,'Technical Premium'!$C$18),'Base Rates'!$C$3:$I$3,1)),"?"))</f>
        <v/>
      </c>
      <c r="BL83" s="97" t="str">
        <f>IF($A83="","",IFERROR(INDEX('Usage and Coverage'!$C$63:$C$66,MATCH($X83,'Usage and Coverage'!$B$63:$B$66,0)),"?"))</f>
        <v/>
      </c>
      <c r="BM83" s="97" t="str">
        <f>IF($A83="","",IFERROR(INDEX('Usage and Coverage'!$C$70:$C$75,MATCH($V83,'Usage and Coverage'!$B$70:$B$75,0)),"?"))</f>
        <v/>
      </c>
      <c r="BN83" s="97" t="str">
        <f>IF($A83="","",IF($AB83="",1,IFERROR(INDEX(Deductibles!$C$48:$C$51,MATCH($AB83,Deductibles!$B$48:$B$51,0)),"?")))</f>
        <v/>
      </c>
      <c r="BO83" s="97" t="str">
        <f>IF($A83="","",IF($AC83="",1,IFERROR(INDEX(Deductibles!$C$55:$C$57,MATCH($AC83,Deductibles!$B$55:$B$57,0)),"?")))</f>
        <v/>
      </c>
      <c r="BP83" s="97" t="str">
        <f>IF($A83="","",IF($AD83="",1,IFERROR(INDEX(Deductibles!$C$61:$C$63,MATCH($AD83,Deductibles!$B$61:$B$63,0)),"?")))</f>
        <v/>
      </c>
      <c r="BQ83" s="97" t="str">
        <f>IF($A83="","",IF($AE83="",1,IFERROR(INDEX(Deductibles!$C$67:$C$69,MATCH($AE83,Deductibles!$B$67:$B$69,0)),"?")))</f>
        <v/>
      </c>
      <c r="BR83" s="97" t="str">
        <f>IF($A83="","",IF($AF83="",1,IFERROR(INDEX(Deductibles!$C$73:$C$74,MATCH($AF83,Deductibles!$B$73:$B$74,0)),"?")))</f>
        <v/>
      </c>
      <c r="BS83" s="97" t="str">
        <f>IF($A83="","",IF($AG83="",1,IFERROR(INDEX('Sublimits and Parts'!$C$49:$C$52,MATCH($AG83,'Sublimits and Parts'!$B$49:$B$52,0)),"?")))</f>
        <v/>
      </c>
      <c r="BT83" s="97" t="str">
        <f>IF($A83="","",IF($AH83="",1,IFERROR(INDEX('Sublimits and Parts'!$C$56:$C$60,MATCH($AH83,'Sublimits and Parts'!$B$56:$B$60,0)),"?")))</f>
        <v/>
      </c>
      <c r="BU83" s="97" t="str">
        <f>IF($A83="","",IF($AI83="",1,IFERROR(INDEX('Sublimits and Parts'!$C$64:$C$67,MATCH($AI83,'Sublimits and Parts'!$B$64:$B$67,0)),"?")))</f>
        <v/>
      </c>
      <c r="BV83" s="97" t="str">
        <f>IF($A83="","",IF($AJ83="",1,IFERROR(INDEX('Sublimits and Parts'!$C$71:$C$74,MATCH($AJ83,'Sublimits and Parts'!$B$71:$B$74,0)),"?")))</f>
        <v/>
      </c>
      <c r="BW83" s="97" t="str">
        <f>IF($A83="","",IF($AK83="",1,IFERROR(INDEX('Sublimits and Parts'!$C$78:$C$80,MATCH($AK83,'Sublimits and Parts'!$B$78:$B$80,0)),"?")))</f>
        <v/>
      </c>
      <c r="BX83" s="97" t="str">
        <f>IF($A83="","",IF($AL83="",1,IFERROR(INDEX('Sublimits and Parts'!$C$84:$C$87,MATCH($AL83,'Sublimits and Parts'!$B$84:$B$87,0)),"?")))</f>
        <v/>
      </c>
      <c r="BY83" s="97" t="str">
        <f>IF($A83="","",IF($AM83="",1,IFERROR(INDEX('Sublimits and Parts'!$C$91:$C$94,MATCH($AM83,'Sublimits and Parts'!$B$91:$B$94,0)),"?")))</f>
        <v/>
      </c>
      <c r="BZ83" s="97" t="str">
        <f>IF($A83="","",IF($AN83="",1,IFERROR(INDEX('Sublimits and Parts'!$C$98:$C$101,MATCH($AN83,'Sublimits and Parts'!$B$98:$B$101,0)),"?")))</f>
        <v/>
      </c>
      <c r="CA83" s="97" t="str">
        <f>IF($A83="","",IF($AO83="",1,IFERROR(INDEX('Sublimits and Parts'!$C$105:$C$109,MATCH($AO83,'Sublimits and Parts'!$B$105:$B$109,0)),"?")))</f>
        <v/>
      </c>
      <c r="CB83" s="98" t="str">
        <f t="shared" si="15"/>
        <v/>
      </c>
      <c r="CC83" s="98" t="str">
        <f t="shared" si="16"/>
        <v/>
      </c>
      <c r="CD83" s="101" t="str">
        <f>IF($A83="","",IF(OR($CB83="?",$CC83="?"),"?",MIN($CB83*$CC83,'Technical Premium'!$C$17)))</f>
        <v/>
      </c>
      <c r="CE83" s="100" t="str">
        <f t="shared" si="17"/>
        <v/>
      </c>
      <c r="CF83" s="100" t="str">
        <f>IF($A83="","",IFERROR(INDEX('Territory Factors'!$F$6:$F$56,MATCH($K83,'Territory Factors'!$B$6:$B$56,0)),"?"))</f>
        <v/>
      </c>
      <c r="CG83" s="98" t="str">
        <f>IF($A83="","",IFERROR(INDEX('Usage and Coverage'!$C$79:$C$84,MATCH($Y83,'Usage and Coverage'!$B$79:$B$84,0)),"?"))</f>
        <v/>
      </c>
      <c r="CH83" s="100" t="str">
        <f>IFERROR(IF(ISNUMBER($CD83),$CF83*$CG83*MIN($BG83*$BA83*$BC83*$BD83*$BH83*$BF83,'Technical Premium'!$C$17),""),"")</f>
        <v/>
      </c>
      <c r="CI83" s="100" t="str">
        <f t="shared" si="18"/>
        <v/>
      </c>
      <c r="CJ83" s="100" t="str">
        <f>IFERROR($CI83*(1+'Technical Premium'!$C$5)*(1+'Technical Premium'!$C$6),"")</f>
        <v/>
      </c>
      <c r="CK83" s="100" t="str">
        <f>IFERROR($CE83*INDEX('Territory Factors'!$G$6:$G$56,MATCH($K83,'Territory Factors'!$B$6:$B$56,0))*$AU83*$AV83,"")</f>
        <v/>
      </c>
      <c r="CL83" s="100" t="str">
        <f>IFERROR(($CJ83+$CK83)*(1+'Technical Premium'!$C$7),"")</f>
        <v/>
      </c>
      <c r="CM83" s="102" t="str">
        <f>IFERROR($CL83/'Technical Premium'!$C$13,"")</f>
        <v/>
      </c>
      <c r="CN83" s="103" t="str">
        <f t="shared" si="19"/>
        <v/>
      </c>
      <c r="CO83" s="102" t="str">
        <f t="shared" si="20"/>
        <v/>
      </c>
      <c r="CP83" s="103" t="str">
        <f t="shared" si="21"/>
        <v/>
      </c>
      <c r="CQ83" s="104" t="str">
        <f t="shared" si="22"/>
        <v/>
      </c>
      <c r="CR83" s="100" t="str">
        <f>IF(ISNUMBER($CM83),'Technical Premium'!$C$14+IF($J83&gt;=1000000,'Technical Premium'!$C$15,0),"")</f>
        <v/>
      </c>
      <c r="CS83" s="100" t="str">
        <f>IFERROR(($CO83+$CR83)*(INDEX('Territory Factors'!$K$6:$K$56,MATCH($K83,'Territory Factors'!$B$6:$B$56,0))+'Commission Structure'!$C$21),"")</f>
        <v/>
      </c>
      <c r="CT83" s="102" t="str">
        <f t="shared" si="23"/>
        <v/>
      </c>
      <c r="CU83" s="100" t="str">
        <f>IFERROR($CO83*('Commission Structure'!$C$6+'Commission Structure'!$C$7),"")</f>
        <v/>
      </c>
      <c r="CV83" s="100" t="str">
        <f>IFERROR($CO83*'Commission Structure'!$C$5-$CU83,"")</f>
        <v/>
      </c>
      <c r="CW83" s="100" t="str">
        <f>IFERROR($CO83*(1-'Commission Structure'!$C$5),"")</f>
        <v/>
      </c>
      <c r="CX83" s="105" t="str">
        <f>IF($A83="","",IF(OR($CB83="?",$CC83="?",NOT(ISNUMBER($AU83))),"CHECK INPUTS",IF(OR($J83&lt;'Technical Premium'!$C$18,LEFT(IFERROR(INDEX('Driver Factors'!$D$6:$D$15,MATCH($R83,'Driver Factors'!$B$6:$B$15,0)),""),7)="DECLINE",LEFT(IFERROR(INDEX('Driver Factors'!$D$28:$D$36,MATCH($T83,'Driver Factors'!$B$28:$B$36,0)),""),7)="DECLINE",LEFT(IFERROR(INDEX('Claims History'!$D$6:$D$15,MATCH($U83,'Claims History'!$B$6:$B$15,0)),""),7)="DECLINE",LEFT(IFERROR(INDEX('Usage and Coverage'!$E$6:$E$20,MATCH($N83,'Usage and Coverage'!$C$6:$C$20,0)),""),7)="DECLINE"),"DECLINE",IF(OR($CD83&gt;2.5,$CD83&gt;='Technical Premium'!$C$17,$J83&gt;='Technical Premium'!$C$16,N($AQ83)&lt;'Technical Premium'!$C$19,N($AQ83)&gt;'Technical Premium'!$C$20,LEFT(IFERROR(INDEX('Driver Factors'!$D$6:$D$15,MATCH($R83,'Driver Factors'!$B$6:$B$15,0)),""),5)="Refer",LEFT(IFERROR(INDEX('Driver Factors'!$D$28:$D$36,MATCH($T83,'Driver Factors'!$B$28:$B$36,0)),""),5)="Refer",LEFT(IFERROR(INDEX('Claims History'!$D$6:$D$15,MATCH($U83,'Claims History'!$B$6:$B$15,0)),""),5)="Refer",LEFT(IFERROR(INDEX('Usage and Coverage'!$E$6:$E$20,MATCH($N83,'Usage and Coverage'!$C$6:$C$20,0)),""),5)="Refer"),"REFER","AUTO-BIND"))))</f>
        <v/>
      </c>
      <c r="CY83" s="106" t="str">
        <f t="shared" si="24"/>
        <v/>
      </c>
      <c r="CZ83" s="97" t="str">
        <f>IF($CY83="","",IF($CY83&lt;'Technical Premium'!$C$19,"BEYOND AUTHORITY",IF($CY83&gt;0.005,"Above technical",IF($CY83&lt;-0.005,"BELOW technical","At technical"))))</f>
        <v/>
      </c>
      <c r="DA83" s="97" t="str">
        <f>IF($A83="","",IF($CX83="AUTO-BIND","",TRIM(IF($J83&lt;'Technical Premium'!$C$18,"Below programme minimum agreed value. ","")&amp;IF(N($AQ83)&lt;'Technical Premium'!$C$19,"DISCOUNT AUTHORITY BREACH. ","")&amp;IF(N($AQ83)&gt;'Technical Premium'!$C$20,"Load authority breach. ","")&amp;IF($J83&gt;='Technical Premium'!$C$16,"Agreed value at or above auto-bind limit. ","")&amp;IF(AND(ISNUMBER($CD83),$CD83&gt;='Technical Premium'!$C$17),"Composite factor at cap. ","")&amp;IF(AND(ISNUMBER($CD83),$CD83&gt;2.5),"Composite factor above 2.50. ","")&amp;IF(LEFT(IFERROR(INDEX('Driver Factors'!$D$6:$D$15,MATCH($R83,'Driver Factors'!$B$6:$B$15,0)),""),7)="DECLINE","DECLINE - driver age. ",IF(LEFT(IFERROR(INDEX('Driver Factors'!$D$6:$D$15,MATCH($R83,'Driver Factors'!$B$6:$B$15,0)),""),5)="Refer","Driver age band. ",""))&amp;IF(LEFT(IFERROR(INDEX('Driver Factors'!$D$28:$D$36,MATCH($T83,'Driver Factors'!$B$28:$B$36,0)),""),7)="DECLINE","DECLINE - MVR. ",IF(LEFT(IFERROR(INDEX('Driver Factors'!$D$28:$D$36,MATCH($T83,'Driver Factors'!$B$28:$B$36,0)),""),5)="Refer","MVR record. ",""))&amp;IF(LEFT(IFERROR(INDEX('Claims History'!$D$6:$D$15,MATCH($U83,'Claims History'!$B$6:$B$15,0)),""),7)="DECLINE","DECLINE - claims. ",IF(LEFT(IFERROR(INDEX('Claims History'!$D$6:$D$15,MATCH($U83,'Claims History'!$B$6:$B$15,0)),""),5)="Refer","Claims history. ",""))&amp;IF(LEFT(IFERROR(INDEX('Usage and Coverage'!$E$6:$E$20,MATCH($N83,'Usage and Coverage'!$C$6:$C$20,0)),""),7)="DECLINE","DECLINE - usage class. ",IF(LEFT(IFERROR(INDEX('Usage and Coverage'!$E$6:$E$20,MATCH($N83,'Usage and Coverage'!$C$6:$C$20,0)),""),5)="Refer","Usage class. ",""))&amp;IF($CX83="CHECK INPUTS","Incomplete inputs. ",""))))</f>
        <v/>
      </c>
      <c r="DB83" s="92"/>
      <c r="DC83" s="92"/>
      <c r="DD83" s="93"/>
      <c r="DE83" s="92"/>
      <c r="DF83" s="92"/>
      <c r="DG83" s="97" t="str">
        <f t="shared" si="25"/>
        <v/>
      </c>
      <c r="DH83" s="97" t="str">
        <f>IF($A83="","",IF(OR($CX83="REFER",$CX83="DECLINE"),COUNTIF($CX$5:$CX83,"REFER")+COUNTIF($CX$5:$CX83,"DECLINE"),""))</f>
        <v/>
      </c>
      <c r="DI83" s="92"/>
    </row>
    <row r="84" spans="1:113" x14ac:dyDescent="0.25">
      <c r="A84" s="92"/>
      <c r="B84" s="92"/>
      <c r="C84" s="93"/>
      <c r="D84" s="93"/>
      <c r="E84" s="94"/>
      <c r="F84" s="92"/>
      <c r="G84" s="92"/>
      <c r="H84" s="92"/>
      <c r="I84" s="92"/>
      <c r="J84" s="95"/>
      <c r="K84" s="92"/>
      <c r="L84" s="92"/>
      <c r="M84" s="92"/>
      <c r="N84" s="92"/>
      <c r="O84" s="92"/>
      <c r="P84" s="92"/>
      <c r="Q84" s="92"/>
      <c r="R84" s="92"/>
      <c r="S84" s="92"/>
      <c r="T84" s="92"/>
      <c r="U84" s="92"/>
      <c r="V84" s="92"/>
      <c r="W84" s="92"/>
      <c r="X84" s="92"/>
      <c r="Y84" s="92"/>
      <c r="Z84" s="92"/>
      <c r="AA84" s="92"/>
      <c r="AB84" s="92"/>
      <c r="AC84" s="92"/>
      <c r="AD84" s="92"/>
      <c r="AE84" s="92"/>
      <c r="AF84" s="92"/>
      <c r="AG84" s="92"/>
      <c r="AH84" s="92"/>
      <c r="AI84" s="92"/>
      <c r="AJ84" s="92"/>
      <c r="AK84" s="92"/>
      <c r="AL84" s="92"/>
      <c r="AM84" s="92"/>
      <c r="AN84" s="92"/>
      <c r="AO84" s="92"/>
      <c r="AP84" s="92"/>
      <c r="AQ84" s="96"/>
      <c r="AR84" s="97" t="str">
        <f t="shared" si="13"/>
        <v/>
      </c>
      <c r="AS84" s="97" t="str">
        <f>IF($A84="","",IF($AP84&lt;&gt;"",$AP84,IFERROR(INDEX('Cat Zone by ZIP'!$D$6:$D$856,MATCH($AR84,'Cat Zone by ZIP'!$B$6:$B$856,0)),IFERROR(INDEX('Cat Zone by ZIP'!$C$860:$C$910,MATCH($K84,'Cat Zone by ZIP'!$B$860:$B$910,0)),"NOT FOUND"))))</f>
        <v/>
      </c>
      <c r="AT84" s="97" t="str">
        <f>IF($A84="","",IF($AP84&lt;&gt;"","Override",IF(ISNUMBER(MATCH($AR84,'Cat Zone by ZIP'!$B$6:$B$856,0)),"ZIP-3","State default")))</f>
        <v/>
      </c>
      <c r="AU84" s="98" t="str">
        <f>IF($A84="","",IFERROR(INDEX('Natural Catastrophe'!$D$6:$D$17,MATCH($AS84,'Natural Catastrophe'!$B$6:$B$17,0)),"?"))</f>
        <v/>
      </c>
      <c r="AV84" s="98" t="str">
        <f>IF($A84="","",IFERROR(INDEX('Natural Catastrophe'!$C$21:$C$26,MATCH($AA84,'Natural Catastrophe'!$B$21:$B$26,0)),"?"))</f>
        <v/>
      </c>
      <c r="AW84" s="97" t="str">
        <f>IF($A84="","",IFERROR(INDEX('Base Rates'!$C$4:$I$4,MATCH(MAX($J84,'Technical Premium'!$C$18),'Base Rates'!$C$3:$I$3,1)),"?"))</f>
        <v/>
      </c>
      <c r="AX84" s="99" t="str">
        <f>IF($A84="","",IFERROR(INDEX('Base Rates'!$C$5:$I$16,MATCH($I84,'Base Rates'!$B$5:$B$16,0),MATCH(MAX($J84,'Technical Premium'!$C$18),'Base Rates'!$C$3:$I$3,1)),"?"))</f>
        <v/>
      </c>
      <c r="AY84" s="100" t="str">
        <f t="shared" si="14"/>
        <v/>
      </c>
      <c r="AZ84" s="97" t="str">
        <f>IF($A84="","",IFERROR(INDEX('Make Factors'!$G$5:$G$69,MATCH($F84,'Make Factors'!$B$5:$B$69,0)),"?"))</f>
        <v/>
      </c>
      <c r="BA84" s="97" t="str">
        <f>IF($A84="","",IFERROR(INDEX('Driver Factors'!$C$6:$C$15,MATCH($R84,'Driver Factors'!$B$6:$B$15,0)),"?"))</f>
        <v/>
      </c>
      <c r="BB84" s="97" t="str">
        <f>IF($A84="","",IFERROR(INDEX('Driver Factors'!$C$19:$C$24,MATCH($S84,'Driver Factors'!$B$19:$B$24,0)),"?"))</f>
        <v/>
      </c>
      <c r="BC84" s="97" t="str">
        <f>IF($A84="","",IFERROR(INDEX('Driver Factors'!$C$28:$C$36,MATCH($T84,'Driver Factors'!$B$28:$B$36,0)),"?"))</f>
        <v/>
      </c>
      <c r="BD84" s="97" t="str">
        <f>IF($A84="","",IFERROR(INDEX('Claims History'!$C$6:$C$15,MATCH($U84,'Claims History'!$B$6:$B$15,0)),"?"))</f>
        <v/>
      </c>
      <c r="BE84" s="97" t="str">
        <f>IF($A84="","",IFERROR(INDEX('Territory Factors'!$E$6:$E$56,MATCH($K84,'Territory Factors'!$B$6:$B$56,0)),"?"))</f>
        <v/>
      </c>
      <c r="BF84" s="97" t="str">
        <f>IF($A84="","",IFERROR(INDEX('City Accident Ratings'!$G$6:$G$54,MATCH($Z84,'City Accident Ratings'!$B$6:$B$54,0)),"?"))</f>
        <v/>
      </c>
      <c r="BG84" s="97" t="str">
        <f>IF($A84="","",IFERROR(INDEX('Usage and Coverage'!$D$6:$D$20,MATCH($N84,'Usage and Coverage'!$C$6:$C$20,0)),"?"))</f>
        <v/>
      </c>
      <c r="BH84" s="97" t="str">
        <f>IF($A84="","",IFERROR(INDEX('Usage and Coverage'!$C$24:$C$30,MATCH($O84,'Usage and Coverage'!$B$24:$B$30,0)),"?"))</f>
        <v/>
      </c>
      <c r="BI84" s="97" t="str">
        <f>IF($A84="","",IFERROR(INDEX('Usage and Coverage'!$C$34:$C$40,MATCH($P84,'Usage and Coverage'!$B$34:$B$40,0)),"?"))</f>
        <v/>
      </c>
      <c r="BJ84" s="97" t="str">
        <f>IF($A84="","",IFERROR(INDEX('Usage and Coverage'!$C$44:$C$49,MATCH($Q84,'Usage and Coverage'!$B$44:$B$49,0)),"?"))</f>
        <v/>
      </c>
      <c r="BK84" s="97" t="str">
        <f>IF($A84="","",IFERROR(INDEX(Deductibles!$C$6:$I$15,MATCH($W84,Deductibles!$B$6:$B$15,0),MATCH(MAX($J84,'Technical Premium'!$C$18),'Base Rates'!$C$3:$I$3,1)),"?"))</f>
        <v/>
      </c>
      <c r="BL84" s="97" t="str">
        <f>IF($A84="","",IFERROR(INDEX('Usage and Coverage'!$C$63:$C$66,MATCH($X84,'Usage and Coverage'!$B$63:$B$66,0)),"?"))</f>
        <v/>
      </c>
      <c r="BM84" s="97" t="str">
        <f>IF($A84="","",IFERROR(INDEX('Usage and Coverage'!$C$70:$C$75,MATCH($V84,'Usage and Coverage'!$B$70:$B$75,0)),"?"))</f>
        <v/>
      </c>
      <c r="BN84" s="97" t="str">
        <f>IF($A84="","",IF($AB84="",1,IFERROR(INDEX(Deductibles!$C$48:$C$51,MATCH($AB84,Deductibles!$B$48:$B$51,0)),"?")))</f>
        <v/>
      </c>
      <c r="BO84" s="97" t="str">
        <f>IF($A84="","",IF($AC84="",1,IFERROR(INDEX(Deductibles!$C$55:$C$57,MATCH($AC84,Deductibles!$B$55:$B$57,0)),"?")))</f>
        <v/>
      </c>
      <c r="BP84" s="97" t="str">
        <f>IF($A84="","",IF($AD84="",1,IFERROR(INDEX(Deductibles!$C$61:$C$63,MATCH($AD84,Deductibles!$B$61:$B$63,0)),"?")))</f>
        <v/>
      </c>
      <c r="BQ84" s="97" t="str">
        <f>IF($A84="","",IF($AE84="",1,IFERROR(INDEX(Deductibles!$C$67:$C$69,MATCH($AE84,Deductibles!$B$67:$B$69,0)),"?")))</f>
        <v/>
      </c>
      <c r="BR84" s="97" t="str">
        <f>IF($A84="","",IF($AF84="",1,IFERROR(INDEX(Deductibles!$C$73:$C$74,MATCH($AF84,Deductibles!$B$73:$B$74,0)),"?")))</f>
        <v/>
      </c>
      <c r="BS84" s="97" t="str">
        <f>IF($A84="","",IF($AG84="",1,IFERROR(INDEX('Sublimits and Parts'!$C$49:$C$52,MATCH($AG84,'Sublimits and Parts'!$B$49:$B$52,0)),"?")))</f>
        <v/>
      </c>
      <c r="BT84" s="97" t="str">
        <f>IF($A84="","",IF($AH84="",1,IFERROR(INDEX('Sublimits and Parts'!$C$56:$C$60,MATCH($AH84,'Sublimits and Parts'!$B$56:$B$60,0)),"?")))</f>
        <v/>
      </c>
      <c r="BU84" s="97" t="str">
        <f>IF($A84="","",IF($AI84="",1,IFERROR(INDEX('Sublimits and Parts'!$C$64:$C$67,MATCH($AI84,'Sublimits and Parts'!$B$64:$B$67,0)),"?")))</f>
        <v/>
      </c>
      <c r="BV84" s="97" t="str">
        <f>IF($A84="","",IF($AJ84="",1,IFERROR(INDEX('Sublimits and Parts'!$C$71:$C$74,MATCH($AJ84,'Sublimits and Parts'!$B$71:$B$74,0)),"?")))</f>
        <v/>
      </c>
      <c r="BW84" s="97" t="str">
        <f>IF($A84="","",IF($AK84="",1,IFERROR(INDEX('Sublimits and Parts'!$C$78:$C$80,MATCH($AK84,'Sublimits and Parts'!$B$78:$B$80,0)),"?")))</f>
        <v/>
      </c>
      <c r="BX84" s="97" t="str">
        <f>IF($A84="","",IF($AL84="",1,IFERROR(INDEX('Sublimits and Parts'!$C$84:$C$87,MATCH($AL84,'Sublimits and Parts'!$B$84:$B$87,0)),"?")))</f>
        <v/>
      </c>
      <c r="BY84" s="97" t="str">
        <f>IF($A84="","",IF($AM84="",1,IFERROR(INDEX('Sublimits and Parts'!$C$91:$C$94,MATCH($AM84,'Sublimits and Parts'!$B$91:$B$94,0)),"?")))</f>
        <v/>
      </c>
      <c r="BZ84" s="97" t="str">
        <f>IF($A84="","",IF($AN84="",1,IFERROR(INDEX('Sublimits and Parts'!$C$98:$C$101,MATCH($AN84,'Sublimits and Parts'!$B$98:$B$101,0)),"?")))</f>
        <v/>
      </c>
      <c r="CA84" s="97" t="str">
        <f>IF($A84="","",IF($AO84="",1,IFERROR(INDEX('Sublimits and Parts'!$C$105:$C$109,MATCH($AO84,'Sublimits and Parts'!$B$105:$B$109,0)),"?")))</f>
        <v/>
      </c>
      <c r="CB84" s="98" t="str">
        <f t="shared" si="15"/>
        <v/>
      </c>
      <c r="CC84" s="98" t="str">
        <f t="shared" si="16"/>
        <v/>
      </c>
      <c r="CD84" s="101" t="str">
        <f>IF($A84="","",IF(OR($CB84="?",$CC84="?"),"?",MIN($CB84*$CC84,'Technical Premium'!$C$17)))</f>
        <v/>
      </c>
      <c r="CE84" s="100" t="str">
        <f t="shared" si="17"/>
        <v/>
      </c>
      <c r="CF84" s="100" t="str">
        <f>IF($A84="","",IFERROR(INDEX('Territory Factors'!$F$6:$F$56,MATCH($K84,'Territory Factors'!$B$6:$B$56,0)),"?"))</f>
        <v/>
      </c>
      <c r="CG84" s="98" t="str">
        <f>IF($A84="","",IFERROR(INDEX('Usage and Coverage'!$C$79:$C$84,MATCH($Y84,'Usage and Coverage'!$B$79:$B$84,0)),"?"))</f>
        <v/>
      </c>
      <c r="CH84" s="100" t="str">
        <f>IFERROR(IF(ISNUMBER($CD84),$CF84*$CG84*MIN($BG84*$BA84*$BC84*$BD84*$BH84*$BF84,'Technical Premium'!$C$17),""),"")</f>
        <v/>
      </c>
      <c r="CI84" s="100" t="str">
        <f t="shared" si="18"/>
        <v/>
      </c>
      <c r="CJ84" s="100" t="str">
        <f>IFERROR($CI84*(1+'Technical Premium'!$C$5)*(1+'Technical Premium'!$C$6),"")</f>
        <v/>
      </c>
      <c r="CK84" s="100" t="str">
        <f>IFERROR($CE84*INDEX('Territory Factors'!$G$6:$G$56,MATCH($K84,'Territory Factors'!$B$6:$B$56,0))*$AU84*$AV84,"")</f>
        <v/>
      </c>
      <c r="CL84" s="100" t="str">
        <f>IFERROR(($CJ84+$CK84)*(1+'Technical Premium'!$C$7),"")</f>
        <v/>
      </c>
      <c r="CM84" s="102" t="str">
        <f>IFERROR($CL84/'Technical Premium'!$C$13,"")</f>
        <v/>
      </c>
      <c r="CN84" s="103" t="str">
        <f t="shared" si="19"/>
        <v/>
      </c>
      <c r="CO84" s="102" t="str">
        <f t="shared" si="20"/>
        <v/>
      </c>
      <c r="CP84" s="103" t="str">
        <f t="shared" si="21"/>
        <v/>
      </c>
      <c r="CQ84" s="104" t="str">
        <f t="shared" si="22"/>
        <v/>
      </c>
      <c r="CR84" s="100" t="str">
        <f>IF(ISNUMBER($CM84),'Technical Premium'!$C$14+IF($J84&gt;=1000000,'Technical Premium'!$C$15,0),"")</f>
        <v/>
      </c>
      <c r="CS84" s="100" t="str">
        <f>IFERROR(($CO84+$CR84)*(INDEX('Territory Factors'!$K$6:$K$56,MATCH($K84,'Territory Factors'!$B$6:$B$56,0))+'Commission Structure'!$C$21),"")</f>
        <v/>
      </c>
      <c r="CT84" s="102" t="str">
        <f t="shared" si="23"/>
        <v/>
      </c>
      <c r="CU84" s="100" t="str">
        <f>IFERROR($CO84*('Commission Structure'!$C$6+'Commission Structure'!$C$7),"")</f>
        <v/>
      </c>
      <c r="CV84" s="100" t="str">
        <f>IFERROR($CO84*'Commission Structure'!$C$5-$CU84,"")</f>
        <v/>
      </c>
      <c r="CW84" s="100" t="str">
        <f>IFERROR($CO84*(1-'Commission Structure'!$C$5),"")</f>
        <v/>
      </c>
      <c r="CX84" s="105" t="str">
        <f>IF($A84="","",IF(OR($CB84="?",$CC84="?",NOT(ISNUMBER($AU84))),"CHECK INPUTS",IF(OR($J84&lt;'Technical Premium'!$C$18,LEFT(IFERROR(INDEX('Driver Factors'!$D$6:$D$15,MATCH($R84,'Driver Factors'!$B$6:$B$15,0)),""),7)="DECLINE",LEFT(IFERROR(INDEX('Driver Factors'!$D$28:$D$36,MATCH($T84,'Driver Factors'!$B$28:$B$36,0)),""),7)="DECLINE",LEFT(IFERROR(INDEX('Claims History'!$D$6:$D$15,MATCH($U84,'Claims History'!$B$6:$B$15,0)),""),7)="DECLINE",LEFT(IFERROR(INDEX('Usage and Coverage'!$E$6:$E$20,MATCH($N84,'Usage and Coverage'!$C$6:$C$20,0)),""),7)="DECLINE"),"DECLINE",IF(OR($CD84&gt;2.5,$CD84&gt;='Technical Premium'!$C$17,$J84&gt;='Technical Premium'!$C$16,N($AQ84)&lt;'Technical Premium'!$C$19,N($AQ84)&gt;'Technical Premium'!$C$20,LEFT(IFERROR(INDEX('Driver Factors'!$D$6:$D$15,MATCH($R84,'Driver Factors'!$B$6:$B$15,0)),""),5)="Refer",LEFT(IFERROR(INDEX('Driver Factors'!$D$28:$D$36,MATCH($T84,'Driver Factors'!$B$28:$B$36,0)),""),5)="Refer",LEFT(IFERROR(INDEX('Claims History'!$D$6:$D$15,MATCH($U84,'Claims History'!$B$6:$B$15,0)),""),5)="Refer",LEFT(IFERROR(INDEX('Usage and Coverage'!$E$6:$E$20,MATCH($N84,'Usage and Coverage'!$C$6:$C$20,0)),""),5)="Refer"),"REFER","AUTO-BIND"))))</f>
        <v/>
      </c>
      <c r="CY84" s="106" t="str">
        <f t="shared" si="24"/>
        <v/>
      </c>
      <c r="CZ84" s="97" t="str">
        <f>IF($CY84="","",IF($CY84&lt;'Technical Premium'!$C$19,"BEYOND AUTHORITY",IF($CY84&gt;0.005,"Above technical",IF($CY84&lt;-0.005,"BELOW technical","At technical"))))</f>
        <v/>
      </c>
      <c r="DA84" s="97" t="str">
        <f>IF($A84="","",IF($CX84="AUTO-BIND","",TRIM(IF($J84&lt;'Technical Premium'!$C$18,"Below programme minimum agreed value. ","")&amp;IF(N($AQ84)&lt;'Technical Premium'!$C$19,"DISCOUNT AUTHORITY BREACH. ","")&amp;IF(N($AQ84)&gt;'Technical Premium'!$C$20,"Load authority breach. ","")&amp;IF($J84&gt;='Technical Premium'!$C$16,"Agreed value at or above auto-bind limit. ","")&amp;IF(AND(ISNUMBER($CD84),$CD84&gt;='Technical Premium'!$C$17),"Composite factor at cap. ","")&amp;IF(AND(ISNUMBER($CD84),$CD84&gt;2.5),"Composite factor above 2.50. ","")&amp;IF(LEFT(IFERROR(INDEX('Driver Factors'!$D$6:$D$15,MATCH($R84,'Driver Factors'!$B$6:$B$15,0)),""),7)="DECLINE","DECLINE - driver age. ",IF(LEFT(IFERROR(INDEX('Driver Factors'!$D$6:$D$15,MATCH($R84,'Driver Factors'!$B$6:$B$15,0)),""),5)="Refer","Driver age band. ",""))&amp;IF(LEFT(IFERROR(INDEX('Driver Factors'!$D$28:$D$36,MATCH($T84,'Driver Factors'!$B$28:$B$36,0)),""),7)="DECLINE","DECLINE - MVR. ",IF(LEFT(IFERROR(INDEX('Driver Factors'!$D$28:$D$36,MATCH($T84,'Driver Factors'!$B$28:$B$36,0)),""),5)="Refer","MVR record. ",""))&amp;IF(LEFT(IFERROR(INDEX('Claims History'!$D$6:$D$15,MATCH($U84,'Claims History'!$B$6:$B$15,0)),""),7)="DECLINE","DECLINE - claims. ",IF(LEFT(IFERROR(INDEX('Claims History'!$D$6:$D$15,MATCH($U84,'Claims History'!$B$6:$B$15,0)),""),5)="Refer","Claims history. ",""))&amp;IF(LEFT(IFERROR(INDEX('Usage and Coverage'!$E$6:$E$20,MATCH($N84,'Usage and Coverage'!$C$6:$C$20,0)),""),7)="DECLINE","DECLINE - usage class. ",IF(LEFT(IFERROR(INDEX('Usage and Coverage'!$E$6:$E$20,MATCH($N84,'Usage and Coverage'!$C$6:$C$20,0)),""),5)="Refer","Usage class. ",""))&amp;IF($CX84="CHECK INPUTS","Incomplete inputs. ",""))))</f>
        <v/>
      </c>
      <c r="DB84" s="92"/>
      <c r="DC84" s="92"/>
      <c r="DD84" s="93"/>
      <c r="DE84" s="92"/>
      <c r="DF84" s="92"/>
      <c r="DG84" s="97" t="str">
        <f t="shared" si="25"/>
        <v/>
      </c>
      <c r="DH84" s="97" t="str">
        <f>IF($A84="","",IF(OR($CX84="REFER",$CX84="DECLINE"),COUNTIF($CX$5:$CX84,"REFER")+COUNTIF($CX$5:$CX84,"DECLINE"),""))</f>
        <v/>
      </c>
      <c r="DI84" s="92"/>
    </row>
    <row r="85" spans="1:113" x14ac:dyDescent="0.25">
      <c r="A85" s="92"/>
      <c r="B85" s="92"/>
      <c r="C85" s="93"/>
      <c r="D85" s="93"/>
      <c r="E85" s="94"/>
      <c r="F85" s="92"/>
      <c r="G85" s="92"/>
      <c r="H85" s="92"/>
      <c r="I85" s="92"/>
      <c r="J85" s="95"/>
      <c r="K85" s="92"/>
      <c r="L85" s="92"/>
      <c r="M85" s="92"/>
      <c r="N85" s="92"/>
      <c r="O85" s="92"/>
      <c r="P85" s="92"/>
      <c r="Q85" s="92"/>
      <c r="R85" s="92"/>
      <c r="S85" s="92"/>
      <c r="T85" s="92"/>
      <c r="U85" s="92"/>
      <c r="V85" s="92"/>
      <c r="W85" s="92"/>
      <c r="X85" s="92"/>
      <c r="Y85" s="92"/>
      <c r="Z85" s="92"/>
      <c r="AA85" s="92"/>
      <c r="AB85" s="92"/>
      <c r="AC85" s="92"/>
      <c r="AD85" s="92"/>
      <c r="AE85" s="92"/>
      <c r="AF85" s="92"/>
      <c r="AG85" s="92"/>
      <c r="AH85" s="92"/>
      <c r="AI85" s="92"/>
      <c r="AJ85" s="92"/>
      <c r="AK85" s="92"/>
      <c r="AL85" s="92"/>
      <c r="AM85" s="92"/>
      <c r="AN85" s="92"/>
      <c r="AO85" s="92"/>
      <c r="AP85" s="92"/>
      <c r="AQ85" s="96"/>
      <c r="AR85" s="97" t="str">
        <f t="shared" si="13"/>
        <v/>
      </c>
      <c r="AS85" s="97" t="str">
        <f>IF($A85="","",IF($AP85&lt;&gt;"",$AP85,IFERROR(INDEX('Cat Zone by ZIP'!$D$6:$D$856,MATCH($AR85,'Cat Zone by ZIP'!$B$6:$B$856,0)),IFERROR(INDEX('Cat Zone by ZIP'!$C$860:$C$910,MATCH($K85,'Cat Zone by ZIP'!$B$860:$B$910,0)),"NOT FOUND"))))</f>
        <v/>
      </c>
      <c r="AT85" s="97" t="str">
        <f>IF($A85="","",IF($AP85&lt;&gt;"","Override",IF(ISNUMBER(MATCH($AR85,'Cat Zone by ZIP'!$B$6:$B$856,0)),"ZIP-3","State default")))</f>
        <v/>
      </c>
      <c r="AU85" s="98" t="str">
        <f>IF($A85="","",IFERROR(INDEX('Natural Catastrophe'!$D$6:$D$17,MATCH($AS85,'Natural Catastrophe'!$B$6:$B$17,0)),"?"))</f>
        <v/>
      </c>
      <c r="AV85" s="98" t="str">
        <f>IF($A85="","",IFERROR(INDEX('Natural Catastrophe'!$C$21:$C$26,MATCH($AA85,'Natural Catastrophe'!$B$21:$B$26,0)),"?"))</f>
        <v/>
      </c>
      <c r="AW85" s="97" t="str">
        <f>IF($A85="","",IFERROR(INDEX('Base Rates'!$C$4:$I$4,MATCH(MAX($J85,'Technical Premium'!$C$18),'Base Rates'!$C$3:$I$3,1)),"?"))</f>
        <v/>
      </c>
      <c r="AX85" s="99" t="str">
        <f>IF($A85="","",IFERROR(INDEX('Base Rates'!$C$5:$I$16,MATCH($I85,'Base Rates'!$B$5:$B$16,0),MATCH(MAX($J85,'Technical Premium'!$C$18),'Base Rates'!$C$3:$I$3,1)),"?"))</f>
        <v/>
      </c>
      <c r="AY85" s="100" t="str">
        <f t="shared" si="14"/>
        <v/>
      </c>
      <c r="AZ85" s="97" t="str">
        <f>IF($A85="","",IFERROR(INDEX('Make Factors'!$G$5:$G$69,MATCH($F85,'Make Factors'!$B$5:$B$69,0)),"?"))</f>
        <v/>
      </c>
      <c r="BA85" s="97" t="str">
        <f>IF($A85="","",IFERROR(INDEX('Driver Factors'!$C$6:$C$15,MATCH($R85,'Driver Factors'!$B$6:$B$15,0)),"?"))</f>
        <v/>
      </c>
      <c r="BB85" s="97" t="str">
        <f>IF($A85="","",IFERROR(INDEX('Driver Factors'!$C$19:$C$24,MATCH($S85,'Driver Factors'!$B$19:$B$24,0)),"?"))</f>
        <v/>
      </c>
      <c r="BC85" s="97" t="str">
        <f>IF($A85="","",IFERROR(INDEX('Driver Factors'!$C$28:$C$36,MATCH($T85,'Driver Factors'!$B$28:$B$36,0)),"?"))</f>
        <v/>
      </c>
      <c r="BD85" s="97" t="str">
        <f>IF($A85="","",IFERROR(INDEX('Claims History'!$C$6:$C$15,MATCH($U85,'Claims History'!$B$6:$B$15,0)),"?"))</f>
        <v/>
      </c>
      <c r="BE85" s="97" t="str">
        <f>IF($A85="","",IFERROR(INDEX('Territory Factors'!$E$6:$E$56,MATCH($K85,'Territory Factors'!$B$6:$B$56,0)),"?"))</f>
        <v/>
      </c>
      <c r="BF85" s="97" t="str">
        <f>IF($A85="","",IFERROR(INDEX('City Accident Ratings'!$G$6:$G$54,MATCH($Z85,'City Accident Ratings'!$B$6:$B$54,0)),"?"))</f>
        <v/>
      </c>
      <c r="BG85" s="97" t="str">
        <f>IF($A85="","",IFERROR(INDEX('Usage and Coverage'!$D$6:$D$20,MATCH($N85,'Usage and Coverage'!$C$6:$C$20,0)),"?"))</f>
        <v/>
      </c>
      <c r="BH85" s="97" t="str">
        <f>IF($A85="","",IFERROR(INDEX('Usage and Coverage'!$C$24:$C$30,MATCH($O85,'Usage and Coverage'!$B$24:$B$30,0)),"?"))</f>
        <v/>
      </c>
      <c r="BI85" s="97" t="str">
        <f>IF($A85="","",IFERROR(INDEX('Usage and Coverage'!$C$34:$C$40,MATCH($P85,'Usage and Coverage'!$B$34:$B$40,0)),"?"))</f>
        <v/>
      </c>
      <c r="BJ85" s="97" t="str">
        <f>IF($A85="","",IFERROR(INDEX('Usage and Coverage'!$C$44:$C$49,MATCH($Q85,'Usage and Coverage'!$B$44:$B$49,0)),"?"))</f>
        <v/>
      </c>
      <c r="BK85" s="97" t="str">
        <f>IF($A85="","",IFERROR(INDEX(Deductibles!$C$6:$I$15,MATCH($W85,Deductibles!$B$6:$B$15,0),MATCH(MAX($J85,'Technical Premium'!$C$18),'Base Rates'!$C$3:$I$3,1)),"?"))</f>
        <v/>
      </c>
      <c r="BL85" s="97" t="str">
        <f>IF($A85="","",IFERROR(INDEX('Usage and Coverage'!$C$63:$C$66,MATCH($X85,'Usage and Coverage'!$B$63:$B$66,0)),"?"))</f>
        <v/>
      </c>
      <c r="BM85" s="97" t="str">
        <f>IF($A85="","",IFERROR(INDEX('Usage and Coverage'!$C$70:$C$75,MATCH($V85,'Usage and Coverage'!$B$70:$B$75,0)),"?"))</f>
        <v/>
      </c>
      <c r="BN85" s="97" t="str">
        <f>IF($A85="","",IF($AB85="",1,IFERROR(INDEX(Deductibles!$C$48:$C$51,MATCH($AB85,Deductibles!$B$48:$B$51,0)),"?")))</f>
        <v/>
      </c>
      <c r="BO85" s="97" t="str">
        <f>IF($A85="","",IF($AC85="",1,IFERROR(INDEX(Deductibles!$C$55:$C$57,MATCH($AC85,Deductibles!$B$55:$B$57,0)),"?")))</f>
        <v/>
      </c>
      <c r="BP85" s="97" t="str">
        <f>IF($A85="","",IF($AD85="",1,IFERROR(INDEX(Deductibles!$C$61:$C$63,MATCH($AD85,Deductibles!$B$61:$B$63,0)),"?")))</f>
        <v/>
      </c>
      <c r="BQ85" s="97" t="str">
        <f>IF($A85="","",IF($AE85="",1,IFERROR(INDEX(Deductibles!$C$67:$C$69,MATCH($AE85,Deductibles!$B$67:$B$69,0)),"?")))</f>
        <v/>
      </c>
      <c r="BR85" s="97" t="str">
        <f>IF($A85="","",IF($AF85="",1,IFERROR(INDEX(Deductibles!$C$73:$C$74,MATCH($AF85,Deductibles!$B$73:$B$74,0)),"?")))</f>
        <v/>
      </c>
      <c r="BS85" s="97" t="str">
        <f>IF($A85="","",IF($AG85="",1,IFERROR(INDEX('Sublimits and Parts'!$C$49:$C$52,MATCH($AG85,'Sublimits and Parts'!$B$49:$B$52,0)),"?")))</f>
        <v/>
      </c>
      <c r="BT85" s="97" t="str">
        <f>IF($A85="","",IF($AH85="",1,IFERROR(INDEX('Sublimits and Parts'!$C$56:$C$60,MATCH($AH85,'Sublimits and Parts'!$B$56:$B$60,0)),"?")))</f>
        <v/>
      </c>
      <c r="BU85" s="97" t="str">
        <f>IF($A85="","",IF($AI85="",1,IFERROR(INDEX('Sublimits and Parts'!$C$64:$C$67,MATCH($AI85,'Sublimits and Parts'!$B$64:$B$67,0)),"?")))</f>
        <v/>
      </c>
      <c r="BV85" s="97" t="str">
        <f>IF($A85="","",IF($AJ85="",1,IFERROR(INDEX('Sublimits and Parts'!$C$71:$C$74,MATCH($AJ85,'Sublimits and Parts'!$B$71:$B$74,0)),"?")))</f>
        <v/>
      </c>
      <c r="BW85" s="97" t="str">
        <f>IF($A85="","",IF($AK85="",1,IFERROR(INDEX('Sublimits and Parts'!$C$78:$C$80,MATCH($AK85,'Sublimits and Parts'!$B$78:$B$80,0)),"?")))</f>
        <v/>
      </c>
      <c r="BX85" s="97" t="str">
        <f>IF($A85="","",IF($AL85="",1,IFERROR(INDEX('Sublimits and Parts'!$C$84:$C$87,MATCH($AL85,'Sublimits and Parts'!$B$84:$B$87,0)),"?")))</f>
        <v/>
      </c>
      <c r="BY85" s="97" t="str">
        <f>IF($A85="","",IF($AM85="",1,IFERROR(INDEX('Sublimits and Parts'!$C$91:$C$94,MATCH($AM85,'Sublimits and Parts'!$B$91:$B$94,0)),"?")))</f>
        <v/>
      </c>
      <c r="BZ85" s="97" t="str">
        <f>IF($A85="","",IF($AN85="",1,IFERROR(INDEX('Sublimits and Parts'!$C$98:$C$101,MATCH($AN85,'Sublimits and Parts'!$B$98:$B$101,0)),"?")))</f>
        <v/>
      </c>
      <c r="CA85" s="97" t="str">
        <f>IF($A85="","",IF($AO85="",1,IFERROR(INDEX('Sublimits and Parts'!$C$105:$C$109,MATCH($AO85,'Sublimits and Parts'!$B$105:$B$109,0)),"?")))</f>
        <v/>
      </c>
      <c r="CB85" s="98" t="str">
        <f t="shared" si="15"/>
        <v/>
      </c>
      <c r="CC85" s="98" t="str">
        <f t="shared" si="16"/>
        <v/>
      </c>
      <c r="CD85" s="101" t="str">
        <f>IF($A85="","",IF(OR($CB85="?",$CC85="?"),"?",MIN($CB85*$CC85,'Technical Premium'!$C$17)))</f>
        <v/>
      </c>
      <c r="CE85" s="100" t="str">
        <f t="shared" si="17"/>
        <v/>
      </c>
      <c r="CF85" s="100" t="str">
        <f>IF($A85="","",IFERROR(INDEX('Territory Factors'!$F$6:$F$56,MATCH($K85,'Territory Factors'!$B$6:$B$56,0)),"?"))</f>
        <v/>
      </c>
      <c r="CG85" s="98" t="str">
        <f>IF($A85="","",IFERROR(INDEX('Usage and Coverage'!$C$79:$C$84,MATCH($Y85,'Usage and Coverage'!$B$79:$B$84,0)),"?"))</f>
        <v/>
      </c>
      <c r="CH85" s="100" t="str">
        <f>IFERROR(IF(ISNUMBER($CD85),$CF85*$CG85*MIN($BG85*$BA85*$BC85*$BD85*$BH85*$BF85,'Technical Premium'!$C$17),""),"")</f>
        <v/>
      </c>
      <c r="CI85" s="100" t="str">
        <f t="shared" si="18"/>
        <v/>
      </c>
      <c r="CJ85" s="100" t="str">
        <f>IFERROR($CI85*(1+'Technical Premium'!$C$5)*(1+'Technical Premium'!$C$6),"")</f>
        <v/>
      </c>
      <c r="CK85" s="100" t="str">
        <f>IFERROR($CE85*INDEX('Territory Factors'!$G$6:$G$56,MATCH($K85,'Territory Factors'!$B$6:$B$56,0))*$AU85*$AV85,"")</f>
        <v/>
      </c>
      <c r="CL85" s="100" t="str">
        <f>IFERROR(($CJ85+$CK85)*(1+'Technical Premium'!$C$7),"")</f>
        <v/>
      </c>
      <c r="CM85" s="102" t="str">
        <f>IFERROR($CL85/'Technical Premium'!$C$13,"")</f>
        <v/>
      </c>
      <c r="CN85" s="103" t="str">
        <f t="shared" si="19"/>
        <v/>
      </c>
      <c r="CO85" s="102" t="str">
        <f t="shared" si="20"/>
        <v/>
      </c>
      <c r="CP85" s="103" t="str">
        <f t="shared" si="21"/>
        <v/>
      </c>
      <c r="CQ85" s="104" t="str">
        <f t="shared" si="22"/>
        <v/>
      </c>
      <c r="CR85" s="100" t="str">
        <f>IF(ISNUMBER($CM85),'Technical Premium'!$C$14+IF($J85&gt;=1000000,'Technical Premium'!$C$15,0),"")</f>
        <v/>
      </c>
      <c r="CS85" s="100" t="str">
        <f>IFERROR(($CO85+$CR85)*(INDEX('Territory Factors'!$K$6:$K$56,MATCH($K85,'Territory Factors'!$B$6:$B$56,0))+'Commission Structure'!$C$21),"")</f>
        <v/>
      </c>
      <c r="CT85" s="102" t="str">
        <f t="shared" si="23"/>
        <v/>
      </c>
      <c r="CU85" s="100" t="str">
        <f>IFERROR($CO85*('Commission Structure'!$C$6+'Commission Structure'!$C$7),"")</f>
        <v/>
      </c>
      <c r="CV85" s="100" t="str">
        <f>IFERROR($CO85*'Commission Structure'!$C$5-$CU85,"")</f>
        <v/>
      </c>
      <c r="CW85" s="100" t="str">
        <f>IFERROR($CO85*(1-'Commission Structure'!$C$5),"")</f>
        <v/>
      </c>
      <c r="CX85" s="105" t="str">
        <f>IF($A85="","",IF(OR($CB85="?",$CC85="?",NOT(ISNUMBER($AU85))),"CHECK INPUTS",IF(OR($J85&lt;'Technical Premium'!$C$18,LEFT(IFERROR(INDEX('Driver Factors'!$D$6:$D$15,MATCH($R85,'Driver Factors'!$B$6:$B$15,0)),""),7)="DECLINE",LEFT(IFERROR(INDEX('Driver Factors'!$D$28:$D$36,MATCH($T85,'Driver Factors'!$B$28:$B$36,0)),""),7)="DECLINE",LEFT(IFERROR(INDEX('Claims History'!$D$6:$D$15,MATCH($U85,'Claims History'!$B$6:$B$15,0)),""),7)="DECLINE",LEFT(IFERROR(INDEX('Usage and Coverage'!$E$6:$E$20,MATCH($N85,'Usage and Coverage'!$C$6:$C$20,0)),""),7)="DECLINE"),"DECLINE",IF(OR($CD85&gt;2.5,$CD85&gt;='Technical Premium'!$C$17,$J85&gt;='Technical Premium'!$C$16,N($AQ85)&lt;'Technical Premium'!$C$19,N($AQ85)&gt;'Technical Premium'!$C$20,LEFT(IFERROR(INDEX('Driver Factors'!$D$6:$D$15,MATCH($R85,'Driver Factors'!$B$6:$B$15,0)),""),5)="Refer",LEFT(IFERROR(INDEX('Driver Factors'!$D$28:$D$36,MATCH($T85,'Driver Factors'!$B$28:$B$36,0)),""),5)="Refer",LEFT(IFERROR(INDEX('Claims History'!$D$6:$D$15,MATCH($U85,'Claims History'!$B$6:$B$15,0)),""),5)="Refer",LEFT(IFERROR(INDEX('Usage and Coverage'!$E$6:$E$20,MATCH($N85,'Usage and Coverage'!$C$6:$C$20,0)),""),5)="Refer"),"REFER","AUTO-BIND"))))</f>
        <v/>
      </c>
      <c r="CY85" s="106" t="str">
        <f t="shared" si="24"/>
        <v/>
      </c>
      <c r="CZ85" s="97" t="str">
        <f>IF($CY85="","",IF($CY85&lt;'Technical Premium'!$C$19,"BEYOND AUTHORITY",IF($CY85&gt;0.005,"Above technical",IF($CY85&lt;-0.005,"BELOW technical","At technical"))))</f>
        <v/>
      </c>
      <c r="DA85" s="97" t="str">
        <f>IF($A85="","",IF($CX85="AUTO-BIND","",TRIM(IF($J85&lt;'Technical Premium'!$C$18,"Below programme minimum agreed value. ","")&amp;IF(N($AQ85)&lt;'Technical Premium'!$C$19,"DISCOUNT AUTHORITY BREACH. ","")&amp;IF(N($AQ85)&gt;'Technical Premium'!$C$20,"Load authority breach. ","")&amp;IF($J85&gt;='Technical Premium'!$C$16,"Agreed value at or above auto-bind limit. ","")&amp;IF(AND(ISNUMBER($CD85),$CD85&gt;='Technical Premium'!$C$17),"Composite factor at cap. ","")&amp;IF(AND(ISNUMBER($CD85),$CD85&gt;2.5),"Composite factor above 2.50. ","")&amp;IF(LEFT(IFERROR(INDEX('Driver Factors'!$D$6:$D$15,MATCH($R85,'Driver Factors'!$B$6:$B$15,0)),""),7)="DECLINE","DECLINE - driver age. ",IF(LEFT(IFERROR(INDEX('Driver Factors'!$D$6:$D$15,MATCH($R85,'Driver Factors'!$B$6:$B$15,0)),""),5)="Refer","Driver age band. ",""))&amp;IF(LEFT(IFERROR(INDEX('Driver Factors'!$D$28:$D$36,MATCH($T85,'Driver Factors'!$B$28:$B$36,0)),""),7)="DECLINE","DECLINE - MVR. ",IF(LEFT(IFERROR(INDEX('Driver Factors'!$D$28:$D$36,MATCH($T85,'Driver Factors'!$B$28:$B$36,0)),""),5)="Refer","MVR record. ",""))&amp;IF(LEFT(IFERROR(INDEX('Claims History'!$D$6:$D$15,MATCH($U85,'Claims History'!$B$6:$B$15,0)),""),7)="DECLINE","DECLINE - claims. ",IF(LEFT(IFERROR(INDEX('Claims History'!$D$6:$D$15,MATCH($U85,'Claims History'!$B$6:$B$15,0)),""),5)="Refer","Claims history. ",""))&amp;IF(LEFT(IFERROR(INDEX('Usage and Coverage'!$E$6:$E$20,MATCH($N85,'Usage and Coverage'!$C$6:$C$20,0)),""),7)="DECLINE","DECLINE - usage class. ",IF(LEFT(IFERROR(INDEX('Usage and Coverage'!$E$6:$E$20,MATCH($N85,'Usage and Coverage'!$C$6:$C$20,0)),""),5)="Refer","Usage class. ",""))&amp;IF($CX85="CHECK INPUTS","Incomplete inputs. ",""))))</f>
        <v/>
      </c>
      <c r="DB85" s="92"/>
      <c r="DC85" s="92"/>
      <c r="DD85" s="93"/>
      <c r="DE85" s="92"/>
      <c r="DF85" s="92"/>
      <c r="DG85" s="97" t="str">
        <f t="shared" si="25"/>
        <v/>
      </c>
      <c r="DH85" s="97" t="str">
        <f>IF($A85="","",IF(OR($CX85="REFER",$CX85="DECLINE"),COUNTIF($CX$5:$CX85,"REFER")+COUNTIF($CX$5:$CX85,"DECLINE"),""))</f>
        <v/>
      </c>
      <c r="DI85" s="92"/>
    </row>
    <row r="86" spans="1:113" x14ac:dyDescent="0.25">
      <c r="A86" s="92"/>
      <c r="B86" s="92"/>
      <c r="C86" s="93"/>
      <c r="D86" s="93"/>
      <c r="E86" s="94"/>
      <c r="F86" s="92"/>
      <c r="G86" s="92"/>
      <c r="H86" s="92"/>
      <c r="I86" s="92"/>
      <c r="J86" s="95"/>
      <c r="K86" s="92"/>
      <c r="L86" s="92"/>
      <c r="M86" s="92"/>
      <c r="N86" s="92"/>
      <c r="O86" s="92"/>
      <c r="P86" s="92"/>
      <c r="Q86" s="92"/>
      <c r="R86" s="92"/>
      <c r="S86" s="92"/>
      <c r="T86" s="92"/>
      <c r="U86" s="92"/>
      <c r="V86" s="92"/>
      <c r="W86" s="92"/>
      <c r="X86" s="92"/>
      <c r="Y86" s="92"/>
      <c r="Z86" s="92"/>
      <c r="AA86" s="92"/>
      <c r="AB86" s="92"/>
      <c r="AC86" s="92"/>
      <c r="AD86" s="92"/>
      <c r="AE86" s="92"/>
      <c r="AF86" s="92"/>
      <c r="AG86" s="92"/>
      <c r="AH86" s="92"/>
      <c r="AI86" s="92"/>
      <c r="AJ86" s="92"/>
      <c r="AK86" s="92"/>
      <c r="AL86" s="92"/>
      <c r="AM86" s="92"/>
      <c r="AN86" s="92"/>
      <c r="AO86" s="92"/>
      <c r="AP86" s="92"/>
      <c r="AQ86" s="96"/>
      <c r="AR86" s="97" t="str">
        <f t="shared" si="13"/>
        <v/>
      </c>
      <c r="AS86" s="97" t="str">
        <f>IF($A86="","",IF($AP86&lt;&gt;"",$AP86,IFERROR(INDEX('Cat Zone by ZIP'!$D$6:$D$856,MATCH($AR86,'Cat Zone by ZIP'!$B$6:$B$856,0)),IFERROR(INDEX('Cat Zone by ZIP'!$C$860:$C$910,MATCH($K86,'Cat Zone by ZIP'!$B$860:$B$910,0)),"NOT FOUND"))))</f>
        <v/>
      </c>
      <c r="AT86" s="97" t="str">
        <f>IF($A86="","",IF($AP86&lt;&gt;"","Override",IF(ISNUMBER(MATCH($AR86,'Cat Zone by ZIP'!$B$6:$B$856,0)),"ZIP-3","State default")))</f>
        <v/>
      </c>
      <c r="AU86" s="98" t="str">
        <f>IF($A86="","",IFERROR(INDEX('Natural Catastrophe'!$D$6:$D$17,MATCH($AS86,'Natural Catastrophe'!$B$6:$B$17,0)),"?"))</f>
        <v/>
      </c>
      <c r="AV86" s="98" t="str">
        <f>IF($A86="","",IFERROR(INDEX('Natural Catastrophe'!$C$21:$C$26,MATCH($AA86,'Natural Catastrophe'!$B$21:$B$26,0)),"?"))</f>
        <v/>
      </c>
      <c r="AW86" s="97" t="str">
        <f>IF($A86="","",IFERROR(INDEX('Base Rates'!$C$4:$I$4,MATCH(MAX($J86,'Technical Premium'!$C$18),'Base Rates'!$C$3:$I$3,1)),"?"))</f>
        <v/>
      </c>
      <c r="AX86" s="99" t="str">
        <f>IF($A86="","",IFERROR(INDEX('Base Rates'!$C$5:$I$16,MATCH($I86,'Base Rates'!$B$5:$B$16,0),MATCH(MAX($J86,'Technical Premium'!$C$18),'Base Rates'!$C$3:$I$3,1)),"?"))</f>
        <v/>
      </c>
      <c r="AY86" s="100" t="str">
        <f t="shared" si="14"/>
        <v/>
      </c>
      <c r="AZ86" s="97" t="str">
        <f>IF($A86="","",IFERROR(INDEX('Make Factors'!$G$5:$G$69,MATCH($F86,'Make Factors'!$B$5:$B$69,0)),"?"))</f>
        <v/>
      </c>
      <c r="BA86" s="97" t="str">
        <f>IF($A86="","",IFERROR(INDEX('Driver Factors'!$C$6:$C$15,MATCH($R86,'Driver Factors'!$B$6:$B$15,0)),"?"))</f>
        <v/>
      </c>
      <c r="BB86" s="97" t="str">
        <f>IF($A86="","",IFERROR(INDEX('Driver Factors'!$C$19:$C$24,MATCH($S86,'Driver Factors'!$B$19:$B$24,0)),"?"))</f>
        <v/>
      </c>
      <c r="BC86" s="97" t="str">
        <f>IF($A86="","",IFERROR(INDEX('Driver Factors'!$C$28:$C$36,MATCH($T86,'Driver Factors'!$B$28:$B$36,0)),"?"))</f>
        <v/>
      </c>
      <c r="BD86" s="97" t="str">
        <f>IF($A86="","",IFERROR(INDEX('Claims History'!$C$6:$C$15,MATCH($U86,'Claims History'!$B$6:$B$15,0)),"?"))</f>
        <v/>
      </c>
      <c r="BE86" s="97" t="str">
        <f>IF($A86="","",IFERROR(INDEX('Territory Factors'!$E$6:$E$56,MATCH($K86,'Territory Factors'!$B$6:$B$56,0)),"?"))</f>
        <v/>
      </c>
      <c r="BF86" s="97" t="str">
        <f>IF($A86="","",IFERROR(INDEX('City Accident Ratings'!$G$6:$G$54,MATCH($Z86,'City Accident Ratings'!$B$6:$B$54,0)),"?"))</f>
        <v/>
      </c>
      <c r="BG86" s="97" t="str">
        <f>IF($A86="","",IFERROR(INDEX('Usage and Coverage'!$D$6:$D$20,MATCH($N86,'Usage and Coverage'!$C$6:$C$20,0)),"?"))</f>
        <v/>
      </c>
      <c r="BH86" s="97" t="str">
        <f>IF($A86="","",IFERROR(INDEX('Usage and Coverage'!$C$24:$C$30,MATCH($O86,'Usage and Coverage'!$B$24:$B$30,0)),"?"))</f>
        <v/>
      </c>
      <c r="BI86" s="97" t="str">
        <f>IF($A86="","",IFERROR(INDEX('Usage and Coverage'!$C$34:$C$40,MATCH($P86,'Usage and Coverage'!$B$34:$B$40,0)),"?"))</f>
        <v/>
      </c>
      <c r="BJ86" s="97" t="str">
        <f>IF($A86="","",IFERROR(INDEX('Usage and Coverage'!$C$44:$C$49,MATCH($Q86,'Usage and Coverage'!$B$44:$B$49,0)),"?"))</f>
        <v/>
      </c>
      <c r="BK86" s="97" t="str">
        <f>IF($A86="","",IFERROR(INDEX(Deductibles!$C$6:$I$15,MATCH($W86,Deductibles!$B$6:$B$15,0),MATCH(MAX($J86,'Technical Premium'!$C$18),'Base Rates'!$C$3:$I$3,1)),"?"))</f>
        <v/>
      </c>
      <c r="BL86" s="97" t="str">
        <f>IF($A86="","",IFERROR(INDEX('Usage and Coverage'!$C$63:$C$66,MATCH($X86,'Usage and Coverage'!$B$63:$B$66,0)),"?"))</f>
        <v/>
      </c>
      <c r="BM86" s="97" t="str">
        <f>IF($A86="","",IFERROR(INDEX('Usage and Coverage'!$C$70:$C$75,MATCH($V86,'Usage and Coverage'!$B$70:$B$75,0)),"?"))</f>
        <v/>
      </c>
      <c r="BN86" s="97" t="str">
        <f>IF($A86="","",IF($AB86="",1,IFERROR(INDEX(Deductibles!$C$48:$C$51,MATCH($AB86,Deductibles!$B$48:$B$51,0)),"?")))</f>
        <v/>
      </c>
      <c r="BO86" s="97" t="str">
        <f>IF($A86="","",IF($AC86="",1,IFERROR(INDEX(Deductibles!$C$55:$C$57,MATCH($AC86,Deductibles!$B$55:$B$57,0)),"?")))</f>
        <v/>
      </c>
      <c r="BP86" s="97" t="str">
        <f>IF($A86="","",IF($AD86="",1,IFERROR(INDEX(Deductibles!$C$61:$C$63,MATCH($AD86,Deductibles!$B$61:$B$63,0)),"?")))</f>
        <v/>
      </c>
      <c r="BQ86" s="97" t="str">
        <f>IF($A86="","",IF($AE86="",1,IFERROR(INDEX(Deductibles!$C$67:$C$69,MATCH($AE86,Deductibles!$B$67:$B$69,0)),"?")))</f>
        <v/>
      </c>
      <c r="BR86" s="97" t="str">
        <f>IF($A86="","",IF($AF86="",1,IFERROR(INDEX(Deductibles!$C$73:$C$74,MATCH($AF86,Deductibles!$B$73:$B$74,0)),"?")))</f>
        <v/>
      </c>
      <c r="BS86" s="97" t="str">
        <f>IF($A86="","",IF($AG86="",1,IFERROR(INDEX('Sublimits and Parts'!$C$49:$C$52,MATCH($AG86,'Sublimits and Parts'!$B$49:$B$52,0)),"?")))</f>
        <v/>
      </c>
      <c r="BT86" s="97" t="str">
        <f>IF($A86="","",IF($AH86="",1,IFERROR(INDEX('Sublimits and Parts'!$C$56:$C$60,MATCH($AH86,'Sublimits and Parts'!$B$56:$B$60,0)),"?")))</f>
        <v/>
      </c>
      <c r="BU86" s="97" t="str">
        <f>IF($A86="","",IF($AI86="",1,IFERROR(INDEX('Sublimits and Parts'!$C$64:$C$67,MATCH($AI86,'Sublimits and Parts'!$B$64:$B$67,0)),"?")))</f>
        <v/>
      </c>
      <c r="BV86" s="97" t="str">
        <f>IF($A86="","",IF($AJ86="",1,IFERROR(INDEX('Sublimits and Parts'!$C$71:$C$74,MATCH($AJ86,'Sublimits and Parts'!$B$71:$B$74,0)),"?")))</f>
        <v/>
      </c>
      <c r="BW86" s="97" t="str">
        <f>IF($A86="","",IF($AK86="",1,IFERROR(INDEX('Sublimits and Parts'!$C$78:$C$80,MATCH($AK86,'Sublimits and Parts'!$B$78:$B$80,0)),"?")))</f>
        <v/>
      </c>
      <c r="BX86" s="97" t="str">
        <f>IF($A86="","",IF($AL86="",1,IFERROR(INDEX('Sublimits and Parts'!$C$84:$C$87,MATCH($AL86,'Sublimits and Parts'!$B$84:$B$87,0)),"?")))</f>
        <v/>
      </c>
      <c r="BY86" s="97" t="str">
        <f>IF($A86="","",IF($AM86="",1,IFERROR(INDEX('Sublimits and Parts'!$C$91:$C$94,MATCH($AM86,'Sublimits and Parts'!$B$91:$B$94,0)),"?")))</f>
        <v/>
      </c>
      <c r="BZ86" s="97" t="str">
        <f>IF($A86="","",IF($AN86="",1,IFERROR(INDEX('Sublimits and Parts'!$C$98:$C$101,MATCH($AN86,'Sublimits and Parts'!$B$98:$B$101,0)),"?")))</f>
        <v/>
      </c>
      <c r="CA86" s="97" t="str">
        <f>IF($A86="","",IF($AO86="",1,IFERROR(INDEX('Sublimits and Parts'!$C$105:$C$109,MATCH($AO86,'Sublimits and Parts'!$B$105:$B$109,0)),"?")))</f>
        <v/>
      </c>
      <c r="CB86" s="98" t="str">
        <f t="shared" si="15"/>
        <v/>
      </c>
      <c r="CC86" s="98" t="str">
        <f t="shared" si="16"/>
        <v/>
      </c>
      <c r="CD86" s="101" t="str">
        <f>IF($A86="","",IF(OR($CB86="?",$CC86="?"),"?",MIN($CB86*$CC86,'Technical Premium'!$C$17)))</f>
        <v/>
      </c>
      <c r="CE86" s="100" t="str">
        <f t="shared" si="17"/>
        <v/>
      </c>
      <c r="CF86" s="100" t="str">
        <f>IF($A86="","",IFERROR(INDEX('Territory Factors'!$F$6:$F$56,MATCH($K86,'Territory Factors'!$B$6:$B$56,0)),"?"))</f>
        <v/>
      </c>
      <c r="CG86" s="98" t="str">
        <f>IF($A86="","",IFERROR(INDEX('Usage and Coverage'!$C$79:$C$84,MATCH($Y86,'Usage and Coverage'!$B$79:$B$84,0)),"?"))</f>
        <v/>
      </c>
      <c r="CH86" s="100" t="str">
        <f>IFERROR(IF(ISNUMBER($CD86),$CF86*$CG86*MIN($BG86*$BA86*$BC86*$BD86*$BH86*$BF86,'Technical Premium'!$C$17),""),"")</f>
        <v/>
      </c>
      <c r="CI86" s="100" t="str">
        <f t="shared" si="18"/>
        <v/>
      </c>
      <c r="CJ86" s="100" t="str">
        <f>IFERROR($CI86*(1+'Technical Premium'!$C$5)*(1+'Technical Premium'!$C$6),"")</f>
        <v/>
      </c>
      <c r="CK86" s="100" t="str">
        <f>IFERROR($CE86*INDEX('Territory Factors'!$G$6:$G$56,MATCH($K86,'Territory Factors'!$B$6:$B$56,0))*$AU86*$AV86,"")</f>
        <v/>
      </c>
      <c r="CL86" s="100" t="str">
        <f>IFERROR(($CJ86+$CK86)*(1+'Technical Premium'!$C$7),"")</f>
        <v/>
      </c>
      <c r="CM86" s="102" t="str">
        <f>IFERROR($CL86/'Technical Premium'!$C$13,"")</f>
        <v/>
      </c>
      <c r="CN86" s="103" t="str">
        <f t="shared" si="19"/>
        <v/>
      </c>
      <c r="CO86" s="102" t="str">
        <f t="shared" si="20"/>
        <v/>
      </c>
      <c r="CP86" s="103" t="str">
        <f t="shared" si="21"/>
        <v/>
      </c>
      <c r="CQ86" s="104" t="str">
        <f t="shared" si="22"/>
        <v/>
      </c>
      <c r="CR86" s="100" t="str">
        <f>IF(ISNUMBER($CM86),'Technical Premium'!$C$14+IF($J86&gt;=1000000,'Technical Premium'!$C$15,0),"")</f>
        <v/>
      </c>
      <c r="CS86" s="100" t="str">
        <f>IFERROR(($CO86+$CR86)*(INDEX('Territory Factors'!$K$6:$K$56,MATCH($K86,'Territory Factors'!$B$6:$B$56,0))+'Commission Structure'!$C$21),"")</f>
        <v/>
      </c>
      <c r="CT86" s="102" t="str">
        <f t="shared" si="23"/>
        <v/>
      </c>
      <c r="CU86" s="100" t="str">
        <f>IFERROR($CO86*('Commission Structure'!$C$6+'Commission Structure'!$C$7),"")</f>
        <v/>
      </c>
      <c r="CV86" s="100" t="str">
        <f>IFERROR($CO86*'Commission Structure'!$C$5-$CU86,"")</f>
        <v/>
      </c>
      <c r="CW86" s="100" t="str">
        <f>IFERROR($CO86*(1-'Commission Structure'!$C$5),"")</f>
        <v/>
      </c>
      <c r="CX86" s="105" t="str">
        <f>IF($A86="","",IF(OR($CB86="?",$CC86="?",NOT(ISNUMBER($AU86))),"CHECK INPUTS",IF(OR($J86&lt;'Technical Premium'!$C$18,LEFT(IFERROR(INDEX('Driver Factors'!$D$6:$D$15,MATCH($R86,'Driver Factors'!$B$6:$B$15,0)),""),7)="DECLINE",LEFT(IFERROR(INDEX('Driver Factors'!$D$28:$D$36,MATCH($T86,'Driver Factors'!$B$28:$B$36,0)),""),7)="DECLINE",LEFT(IFERROR(INDEX('Claims History'!$D$6:$D$15,MATCH($U86,'Claims History'!$B$6:$B$15,0)),""),7)="DECLINE",LEFT(IFERROR(INDEX('Usage and Coverage'!$E$6:$E$20,MATCH($N86,'Usage and Coverage'!$C$6:$C$20,0)),""),7)="DECLINE"),"DECLINE",IF(OR($CD86&gt;2.5,$CD86&gt;='Technical Premium'!$C$17,$J86&gt;='Technical Premium'!$C$16,N($AQ86)&lt;'Technical Premium'!$C$19,N($AQ86)&gt;'Technical Premium'!$C$20,LEFT(IFERROR(INDEX('Driver Factors'!$D$6:$D$15,MATCH($R86,'Driver Factors'!$B$6:$B$15,0)),""),5)="Refer",LEFT(IFERROR(INDEX('Driver Factors'!$D$28:$D$36,MATCH($T86,'Driver Factors'!$B$28:$B$36,0)),""),5)="Refer",LEFT(IFERROR(INDEX('Claims History'!$D$6:$D$15,MATCH($U86,'Claims History'!$B$6:$B$15,0)),""),5)="Refer",LEFT(IFERROR(INDEX('Usage and Coverage'!$E$6:$E$20,MATCH($N86,'Usage and Coverage'!$C$6:$C$20,0)),""),5)="Refer"),"REFER","AUTO-BIND"))))</f>
        <v/>
      </c>
      <c r="CY86" s="106" t="str">
        <f t="shared" si="24"/>
        <v/>
      </c>
      <c r="CZ86" s="97" t="str">
        <f>IF($CY86="","",IF($CY86&lt;'Technical Premium'!$C$19,"BEYOND AUTHORITY",IF($CY86&gt;0.005,"Above technical",IF($CY86&lt;-0.005,"BELOW technical","At technical"))))</f>
        <v/>
      </c>
      <c r="DA86" s="97" t="str">
        <f>IF($A86="","",IF($CX86="AUTO-BIND","",TRIM(IF($J86&lt;'Technical Premium'!$C$18,"Below programme minimum agreed value. ","")&amp;IF(N($AQ86)&lt;'Technical Premium'!$C$19,"DISCOUNT AUTHORITY BREACH. ","")&amp;IF(N($AQ86)&gt;'Technical Premium'!$C$20,"Load authority breach. ","")&amp;IF($J86&gt;='Technical Premium'!$C$16,"Agreed value at or above auto-bind limit. ","")&amp;IF(AND(ISNUMBER($CD86),$CD86&gt;='Technical Premium'!$C$17),"Composite factor at cap. ","")&amp;IF(AND(ISNUMBER($CD86),$CD86&gt;2.5),"Composite factor above 2.50. ","")&amp;IF(LEFT(IFERROR(INDEX('Driver Factors'!$D$6:$D$15,MATCH($R86,'Driver Factors'!$B$6:$B$15,0)),""),7)="DECLINE","DECLINE - driver age. ",IF(LEFT(IFERROR(INDEX('Driver Factors'!$D$6:$D$15,MATCH($R86,'Driver Factors'!$B$6:$B$15,0)),""),5)="Refer","Driver age band. ",""))&amp;IF(LEFT(IFERROR(INDEX('Driver Factors'!$D$28:$D$36,MATCH($T86,'Driver Factors'!$B$28:$B$36,0)),""),7)="DECLINE","DECLINE - MVR. ",IF(LEFT(IFERROR(INDEX('Driver Factors'!$D$28:$D$36,MATCH($T86,'Driver Factors'!$B$28:$B$36,0)),""),5)="Refer","MVR record. ",""))&amp;IF(LEFT(IFERROR(INDEX('Claims History'!$D$6:$D$15,MATCH($U86,'Claims History'!$B$6:$B$15,0)),""),7)="DECLINE","DECLINE - claims. ",IF(LEFT(IFERROR(INDEX('Claims History'!$D$6:$D$15,MATCH($U86,'Claims History'!$B$6:$B$15,0)),""),5)="Refer","Claims history. ",""))&amp;IF(LEFT(IFERROR(INDEX('Usage and Coverage'!$E$6:$E$20,MATCH($N86,'Usage and Coverage'!$C$6:$C$20,0)),""),7)="DECLINE","DECLINE - usage class. ",IF(LEFT(IFERROR(INDEX('Usage and Coverage'!$E$6:$E$20,MATCH($N86,'Usage and Coverage'!$C$6:$C$20,0)),""),5)="Refer","Usage class. ",""))&amp;IF($CX86="CHECK INPUTS","Incomplete inputs. ",""))))</f>
        <v/>
      </c>
      <c r="DB86" s="92"/>
      <c r="DC86" s="92"/>
      <c r="DD86" s="93"/>
      <c r="DE86" s="92"/>
      <c r="DF86" s="92"/>
      <c r="DG86" s="97" t="str">
        <f t="shared" si="25"/>
        <v/>
      </c>
      <c r="DH86" s="97" t="str">
        <f>IF($A86="","",IF(OR($CX86="REFER",$CX86="DECLINE"),COUNTIF($CX$5:$CX86,"REFER")+COUNTIF($CX$5:$CX86,"DECLINE"),""))</f>
        <v/>
      </c>
      <c r="DI86" s="92"/>
    </row>
    <row r="87" spans="1:113" x14ac:dyDescent="0.25">
      <c r="A87" s="92"/>
      <c r="B87" s="92"/>
      <c r="C87" s="93"/>
      <c r="D87" s="93"/>
      <c r="E87" s="94"/>
      <c r="F87" s="92"/>
      <c r="G87" s="92"/>
      <c r="H87" s="92"/>
      <c r="I87" s="92"/>
      <c r="J87" s="95"/>
      <c r="K87" s="92"/>
      <c r="L87" s="92"/>
      <c r="M87" s="92"/>
      <c r="N87" s="92"/>
      <c r="O87" s="92"/>
      <c r="P87" s="92"/>
      <c r="Q87" s="92"/>
      <c r="R87" s="92"/>
      <c r="S87" s="92"/>
      <c r="T87" s="92"/>
      <c r="U87" s="92"/>
      <c r="V87" s="92"/>
      <c r="W87" s="92"/>
      <c r="X87" s="92"/>
      <c r="Y87" s="92"/>
      <c r="Z87" s="92"/>
      <c r="AA87" s="92"/>
      <c r="AB87" s="92"/>
      <c r="AC87" s="92"/>
      <c r="AD87" s="92"/>
      <c r="AE87" s="92"/>
      <c r="AF87" s="92"/>
      <c r="AG87" s="92"/>
      <c r="AH87" s="92"/>
      <c r="AI87" s="92"/>
      <c r="AJ87" s="92"/>
      <c r="AK87" s="92"/>
      <c r="AL87" s="92"/>
      <c r="AM87" s="92"/>
      <c r="AN87" s="92"/>
      <c r="AO87" s="92"/>
      <c r="AP87" s="92"/>
      <c r="AQ87" s="96"/>
      <c r="AR87" s="97" t="str">
        <f t="shared" si="13"/>
        <v/>
      </c>
      <c r="AS87" s="97" t="str">
        <f>IF($A87="","",IF($AP87&lt;&gt;"",$AP87,IFERROR(INDEX('Cat Zone by ZIP'!$D$6:$D$856,MATCH($AR87,'Cat Zone by ZIP'!$B$6:$B$856,0)),IFERROR(INDEX('Cat Zone by ZIP'!$C$860:$C$910,MATCH($K87,'Cat Zone by ZIP'!$B$860:$B$910,0)),"NOT FOUND"))))</f>
        <v/>
      </c>
      <c r="AT87" s="97" t="str">
        <f>IF($A87="","",IF($AP87&lt;&gt;"","Override",IF(ISNUMBER(MATCH($AR87,'Cat Zone by ZIP'!$B$6:$B$856,0)),"ZIP-3","State default")))</f>
        <v/>
      </c>
      <c r="AU87" s="98" t="str">
        <f>IF($A87="","",IFERROR(INDEX('Natural Catastrophe'!$D$6:$D$17,MATCH($AS87,'Natural Catastrophe'!$B$6:$B$17,0)),"?"))</f>
        <v/>
      </c>
      <c r="AV87" s="98" t="str">
        <f>IF($A87="","",IFERROR(INDEX('Natural Catastrophe'!$C$21:$C$26,MATCH($AA87,'Natural Catastrophe'!$B$21:$B$26,0)),"?"))</f>
        <v/>
      </c>
      <c r="AW87" s="97" t="str">
        <f>IF($A87="","",IFERROR(INDEX('Base Rates'!$C$4:$I$4,MATCH(MAX($J87,'Technical Premium'!$C$18),'Base Rates'!$C$3:$I$3,1)),"?"))</f>
        <v/>
      </c>
      <c r="AX87" s="99" t="str">
        <f>IF($A87="","",IFERROR(INDEX('Base Rates'!$C$5:$I$16,MATCH($I87,'Base Rates'!$B$5:$B$16,0),MATCH(MAX($J87,'Technical Premium'!$C$18),'Base Rates'!$C$3:$I$3,1)),"?"))</f>
        <v/>
      </c>
      <c r="AY87" s="100" t="str">
        <f t="shared" si="14"/>
        <v/>
      </c>
      <c r="AZ87" s="97" t="str">
        <f>IF($A87="","",IFERROR(INDEX('Make Factors'!$G$5:$G$69,MATCH($F87,'Make Factors'!$B$5:$B$69,0)),"?"))</f>
        <v/>
      </c>
      <c r="BA87" s="97" t="str">
        <f>IF($A87="","",IFERROR(INDEX('Driver Factors'!$C$6:$C$15,MATCH($R87,'Driver Factors'!$B$6:$B$15,0)),"?"))</f>
        <v/>
      </c>
      <c r="BB87" s="97" t="str">
        <f>IF($A87="","",IFERROR(INDEX('Driver Factors'!$C$19:$C$24,MATCH($S87,'Driver Factors'!$B$19:$B$24,0)),"?"))</f>
        <v/>
      </c>
      <c r="BC87" s="97" t="str">
        <f>IF($A87="","",IFERROR(INDEX('Driver Factors'!$C$28:$C$36,MATCH($T87,'Driver Factors'!$B$28:$B$36,0)),"?"))</f>
        <v/>
      </c>
      <c r="BD87" s="97" t="str">
        <f>IF($A87="","",IFERROR(INDEX('Claims History'!$C$6:$C$15,MATCH($U87,'Claims History'!$B$6:$B$15,0)),"?"))</f>
        <v/>
      </c>
      <c r="BE87" s="97" t="str">
        <f>IF($A87="","",IFERROR(INDEX('Territory Factors'!$E$6:$E$56,MATCH($K87,'Territory Factors'!$B$6:$B$56,0)),"?"))</f>
        <v/>
      </c>
      <c r="BF87" s="97" t="str">
        <f>IF($A87="","",IFERROR(INDEX('City Accident Ratings'!$G$6:$G$54,MATCH($Z87,'City Accident Ratings'!$B$6:$B$54,0)),"?"))</f>
        <v/>
      </c>
      <c r="BG87" s="97" t="str">
        <f>IF($A87="","",IFERROR(INDEX('Usage and Coverage'!$D$6:$D$20,MATCH($N87,'Usage and Coverage'!$C$6:$C$20,0)),"?"))</f>
        <v/>
      </c>
      <c r="BH87" s="97" t="str">
        <f>IF($A87="","",IFERROR(INDEX('Usage and Coverage'!$C$24:$C$30,MATCH($O87,'Usage and Coverage'!$B$24:$B$30,0)),"?"))</f>
        <v/>
      </c>
      <c r="BI87" s="97" t="str">
        <f>IF($A87="","",IFERROR(INDEX('Usage and Coverage'!$C$34:$C$40,MATCH($P87,'Usage and Coverage'!$B$34:$B$40,0)),"?"))</f>
        <v/>
      </c>
      <c r="BJ87" s="97" t="str">
        <f>IF($A87="","",IFERROR(INDEX('Usage and Coverage'!$C$44:$C$49,MATCH($Q87,'Usage and Coverage'!$B$44:$B$49,0)),"?"))</f>
        <v/>
      </c>
      <c r="BK87" s="97" t="str">
        <f>IF($A87="","",IFERROR(INDEX(Deductibles!$C$6:$I$15,MATCH($W87,Deductibles!$B$6:$B$15,0),MATCH(MAX($J87,'Technical Premium'!$C$18),'Base Rates'!$C$3:$I$3,1)),"?"))</f>
        <v/>
      </c>
      <c r="BL87" s="97" t="str">
        <f>IF($A87="","",IFERROR(INDEX('Usage and Coverage'!$C$63:$C$66,MATCH($X87,'Usage and Coverage'!$B$63:$B$66,0)),"?"))</f>
        <v/>
      </c>
      <c r="BM87" s="97" t="str">
        <f>IF($A87="","",IFERROR(INDEX('Usage and Coverage'!$C$70:$C$75,MATCH($V87,'Usage and Coverage'!$B$70:$B$75,0)),"?"))</f>
        <v/>
      </c>
      <c r="BN87" s="97" t="str">
        <f>IF($A87="","",IF($AB87="",1,IFERROR(INDEX(Deductibles!$C$48:$C$51,MATCH($AB87,Deductibles!$B$48:$B$51,0)),"?")))</f>
        <v/>
      </c>
      <c r="BO87" s="97" t="str">
        <f>IF($A87="","",IF($AC87="",1,IFERROR(INDEX(Deductibles!$C$55:$C$57,MATCH($AC87,Deductibles!$B$55:$B$57,0)),"?")))</f>
        <v/>
      </c>
      <c r="BP87" s="97" t="str">
        <f>IF($A87="","",IF($AD87="",1,IFERROR(INDEX(Deductibles!$C$61:$C$63,MATCH($AD87,Deductibles!$B$61:$B$63,0)),"?")))</f>
        <v/>
      </c>
      <c r="BQ87" s="97" t="str">
        <f>IF($A87="","",IF($AE87="",1,IFERROR(INDEX(Deductibles!$C$67:$C$69,MATCH($AE87,Deductibles!$B$67:$B$69,0)),"?")))</f>
        <v/>
      </c>
      <c r="BR87" s="97" t="str">
        <f>IF($A87="","",IF($AF87="",1,IFERROR(INDEX(Deductibles!$C$73:$C$74,MATCH($AF87,Deductibles!$B$73:$B$74,0)),"?")))</f>
        <v/>
      </c>
      <c r="BS87" s="97" t="str">
        <f>IF($A87="","",IF($AG87="",1,IFERROR(INDEX('Sublimits and Parts'!$C$49:$C$52,MATCH($AG87,'Sublimits and Parts'!$B$49:$B$52,0)),"?")))</f>
        <v/>
      </c>
      <c r="BT87" s="97" t="str">
        <f>IF($A87="","",IF($AH87="",1,IFERROR(INDEX('Sublimits and Parts'!$C$56:$C$60,MATCH($AH87,'Sublimits and Parts'!$B$56:$B$60,0)),"?")))</f>
        <v/>
      </c>
      <c r="BU87" s="97" t="str">
        <f>IF($A87="","",IF($AI87="",1,IFERROR(INDEX('Sublimits and Parts'!$C$64:$C$67,MATCH($AI87,'Sublimits and Parts'!$B$64:$B$67,0)),"?")))</f>
        <v/>
      </c>
      <c r="BV87" s="97" t="str">
        <f>IF($A87="","",IF($AJ87="",1,IFERROR(INDEX('Sublimits and Parts'!$C$71:$C$74,MATCH($AJ87,'Sublimits and Parts'!$B$71:$B$74,0)),"?")))</f>
        <v/>
      </c>
      <c r="BW87" s="97" t="str">
        <f>IF($A87="","",IF($AK87="",1,IFERROR(INDEX('Sublimits and Parts'!$C$78:$C$80,MATCH($AK87,'Sublimits and Parts'!$B$78:$B$80,0)),"?")))</f>
        <v/>
      </c>
      <c r="BX87" s="97" t="str">
        <f>IF($A87="","",IF($AL87="",1,IFERROR(INDEX('Sublimits and Parts'!$C$84:$C$87,MATCH($AL87,'Sublimits and Parts'!$B$84:$B$87,0)),"?")))</f>
        <v/>
      </c>
      <c r="BY87" s="97" t="str">
        <f>IF($A87="","",IF($AM87="",1,IFERROR(INDEX('Sublimits and Parts'!$C$91:$C$94,MATCH($AM87,'Sublimits and Parts'!$B$91:$B$94,0)),"?")))</f>
        <v/>
      </c>
      <c r="BZ87" s="97" t="str">
        <f>IF($A87="","",IF($AN87="",1,IFERROR(INDEX('Sublimits and Parts'!$C$98:$C$101,MATCH($AN87,'Sublimits and Parts'!$B$98:$B$101,0)),"?")))</f>
        <v/>
      </c>
      <c r="CA87" s="97" t="str">
        <f>IF($A87="","",IF($AO87="",1,IFERROR(INDEX('Sublimits and Parts'!$C$105:$C$109,MATCH($AO87,'Sublimits and Parts'!$B$105:$B$109,0)),"?")))</f>
        <v/>
      </c>
      <c r="CB87" s="98" t="str">
        <f t="shared" si="15"/>
        <v/>
      </c>
      <c r="CC87" s="98" t="str">
        <f t="shared" si="16"/>
        <v/>
      </c>
      <c r="CD87" s="101" t="str">
        <f>IF($A87="","",IF(OR($CB87="?",$CC87="?"),"?",MIN($CB87*$CC87,'Technical Premium'!$C$17)))</f>
        <v/>
      </c>
      <c r="CE87" s="100" t="str">
        <f t="shared" si="17"/>
        <v/>
      </c>
      <c r="CF87" s="100" t="str">
        <f>IF($A87="","",IFERROR(INDEX('Territory Factors'!$F$6:$F$56,MATCH($K87,'Territory Factors'!$B$6:$B$56,0)),"?"))</f>
        <v/>
      </c>
      <c r="CG87" s="98" t="str">
        <f>IF($A87="","",IFERROR(INDEX('Usage and Coverage'!$C$79:$C$84,MATCH($Y87,'Usage and Coverage'!$B$79:$B$84,0)),"?"))</f>
        <v/>
      </c>
      <c r="CH87" s="100" t="str">
        <f>IFERROR(IF(ISNUMBER($CD87),$CF87*$CG87*MIN($BG87*$BA87*$BC87*$BD87*$BH87*$BF87,'Technical Premium'!$C$17),""),"")</f>
        <v/>
      </c>
      <c r="CI87" s="100" t="str">
        <f t="shared" si="18"/>
        <v/>
      </c>
      <c r="CJ87" s="100" t="str">
        <f>IFERROR($CI87*(1+'Technical Premium'!$C$5)*(1+'Technical Premium'!$C$6),"")</f>
        <v/>
      </c>
      <c r="CK87" s="100" t="str">
        <f>IFERROR($CE87*INDEX('Territory Factors'!$G$6:$G$56,MATCH($K87,'Territory Factors'!$B$6:$B$56,0))*$AU87*$AV87,"")</f>
        <v/>
      </c>
      <c r="CL87" s="100" t="str">
        <f>IFERROR(($CJ87+$CK87)*(1+'Technical Premium'!$C$7),"")</f>
        <v/>
      </c>
      <c r="CM87" s="102" t="str">
        <f>IFERROR($CL87/'Technical Premium'!$C$13,"")</f>
        <v/>
      </c>
      <c r="CN87" s="103" t="str">
        <f t="shared" si="19"/>
        <v/>
      </c>
      <c r="CO87" s="102" t="str">
        <f t="shared" si="20"/>
        <v/>
      </c>
      <c r="CP87" s="103" t="str">
        <f t="shared" si="21"/>
        <v/>
      </c>
      <c r="CQ87" s="104" t="str">
        <f t="shared" si="22"/>
        <v/>
      </c>
      <c r="CR87" s="100" t="str">
        <f>IF(ISNUMBER($CM87),'Technical Premium'!$C$14+IF($J87&gt;=1000000,'Technical Premium'!$C$15,0),"")</f>
        <v/>
      </c>
      <c r="CS87" s="100" t="str">
        <f>IFERROR(($CO87+$CR87)*(INDEX('Territory Factors'!$K$6:$K$56,MATCH($K87,'Territory Factors'!$B$6:$B$56,0))+'Commission Structure'!$C$21),"")</f>
        <v/>
      </c>
      <c r="CT87" s="102" t="str">
        <f t="shared" si="23"/>
        <v/>
      </c>
      <c r="CU87" s="100" t="str">
        <f>IFERROR($CO87*('Commission Structure'!$C$6+'Commission Structure'!$C$7),"")</f>
        <v/>
      </c>
      <c r="CV87" s="100" t="str">
        <f>IFERROR($CO87*'Commission Structure'!$C$5-$CU87,"")</f>
        <v/>
      </c>
      <c r="CW87" s="100" t="str">
        <f>IFERROR($CO87*(1-'Commission Structure'!$C$5),"")</f>
        <v/>
      </c>
      <c r="CX87" s="105" t="str">
        <f>IF($A87="","",IF(OR($CB87="?",$CC87="?",NOT(ISNUMBER($AU87))),"CHECK INPUTS",IF(OR($J87&lt;'Technical Premium'!$C$18,LEFT(IFERROR(INDEX('Driver Factors'!$D$6:$D$15,MATCH($R87,'Driver Factors'!$B$6:$B$15,0)),""),7)="DECLINE",LEFT(IFERROR(INDEX('Driver Factors'!$D$28:$D$36,MATCH($T87,'Driver Factors'!$B$28:$B$36,0)),""),7)="DECLINE",LEFT(IFERROR(INDEX('Claims History'!$D$6:$D$15,MATCH($U87,'Claims History'!$B$6:$B$15,0)),""),7)="DECLINE",LEFT(IFERROR(INDEX('Usage and Coverage'!$E$6:$E$20,MATCH($N87,'Usage and Coverage'!$C$6:$C$20,0)),""),7)="DECLINE"),"DECLINE",IF(OR($CD87&gt;2.5,$CD87&gt;='Technical Premium'!$C$17,$J87&gt;='Technical Premium'!$C$16,N($AQ87)&lt;'Technical Premium'!$C$19,N($AQ87)&gt;'Technical Premium'!$C$20,LEFT(IFERROR(INDEX('Driver Factors'!$D$6:$D$15,MATCH($R87,'Driver Factors'!$B$6:$B$15,0)),""),5)="Refer",LEFT(IFERROR(INDEX('Driver Factors'!$D$28:$D$36,MATCH($T87,'Driver Factors'!$B$28:$B$36,0)),""),5)="Refer",LEFT(IFERROR(INDEX('Claims History'!$D$6:$D$15,MATCH($U87,'Claims History'!$B$6:$B$15,0)),""),5)="Refer",LEFT(IFERROR(INDEX('Usage and Coverage'!$E$6:$E$20,MATCH($N87,'Usage and Coverage'!$C$6:$C$20,0)),""),5)="Refer"),"REFER","AUTO-BIND"))))</f>
        <v/>
      </c>
      <c r="CY87" s="106" t="str">
        <f t="shared" si="24"/>
        <v/>
      </c>
      <c r="CZ87" s="97" t="str">
        <f>IF($CY87="","",IF($CY87&lt;'Technical Premium'!$C$19,"BEYOND AUTHORITY",IF($CY87&gt;0.005,"Above technical",IF($CY87&lt;-0.005,"BELOW technical","At technical"))))</f>
        <v/>
      </c>
      <c r="DA87" s="97" t="str">
        <f>IF($A87="","",IF($CX87="AUTO-BIND","",TRIM(IF($J87&lt;'Technical Premium'!$C$18,"Below programme minimum agreed value. ","")&amp;IF(N($AQ87)&lt;'Technical Premium'!$C$19,"DISCOUNT AUTHORITY BREACH. ","")&amp;IF(N($AQ87)&gt;'Technical Premium'!$C$20,"Load authority breach. ","")&amp;IF($J87&gt;='Technical Premium'!$C$16,"Agreed value at or above auto-bind limit. ","")&amp;IF(AND(ISNUMBER($CD87),$CD87&gt;='Technical Premium'!$C$17),"Composite factor at cap. ","")&amp;IF(AND(ISNUMBER($CD87),$CD87&gt;2.5),"Composite factor above 2.50. ","")&amp;IF(LEFT(IFERROR(INDEX('Driver Factors'!$D$6:$D$15,MATCH($R87,'Driver Factors'!$B$6:$B$15,0)),""),7)="DECLINE","DECLINE - driver age. ",IF(LEFT(IFERROR(INDEX('Driver Factors'!$D$6:$D$15,MATCH($R87,'Driver Factors'!$B$6:$B$15,0)),""),5)="Refer","Driver age band. ",""))&amp;IF(LEFT(IFERROR(INDEX('Driver Factors'!$D$28:$D$36,MATCH($T87,'Driver Factors'!$B$28:$B$36,0)),""),7)="DECLINE","DECLINE - MVR. ",IF(LEFT(IFERROR(INDEX('Driver Factors'!$D$28:$D$36,MATCH($T87,'Driver Factors'!$B$28:$B$36,0)),""),5)="Refer","MVR record. ",""))&amp;IF(LEFT(IFERROR(INDEX('Claims History'!$D$6:$D$15,MATCH($U87,'Claims History'!$B$6:$B$15,0)),""),7)="DECLINE","DECLINE - claims. ",IF(LEFT(IFERROR(INDEX('Claims History'!$D$6:$D$15,MATCH($U87,'Claims History'!$B$6:$B$15,0)),""),5)="Refer","Claims history. ",""))&amp;IF(LEFT(IFERROR(INDEX('Usage and Coverage'!$E$6:$E$20,MATCH($N87,'Usage and Coverage'!$C$6:$C$20,0)),""),7)="DECLINE","DECLINE - usage class. ",IF(LEFT(IFERROR(INDEX('Usage and Coverage'!$E$6:$E$20,MATCH($N87,'Usage and Coverage'!$C$6:$C$20,0)),""),5)="Refer","Usage class. ",""))&amp;IF($CX87="CHECK INPUTS","Incomplete inputs. ",""))))</f>
        <v/>
      </c>
      <c r="DB87" s="92"/>
      <c r="DC87" s="92"/>
      <c r="DD87" s="93"/>
      <c r="DE87" s="92"/>
      <c r="DF87" s="92"/>
      <c r="DG87" s="97" t="str">
        <f t="shared" si="25"/>
        <v/>
      </c>
      <c r="DH87" s="97" t="str">
        <f>IF($A87="","",IF(OR($CX87="REFER",$CX87="DECLINE"),COUNTIF($CX$5:$CX87,"REFER")+COUNTIF($CX$5:$CX87,"DECLINE"),""))</f>
        <v/>
      </c>
      <c r="DI87" s="92"/>
    </row>
    <row r="88" spans="1:113" x14ac:dyDescent="0.25">
      <c r="A88" s="92"/>
      <c r="B88" s="92"/>
      <c r="C88" s="93"/>
      <c r="D88" s="93"/>
      <c r="E88" s="94"/>
      <c r="F88" s="92"/>
      <c r="G88" s="92"/>
      <c r="H88" s="92"/>
      <c r="I88" s="92"/>
      <c r="J88" s="95"/>
      <c r="K88" s="92"/>
      <c r="L88" s="92"/>
      <c r="M88" s="92"/>
      <c r="N88" s="92"/>
      <c r="O88" s="92"/>
      <c r="P88" s="92"/>
      <c r="Q88" s="92"/>
      <c r="R88" s="92"/>
      <c r="S88" s="92"/>
      <c r="T88" s="92"/>
      <c r="U88" s="92"/>
      <c r="V88" s="92"/>
      <c r="W88" s="92"/>
      <c r="X88" s="92"/>
      <c r="Y88" s="92"/>
      <c r="Z88" s="92"/>
      <c r="AA88" s="92"/>
      <c r="AB88" s="92"/>
      <c r="AC88" s="92"/>
      <c r="AD88" s="92"/>
      <c r="AE88" s="92"/>
      <c r="AF88" s="92"/>
      <c r="AG88" s="92"/>
      <c r="AH88" s="92"/>
      <c r="AI88" s="92"/>
      <c r="AJ88" s="92"/>
      <c r="AK88" s="92"/>
      <c r="AL88" s="92"/>
      <c r="AM88" s="92"/>
      <c r="AN88" s="92"/>
      <c r="AO88" s="92"/>
      <c r="AP88" s="92"/>
      <c r="AQ88" s="96"/>
      <c r="AR88" s="97" t="str">
        <f t="shared" si="13"/>
        <v/>
      </c>
      <c r="AS88" s="97" t="str">
        <f>IF($A88="","",IF($AP88&lt;&gt;"",$AP88,IFERROR(INDEX('Cat Zone by ZIP'!$D$6:$D$856,MATCH($AR88,'Cat Zone by ZIP'!$B$6:$B$856,0)),IFERROR(INDEX('Cat Zone by ZIP'!$C$860:$C$910,MATCH($K88,'Cat Zone by ZIP'!$B$860:$B$910,0)),"NOT FOUND"))))</f>
        <v/>
      </c>
      <c r="AT88" s="97" t="str">
        <f>IF($A88="","",IF($AP88&lt;&gt;"","Override",IF(ISNUMBER(MATCH($AR88,'Cat Zone by ZIP'!$B$6:$B$856,0)),"ZIP-3","State default")))</f>
        <v/>
      </c>
      <c r="AU88" s="98" t="str">
        <f>IF($A88="","",IFERROR(INDEX('Natural Catastrophe'!$D$6:$D$17,MATCH($AS88,'Natural Catastrophe'!$B$6:$B$17,0)),"?"))</f>
        <v/>
      </c>
      <c r="AV88" s="98" t="str">
        <f>IF($A88="","",IFERROR(INDEX('Natural Catastrophe'!$C$21:$C$26,MATCH($AA88,'Natural Catastrophe'!$B$21:$B$26,0)),"?"))</f>
        <v/>
      </c>
      <c r="AW88" s="97" t="str">
        <f>IF($A88="","",IFERROR(INDEX('Base Rates'!$C$4:$I$4,MATCH(MAX($J88,'Technical Premium'!$C$18),'Base Rates'!$C$3:$I$3,1)),"?"))</f>
        <v/>
      </c>
      <c r="AX88" s="99" t="str">
        <f>IF($A88="","",IFERROR(INDEX('Base Rates'!$C$5:$I$16,MATCH($I88,'Base Rates'!$B$5:$B$16,0),MATCH(MAX($J88,'Technical Premium'!$C$18),'Base Rates'!$C$3:$I$3,1)),"?"))</f>
        <v/>
      </c>
      <c r="AY88" s="100" t="str">
        <f t="shared" si="14"/>
        <v/>
      </c>
      <c r="AZ88" s="97" t="str">
        <f>IF($A88="","",IFERROR(INDEX('Make Factors'!$G$5:$G$69,MATCH($F88,'Make Factors'!$B$5:$B$69,0)),"?"))</f>
        <v/>
      </c>
      <c r="BA88" s="97" t="str">
        <f>IF($A88="","",IFERROR(INDEX('Driver Factors'!$C$6:$C$15,MATCH($R88,'Driver Factors'!$B$6:$B$15,0)),"?"))</f>
        <v/>
      </c>
      <c r="BB88" s="97" t="str">
        <f>IF($A88="","",IFERROR(INDEX('Driver Factors'!$C$19:$C$24,MATCH($S88,'Driver Factors'!$B$19:$B$24,0)),"?"))</f>
        <v/>
      </c>
      <c r="BC88" s="97" t="str">
        <f>IF($A88="","",IFERROR(INDEX('Driver Factors'!$C$28:$C$36,MATCH($T88,'Driver Factors'!$B$28:$B$36,0)),"?"))</f>
        <v/>
      </c>
      <c r="BD88" s="97" t="str">
        <f>IF($A88="","",IFERROR(INDEX('Claims History'!$C$6:$C$15,MATCH($U88,'Claims History'!$B$6:$B$15,0)),"?"))</f>
        <v/>
      </c>
      <c r="BE88" s="97" t="str">
        <f>IF($A88="","",IFERROR(INDEX('Territory Factors'!$E$6:$E$56,MATCH($K88,'Territory Factors'!$B$6:$B$56,0)),"?"))</f>
        <v/>
      </c>
      <c r="BF88" s="97" t="str">
        <f>IF($A88="","",IFERROR(INDEX('City Accident Ratings'!$G$6:$G$54,MATCH($Z88,'City Accident Ratings'!$B$6:$B$54,0)),"?"))</f>
        <v/>
      </c>
      <c r="BG88" s="97" t="str">
        <f>IF($A88="","",IFERROR(INDEX('Usage and Coverage'!$D$6:$D$20,MATCH($N88,'Usage and Coverage'!$C$6:$C$20,0)),"?"))</f>
        <v/>
      </c>
      <c r="BH88" s="97" t="str">
        <f>IF($A88="","",IFERROR(INDEX('Usage and Coverage'!$C$24:$C$30,MATCH($O88,'Usage and Coverage'!$B$24:$B$30,0)),"?"))</f>
        <v/>
      </c>
      <c r="BI88" s="97" t="str">
        <f>IF($A88="","",IFERROR(INDEX('Usage and Coverage'!$C$34:$C$40,MATCH($P88,'Usage and Coverage'!$B$34:$B$40,0)),"?"))</f>
        <v/>
      </c>
      <c r="BJ88" s="97" t="str">
        <f>IF($A88="","",IFERROR(INDEX('Usage and Coverage'!$C$44:$C$49,MATCH($Q88,'Usage and Coverage'!$B$44:$B$49,0)),"?"))</f>
        <v/>
      </c>
      <c r="BK88" s="97" t="str">
        <f>IF($A88="","",IFERROR(INDEX(Deductibles!$C$6:$I$15,MATCH($W88,Deductibles!$B$6:$B$15,0),MATCH(MAX($J88,'Technical Premium'!$C$18),'Base Rates'!$C$3:$I$3,1)),"?"))</f>
        <v/>
      </c>
      <c r="BL88" s="97" t="str">
        <f>IF($A88="","",IFERROR(INDEX('Usage and Coverage'!$C$63:$C$66,MATCH($X88,'Usage and Coverage'!$B$63:$B$66,0)),"?"))</f>
        <v/>
      </c>
      <c r="BM88" s="97" t="str">
        <f>IF($A88="","",IFERROR(INDEX('Usage and Coverage'!$C$70:$C$75,MATCH($V88,'Usage and Coverage'!$B$70:$B$75,0)),"?"))</f>
        <v/>
      </c>
      <c r="BN88" s="97" t="str">
        <f>IF($A88="","",IF($AB88="",1,IFERROR(INDEX(Deductibles!$C$48:$C$51,MATCH($AB88,Deductibles!$B$48:$B$51,0)),"?")))</f>
        <v/>
      </c>
      <c r="BO88" s="97" t="str">
        <f>IF($A88="","",IF($AC88="",1,IFERROR(INDEX(Deductibles!$C$55:$C$57,MATCH($AC88,Deductibles!$B$55:$B$57,0)),"?")))</f>
        <v/>
      </c>
      <c r="BP88" s="97" t="str">
        <f>IF($A88="","",IF($AD88="",1,IFERROR(INDEX(Deductibles!$C$61:$C$63,MATCH($AD88,Deductibles!$B$61:$B$63,0)),"?")))</f>
        <v/>
      </c>
      <c r="BQ88" s="97" t="str">
        <f>IF($A88="","",IF($AE88="",1,IFERROR(INDEX(Deductibles!$C$67:$C$69,MATCH($AE88,Deductibles!$B$67:$B$69,0)),"?")))</f>
        <v/>
      </c>
      <c r="BR88" s="97" t="str">
        <f>IF($A88="","",IF($AF88="",1,IFERROR(INDEX(Deductibles!$C$73:$C$74,MATCH($AF88,Deductibles!$B$73:$B$74,0)),"?")))</f>
        <v/>
      </c>
      <c r="BS88" s="97" t="str">
        <f>IF($A88="","",IF($AG88="",1,IFERROR(INDEX('Sublimits and Parts'!$C$49:$C$52,MATCH($AG88,'Sublimits and Parts'!$B$49:$B$52,0)),"?")))</f>
        <v/>
      </c>
      <c r="BT88" s="97" t="str">
        <f>IF($A88="","",IF($AH88="",1,IFERROR(INDEX('Sublimits and Parts'!$C$56:$C$60,MATCH($AH88,'Sublimits and Parts'!$B$56:$B$60,0)),"?")))</f>
        <v/>
      </c>
      <c r="BU88" s="97" t="str">
        <f>IF($A88="","",IF($AI88="",1,IFERROR(INDEX('Sublimits and Parts'!$C$64:$C$67,MATCH($AI88,'Sublimits and Parts'!$B$64:$B$67,0)),"?")))</f>
        <v/>
      </c>
      <c r="BV88" s="97" t="str">
        <f>IF($A88="","",IF($AJ88="",1,IFERROR(INDEX('Sublimits and Parts'!$C$71:$C$74,MATCH($AJ88,'Sublimits and Parts'!$B$71:$B$74,0)),"?")))</f>
        <v/>
      </c>
      <c r="BW88" s="97" t="str">
        <f>IF($A88="","",IF($AK88="",1,IFERROR(INDEX('Sublimits and Parts'!$C$78:$C$80,MATCH($AK88,'Sublimits and Parts'!$B$78:$B$80,0)),"?")))</f>
        <v/>
      </c>
      <c r="BX88" s="97" t="str">
        <f>IF($A88="","",IF($AL88="",1,IFERROR(INDEX('Sublimits and Parts'!$C$84:$C$87,MATCH($AL88,'Sublimits and Parts'!$B$84:$B$87,0)),"?")))</f>
        <v/>
      </c>
      <c r="BY88" s="97" t="str">
        <f>IF($A88="","",IF($AM88="",1,IFERROR(INDEX('Sublimits and Parts'!$C$91:$C$94,MATCH($AM88,'Sublimits and Parts'!$B$91:$B$94,0)),"?")))</f>
        <v/>
      </c>
      <c r="BZ88" s="97" t="str">
        <f>IF($A88="","",IF($AN88="",1,IFERROR(INDEX('Sublimits and Parts'!$C$98:$C$101,MATCH($AN88,'Sublimits and Parts'!$B$98:$B$101,0)),"?")))</f>
        <v/>
      </c>
      <c r="CA88" s="97" t="str">
        <f>IF($A88="","",IF($AO88="",1,IFERROR(INDEX('Sublimits and Parts'!$C$105:$C$109,MATCH($AO88,'Sublimits and Parts'!$B$105:$B$109,0)),"?")))</f>
        <v/>
      </c>
      <c r="CB88" s="98" t="str">
        <f t="shared" si="15"/>
        <v/>
      </c>
      <c r="CC88" s="98" t="str">
        <f t="shared" si="16"/>
        <v/>
      </c>
      <c r="CD88" s="101" t="str">
        <f>IF($A88="","",IF(OR($CB88="?",$CC88="?"),"?",MIN($CB88*$CC88,'Technical Premium'!$C$17)))</f>
        <v/>
      </c>
      <c r="CE88" s="100" t="str">
        <f t="shared" si="17"/>
        <v/>
      </c>
      <c r="CF88" s="100" t="str">
        <f>IF($A88="","",IFERROR(INDEX('Territory Factors'!$F$6:$F$56,MATCH($K88,'Territory Factors'!$B$6:$B$56,0)),"?"))</f>
        <v/>
      </c>
      <c r="CG88" s="98" t="str">
        <f>IF($A88="","",IFERROR(INDEX('Usage and Coverage'!$C$79:$C$84,MATCH($Y88,'Usage and Coverage'!$B$79:$B$84,0)),"?"))</f>
        <v/>
      </c>
      <c r="CH88" s="100" t="str">
        <f>IFERROR(IF(ISNUMBER($CD88),$CF88*$CG88*MIN($BG88*$BA88*$BC88*$BD88*$BH88*$BF88,'Technical Premium'!$C$17),""),"")</f>
        <v/>
      </c>
      <c r="CI88" s="100" t="str">
        <f t="shared" si="18"/>
        <v/>
      </c>
      <c r="CJ88" s="100" t="str">
        <f>IFERROR($CI88*(1+'Technical Premium'!$C$5)*(1+'Technical Premium'!$C$6),"")</f>
        <v/>
      </c>
      <c r="CK88" s="100" t="str">
        <f>IFERROR($CE88*INDEX('Territory Factors'!$G$6:$G$56,MATCH($K88,'Territory Factors'!$B$6:$B$56,0))*$AU88*$AV88,"")</f>
        <v/>
      </c>
      <c r="CL88" s="100" t="str">
        <f>IFERROR(($CJ88+$CK88)*(1+'Technical Premium'!$C$7),"")</f>
        <v/>
      </c>
      <c r="CM88" s="102" t="str">
        <f>IFERROR($CL88/'Technical Premium'!$C$13,"")</f>
        <v/>
      </c>
      <c r="CN88" s="103" t="str">
        <f t="shared" si="19"/>
        <v/>
      </c>
      <c r="CO88" s="102" t="str">
        <f t="shared" si="20"/>
        <v/>
      </c>
      <c r="CP88" s="103" t="str">
        <f t="shared" si="21"/>
        <v/>
      </c>
      <c r="CQ88" s="104" t="str">
        <f t="shared" si="22"/>
        <v/>
      </c>
      <c r="CR88" s="100" t="str">
        <f>IF(ISNUMBER($CM88),'Technical Premium'!$C$14+IF($J88&gt;=1000000,'Technical Premium'!$C$15,0),"")</f>
        <v/>
      </c>
      <c r="CS88" s="100" t="str">
        <f>IFERROR(($CO88+$CR88)*(INDEX('Territory Factors'!$K$6:$K$56,MATCH($K88,'Territory Factors'!$B$6:$B$56,0))+'Commission Structure'!$C$21),"")</f>
        <v/>
      </c>
      <c r="CT88" s="102" t="str">
        <f t="shared" si="23"/>
        <v/>
      </c>
      <c r="CU88" s="100" t="str">
        <f>IFERROR($CO88*('Commission Structure'!$C$6+'Commission Structure'!$C$7),"")</f>
        <v/>
      </c>
      <c r="CV88" s="100" t="str">
        <f>IFERROR($CO88*'Commission Structure'!$C$5-$CU88,"")</f>
        <v/>
      </c>
      <c r="CW88" s="100" t="str">
        <f>IFERROR($CO88*(1-'Commission Structure'!$C$5),"")</f>
        <v/>
      </c>
      <c r="CX88" s="105" t="str">
        <f>IF($A88="","",IF(OR($CB88="?",$CC88="?",NOT(ISNUMBER($AU88))),"CHECK INPUTS",IF(OR($J88&lt;'Technical Premium'!$C$18,LEFT(IFERROR(INDEX('Driver Factors'!$D$6:$D$15,MATCH($R88,'Driver Factors'!$B$6:$B$15,0)),""),7)="DECLINE",LEFT(IFERROR(INDEX('Driver Factors'!$D$28:$D$36,MATCH($T88,'Driver Factors'!$B$28:$B$36,0)),""),7)="DECLINE",LEFT(IFERROR(INDEX('Claims History'!$D$6:$D$15,MATCH($U88,'Claims History'!$B$6:$B$15,0)),""),7)="DECLINE",LEFT(IFERROR(INDEX('Usage and Coverage'!$E$6:$E$20,MATCH($N88,'Usage and Coverage'!$C$6:$C$20,0)),""),7)="DECLINE"),"DECLINE",IF(OR($CD88&gt;2.5,$CD88&gt;='Technical Premium'!$C$17,$J88&gt;='Technical Premium'!$C$16,N($AQ88)&lt;'Technical Premium'!$C$19,N($AQ88)&gt;'Technical Premium'!$C$20,LEFT(IFERROR(INDEX('Driver Factors'!$D$6:$D$15,MATCH($R88,'Driver Factors'!$B$6:$B$15,0)),""),5)="Refer",LEFT(IFERROR(INDEX('Driver Factors'!$D$28:$D$36,MATCH($T88,'Driver Factors'!$B$28:$B$36,0)),""),5)="Refer",LEFT(IFERROR(INDEX('Claims History'!$D$6:$D$15,MATCH($U88,'Claims History'!$B$6:$B$15,0)),""),5)="Refer",LEFT(IFERROR(INDEX('Usage and Coverage'!$E$6:$E$20,MATCH($N88,'Usage and Coverage'!$C$6:$C$20,0)),""),5)="Refer"),"REFER","AUTO-BIND"))))</f>
        <v/>
      </c>
      <c r="CY88" s="106" t="str">
        <f t="shared" si="24"/>
        <v/>
      </c>
      <c r="CZ88" s="97" t="str">
        <f>IF($CY88="","",IF($CY88&lt;'Technical Premium'!$C$19,"BEYOND AUTHORITY",IF($CY88&gt;0.005,"Above technical",IF($CY88&lt;-0.005,"BELOW technical","At technical"))))</f>
        <v/>
      </c>
      <c r="DA88" s="97" t="str">
        <f>IF($A88="","",IF($CX88="AUTO-BIND","",TRIM(IF($J88&lt;'Technical Premium'!$C$18,"Below programme minimum agreed value. ","")&amp;IF(N($AQ88)&lt;'Technical Premium'!$C$19,"DISCOUNT AUTHORITY BREACH. ","")&amp;IF(N($AQ88)&gt;'Technical Premium'!$C$20,"Load authority breach. ","")&amp;IF($J88&gt;='Technical Premium'!$C$16,"Agreed value at or above auto-bind limit. ","")&amp;IF(AND(ISNUMBER($CD88),$CD88&gt;='Technical Premium'!$C$17),"Composite factor at cap. ","")&amp;IF(AND(ISNUMBER($CD88),$CD88&gt;2.5),"Composite factor above 2.50. ","")&amp;IF(LEFT(IFERROR(INDEX('Driver Factors'!$D$6:$D$15,MATCH($R88,'Driver Factors'!$B$6:$B$15,0)),""),7)="DECLINE","DECLINE - driver age. ",IF(LEFT(IFERROR(INDEX('Driver Factors'!$D$6:$D$15,MATCH($R88,'Driver Factors'!$B$6:$B$15,0)),""),5)="Refer","Driver age band. ",""))&amp;IF(LEFT(IFERROR(INDEX('Driver Factors'!$D$28:$D$36,MATCH($T88,'Driver Factors'!$B$28:$B$36,0)),""),7)="DECLINE","DECLINE - MVR. ",IF(LEFT(IFERROR(INDEX('Driver Factors'!$D$28:$D$36,MATCH($T88,'Driver Factors'!$B$28:$B$36,0)),""),5)="Refer","MVR record. ",""))&amp;IF(LEFT(IFERROR(INDEX('Claims History'!$D$6:$D$15,MATCH($U88,'Claims History'!$B$6:$B$15,0)),""),7)="DECLINE","DECLINE - claims. ",IF(LEFT(IFERROR(INDEX('Claims History'!$D$6:$D$15,MATCH($U88,'Claims History'!$B$6:$B$15,0)),""),5)="Refer","Claims history. ",""))&amp;IF(LEFT(IFERROR(INDEX('Usage and Coverage'!$E$6:$E$20,MATCH($N88,'Usage and Coverage'!$C$6:$C$20,0)),""),7)="DECLINE","DECLINE - usage class. ",IF(LEFT(IFERROR(INDEX('Usage and Coverage'!$E$6:$E$20,MATCH($N88,'Usage and Coverage'!$C$6:$C$20,0)),""),5)="Refer","Usage class. ",""))&amp;IF($CX88="CHECK INPUTS","Incomplete inputs. ",""))))</f>
        <v/>
      </c>
      <c r="DB88" s="92"/>
      <c r="DC88" s="92"/>
      <c r="DD88" s="93"/>
      <c r="DE88" s="92"/>
      <c r="DF88" s="92"/>
      <c r="DG88" s="97" t="str">
        <f t="shared" si="25"/>
        <v/>
      </c>
      <c r="DH88" s="97" t="str">
        <f>IF($A88="","",IF(OR($CX88="REFER",$CX88="DECLINE"),COUNTIF($CX$5:$CX88,"REFER")+COUNTIF($CX$5:$CX88,"DECLINE"),""))</f>
        <v/>
      </c>
      <c r="DI88" s="92"/>
    </row>
    <row r="89" spans="1:113" x14ac:dyDescent="0.25">
      <c r="A89" s="92"/>
      <c r="B89" s="92"/>
      <c r="C89" s="93"/>
      <c r="D89" s="93"/>
      <c r="E89" s="94"/>
      <c r="F89" s="92"/>
      <c r="G89" s="92"/>
      <c r="H89" s="92"/>
      <c r="I89" s="92"/>
      <c r="J89" s="95"/>
      <c r="K89" s="92"/>
      <c r="L89" s="92"/>
      <c r="M89" s="92"/>
      <c r="N89" s="92"/>
      <c r="O89" s="92"/>
      <c r="P89" s="92"/>
      <c r="Q89" s="92"/>
      <c r="R89" s="92"/>
      <c r="S89" s="92"/>
      <c r="T89" s="92"/>
      <c r="U89" s="92"/>
      <c r="V89" s="92"/>
      <c r="W89" s="92"/>
      <c r="X89" s="92"/>
      <c r="Y89" s="92"/>
      <c r="Z89" s="92"/>
      <c r="AA89" s="92"/>
      <c r="AB89" s="92"/>
      <c r="AC89" s="92"/>
      <c r="AD89" s="92"/>
      <c r="AE89" s="92"/>
      <c r="AF89" s="92"/>
      <c r="AG89" s="92"/>
      <c r="AH89" s="92"/>
      <c r="AI89" s="92"/>
      <c r="AJ89" s="92"/>
      <c r="AK89" s="92"/>
      <c r="AL89" s="92"/>
      <c r="AM89" s="92"/>
      <c r="AN89" s="92"/>
      <c r="AO89" s="92"/>
      <c r="AP89" s="92"/>
      <c r="AQ89" s="96"/>
      <c r="AR89" s="97" t="str">
        <f t="shared" si="13"/>
        <v/>
      </c>
      <c r="AS89" s="97" t="str">
        <f>IF($A89="","",IF($AP89&lt;&gt;"",$AP89,IFERROR(INDEX('Cat Zone by ZIP'!$D$6:$D$856,MATCH($AR89,'Cat Zone by ZIP'!$B$6:$B$856,0)),IFERROR(INDEX('Cat Zone by ZIP'!$C$860:$C$910,MATCH($K89,'Cat Zone by ZIP'!$B$860:$B$910,0)),"NOT FOUND"))))</f>
        <v/>
      </c>
      <c r="AT89" s="97" t="str">
        <f>IF($A89="","",IF($AP89&lt;&gt;"","Override",IF(ISNUMBER(MATCH($AR89,'Cat Zone by ZIP'!$B$6:$B$856,0)),"ZIP-3","State default")))</f>
        <v/>
      </c>
      <c r="AU89" s="98" t="str">
        <f>IF($A89="","",IFERROR(INDEX('Natural Catastrophe'!$D$6:$D$17,MATCH($AS89,'Natural Catastrophe'!$B$6:$B$17,0)),"?"))</f>
        <v/>
      </c>
      <c r="AV89" s="98" t="str">
        <f>IF($A89="","",IFERROR(INDEX('Natural Catastrophe'!$C$21:$C$26,MATCH($AA89,'Natural Catastrophe'!$B$21:$B$26,0)),"?"))</f>
        <v/>
      </c>
      <c r="AW89" s="97" t="str">
        <f>IF($A89="","",IFERROR(INDEX('Base Rates'!$C$4:$I$4,MATCH(MAX($J89,'Technical Premium'!$C$18),'Base Rates'!$C$3:$I$3,1)),"?"))</f>
        <v/>
      </c>
      <c r="AX89" s="99" t="str">
        <f>IF($A89="","",IFERROR(INDEX('Base Rates'!$C$5:$I$16,MATCH($I89,'Base Rates'!$B$5:$B$16,0),MATCH(MAX($J89,'Technical Premium'!$C$18),'Base Rates'!$C$3:$I$3,1)),"?"))</f>
        <v/>
      </c>
      <c r="AY89" s="100" t="str">
        <f t="shared" si="14"/>
        <v/>
      </c>
      <c r="AZ89" s="97" t="str">
        <f>IF($A89="","",IFERROR(INDEX('Make Factors'!$G$5:$G$69,MATCH($F89,'Make Factors'!$B$5:$B$69,0)),"?"))</f>
        <v/>
      </c>
      <c r="BA89" s="97" t="str">
        <f>IF($A89="","",IFERROR(INDEX('Driver Factors'!$C$6:$C$15,MATCH($R89,'Driver Factors'!$B$6:$B$15,0)),"?"))</f>
        <v/>
      </c>
      <c r="BB89" s="97" t="str">
        <f>IF($A89="","",IFERROR(INDEX('Driver Factors'!$C$19:$C$24,MATCH($S89,'Driver Factors'!$B$19:$B$24,0)),"?"))</f>
        <v/>
      </c>
      <c r="BC89" s="97" t="str">
        <f>IF($A89="","",IFERROR(INDEX('Driver Factors'!$C$28:$C$36,MATCH($T89,'Driver Factors'!$B$28:$B$36,0)),"?"))</f>
        <v/>
      </c>
      <c r="BD89" s="97" t="str">
        <f>IF($A89="","",IFERROR(INDEX('Claims History'!$C$6:$C$15,MATCH($U89,'Claims History'!$B$6:$B$15,0)),"?"))</f>
        <v/>
      </c>
      <c r="BE89" s="97" t="str">
        <f>IF($A89="","",IFERROR(INDEX('Territory Factors'!$E$6:$E$56,MATCH($K89,'Territory Factors'!$B$6:$B$56,0)),"?"))</f>
        <v/>
      </c>
      <c r="BF89" s="97" t="str">
        <f>IF($A89="","",IFERROR(INDEX('City Accident Ratings'!$G$6:$G$54,MATCH($Z89,'City Accident Ratings'!$B$6:$B$54,0)),"?"))</f>
        <v/>
      </c>
      <c r="BG89" s="97" t="str">
        <f>IF($A89="","",IFERROR(INDEX('Usage and Coverage'!$D$6:$D$20,MATCH($N89,'Usage and Coverage'!$C$6:$C$20,0)),"?"))</f>
        <v/>
      </c>
      <c r="BH89" s="97" t="str">
        <f>IF($A89="","",IFERROR(INDEX('Usage and Coverage'!$C$24:$C$30,MATCH($O89,'Usage and Coverage'!$B$24:$B$30,0)),"?"))</f>
        <v/>
      </c>
      <c r="BI89" s="97" t="str">
        <f>IF($A89="","",IFERROR(INDEX('Usage and Coverage'!$C$34:$C$40,MATCH($P89,'Usage and Coverage'!$B$34:$B$40,0)),"?"))</f>
        <v/>
      </c>
      <c r="BJ89" s="97" t="str">
        <f>IF($A89="","",IFERROR(INDEX('Usage and Coverage'!$C$44:$C$49,MATCH($Q89,'Usage and Coverage'!$B$44:$B$49,0)),"?"))</f>
        <v/>
      </c>
      <c r="BK89" s="97" t="str">
        <f>IF($A89="","",IFERROR(INDEX(Deductibles!$C$6:$I$15,MATCH($W89,Deductibles!$B$6:$B$15,0),MATCH(MAX($J89,'Technical Premium'!$C$18),'Base Rates'!$C$3:$I$3,1)),"?"))</f>
        <v/>
      </c>
      <c r="BL89" s="97" t="str">
        <f>IF($A89="","",IFERROR(INDEX('Usage and Coverage'!$C$63:$C$66,MATCH($X89,'Usage and Coverage'!$B$63:$B$66,0)),"?"))</f>
        <v/>
      </c>
      <c r="BM89" s="97" t="str">
        <f>IF($A89="","",IFERROR(INDEX('Usage and Coverage'!$C$70:$C$75,MATCH($V89,'Usage and Coverage'!$B$70:$B$75,0)),"?"))</f>
        <v/>
      </c>
      <c r="BN89" s="97" t="str">
        <f>IF($A89="","",IF($AB89="",1,IFERROR(INDEX(Deductibles!$C$48:$C$51,MATCH($AB89,Deductibles!$B$48:$B$51,0)),"?")))</f>
        <v/>
      </c>
      <c r="BO89" s="97" t="str">
        <f>IF($A89="","",IF($AC89="",1,IFERROR(INDEX(Deductibles!$C$55:$C$57,MATCH($AC89,Deductibles!$B$55:$B$57,0)),"?")))</f>
        <v/>
      </c>
      <c r="BP89" s="97" t="str">
        <f>IF($A89="","",IF($AD89="",1,IFERROR(INDEX(Deductibles!$C$61:$C$63,MATCH($AD89,Deductibles!$B$61:$B$63,0)),"?")))</f>
        <v/>
      </c>
      <c r="BQ89" s="97" t="str">
        <f>IF($A89="","",IF($AE89="",1,IFERROR(INDEX(Deductibles!$C$67:$C$69,MATCH($AE89,Deductibles!$B$67:$B$69,0)),"?")))</f>
        <v/>
      </c>
      <c r="BR89" s="97" t="str">
        <f>IF($A89="","",IF($AF89="",1,IFERROR(INDEX(Deductibles!$C$73:$C$74,MATCH($AF89,Deductibles!$B$73:$B$74,0)),"?")))</f>
        <v/>
      </c>
      <c r="BS89" s="97" t="str">
        <f>IF($A89="","",IF($AG89="",1,IFERROR(INDEX('Sublimits and Parts'!$C$49:$C$52,MATCH($AG89,'Sublimits and Parts'!$B$49:$B$52,0)),"?")))</f>
        <v/>
      </c>
      <c r="BT89" s="97" t="str">
        <f>IF($A89="","",IF($AH89="",1,IFERROR(INDEX('Sublimits and Parts'!$C$56:$C$60,MATCH($AH89,'Sublimits and Parts'!$B$56:$B$60,0)),"?")))</f>
        <v/>
      </c>
      <c r="BU89" s="97" t="str">
        <f>IF($A89="","",IF($AI89="",1,IFERROR(INDEX('Sublimits and Parts'!$C$64:$C$67,MATCH($AI89,'Sublimits and Parts'!$B$64:$B$67,0)),"?")))</f>
        <v/>
      </c>
      <c r="BV89" s="97" t="str">
        <f>IF($A89="","",IF($AJ89="",1,IFERROR(INDEX('Sublimits and Parts'!$C$71:$C$74,MATCH($AJ89,'Sublimits and Parts'!$B$71:$B$74,0)),"?")))</f>
        <v/>
      </c>
      <c r="BW89" s="97" t="str">
        <f>IF($A89="","",IF($AK89="",1,IFERROR(INDEX('Sublimits and Parts'!$C$78:$C$80,MATCH($AK89,'Sublimits and Parts'!$B$78:$B$80,0)),"?")))</f>
        <v/>
      </c>
      <c r="BX89" s="97" t="str">
        <f>IF($A89="","",IF($AL89="",1,IFERROR(INDEX('Sublimits and Parts'!$C$84:$C$87,MATCH($AL89,'Sublimits and Parts'!$B$84:$B$87,0)),"?")))</f>
        <v/>
      </c>
      <c r="BY89" s="97" t="str">
        <f>IF($A89="","",IF($AM89="",1,IFERROR(INDEX('Sublimits and Parts'!$C$91:$C$94,MATCH($AM89,'Sublimits and Parts'!$B$91:$B$94,0)),"?")))</f>
        <v/>
      </c>
      <c r="BZ89" s="97" t="str">
        <f>IF($A89="","",IF($AN89="",1,IFERROR(INDEX('Sublimits and Parts'!$C$98:$C$101,MATCH($AN89,'Sublimits and Parts'!$B$98:$B$101,0)),"?")))</f>
        <v/>
      </c>
      <c r="CA89" s="97" t="str">
        <f>IF($A89="","",IF($AO89="",1,IFERROR(INDEX('Sublimits and Parts'!$C$105:$C$109,MATCH($AO89,'Sublimits and Parts'!$B$105:$B$109,0)),"?")))</f>
        <v/>
      </c>
      <c r="CB89" s="98" t="str">
        <f t="shared" si="15"/>
        <v/>
      </c>
      <c r="CC89" s="98" t="str">
        <f t="shared" si="16"/>
        <v/>
      </c>
      <c r="CD89" s="101" t="str">
        <f>IF($A89="","",IF(OR($CB89="?",$CC89="?"),"?",MIN($CB89*$CC89,'Technical Premium'!$C$17)))</f>
        <v/>
      </c>
      <c r="CE89" s="100" t="str">
        <f t="shared" si="17"/>
        <v/>
      </c>
      <c r="CF89" s="100" t="str">
        <f>IF($A89="","",IFERROR(INDEX('Territory Factors'!$F$6:$F$56,MATCH($K89,'Territory Factors'!$B$6:$B$56,0)),"?"))</f>
        <v/>
      </c>
      <c r="CG89" s="98" t="str">
        <f>IF($A89="","",IFERROR(INDEX('Usage and Coverage'!$C$79:$C$84,MATCH($Y89,'Usage and Coverage'!$B$79:$B$84,0)),"?"))</f>
        <v/>
      </c>
      <c r="CH89" s="100" t="str">
        <f>IFERROR(IF(ISNUMBER($CD89),$CF89*$CG89*MIN($BG89*$BA89*$BC89*$BD89*$BH89*$BF89,'Technical Premium'!$C$17),""),"")</f>
        <v/>
      </c>
      <c r="CI89" s="100" t="str">
        <f t="shared" si="18"/>
        <v/>
      </c>
      <c r="CJ89" s="100" t="str">
        <f>IFERROR($CI89*(1+'Technical Premium'!$C$5)*(1+'Technical Premium'!$C$6),"")</f>
        <v/>
      </c>
      <c r="CK89" s="100" t="str">
        <f>IFERROR($CE89*INDEX('Territory Factors'!$G$6:$G$56,MATCH($K89,'Territory Factors'!$B$6:$B$56,0))*$AU89*$AV89,"")</f>
        <v/>
      </c>
      <c r="CL89" s="100" t="str">
        <f>IFERROR(($CJ89+$CK89)*(1+'Technical Premium'!$C$7),"")</f>
        <v/>
      </c>
      <c r="CM89" s="102" t="str">
        <f>IFERROR($CL89/'Technical Premium'!$C$13,"")</f>
        <v/>
      </c>
      <c r="CN89" s="103" t="str">
        <f t="shared" si="19"/>
        <v/>
      </c>
      <c r="CO89" s="102" t="str">
        <f t="shared" si="20"/>
        <v/>
      </c>
      <c r="CP89" s="103" t="str">
        <f t="shared" si="21"/>
        <v/>
      </c>
      <c r="CQ89" s="104" t="str">
        <f t="shared" si="22"/>
        <v/>
      </c>
      <c r="CR89" s="100" t="str">
        <f>IF(ISNUMBER($CM89),'Technical Premium'!$C$14+IF($J89&gt;=1000000,'Technical Premium'!$C$15,0),"")</f>
        <v/>
      </c>
      <c r="CS89" s="100" t="str">
        <f>IFERROR(($CO89+$CR89)*(INDEX('Territory Factors'!$K$6:$K$56,MATCH($K89,'Territory Factors'!$B$6:$B$56,0))+'Commission Structure'!$C$21),"")</f>
        <v/>
      </c>
      <c r="CT89" s="102" t="str">
        <f t="shared" si="23"/>
        <v/>
      </c>
      <c r="CU89" s="100" t="str">
        <f>IFERROR($CO89*('Commission Structure'!$C$6+'Commission Structure'!$C$7),"")</f>
        <v/>
      </c>
      <c r="CV89" s="100" t="str">
        <f>IFERROR($CO89*'Commission Structure'!$C$5-$CU89,"")</f>
        <v/>
      </c>
      <c r="CW89" s="100" t="str">
        <f>IFERROR($CO89*(1-'Commission Structure'!$C$5),"")</f>
        <v/>
      </c>
      <c r="CX89" s="105" t="str">
        <f>IF($A89="","",IF(OR($CB89="?",$CC89="?",NOT(ISNUMBER($AU89))),"CHECK INPUTS",IF(OR($J89&lt;'Technical Premium'!$C$18,LEFT(IFERROR(INDEX('Driver Factors'!$D$6:$D$15,MATCH($R89,'Driver Factors'!$B$6:$B$15,0)),""),7)="DECLINE",LEFT(IFERROR(INDEX('Driver Factors'!$D$28:$D$36,MATCH($T89,'Driver Factors'!$B$28:$B$36,0)),""),7)="DECLINE",LEFT(IFERROR(INDEX('Claims History'!$D$6:$D$15,MATCH($U89,'Claims History'!$B$6:$B$15,0)),""),7)="DECLINE",LEFT(IFERROR(INDEX('Usage and Coverage'!$E$6:$E$20,MATCH($N89,'Usage and Coverage'!$C$6:$C$20,0)),""),7)="DECLINE"),"DECLINE",IF(OR($CD89&gt;2.5,$CD89&gt;='Technical Premium'!$C$17,$J89&gt;='Technical Premium'!$C$16,N($AQ89)&lt;'Technical Premium'!$C$19,N($AQ89)&gt;'Technical Premium'!$C$20,LEFT(IFERROR(INDEX('Driver Factors'!$D$6:$D$15,MATCH($R89,'Driver Factors'!$B$6:$B$15,0)),""),5)="Refer",LEFT(IFERROR(INDEX('Driver Factors'!$D$28:$D$36,MATCH($T89,'Driver Factors'!$B$28:$B$36,0)),""),5)="Refer",LEFT(IFERROR(INDEX('Claims History'!$D$6:$D$15,MATCH($U89,'Claims History'!$B$6:$B$15,0)),""),5)="Refer",LEFT(IFERROR(INDEX('Usage and Coverage'!$E$6:$E$20,MATCH($N89,'Usage and Coverage'!$C$6:$C$20,0)),""),5)="Refer"),"REFER","AUTO-BIND"))))</f>
        <v/>
      </c>
      <c r="CY89" s="106" t="str">
        <f t="shared" si="24"/>
        <v/>
      </c>
      <c r="CZ89" s="97" t="str">
        <f>IF($CY89="","",IF($CY89&lt;'Technical Premium'!$C$19,"BEYOND AUTHORITY",IF($CY89&gt;0.005,"Above technical",IF($CY89&lt;-0.005,"BELOW technical","At technical"))))</f>
        <v/>
      </c>
      <c r="DA89" s="97" t="str">
        <f>IF($A89="","",IF($CX89="AUTO-BIND","",TRIM(IF($J89&lt;'Technical Premium'!$C$18,"Below programme minimum agreed value. ","")&amp;IF(N($AQ89)&lt;'Technical Premium'!$C$19,"DISCOUNT AUTHORITY BREACH. ","")&amp;IF(N($AQ89)&gt;'Technical Premium'!$C$20,"Load authority breach. ","")&amp;IF($J89&gt;='Technical Premium'!$C$16,"Agreed value at or above auto-bind limit. ","")&amp;IF(AND(ISNUMBER($CD89),$CD89&gt;='Technical Premium'!$C$17),"Composite factor at cap. ","")&amp;IF(AND(ISNUMBER($CD89),$CD89&gt;2.5),"Composite factor above 2.50. ","")&amp;IF(LEFT(IFERROR(INDEX('Driver Factors'!$D$6:$D$15,MATCH($R89,'Driver Factors'!$B$6:$B$15,0)),""),7)="DECLINE","DECLINE - driver age. ",IF(LEFT(IFERROR(INDEX('Driver Factors'!$D$6:$D$15,MATCH($R89,'Driver Factors'!$B$6:$B$15,0)),""),5)="Refer","Driver age band. ",""))&amp;IF(LEFT(IFERROR(INDEX('Driver Factors'!$D$28:$D$36,MATCH($T89,'Driver Factors'!$B$28:$B$36,0)),""),7)="DECLINE","DECLINE - MVR. ",IF(LEFT(IFERROR(INDEX('Driver Factors'!$D$28:$D$36,MATCH($T89,'Driver Factors'!$B$28:$B$36,0)),""),5)="Refer","MVR record. ",""))&amp;IF(LEFT(IFERROR(INDEX('Claims History'!$D$6:$D$15,MATCH($U89,'Claims History'!$B$6:$B$15,0)),""),7)="DECLINE","DECLINE - claims. ",IF(LEFT(IFERROR(INDEX('Claims History'!$D$6:$D$15,MATCH($U89,'Claims History'!$B$6:$B$15,0)),""),5)="Refer","Claims history. ",""))&amp;IF(LEFT(IFERROR(INDEX('Usage and Coverage'!$E$6:$E$20,MATCH($N89,'Usage and Coverage'!$C$6:$C$20,0)),""),7)="DECLINE","DECLINE - usage class. ",IF(LEFT(IFERROR(INDEX('Usage and Coverage'!$E$6:$E$20,MATCH($N89,'Usage and Coverage'!$C$6:$C$20,0)),""),5)="Refer","Usage class. ",""))&amp;IF($CX89="CHECK INPUTS","Incomplete inputs. ",""))))</f>
        <v/>
      </c>
      <c r="DB89" s="92"/>
      <c r="DC89" s="92"/>
      <c r="DD89" s="93"/>
      <c r="DE89" s="92"/>
      <c r="DF89" s="92"/>
      <c r="DG89" s="97" t="str">
        <f t="shared" si="25"/>
        <v/>
      </c>
      <c r="DH89" s="97" t="str">
        <f>IF($A89="","",IF(OR($CX89="REFER",$CX89="DECLINE"),COUNTIF($CX$5:$CX89,"REFER")+COUNTIF($CX$5:$CX89,"DECLINE"),""))</f>
        <v/>
      </c>
      <c r="DI89" s="92"/>
    </row>
    <row r="90" spans="1:113" x14ac:dyDescent="0.25">
      <c r="A90" s="92"/>
      <c r="B90" s="92"/>
      <c r="C90" s="93"/>
      <c r="D90" s="93"/>
      <c r="E90" s="94"/>
      <c r="F90" s="92"/>
      <c r="G90" s="92"/>
      <c r="H90" s="92"/>
      <c r="I90" s="92"/>
      <c r="J90" s="95"/>
      <c r="K90" s="92"/>
      <c r="L90" s="92"/>
      <c r="M90" s="92"/>
      <c r="N90" s="92"/>
      <c r="O90" s="92"/>
      <c r="P90" s="92"/>
      <c r="Q90" s="92"/>
      <c r="R90" s="92"/>
      <c r="S90" s="92"/>
      <c r="T90" s="92"/>
      <c r="U90" s="92"/>
      <c r="V90" s="92"/>
      <c r="W90" s="92"/>
      <c r="X90" s="92"/>
      <c r="Y90" s="92"/>
      <c r="Z90" s="92"/>
      <c r="AA90" s="92"/>
      <c r="AB90" s="92"/>
      <c r="AC90" s="92"/>
      <c r="AD90" s="92"/>
      <c r="AE90" s="92"/>
      <c r="AF90" s="92"/>
      <c r="AG90" s="92"/>
      <c r="AH90" s="92"/>
      <c r="AI90" s="92"/>
      <c r="AJ90" s="92"/>
      <c r="AK90" s="92"/>
      <c r="AL90" s="92"/>
      <c r="AM90" s="92"/>
      <c r="AN90" s="92"/>
      <c r="AO90" s="92"/>
      <c r="AP90" s="92"/>
      <c r="AQ90" s="96"/>
      <c r="AR90" s="97" t="str">
        <f t="shared" si="13"/>
        <v/>
      </c>
      <c r="AS90" s="97" t="str">
        <f>IF($A90="","",IF($AP90&lt;&gt;"",$AP90,IFERROR(INDEX('Cat Zone by ZIP'!$D$6:$D$856,MATCH($AR90,'Cat Zone by ZIP'!$B$6:$B$856,0)),IFERROR(INDEX('Cat Zone by ZIP'!$C$860:$C$910,MATCH($K90,'Cat Zone by ZIP'!$B$860:$B$910,0)),"NOT FOUND"))))</f>
        <v/>
      </c>
      <c r="AT90" s="97" t="str">
        <f>IF($A90="","",IF($AP90&lt;&gt;"","Override",IF(ISNUMBER(MATCH($AR90,'Cat Zone by ZIP'!$B$6:$B$856,0)),"ZIP-3","State default")))</f>
        <v/>
      </c>
      <c r="AU90" s="98" t="str">
        <f>IF($A90="","",IFERROR(INDEX('Natural Catastrophe'!$D$6:$D$17,MATCH($AS90,'Natural Catastrophe'!$B$6:$B$17,0)),"?"))</f>
        <v/>
      </c>
      <c r="AV90" s="98" t="str">
        <f>IF($A90="","",IFERROR(INDEX('Natural Catastrophe'!$C$21:$C$26,MATCH($AA90,'Natural Catastrophe'!$B$21:$B$26,0)),"?"))</f>
        <v/>
      </c>
      <c r="AW90" s="97" t="str">
        <f>IF($A90="","",IFERROR(INDEX('Base Rates'!$C$4:$I$4,MATCH(MAX($J90,'Technical Premium'!$C$18),'Base Rates'!$C$3:$I$3,1)),"?"))</f>
        <v/>
      </c>
      <c r="AX90" s="99" t="str">
        <f>IF($A90="","",IFERROR(INDEX('Base Rates'!$C$5:$I$16,MATCH($I90,'Base Rates'!$B$5:$B$16,0),MATCH(MAX($J90,'Technical Premium'!$C$18),'Base Rates'!$C$3:$I$3,1)),"?"))</f>
        <v/>
      </c>
      <c r="AY90" s="100" t="str">
        <f t="shared" si="14"/>
        <v/>
      </c>
      <c r="AZ90" s="97" t="str">
        <f>IF($A90="","",IFERROR(INDEX('Make Factors'!$G$5:$G$69,MATCH($F90,'Make Factors'!$B$5:$B$69,0)),"?"))</f>
        <v/>
      </c>
      <c r="BA90" s="97" t="str">
        <f>IF($A90="","",IFERROR(INDEX('Driver Factors'!$C$6:$C$15,MATCH($R90,'Driver Factors'!$B$6:$B$15,0)),"?"))</f>
        <v/>
      </c>
      <c r="BB90" s="97" t="str">
        <f>IF($A90="","",IFERROR(INDEX('Driver Factors'!$C$19:$C$24,MATCH($S90,'Driver Factors'!$B$19:$B$24,0)),"?"))</f>
        <v/>
      </c>
      <c r="BC90" s="97" t="str">
        <f>IF($A90="","",IFERROR(INDEX('Driver Factors'!$C$28:$C$36,MATCH($T90,'Driver Factors'!$B$28:$B$36,0)),"?"))</f>
        <v/>
      </c>
      <c r="BD90" s="97" t="str">
        <f>IF($A90="","",IFERROR(INDEX('Claims History'!$C$6:$C$15,MATCH($U90,'Claims History'!$B$6:$B$15,0)),"?"))</f>
        <v/>
      </c>
      <c r="BE90" s="97" t="str">
        <f>IF($A90="","",IFERROR(INDEX('Territory Factors'!$E$6:$E$56,MATCH($K90,'Territory Factors'!$B$6:$B$56,0)),"?"))</f>
        <v/>
      </c>
      <c r="BF90" s="97" t="str">
        <f>IF($A90="","",IFERROR(INDEX('City Accident Ratings'!$G$6:$G$54,MATCH($Z90,'City Accident Ratings'!$B$6:$B$54,0)),"?"))</f>
        <v/>
      </c>
      <c r="BG90" s="97" t="str">
        <f>IF($A90="","",IFERROR(INDEX('Usage and Coverage'!$D$6:$D$20,MATCH($N90,'Usage and Coverage'!$C$6:$C$20,0)),"?"))</f>
        <v/>
      </c>
      <c r="BH90" s="97" t="str">
        <f>IF($A90="","",IFERROR(INDEX('Usage and Coverage'!$C$24:$C$30,MATCH($O90,'Usage and Coverage'!$B$24:$B$30,0)),"?"))</f>
        <v/>
      </c>
      <c r="BI90" s="97" t="str">
        <f>IF($A90="","",IFERROR(INDEX('Usage and Coverage'!$C$34:$C$40,MATCH($P90,'Usage and Coverage'!$B$34:$B$40,0)),"?"))</f>
        <v/>
      </c>
      <c r="BJ90" s="97" t="str">
        <f>IF($A90="","",IFERROR(INDEX('Usage and Coverage'!$C$44:$C$49,MATCH($Q90,'Usage and Coverage'!$B$44:$B$49,0)),"?"))</f>
        <v/>
      </c>
      <c r="BK90" s="97" t="str">
        <f>IF($A90="","",IFERROR(INDEX(Deductibles!$C$6:$I$15,MATCH($W90,Deductibles!$B$6:$B$15,0),MATCH(MAX($J90,'Technical Premium'!$C$18),'Base Rates'!$C$3:$I$3,1)),"?"))</f>
        <v/>
      </c>
      <c r="BL90" s="97" t="str">
        <f>IF($A90="","",IFERROR(INDEX('Usage and Coverage'!$C$63:$C$66,MATCH($X90,'Usage and Coverage'!$B$63:$B$66,0)),"?"))</f>
        <v/>
      </c>
      <c r="BM90" s="97" t="str">
        <f>IF($A90="","",IFERROR(INDEX('Usage and Coverage'!$C$70:$C$75,MATCH($V90,'Usage and Coverage'!$B$70:$B$75,0)),"?"))</f>
        <v/>
      </c>
      <c r="BN90" s="97" t="str">
        <f>IF($A90="","",IF($AB90="",1,IFERROR(INDEX(Deductibles!$C$48:$C$51,MATCH($AB90,Deductibles!$B$48:$B$51,0)),"?")))</f>
        <v/>
      </c>
      <c r="BO90" s="97" t="str">
        <f>IF($A90="","",IF($AC90="",1,IFERROR(INDEX(Deductibles!$C$55:$C$57,MATCH($AC90,Deductibles!$B$55:$B$57,0)),"?")))</f>
        <v/>
      </c>
      <c r="BP90" s="97" t="str">
        <f>IF($A90="","",IF($AD90="",1,IFERROR(INDEX(Deductibles!$C$61:$C$63,MATCH($AD90,Deductibles!$B$61:$B$63,0)),"?")))</f>
        <v/>
      </c>
      <c r="BQ90" s="97" t="str">
        <f>IF($A90="","",IF($AE90="",1,IFERROR(INDEX(Deductibles!$C$67:$C$69,MATCH($AE90,Deductibles!$B$67:$B$69,0)),"?")))</f>
        <v/>
      </c>
      <c r="BR90" s="97" t="str">
        <f>IF($A90="","",IF($AF90="",1,IFERROR(INDEX(Deductibles!$C$73:$C$74,MATCH($AF90,Deductibles!$B$73:$B$74,0)),"?")))</f>
        <v/>
      </c>
      <c r="BS90" s="97" t="str">
        <f>IF($A90="","",IF($AG90="",1,IFERROR(INDEX('Sublimits and Parts'!$C$49:$C$52,MATCH($AG90,'Sublimits and Parts'!$B$49:$B$52,0)),"?")))</f>
        <v/>
      </c>
      <c r="BT90" s="97" t="str">
        <f>IF($A90="","",IF($AH90="",1,IFERROR(INDEX('Sublimits and Parts'!$C$56:$C$60,MATCH($AH90,'Sublimits and Parts'!$B$56:$B$60,0)),"?")))</f>
        <v/>
      </c>
      <c r="BU90" s="97" t="str">
        <f>IF($A90="","",IF($AI90="",1,IFERROR(INDEX('Sublimits and Parts'!$C$64:$C$67,MATCH($AI90,'Sublimits and Parts'!$B$64:$B$67,0)),"?")))</f>
        <v/>
      </c>
      <c r="BV90" s="97" t="str">
        <f>IF($A90="","",IF($AJ90="",1,IFERROR(INDEX('Sublimits and Parts'!$C$71:$C$74,MATCH($AJ90,'Sublimits and Parts'!$B$71:$B$74,0)),"?")))</f>
        <v/>
      </c>
      <c r="BW90" s="97" t="str">
        <f>IF($A90="","",IF($AK90="",1,IFERROR(INDEX('Sublimits and Parts'!$C$78:$C$80,MATCH($AK90,'Sublimits and Parts'!$B$78:$B$80,0)),"?")))</f>
        <v/>
      </c>
      <c r="BX90" s="97" t="str">
        <f>IF($A90="","",IF($AL90="",1,IFERROR(INDEX('Sublimits and Parts'!$C$84:$C$87,MATCH($AL90,'Sublimits and Parts'!$B$84:$B$87,0)),"?")))</f>
        <v/>
      </c>
      <c r="BY90" s="97" t="str">
        <f>IF($A90="","",IF($AM90="",1,IFERROR(INDEX('Sublimits and Parts'!$C$91:$C$94,MATCH($AM90,'Sublimits and Parts'!$B$91:$B$94,0)),"?")))</f>
        <v/>
      </c>
      <c r="BZ90" s="97" t="str">
        <f>IF($A90="","",IF($AN90="",1,IFERROR(INDEX('Sublimits and Parts'!$C$98:$C$101,MATCH($AN90,'Sublimits and Parts'!$B$98:$B$101,0)),"?")))</f>
        <v/>
      </c>
      <c r="CA90" s="97" t="str">
        <f>IF($A90="","",IF($AO90="",1,IFERROR(INDEX('Sublimits and Parts'!$C$105:$C$109,MATCH($AO90,'Sublimits and Parts'!$B$105:$B$109,0)),"?")))</f>
        <v/>
      </c>
      <c r="CB90" s="98" t="str">
        <f t="shared" si="15"/>
        <v/>
      </c>
      <c r="CC90" s="98" t="str">
        <f t="shared" si="16"/>
        <v/>
      </c>
      <c r="CD90" s="101" t="str">
        <f>IF($A90="","",IF(OR($CB90="?",$CC90="?"),"?",MIN($CB90*$CC90,'Technical Premium'!$C$17)))</f>
        <v/>
      </c>
      <c r="CE90" s="100" t="str">
        <f t="shared" si="17"/>
        <v/>
      </c>
      <c r="CF90" s="100" t="str">
        <f>IF($A90="","",IFERROR(INDEX('Territory Factors'!$F$6:$F$56,MATCH($K90,'Territory Factors'!$B$6:$B$56,0)),"?"))</f>
        <v/>
      </c>
      <c r="CG90" s="98" t="str">
        <f>IF($A90="","",IFERROR(INDEX('Usage and Coverage'!$C$79:$C$84,MATCH($Y90,'Usage and Coverage'!$B$79:$B$84,0)),"?"))</f>
        <v/>
      </c>
      <c r="CH90" s="100" t="str">
        <f>IFERROR(IF(ISNUMBER($CD90),$CF90*$CG90*MIN($BG90*$BA90*$BC90*$BD90*$BH90*$BF90,'Technical Premium'!$C$17),""),"")</f>
        <v/>
      </c>
      <c r="CI90" s="100" t="str">
        <f t="shared" si="18"/>
        <v/>
      </c>
      <c r="CJ90" s="100" t="str">
        <f>IFERROR($CI90*(1+'Technical Premium'!$C$5)*(1+'Technical Premium'!$C$6),"")</f>
        <v/>
      </c>
      <c r="CK90" s="100" t="str">
        <f>IFERROR($CE90*INDEX('Territory Factors'!$G$6:$G$56,MATCH($K90,'Territory Factors'!$B$6:$B$56,0))*$AU90*$AV90,"")</f>
        <v/>
      </c>
      <c r="CL90" s="100" t="str">
        <f>IFERROR(($CJ90+$CK90)*(1+'Technical Premium'!$C$7),"")</f>
        <v/>
      </c>
      <c r="CM90" s="102" t="str">
        <f>IFERROR($CL90/'Technical Premium'!$C$13,"")</f>
        <v/>
      </c>
      <c r="CN90" s="103" t="str">
        <f t="shared" si="19"/>
        <v/>
      </c>
      <c r="CO90" s="102" t="str">
        <f t="shared" si="20"/>
        <v/>
      </c>
      <c r="CP90" s="103" t="str">
        <f t="shared" si="21"/>
        <v/>
      </c>
      <c r="CQ90" s="104" t="str">
        <f t="shared" si="22"/>
        <v/>
      </c>
      <c r="CR90" s="100" t="str">
        <f>IF(ISNUMBER($CM90),'Technical Premium'!$C$14+IF($J90&gt;=1000000,'Technical Premium'!$C$15,0),"")</f>
        <v/>
      </c>
      <c r="CS90" s="100" t="str">
        <f>IFERROR(($CO90+$CR90)*(INDEX('Territory Factors'!$K$6:$K$56,MATCH($K90,'Territory Factors'!$B$6:$B$56,0))+'Commission Structure'!$C$21),"")</f>
        <v/>
      </c>
      <c r="CT90" s="102" t="str">
        <f t="shared" si="23"/>
        <v/>
      </c>
      <c r="CU90" s="100" t="str">
        <f>IFERROR($CO90*('Commission Structure'!$C$6+'Commission Structure'!$C$7),"")</f>
        <v/>
      </c>
      <c r="CV90" s="100" t="str">
        <f>IFERROR($CO90*'Commission Structure'!$C$5-$CU90,"")</f>
        <v/>
      </c>
      <c r="CW90" s="100" t="str">
        <f>IFERROR($CO90*(1-'Commission Structure'!$C$5),"")</f>
        <v/>
      </c>
      <c r="CX90" s="105" t="str">
        <f>IF($A90="","",IF(OR($CB90="?",$CC90="?",NOT(ISNUMBER($AU90))),"CHECK INPUTS",IF(OR($J90&lt;'Technical Premium'!$C$18,LEFT(IFERROR(INDEX('Driver Factors'!$D$6:$D$15,MATCH($R90,'Driver Factors'!$B$6:$B$15,0)),""),7)="DECLINE",LEFT(IFERROR(INDEX('Driver Factors'!$D$28:$D$36,MATCH($T90,'Driver Factors'!$B$28:$B$36,0)),""),7)="DECLINE",LEFT(IFERROR(INDEX('Claims History'!$D$6:$D$15,MATCH($U90,'Claims History'!$B$6:$B$15,0)),""),7)="DECLINE",LEFT(IFERROR(INDEX('Usage and Coverage'!$E$6:$E$20,MATCH($N90,'Usage and Coverage'!$C$6:$C$20,0)),""),7)="DECLINE"),"DECLINE",IF(OR($CD90&gt;2.5,$CD90&gt;='Technical Premium'!$C$17,$J90&gt;='Technical Premium'!$C$16,N($AQ90)&lt;'Technical Premium'!$C$19,N($AQ90)&gt;'Technical Premium'!$C$20,LEFT(IFERROR(INDEX('Driver Factors'!$D$6:$D$15,MATCH($R90,'Driver Factors'!$B$6:$B$15,0)),""),5)="Refer",LEFT(IFERROR(INDEX('Driver Factors'!$D$28:$D$36,MATCH($T90,'Driver Factors'!$B$28:$B$36,0)),""),5)="Refer",LEFT(IFERROR(INDEX('Claims History'!$D$6:$D$15,MATCH($U90,'Claims History'!$B$6:$B$15,0)),""),5)="Refer",LEFT(IFERROR(INDEX('Usage and Coverage'!$E$6:$E$20,MATCH($N90,'Usage and Coverage'!$C$6:$C$20,0)),""),5)="Refer"),"REFER","AUTO-BIND"))))</f>
        <v/>
      </c>
      <c r="CY90" s="106" t="str">
        <f t="shared" si="24"/>
        <v/>
      </c>
      <c r="CZ90" s="97" t="str">
        <f>IF($CY90="","",IF($CY90&lt;'Technical Premium'!$C$19,"BEYOND AUTHORITY",IF($CY90&gt;0.005,"Above technical",IF($CY90&lt;-0.005,"BELOW technical","At technical"))))</f>
        <v/>
      </c>
      <c r="DA90" s="97" t="str">
        <f>IF($A90="","",IF($CX90="AUTO-BIND","",TRIM(IF($J90&lt;'Technical Premium'!$C$18,"Below programme minimum agreed value. ","")&amp;IF(N($AQ90)&lt;'Technical Premium'!$C$19,"DISCOUNT AUTHORITY BREACH. ","")&amp;IF(N($AQ90)&gt;'Technical Premium'!$C$20,"Load authority breach. ","")&amp;IF($J90&gt;='Technical Premium'!$C$16,"Agreed value at or above auto-bind limit. ","")&amp;IF(AND(ISNUMBER($CD90),$CD90&gt;='Technical Premium'!$C$17),"Composite factor at cap. ","")&amp;IF(AND(ISNUMBER($CD90),$CD90&gt;2.5),"Composite factor above 2.50. ","")&amp;IF(LEFT(IFERROR(INDEX('Driver Factors'!$D$6:$D$15,MATCH($R90,'Driver Factors'!$B$6:$B$15,0)),""),7)="DECLINE","DECLINE - driver age. ",IF(LEFT(IFERROR(INDEX('Driver Factors'!$D$6:$D$15,MATCH($R90,'Driver Factors'!$B$6:$B$15,0)),""),5)="Refer","Driver age band. ",""))&amp;IF(LEFT(IFERROR(INDEX('Driver Factors'!$D$28:$D$36,MATCH($T90,'Driver Factors'!$B$28:$B$36,0)),""),7)="DECLINE","DECLINE - MVR. ",IF(LEFT(IFERROR(INDEX('Driver Factors'!$D$28:$D$36,MATCH($T90,'Driver Factors'!$B$28:$B$36,0)),""),5)="Refer","MVR record. ",""))&amp;IF(LEFT(IFERROR(INDEX('Claims History'!$D$6:$D$15,MATCH($U90,'Claims History'!$B$6:$B$15,0)),""),7)="DECLINE","DECLINE - claims. ",IF(LEFT(IFERROR(INDEX('Claims History'!$D$6:$D$15,MATCH($U90,'Claims History'!$B$6:$B$15,0)),""),5)="Refer","Claims history. ",""))&amp;IF(LEFT(IFERROR(INDEX('Usage and Coverage'!$E$6:$E$20,MATCH($N90,'Usage and Coverage'!$C$6:$C$20,0)),""),7)="DECLINE","DECLINE - usage class. ",IF(LEFT(IFERROR(INDEX('Usage and Coverage'!$E$6:$E$20,MATCH($N90,'Usage and Coverage'!$C$6:$C$20,0)),""),5)="Refer","Usage class. ",""))&amp;IF($CX90="CHECK INPUTS","Incomplete inputs. ",""))))</f>
        <v/>
      </c>
      <c r="DB90" s="92"/>
      <c r="DC90" s="92"/>
      <c r="DD90" s="93"/>
      <c r="DE90" s="92"/>
      <c r="DF90" s="92"/>
      <c r="DG90" s="97" t="str">
        <f t="shared" si="25"/>
        <v/>
      </c>
      <c r="DH90" s="97" t="str">
        <f>IF($A90="","",IF(OR($CX90="REFER",$CX90="DECLINE"),COUNTIF($CX$5:$CX90,"REFER")+COUNTIF($CX$5:$CX90,"DECLINE"),""))</f>
        <v/>
      </c>
      <c r="DI90" s="92"/>
    </row>
    <row r="91" spans="1:113" x14ac:dyDescent="0.25">
      <c r="A91" s="92"/>
      <c r="B91" s="92"/>
      <c r="C91" s="93"/>
      <c r="D91" s="93"/>
      <c r="E91" s="94"/>
      <c r="F91" s="92"/>
      <c r="G91" s="92"/>
      <c r="H91" s="92"/>
      <c r="I91" s="92"/>
      <c r="J91" s="95"/>
      <c r="K91" s="92"/>
      <c r="L91" s="92"/>
      <c r="M91" s="92"/>
      <c r="N91" s="92"/>
      <c r="O91" s="92"/>
      <c r="P91" s="92"/>
      <c r="Q91" s="92"/>
      <c r="R91" s="92"/>
      <c r="S91" s="92"/>
      <c r="T91" s="92"/>
      <c r="U91" s="92"/>
      <c r="V91" s="92"/>
      <c r="W91" s="92"/>
      <c r="X91" s="92"/>
      <c r="Y91" s="92"/>
      <c r="Z91" s="92"/>
      <c r="AA91" s="92"/>
      <c r="AB91" s="92"/>
      <c r="AC91" s="92"/>
      <c r="AD91" s="92"/>
      <c r="AE91" s="92"/>
      <c r="AF91" s="92"/>
      <c r="AG91" s="92"/>
      <c r="AH91" s="92"/>
      <c r="AI91" s="92"/>
      <c r="AJ91" s="92"/>
      <c r="AK91" s="92"/>
      <c r="AL91" s="92"/>
      <c r="AM91" s="92"/>
      <c r="AN91" s="92"/>
      <c r="AO91" s="92"/>
      <c r="AP91" s="92"/>
      <c r="AQ91" s="96"/>
      <c r="AR91" s="97" t="str">
        <f t="shared" si="13"/>
        <v/>
      </c>
      <c r="AS91" s="97" t="str">
        <f>IF($A91="","",IF($AP91&lt;&gt;"",$AP91,IFERROR(INDEX('Cat Zone by ZIP'!$D$6:$D$856,MATCH($AR91,'Cat Zone by ZIP'!$B$6:$B$856,0)),IFERROR(INDEX('Cat Zone by ZIP'!$C$860:$C$910,MATCH($K91,'Cat Zone by ZIP'!$B$860:$B$910,0)),"NOT FOUND"))))</f>
        <v/>
      </c>
      <c r="AT91" s="97" t="str">
        <f>IF($A91="","",IF($AP91&lt;&gt;"","Override",IF(ISNUMBER(MATCH($AR91,'Cat Zone by ZIP'!$B$6:$B$856,0)),"ZIP-3","State default")))</f>
        <v/>
      </c>
      <c r="AU91" s="98" t="str">
        <f>IF($A91="","",IFERROR(INDEX('Natural Catastrophe'!$D$6:$D$17,MATCH($AS91,'Natural Catastrophe'!$B$6:$B$17,0)),"?"))</f>
        <v/>
      </c>
      <c r="AV91" s="98" t="str">
        <f>IF($A91="","",IFERROR(INDEX('Natural Catastrophe'!$C$21:$C$26,MATCH($AA91,'Natural Catastrophe'!$B$21:$B$26,0)),"?"))</f>
        <v/>
      </c>
      <c r="AW91" s="97" t="str">
        <f>IF($A91="","",IFERROR(INDEX('Base Rates'!$C$4:$I$4,MATCH(MAX($J91,'Technical Premium'!$C$18),'Base Rates'!$C$3:$I$3,1)),"?"))</f>
        <v/>
      </c>
      <c r="AX91" s="99" t="str">
        <f>IF($A91="","",IFERROR(INDEX('Base Rates'!$C$5:$I$16,MATCH($I91,'Base Rates'!$B$5:$B$16,0),MATCH(MAX($J91,'Technical Premium'!$C$18),'Base Rates'!$C$3:$I$3,1)),"?"))</f>
        <v/>
      </c>
      <c r="AY91" s="100" t="str">
        <f t="shared" si="14"/>
        <v/>
      </c>
      <c r="AZ91" s="97" t="str">
        <f>IF($A91="","",IFERROR(INDEX('Make Factors'!$G$5:$G$69,MATCH($F91,'Make Factors'!$B$5:$B$69,0)),"?"))</f>
        <v/>
      </c>
      <c r="BA91" s="97" t="str">
        <f>IF($A91="","",IFERROR(INDEX('Driver Factors'!$C$6:$C$15,MATCH($R91,'Driver Factors'!$B$6:$B$15,0)),"?"))</f>
        <v/>
      </c>
      <c r="BB91" s="97" t="str">
        <f>IF($A91="","",IFERROR(INDEX('Driver Factors'!$C$19:$C$24,MATCH($S91,'Driver Factors'!$B$19:$B$24,0)),"?"))</f>
        <v/>
      </c>
      <c r="BC91" s="97" t="str">
        <f>IF($A91="","",IFERROR(INDEX('Driver Factors'!$C$28:$C$36,MATCH($T91,'Driver Factors'!$B$28:$B$36,0)),"?"))</f>
        <v/>
      </c>
      <c r="BD91" s="97" t="str">
        <f>IF($A91="","",IFERROR(INDEX('Claims History'!$C$6:$C$15,MATCH($U91,'Claims History'!$B$6:$B$15,0)),"?"))</f>
        <v/>
      </c>
      <c r="BE91" s="97" t="str">
        <f>IF($A91="","",IFERROR(INDEX('Territory Factors'!$E$6:$E$56,MATCH($K91,'Territory Factors'!$B$6:$B$56,0)),"?"))</f>
        <v/>
      </c>
      <c r="BF91" s="97" t="str">
        <f>IF($A91="","",IFERROR(INDEX('City Accident Ratings'!$G$6:$G$54,MATCH($Z91,'City Accident Ratings'!$B$6:$B$54,0)),"?"))</f>
        <v/>
      </c>
      <c r="BG91" s="97" t="str">
        <f>IF($A91="","",IFERROR(INDEX('Usage and Coverage'!$D$6:$D$20,MATCH($N91,'Usage and Coverage'!$C$6:$C$20,0)),"?"))</f>
        <v/>
      </c>
      <c r="BH91" s="97" t="str">
        <f>IF($A91="","",IFERROR(INDEX('Usage and Coverage'!$C$24:$C$30,MATCH($O91,'Usage and Coverage'!$B$24:$B$30,0)),"?"))</f>
        <v/>
      </c>
      <c r="BI91" s="97" t="str">
        <f>IF($A91="","",IFERROR(INDEX('Usage and Coverage'!$C$34:$C$40,MATCH($P91,'Usage and Coverage'!$B$34:$B$40,0)),"?"))</f>
        <v/>
      </c>
      <c r="BJ91" s="97" t="str">
        <f>IF($A91="","",IFERROR(INDEX('Usage and Coverage'!$C$44:$C$49,MATCH($Q91,'Usage and Coverage'!$B$44:$B$49,0)),"?"))</f>
        <v/>
      </c>
      <c r="BK91" s="97" t="str">
        <f>IF($A91="","",IFERROR(INDEX(Deductibles!$C$6:$I$15,MATCH($W91,Deductibles!$B$6:$B$15,0),MATCH(MAX($J91,'Technical Premium'!$C$18),'Base Rates'!$C$3:$I$3,1)),"?"))</f>
        <v/>
      </c>
      <c r="BL91" s="97" t="str">
        <f>IF($A91="","",IFERROR(INDEX('Usage and Coverage'!$C$63:$C$66,MATCH($X91,'Usage and Coverage'!$B$63:$B$66,0)),"?"))</f>
        <v/>
      </c>
      <c r="BM91" s="97" t="str">
        <f>IF($A91="","",IFERROR(INDEX('Usage and Coverage'!$C$70:$C$75,MATCH($V91,'Usage and Coverage'!$B$70:$B$75,0)),"?"))</f>
        <v/>
      </c>
      <c r="BN91" s="97" t="str">
        <f>IF($A91="","",IF($AB91="",1,IFERROR(INDEX(Deductibles!$C$48:$C$51,MATCH($AB91,Deductibles!$B$48:$B$51,0)),"?")))</f>
        <v/>
      </c>
      <c r="BO91" s="97" t="str">
        <f>IF($A91="","",IF($AC91="",1,IFERROR(INDEX(Deductibles!$C$55:$C$57,MATCH($AC91,Deductibles!$B$55:$B$57,0)),"?")))</f>
        <v/>
      </c>
      <c r="BP91" s="97" t="str">
        <f>IF($A91="","",IF($AD91="",1,IFERROR(INDEX(Deductibles!$C$61:$C$63,MATCH($AD91,Deductibles!$B$61:$B$63,0)),"?")))</f>
        <v/>
      </c>
      <c r="BQ91" s="97" t="str">
        <f>IF($A91="","",IF($AE91="",1,IFERROR(INDEX(Deductibles!$C$67:$C$69,MATCH($AE91,Deductibles!$B$67:$B$69,0)),"?")))</f>
        <v/>
      </c>
      <c r="BR91" s="97" t="str">
        <f>IF($A91="","",IF($AF91="",1,IFERROR(INDEX(Deductibles!$C$73:$C$74,MATCH($AF91,Deductibles!$B$73:$B$74,0)),"?")))</f>
        <v/>
      </c>
      <c r="BS91" s="97" t="str">
        <f>IF($A91="","",IF($AG91="",1,IFERROR(INDEX('Sublimits and Parts'!$C$49:$C$52,MATCH($AG91,'Sublimits and Parts'!$B$49:$B$52,0)),"?")))</f>
        <v/>
      </c>
      <c r="BT91" s="97" t="str">
        <f>IF($A91="","",IF($AH91="",1,IFERROR(INDEX('Sublimits and Parts'!$C$56:$C$60,MATCH($AH91,'Sublimits and Parts'!$B$56:$B$60,0)),"?")))</f>
        <v/>
      </c>
      <c r="BU91" s="97" t="str">
        <f>IF($A91="","",IF($AI91="",1,IFERROR(INDEX('Sublimits and Parts'!$C$64:$C$67,MATCH($AI91,'Sublimits and Parts'!$B$64:$B$67,0)),"?")))</f>
        <v/>
      </c>
      <c r="BV91" s="97" t="str">
        <f>IF($A91="","",IF($AJ91="",1,IFERROR(INDEX('Sublimits and Parts'!$C$71:$C$74,MATCH($AJ91,'Sublimits and Parts'!$B$71:$B$74,0)),"?")))</f>
        <v/>
      </c>
      <c r="BW91" s="97" t="str">
        <f>IF($A91="","",IF($AK91="",1,IFERROR(INDEX('Sublimits and Parts'!$C$78:$C$80,MATCH($AK91,'Sublimits and Parts'!$B$78:$B$80,0)),"?")))</f>
        <v/>
      </c>
      <c r="BX91" s="97" t="str">
        <f>IF($A91="","",IF($AL91="",1,IFERROR(INDEX('Sublimits and Parts'!$C$84:$C$87,MATCH($AL91,'Sublimits and Parts'!$B$84:$B$87,0)),"?")))</f>
        <v/>
      </c>
      <c r="BY91" s="97" t="str">
        <f>IF($A91="","",IF($AM91="",1,IFERROR(INDEX('Sublimits and Parts'!$C$91:$C$94,MATCH($AM91,'Sublimits and Parts'!$B$91:$B$94,0)),"?")))</f>
        <v/>
      </c>
      <c r="BZ91" s="97" t="str">
        <f>IF($A91="","",IF($AN91="",1,IFERROR(INDEX('Sublimits and Parts'!$C$98:$C$101,MATCH($AN91,'Sublimits and Parts'!$B$98:$B$101,0)),"?")))</f>
        <v/>
      </c>
      <c r="CA91" s="97" t="str">
        <f>IF($A91="","",IF($AO91="",1,IFERROR(INDEX('Sublimits and Parts'!$C$105:$C$109,MATCH($AO91,'Sublimits and Parts'!$B$105:$B$109,0)),"?")))</f>
        <v/>
      </c>
      <c r="CB91" s="98" t="str">
        <f t="shared" si="15"/>
        <v/>
      </c>
      <c r="CC91" s="98" t="str">
        <f t="shared" si="16"/>
        <v/>
      </c>
      <c r="CD91" s="101" t="str">
        <f>IF($A91="","",IF(OR($CB91="?",$CC91="?"),"?",MIN($CB91*$CC91,'Technical Premium'!$C$17)))</f>
        <v/>
      </c>
      <c r="CE91" s="100" t="str">
        <f t="shared" si="17"/>
        <v/>
      </c>
      <c r="CF91" s="100" t="str">
        <f>IF($A91="","",IFERROR(INDEX('Territory Factors'!$F$6:$F$56,MATCH($K91,'Territory Factors'!$B$6:$B$56,0)),"?"))</f>
        <v/>
      </c>
      <c r="CG91" s="98" t="str">
        <f>IF($A91="","",IFERROR(INDEX('Usage and Coverage'!$C$79:$C$84,MATCH($Y91,'Usage and Coverage'!$B$79:$B$84,0)),"?"))</f>
        <v/>
      </c>
      <c r="CH91" s="100" t="str">
        <f>IFERROR(IF(ISNUMBER($CD91),$CF91*$CG91*MIN($BG91*$BA91*$BC91*$BD91*$BH91*$BF91,'Technical Premium'!$C$17),""),"")</f>
        <v/>
      </c>
      <c r="CI91" s="100" t="str">
        <f t="shared" si="18"/>
        <v/>
      </c>
      <c r="CJ91" s="100" t="str">
        <f>IFERROR($CI91*(1+'Technical Premium'!$C$5)*(1+'Technical Premium'!$C$6),"")</f>
        <v/>
      </c>
      <c r="CK91" s="100" t="str">
        <f>IFERROR($CE91*INDEX('Territory Factors'!$G$6:$G$56,MATCH($K91,'Territory Factors'!$B$6:$B$56,0))*$AU91*$AV91,"")</f>
        <v/>
      </c>
      <c r="CL91" s="100" t="str">
        <f>IFERROR(($CJ91+$CK91)*(1+'Technical Premium'!$C$7),"")</f>
        <v/>
      </c>
      <c r="CM91" s="102" t="str">
        <f>IFERROR($CL91/'Technical Premium'!$C$13,"")</f>
        <v/>
      </c>
      <c r="CN91" s="103" t="str">
        <f t="shared" si="19"/>
        <v/>
      </c>
      <c r="CO91" s="102" t="str">
        <f t="shared" si="20"/>
        <v/>
      </c>
      <c r="CP91" s="103" t="str">
        <f t="shared" si="21"/>
        <v/>
      </c>
      <c r="CQ91" s="104" t="str">
        <f t="shared" si="22"/>
        <v/>
      </c>
      <c r="CR91" s="100" t="str">
        <f>IF(ISNUMBER($CM91),'Technical Premium'!$C$14+IF($J91&gt;=1000000,'Technical Premium'!$C$15,0),"")</f>
        <v/>
      </c>
      <c r="CS91" s="100" t="str">
        <f>IFERROR(($CO91+$CR91)*(INDEX('Territory Factors'!$K$6:$K$56,MATCH($K91,'Territory Factors'!$B$6:$B$56,0))+'Commission Structure'!$C$21),"")</f>
        <v/>
      </c>
      <c r="CT91" s="102" t="str">
        <f t="shared" si="23"/>
        <v/>
      </c>
      <c r="CU91" s="100" t="str">
        <f>IFERROR($CO91*('Commission Structure'!$C$6+'Commission Structure'!$C$7),"")</f>
        <v/>
      </c>
      <c r="CV91" s="100" t="str">
        <f>IFERROR($CO91*'Commission Structure'!$C$5-$CU91,"")</f>
        <v/>
      </c>
      <c r="CW91" s="100" t="str">
        <f>IFERROR($CO91*(1-'Commission Structure'!$C$5),"")</f>
        <v/>
      </c>
      <c r="CX91" s="105" t="str">
        <f>IF($A91="","",IF(OR($CB91="?",$CC91="?",NOT(ISNUMBER($AU91))),"CHECK INPUTS",IF(OR($J91&lt;'Technical Premium'!$C$18,LEFT(IFERROR(INDEX('Driver Factors'!$D$6:$D$15,MATCH($R91,'Driver Factors'!$B$6:$B$15,0)),""),7)="DECLINE",LEFT(IFERROR(INDEX('Driver Factors'!$D$28:$D$36,MATCH($T91,'Driver Factors'!$B$28:$B$36,0)),""),7)="DECLINE",LEFT(IFERROR(INDEX('Claims History'!$D$6:$D$15,MATCH($U91,'Claims History'!$B$6:$B$15,0)),""),7)="DECLINE",LEFT(IFERROR(INDEX('Usage and Coverage'!$E$6:$E$20,MATCH($N91,'Usage and Coverage'!$C$6:$C$20,0)),""),7)="DECLINE"),"DECLINE",IF(OR($CD91&gt;2.5,$CD91&gt;='Technical Premium'!$C$17,$J91&gt;='Technical Premium'!$C$16,N($AQ91)&lt;'Technical Premium'!$C$19,N($AQ91)&gt;'Technical Premium'!$C$20,LEFT(IFERROR(INDEX('Driver Factors'!$D$6:$D$15,MATCH($R91,'Driver Factors'!$B$6:$B$15,0)),""),5)="Refer",LEFT(IFERROR(INDEX('Driver Factors'!$D$28:$D$36,MATCH($T91,'Driver Factors'!$B$28:$B$36,0)),""),5)="Refer",LEFT(IFERROR(INDEX('Claims History'!$D$6:$D$15,MATCH($U91,'Claims History'!$B$6:$B$15,0)),""),5)="Refer",LEFT(IFERROR(INDEX('Usage and Coverage'!$E$6:$E$20,MATCH($N91,'Usage and Coverage'!$C$6:$C$20,0)),""),5)="Refer"),"REFER","AUTO-BIND"))))</f>
        <v/>
      </c>
      <c r="CY91" s="106" t="str">
        <f t="shared" si="24"/>
        <v/>
      </c>
      <c r="CZ91" s="97" t="str">
        <f>IF($CY91="","",IF($CY91&lt;'Technical Premium'!$C$19,"BEYOND AUTHORITY",IF($CY91&gt;0.005,"Above technical",IF($CY91&lt;-0.005,"BELOW technical","At technical"))))</f>
        <v/>
      </c>
      <c r="DA91" s="97" t="str">
        <f>IF($A91="","",IF($CX91="AUTO-BIND","",TRIM(IF($J91&lt;'Technical Premium'!$C$18,"Below programme minimum agreed value. ","")&amp;IF(N($AQ91)&lt;'Technical Premium'!$C$19,"DISCOUNT AUTHORITY BREACH. ","")&amp;IF(N($AQ91)&gt;'Technical Premium'!$C$20,"Load authority breach. ","")&amp;IF($J91&gt;='Technical Premium'!$C$16,"Agreed value at or above auto-bind limit. ","")&amp;IF(AND(ISNUMBER($CD91),$CD91&gt;='Technical Premium'!$C$17),"Composite factor at cap. ","")&amp;IF(AND(ISNUMBER($CD91),$CD91&gt;2.5),"Composite factor above 2.50. ","")&amp;IF(LEFT(IFERROR(INDEX('Driver Factors'!$D$6:$D$15,MATCH($R91,'Driver Factors'!$B$6:$B$15,0)),""),7)="DECLINE","DECLINE - driver age. ",IF(LEFT(IFERROR(INDEX('Driver Factors'!$D$6:$D$15,MATCH($R91,'Driver Factors'!$B$6:$B$15,0)),""),5)="Refer","Driver age band. ",""))&amp;IF(LEFT(IFERROR(INDEX('Driver Factors'!$D$28:$D$36,MATCH($T91,'Driver Factors'!$B$28:$B$36,0)),""),7)="DECLINE","DECLINE - MVR. ",IF(LEFT(IFERROR(INDEX('Driver Factors'!$D$28:$D$36,MATCH($T91,'Driver Factors'!$B$28:$B$36,0)),""),5)="Refer","MVR record. ",""))&amp;IF(LEFT(IFERROR(INDEX('Claims History'!$D$6:$D$15,MATCH($U91,'Claims History'!$B$6:$B$15,0)),""),7)="DECLINE","DECLINE - claims. ",IF(LEFT(IFERROR(INDEX('Claims History'!$D$6:$D$15,MATCH($U91,'Claims History'!$B$6:$B$15,0)),""),5)="Refer","Claims history. ",""))&amp;IF(LEFT(IFERROR(INDEX('Usage and Coverage'!$E$6:$E$20,MATCH($N91,'Usage and Coverage'!$C$6:$C$20,0)),""),7)="DECLINE","DECLINE - usage class. ",IF(LEFT(IFERROR(INDEX('Usage and Coverage'!$E$6:$E$20,MATCH($N91,'Usage and Coverage'!$C$6:$C$20,0)),""),5)="Refer","Usage class. ",""))&amp;IF($CX91="CHECK INPUTS","Incomplete inputs. ",""))))</f>
        <v/>
      </c>
      <c r="DB91" s="92"/>
      <c r="DC91" s="92"/>
      <c r="DD91" s="93"/>
      <c r="DE91" s="92"/>
      <c r="DF91" s="92"/>
      <c r="DG91" s="97" t="str">
        <f t="shared" si="25"/>
        <v/>
      </c>
      <c r="DH91" s="97" t="str">
        <f>IF($A91="","",IF(OR($CX91="REFER",$CX91="DECLINE"),COUNTIF($CX$5:$CX91,"REFER")+COUNTIF($CX$5:$CX91,"DECLINE"),""))</f>
        <v/>
      </c>
      <c r="DI91" s="92"/>
    </row>
    <row r="92" spans="1:113" x14ac:dyDescent="0.25">
      <c r="A92" s="92"/>
      <c r="B92" s="92"/>
      <c r="C92" s="93"/>
      <c r="D92" s="93"/>
      <c r="E92" s="94"/>
      <c r="F92" s="92"/>
      <c r="G92" s="92"/>
      <c r="H92" s="92"/>
      <c r="I92" s="92"/>
      <c r="J92" s="95"/>
      <c r="K92" s="92"/>
      <c r="L92" s="92"/>
      <c r="M92" s="92"/>
      <c r="N92" s="92"/>
      <c r="O92" s="92"/>
      <c r="P92" s="92"/>
      <c r="Q92" s="92"/>
      <c r="R92" s="92"/>
      <c r="S92" s="92"/>
      <c r="T92" s="92"/>
      <c r="U92" s="92"/>
      <c r="V92" s="92"/>
      <c r="W92" s="92"/>
      <c r="X92" s="92"/>
      <c r="Y92" s="92"/>
      <c r="Z92" s="92"/>
      <c r="AA92" s="92"/>
      <c r="AB92" s="92"/>
      <c r="AC92" s="92"/>
      <c r="AD92" s="92"/>
      <c r="AE92" s="92"/>
      <c r="AF92" s="92"/>
      <c r="AG92" s="92"/>
      <c r="AH92" s="92"/>
      <c r="AI92" s="92"/>
      <c r="AJ92" s="92"/>
      <c r="AK92" s="92"/>
      <c r="AL92" s="92"/>
      <c r="AM92" s="92"/>
      <c r="AN92" s="92"/>
      <c r="AO92" s="92"/>
      <c r="AP92" s="92"/>
      <c r="AQ92" s="96"/>
      <c r="AR92" s="97" t="str">
        <f t="shared" si="13"/>
        <v/>
      </c>
      <c r="AS92" s="97" t="str">
        <f>IF($A92="","",IF($AP92&lt;&gt;"",$AP92,IFERROR(INDEX('Cat Zone by ZIP'!$D$6:$D$856,MATCH($AR92,'Cat Zone by ZIP'!$B$6:$B$856,0)),IFERROR(INDEX('Cat Zone by ZIP'!$C$860:$C$910,MATCH($K92,'Cat Zone by ZIP'!$B$860:$B$910,0)),"NOT FOUND"))))</f>
        <v/>
      </c>
      <c r="AT92" s="97" t="str">
        <f>IF($A92="","",IF($AP92&lt;&gt;"","Override",IF(ISNUMBER(MATCH($AR92,'Cat Zone by ZIP'!$B$6:$B$856,0)),"ZIP-3","State default")))</f>
        <v/>
      </c>
      <c r="AU92" s="98" t="str">
        <f>IF($A92="","",IFERROR(INDEX('Natural Catastrophe'!$D$6:$D$17,MATCH($AS92,'Natural Catastrophe'!$B$6:$B$17,0)),"?"))</f>
        <v/>
      </c>
      <c r="AV92" s="98" t="str">
        <f>IF($A92="","",IFERROR(INDEX('Natural Catastrophe'!$C$21:$C$26,MATCH($AA92,'Natural Catastrophe'!$B$21:$B$26,0)),"?"))</f>
        <v/>
      </c>
      <c r="AW92" s="97" t="str">
        <f>IF($A92="","",IFERROR(INDEX('Base Rates'!$C$4:$I$4,MATCH(MAX($J92,'Technical Premium'!$C$18),'Base Rates'!$C$3:$I$3,1)),"?"))</f>
        <v/>
      </c>
      <c r="AX92" s="99" t="str">
        <f>IF($A92="","",IFERROR(INDEX('Base Rates'!$C$5:$I$16,MATCH($I92,'Base Rates'!$B$5:$B$16,0),MATCH(MAX($J92,'Technical Premium'!$C$18),'Base Rates'!$C$3:$I$3,1)),"?"))</f>
        <v/>
      </c>
      <c r="AY92" s="100" t="str">
        <f t="shared" si="14"/>
        <v/>
      </c>
      <c r="AZ92" s="97" t="str">
        <f>IF($A92="","",IFERROR(INDEX('Make Factors'!$G$5:$G$69,MATCH($F92,'Make Factors'!$B$5:$B$69,0)),"?"))</f>
        <v/>
      </c>
      <c r="BA92" s="97" t="str">
        <f>IF($A92="","",IFERROR(INDEX('Driver Factors'!$C$6:$C$15,MATCH($R92,'Driver Factors'!$B$6:$B$15,0)),"?"))</f>
        <v/>
      </c>
      <c r="BB92" s="97" t="str">
        <f>IF($A92="","",IFERROR(INDEX('Driver Factors'!$C$19:$C$24,MATCH($S92,'Driver Factors'!$B$19:$B$24,0)),"?"))</f>
        <v/>
      </c>
      <c r="BC92" s="97" t="str">
        <f>IF($A92="","",IFERROR(INDEX('Driver Factors'!$C$28:$C$36,MATCH($T92,'Driver Factors'!$B$28:$B$36,0)),"?"))</f>
        <v/>
      </c>
      <c r="BD92" s="97" t="str">
        <f>IF($A92="","",IFERROR(INDEX('Claims History'!$C$6:$C$15,MATCH($U92,'Claims History'!$B$6:$B$15,0)),"?"))</f>
        <v/>
      </c>
      <c r="BE92" s="97" t="str">
        <f>IF($A92="","",IFERROR(INDEX('Territory Factors'!$E$6:$E$56,MATCH($K92,'Territory Factors'!$B$6:$B$56,0)),"?"))</f>
        <v/>
      </c>
      <c r="BF92" s="97" t="str">
        <f>IF($A92="","",IFERROR(INDEX('City Accident Ratings'!$G$6:$G$54,MATCH($Z92,'City Accident Ratings'!$B$6:$B$54,0)),"?"))</f>
        <v/>
      </c>
      <c r="BG92" s="97" t="str">
        <f>IF($A92="","",IFERROR(INDEX('Usage and Coverage'!$D$6:$D$20,MATCH($N92,'Usage and Coverage'!$C$6:$C$20,0)),"?"))</f>
        <v/>
      </c>
      <c r="BH92" s="97" t="str">
        <f>IF($A92="","",IFERROR(INDEX('Usage and Coverage'!$C$24:$C$30,MATCH($O92,'Usage and Coverage'!$B$24:$B$30,0)),"?"))</f>
        <v/>
      </c>
      <c r="BI92" s="97" t="str">
        <f>IF($A92="","",IFERROR(INDEX('Usage and Coverage'!$C$34:$C$40,MATCH($P92,'Usage and Coverage'!$B$34:$B$40,0)),"?"))</f>
        <v/>
      </c>
      <c r="BJ92" s="97" t="str">
        <f>IF($A92="","",IFERROR(INDEX('Usage and Coverage'!$C$44:$C$49,MATCH($Q92,'Usage and Coverage'!$B$44:$B$49,0)),"?"))</f>
        <v/>
      </c>
      <c r="BK92" s="97" t="str">
        <f>IF($A92="","",IFERROR(INDEX(Deductibles!$C$6:$I$15,MATCH($W92,Deductibles!$B$6:$B$15,0),MATCH(MAX($J92,'Technical Premium'!$C$18),'Base Rates'!$C$3:$I$3,1)),"?"))</f>
        <v/>
      </c>
      <c r="BL92" s="97" t="str">
        <f>IF($A92="","",IFERROR(INDEX('Usage and Coverage'!$C$63:$C$66,MATCH($X92,'Usage and Coverage'!$B$63:$B$66,0)),"?"))</f>
        <v/>
      </c>
      <c r="BM92" s="97" t="str">
        <f>IF($A92="","",IFERROR(INDEX('Usage and Coverage'!$C$70:$C$75,MATCH($V92,'Usage and Coverage'!$B$70:$B$75,0)),"?"))</f>
        <v/>
      </c>
      <c r="BN92" s="97" t="str">
        <f>IF($A92="","",IF($AB92="",1,IFERROR(INDEX(Deductibles!$C$48:$C$51,MATCH($AB92,Deductibles!$B$48:$B$51,0)),"?")))</f>
        <v/>
      </c>
      <c r="BO92" s="97" t="str">
        <f>IF($A92="","",IF($AC92="",1,IFERROR(INDEX(Deductibles!$C$55:$C$57,MATCH($AC92,Deductibles!$B$55:$B$57,0)),"?")))</f>
        <v/>
      </c>
      <c r="BP92" s="97" t="str">
        <f>IF($A92="","",IF($AD92="",1,IFERROR(INDEX(Deductibles!$C$61:$C$63,MATCH($AD92,Deductibles!$B$61:$B$63,0)),"?")))</f>
        <v/>
      </c>
      <c r="BQ92" s="97" t="str">
        <f>IF($A92="","",IF($AE92="",1,IFERROR(INDEX(Deductibles!$C$67:$C$69,MATCH($AE92,Deductibles!$B$67:$B$69,0)),"?")))</f>
        <v/>
      </c>
      <c r="BR92" s="97" t="str">
        <f>IF($A92="","",IF($AF92="",1,IFERROR(INDEX(Deductibles!$C$73:$C$74,MATCH($AF92,Deductibles!$B$73:$B$74,0)),"?")))</f>
        <v/>
      </c>
      <c r="BS92" s="97" t="str">
        <f>IF($A92="","",IF($AG92="",1,IFERROR(INDEX('Sublimits and Parts'!$C$49:$C$52,MATCH($AG92,'Sublimits and Parts'!$B$49:$B$52,0)),"?")))</f>
        <v/>
      </c>
      <c r="BT92" s="97" t="str">
        <f>IF($A92="","",IF($AH92="",1,IFERROR(INDEX('Sublimits and Parts'!$C$56:$C$60,MATCH($AH92,'Sublimits and Parts'!$B$56:$B$60,0)),"?")))</f>
        <v/>
      </c>
      <c r="BU92" s="97" t="str">
        <f>IF($A92="","",IF($AI92="",1,IFERROR(INDEX('Sublimits and Parts'!$C$64:$C$67,MATCH($AI92,'Sublimits and Parts'!$B$64:$B$67,0)),"?")))</f>
        <v/>
      </c>
      <c r="BV92" s="97" t="str">
        <f>IF($A92="","",IF($AJ92="",1,IFERROR(INDEX('Sublimits and Parts'!$C$71:$C$74,MATCH($AJ92,'Sublimits and Parts'!$B$71:$B$74,0)),"?")))</f>
        <v/>
      </c>
      <c r="BW92" s="97" t="str">
        <f>IF($A92="","",IF($AK92="",1,IFERROR(INDEX('Sublimits and Parts'!$C$78:$C$80,MATCH($AK92,'Sublimits and Parts'!$B$78:$B$80,0)),"?")))</f>
        <v/>
      </c>
      <c r="BX92" s="97" t="str">
        <f>IF($A92="","",IF($AL92="",1,IFERROR(INDEX('Sublimits and Parts'!$C$84:$C$87,MATCH($AL92,'Sublimits and Parts'!$B$84:$B$87,0)),"?")))</f>
        <v/>
      </c>
      <c r="BY92" s="97" t="str">
        <f>IF($A92="","",IF($AM92="",1,IFERROR(INDEX('Sublimits and Parts'!$C$91:$C$94,MATCH($AM92,'Sublimits and Parts'!$B$91:$B$94,0)),"?")))</f>
        <v/>
      </c>
      <c r="BZ92" s="97" t="str">
        <f>IF($A92="","",IF($AN92="",1,IFERROR(INDEX('Sublimits and Parts'!$C$98:$C$101,MATCH($AN92,'Sublimits and Parts'!$B$98:$B$101,0)),"?")))</f>
        <v/>
      </c>
      <c r="CA92" s="97" t="str">
        <f>IF($A92="","",IF($AO92="",1,IFERROR(INDEX('Sublimits and Parts'!$C$105:$C$109,MATCH($AO92,'Sublimits and Parts'!$B$105:$B$109,0)),"?")))</f>
        <v/>
      </c>
      <c r="CB92" s="98" t="str">
        <f t="shared" si="15"/>
        <v/>
      </c>
      <c r="CC92" s="98" t="str">
        <f t="shared" si="16"/>
        <v/>
      </c>
      <c r="CD92" s="101" t="str">
        <f>IF($A92="","",IF(OR($CB92="?",$CC92="?"),"?",MIN($CB92*$CC92,'Technical Premium'!$C$17)))</f>
        <v/>
      </c>
      <c r="CE92" s="100" t="str">
        <f t="shared" si="17"/>
        <v/>
      </c>
      <c r="CF92" s="100" t="str">
        <f>IF($A92="","",IFERROR(INDEX('Territory Factors'!$F$6:$F$56,MATCH($K92,'Territory Factors'!$B$6:$B$56,0)),"?"))</f>
        <v/>
      </c>
      <c r="CG92" s="98" t="str">
        <f>IF($A92="","",IFERROR(INDEX('Usage and Coverage'!$C$79:$C$84,MATCH($Y92,'Usage and Coverage'!$B$79:$B$84,0)),"?"))</f>
        <v/>
      </c>
      <c r="CH92" s="100" t="str">
        <f>IFERROR(IF(ISNUMBER($CD92),$CF92*$CG92*MIN($BG92*$BA92*$BC92*$BD92*$BH92*$BF92,'Technical Premium'!$C$17),""),"")</f>
        <v/>
      </c>
      <c r="CI92" s="100" t="str">
        <f t="shared" si="18"/>
        <v/>
      </c>
      <c r="CJ92" s="100" t="str">
        <f>IFERROR($CI92*(1+'Technical Premium'!$C$5)*(1+'Technical Premium'!$C$6),"")</f>
        <v/>
      </c>
      <c r="CK92" s="100" t="str">
        <f>IFERROR($CE92*INDEX('Territory Factors'!$G$6:$G$56,MATCH($K92,'Territory Factors'!$B$6:$B$56,0))*$AU92*$AV92,"")</f>
        <v/>
      </c>
      <c r="CL92" s="100" t="str">
        <f>IFERROR(($CJ92+$CK92)*(1+'Technical Premium'!$C$7),"")</f>
        <v/>
      </c>
      <c r="CM92" s="102" t="str">
        <f>IFERROR($CL92/'Technical Premium'!$C$13,"")</f>
        <v/>
      </c>
      <c r="CN92" s="103" t="str">
        <f t="shared" si="19"/>
        <v/>
      </c>
      <c r="CO92" s="102" t="str">
        <f t="shared" si="20"/>
        <v/>
      </c>
      <c r="CP92" s="103" t="str">
        <f t="shared" si="21"/>
        <v/>
      </c>
      <c r="CQ92" s="104" t="str">
        <f t="shared" si="22"/>
        <v/>
      </c>
      <c r="CR92" s="100" t="str">
        <f>IF(ISNUMBER($CM92),'Technical Premium'!$C$14+IF($J92&gt;=1000000,'Technical Premium'!$C$15,0),"")</f>
        <v/>
      </c>
      <c r="CS92" s="100" t="str">
        <f>IFERROR(($CO92+$CR92)*(INDEX('Territory Factors'!$K$6:$K$56,MATCH($K92,'Territory Factors'!$B$6:$B$56,0))+'Commission Structure'!$C$21),"")</f>
        <v/>
      </c>
      <c r="CT92" s="102" t="str">
        <f t="shared" si="23"/>
        <v/>
      </c>
      <c r="CU92" s="100" t="str">
        <f>IFERROR($CO92*('Commission Structure'!$C$6+'Commission Structure'!$C$7),"")</f>
        <v/>
      </c>
      <c r="CV92" s="100" t="str">
        <f>IFERROR($CO92*'Commission Structure'!$C$5-$CU92,"")</f>
        <v/>
      </c>
      <c r="CW92" s="100" t="str">
        <f>IFERROR($CO92*(1-'Commission Structure'!$C$5),"")</f>
        <v/>
      </c>
      <c r="CX92" s="105" t="str">
        <f>IF($A92="","",IF(OR($CB92="?",$CC92="?",NOT(ISNUMBER($AU92))),"CHECK INPUTS",IF(OR($J92&lt;'Technical Premium'!$C$18,LEFT(IFERROR(INDEX('Driver Factors'!$D$6:$D$15,MATCH($R92,'Driver Factors'!$B$6:$B$15,0)),""),7)="DECLINE",LEFT(IFERROR(INDEX('Driver Factors'!$D$28:$D$36,MATCH($T92,'Driver Factors'!$B$28:$B$36,0)),""),7)="DECLINE",LEFT(IFERROR(INDEX('Claims History'!$D$6:$D$15,MATCH($U92,'Claims History'!$B$6:$B$15,0)),""),7)="DECLINE",LEFT(IFERROR(INDEX('Usage and Coverage'!$E$6:$E$20,MATCH($N92,'Usage and Coverage'!$C$6:$C$20,0)),""),7)="DECLINE"),"DECLINE",IF(OR($CD92&gt;2.5,$CD92&gt;='Technical Premium'!$C$17,$J92&gt;='Technical Premium'!$C$16,N($AQ92)&lt;'Technical Premium'!$C$19,N($AQ92)&gt;'Technical Premium'!$C$20,LEFT(IFERROR(INDEX('Driver Factors'!$D$6:$D$15,MATCH($R92,'Driver Factors'!$B$6:$B$15,0)),""),5)="Refer",LEFT(IFERROR(INDEX('Driver Factors'!$D$28:$D$36,MATCH($T92,'Driver Factors'!$B$28:$B$36,0)),""),5)="Refer",LEFT(IFERROR(INDEX('Claims History'!$D$6:$D$15,MATCH($U92,'Claims History'!$B$6:$B$15,0)),""),5)="Refer",LEFT(IFERROR(INDEX('Usage and Coverage'!$E$6:$E$20,MATCH($N92,'Usage and Coverage'!$C$6:$C$20,0)),""),5)="Refer"),"REFER","AUTO-BIND"))))</f>
        <v/>
      </c>
      <c r="CY92" s="106" t="str">
        <f t="shared" si="24"/>
        <v/>
      </c>
      <c r="CZ92" s="97" t="str">
        <f>IF($CY92="","",IF($CY92&lt;'Technical Premium'!$C$19,"BEYOND AUTHORITY",IF($CY92&gt;0.005,"Above technical",IF($CY92&lt;-0.005,"BELOW technical","At technical"))))</f>
        <v/>
      </c>
      <c r="DA92" s="97" t="str">
        <f>IF($A92="","",IF($CX92="AUTO-BIND","",TRIM(IF($J92&lt;'Technical Premium'!$C$18,"Below programme minimum agreed value. ","")&amp;IF(N($AQ92)&lt;'Technical Premium'!$C$19,"DISCOUNT AUTHORITY BREACH. ","")&amp;IF(N($AQ92)&gt;'Technical Premium'!$C$20,"Load authority breach. ","")&amp;IF($J92&gt;='Technical Premium'!$C$16,"Agreed value at or above auto-bind limit. ","")&amp;IF(AND(ISNUMBER($CD92),$CD92&gt;='Technical Premium'!$C$17),"Composite factor at cap. ","")&amp;IF(AND(ISNUMBER($CD92),$CD92&gt;2.5),"Composite factor above 2.50. ","")&amp;IF(LEFT(IFERROR(INDEX('Driver Factors'!$D$6:$D$15,MATCH($R92,'Driver Factors'!$B$6:$B$15,0)),""),7)="DECLINE","DECLINE - driver age. ",IF(LEFT(IFERROR(INDEX('Driver Factors'!$D$6:$D$15,MATCH($R92,'Driver Factors'!$B$6:$B$15,0)),""),5)="Refer","Driver age band. ",""))&amp;IF(LEFT(IFERROR(INDEX('Driver Factors'!$D$28:$D$36,MATCH($T92,'Driver Factors'!$B$28:$B$36,0)),""),7)="DECLINE","DECLINE - MVR. ",IF(LEFT(IFERROR(INDEX('Driver Factors'!$D$28:$D$36,MATCH($T92,'Driver Factors'!$B$28:$B$36,0)),""),5)="Refer","MVR record. ",""))&amp;IF(LEFT(IFERROR(INDEX('Claims History'!$D$6:$D$15,MATCH($U92,'Claims History'!$B$6:$B$15,0)),""),7)="DECLINE","DECLINE - claims. ",IF(LEFT(IFERROR(INDEX('Claims History'!$D$6:$D$15,MATCH($U92,'Claims History'!$B$6:$B$15,0)),""),5)="Refer","Claims history. ",""))&amp;IF(LEFT(IFERROR(INDEX('Usage and Coverage'!$E$6:$E$20,MATCH($N92,'Usage and Coverage'!$C$6:$C$20,0)),""),7)="DECLINE","DECLINE - usage class. ",IF(LEFT(IFERROR(INDEX('Usage and Coverage'!$E$6:$E$20,MATCH($N92,'Usage and Coverage'!$C$6:$C$20,0)),""),5)="Refer","Usage class. ",""))&amp;IF($CX92="CHECK INPUTS","Incomplete inputs. ",""))))</f>
        <v/>
      </c>
      <c r="DB92" s="92"/>
      <c r="DC92" s="92"/>
      <c r="DD92" s="93"/>
      <c r="DE92" s="92"/>
      <c r="DF92" s="92"/>
      <c r="DG92" s="97" t="str">
        <f t="shared" si="25"/>
        <v/>
      </c>
      <c r="DH92" s="97" t="str">
        <f>IF($A92="","",IF(OR($CX92="REFER",$CX92="DECLINE"),COUNTIF($CX$5:$CX92,"REFER")+COUNTIF($CX$5:$CX92,"DECLINE"),""))</f>
        <v/>
      </c>
      <c r="DI92" s="92"/>
    </row>
    <row r="93" spans="1:113" x14ac:dyDescent="0.25">
      <c r="A93" s="92"/>
      <c r="B93" s="92"/>
      <c r="C93" s="93"/>
      <c r="D93" s="93"/>
      <c r="E93" s="94"/>
      <c r="F93" s="92"/>
      <c r="G93" s="92"/>
      <c r="H93" s="92"/>
      <c r="I93" s="92"/>
      <c r="J93" s="95"/>
      <c r="K93" s="92"/>
      <c r="L93" s="92"/>
      <c r="M93" s="92"/>
      <c r="N93" s="92"/>
      <c r="O93" s="92"/>
      <c r="P93" s="92"/>
      <c r="Q93" s="92"/>
      <c r="R93" s="92"/>
      <c r="S93" s="92"/>
      <c r="T93" s="92"/>
      <c r="U93" s="92"/>
      <c r="V93" s="92"/>
      <c r="W93" s="92"/>
      <c r="X93" s="92"/>
      <c r="Y93" s="92"/>
      <c r="Z93" s="92"/>
      <c r="AA93" s="92"/>
      <c r="AB93" s="92"/>
      <c r="AC93" s="92"/>
      <c r="AD93" s="92"/>
      <c r="AE93" s="92"/>
      <c r="AF93" s="92"/>
      <c r="AG93" s="92"/>
      <c r="AH93" s="92"/>
      <c r="AI93" s="92"/>
      <c r="AJ93" s="92"/>
      <c r="AK93" s="92"/>
      <c r="AL93" s="92"/>
      <c r="AM93" s="92"/>
      <c r="AN93" s="92"/>
      <c r="AO93" s="92"/>
      <c r="AP93" s="92"/>
      <c r="AQ93" s="96"/>
      <c r="AR93" s="97" t="str">
        <f t="shared" si="13"/>
        <v/>
      </c>
      <c r="AS93" s="97" t="str">
        <f>IF($A93="","",IF($AP93&lt;&gt;"",$AP93,IFERROR(INDEX('Cat Zone by ZIP'!$D$6:$D$856,MATCH($AR93,'Cat Zone by ZIP'!$B$6:$B$856,0)),IFERROR(INDEX('Cat Zone by ZIP'!$C$860:$C$910,MATCH($K93,'Cat Zone by ZIP'!$B$860:$B$910,0)),"NOT FOUND"))))</f>
        <v/>
      </c>
      <c r="AT93" s="97" t="str">
        <f>IF($A93="","",IF($AP93&lt;&gt;"","Override",IF(ISNUMBER(MATCH($AR93,'Cat Zone by ZIP'!$B$6:$B$856,0)),"ZIP-3","State default")))</f>
        <v/>
      </c>
      <c r="AU93" s="98" t="str">
        <f>IF($A93="","",IFERROR(INDEX('Natural Catastrophe'!$D$6:$D$17,MATCH($AS93,'Natural Catastrophe'!$B$6:$B$17,0)),"?"))</f>
        <v/>
      </c>
      <c r="AV93" s="98" t="str">
        <f>IF($A93="","",IFERROR(INDEX('Natural Catastrophe'!$C$21:$C$26,MATCH($AA93,'Natural Catastrophe'!$B$21:$B$26,0)),"?"))</f>
        <v/>
      </c>
      <c r="AW93" s="97" t="str">
        <f>IF($A93="","",IFERROR(INDEX('Base Rates'!$C$4:$I$4,MATCH(MAX($J93,'Technical Premium'!$C$18),'Base Rates'!$C$3:$I$3,1)),"?"))</f>
        <v/>
      </c>
      <c r="AX93" s="99" t="str">
        <f>IF($A93="","",IFERROR(INDEX('Base Rates'!$C$5:$I$16,MATCH($I93,'Base Rates'!$B$5:$B$16,0),MATCH(MAX($J93,'Technical Premium'!$C$18),'Base Rates'!$C$3:$I$3,1)),"?"))</f>
        <v/>
      </c>
      <c r="AY93" s="100" t="str">
        <f t="shared" si="14"/>
        <v/>
      </c>
      <c r="AZ93" s="97" t="str">
        <f>IF($A93="","",IFERROR(INDEX('Make Factors'!$G$5:$G$69,MATCH($F93,'Make Factors'!$B$5:$B$69,0)),"?"))</f>
        <v/>
      </c>
      <c r="BA93" s="97" t="str">
        <f>IF($A93="","",IFERROR(INDEX('Driver Factors'!$C$6:$C$15,MATCH($R93,'Driver Factors'!$B$6:$B$15,0)),"?"))</f>
        <v/>
      </c>
      <c r="BB93" s="97" t="str">
        <f>IF($A93="","",IFERROR(INDEX('Driver Factors'!$C$19:$C$24,MATCH($S93,'Driver Factors'!$B$19:$B$24,0)),"?"))</f>
        <v/>
      </c>
      <c r="BC93" s="97" t="str">
        <f>IF($A93="","",IFERROR(INDEX('Driver Factors'!$C$28:$C$36,MATCH($T93,'Driver Factors'!$B$28:$B$36,0)),"?"))</f>
        <v/>
      </c>
      <c r="BD93" s="97" t="str">
        <f>IF($A93="","",IFERROR(INDEX('Claims History'!$C$6:$C$15,MATCH($U93,'Claims History'!$B$6:$B$15,0)),"?"))</f>
        <v/>
      </c>
      <c r="BE93" s="97" t="str">
        <f>IF($A93="","",IFERROR(INDEX('Territory Factors'!$E$6:$E$56,MATCH($K93,'Territory Factors'!$B$6:$B$56,0)),"?"))</f>
        <v/>
      </c>
      <c r="BF93" s="97" t="str">
        <f>IF($A93="","",IFERROR(INDEX('City Accident Ratings'!$G$6:$G$54,MATCH($Z93,'City Accident Ratings'!$B$6:$B$54,0)),"?"))</f>
        <v/>
      </c>
      <c r="BG93" s="97" t="str">
        <f>IF($A93="","",IFERROR(INDEX('Usage and Coverage'!$D$6:$D$20,MATCH($N93,'Usage and Coverage'!$C$6:$C$20,0)),"?"))</f>
        <v/>
      </c>
      <c r="BH93" s="97" t="str">
        <f>IF($A93="","",IFERROR(INDEX('Usage and Coverage'!$C$24:$C$30,MATCH($O93,'Usage and Coverage'!$B$24:$B$30,0)),"?"))</f>
        <v/>
      </c>
      <c r="BI93" s="97" t="str">
        <f>IF($A93="","",IFERROR(INDEX('Usage and Coverage'!$C$34:$C$40,MATCH($P93,'Usage and Coverage'!$B$34:$B$40,0)),"?"))</f>
        <v/>
      </c>
      <c r="BJ93" s="97" t="str">
        <f>IF($A93="","",IFERROR(INDEX('Usage and Coverage'!$C$44:$C$49,MATCH($Q93,'Usage and Coverage'!$B$44:$B$49,0)),"?"))</f>
        <v/>
      </c>
      <c r="BK93" s="97" t="str">
        <f>IF($A93="","",IFERROR(INDEX(Deductibles!$C$6:$I$15,MATCH($W93,Deductibles!$B$6:$B$15,0),MATCH(MAX($J93,'Technical Premium'!$C$18),'Base Rates'!$C$3:$I$3,1)),"?"))</f>
        <v/>
      </c>
      <c r="BL93" s="97" t="str">
        <f>IF($A93="","",IFERROR(INDEX('Usage and Coverage'!$C$63:$C$66,MATCH($X93,'Usage and Coverage'!$B$63:$B$66,0)),"?"))</f>
        <v/>
      </c>
      <c r="BM93" s="97" t="str">
        <f>IF($A93="","",IFERROR(INDEX('Usage and Coverage'!$C$70:$C$75,MATCH($V93,'Usage and Coverage'!$B$70:$B$75,0)),"?"))</f>
        <v/>
      </c>
      <c r="BN93" s="97" t="str">
        <f>IF($A93="","",IF($AB93="",1,IFERROR(INDEX(Deductibles!$C$48:$C$51,MATCH($AB93,Deductibles!$B$48:$B$51,0)),"?")))</f>
        <v/>
      </c>
      <c r="BO93" s="97" t="str">
        <f>IF($A93="","",IF($AC93="",1,IFERROR(INDEX(Deductibles!$C$55:$C$57,MATCH($AC93,Deductibles!$B$55:$B$57,0)),"?")))</f>
        <v/>
      </c>
      <c r="BP93" s="97" t="str">
        <f>IF($A93="","",IF($AD93="",1,IFERROR(INDEX(Deductibles!$C$61:$C$63,MATCH($AD93,Deductibles!$B$61:$B$63,0)),"?")))</f>
        <v/>
      </c>
      <c r="BQ93" s="97" t="str">
        <f>IF($A93="","",IF($AE93="",1,IFERROR(INDEX(Deductibles!$C$67:$C$69,MATCH($AE93,Deductibles!$B$67:$B$69,0)),"?")))</f>
        <v/>
      </c>
      <c r="BR93" s="97" t="str">
        <f>IF($A93="","",IF($AF93="",1,IFERROR(INDEX(Deductibles!$C$73:$C$74,MATCH($AF93,Deductibles!$B$73:$B$74,0)),"?")))</f>
        <v/>
      </c>
      <c r="BS93" s="97" t="str">
        <f>IF($A93="","",IF($AG93="",1,IFERROR(INDEX('Sublimits and Parts'!$C$49:$C$52,MATCH($AG93,'Sublimits and Parts'!$B$49:$B$52,0)),"?")))</f>
        <v/>
      </c>
      <c r="BT93" s="97" t="str">
        <f>IF($A93="","",IF($AH93="",1,IFERROR(INDEX('Sublimits and Parts'!$C$56:$C$60,MATCH($AH93,'Sublimits and Parts'!$B$56:$B$60,0)),"?")))</f>
        <v/>
      </c>
      <c r="BU93" s="97" t="str">
        <f>IF($A93="","",IF($AI93="",1,IFERROR(INDEX('Sublimits and Parts'!$C$64:$C$67,MATCH($AI93,'Sublimits and Parts'!$B$64:$B$67,0)),"?")))</f>
        <v/>
      </c>
      <c r="BV93" s="97" t="str">
        <f>IF($A93="","",IF($AJ93="",1,IFERROR(INDEX('Sublimits and Parts'!$C$71:$C$74,MATCH($AJ93,'Sublimits and Parts'!$B$71:$B$74,0)),"?")))</f>
        <v/>
      </c>
      <c r="BW93" s="97" t="str">
        <f>IF($A93="","",IF($AK93="",1,IFERROR(INDEX('Sublimits and Parts'!$C$78:$C$80,MATCH($AK93,'Sublimits and Parts'!$B$78:$B$80,0)),"?")))</f>
        <v/>
      </c>
      <c r="BX93" s="97" t="str">
        <f>IF($A93="","",IF($AL93="",1,IFERROR(INDEX('Sublimits and Parts'!$C$84:$C$87,MATCH($AL93,'Sublimits and Parts'!$B$84:$B$87,0)),"?")))</f>
        <v/>
      </c>
      <c r="BY93" s="97" t="str">
        <f>IF($A93="","",IF($AM93="",1,IFERROR(INDEX('Sublimits and Parts'!$C$91:$C$94,MATCH($AM93,'Sublimits and Parts'!$B$91:$B$94,0)),"?")))</f>
        <v/>
      </c>
      <c r="BZ93" s="97" t="str">
        <f>IF($A93="","",IF($AN93="",1,IFERROR(INDEX('Sublimits and Parts'!$C$98:$C$101,MATCH($AN93,'Sublimits and Parts'!$B$98:$B$101,0)),"?")))</f>
        <v/>
      </c>
      <c r="CA93" s="97" t="str">
        <f>IF($A93="","",IF($AO93="",1,IFERROR(INDEX('Sublimits and Parts'!$C$105:$C$109,MATCH($AO93,'Sublimits and Parts'!$B$105:$B$109,0)),"?")))</f>
        <v/>
      </c>
      <c r="CB93" s="98" t="str">
        <f t="shared" si="15"/>
        <v/>
      </c>
      <c r="CC93" s="98" t="str">
        <f t="shared" si="16"/>
        <v/>
      </c>
      <c r="CD93" s="101" t="str">
        <f>IF($A93="","",IF(OR($CB93="?",$CC93="?"),"?",MIN($CB93*$CC93,'Technical Premium'!$C$17)))</f>
        <v/>
      </c>
      <c r="CE93" s="100" t="str">
        <f t="shared" si="17"/>
        <v/>
      </c>
      <c r="CF93" s="100" t="str">
        <f>IF($A93="","",IFERROR(INDEX('Territory Factors'!$F$6:$F$56,MATCH($K93,'Territory Factors'!$B$6:$B$56,0)),"?"))</f>
        <v/>
      </c>
      <c r="CG93" s="98" t="str">
        <f>IF($A93="","",IFERROR(INDEX('Usage and Coverage'!$C$79:$C$84,MATCH($Y93,'Usage and Coverage'!$B$79:$B$84,0)),"?"))</f>
        <v/>
      </c>
      <c r="CH93" s="100" t="str">
        <f>IFERROR(IF(ISNUMBER($CD93),$CF93*$CG93*MIN($BG93*$BA93*$BC93*$BD93*$BH93*$BF93,'Technical Premium'!$C$17),""),"")</f>
        <v/>
      </c>
      <c r="CI93" s="100" t="str">
        <f t="shared" si="18"/>
        <v/>
      </c>
      <c r="CJ93" s="100" t="str">
        <f>IFERROR($CI93*(1+'Technical Premium'!$C$5)*(1+'Technical Premium'!$C$6),"")</f>
        <v/>
      </c>
      <c r="CK93" s="100" t="str">
        <f>IFERROR($CE93*INDEX('Territory Factors'!$G$6:$G$56,MATCH($K93,'Territory Factors'!$B$6:$B$56,0))*$AU93*$AV93,"")</f>
        <v/>
      </c>
      <c r="CL93" s="100" t="str">
        <f>IFERROR(($CJ93+$CK93)*(1+'Technical Premium'!$C$7),"")</f>
        <v/>
      </c>
      <c r="CM93" s="102" t="str">
        <f>IFERROR($CL93/'Technical Premium'!$C$13,"")</f>
        <v/>
      </c>
      <c r="CN93" s="103" t="str">
        <f t="shared" si="19"/>
        <v/>
      </c>
      <c r="CO93" s="102" t="str">
        <f t="shared" si="20"/>
        <v/>
      </c>
      <c r="CP93" s="103" t="str">
        <f t="shared" si="21"/>
        <v/>
      </c>
      <c r="CQ93" s="104" t="str">
        <f t="shared" si="22"/>
        <v/>
      </c>
      <c r="CR93" s="100" t="str">
        <f>IF(ISNUMBER($CM93),'Technical Premium'!$C$14+IF($J93&gt;=1000000,'Technical Premium'!$C$15,0),"")</f>
        <v/>
      </c>
      <c r="CS93" s="100" t="str">
        <f>IFERROR(($CO93+$CR93)*(INDEX('Territory Factors'!$K$6:$K$56,MATCH($K93,'Territory Factors'!$B$6:$B$56,0))+'Commission Structure'!$C$21),"")</f>
        <v/>
      </c>
      <c r="CT93" s="102" t="str">
        <f t="shared" si="23"/>
        <v/>
      </c>
      <c r="CU93" s="100" t="str">
        <f>IFERROR($CO93*('Commission Structure'!$C$6+'Commission Structure'!$C$7),"")</f>
        <v/>
      </c>
      <c r="CV93" s="100" t="str">
        <f>IFERROR($CO93*'Commission Structure'!$C$5-$CU93,"")</f>
        <v/>
      </c>
      <c r="CW93" s="100" t="str">
        <f>IFERROR($CO93*(1-'Commission Structure'!$C$5),"")</f>
        <v/>
      </c>
      <c r="CX93" s="105" t="str">
        <f>IF($A93="","",IF(OR($CB93="?",$CC93="?",NOT(ISNUMBER($AU93))),"CHECK INPUTS",IF(OR($J93&lt;'Technical Premium'!$C$18,LEFT(IFERROR(INDEX('Driver Factors'!$D$6:$D$15,MATCH($R93,'Driver Factors'!$B$6:$B$15,0)),""),7)="DECLINE",LEFT(IFERROR(INDEX('Driver Factors'!$D$28:$D$36,MATCH($T93,'Driver Factors'!$B$28:$B$36,0)),""),7)="DECLINE",LEFT(IFERROR(INDEX('Claims History'!$D$6:$D$15,MATCH($U93,'Claims History'!$B$6:$B$15,0)),""),7)="DECLINE",LEFT(IFERROR(INDEX('Usage and Coverage'!$E$6:$E$20,MATCH($N93,'Usage and Coverage'!$C$6:$C$20,0)),""),7)="DECLINE"),"DECLINE",IF(OR($CD93&gt;2.5,$CD93&gt;='Technical Premium'!$C$17,$J93&gt;='Technical Premium'!$C$16,N($AQ93)&lt;'Technical Premium'!$C$19,N($AQ93)&gt;'Technical Premium'!$C$20,LEFT(IFERROR(INDEX('Driver Factors'!$D$6:$D$15,MATCH($R93,'Driver Factors'!$B$6:$B$15,0)),""),5)="Refer",LEFT(IFERROR(INDEX('Driver Factors'!$D$28:$D$36,MATCH($T93,'Driver Factors'!$B$28:$B$36,0)),""),5)="Refer",LEFT(IFERROR(INDEX('Claims History'!$D$6:$D$15,MATCH($U93,'Claims History'!$B$6:$B$15,0)),""),5)="Refer",LEFT(IFERROR(INDEX('Usage and Coverage'!$E$6:$E$20,MATCH($N93,'Usage and Coverage'!$C$6:$C$20,0)),""),5)="Refer"),"REFER","AUTO-BIND"))))</f>
        <v/>
      </c>
      <c r="CY93" s="106" t="str">
        <f t="shared" si="24"/>
        <v/>
      </c>
      <c r="CZ93" s="97" t="str">
        <f>IF($CY93="","",IF($CY93&lt;'Technical Premium'!$C$19,"BEYOND AUTHORITY",IF($CY93&gt;0.005,"Above technical",IF($CY93&lt;-0.005,"BELOW technical","At technical"))))</f>
        <v/>
      </c>
      <c r="DA93" s="97" t="str">
        <f>IF($A93="","",IF($CX93="AUTO-BIND","",TRIM(IF($J93&lt;'Technical Premium'!$C$18,"Below programme minimum agreed value. ","")&amp;IF(N($AQ93)&lt;'Technical Premium'!$C$19,"DISCOUNT AUTHORITY BREACH. ","")&amp;IF(N($AQ93)&gt;'Technical Premium'!$C$20,"Load authority breach. ","")&amp;IF($J93&gt;='Technical Premium'!$C$16,"Agreed value at or above auto-bind limit. ","")&amp;IF(AND(ISNUMBER($CD93),$CD93&gt;='Technical Premium'!$C$17),"Composite factor at cap. ","")&amp;IF(AND(ISNUMBER($CD93),$CD93&gt;2.5),"Composite factor above 2.50. ","")&amp;IF(LEFT(IFERROR(INDEX('Driver Factors'!$D$6:$D$15,MATCH($R93,'Driver Factors'!$B$6:$B$15,0)),""),7)="DECLINE","DECLINE - driver age. ",IF(LEFT(IFERROR(INDEX('Driver Factors'!$D$6:$D$15,MATCH($R93,'Driver Factors'!$B$6:$B$15,0)),""),5)="Refer","Driver age band. ",""))&amp;IF(LEFT(IFERROR(INDEX('Driver Factors'!$D$28:$D$36,MATCH($T93,'Driver Factors'!$B$28:$B$36,0)),""),7)="DECLINE","DECLINE - MVR. ",IF(LEFT(IFERROR(INDEX('Driver Factors'!$D$28:$D$36,MATCH($T93,'Driver Factors'!$B$28:$B$36,0)),""),5)="Refer","MVR record. ",""))&amp;IF(LEFT(IFERROR(INDEX('Claims History'!$D$6:$D$15,MATCH($U93,'Claims History'!$B$6:$B$15,0)),""),7)="DECLINE","DECLINE - claims. ",IF(LEFT(IFERROR(INDEX('Claims History'!$D$6:$D$15,MATCH($U93,'Claims History'!$B$6:$B$15,0)),""),5)="Refer","Claims history. ",""))&amp;IF(LEFT(IFERROR(INDEX('Usage and Coverage'!$E$6:$E$20,MATCH($N93,'Usage and Coverage'!$C$6:$C$20,0)),""),7)="DECLINE","DECLINE - usage class. ",IF(LEFT(IFERROR(INDEX('Usage and Coverage'!$E$6:$E$20,MATCH($N93,'Usage and Coverage'!$C$6:$C$20,0)),""),5)="Refer","Usage class. ",""))&amp;IF($CX93="CHECK INPUTS","Incomplete inputs. ",""))))</f>
        <v/>
      </c>
      <c r="DB93" s="92"/>
      <c r="DC93" s="92"/>
      <c r="DD93" s="93"/>
      <c r="DE93" s="92"/>
      <c r="DF93" s="92"/>
      <c r="DG93" s="97" t="str">
        <f t="shared" si="25"/>
        <v/>
      </c>
      <c r="DH93" s="97" t="str">
        <f>IF($A93="","",IF(OR($CX93="REFER",$CX93="DECLINE"),COUNTIF($CX$5:$CX93,"REFER")+COUNTIF($CX$5:$CX93,"DECLINE"),""))</f>
        <v/>
      </c>
      <c r="DI93" s="92"/>
    </row>
    <row r="94" spans="1:113" x14ac:dyDescent="0.25">
      <c r="A94" s="92"/>
      <c r="B94" s="92"/>
      <c r="C94" s="93"/>
      <c r="D94" s="93"/>
      <c r="E94" s="94"/>
      <c r="F94" s="92"/>
      <c r="G94" s="92"/>
      <c r="H94" s="92"/>
      <c r="I94" s="92"/>
      <c r="J94" s="95"/>
      <c r="K94" s="92"/>
      <c r="L94" s="92"/>
      <c r="M94" s="92"/>
      <c r="N94" s="92"/>
      <c r="O94" s="92"/>
      <c r="P94" s="92"/>
      <c r="Q94" s="92"/>
      <c r="R94" s="92"/>
      <c r="S94" s="92"/>
      <c r="T94" s="92"/>
      <c r="U94" s="92"/>
      <c r="V94" s="92"/>
      <c r="W94" s="92"/>
      <c r="X94" s="92"/>
      <c r="Y94" s="92"/>
      <c r="Z94" s="92"/>
      <c r="AA94" s="92"/>
      <c r="AB94" s="92"/>
      <c r="AC94" s="92"/>
      <c r="AD94" s="92"/>
      <c r="AE94" s="92"/>
      <c r="AF94" s="92"/>
      <c r="AG94" s="92"/>
      <c r="AH94" s="92"/>
      <c r="AI94" s="92"/>
      <c r="AJ94" s="92"/>
      <c r="AK94" s="92"/>
      <c r="AL94" s="92"/>
      <c r="AM94" s="92"/>
      <c r="AN94" s="92"/>
      <c r="AO94" s="92"/>
      <c r="AP94" s="92"/>
      <c r="AQ94" s="96"/>
      <c r="AR94" s="97" t="str">
        <f t="shared" si="13"/>
        <v/>
      </c>
      <c r="AS94" s="97" t="str">
        <f>IF($A94="","",IF($AP94&lt;&gt;"",$AP94,IFERROR(INDEX('Cat Zone by ZIP'!$D$6:$D$856,MATCH($AR94,'Cat Zone by ZIP'!$B$6:$B$856,0)),IFERROR(INDEX('Cat Zone by ZIP'!$C$860:$C$910,MATCH($K94,'Cat Zone by ZIP'!$B$860:$B$910,0)),"NOT FOUND"))))</f>
        <v/>
      </c>
      <c r="AT94" s="97" t="str">
        <f>IF($A94="","",IF($AP94&lt;&gt;"","Override",IF(ISNUMBER(MATCH($AR94,'Cat Zone by ZIP'!$B$6:$B$856,0)),"ZIP-3","State default")))</f>
        <v/>
      </c>
      <c r="AU94" s="98" t="str">
        <f>IF($A94="","",IFERROR(INDEX('Natural Catastrophe'!$D$6:$D$17,MATCH($AS94,'Natural Catastrophe'!$B$6:$B$17,0)),"?"))</f>
        <v/>
      </c>
      <c r="AV94" s="98" t="str">
        <f>IF($A94="","",IFERROR(INDEX('Natural Catastrophe'!$C$21:$C$26,MATCH($AA94,'Natural Catastrophe'!$B$21:$B$26,0)),"?"))</f>
        <v/>
      </c>
      <c r="AW94" s="97" t="str">
        <f>IF($A94="","",IFERROR(INDEX('Base Rates'!$C$4:$I$4,MATCH(MAX($J94,'Technical Premium'!$C$18),'Base Rates'!$C$3:$I$3,1)),"?"))</f>
        <v/>
      </c>
      <c r="AX94" s="99" t="str">
        <f>IF($A94="","",IFERROR(INDEX('Base Rates'!$C$5:$I$16,MATCH($I94,'Base Rates'!$B$5:$B$16,0),MATCH(MAX($J94,'Technical Premium'!$C$18),'Base Rates'!$C$3:$I$3,1)),"?"))</f>
        <v/>
      </c>
      <c r="AY94" s="100" t="str">
        <f t="shared" si="14"/>
        <v/>
      </c>
      <c r="AZ94" s="97" t="str">
        <f>IF($A94="","",IFERROR(INDEX('Make Factors'!$G$5:$G$69,MATCH($F94,'Make Factors'!$B$5:$B$69,0)),"?"))</f>
        <v/>
      </c>
      <c r="BA94" s="97" t="str">
        <f>IF($A94="","",IFERROR(INDEX('Driver Factors'!$C$6:$C$15,MATCH($R94,'Driver Factors'!$B$6:$B$15,0)),"?"))</f>
        <v/>
      </c>
      <c r="BB94" s="97" t="str">
        <f>IF($A94="","",IFERROR(INDEX('Driver Factors'!$C$19:$C$24,MATCH($S94,'Driver Factors'!$B$19:$B$24,0)),"?"))</f>
        <v/>
      </c>
      <c r="BC94" s="97" t="str">
        <f>IF($A94="","",IFERROR(INDEX('Driver Factors'!$C$28:$C$36,MATCH($T94,'Driver Factors'!$B$28:$B$36,0)),"?"))</f>
        <v/>
      </c>
      <c r="BD94" s="97" t="str">
        <f>IF($A94="","",IFERROR(INDEX('Claims History'!$C$6:$C$15,MATCH($U94,'Claims History'!$B$6:$B$15,0)),"?"))</f>
        <v/>
      </c>
      <c r="BE94" s="97" t="str">
        <f>IF($A94="","",IFERROR(INDEX('Territory Factors'!$E$6:$E$56,MATCH($K94,'Territory Factors'!$B$6:$B$56,0)),"?"))</f>
        <v/>
      </c>
      <c r="BF94" s="97" t="str">
        <f>IF($A94="","",IFERROR(INDEX('City Accident Ratings'!$G$6:$G$54,MATCH($Z94,'City Accident Ratings'!$B$6:$B$54,0)),"?"))</f>
        <v/>
      </c>
      <c r="BG94" s="97" t="str">
        <f>IF($A94="","",IFERROR(INDEX('Usage and Coverage'!$D$6:$D$20,MATCH($N94,'Usage and Coverage'!$C$6:$C$20,0)),"?"))</f>
        <v/>
      </c>
      <c r="BH94" s="97" t="str">
        <f>IF($A94="","",IFERROR(INDEX('Usage and Coverage'!$C$24:$C$30,MATCH($O94,'Usage and Coverage'!$B$24:$B$30,0)),"?"))</f>
        <v/>
      </c>
      <c r="BI94" s="97" t="str">
        <f>IF($A94="","",IFERROR(INDEX('Usage and Coverage'!$C$34:$C$40,MATCH($P94,'Usage and Coverage'!$B$34:$B$40,0)),"?"))</f>
        <v/>
      </c>
      <c r="BJ94" s="97" t="str">
        <f>IF($A94="","",IFERROR(INDEX('Usage and Coverage'!$C$44:$C$49,MATCH($Q94,'Usage and Coverage'!$B$44:$B$49,0)),"?"))</f>
        <v/>
      </c>
      <c r="BK94" s="97" t="str">
        <f>IF($A94="","",IFERROR(INDEX(Deductibles!$C$6:$I$15,MATCH($W94,Deductibles!$B$6:$B$15,0),MATCH(MAX($J94,'Technical Premium'!$C$18),'Base Rates'!$C$3:$I$3,1)),"?"))</f>
        <v/>
      </c>
      <c r="BL94" s="97" t="str">
        <f>IF($A94="","",IFERROR(INDEX('Usage and Coverage'!$C$63:$C$66,MATCH($X94,'Usage and Coverage'!$B$63:$B$66,0)),"?"))</f>
        <v/>
      </c>
      <c r="BM94" s="97" t="str">
        <f>IF($A94="","",IFERROR(INDEX('Usage and Coverage'!$C$70:$C$75,MATCH($V94,'Usage and Coverage'!$B$70:$B$75,0)),"?"))</f>
        <v/>
      </c>
      <c r="BN94" s="97" t="str">
        <f>IF($A94="","",IF($AB94="",1,IFERROR(INDEX(Deductibles!$C$48:$C$51,MATCH($AB94,Deductibles!$B$48:$B$51,0)),"?")))</f>
        <v/>
      </c>
      <c r="BO94" s="97" t="str">
        <f>IF($A94="","",IF($AC94="",1,IFERROR(INDEX(Deductibles!$C$55:$C$57,MATCH($AC94,Deductibles!$B$55:$B$57,0)),"?")))</f>
        <v/>
      </c>
      <c r="BP94" s="97" t="str">
        <f>IF($A94="","",IF($AD94="",1,IFERROR(INDEX(Deductibles!$C$61:$C$63,MATCH($AD94,Deductibles!$B$61:$B$63,0)),"?")))</f>
        <v/>
      </c>
      <c r="BQ94" s="97" t="str">
        <f>IF($A94="","",IF($AE94="",1,IFERROR(INDEX(Deductibles!$C$67:$C$69,MATCH($AE94,Deductibles!$B$67:$B$69,0)),"?")))</f>
        <v/>
      </c>
      <c r="BR94" s="97" t="str">
        <f>IF($A94="","",IF($AF94="",1,IFERROR(INDEX(Deductibles!$C$73:$C$74,MATCH($AF94,Deductibles!$B$73:$B$74,0)),"?")))</f>
        <v/>
      </c>
      <c r="BS94" s="97" t="str">
        <f>IF($A94="","",IF($AG94="",1,IFERROR(INDEX('Sublimits and Parts'!$C$49:$C$52,MATCH($AG94,'Sublimits and Parts'!$B$49:$B$52,0)),"?")))</f>
        <v/>
      </c>
      <c r="BT94" s="97" t="str">
        <f>IF($A94="","",IF($AH94="",1,IFERROR(INDEX('Sublimits and Parts'!$C$56:$C$60,MATCH($AH94,'Sublimits and Parts'!$B$56:$B$60,0)),"?")))</f>
        <v/>
      </c>
      <c r="BU94" s="97" t="str">
        <f>IF($A94="","",IF($AI94="",1,IFERROR(INDEX('Sublimits and Parts'!$C$64:$C$67,MATCH($AI94,'Sublimits and Parts'!$B$64:$B$67,0)),"?")))</f>
        <v/>
      </c>
      <c r="BV94" s="97" t="str">
        <f>IF($A94="","",IF($AJ94="",1,IFERROR(INDEX('Sublimits and Parts'!$C$71:$C$74,MATCH($AJ94,'Sublimits and Parts'!$B$71:$B$74,0)),"?")))</f>
        <v/>
      </c>
      <c r="BW94" s="97" t="str">
        <f>IF($A94="","",IF($AK94="",1,IFERROR(INDEX('Sublimits and Parts'!$C$78:$C$80,MATCH($AK94,'Sublimits and Parts'!$B$78:$B$80,0)),"?")))</f>
        <v/>
      </c>
      <c r="BX94" s="97" t="str">
        <f>IF($A94="","",IF($AL94="",1,IFERROR(INDEX('Sublimits and Parts'!$C$84:$C$87,MATCH($AL94,'Sublimits and Parts'!$B$84:$B$87,0)),"?")))</f>
        <v/>
      </c>
      <c r="BY94" s="97" t="str">
        <f>IF($A94="","",IF($AM94="",1,IFERROR(INDEX('Sublimits and Parts'!$C$91:$C$94,MATCH($AM94,'Sublimits and Parts'!$B$91:$B$94,0)),"?")))</f>
        <v/>
      </c>
      <c r="BZ94" s="97" t="str">
        <f>IF($A94="","",IF($AN94="",1,IFERROR(INDEX('Sublimits and Parts'!$C$98:$C$101,MATCH($AN94,'Sublimits and Parts'!$B$98:$B$101,0)),"?")))</f>
        <v/>
      </c>
      <c r="CA94" s="97" t="str">
        <f>IF($A94="","",IF($AO94="",1,IFERROR(INDEX('Sublimits and Parts'!$C$105:$C$109,MATCH($AO94,'Sublimits and Parts'!$B$105:$B$109,0)),"?")))</f>
        <v/>
      </c>
      <c r="CB94" s="98" t="str">
        <f t="shared" si="15"/>
        <v/>
      </c>
      <c r="CC94" s="98" t="str">
        <f t="shared" si="16"/>
        <v/>
      </c>
      <c r="CD94" s="101" t="str">
        <f>IF($A94="","",IF(OR($CB94="?",$CC94="?"),"?",MIN($CB94*$CC94,'Technical Premium'!$C$17)))</f>
        <v/>
      </c>
      <c r="CE94" s="100" t="str">
        <f t="shared" si="17"/>
        <v/>
      </c>
      <c r="CF94" s="100" t="str">
        <f>IF($A94="","",IFERROR(INDEX('Territory Factors'!$F$6:$F$56,MATCH($K94,'Territory Factors'!$B$6:$B$56,0)),"?"))</f>
        <v/>
      </c>
      <c r="CG94" s="98" t="str">
        <f>IF($A94="","",IFERROR(INDEX('Usage and Coverage'!$C$79:$C$84,MATCH($Y94,'Usage and Coverage'!$B$79:$B$84,0)),"?"))</f>
        <v/>
      </c>
      <c r="CH94" s="100" t="str">
        <f>IFERROR(IF(ISNUMBER($CD94),$CF94*$CG94*MIN($BG94*$BA94*$BC94*$BD94*$BH94*$BF94,'Technical Premium'!$C$17),""),"")</f>
        <v/>
      </c>
      <c r="CI94" s="100" t="str">
        <f t="shared" si="18"/>
        <v/>
      </c>
      <c r="CJ94" s="100" t="str">
        <f>IFERROR($CI94*(1+'Technical Premium'!$C$5)*(1+'Technical Premium'!$C$6),"")</f>
        <v/>
      </c>
      <c r="CK94" s="100" t="str">
        <f>IFERROR($CE94*INDEX('Territory Factors'!$G$6:$G$56,MATCH($K94,'Territory Factors'!$B$6:$B$56,0))*$AU94*$AV94,"")</f>
        <v/>
      </c>
      <c r="CL94" s="100" t="str">
        <f>IFERROR(($CJ94+$CK94)*(1+'Technical Premium'!$C$7),"")</f>
        <v/>
      </c>
      <c r="CM94" s="102" t="str">
        <f>IFERROR($CL94/'Technical Premium'!$C$13,"")</f>
        <v/>
      </c>
      <c r="CN94" s="103" t="str">
        <f t="shared" si="19"/>
        <v/>
      </c>
      <c r="CO94" s="102" t="str">
        <f t="shared" si="20"/>
        <v/>
      </c>
      <c r="CP94" s="103" t="str">
        <f t="shared" si="21"/>
        <v/>
      </c>
      <c r="CQ94" s="104" t="str">
        <f t="shared" si="22"/>
        <v/>
      </c>
      <c r="CR94" s="100" t="str">
        <f>IF(ISNUMBER($CM94),'Technical Premium'!$C$14+IF($J94&gt;=1000000,'Technical Premium'!$C$15,0),"")</f>
        <v/>
      </c>
      <c r="CS94" s="100" t="str">
        <f>IFERROR(($CO94+$CR94)*(INDEX('Territory Factors'!$K$6:$K$56,MATCH($K94,'Territory Factors'!$B$6:$B$56,0))+'Commission Structure'!$C$21),"")</f>
        <v/>
      </c>
      <c r="CT94" s="102" t="str">
        <f t="shared" si="23"/>
        <v/>
      </c>
      <c r="CU94" s="100" t="str">
        <f>IFERROR($CO94*('Commission Structure'!$C$6+'Commission Structure'!$C$7),"")</f>
        <v/>
      </c>
      <c r="CV94" s="100" t="str">
        <f>IFERROR($CO94*'Commission Structure'!$C$5-$CU94,"")</f>
        <v/>
      </c>
      <c r="CW94" s="100" t="str">
        <f>IFERROR($CO94*(1-'Commission Structure'!$C$5),"")</f>
        <v/>
      </c>
      <c r="CX94" s="105" t="str">
        <f>IF($A94="","",IF(OR($CB94="?",$CC94="?",NOT(ISNUMBER($AU94))),"CHECK INPUTS",IF(OR($J94&lt;'Technical Premium'!$C$18,LEFT(IFERROR(INDEX('Driver Factors'!$D$6:$D$15,MATCH($R94,'Driver Factors'!$B$6:$B$15,0)),""),7)="DECLINE",LEFT(IFERROR(INDEX('Driver Factors'!$D$28:$D$36,MATCH($T94,'Driver Factors'!$B$28:$B$36,0)),""),7)="DECLINE",LEFT(IFERROR(INDEX('Claims History'!$D$6:$D$15,MATCH($U94,'Claims History'!$B$6:$B$15,0)),""),7)="DECLINE",LEFT(IFERROR(INDEX('Usage and Coverage'!$E$6:$E$20,MATCH($N94,'Usage and Coverage'!$C$6:$C$20,0)),""),7)="DECLINE"),"DECLINE",IF(OR($CD94&gt;2.5,$CD94&gt;='Technical Premium'!$C$17,$J94&gt;='Technical Premium'!$C$16,N($AQ94)&lt;'Technical Premium'!$C$19,N($AQ94)&gt;'Technical Premium'!$C$20,LEFT(IFERROR(INDEX('Driver Factors'!$D$6:$D$15,MATCH($R94,'Driver Factors'!$B$6:$B$15,0)),""),5)="Refer",LEFT(IFERROR(INDEX('Driver Factors'!$D$28:$D$36,MATCH($T94,'Driver Factors'!$B$28:$B$36,0)),""),5)="Refer",LEFT(IFERROR(INDEX('Claims History'!$D$6:$D$15,MATCH($U94,'Claims History'!$B$6:$B$15,0)),""),5)="Refer",LEFT(IFERROR(INDEX('Usage and Coverage'!$E$6:$E$20,MATCH($N94,'Usage and Coverage'!$C$6:$C$20,0)),""),5)="Refer"),"REFER","AUTO-BIND"))))</f>
        <v/>
      </c>
      <c r="CY94" s="106" t="str">
        <f t="shared" si="24"/>
        <v/>
      </c>
      <c r="CZ94" s="97" t="str">
        <f>IF($CY94="","",IF($CY94&lt;'Technical Premium'!$C$19,"BEYOND AUTHORITY",IF($CY94&gt;0.005,"Above technical",IF($CY94&lt;-0.005,"BELOW technical","At technical"))))</f>
        <v/>
      </c>
      <c r="DA94" s="97" t="str">
        <f>IF($A94="","",IF($CX94="AUTO-BIND","",TRIM(IF($J94&lt;'Technical Premium'!$C$18,"Below programme minimum agreed value. ","")&amp;IF(N($AQ94)&lt;'Technical Premium'!$C$19,"DISCOUNT AUTHORITY BREACH. ","")&amp;IF(N($AQ94)&gt;'Technical Premium'!$C$20,"Load authority breach. ","")&amp;IF($J94&gt;='Technical Premium'!$C$16,"Agreed value at or above auto-bind limit. ","")&amp;IF(AND(ISNUMBER($CD94),$CD94&gt;='Technical Premium'!$C$17),"Composite factor at cap. ","")&amp;IF(AND(ISNUMBER($CD94),$CD94&gt;2.5),"Composite factor above 2.50. ","")&amp;IF(LEFT(IFERROR(INDEX('Driver Factors'!$D$6:$D$15,MATCH($R94,'Driver Factors'!$B$6:$B$15,0)),""),7)="DECLINE","DECLINE - driver age. ",IF(LEFT(IFERROR(INDEX('Driver Factors'!$D$6:$D$15,MATCH($R94,'Driver Factors'!$B$6:$B$15,0)),""),5)="Refer","Driver age band. ",""))&amp;IF(LEFT(IFERROR(INDEX('Driver Factors'!$D$28:$D$36,MATCH($T94,'Driver Factors'!$B$28:$B$36,0)),""),7)="DECLINE","DECLINE - MVR. ",IF(LEFT(IFERROR(INDEX('Driver Factors'!$D$28:$D$36,MATCH($T94,'Driver Factors'!$B$28:$B$36,0)),""),5)="Refer","MVR record. ",""))&amp;IF(LEFT(IFERROR(INDEX('Claims History'!$D$6:$D$15,MATCH($U94,'Claims History'!$B$6:$B$15,0)),""),7)="DECLINE","DECLINE - claims. ",IF(LEFT(IFERROR(INDEX('Claims History'!$D$6:$D$15,MATCH($U94,'Claims History'!$B$6:$B$15,0)),""),5)="Refer","Claims history. ",""))&amp;IF(LEFT(IFERROR(INDEX('Usage and Coverage'!$E$6:$E$20,MATCH($N94,'Usage and Coverage'!$C$6:$C$20,0)),""),7)="DECLINE","DECLINE - usage class. ",IF(LEFT(IFERROR(INDEX('Usage and Coverage'!$E$6:$E$20,MATCH($N94,'Usage and Coverage'!$C$6:$C$20,0)),""),5)="Refer","Usage class. ",""))&amp;IF($CX94="CHECK INPUTS","Incomplete inputs. ",""))))</f>
        <v/>
      </c>
      <c r="DB94" s="92"/>
      <c r="DC94" s="92"/>
      <c r="DD94" s="93"/>
      <c r="DE94" s="92"/>
      <c r="DF94" s="92"/>
      <c r="DG94" s="97" t="str">
        <f t="shared" si="25"/>
        <v/>
      </c>
      <c r="DH94" s="97" t="str">
        <f>IF($A94="","",IF(OR($CX94="REFER",$CX94="DECLINE"),COUNTIF($CX$5:$CX94,"REFER")+COUNTIF($CX$5:$CX94,"DECLINE"),""))</f>
        <v/>
      </c>
      <c r="DI94" s="92"/>
    </row>
    <row r="95" spans="1:113" x14ac:dyDescent="0.25">
      <c r="A95" s="92"/>
      <c r="B95" s="92"/>
      <c r="C95" s="93"/>
      <c r="D95" s="93"/>
      <c r="E95" s="94"/>
      <c r="F95" s="92"/>
      <c r="G95" s="92"/>
      <c r="H95" s="92"/>
      <c r="I95" s="92"/>
      <c r="J95" s="95"/>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92"/>
      <c r="AM95" s="92"/>
      <c r="AN95" s="92"/>
      <c r="AO95" s="92"/>
      <c r="AP95" s="92"/>
      <c r="AQ95" s="96"/>
      <c r="AR95" s="97" t="str">
        <f t="shared" si="13"/>
        <v/>
      </c>
      <c r="AS95" s="97" t="str">
        <f>IF($A95="","",IF($AP95&lt;&gt;"",$AP95,IFERROR(INDEX('Cat Zone by ZIP'!$D$6:$D$856,MATCH($AR95,'Cat Zone by ZIP'!$B$6:$B$856,0)),IFERROR(INDEX('Cat Zone by ZIP'!$C$860:$C$910,MATCH($K95,'Cat Zone by ZIP'!$B$860:$B$910,0)),"NOT FOUND"))))</f>
        <v/>
      </c>
      <c r="AT95" s="97" t="str">
        <f>IF($A95="","",IF($AP95&lt;&gt;"","Override",IF(ISNUMBER(MATCH($AR95,'Cat Zone by ZIP'!$B$6:$B$856,0)),"ZIP-3","State default")))</f>
        <v/>
      </c>
      <c r="AU95" s="98" t="str">
        <f>IF($A95="","",IFERROR(INDEX('Natural Catastrophe'!$D$6:$D$17,MATCH($AS95,'Natural Catastrophe'!$B$6:$B$17,0)),"?"))</f>
        <v/>
      </c>
      <c r="AV95" s="98" t="str">
        <f>IF($A95="","",IFERROR(INDEX('Natural Catastrophe'!$C$21:$C$26,MATCH($AA95,'Natural Catastrophe'!$B$21:$B$26,0)),"?"))</f>
        <v/>
      </c>
      <c r="AW95" s="97" t="str">
        <f>IF($A95="","",IFERROR(INDEX('Base Rates'!$C$4:$I$4,MATCH(MAX($J95,'Technical Premium'!$C$18),'Base Rates'!$C$3:$I$3,1)),"?"))</f>
        <v/>
      </c>
      <c r="AX95" s="99" t="str">
        <f>IF($A95="","",IFERROR(INDEX('Base Rates'!$C$5:$I$16,MATCH($I95,'Base Rates'!$B$5:$B$16,0),MATCH(MAX($J95,'Technical Premium'!$C$18),'Base Rates'!$C$3:$I$3,1)),"?"))</f>
        <v/>
      </c>
      <c r="AY95" s="100" t="str">
        <f t="shared" si="14"/>
        <v/>
      </c>
      <c r="AZ95" s="97" t="str">
        <f>IF($A95="","",IFERROR(INDEX('Make Factors'!$G$5:$G$69,MATCH($F95,'Make Factors'!$B$5:$B$69,0)),"?"))</f>
        <v/>
      </c>
      <c r="BA95" s="97" t="str">
        <f>IF($A95="","",IFERROR(INDEX('Driver Factors'!$C$6:$C$15,MATCH($R95,'Driver Factors'!$B$6:$B$15,0)),"?"))</f>
        <v/>
      </c>
      <c r="BB95" s="97" t="str">
        <f>IF($A95="","",IFERROR(INDEX('Driver Factors'!$C$19:$C$24,MATCH($S95,'Driver Factors'!$B$19:$B$24,0)),"?"))</f>
        <v/>
      </c>
      <c r="BC95" s="97" t="str">
        <f>IF($A95="","",IFERROR(INDEX('Driver Factors'!$C$28:$C$36,MATCH($T95,'Driver Factors'!$B$28:$B$36,0)),"?"))</f>
        <v/>
      </c>
      <c r="BD95" s="97" t="str">
        <f>IF($A95="","",IFERROR(INDEX('Claims History'!$C$6:$C$15,MATCH($U95,'Claims History'!$B$6:$B$15,0)),"?"))</f>
        <v/>
      </c>
      <c r="BE95" s="97" t="str">
        <f>IF($A95="","",IFERROR(INDEX('Territory Factors'!$E$6:$E$56,MATCH($K95,'Territory Factors'!$B$6:$B$56,0)),"?"))</f>
        <v/>
      </c>
      <c r="BF95" s="97" t="str">
        <f>IF($A95="","",IFERROR(INDEX('City Accident Ratings'!$G$6:$G$54,MATCH($Z95,'City Accident Ratings'!$B$6:$B$54,0)),"?"))</f>
        <v/>
      </c>
      <c r="BG95" s="97" t="str">
        <f>IF($A95="","",IFERROR(INDEX('Usage and Coverage'!$D$6:$D$20,MATCH($N95,'Usage and Coverage'!$C$6:$C$20,0)),"?"))</f>
        <v/>
      </c>
      <c r="BH95" s="97" t="str">
        <f>IF($A95="","",IFERROR(INDEX('Usage and Coverage'!$C$24:$C$30,MATCH($O95,'Usage and Coverage'!$B$24:$B$30,0)),"?"))</f>
        <v/>
      </c>
      <c r="BI95" s="97" t="str">
        <f>IF($A95="","",IFERROR(INDEX('Usage and Coverage'!$C$34:$C$40,MATCH($P95,'Usage and Coverage'!$B$34:$B$40,0)),"?"))</f>
        <v/>
      </c>
      <c r="BJ95" s="97" t="str">
        <f>IF($A95="","",IFERROR(INDEX('Usage and Coverage'!$C$44:$C$49,MATCH($Q95,'Usage and Coverage'!$B$44:$B$49,0)),"?"))</f>
        <v/>
      </c>
      <c r="BK95" s="97" t="str">
        <f>IF($A95="","",IFERROR(INDEX(Deductibles!$C$6:$I$15,MATCH($W95,Deductibles!$B$6:$B$15,0),MATCH(MAX($J95,'Technical Premium'!$C$18),'Base Rates'!$C$3:$I$3,1)),"?"))</f>
        <v/>
      </c>
      <c r="BL95" s="97" t="str">
        <f>IF($A95="","",IFERROR(INDEX('Usage and Coverage'!$C$63:$C$66,MATCH($X95,'Usage and Coverage'!$B$63:$B$66,0)),"?"))</f>
        <v/>
      </c>
      <c r="BM95" s="97" t="str">
        <f>IF($A95="","",IFERROR(INDEX('Usage and Coverage'!$C$70:$C$75,MATCH($V95,'Usage and Coverage'!$B$70:$B$75,0)),"?"))</f>
        <v/>
      </c>
      <c r="BN95" s="97" t="str">
        <f>IF($A95="","",IF($AB95="",1,IFERROR(INDEX(Deductibles!$C$48:$C$51,MATCH($AB95,Deductibles!$B$48:$B$51,0)),"?")))</f>
        <v/>
      </c>
      <c r="BO95" s="97" t="str">
        <f>IF($A95="","",IF($AC95="",1,IFERROR(INDEX(Deductibles!$C$55:$C$57,MATCH($AC95,Deductibles!$B$55:$B$57,0)),"?")))</f>
        <v/>
      </c>
      <c r="BP95" s="97" t="str">
        <f>IF($A95="","",IF($AD95="",1,IFERROR(INDEX(Deductibles!$C$61:$C$63,MATCH($AD95,Deductibles!$B$61:$B$63,0)),"?")))</f>
        <v/>
      </c>
      <c r="BQ95" s="97" t="str">
        <f>IF($A95="","",IF($AE95="",1,IFERROR(INDEX(Deductibles!$C$67:$C$69,MATCH($AE95,Deductibles!$B$67:$B$69,0)),"?")))</f>
        <v/>
      </c>
      <c r="BR95" s="97" t="str">
        <f>IF($A95="","",IF($AF95="",1,IFERROR(INDEX(Deductibles!$C$73:$C$74,MATCH($AF95,Deductibles!$B$73:$B$74,0)),"?")))</f>
        <v/>
      </c>
      <c r="BS95" s="97" t="str">
        <f>IF($A95="","",IF($AG95="",1,IFERROR(INDEX('Sublimits and Parts'!$C$49:$C$52,MATCH($AG95,'Sublimits and Parts'!$B$49:$B$52,0)),"?")))</f>
        <v/>
      </c>
      <c r="BT95" s="97" t="str">
        <f>IF($A95="","",IF($AH95="",1,IFERROR(INDEX('Sublimits and Parts'!$C$56:$C$60,MATCH($AH95,'Sublimits and Parts'!$B$56:$B$60,0)),"?")))</f>
        <v/>
      </c>
      <c r="BU95" s="97" t="str">
        <f>IF($A95="","",IF($AI95="",1,IFERROR(INDEX('Sublimits and Parts'!$C$64:$C$67,MATCH($AI95,'Sublimits and Parts'!$B$64:$B$67,0)),"?")))</f>
        <v/>
      </c>
      <c r="BV95" s="97" t="str">
        <f>IF($A95="","",IF($AJ95="",1,IFERROR(INDEX('Sublimits and Parts'!$C$71:$C$74,MATCH($AJ95,'Sublimits and Parts'!$B$71:$B$74,0)),"?")))</f>
        <v/>
      </c>
      <c r="BW95" s="97" t="str">
        <f>IF($A95="","",IF($AK95="",1,IFERROR(INDEX('Sublimits and Parts'!$C$78:$C$80,MATCH($AK95,'Sublimits and Parts'!$B$78:$B$80,0)),"?")))</f>
        <v/>
      </c>
      <c r="BX95" s="97" t="str">
        <f>IF($A95="","",IF($AL95="",1,IFERROR(INDEX('Sublimits and Parts'!$C$84:$C$87,MATCH($AL95,'Sublimits and Parts'!$B$84:$B$87,0)),"?")))</f>
        <v/>
      </c>
      <c r="BY95" s="97" t="str">
        <f>IF($A95="","",IF($AM95="",1,IFERROR(INDEX('Sublimits and Parts'!$C$91:$C$94,MATCH($AM95,'Sublimits and Parts'!$B$91:$B$94,0)),"?")))</f>
        <v/>
      </c>
      <c r="BZ95" s="97" t="str">
        <f>IF($A95="","",IF($AN95="",1,IFERROR(INDEX('Sublimits and Parts'!$C$98:$C$101,MATCH($AN95,'Sublimits and Parts'!$B$98:$B$101,0)),"?")))</f>
        <v/>
      </c>
      <c r="CA95" s="97" t="str">
        <f>IF($A95="","",IF($AO95="",1,IFERROR(INDEX('Sublimits and Parts'!$C$105:$C$109,MATCH($AO95,'Sublimits and Parts'!$B$105:$B$109,0)),"?")))</f>
        <v/>
      </c>
      <c r="CB95" s="98" t="str">
        <f t="shared" si="15"/>
        <v/>
      </c>
      <c r="CC95" s="98" t="str">
        <f t="shared" si="16"/>
        <v/>
      </c>
      <c r="CD95" s="101" t="str">
        <f>IF($A95="","",IF(OR($CB95="?",$CC95="?"),"?",MIN($CB95*$CC95,'Technical Premium'!$C$17)))</f>
        <v/>
      </c>
      <c r="CE95" s="100" t="str">
        <f t="shared" si="17"/>
        <v/>
      </c>
      <c r="CF95" s="100" t="str">
        <f>IF($A95="","",IFERROR(INDEX('Territory Factors'!$F$6:$F$56,MATCH($K95,'Territory Factors'!$B$6:$B$56,0)),"?"))</f>
        <v/>
      </c>
      <c r="CG95" s="98" t="str">
        <f>IF($A95="","",IFERROR(INDEX('Usage and Coverage'!$C$79:$C$84,MATCH($Y95,'Usage and Coverage'!$B$79:$B$84,0)),"?"))</f>
        <v/>
      </c>
      <c r="CH95" s="100" t="str">
        <f>IFERROR(IF(ISNUMBER($CD95),$CF95*$CG95*MIN($BG95*$BA95*$BC95*$BD95*$BH95*$BF95,'Technical Premium'!$C$17),""),"")</f>
        <v/>
      </c>
      <c r="CI95" s="100" t="str">
        <f t="shared" si="18"/>
        <v/>
      </c>
      <c r="CJ95" s="100" t="str">
        <f>IFERROR($CI95*(1+'Technical Premium'!$C$5)*(1+'Technical Premium'!$C$6),"")</f>
        <v/>
      </c>
      <c r="CK95" s="100" t="str">
        <f>IFERROR($CE95*INDEX('Territory Factors'!$G$6:$G$56,MATCH($K95,'Territory Factors'!$B$6:$B$56,0))*$AU95*$AV95,"")</f>
        <v/>
      </c>
      <c r="CL95" s="100" t="str">
        <f>IFERROR(($CJ95+$CK95)*(1+'Technical Premium'!$C$7),"")</f>
        <v/>
      </c>
      <c r="CM95" s="102" t="str">
        <f>IFERROR($CL95/'Technical Premium'!$C$13,"")</f>
        <v/>
      </c>
      <c r="CN95" s="103" t="str">
        <f t="shared" si="19"/>
        <v/>
      </c>
      <c r="CO95" s="102" t="str">
        <f t="shared" si="20"/>
        <v/>
      </c>
      <c r="CP95" s="103" t="str">
        <f t="shared" si="21"/>
        <v/>
      </c>
      <c r="CQ95" s="104" t="str">
        <f t="shared" si="22"/>
        <v/>
      </c>
      <c r="CR95" s="100" t="str">
        <f>IF(ISNUMBER($CM95),'Technical Premium'!$C$14+IF($J95&gt;=1000000,'Technical Premium'!$C$15,0),"")</f>
        <v/>
      </c>
      <c r="CS95" s="100" t="str">
        <f>IFERROR(($CO95+$CR95)*(INDEX('Territory Factors'!$K$6:$K$56,MATCH($K95,'Territory Factors'!$B$6:$B$56,0))+'Commission Structure'!$C$21),"")</f>
        <v/>
      </c>
      <c r="CT95" s="102" t="str">
        <f t="shared" si="23"/>
        <v/>
      </c>
      <c r="CU95" s="100" t="str">
        <f>IFERROR($CO95*('Commission Structure'!$C$6+'Commission Structure'!$C$7),"")</f>
        <v/>
      </c>
      <c r="CV95" s="100" t="str">
        <f>IFERROR($CO95*'Commission Structure'!$C$5-$CU95,"")</f>
        <v/>
      </c>
      <c r="CW95" s="100" t="str">
        <f>IFERROR($CO95*(1-'Commission Structure'!$C$5),"")</f>
        <v/>
      </c>
      <c r="CX95" s="105" t="str">
        <f>IF($A95="","",IF(OR($CB95="?",$CC95="?",NOT(ISNUMBER($AU95))),"CHECK INPUTS",IF(OR($J95&lt;'Technical Premium'!$C$18,LEFT(IFERROR(INDEX('Driver Factors'!$D$6:$D$15,MATCH($R95,'Driver Factors'!$B$6:$B$15,0)),""),7)="DECLINE",LEFT(IFERROR(INDEX('Driver Factors'!$D$28:$D$36,MATCH($T95,'Driver Factors'!$B$28:$B$36,0)),""),7)="DECLINE",LEFT(IFERROR(INDEX('Claims History'!$D$6:$D$15,MATCH($U95,'Claims History'!$B$6:$B$15,0)),""),7)="DECLINE",LEFT(IFERROR(INDEX('Usage and Coverage'!$E$6:$E$20,MATCH($N95,'Usage and Coverage'!$C$6:$C$20,0)),""),7)="DECLINE"),"DECLINE",IF(OR($CD95&gt;2.5,$CD95&gt;='Technical Premium'!$C$17,$J95&gt;='Technical Premium'!$C$16,N($AQ95)&lt;'Technical Premium'!$C$19,N($AQ95)&gt;'Technical Premium'!$C$20,LEFT(IFERROR(INDEX('Driver Factors'!$D$6:$D$15,MATCH($R95,'Driver Factors'!$B$6:$B$15,0)),""),5)="Refer",LEFT(IFERROR(INDEX('Driver Factors'!$D$28:$D$36,MATCH($T95,'Driver Factors'!$B$28:$B$36,0)),""),5)="Refer",LEFT(IFERROR(INDEX('Claims History'!$D$6:$D$15,MATCH($U95,'Claims History'!$B$6:$B$15,0)),""),5)="Refer",LEFT(IFERROR(INDEX('Usage and Coverage'!$E$6:$E$20,MATCH($N95,'Usage and Coverage'!$C$6:$C$20,0)),""),5)="Refer"),"REFER","AUTO-BIND"))))</f>
        <v/>
      </c>
      <c r="CY95" s="106" t="str">
        <f t="shared" si="24"/>
        <v/>
      </c>
      <c r="CZ95" s="97" t="str">
        <f>IF($CY95="","",IF($CY95&lt;'Technical Premium'!$C$19,"BEYOND AUTHORITY",IF($CY95&gt;0.005,"Above technical",IF($CY95&lt;-0.005,"BELOW technical","At technical"))))</f>
        <v/>
      </c>
      <c r="DA95" s="97" t="str">
        <f>IF($A95="","",IF($CX95="AUTO-BIND","",TRIM(IF($J95&lt;'Technical Premium'!$C$18,"Below programme minimum agreed value. ","")&amp;IF(N($AQ95)&lt;'Technical Premium'!$C$19,"DISCOUNT AUTHORITY BREACH. ","")&amp;IF(N($AQ95)&gt;'Technical Premium'!$C$20,"Load authority breach. ","")&amp;IF($J95&gt;='Technical Premium'!$C$16,"Agreed value at or above auto-bind limit. ","")&amp;IF(AND(ISNUMBER($CD95),$CD95&gt;='Technical Premium'!$C$17),"Composite factor at cap. ","")&amp;IF(AND(ISNUMBER($CD95),$CD95&gt;2.5),"Composite factor above 2.50. ","")&amp;IF(LEFT(IFERROR(INDEX('Driver Factors'!$D$6:$D$15,MATCH($R95,'Driver Factors'!$B$6:$B$15,0)),""),7)="DECLINE","DECLINE - driver age. ",IF(LEFT(IFERROR(INDEX('Driver Factors'!$D$6:$D$15,MATCH($R95,'Driver Factors'!$B$6:$B$15,0)),""),5)="Refer","Driver age band. ",""))&amp;IF(LEFT(IFERROR(INDEX('Driver Factors'!$D$28:$D$36,MATCH($T95,'Driver Factors'!$B$28:$B$36,0)),""),7)="DECLINE","DECLINE - MVR. ",IF(LEFT(IFERROR(INDEX('Driver Factors'!$D$28:$D$36,MATCH($T95,'Driver Factors'!$B$28:$B$36,0)),""),5)="Refer","MVR record. ",""))&amp;IF(LEFT(IFERROR(INDEX('Claims History'!$D$6:$D$15,MATCH($U95,'Claims History'!$B$6:$B$15,0)),""),7)="DECLINE","DECLINE - claims. ",IF(LEFT(IFERROR(INDEX('Claims History'!$D$6:$D$15,MATCH($U95,'Claims History'!$B$6:$B$15,0)),""),5)="Refer","Claims history. ",""))&amp;IF(LEFT(IFERROR(INDEX('Usage and Coverage'!$E$6:$E$20,MATCH($N95,'Usage and Coverage'!$C$6:$C$20,0)),""),7)="DECLINE","DECLINE - usage class. ",IF(LEFT(IFERROR(INDEX('Usage and Coverage'!$E$6:$E$20,MATCH($N95,'Usage and Coverage'!$C$6:$C$20,0)),""),5)="Refer","Usage class. ",""))&amp;IF($CX95="CHECK INPUTS","Incomplete inputs. ",""))))</f>
        <v/>
      </c>
      <c r="DB95" s="92"/>
      <c r="DC95" s="92"/>
      <c r="DD95" s="93"/>
      <c r="DE95" s="92"/>
      <c r="DF95" s="92"/>
      <c r="DG95" s="97" t="str">
        <f t="shared" si="25"/>
        <v/>
      </c>
      <c r="DH95" s="97" t="str">
        <f>IF($A95="","",IF(OR($CX95="REFER",$CX95="DECLINE"),COUNTIF($CX$5:$CX95,"REFER")+COUNTIF($CX$5:$CX95,"DECLINE"),""))</f>
        <v/>
      </c>
      <c r="DI95" s="92"/>
    </row>
    <row r="96" spans="1:113" x14ac:dyDescent="0.25">
      <c r="A96" s="92"/>
      <c r="B96" s="92"/>
      <c r="C96" s="93"/>
      <c r="D96" s="93"/>
      <c r="E96" s="94"/>
      <c r="F96" s="92"/>
      <c r="G96" s="92"/>
      <c r="H96" s="92"/>
      <c r="I96" s="92"/>
      <c r="J96" s="95"/>
      <c r="K96" s="92"/>
      <c r="L96" s="92"/>
      <c r="M96" s="92"/>
      <c r="N96" s="92"/>
      <c r="O96" s="92"/>
      <c r="P96" s="92"/>
      <c r="Q96" s="92"/>
      <c r="R96" s="92"/>
      <c r="S96" s="92"/>
      <c r="T96" s="92"/>
      <c r="U96" s="92"/>
      <c r="V96" s="92"/>
      <c r="W96" s="92"/>
      <c r="X96" s="92"/>
      <c r="Y96" s="92"/>
      <c r="Z96" s="92"/>
      <c r="AA96" s="92"/>
      <c r="AB96" s="92"/>
      <c r="AC96" s="92"/>
      <c r="AD96" s="92"/>
      <c r="AE96" s="92"/>
      <c r="AF96" s="92"/>
      <c r="AG96" s="92"/>
      <c r="AH96" s="92"/>
      <c r="AI96" s="92"/>
      <c r="AJ96" s="92"/>
      <c r="AK96" s="92"/>
      <c r="AL96" s="92"/>
      <c r="AM96" s="92"/>
      <c r="AN96" s="92"/>
      <c r="AO96" s="92"/>
      <c r="AP96" s="92"/>
      <c r="AQ96" s="96"/>
      <c r="AR96" s="97" t="str">
        <f t="shared" si="13"/>
        <v/>
      </c>
      <c r="AS96" s="97" t="str">
        <f>IF($A96="","",IF($AP96&lt;&gt;"",$AP96,IFERROR(INDEX('Cat Zone by ZIP'!$D$6:$D$856,MATCH($AR96,'Cat Zone by ZIP'!$B$6:$B$856,0)),IFERROR(INDEX('Cat Zone by ZIP'!$C$860:$C$910,MATCH($K96,'Cat Zone by ZIP'!$B$860:$B$910,0)),"NOT FOUND"))))</f>
        <v/>
      </c>
      <c r="AT96" s="97" t="str">
        <f>IF($A96="","",IF($AP96&lt;&gt;"","Override",IF(ISNUMBER(MATCH($AR96,'Cat Zone by ZIP'!$B$6:$B$856,0)),"ZIP-3","State default")))</f>
        <v/>
      </c>
      <c r="AU96" s="98" t="str">
        <f>IF($A96="","",IFERROR(INDEX('Natural Catastrophe'!$D$6:$D$17,MATCH($AS96,'Natural Catastrophe'!$B$6:$B$17,0)),"?"))</f>
        <v/>
      </c>
      <c r="AV96" s="98" t="str">
        <f>IF($A96="","",IFERROR(INDEX('Natural Catastrophe'!$C$21:$C$26,MATCH($AA96,'Natural Catastrophe'!$B$21:$B$26,0)),"?"))</f>
        <v/>
      </c>
      <c r="AW96" s="97" t="str">
        <f>IF($A96="","",IFERROR(INDEX('Base Rates'!$C$4:$I$4,MATCH(MAX($J96,'Technical Premium'!$C$18),'Base Rates'!$C$3:$I$3,1)),"?"))</f>
        <v/>
      </c>
      <c r="AX96" s="99" t="str">
        <f>IF($A96="","",IFERROR(INDEX('Base Rates'!$C$5:$I$16,MATCH($I96,'Base Rates'!$B$5:$B$16,0),MATCH(MAX($J96,'Technical Premium'!$C$18),'Base Rates'!$C$3:$I$3,1)),"?"))</f>
        <v/>
      </c>
      <c r="AY96" s="100" t="str">
        <f t="shared" si="14"/>
        <v/>
      </c>
      <c r="AZ96" s="97" t="str">
        <f>IF($A96="","",IFERROR(INDEX('Make Factors'!$G$5:$G$69,MATCH($F96,'Make Factors'!$B$5:$B$69,0)),"?"))</f>
        <v/>
      </c>
      <c r="BA96" s="97" t="str">
        <f>IF($A96="","",IFERROR(INDEX('Driver Factors'!$C$6:$C$15,MATCH($R96,'Driver Factors'!$B$6:$B$15,0)),"?"))</f>
        <v/>
      </c>
      <c r="BB96" s="97" t="str">
        <f>IF($A96="","",IFERROR(INDEX('Driver Factors'!$C$19:$C$24,MATCH($S96,'Driver Factors'!$B$19:$B$24,0)),"?"))</f>
        <v/>
      </c>
      <c r="BC96" s="97" t="str">
        <f>IF($A96="","",IFERROR(INDEX('Driver Factors'!$C$28:$C$36,MATCH($T96,'Driver Factors'!$B$28:$B$36,0)),"?"))</f>
        <v/>
      </c>
      <c r="BD96" s="97" t="str">
        <f>IF($A96="","",IFERROR(INDEX('Claims History'!$C$6:$C$15,MATCH($U96,'Claims History'!$B$6:$B$15,0)),"?"))</f>
        <v/>
      </c>
      <c r="BE96" s="97" t="str">
        <f>IF($A96="","",IFERROR(INDEX('Territory Factors'!$E$6:$E$56,MATCH($K96,'Territory Factors'!$B$6:$B$56,0)),"?"))</f>
        <v/>
      </c>
      <c r="BF96" s="97" t="str">
        <f>IF($A96="","",IFERROR(INDEX('City Accident Ratings'!$G$6:$G$54,MATCH($Z96,'City Accident Ratings'!$B$6:$B$54,0)),"?"))</f>
        <v/>
      </c>
      <c r="BG96" s="97" t="str">
        <f>IF($A96="","",IFERROR(INDEX('Usage and Coverage'!$D$6:$D$20,MATCH($N96,'Usage and Coverage'!$C$6:$C$20,0)),"?"))</f>
        <v/>
      </c>
      <c r="BH96" s="97" t="str">
        <f>IF($A96="","",IFERROR(INDEX('Usage and Coverage'!$C$24:$C$30,MATCH($O96,'Usage and Coverage'!$B$24:$B$30,0)),"?"))</f>
        <v/>
      </c>
      <c r="BI96" s="97" t="str">
        <f>IF($A96="","",IFERROR(INDEX('Usage and Coverage'!$C$34:$C$40,MATCH($P96,'Usage and Coverage'!$B$34:$B$40,0)),"?"))</f>
        <v/>
      </c>
      <c r="BJ96" s="97" t="str">
        <f>IF($A96="","",IFERROR(INDEX('Usage and Coverage'!$C$44:$C$49,MATCH($Q96,'Usage and Coverage'!$B$44:$B$49,0)),"?"))</f>
        <v/>
      </c>
      <c r="BK96" s="97" t="str">
        <f>IF($A96="","",IFERROR(INDEX(Deductibles!$C$6:$I$15,MATCH($W96,Deductibles!$B$6:$B$15,0),MATCH(MAX($J96,'Technical Premium'!$C$18),'Base Rates'!$C$3:$I$3,1)),"?"))</f>
        <v/>
      </c>
      <c r="BL96" s="97" t="str">
        <f>IF($A96="","",IFERROR(INDEX('Usage and Coverage'!$C$63:$C$66,MATCH($X96,'Usage and Coverage'!$B$63:$B$66,0)),"?"))</f>
        <v/>
      </c>
      <c r="BM96" s="97" t="str">
        <f>IF($A96="","",IFERROR(INDEX('Usage and Coverage'!$C$70:$C$75,MATCH($V96,'Usage and Coverage'!$B$70:$B$75,0)),"?"))</f>
        <v/>
      </c>
      <c r="BN96" s="97" t="str">
        <f>IF($A96="","",IF($AB96="",1,IFERROR(INDEX(Deductibles!$C$48:$C$51,MATCH($AB96,Deductibles!$B$48:$B$51,0)),"?")))</f>
        <v/>
      </c>
      <c r="BO96" s="97" t="str">
        <f>IF($A96="","",IF($AC96="",1,IFERROR(INDEX(Deductibles!$C$55:$C$57,MATCH($AC96,Deductibles!$B$55:$B$57,0)),"?")))</f>
        <v/>
      </c>
      <c r="BP96" s="97" t="str">
        <f>IF($A96="","",IF($AD96="",1,IFERROR(INDEX(Deductibles!$C$61:$C$63,MATCH($AD96,Deductibles!$B$61:$B$63,0)),"?")))</f>
        <v/>
      </c>
      <c r="BQ96" s="97" t="str">
        <f>IF($A96="","",IF($AE96="",1,IFERROR(INDEX(Deductibles!$C$67:$C$69,MATCH($AE96,Deductibles!$B$67:$B$69,0)),"?")))</f>
        <v/>
      </c>
      <c r="BR96" s="97" t="str">
        <f>IF($A96="","",IF($AF96="",1,IFERROR(INDEX(Deductibles!$C$73:$C$74,MATCH($AF96,Deductibles!$B$73:$B$74,0)),"?")))</f>
        <v/>
      </c>
      <c r="BS96" s="97" t="str">
        <f>IF($A96="","",IF($AG96="",1,IFERROR(INDEX('Sublimits and Parts'!$C$49:$C$52,MATCH($AG96,'Sublimits and Parts'!$B$49:$B$52,0)),"?")))</f>
        <v/>
      </c>
      <c r="BT96" s="97" t="str">
        <f>IF($A96="","",IF($AH96="",1,IFERROR(INDEX('Sublimits and Parts'!$C$56:$C$60,MATCH($AH96,'Sublimits and Parts'!$B$56:$B$60,0)),"?")))</f>
        <v/>
      </c>
      <c r="BU96" s="97" t="str">
        <f>IF($A96="","",IF($AI96="",1,IFERROR(INDEX('Sublimits and Parts'!$C$64:$C$67,MATCH($AI96,'Sublimits and Parts'!$B$64:$B$67,0)),"?")))</f>
        <v/>
      </c>
      <c r="BV96" s="97" t="str">
        <f>IF($A96="","",IF($AJ96="",1,IFERROR(INDEX('Sublimits and Parts'!$C$71:$C$74,MATCH($AJ96,'Sublimits and Parts'!$B$71:$B$74,0)),"?")))</f>
        <v/>
      </c>
      <c r="BW96" s="97" t="str">
        <f>IF($A96="","",IF($AK96="",1,IFERROR(INDEX('Sublimits and Parts'!$C$78:$C$80,MATCH($AK96,'Sublimits and Parts'!$B$78:$B$80,0)),"?")))</f>
        <v/>
      </c>
      <c r="BX96" s="97" t="str">
        <f>IF($A96="","",IF($AL96="",1,IFERROR(INDEX('Sublimits and Parts'!$C$84:$C$87,MATCH($AL96,'Sublimits and Parts'!$B$84:$B$87,0)),"?")))</f>
        <v/>
      </c>
      <c r="BY96" s="97" t="str">
        <f>IF($A96="","",IF($AM96="",1,IFERROR(INDEX('Sublimits and Parts'!$C$91:$C$94,MATCH($AM96,'Sublimits and Parts'!$B$91:$B$94,0)),"?")))</f>
        <v/>
      </c>
      <c r="BZ96" s="97" t="str">
        <f>IF($A96="","",IF($AN96="",1,IFERROR(INDEX('Sublimits and Parts'!$C$98:$C$101,MATCH($AN96,'Sublimits and Parts'!$B$98:$B$101,0)),"?")))</f>
        <v/>
      </c>
      <c r="CA96" s="97" t="str">
        <f>IF($A96="","",IF($AO96="",1,IFERROR(INDEX('Sublimits and Parts'!$C$105:$C$109,MATCH($AO96,'Sublimits and Parts'!$B$105:$B$109,0)),"?")))</f>
        <v/>
      </c>
      <c r="CB96" s="98" t="str">
        <f t="shared" si="15"/>
        <v/>
      </c>
      <c r="CC96" s="98" t="str">
        <f t="shared" si="16"/>
        <v/>
      </c>
      <c r="CD96" s="101" t="str">
        <f>IF($A96="","",IF(OR($CB96="?",$CC96="?"),"?",MIN($CB96*$CC96,'Technical Premium'!$C$17)))</f>
        <v/>
      </c>
      <c r="CE96" s="100" t="str">
        <f t="shared" si="17"/>
        <v/>
      </c>
      <c r="CF96" s="100" t="str">
        <f>IF($A96="","",IFERROR(INDEX('Territory Factors'!$F$6:$F$56,MATCH($K96,'Territory Factors'!$B$6:$B$56,0)),"?"))</f>
        <v/>
      </c>
      <c r="CG96" s="98" t="str">
        <f>IF($A96="","",IFERROR(INDEX('Usage and Coverage'!$C$79:$C$84,MATCH($Y96,'Usage and Coverage'!$B$79:$B$84,0)),"?"))</f>
        <v/>
      </c>
      <c r="CH96" s="100" t="str">
        <f>IFERROR(IF(ISNUMBER($CD96),$CF96*$CG96*MIN($BG96*$BA96*$BC96*$BD96*$BH96*$BF96,'Technical Premium'!$C$17),""),"")</f>
        <v/>
      </c>
      <c r="CI96" s="100" t="str">
        <f t="shared" si="18"/>
        <v/>
      </c>
      <c r="CJ96" s="100" t="str">
        <f>IFERROR($CI96*(1+'Technical Premium'!$C$5)*(1+'Technical Premium'!$C$6),"")</f>
        <v/>
      </c>
      <c r="CK96" s="100" t="str">
        <f>IFERROR($CE96*INDEX('Territory Factors'!$G$6:$G$56,MATCH($K96,'Territory Factors'!$B$6:$B$56,0))*$AU96*$AV96,"")</f>
        <v/>
      </c>
      <c r="CL96" s="100" t="str">
        <f>IFERROR(($CJ96+$CK96)*(1+'Technical Premium'!$C$7),"")</f>
        <v/>
      </c>
      <c r="CM96" s="102" t="str">
        <f>IFERROR($CL96/'Technical Premium'!$C$13,"")</f>
        <v/>
      </c>
      <c r="CN96" s="103" t="str">
        <f t="shared" si="19"/>
        <v/>
      </c>
      <c r="CO96" s="102" t="str">
        <f t="shared" si="20"/>
        <v/>
      </c>
      <c r="CP96" s="103" t="str">
        <f t="shared" si="21"/>
        <v/>
      </c>
      <c r="CQ96" s="104" t="str">
        <f t="shared" si="22"/>
        <v/>
      </c>
      <c r="CR96" s="100" t="str">
        <f>IF(ISNUMBER($CM96),'Technical Premium'!$C$14+IF($J96&gt;=1000000,'Technical Premium'!$C$15,0),"")</f>
        <v/>
      </c>
      <c r="CS96" s="100" t="str">
        <f>IFERROR(($CO96+$CR96)*(INDEX('Territory Factors'!$K$6:$K$56,MATCH($K96,'Territory Factors'!$B$6:$B$56,0))+'Commission Structure'!$C$21),"")</f>
        <v/>
      </c>
      <c r="CT96" s="102" t="str">
        <f t="shared" si="23"/>
        <v/>
      </c>
      <c r="CU96" s="100" t="str">
        <f>IFERROR($CO96*('Commission Structure'!$C$6+'Commission Structure'!$C$7),"")</f>
        <v/>
      </c>
      <c r="CV96" s="100" t="str">
        <f>IFERROR($CO96*'Commission Structure'!$C$5-$CU96,"")</f>
        <v/>
      </c>
      <c r="CW96" s="100" t="str">
        <f>IFERROR($CO96*(1-'Commission Structure'!$C$5),"")</f>
        <v/>
      </c>
      <c r="CX96" s="105" t="str">
        <f>IF($A96="","",IF(OR($CB96="?",$CC96="?",NOT(ISNUMBER($AU96))),"CHECK INPUTS",IF(OR($J96&lt;'Technical Premium'!$C$18,LEFT(IFERROR(INDEX('Driver Factors'!$D$6:$D$15,MATCH($R96,'Driver Factors'!$B$6:$B$15,0)),""),7)="DECLINE",LEFT(IFERROR(INDEX('Driver Factors'!$D$28:$D$36,MATCH($T96,'Driver Factors'!$B$28:$B$36,0)),""),7)="DECLINE",LEFT(IFERROR(INDEX('Claims History'!$D$6:$D$15,MATCH($U96,'Claims History'!$B$6:$B$15,0)),""),7)="DECLINE",LEFT(IFERROR(INDEX('Usage and Coverage'!$E$6:$E$20,MATCH($N96,'Usage and Coverage'!$C$6:$C$20,0)),""),7)="DECLINE"),"DECLINE",IF(OR($CD96&gt;2.5,$CD96&gt;='Technical Premium'!$C$17,$J96&gt;='Technical Premium'!$C$16,N($AQ96)&lt;'Technical Premium'!$C$19,N($AQ96)&gt;'Technical Premium'!$C$20,LEFT(IFERROR(INDEX('Driver Factors'!$D$6:$D$15,MATCH($R96,'Driver Factors'!$B$6:$B$15,0)),""),5)="Refer",LEFT(IFERROR(INDEX('Driver Factors'!$D$28:$D$36,MATCH($T96,'Driver Factors'!$B$28:$B$36,0)),""),5)="Refer",LEFT(IFERROR(INDEX('Claims History'!$D$6:$D$15,MATCH($U96,'Claims History'!$B$6:$B$15,0)),""),5)="Refer",LEFT(IFERROR(INDEX('Usage and Coverage'!$E$6:$E$20,MATCH($N96,'Usage and Coverage'!$C$6:$C$20,0)),""),5)="Refer"),"REFER","AUTO-BIND"))))</f>
        <v/>
      </c>
      <c r="CY96" s="106" t="str">
        <f t="shared" si="24"/>
        <v/>
      </c>
      <c r="CZ96" s="97" t="str">
        <f>IF($CY96="","",IF($CY96&lt;'Technical Premium'!$C$19,"BEYOND AUTHORITY",IF($CY96&gt;0.005,"Above technical",IF($CY96&lt;-0.005,"BELOW technical","At technical"))))</f>
        <v/>
      </c>
      <c r="DA96" s="97" t="str">
        <f>IF($A96="","",IF($CX96="AUTO-BIND","",TRIM(IF($J96&lt;'Technical Premium'!$C$18,"Below programme minimum agreed value. ","")&amp;IF(N($AQ96)&lt;'Technical Premium'!$C$19,"DISCOUNT AUTHORITY BREACH. ","")&amp;IF(N($AQ96)&gt;'Technical Premium'!$C$20,"Load authority breach. ","")&amp;IF($J96&gt;='Technical Premium'!$C$16,"Agreed value at or above auto-bind limit. ","")&amp;IF(AND(ISNUMBER($CD96),$CD96&gt;='Technical Premium'!$C$17),"Composite factor at cap. ","")&amp;IF(AND(ISNUMBER($CD96),$CD96&gt;2.5),"Composite factor above 2.50. ","")&amp;IF(LEFT(IFERROR(INDEX('Driver Factors'!$D$6:$D$15,MATCH($R96,'Driver Factors'!$B$6:$B$15,0)),""),7)="DECLINE","DECLINE - driver age. ",IF(LEFT(IFERROR(INDEX('Driver Factors'!$D$6:$D$15,MATCH($R96,'Driver Factors'!$B$6:$B$15,0)),""),5)="Refer","Driver age band. ",""))&amp;IF(LEFT(IFERROR(INDEX('Driver Factors'!$D$28:$D$36,MATCH($T96,'Driver Factors'!$B$28:$B$36,0)),""),7)="DECLINE","DECLINE - MVR. ",IF(LEFT(IFERROR(INDEX('Driver Factors'!$D$28:$D$36,MATCH($T96,'Driver Factors'!$B$28:$B$36,0)),""),5)="Refer","MVR record. ",""))&amp;IF(LEFT(IFERROR(INDEX('Claims History'!$D$6:$D$15,MATCH($U96,'Claims History'!$B$6:$B$15,0)),""),7)="DECLINE","DECLINE - claims. ",IF(LEFT(IFERROR(INDEX('Claims History'!$D$6:$D$15,MATCH($U96,'Claims History'!$B$6:$B$15,0)),""),5)="Refer","Claims history. ",""))&amp;IF(LEFT(IFERROR(INDEX('Usage and Coverage'!$E$6:$E$20,MATCH($N96,'Usage and Coverage'!$C$6:$C$20,0)),""),7)="DECLINE","DECLINE - usage class. ",IF(LEFT(IFERROR(INDEX('Usage and Coverage'!$E$6:$E$20,MATCH($N96,'Usage and Coverage'!$C$6:$C$20,0)),""),5)="Refer","Usage class. ",""))&amp;IF($CX96="CHECK INPUTS","Incomplete inputs. ",""))))</f>
        <v/>
      </c>
      <c r="DB96" s="92"/>
      <c r="DC96" s="92"/>
      <c r="DD96" s="93"/>
      <c r="DE96" s="92"/>
      <c r="DF96" s="92"/>
      <c r="DG96" s="97" t="str">
        <f t="shared" si="25"/>
        <v/>
      </c>
      <c r="DH96" s="97" t="str">
        <f>IF($A96="","",IF(OR($CX96="REFER",$CX96="DECLINE"),COUNTIF($CX$5:$CX96,"REFER")+COUNTIF($CX$5:$CX96,"DECLINE"),""))</f>
        <v/>
      </c>
      <c r="DI96" s="92"/>
    </row>
    <row r="97" spans="1:113" x14ac:dyDescent="0.25">
      <c r="A97" s="92"/>
      <c r="B97" s="92"/>
      <c r="C97" s="93"/>
      <c r="D97" s="93"/>
      <c r="E97" s="94"/>
      <c r="F97" s="92"/>
      <c r="G97" s="92"/>
      <c r="H97" s="92"/>
      <c r="I97" s="92"/>
      <c r="J97" s="95"/>
      <c r="K97" s="92"/>
      <c r="L97" s="92"/>
      <c r="M97" s="92"/>
      <c r="N97" s="92"/>
      <c r="O97" s="92"/>
      <c r="P97" s="92"/>
      <c r="Q97" s="92"/>
      <c r="R97" s="92"/>
      <c r="S97" s="92"/>
      <c r="T97" s="92"/>
      <c r="U97" s="92"/>
      <c r="V97" s="92"/>
      <c r="W97" s="92"/>
      <c r="X97" s="92"/>
      <c r="Y97" s="92"/>
      <c r="Z97" s="92"/>
      <c r="AA97" s="92"/>
      <c r="AB97" s="92"/>
      <c r="AC97" s="92"/>
      <c r="AD97" s="92"/>
      <c r="AE97" s="92"/>
      <c r="AF97" s="92"/>
      <c r="AG97" s="92"/>
      <c r="AH97" s="92"/>
      <c r="AI97" s="92"/>
      <c r="AJ97" s="92"/>
      <c r="AK97" s="92"/>
      <c r="AL97" s="92"/>
      <c r="AM97" s="92"/>
      <c r="AN97" s="92"/>
      <c r="AO97" s="92"/>
      <c r="AP97" s="92"/>
      <c r="AQ97" s="96"/>
      <c r="AR97" s="97" t="str">
        <f t="shared" si="13"/>
        <v/>
      </c>
      <c r="AS97" s="97" t="str">
        <f>IF($A97="","",IF($AP97&lt;&gt;"",$AP97,IFERROR(INDEX('Cat Zone by ZIP'!$D$6:$D$856,MATCH($AR97,'Cat Zone by ZIP'!$B$6:$B$856,0)),IFERROR(INDEX('Cat Zone by ZIP'!$C$860:$C$910,MATCH($K97,'Cat Zone by ZIP'!$B$860:$B$910,0)),"NOT FOUND"))))</f>
        <v/>
      </c>
      <c r="AT97" s="97" t="str">
        <f>IF($A97="","",IF($AP97&lt;&gt;"","Override",IF(ISNUMBER(MATCH($AR97,'Cat Zone by ZIP'!$B$6:$B$856,0)),"ZIP-3","State default")))</f>
        <v/>
      </c>
      <c r="AU97" s="98" t="str">
        <f>IF($A97="","",IFERROR(INDEX('Natural Catastrophe'!$D$6:$D$17,MATCH($AS97,'Natural Catastrophe'!$B$6:$B$17,0)),"?"))</f>
        <v/>
      </c>
      <c r="AV97" s="98" t="str">
        <f>IF($A97="","",IFERROR(INDEX('Natural Catastrophe'!$C$21:$C$26,MATCH($AA97,'Natural Catastrophe'!$B$21:$B$26,0)),"?"))</f>
        <v/>
      </c>
      <c r="AW97" s="97" t="str">
        <f>IF($A97="","",IFERROR(INDEX('Base Rates'!$C$4:$I$4,MATCH(MAX($J97,'Technical Premium'!$C$18),'Base Rates'!$C$3:$I$3,1)),"?"))</f>
        <v/>
      </c>
      <c r="AX97" s="99" t="str">
        <f>IF($A97="","",IFERROR(INDEX('Base Rates'!$C$5:$I$16,MATCH($I97,'Base Rates'!$B$5:$B$16,0),MATCH(MAX($J97,'Technical Premium'!$C$18),'Base Rates'!$C$3:$I$3,1)),"?"))</f>
        <v/>
      </c>
      <c r="AY97" s="100" t="str">
        <f t="shared" si="14"/>
        <v/>
      </c>
      <c r="AZ97" s="97" t="str">
        <f>IF($A97="","",IFERROR(INDEX('Make Factors'!$G$5:$G$69,MATCH($F97,'Make Factors'!$B$5:$B$69,0)),"?"))</f>
        <v/>
      </c>
      <c r="BA97" s="97" t="str">
        <f>IF($A97="","",IFERROR(INDEX('Driver Factors'!$C$6:$C$15,MATCH($R97,'Driver Factors'!$B$6:$B$15,0)),"?"))</f>
        <v/>
      </c>
      <c r="BB97" s="97" t="str">
        <f>IF($A97="","",IFERROR(INDEX('Driver Factors'!$C$19:$C$24,MATCH($S97,'Driver Factors'!$B$19:$B$24,0)),"?"))</f>
        <v/>
      </c>
      <c r="BC97" s="97" t="str">
        <f>IF($A97="","",IFERROR(INDEX('Driver Factors'!$C$28:$C$36,MATCH($T97,'Driver Factors'!$B$28:$B$36,0)),"?"))</f>
        <v/>
      </c>
      <c r="BD97" s="97" t="str">
        <f>IF($A97="","",IFERROR(INDEX('Claims History'!$C$6:$C$15,MATCH($U97,'Claims History'!$B$6:$B$15,0)),"?"))</f>
        <v/>
      </c>
      <c r="BE97" s="97" t="str">
        <f>IF($A97="","",IFERROR(INDEX('Territory Factors'!$E$6:$E$56,MATCH($K97,'Territory Factors'!$B$6:$B$56,0)),"?"))</f>
        <v/>
      </c>
      <c r="BF97" s="97" t="str">
        <f>IF($A97="","",IFERROR(INDEX('City Accident Ratings'!$G$6:$G$54,MATCH($Z97,'City Accident Ratings'!$B$6:$B$54,0)),"?"))</f>
        <v/>
      </c>
      <c r="BG97" s="97" t="str">
        <f>IF($A97="","",IFERROR(INDEX('Usage and Coverage'!$D$6:$D$20,MATCH($N97,'Usage and Coverage'!$C$6:$C$20,0)),"?"))</f>
        <v/>
      </c>
      <c r="BH97" s="97" t="str">
        <f>IF($A97="","",IFERROR(INDEX('Usage and Coverage'!$C$24:$C$30,MATCH($O97,'Usage and Coverage'!$B$24:$B$30,0)),"?"))</f>
        <v/>
      </c>
      <c r="BI97" s="97" t="str">
        <f>IF($A97="","",IFERROR(INDEX('Usage and Coverage'!$C$34:$C$40,MATCH($P97,'Usage and Coverage'!$B$34:$B$40,0)),"?"))</f>
        <v/>
      </c>
      <c r="BJ97" s="97" t="str">
        <f>IF($A97="","",IFERROR(INDEX('Usage and Coverage'!$C$44:$C$49,MATCH($Q97,'Usage and Coverage'!$B$44:$B$49,0)),"?"))</f>
        <v/>
      </c>
      <c r="BK97" s="97" t="str">
        <f>IF($A97="","",IFERROR(INDEX(Deductibles!$C$6:$I$15,MATCH($W97,Deductibles!$B$6:$B$15,0),MATCH(MAX($J97,'Technical Premium'!$C$18),'Base Rates'!$C$3:$I$3,1)),"?"))</f>
        <v/>
      </c>
      <c r="BL97" s="97" t="str">
        <f>IF($A97="","",IFERROR(INDEX('Usage and Coverage'!$C$63:$C$66,MATCH($X97,'Usage and Coverage'!$B$63:$B$66,0)),"?"))</f>
        <v/>
      </c>
      <c r="BM97" s="97" t="str">
        <f>IF($A97="","",IFERROR(INDEX('Usage and Coverage'!$C$70:$C$75,MATCH($V97,'Usage and Coverage'!$B$70:$B$75,0)),"?"))</f>
        <v/>
      </c>
      <c r="BN97" s="97" t="str">
        <f>IF($A97="","",IF($AB97="",1,IFERROR(INDEX(Deductibles!$C$48:$C$51,MATCH($AB97,Deductibles!$B$48:$B$51,0)),"?")))</f>
        <v/>
      </c>
      <c r="BO97" s="97" t="str">
        <f>IF($A97="","",IF($AC97="",1,IFERROR(INDEX(Deductibles!$C$55:$C$57,MATCH($AC97,Deductibles!$B$55:$B$57,0)),"?")))</f>
        <v/>
      </c>
      <c r="BP97" s="97" t="str">
        <f>IF($A97="","",IF($AD97="",1,IFERROR(INDEX(Deductibles!$C$61:$C$63,MATCH($AD97,Deductibles!$B$61:$B$63,0)),"?")))</f>
        <v/>
      </c>
      <c r="BQ97" s="97" t="str">
        <f>IF($A97="","",IF($AE97="",1,IFERROR(INDEX(Deductibles!$C$67:$C$69,MATCH($AE97,Deductibles!$B$67:$B$69,0)),"?")))</f>
        <v/>
      </c>
      <c r="BR97" s="97" t="str">
        <f>IF($A97="","",IF($AF97="",1,IFERROR(INDEX(Deductibles!$C$73:$C$74,MATCH($AF97,Deductibles!$B$73:$B$74,0)),"?")))</f>
        <v/>
      </c>
      <c r="BS97" s="97" t="str">
        <f>IF($A97="","",IF($AG97="",1,IFERROR(INDEX('Sublimits and Parts'!$C$49:$C$52,MATCH($AG97,'Sublimits and Parts'!$B$49:$B$52,0)),"?")))</f>
        <v/>
      </c>
      <c r="BT97" s="97" t="str">
        <f>IF($A97="","",IF($AH97="",1,IFERROR(INDEX('Sublimits and Parts'!$C$56:$C$60,MATCH($AH97,'Sublimits and Parts'!$B$56:$B$60,0)),"?")))</f>
        <v/>
      </c>
      <c r="BU97" s="97" t="str">
        <f>IF($A97="","",IF($AI97="",1,IFERROR(INDEX('Sublimits and Parts'!$C$64:$C$67,MATCH($AI97,'Sublimits and Parts'!$B$64:$B$67,0)),"?")))</f>
        <v/>
      </c>
      <c r="BV97" s="97" t="str">
        <f>IF($A97="","",IF($AJ97="",1,IFERROR(INDEX('Sublimits and Parts'!$C$71:$C$74,MATCH($AJ97,'Sublimits and Parts'!$B$71:$B$74,0)),"?")))</f>
        <v/>
      </c>
      <c r="BW97" s="97" t="str">
        <f>IF($A97="","",IF($AK97="",1,IFERROR(INDEX('Sublimits and Parts'!$C$78:$C$80,MATCH($AK97,'Sublimits and Parts'!$B$78:$B$80,0)),"?")))</f>
        <v/>
      </c>
      <c r="BX97" s="97" t="str">
        <f>IF($A97="","",IF($AL97="",1,IFERROR(INDEX('Sublimits and Parts'!$C$84:$C$87,MATCH($AL97,'Sublimits and Parts'!$B$84:$B$87,0)),"?")))</f>
        <v/>
      </c>
      <c r="BY97" s="97" t="str">
        <f>IF($A97="","",IF($AM97="",1,IFERROR(INDEX('Sublimits and Parts'!$C$91:$C$94,MATCH($AM97,'Sublimits and Parts'!$B$91:$B$94,0)),"?")))</f>
        <v/>
      </c>
      <c r="BZ97" s="97" t="str">
        <f>IF($A97="","",IF($AN97="",1,IFERROR(INDEX('Sublimits and Parts'!$C$98:$C$101,MATCH($AN97,'Sublimits and Parts'!$B$98:$B$101,0)),"?")))</f>
        <v/>
      </c>
      <c r="CA97" s="97" t="str">
        <f>IF($A97="","",IF($AO97="",1,IFERROR(INDEX('Sublimits and Parts'!$C$105:$C$109,MATCH($AO97,'Sublimits and Parts'!$B$105:$B$109,0)),"?")))</f>
        <v/>
      </c>
      <c r="CB97" s="98" t="str">
        <f t="shared" si="15"/>
        <v/>
      </c>
      <c r="CC97" s="98" t="str">
        <f t="shared" si="16"/>
        <v/>
      </c>
      <c r="CD97" s="101" t="str">
        <f>IF($A97="","",IF(OR($CB97="?",$CC97="?"),"?",MIN($CB97*$CC97,'Technical Premium'!$C$17)))</f>
        <v/>
      </c>
      <c r="CE97" s="100" t="str">
        <f t="shared" si="17"/>
        <v/>
      </c>
      <c r="CF97" s="100" t="str">
        <f>IF($A97="","",IFERROR(INDEX('Territory Factors'!$F$6:$F$56,MATCH($K97,'Territory Factors'!$B$6:$B$56,0)),"?"))</f>
        <v/>
      </c>
      <c r="CG97" s="98" t="str">
        <f>IF($A97="","",IFERROR(INDEX('Usage and Coverage'!$C$79:$C$84,MATCH($Y97,'Usage and Coverage'!$B$79:$B$84,0)),"?"))</f>
        <v/>
      </c>
      <c r="CH97" s="100" t="str">
        <f>IFERROR(IF(ISNUMBER($CD97),$CF97*$CG97*MIN($BG97*$BA97*$BC97*$BD97*$BH97*$BF97,'Technical Premium'!$C$17),""),"")</f>
        <v/>
      </c>
      <c r="CI97" s="100" t="str">
        <f t="shared" si="18"/>
        <v/>
      </c>
      <c r="CJ97" s="100" t="str">
        <f>IFERROR($CI97*(1+'Technical Premium'!$C$5)*(1+'Technical Premium'!$C$6),"")</f>
        <v/>
      </c>
      <c r="CK97" s="100" t="str">
        <f>IFERROR($CE97*INDEX('Territory Factors'!$G$6:$G$56,MATCH($K97,'Territory Factors'!$B$6:$B$56,0))*$AU97*$AV97,"")</f>
        <v/>
      </c>
      <c r="CL97" s="100" t="str">
        <f>IFERROR(($CJ97+$CK97)*(1+'Technical Premium'!$C$7),"")</f>
        <v/>
      </c>
      <c r="CM97" s="102" t="str">
        <f>IFERROR($CL97/'Technical Premium'!$C$13,"")</f>
        <v/>
      </c>
      <c r="CN97" s="103" t="str">
        <f t="shared" si="19"/>
        <v/>
      </c>
      <c r="CO97" s="102" t="str">
        <f t="shared" si="20"/>
        <v/>
      </c>
      <c r="CP97" s="103" t="str">
        <f t="shared" si="21"/>
        <v/>
      </c>
      <c r="CQ97" s="104" t="str">
        <f t="shared" si="22"/>
        <v/>
      </c>
      <c r="CR97" s="100" t="str">
        <f>IF(ISNUMBER($CM97),'Technical Premium'!$C$14+IF($J97&gt;=1000000,'Technical Premium'!$C$15,0),"")</f>
        <v/>
      </c>
      <c r="CS97" s="100" t="str">
        <f>IFERROR(($CO97+$CR97)*(INDEX('Territory Factors'!$K$6:$K$56,MATCH($K97,'Territory Factors'!$B$6:$B$56,0))+'Commission Structure'!$C$21),"")</f>
        <v/>
      </c>
      <c r="CT97" s="102" t="str">
        <f t="shared" si="23"/>
        <v/>
      </c>
      <c r="CU97" s="100" t="str">
        <f>IFERROR($CO97*('Commission Structure'!$C$6+'Commission Structure'!$C$7),"")</f>
        <v/>
      </c>
      <c r="CV97" s="100" t="str">
        <f>IFERROR($CO97*'Commission Structure'!$C$5-$CU97,"")</f>
        <v/>
      </c>
      <c r="CW97" s="100" t="str">
        <f>IFERROR($CO97*(1-'Commission Structure'!$C$5),"")</f>
        <v/>
      </c>
      <c r="CX97" s="105" t="str">
        <f>IF($A97="","",IF(OR($CB97="?",$CC97="?",NOT(ISNUMBER($AU97))),"CHECK INPUTS",IF(OR($J97&lt;'Technical Premium'!$C$18,LEFT(IFERROR(INDEX('Driver Factors'!$D$6:$D$15,MATCH($R97,'Driver Factors'!$B$6:$B$15,0)),""),7)="DECLINE",LEFT(IFERROR(INDEX('Driver Factors'!$D$28:$D$36,MATCH($T97,'Driver Factors'!$B$28:$B$36,0)),""),7)="DECLINE",LEFT(IFERROR(INDEX('Claims History'!$D$6:$D$15,MATCH($U97,'Claims History'!$B$6:$B$15,0)),""),7)="DECLINE",LEFT(IFERROR(INDEX('Usage and Coverage'!$E$6:$E$20,MATCH($N97,'Usage and Coverage'!$C$6:$C$20,0)),""),7)="DECLINE"),"DECLINE",IF(OR($CD97&gt;2.5,$CD97&gt;='Technical Premium'!$C$17,$J97&gt;='Technical Premium'!$C$16,N($AQ97)&lt;'Technical Premium'!$C$19,N($AQ97)&gt;'Technical Premium'!$C$20,LEFT(IFERROR(INDEX('Driver Factors'!$D$6:$D$15,MATCH($R97,'Driver Factors'!$B$6:$B$15,0)),""),5)="Refer",LEFT(IFERROR(INDEX('Driver Factors'!$D$28:$D$36,MATCH($T97,'Driver Factors'!$B$28:$B$36,0)),""),5)="Refer",LEFT(IFERROR(INDEX('Claims History'!$D$6:$D$15,MATCH($U97,'Claims History'!$B$6:$B$15,0)),""),5)="Refer",LEFT(IFERROR(INDEX('Usage and Coverage'!$E$6:$E$20,MATCH($N97,'Usage and Coverage'!$C$6:$C$20,0)),""),5)="Refer"),"REFER","AUTO-BIND"))))</f>
        <v/>
      </c>
      <c r="CY97" s="106" t="str">
        <f t="shared" si="24"/>
        <v/>
      </c>
      <c r="CZ97" s="97" t="str">
        <f>IF($CY97="","",IF($CY97&lt;'Technical Premium'!$C$19,"BEYOND AUTHORITY",IF($CY97&gt;0.005,"Above technical",IF($CY97&lt;-0.005,"BELOW technical","At technical"))))</f>
        <v/>
      </c>
      <c r="DA97" s="97" t="str">
        <f>IF($A97="","",IF($CX97="AUTO-BIND","",TRIM(IF($J97&lt;'Technical Premium'!$C$18,"Below programme minimum agreed value. ","")&amp;IF(N($AQ97)&lt;'Technical Premium'!$C$19,"DISCOUNT AUTHORITY BREACH. ","")&amp;IF(N($AQ97)&gt;'Technical Premium'!$C$20,"Load authority breach. ","")&amp;IF($J97&gt;='Technical Premium'!$C$16,"Agreed value at or above auto-bind limit. ","")&amp;IF(AND(ISNUMBER($CD97),$CD97&gt;='Technical Premium'!$C$17),"Composite factor at cap. ","")&amp;IF(AND(ISNUMBER($CD97),$CD97&gt;2.5),"Composite factor above 2.50. ","")&amp;IF(LEFT(IFERROR(INDEX('Driver Factors'!$D$6:$D$15,MATCH($R97,'Driver Factors'!$B$6:$B$15,0)),""),7)="DECLINE","DECLINE - driver age. ",IF(LEFT(IFERROR(INDEX('Driver Factors'!$D$6:$D$15,MATCH($R97,'Driver Factors'!$B$6:$B$15,0)),""),5)="Refer","Driver age band. ",""))&amp;IF(LEFT(IFERROR(INDEX('Driver Factors'!$D$28:$D$36,MATCH($T97,'Driver Factors'!$B$28:$B$36,0)),""),7)="DECLINE","DECLINE - MVR. ",IF(LEFT(IFERROR(INDEX('Driver Factors'!$D$28:$D$36,MATCH($T97,'Driver Factors'!$B$28:$B$36,0)),""),5)="Refer","MVR record. ",""))&amp;IF(LEFT(IFERROR(INDEX('Claims History'!$D$6:$D$15,MATCH($U97,'Claims History'!$B$6:$B$15,0)),""),7)="DECLINE","DECLINE - claims. ",IF(LEFT(IFERROR(INDEX('Claims History'!$D$6:$D$15,MATCH($U97,'Claims History'!$B$6:$B$15,0)),""),5)="Refer","Claims history. ",""))&amp;IF(LEFT(IFERROR(INDEX('Usage and Coverage'!$E$6:$E$20,MATCH($N97,'Usage and Coverage'!$C$6:$C$20,0)),""),7)="DECLINE","DECLINE - usage class. ",IF(LEFT(IFERROR(INDEX('Usage and Coverage'!$E$6:$E$20,MATCH($N97,'Usage and Coverage'!$C$6:$C$20,0)),""),5)="Refer","Usage class. ",""))&amp;IF($CX97="CHECK INPUTS","Incomplete inputs. ",""))))</f>
        <v/>
      </c>
      <c r="DB97" s="92"/>
      <c r="DC97" s="92"/>
      <c r="DD97" s="93"/>
      <c r="DE97" s="92"/>
      <c r="DF97" s="92"/>
      <c r="DG97" s="97" t="str">
        <f t="shared" si="25"/>
        <v/>
      </c>
      <c r="DH97" s="97" t="str">
        <f>IF($A97="","",IF(OR($CX97="REFER",$CX97="DECLINE"),COUNTIF($CX$5:$CX97,"REFER")+COUNTIF($CX$5:$CX97,"DECLINE"),""))</f>
        <v/>
      </c>
      <c r="DI97" s="92"/>
    </row>
    <row r="98" spans="1:113" x14ac:dyDescent="0.25">
      <c r="A98" s="92"/>
      <c r="B98" s="92"/>
      <c r="C98" s="93"/>
      <c r="D98" s="93"/>
      <c r="E98" s="94"/>
      <c r="F98" s="92"/>
      <c r="G98" s="92"/>
      <c r="H98" s="92"/>
      <c r="I98" s="92"/>
      <c r="J98" s="95"/>
      <c r="K98" s="92"/>
      <c r="L98" s="92"/>
      <c r="M98" s="92"/>
      <c r="N98" s="92"/>
      <c r="O98" s="92"/>
      <c r="P98" s="92"/>
      <c r="Q98" s="92"/>
      <c r="R98" s="92"/>
      <c r="S98" s="92"/>
      <c r="T98" s="92"/>
      <c r="U98" s="92"/>
      <c r="V98" s="92"/>
      <c r="W98" s="92"/>
      <c r="X98" s="92"/>
      <c r="Y98" s="92"/>
      <c r="Z98" s="92"/>
      <c r="AA98" s="92"/>
      <c r="AB98" s="92"/>
      <c r="AC98" s="92"/>
      <c r="AD98" s="92"/>
      <c r="AE98" s="92"/>
      <c r="AF98" s="92"/>
      <c r="AG98" s="92"/>
      <c r="AH98" s="92"/>
      <c r="AI98" s="92"/>
      <c r="AJ98" s="92"/>
      <c r="AK98" s="92"/>
      <c r="AL98" s="92"/>
      <c r="AM98" s="92"/>
      <c r="AN98" s="92"/>
      <c r="AO98" s="92"/>
      <c r="AP98" s="92"/>
      <c r="AQ98" s="96"/>
      <c r="AR98" s="97" t="str">
        <f t="shared" si="13"/>
        <v/>
      </c>
      <c r="AS98" s="97" t="str">
        <f>IF($A98="","",IF($AP98&lt;&gt;"",$AP98,IFERROR(INDEX('Cat Zone by ZIP'!$D$6:$D$856,MATCH($AR98,'Cat Zone by ZIP'!$B$6:$B$856,0)),IFERROR(INDEX('Cat Zone by ZIP'!$C$860:$C$910,MATCH($K98,'Cat Zone by ZIP'!$B$860:$B$910,0)),"NOT FOUND"))))</f>
        <v/>
      </c>
      <c r="AT98" s="97" t="str">
        <f>IF($A98="","",IF($AP98&lt;&gt;"","Override",IF(ISNUMBER(MATCH($AR98,'Cat Zone by ZIP'!$B$6:$B$856,0)),"ZIP-3","State default")))</f>
        <v/>
      </c>
      <c r="AU98" s="98" t="str">
        <f>IF($A98="","",IFERROR(INDEX('Natural Catastrophe'!$D$6:$D$17,MATCH($AS98,'Natural Catastrophe'!$B$6:$B$17,0)),"?"))</f>
        <v/>
      </c>
      <c r="AV98" s="98" t="str">
        <f>IF($A98="","",IFERROR(INDEX('Natural Catastrophe'!$C$21:$C$26,MATCH($AA98,'Natural Catastrophe'!$B$21:$B$26,0)),"?"))</f>
        <v/>
      </c>
      <c r="AW98" s="97" t="str">
        <f>IF($A98="","",IFERROR(INDEX('Base Rates'!$C$4:$I$4,MATCH(MAX($J98,'Technical Premium'!$C$18),'Base Rates'!$C$3:$I$3,1)),"?"))</f>
        <v/>
      </c>
      <c r="AX98" s="99" t="str">
        <f>IF($A98="","",IFERROR(INDEX('Base Rates'!$C$5:$I$16,MATCH($I98,'Base Rates'!$B$5:$B$16,0),MATCH(MAX($J98,'Technical Premium'!$C$18),'Base Rates'!$C$3:$I$3,1)),"?"))</f>
        <v/>
      </c>
      <c r="AY98" s="100" t="str">
        <f t="shared" si="14"/>
        <v/>
      </c>
      <c r="AZ98" s="97" t="str">
        <f>IF($A98="","",IFERROR(INDEX('Make Factors'!$G$5:$G$69,MATCH($F98,'Make Factors'!$B$5:$B$69,0)),"?"))</f>
        <v/>
      </c>
      <c r="BA98" s="97" t="str">
        <f>IF($A98="","",IFERROR(INDEX('Driver Factors'!$C$6:$C$15,MATCH($R98,'Driver Factors'!$B$6:$B$15,0)),"?"))</f>
        <v/>
      </c>
      <c r="BB98" s="97" t="str">
        <f>IF($A98="","",IFERROR(INDEX('Driver Factors'!$C$19:$C$24,MATCH($S98,'Driver Factors'!$B$19:$B$24,0)),"?"))</f>
        <v/>
      </c>
      <c r="BC98" s="97" t="str">
        <f>IF($A98="","",IFERROR(INDEX('Driver Factors'!$C$28:$C$36,MATCH($T98,'Driver Factors'!$B$28:$B$36,0)),"?"))</f>
        <v/>
      </c>
      <c r="BD98" s="97" t="str">
        <f>IF($A98="","",IFERROR(INDEX('Claims History'!$C$6:$C$15,MATCH($U98,'Claims History'!$B$6:$B$15,0)),"?"))</f>
        <v/>
      </c>
      <c r="BE98" s="97" t="str">
        <f>IF($A98="","",IFERROR(INDEX('Territory Factors'!$E$6:$E$56,MATCH($K98,'Territory Factors'!$B$6:$B$56,0)),"?"))</f>
        <v/>
      </c>
      <c r="BF98" s="97" t="str">
        <f>IF($A98="","",IFERROR(INDEX('City Accident Ratings'!$G$6:$G$54,MATCH($Z98,'City Accident Ratings'!$B$6:$B$54,0)),"?"))</f>
        <v/>
      </c>
      <c r="BG98" s="97" t="str">
        <f>IF($A98="","",IFERROR(INDEX('Usage and Coverage'!$D$6:$D$20,MATCH($N98,'Usage and Coverage'!$C$6:$C$20,0)),"?"))</f>
        <v/>
      </c>
      <c r="BH98" s="97" t="str">
        <f>IF($A98="","",IFERROR(INDEX('Usage and Coverage'!$C$24:$C$30,MATCH($O98,'Usage and Coverage'!$B$24:$B$30,0)),"?"))</f>
        <v/>
      </c>
      <c r="BI98" s="97" t="str">
        <f>IF($A98="","",IFERROR(INDEX('Usage and Coverage'!$C$34:$C$40,MATCH($P98,'Usage and Coverage'!$B$34:$B$40,0)),"?"))</f>
        <v/>
      </c>
      <c r="BJ98" s="97" t="str">
        <f>IF($A98="","",IFERROR(INDEX('Usage and Coverage'!$C$44:$C$49,MATCH($Q98,'Usage and Coverage'!$B$44:$B$49,0)),"?"))</f>
        <v/>
      </c>
      <c r="BK98" s="97" t="str">
        <f>IF($A98="","",IFERROR(INDEX(Deductibles!$C$6:$I$15,MATCH($W98,Deductibles!$B$6:$B$15,0),MATCH(MAX($J98,'Technical Premium'!$C$18),'Base Rates'!$C$3:$I$3,1)),"?"))</f>
        <v/>
      </c>
      <c r="BL98" s="97" t="str">
        <f>IF($A98="","",IFERROR(INDEX('Usage and Coverage'!$C$63:$C$66,MATCH($X98,'Usage and Coverage'!$B$63:$B$66,0)),"?"))</f>
        <v/>
      </c>
      <c r="BM98" s="97" t="str">
        <f>IF($A98="","",IFERROR(INDEX('Usage and Coverage'!$C$70:$C$75,MATCH($V98,'Usage and Coverage'!$B$70:$B$75,0)),"?"))</f>
        <v/>
      </c>
      <c r="BN98" s="97" t="str">
        <f>IF($A98="","",IF($AB98="",1,IFERROR(INDEX(Deductibles!$C$48:$C$51,MATCH($AB98,Deductibles!$B$48:$B$51,0)),"?")))</f>
        <v/>
      </c>
      <c r="BO98" s="97" t="str">
        <f>IF($A98="","",IF($AC98="",1,IFERROR(INDEX(Deductibles!$C$55:$C$57,MATCH($AC98,Deductibles!$B$55:$B$57,0)),"?")))</f>
        <v/>
      </c>
      <c r="BP98" s="97" t="str">
        <f>IF($A98="","",IF($AD98="",1,IFERROR(INDEX(Deductibles!$C$61:$C$63,MATCH($AD98,Deductibles!$B$61:$B$63,0)),"?")))</f>
        <v/>
      </c>
      <c r="BQ98" s="97" t="str">
        <f>IF($A98="","",IF($AE98="",1,IFERROR(INDEX(Deductibles!$C$67:$C$69,MATCH($AE98,Deductibles!$B$67:$B$69,0)),"?")))</f>
        <v/>
      </c>
      <c r="BR98" s="97" t="str">
        <f>IF($A98="","",IF($AF98="",1,IFERROR(INDEX(Deductibles!$C$73:$C$74,MATCH($AF98,Deductibles!$B$73:$B$74,0)),"?")))</f>
        <v/>
      </c>
      <c r="BS98" s="97" t="str">
        <f>IF($A98="","",IF($AG98="",1,IFERROR(INDEX('Sublimits and Parts'!$C$49:$C$52,MATCH($AG98,'Sublimits and Parts'!$B$49:$B$52,0)),"?")))</f>
        <v/>
      </c>
      <c r="BT98" s="97" t="str">
        <f>IF($A98="","",IF($AH98="",1,IFERROR(INDEX('Sublimits and Parts'!$C$56:$C$60,MATCH($AH98,'Sublimits and Parts'!$B$56:$B$60,0)),"?")))</f>
        <v/>
      </c>
      <c r="BU98" s="97" t="str">
        <f>IF($A98="","",IF($AI98="",1,IFERROR(INDEX('Sublimits and Parts'!$C$64:$C$67,MATCH($AI98,'Sublimits and Parts'!$B$64:$B$67,0)),"?")))</f>
        <v/>
      </c>
      <c r="BV98" s="97" t="str">
        <f>IF($A98="","",IF($AJ98="",1,IFERROR(INDEX('Sublimits and Parts'!$C$71:$C$74,MATCH($AJ98,'Sublimits and Parts'!$B$71:$B$74,0)),"?")))</f>
        <v/>
      </c>
      <c r="BW98" s="97" t="str">
        <f>IF($A98="","",IF($AK98="",1,IFERROR(INDEX('Sublimits and Parts'!$C$78:$C$80,MATCH($AK98,'Sublimits and Parts'!$B$78:$B$80,0)),"?")))</f>
        <v/>
      </c>
      <c r="BX98" s="97" t="str">
        <f>IF($A98="","",IF($AL98="",1,IFERROR(INDEX('Sublimits and Parts'!$C$84:$C$87,MATCH($AL98,'Sublimits and Parts'!$B$84:$B$87,0)),"?")))</f>
        <v/>
      </c>
      <c r="BY98" s="97" t="str">
        <f>IF($A98="","",IF($AM98="",1,IFERROR(INDEX('Sublimits and Parts'!$C$91:$C$94,MATCH($AM98,'Sublimits and Parts'!$B$91:$B$94,0)),"?")))</f>
        <v/>
      </c>
      <c r="BZ98" s="97" t="str">
        <f>IF($A98="","",IF($AN98="",1,IFERROR(INDEX('Sublimits and Parts'!$C$98:$C$101,MATCH($AN98,'Sublimits and Parts'!$B$98:$B$101,0)),"?")))</f>
        <v/>
      </c>
      <c r="CA98" s="97" t="str">
        <f>IF($A98="","",IF($AO98="",1,IFERROR(INDEX('Sublimits and Parts'!$C$105:$C$109,MATCH($AO98,'Sublimits and Parts'!$B$105:$B$109,0)),"?")))</f>
        <v/>
      </c>
      <c r="CB98" s="98" t="str">
        <f t="shared" si="15"/>
        <v/>
      </c>
      <c r="CC98" s="98" t="str">
        <f t="shared" si="16"/>
        <v/>
      </c>
      <c r="CD98" s="101" t="str">
        <f>IF($A98="","",IF(OR($CB98="?",$CC98="?"),"?",MIN($CB98*$CC98,'Technical Premium'!$C$17)))</f>
        <v/>
      </c>
      <c r="CE98" s="100" t="str">
        <f t="shared" si="17"/>
        <v/>
      </c>
      <c r="CF98" s="100" t="str">
        <f>IF($A98="","",IFERROR(INDEX('Territory Factors'!$F$6:$F$56,MATCH($K98,'Territory Factors'!$B$6:$B$56,0)),"?"))</f>
        <v/>
      </c>
      <c r="CG98" s="98" t="str">
        <f>IF($A98="","",IFERROR(INDEX('Usage and Coverage'!$C$79:$C$84,MATCH($Y98,'Usage and Coverage'!$B$79:$B$84,0)),"?"))</f>
        <v/>
      </c>
      <c r="CH98" s="100" t="str">
        <f>IFERROR(IF(ISNUMBER($CD98),$CF98*$CG98*MIN($BG98*$BA98*$BC98*$BD98*$BH98*$BF98,'Technical Premium'!$C$17),""),"")</f>
        <v/>
      </c>
      <c r="CI98" s="100" t="str">
        <f t="shared" si="18"/>
        <v/>
      </c>
      <c r="CJ98" s="100" t="str">
        <f>IFERROR($CI98*(1+'Technical Premium'!$C$5)*(1+'Technical Premium'!$C$6),"")</f>
        <v/>
      </c>
      <c r="CK98" s="100" t="str">
        <f>IFERROR($CE98*INDEX('Territory Factors'!$G$6:$G$56,MATCH($K98,'Territory Factors'!$B$6:$B$56,0))*$AU98*$AV98,"")</f>
        <v/>
      </c>
      <c r="CL98" s="100" t="str">
        <f>IFERROR(($CJ98+$CK98)*(1+'Technical Premium'!$C$7),"")</f>
        <v/>
      </c>
      <c r="CM98" s="102" t="str">
        <f>IFERROR($CL98/'Technical Premium'!$C$13,"")</f>
        <v/>
      </c>
      <c r="CN98" s="103" t="str">
        <f t="shared" si="19"/>
        <v/>
      </c>
      <c r="CO98" s="102" t="str">
        <f t="shared" si="20"/>
        <v/>
      </c>
      <c r="CP98" s="103" t="str">
        <f t="shared" si="21"/>
        <v/>
      </c>
      <c r="CQ98" s="104" t="str">
        <f t="shared" si="22"/>
        <v/>
      </c>
      <c r="CR98" s="100" t="str">
        <f>IF(ISNUMBER($CM98),'Technical Premium'!$C$14+IF($J98&gt;=1000000,'Technical Premium'!$C$15,0),"")</f>
        <v/>
      </c>
      <c r="CS98" s="100" t="str">
        <f>IFERROR(($CO98+$CR98)*(INDEX('Territory Factors'!$K$6:$K$56,MATCH($K98,'Territory Factors'!$B$6:$B$56,0))+'Commission Structure'!$C$21),"")</f>
        <v/>
      </c>
      <c r="CT98" s="102" t="str">
        <f t="shared" si="23"/>
        <v/>
      </c>
      <c r="CU98" s="100" t="str">
        <f>IFERROR($CO98*('Commission Structure'!$C$6+'Commission Structure'!$C$7),"")</f>
        <v/>
      </c>
      <c r="CV98" s="100" t="str">
        <f>IFERROR($CO98*'Commission Structure'!$C$5-$CU98,"")</f>
        <v/>
      </c>
      <c r="CW98" s="100" t="str">
        <f>IFERROR($CO98*(1-'Commission Structure'!$C$5),"")</f>
        <v/>
      </c>
      <c r="CX98" s="105" t="str">
        <f>IF($A98="","",IF(OR($CB98="?",$CC98="?",NOT(ISNUMBER($AU98))),"CHECK INPUTS",IF(OR($J98&lt;'Technical Premium'!$C$18,LEFT(IFERROR(INDEX('Driver Factors'!$D$6:$D$15,MATCH($R98,'Driver Factors'!$B$6:$B$15,0)),""),7)="DECLINE",LEFT(IFERROR(INDEX('Driver Factors'!$D$28:$D$36,MATCH($T98,'Driver Factors'!$B$28:$B$36,0)),""),7)="DECLINE",LEFT(IFERROR(INDEX('Claims History'!$D$6:$D$15,MATCH($U98,'Claims History'!$B$6:$B$15,0)),""),7)="DECLINE",LEFT(IFERROR(INDEX('Usage and Coverage'!$E$6:$E$20,MATCH($N98,'Usage and Coverage'!$C$6:$C$20,0)),""),7)="DECLINE"),"DECLINE",IF(OR($CD98&gt;2.5,$CD98&gt;='Technical Premium'!$C$17,$J98&gt;='Technical Premium'!$C$16,N($AQ98)&lt;'Technical Premium'!$C$19,N($AQ98)&gt;'Technical Premium'!$C$20,LEFT(IFERROR(INDEX('Driver Factors'!$D$6:$D$15,MATCH($R98,'Driver Factors'!$B$6:$B$15,0)),""),5)="Refer",LEFT(IFERROR(INDEX('Driver Factors'!$D$28:$D$36,MATCH($T98,'Driver Factors'!$B$28:$B$36,0)),""),5)="Refer",LEFT(IFERROR(INDEX('Claims History'!$D$6:$D$15,MATCH($U98,'Claims History'!$B$6:$B$15,0)),""),5)="Refer",LEFT(IFERROR(INDEX('Usage and Coverage'!$E$6:$E$20,MATCH($N98,'Usage and Coverage'!$C$6:$C$20,0)),""),5)="Refer"),"REFER","AUTO-BIND"))))</f>
        <v/>
      </c>
      <c r="CY98" s="106" t="str">
        <f t="shared" si="24"/>
        <v/>
      </c>
      <c r="CZ98" s="97" t="str">
        <f>IF($CY98="","",IF($CY98&lt;'Technical Premium'!$C$19,"BEYOND AUTHORITY",IF($CY98&gt;0.005,"Above technical",IF($CY98&lt;-0.005,"BELOW technical","At technical"))))</f>
        <v/>
      </c>
      <c r="DA98" s="97" t="str">
        <f>IF($A98="","",IF($CX98="AUTO-BIND","",TRIM(IF($J98&lt;'Technical Premium'!$C$18,"Below programme minimum agreed value. ","")&amp;IF(N($AQ98)&lt;'Technical Premium'!$C$19,"DISCOUNT AUTHORITY BREACH. ","")&amp;IF(N($AQ98)&gt;'Technical Premium'!$C$20,"Load authority breach. ","")&amp;IF($J98&gt;='Technical Premium'!$C$16,"Agreed value at or above auto-bind limit. ","")&amp;IF(AND(ISNUMBER($CD98),$CD98&gt;='Technical Premium'!$C$17),"Composite factor at cap. ","")&amp;IF(AND(ISNUMBER($CD98),$CD98&gt;2.5),"Composite factor above 2.50. ","")&amp;IF(LEFT(IFERROR(INDEX('Driver Factors'!$D$6:$D$15,MATCH($R98,'Driver Factors'!$B$6:$B$15,0)),""),7)="DECLINE","DECLINE - driver age. ",IF(LEFT(IFERROR(INDEX('Driver Factors'!$D$6:$D$15,MATCH($R98,'Driver Factors'!$B$6:$B$15,0)),""),5)="Refer","Driver age band. ",""))&amp;IF(LEFT(IFERROR(INDEX('Driver Factors'!$D$28:$D$36,MATCH($T98,'Driver Factors'!$B$28:$B$36,0)),""),7)="DECLINE","DECLINE - MVR. ",IF(LEFT(IFERROR(INDEX('Driver Factors'!$D$28:$D$36,MATCH($T98,'Driver Factors'!$B$28:$B$36,0)),""),5)="Refer","MVR record. ",""))&amp;IF(LEFT(IFERROR(INDEX('Claims History'!$D$6:$D$15,MATCH($U98,'Claims History'!$B$6:$B$15,0)),""),7)="DECLINE","DECLINE - claims. ",IF(LEFT(IFERROR(INDEX('Claims History'!$D$6:$D$15,MATCH($U98,'Claims History'!$B$6:$B$15,0)),""),5)="Refer","Claims history. ",""))&amp;IF(LEFT(IFERROR(INDEX('Usage and Coverage'!$E$6:$E$20,MATCH($N98,'Usage and Coverage'!$C$6:$C$20,0)),""),7)="DECLINE","DECLINE - usage class. ",IF(LEFT(IFERROR(INDEX('Usage and Coverage'!$E$6:$E$20,MATCH($N98,'Usage and Coverage'!$C$6:$C$20,0)),""),5)="Refer","Usage class. ",""))&amp;IF($CX98="CHECK INPUTS","Incomplete inputs. ",""))))</f>
        <v/>
      </c>
      <c r="DB98" s="92"/>
      <c r="DC98" s="92"/>
      <c r="DD98" s="93"/>
      <c r="DE98" s="92"/>
      <c r="DF98" s="92"/>
      <c r="DG98" s="97" t="str">
        <f t="shared" si="25"/>
        <v/>
      </c>
      <c r="DH98" s="97" t="str">
        <f>IF($A98="","",IF(OR($CX98="REFER",$CX98="DECLINE"),COUNTIF($CX$5:$CX98,"REFER")+COUNTIF($CX$5:$CX98,"DECLINE"),""))</f>
        <v/>
      </c>
      <c r="DI98" s="92"/>
    </row>
    <row r="99" spans="1:113" x14ac:dyDescent="0.25">
      <c r="A99" s="92"/>
      <c r="B99" s="92"/>
      <c r="C99" s="93"/>
      <c r="D99" s="93"/>
      <c r="E99" s="94"/>
      <c r="F99" s="92"/>
      <c r="G99" s="92"/>
      <c r="H99" s="92"/>
      <c r="I99" s="92"/>
      <c r="J99" s="95"/>
      <c r="K99" s="92"/>
      <c r="L99" s="92"/>
      <c r="M99" s="92"/>
      <c r="N99" s="92"/>
      <c r="O99" s="92"/>
      <c r="P99" s="92"/>
      <c r="Q99" s="92"/>
      <c r="R99" s="92"/>
      <c r="S99" s="92"/>
      <c r="T99" s="92"/>
      <c r="U99" s="92"/>
      <c r="V99" s="92"/>
      <c r="W99" s="92"/>
      <c r="X99" s="92"/>
      <c r="Y99" s="92"/>
      <c r="Z99" s="92"/>
      <c r="AA99" s="92"/>
      <c r="AB99" s="92"/>
      <c r="AC99" s="92"/>
      <c r="AD99" s="92"/>
      <c r="AE99" s="92"/>
      <c r="AF99" s="92"/>
      <c r="AG99" s="92"/>
      <c r="AH99" s="92"/>
      <c r="AI99" s="92"/>
      <c r="AJ99" s="92"/>
      <c r="AK99" s="92"/>
      <c r="AL99" s="92"/>
      <c r="AM99" s="92"/>
      <c r="AN99" s="92"/>
      <c r="AO99" s="92"/>
      <c r="AP99" s="92"/>
      <c r="AQ99" s="96"/>
      <c r="AR99" s="97" t="str">
        <f t="shared" si="13"/>
        <v/>
      </c>
      <c r="AS99" s="97" t="str">
        <f>IF($A99="","",IF($AP99&lt;&gt;"",$AP99,IFERROR(INDEX('Cat Zone by ZIP'!$D$6:$D$856,MATCH($AR99,'Cat Zone by ZIP'!$B$6:$B$856,0)),IFERROR(INDEX('Cat Zone by ZIP'!$C$860:$C$910,MATCH($K99,'Cat Zone by ZIP'!$B$860:$B$910,0)),"NOT FOUND"))))</f>
        <v/>
      </c>
      <c r="AT99" s="97" t="str">
        <f>IF($A99="","",IF($AP99&lt;&gt;"","Override",IF(ISNUMBER(MATCH($AR99,'Cat Zone by ZIP'!$B$6:$B$856,0)),"ZIP-3","State default")))</f>
        <v/>
      </c>
      <c r="AU99" s="98" t="str">
        <f>IF($A99="","",IFERROR(INDEX('Natural Catastrophe'!$D$6:$D$17,MATCH($AS99,'Natural Catastrophe'!$B$6:$B$17,0)),"?"))</f>
        <v/>
      </c>
      <c r="AV99" s="98" t="str">
        <f>IF($A99="","",IFERROR(INDEX('Natural Catastrophe'!$C$21:$C$26,MATCH($AA99,'Natural Catastrophe'!$B$21:$B$26,0)),"?"))</f>
        <v/>
      </c>
      <c r="AW99" s="97" t="str">
        <f>IF($A99="","",IFERROR(INDEX('Base Rates'!$C$4:$I$4,MATCH(MAX($J99,'Technical Premium'!$C$18),'Base Rates'!$C$3:$I$3,1)),"?"))</f>
        <v/>
      </c>
      <c r="AX99" s="99" t="str">
        <f>IF($A99="","",IFERROR(INDEX('Base Rates'!$C$5:$I$16,MATCH($I99,'Base Rates'!$B$5:$B$16,0),MATCH(MAX($J99,'Technical Premium'!$C$18),'Base Rates'!$C$3:$I$3,1)),"?"))</f>
        <v/>
      </c>
      <c r="AY99" s="100" t="str">
        <f t="shared" si="14"/>
        <v/>
      </c>
      <c r="AZ99" s="97" t="str">
        <f>IF($A99="","",IFERROR(INDEX('Make Factors'!$G$5:$G$69,MATCH($F99,'Make Factors'!$B$5:$B$69,0)),"?"))</f>
        <v/>
      </c>
      <c r="BA99" s="97" t="str">
        <f>IF($A99="","",IFERROR(INDEX('Driver Factors'!$C$6:$C$15,MATCH($R99,'Driver Factors'!$B$6:$B$15,0)),"?"))</f>
        <v/>
      </c>
      <c r="BB99" s="97" t="str">
        <f>IF($A99="","",IFERROR(INDEX('Driver Factors'!$C$19:$C$24,MATCH($S99,'Driver Factors'!$B$19:$B$24,0)),"?"))</f>
        <v/>
      </c>
      <c r="BC99" s="97" t="str">
        <f>IF($A99="","",IFERROR(INDEX('Driver Factors'!$C$28:$C$36,MATCH($T99,'Driver Factors'!$B$28:$B$36,0)),"?"))</f>
        <v/>
      </c>
      <c r="BD99" s="97" t="str">
        <f>IF($A99="","",IFERROR(INDEX('Claims History'!$C$6:$C$15,MATCH($U99,'Claims History'!$B$6:$B$15,0)),"?"))</f>
        <v/>
      </c>
      <c r="BE99" s="97" t="str">
        <f>IF($A99="","",IFERROR(INDEX('Territory Factors'!$E$6:$E$56,MATCH($K99,'Territory Factors'!$B$6:$B$56,0)),"?"))</f>
        <v/>
      </c>
      <c r="BF99" s="97" t="str">
        <f>IF($A99="","",IFERROR(INDEX('City Accident Ratings'!$G$6:$G$54,MATCH($Z99,'City Accident Ratings'!$B$6:$B$54,0)),"?"))</f>
        <v/>
      </c>
      <c r="BG99" s="97" t="str">
        <f>IF($A99="","",IFERROR(INDEX('Usage and Coverage'!$D$6:$D$20,MATCH($N99,'Usage and Coverage'!$C$6:$C$20,0)),"?"))</f>
        <v/>
      </c>
      <c r="BH99" s="97" t="str">
        <f>IF($A99="","",IFERROR(INDEX('Usage and Coverage'!$C$24:$C$30,MATCH($O99,'Usage and Coverage'!$B$24:$B$30,0)),"?"))</f>
        <v/>
      </c>
      <c r="BI99" s="97" t="str">
        <f>IF($A99="","",IFERROR(INDEX('Usage and Coverage'!$C$34:$C$40,MATCH($P99,'Usage and Coverage'!$B$34:$B$40,0)),"?"))</f>
        <v/>
      </c>
      <c r="BJ99" s="97" t="str">
        <f>IF($A99="","",IFERROR(INDEX('Usage and Coverage'!$C$44:$C$49,MATCH($Q99,'Usage and Coverage'!$B$44:$B$49,0)),"?"))</f>
        <v/>
      </c>
      <c r="BK99" s="97" t="str">
        <f>IF($A99="","",IFERROR(INDEX(Deductibles!$C$6:$I$15,MATCH($W99,Deductibles!$B$6:$B$15,0),MATCH(MAX($J99,'Technical Premium'!$C$18),'Base Rates'!$C$3:$I$3,1)),"?"))</f>
        <v/>
      </c>
      <c r="BL99" s="97" t="str">
        <f>IF($A99="","",IFERROR(INDEX('Usage and Coverage'!$C$63:$C$66,MATCH($X99,'Usage and Coverage'!$B$63:$B$66,0)),"?"))</f>
        <v/>
      </c>
      <c r="BM99" s="97" t="str">
        <f>IF($A99="","",IFERROR(INDEX('Usage and Coverage'!$C$70:$C$75,MATCH($V99,'Usage and Coverage'!$B$70:$B$75,0)),"?"))</f>
        <v/>
      </c>
      <c r="BN99" s="97" t="str">
        <f>IF($A99="","",IF($AB99="",1,IFERROR(INDEX(Deductibles!$C$48:$C$51,MATCH($AB99,Deductibles!$B$48:$B$51,0)),"?")))</f>
        <v/>
      </c>
      <c r="BO99" s="97" t="str">
        <f>IF($A99="","",IF($AC99="",1,IFERROR(INDEX(Deductibles!$C$55:$C$57,MATCH($AC99,Deductibles!$B$55:$B$57,0)),"?")))</f>
        <v/>
      </c>
      <c r="BP99" s="97" t="str">
        <f>IF($A99="","",IF($AD99="",1,IFERROR(INDEX(Deductibles!$C$61:$C$63,MATCH($AD99,Deductibles!$B$61:$B$63,0)),"?")))</f>
        <v/>
      </c>
      <c r="BQ99" s="97" t="str">
        <f>IF($A99="","",IF($AE99="",1,IFERROR(INDEX(Deductibles!$C$67:$C$69,MATCH($AE99,Deductibles!$B$67:$B$69,0)),"?")))</f>
        <v/>
      </c>
      <c r="BR99" s="97" t="str">
        <f>IF($A99="","",IF($AF99="",1,IFERROR(INDEX(Deductibles!$C$73:$C$74,MATCH($AF99,Deductibles!$B$73:$B$74,0)),"?")))</f>
        <v/>
      </c>
      <c r="BS99" s="97" t="str">
        <f>IF($A99="","",IF($AG99="",1,IFERROR(INDEX('Sublimits and Parts'!$C$49:$C$52,MATCH($AG99,'Sublimits and Parts'!$B$49:$B$52,0)),"?")))</f>
        <v/>
      </c>
      <c r="BT99" s="97" t="str">
        <f>IF($A99="","",IF($AH99="",1,IFERROR(INDEX('Sublimits and Parts'!$C$56:$C$60,MATCH($AH99,'Sublimits and Parts'!$B$56:$B$60,0)),"?")))</f>
        <v/>
      </c>
      <c r="BU99" s="97" t="str">
        <f>IF($A99="","",IF($AI99="",1,IFERROR(INDEX('Sublimits and Parts'!$C$64:$C$67,MATCH($AI99,'Sublimits and Parts'!$B$64:$B$67,0)),"?")))</f>
        <v/>
      </c>
      <c r="BV99" s="97" t="str">
        <f>IF($A99="","",IF($AJ99="",1,IFERROR(INDEX('Sublimits and Parts'!$C$71:$C$74,MATCH($AJ99,'Sublimits and Parts'!$B$71:$B$74,0)),"?")))</f>
        <v/>
      </c>
      <c r="BW99" s="97" t="str">
        <f>IF($A99="","",IF($AK99="",1,IFERROR(INDEX('Sublimits and Parts'!$C$78:$C$80,MATCH($AK99,'Sublimits and Parts'!$B$78:$B$80,0)),"?")))</f>
        <v/>
      </c>
      <c r="BX99" s="97" t="str">
        <f>IF($A99="","",IF($AL99="",1,IFERROR(INDEX('Sublimits and Parts'!$C$84:$C$87,MATCH($AL99,'Sublimits and Parts'!$B$84:$B$87,0)),"?")))</f>
        <v/>
      </c>
      <c r="BY99" s="97" t="str">
        <f>IF($A99="","",IF($AM99="",1,IFERROR(INDEX('Sublimits and Parts'!$C$91:$C$94,MATCH($AM99,'Sublimits and Parts'!$B$91:$B$94,0)),"?")))</f>
        <v/>
      </c>
      <c r="BZ99" s="97" t="str">
        <f>IF($A99="","",IF($AN99="",1,IFERROR(INDEX('Sublimits and Parts'!$C$98:$C$101,MATCH($AN99,'Sublimits and Parts'!$B$98:$B$101,0)),"?")))</f>
        <v/>
      </c>
      <c r="CA99" s="97" t="str">
        <f>IF($A99="","",IF($AO99="",1,IFERROR(INDEX('Sublimits and Parts'!$C$105:$C$109,MATCH($AO99,'Sublimits and Parts'!$B$105:$B$109,0)),"?")))</f>
        <v/>
      </c>
      <c r="CB99" s="98" t="str">
        <f t="shared" si="15"/>
        <v/>
      </c>
      <c r="CC99" s="98" t="str">
        <f t="shared" si="16"/>
        <v/>
      </c>
      <c r="CD99" s="101" t="str">
        <f>IF($A99="","",IF(OR($CB99="?",$CC99="?"),"?",MIN($CB99*$CC99,'Technical Premium'!$C$17)))</f>
        <v/>
      </c>
      <c r="CE99" s="100" t="str">
        <f t="shared" si="17"/>
        <v/>
      </c>
      <c r="CF99" s="100" t="str">
        <f>IF($A99="","",IFERROR(INDEX('Territory Factors'!$F$6:$F$56,MATCH($K99,'Territory Factors'!$B$6:$B$56,0)),"?"))</f>
        <v/>
      </c>
      <c r="CG99" s="98" t="str">
        <f>IF($A99="","",IFERROR(INDEX('Usage and Coverage'!$C$79:$C$84,MATCH($Y99,'Usage and Coverage'!$B$79:$B$84,0)),"?"))</f>
        <v/>
      </c>
      <c r="CH99" s="100" t="str">
        <f>IFERROR(IF(ISNUMBER($CD99),$CF99*$CG99*MIN($BG99*$BA99*$BC99*$BD99*$BH99*$BF99,'Technical Premium'!$C$17),""),"")</f>
        <v/>
      </c>
      <c r="CI99" s="100" t="str">
        <f t="shared" si="18"/>
        <v/>
      </c>
      <c r="CJ99" s="100" t="str">
        <f>IFERROR($CI99*(1+'Technical Premium'!$C$5)*(1+'Technical Premium'!$C$6),"")</f>
        <v/>
      </c>
      <c r="CK99" s="100" t="str">
        <f>IFERROR($CE99*INDEX('Territory Factors'!$G$6:$G$56,MATCH($K99,'Territory Factors'!$B$6:$B$56,0))*$AU99*$AV99,"")</f>
        <v/>
      </c>
      <c r="CL99" s="100" t="str">
        <f>IFERROR(($CJ99+$CK99)*(1+'Technical Premium'!$C$7),"")</f>
        <v/>
      </c>
      <c r="CM99" s="102" t="str">
        <f>IFERROR($CL99/'Technical Premium'!$C$13,"")</f>
        <v/>
      </c>
      <c r="CN99" s="103" t="str">
        <f t="shared" si="19"/>
        <v/>
      </c>
      <c r="CO99" s="102" t="str">
        <f t="shared" si="20"/>
        <v/>
      </c>
      <c r="CP99" s="103" t="str">
        <f t="shared" si="21"/>
        <v/>
      </c>
      <c r="CQ99" s="104" t="str">
        <f t="shared" si="22"/>
        <v/>
      </c>
      <c r="CR99" s="100" t="str">
        <f>IF(ISNUMBER($CM99),'Technical Premium'!$C$14+IF($J99&gt;=1000000,'Technical Premium'!$C$15,0),"")</f>
        <v/>
      </c>
      <c r="CS99" s="100" t="str">
        <f>IFERROR(($CO99+$CR99)*(INDEX('Territory Factors'!$K$6:$K$56,MATCH($K99,'Territory Factors'!$B$6:$B$56,0))+'Commission Structure'!$C$21),"")</f>
        <v/>
      </c>
      <c r="CT99" s="102" t="str">
        <f t="shared" si="23"/>
        <v/>
      </c>
      <c r="CU99" s="100" t="str">
        <f>IFERROR($CO99*('Commission Structure'!$C$6+'Commission Structure'!$C$7),"")</f>
        <v/>
      </c>
      <c r="CV99" s="100" t="str">
        <f>IFERROR($CO99*'Commission Structure'!$C$5-$CU99,"")</f>
        <v/>
      </c>
      <c r="CW99" s="100" t="str">
        <f>IFERROR($CO99*(1-'Commission Structure'!$C$5),"")</f>
        <v/>
      </c>
      <c r="CX99" s="105" t="str">
        <f>IF($A99="","",IF(OR($CB99="?",$CC99="?",NOT(ISNUMBER($AU99))),"CHECK INPUTS",IF(OR($J99&lt;'Technical Premium'!$C$18,LEFT(IFERROR(INDEX('Driver Factors'!$D$6:$D$15,MATCH($R99,'Driver Factors'!$B$6:$B$15,0)),""),7)="DECLINE",LEFT(IFERROR(INDEX('Driver Factors'!$D$28:$D$36,MATCH($T99,'Driver Factors'!$B$28:$B$36,0)),""),7)="DECLINE",LEFT(IFERROR(INDEX('Claims History'!$D$6:$D$15,MATCH($U99,'Claims History'!$B$6:$B$15,0)),""),7)="DECLINE",LEFT(IFERROR(INDEX('Usage and Coverage'!$E$6:$E$20,MATCH($N99,'Usage and Coverage'!$C$6:$C$20,0)),""),7)="DECLINE"),"DECLINE",IF(OR($CD99&gt;2.5,$CD99&gt;='Technical Premium'!$C$17,$J99&gt;='Technical Premium'!$C$16,N($AQ99)&lt;'Technical Premium'!$C$19,N($AQ99)&gt;'Technical Premium'!$C$20,LEFT(IFERROR(INDEX('Driver Factors'!$D$6:$D$15,MATCH($R99,'Driver Factors'!$B$6:$B$15,0)),""),5)="Refer",LEFT(IFERROR(INDEX('Driver Factors'!$D$28:$D$36,MATCH($T99,'Driver Factors'!$B$28:$B$36,0)),""),5)="Refer",LEFT(IFERROR(INDEX('Claims History'!$D$6:$D$15,MATCH($U99,'Claims History'!$B$6:$B$15,0)),""),5)="Refer",LEFT(IFERROR(INDEX('Usage and Coverage'!$E$6:$E$20,MATCH($N99,'Usage and Coverage'!$C$6:$C$20,0)),""),5)="Refer"),"REFER","AUTO-BIND"))))</f>
        <v/>
      </c>
      <c r="CY99" s="106" t="str">
        <f t="shared" si="24"/>
        <v/>
      </c>
      <c r="CZ99" s="97" t="str">
        <f>IF($CY99="","",IF($CY99&lt;'Technical Premium'!$C$19,"BEYOND AUTHORITY",IF($CY99&gt;0.005,"Above technical",IF($CY99&lt;-0.005,"BELOW technical","At technical"))))</f>
        <v/>
      </c>
      <c r="DA99" s="97" t="str">
        <f>IF($A99="","",IF($CX99="AUTO-BIND","",TRIM(IF($J99&lt;'Technical Premium'!$C$18,"Below programme minimum agreed value. ","")&amp;IF(N($AQ99)&lt;'Technical Premium'!$C$19,"DISCOUNT AUTHORITY BREACH. ","")&amp;IF(N($AQ99)&gt;'Technical Premium'!$C$20,"Load authority breach. ","")&amp;IF($J99&gt;='Technical Premium'!$C$16,"Agreed value at or above auto-bind limit. ","")&amp;IF(AND(ISNUMBER($CD99),$CD99&gt;='Technical Premium'!$C$17),"Composite factor at cap. ","")&amp;IF(AND(ISNUMBER($CD99),$CD99&gt;2.5),"Composite factor above 2.50. ","")&amp;IF(LEFT(IFERROR(INDEX('Driver Factors'!$D$6:$D$15,MATCH($R99,'Driver Factors'!$B$6:$B$15,0)),""),7)="DECLINE","DECLINE - driver age. ",IF(LEFT(IFERROR(INDEX('Driver Factors'!$D$6:$D$15,MATCH($R99,'Driver Factors'!$B$6:$B$15,0)),""),5)="Refer","Driver age band. ",""))&amp;IF(LEFT(IFERROR(INDEX('Driver Factors'!$D$28:$D$36,MATCH($T99,'Driver Factors'!$B$28:$B$36,0)),""),7)="DECLINE","DECLINE - MVR. ",IF(LEFT(IFERROR(INDEX('Driver Factors'!$D$28:$D$36,MATCH($T99,'Driver Factors'!$B$28:$B$36,0)),""),5)="Refer","MVR record. ",""))&amp;IF(LEFT(IFERROR(INDEX('Claims History'!$D$6:$D$15,MATCH($U99,'Claims History'!$B$6:$B$15,0)),""),7)="DECLINE","DECLINE - claims. ",IF(LEFT(IFERROR(INDEX('Claims History'!$D$6:$D$15,MATCH($U99,'Claims History'!$B$6:$B$15,0)),""),5)="Refer","Claims history. ",""))&amp;IF(LEFT(IFERROR(INDEX('Usage and Coverage'!$E$6:$E$20,MATCH($N99,'Usage and Coverage'!$C$6:$C$20,0)),""),7)="DECLINE","DECLINE - usage class. ",IF(LEFT(IFERROR(INDEX('Usage and Coverage'!$E$6:$E$20,MATCH($N99,'Usage and Coverage'!$C$6:$C$20,0)),""),5)="Refer","Usage class. ",""))&amp;IF($CX99="CHECK INPUTS","Incomplete inputs. ",""))))</f>
        <v/>
      </c>
      <c r="DB99" s="92"/>
      <c r="DC99" s="92"/>
      <c r="DD99" s="93"/>
      <c r="DE99" s="92"/>
      <c r="DF99" s="92"/>
      <c r="DG99" s="97" t="str">
        <f t="shared" si="25"/>
        <v/>
      </c>
      <c r="DH99" s="97" t="str">
        <f>IF($A99="","",IF(OR($CX99="REFER",$CX99="DECLINE"),COUNTIF($CX$5:$CX99,"REFER")+COUNTIF($CX$5:$CX99,"DECLINE"),""))</f>
        <v/>
      </c>
      <c r="DI99" s="92"/>
    </row>
    <row r="100" spans="1:113" x14ac:dyDescent="0.25">
      <c r="A100" s="92"/>
      <c r="B100" s="92"/>
      <c r="C100" s="93"/>
      <c r="D100" s="93"/>
      <c r="E100" s="94"/>
      <c r="F100" s="92"/>
      <c r="G100" s="92"/>
      <c r="H100" s="92"/>
      <c r="I100" s="92"/>
      <c r="J100" s="95"/>
      <c r="K100" s="92"/>
      <c r="L100" s="92"/>
      <c r="M100" s="92"/>
      <c r="N100" s="92"/>
      <c r="O100" s="92"/>
      <c r="P100" s="92"/>
      <c r="Q100" s="92"/>
      <c r="R100" s="92"/>
      <c r="S100" s="92"/>
      <c r="T100" s="92"/>
      <c r="U100" s="92"/>
      <c r="V100" s="92"/>
      <c r="W100" s="92"/>
      <c r="X100" s="92"/>
      <c r="Y100" s="92"/>
      <c r="Z100" s="92"/>
      <c r="AA100" s="92"/>
      <c r="AB100" s="92"/>
      <c r="AC100" s="92"/>
      <c r="AD100" s="92"/>
      <c r="AE100" s="92"/>
      <c r="AF100" s="92"/>
      <c r="AG100" s="92"/>
      <c r="AH100" s="92"/>
      <c r="AI100" s="92"/>
      <c r="AJ100" s="92"/>
      <c r="AK100" s="92"/>
      <c r="AL100" s="92"/>
      <c r="AM100" s="92"/>
      <c r="AN100" s="92"/>
      <c r="AO100" s="92"/>
      <c r="AP100" s="92"/>
      <c r="AQ100" s="96"/>
      <c r="AR100" s="97" t="str">
        <f t="shared" si="13"/>
        <v/>
      </c>
      <c r="AS100" s="97" t="str">
        <f>IF($A100="","",IF($AP100&lt;&gt;"",$AP100,IFERROR(INDEX('Cat Zone by ZIP'!$D$6:$D$856,MATCH($AR100,'Cat Zone by ZIP'!$B$6:$B$856,0)),IFERROR(INDEX('Cat Zone by ZIP'!$C$860:$C$910,MATCH($K100,'Cat Zone by ZIP'!$B$860:$B$910,0)),"NOT FOUND"))))</f>
        <v/>
      </c>
      <c r="AT100" s="97" t="str">
        <f>IF($A100="","",IF($AP100&lt;&gt;"","Override",IF(ISNUMBER(MATCH($AR100,'Cat Zone by ZIP'!$B$6:$B$856,0)),"ZIP-3","State default")))</f>
        <v/>
      </c>
      <c r="AU100" s="98" t="str">
        <f>IF($A100="","",IFERROR(INDEX('Natural Catastrophe'!$D$6:$D$17,MATCH($AS100,'Natural Catastrophe'!$B$6:$B$17,0)),"?"))</f>
        <v/>
      </c>
      <c r="AV100" s="98" t="str">
        <f>IF($A100="","",IFERROR(INDEX('Natural Catastrophe'!$C$21:$C$26,MATCH($AA100,'Natural Catastrophe'!$B$21:$B$26,0)),"?"))</f>
        <v/>
      </c>
      <c r="AW100" s="97" t="str">
        <f>IF($A100="","",IFERROR(INDEX('Base Rates'!$C$4:$I$4,MATCH(MAX($J100,'Technical Premium'!$C$18),'Base Rates'!$C$3:$I$3,1)),"?"))</f>
        <v/>
      </c>
      <c r="AX100" s="99" t="str">
        <f>IF($A100="","",IFERROR(INDEX('Base Rates'!$C$5:$I$16,MATCH($I100,'Base Rates'!$B$5:$B$16,0),MATCH(MAX($J100,'Technical Premium'!$C$18),'Base Rates'!$C$3:$I$3,1)),"?"))</f>
        <v/>
      </c>
      <c r="AY100" s="100" t="str">
        <f t="shared" si="14"/>
        <v/>
      </c>
      <c r="AZ100" s="97" t="str">
        <f>IF($A100="","",IFERROR(INDEX('Make Factors'!$G$5:$G$69,MATCH($F100,'Make Factors'!$B$5:$B$69,0)),"?"))</f>
        <v/>
      </c>
      <c r="BA100" s="97" t="str">
        <f>IF($A100="","",IFERROR(INDEX('Driver Factors'!$C$6:$C$15,MATCH($R100,'Driver Factors'!$B$6:$B$15,0)),"?"))</f>
        <v/>
      </c>
      <c r="BB100" s="97" t="str">
        <f>IF($A100="","",IFERROR(INDEX('Driver Factors'!$C$19:$C$24,MATCH($S100,'Driver Factors'!$B$19:$B$24,0)),"?"))</f>
        <v/>
      </c>
      <c r="BC100" s="97" t="str">
        <f>IF($A100="","",IFERROR(INDEX('Driver Factors'!$C$28:$C$36,MATCH($T100,'Driver Factors'!$B$28:$B$36,0)),"?"))</f>
        <v/>
      </c>
      <c r="BD100" s="97" t="str">
        <f>IF($A100="","",IFERROR(INDEX('Claims History'!$C$6:$C$15,MATCH($U100,'Claims History'!$B$6:$B$15,0)),"?"))</f>
        <v/>
      </c>
      <c r="BE100" s="97" t="str">
        <f>IF($A100="","",IFERROR(INDEX('Territory Factors'!$E$6:$E$56,MATCH($K100,'Territory Factors'!$B$6:$B$56,0)),"?"))</f>
        <v/>
      </c>
      <c r="BF100" s="97" t="str">
        <f>IF($A100="","",IFERROR(INDEX('City Accident Ratings'!$G$6:$G$54,MATCH($Z100,'City Accident Ratings'!$B$6:$B$54,0)),"?"))</f>
        <v/>
      </c>
      <c r="BG100" s="97" t="str">
        <f>IF($A100="","",IFERROR(INDEX('Usage and Coverage'!$D$6:$D$20,MATCH($N100,'Usage and Coverage'!$C$6:$C$20,0)),"?"))</f>
        <v/>
      </c>
      <c r="BH100" s="97" t="str">
        <f>IF($A100="","",IFERROR(INDEX('Usage and Coverage'!$C$24:$C$30,MATCH($O100,'Usage and Coverage'!$B$24:$B$30,0)),"?"))</f>
        <v/>
      </c>
      <c r="BI100" s="97" t="str">
        <f>IF($A100="","",IFERROR(INDEX('Usage and Coverage'!$C$34:$C$40,MATCH($P100,'Usage and Coverage'!$B$34:$B$40,0)),"?"))</f>
        <v/>
      </c>
      <c r="BJ100" s="97" t="str">
        <f>IF($A100="","",IFERROR(INDEX('Usage and Coverage'!$C$44:$C$49,MATCH($Q100,'Usage and Coverage'!$B$44:$B$49,0)),"?"))</f>
        <v/>
      </c>
      <c r="BK100" s="97" t="str">
        <f>IF($A100="","",IFERROR(INDEX(Deductibles!$C$6:$I$15,MATCH($W100,Deductibles!$B$6:$B$15,0),MATCH(MAX($J100,'Technical Premium'!$C$18),'Base Rates'!$C$3:$I$3,1)),"?"))</f>
        <v/>
      </c>
      <c r="BL100" s="97" t="str">
        <f>IF($A100="","",IFERROR(INDEX('Usage and Coverage'!$C$63:$C$66,MATCH($X100,'Usage and Coverage'!$B$63:$B$66,0)),"?"))</f>
        <v/>
      </c>
      <c r="BM100" s="97" t="str">
        <f>IF($A100="","",IFERROR(INDEX('Usage and Coverage'!$C$70:$C$75,MATCH($V100,'Usage and Coverage'!$B$70:$B$75,0)),"?"))</f>
        <v/>
      </c>
      <c r="BN100" s="97" t="str">
        <f>IF($A100="","",IF($AB100="",1,IFERROR(INDEX(Deductibles!$C$48:$C$51,MATCH($AB100,Deductibles!$B$48:$B$51,0)),"?")))</f>
        <v/>
      </c>
      <c r="BO100" s="97" t="str">
        <f>IF($A100="","",IF($AC100="",1,IFERROR(INDEX(Deductibles!$C$55:$C$57,MATCH($AC100,Deductibles!$B$55:$B$57,0)),"?")))</f>
        <v/>
      </c>
      <c r="BP100" s="97" t="str">
        <f>IF($A100="","",IF($AD100="",1,IFERROR(INDEX(Deductibles!$C$61:$C$63,MATCH($AD100,Deductibles!$B$61:$B$63,0)),"?")))</f>
        <v/>
      </c>
      <c r="BQ100" s="97" t="str">
        <f>IF($A100="","",IF($AE100="",1,IFERROR(INDEX(Deductibles!$C$67:$C$69,MATCH($AE100,Deductibles!$B$67:$B$69,0)),"?")))</f>
        <v/>
      </c>
      <c r="BR100" s="97" t="str">
        <f>IF($A100="","",IF($AF100="",1,IFERROR(INDEX(Deductibles!$C$73:$C$74,MATCH($AF100,Deductibles!$B$73:$B$74,0)),"?")))</f>
        <v/>
      </c>
      <c r="BS100" s="97" t="str">
        <f>IF($A100="","",IF($AG100="",1,IFERROR(INDEX('Sublimits and Parts'!$C$49:$C$52,MATCH($AG100,'Sublimits and Parts'!$B$49:$B$52,0)),"?")))</f>
        <v/>
      </c>
      <c r="BT100" s="97" t="str">
        <f>IF($A100="","",IF($AH100="",1,IFERROR(INDEX('Sublimits and Parts'!$C$56:$C$60,MATCH($AH100,'Sublimits and Parts'!$B$56:$B$60,0)),"?")))</f>
        <v/>
      </c>
      <c r="BU100" s="97" t="str">
        <f>IF($A100="","",IF($AI100="",1,IFERROR(INDEX('Sublimits and Parts'!$C$64:$C$67,MATCH($AI100,'Sublimits and Parts'!$B$64:$B$67,0)),"?")))</f>
        <v/>
      </c>
      <c r="BV100" s="97" t="str">
        <f>IF($A100="","",IF($AJ100="",1,IFERROR(INDEX('Sublimits and Parts'!$C$71:$C$74,MATCH($AJ100,'Sublimits and Parts'!$B$71:$B$74,0)),"?")))</f>
        <v/>
      </c>
      <c r="BW100" s="97" t="str">
        <f>IF($A100="","",IF($AK100="",1,IFERROR(INDEX('Sublimits and Parts'!$C$78:$C$80,MATCH($AK100,'Sublimits and Parts'!$B$78:$B$80,0)),"?")))</f>
        <v/>
      </c>
      <c r="BX100" s="97" t="str">
        <f>IF($A100="","",IF($AL100="",1,IFERROR(INDEX('Sublimits and Parts'!$C$84:$C$87,MATCH($AL100,'Sublimits and Parts'!$B$84:$B$87,0)),"?")))</f>
        <v/>
      </c>
      <c r="BY100" s="97" t="str">
        <f>IF($A100="","",IF($AM100="",1,IFERROR(INDEX('Sublimits and Parts'!$C$91:$C$94,MATCH($AM100,'Sublimits and Parts'!$B$91:$B$94,0)),"?")))</f>
        <v/>
      </c>
      <c r="BZ100" s="97" t="str">
        <f>IF($A100="","",IF($AN100="",1,IFERROR(INDEX('Sublimits and Parts'!$C$98:$C$101,MATCH($AN100,'Sublimits and Parts'!$B$98:$B$101,0)),"?")))</f>
        <v/>
      </c>
      <c r="CA100" s="97" t="str">
        <f>IF($A100="","",IF($AO100="",1,IFERROR(INDEX('Sublimits and Parts'!$C$105:$C$109,MATCH($AO100,'Sublimits and Parts'!$B$105:$B$109,0)),"?")))</f>
        <v/>
      </c>
      <c r="CB100" s="98" t="str">
        <f t="shared" si="15"/>
        <v/>
      </c>
      <c r="CC100" s="98" t="str">
        <f t="shared" si="16"/>
        <v/>
      </c>
      <c r="CD100" s="101" t="str">
        <f>IF($A100="","",IF(OR($CB100="?",$CC100="?"),"?",MIN($CB100*$CC100,'Technical Premium'!$C$17)))</f>
        <v/>
      </c>
      <c r="CE100" s="100" t="str">
        <f t="shared" si="17"/>
        <v/>
      </c>
      <c r="CF100" s="100" t="str">
        <f>IF($A100="","",IFERROR(INDEX('Territory Factors'!$F$6:$F$56,MATCH($K100,'Territory Factors'!$B$6:$B$56,0)),"?"))</f>
        <v/>
      </c>
      <c r="CG100" s="98" t="str">
        <f>IF($A100="","",IFERROR(INDEX('Usage and Coverage'!$C$79:$C$84,MATCH($Y100,'Usage and Coverage'!$B$79:$B$84,0)),"?"))</f>
        <v/>
      </c>
      <c r="CH100" s="100" t="str">
        <f>IFERROR(IF(ISNUMBER($CD100),$CF100*$CG100*MIN($BG100*$BA100*$BC100*$BD100*$BH100*$BF100,'Technical Premium'!$C$17),""),"")</f>
        <v/>
      </c>
      <c r="CI100" s="100" t="str">
        <f t="shared" si="18"/>
        <v/>
      </c>
      <c r="CJ100" s="100" t="str">
        <f>IFERROR($CI100*(1+'Technical Premium'!$C$5)*(1+'Technical Premium'!$C$6),"")</f>
        <v/>
      </c>
      <c r="CK100" s="100" t="str">
        <f>IFERROR($CE100*INDEX('Territory Factors'!$G$6:$G$56,MATCH($K100,'Territory Factors'!$B$6:$B$56,0))*$AU100*$AV100,"")</f>
        <v/>
      </c>
      <c r="CL100" s="100" t="str">
        <f>IFERROR(($CJ100+$CK100)*(1+'Technical Premium'!$C$7),"")</f>
        <v/>
      </c>
      <c r="CM100" s="102" t="str">
        <f>IFERROR($CL100/'Technical Premium'!$C$13,"")</f>
        <v/>
      </c>
      <c r="CN100" s="103" t="str">
        <f t="shared" si="19"/>
        <v/>
      </c>
      <c r="CO100" s="102" t="str">
        <f t="shared" si="20"/>
        <v/>
      </c>
      <c r="CP100" s="103" t="str">
        <f t="shared" si="21"/>
        <v/>
      </c>
      <c r="CQ100" s="104" t="str">
        <f t="shared" si="22"/>
        <v/>
      </c>
      <c r="CR100" s="100" t="str">
        <f>IF(ISNUMBER($CM100),'Technical Premium'!$C$14+IF($J100&gt;=1000000,'Technical Premium'!$C$15,0),"")</f>
        <v/>
      </c>
      <c r="CS100" s="100" t="str">
        <f>IFERROR(($CO100+$CR100)*(INDEX('Territory Factors'!$K$6:$K$56,MATCH($K100,'Territory Factors'!$B$6:$B$56,0))+'Commission Structure'!$C$21),"")</f>
        <v/>
      </c>
      <c r="CT100" s="102" t="str">
        <f t="shared" si="23"/>
        <v/>
      </c>
      <c r="CU100" s="100" t="str">
        <f>IFERROR($CO100*('Commission Structure'!$C$6+'Commission Structure'!$C$7),"")</f>
        <v/>
      </c>
      <c r="CV100" s="100" t="str">
        <f>IFERROR($CO100*'Commission Structure'!$C$5-$CU100,"")</f>
        <v/>
      </c>
      <c r="CW100" s="100" t="str">
        <f>IFERROR($CO100*(1-'Commission Structure'!$C$5),"")</f>
        <v/>
      </c>
      <c r="CX100" s="105" t="str">
        <f>IF($A100="","",IF(OR($CB100="?",$CC100="?",NOT(ISNUMBER($AU100))),"CHECK INPUTS",IF(OR($J100&lt;'Technical Premium'!$C$18,LEFT(IFERROR(INDEX('Driver Factors'!$D$6:$D$15,MATCH($R100,'Driver Factors'!$B$6:$B$15,0)),""),7)="DECLINE",LEFT(IFERROR(INDEX('Driver Factors'!$D$28:$D$36,MATCH($T100,'Driver Factors'!$B$28:$B$36,0)),""),7)="DECLINE",LEFT(IFERROR(INDEX('Claims History'!$D$6:$D$15,MATCH($U100,'Claims History'!$B$6:$B$15,0)),""),7)="DECLINE",LEFT(IFERROR(INDEX('Usage and Coverage'!$E$6:$E$20,MATCH($N100,'Usage and Coverage'!$C$6:$C$20,0)),""),7)="DECLINE"),"DECLINE",IF(OR($CD100&gt;2.5,$CD100&gt;='Technical Premium'!$C$17,$J100&gt;='Technical Premium'!$C$16,N($AQ100)&lt;'Technical Premium'!$C$19,N($AQ100)&gt;'Technical Premium'!$C$20,LEFT(IFERROR(INDEX('Driver Factors'!$D$6:$D$15,MATCH($R100,'Driver Factors'!$B$6:$B$15,0)),""),5)="Refer",LEFT(IFERROR(INDEX('Driver Factors'!$D$28:$D$36,MATCH($T100,'Driver Factors'!$B$28:$B$36,0)),""),5)="Refer",LEFT(IFERROR(INDEX('Claims History'!$D$6:$D$15,MATCH($U100,'Claims History'!$B$6:$B$15,0)),""),5)="Refer",LEFT(IFERROR(INDEX('Usage and Coverage'!$E$6:$E$20,MATCH($N100,'Usage and Coverage'!$C$6:$C$20,0)),""),5)="Refer"),"REFER","AUTO-BIND"))))</f>
        <v/>
      </c>
      <c r="CY100" s="106" t="str">
        <f t="shared" si="24"/>
        <v/>
      </c>
      <c r="CZ100" s="97" t="str">
        <f>IF($CY100="","",IF($CY100&lt;'Technical Premium'!$C$19,"BEYOND AUTHORITY",IF($CY100&gt;0.005,"Above technical",IF($CY100&lt;-0.005,"BELOW technical","At technical"))))</f>
        <v/>
      </c>
      <c r="DA100" s="97" t="str">
        <f>IF($A100="","",IF($CX100="AUTO-BIND","",TRIM(IF($J100&lt;'Technical Premium'!$C$18,"Below programme minimum agreed value. ","")&amp;IF(N($AQ100)&lt;'Technical Premium'!$C$19,"DISCOUNT AUTHORITY BREACH. ","")&amp;IF(N($AQ100)&gt;'Technical Premium'!$C$20,"Load authority breach. ","")&amp;IF($J100&gt;='Technical Premium'!$C$16,"Agreed value at or above auto-bind limit. ","")&amp;IF(AND(ISNUMBER($CD100),$CD100&gt;='Technical Premium'!$C$17),"Composite factor at cap. ","")&amp;IF(AND(ISNUMBER($CD100),$CD100&gt;2.5),"Composite factor above 2.50. ","")&amp;IF(LEFT(IFERROR(INDEX('Driver Factors'!$D$6:$D$15,MATCH($R100,'Driver Factors'!$B$6:$B$15,0)),""),7)="DECLINE","DECLINE - driver age. ",IF(LEFT(IFERROR(INDEX('Driver Factors'!$D$6:$D$15,MATCH($R100,'Driver Factors'!$B$6:$B$15,0)),""),5)="Refer","Driver age band. ",""))&amp;IF(LEFT(IFERROR(INDEX('Driver Factors'!$D$28:$D$36,MATCH($T100,'Driver Factors'!$B$28:$B$36,0)),""),7)="DECLINE","DECLINE - MVR. ",IF(LEFT(IFERROR(INDEX('Driver Factors'!$D$28:$D$36,MATCH($T100,'Driver Factors'!$B$28:$B$36,0)),""),5)="Refer","MVR record. ",""))&amp;IF(LEFT(IFERROR(INDEX('Claims History'!$D$6:$D$15,MATCH($U100,'Claims History'!$B$6:$B$15,0)),""),7)="DECLINE","DECLINE - claims. ",IF(LEFT(IFERROR(INDEX('Claims History'!$D$6:$D$15,MATCH($U100,'Claims History'!$B$6:$B$15,0)),""),5)="Refer","Claims history. ",""))&amp;IF(LEFT(IFERROR(INDEX('Usage and Coverage'!$E$6:$E$20,MATCH($N100,'Usage and Coverage'!$C$6:$C$20,0)),""),7)="DECLINE","DECLINE - usage class. ",IF(LEFT(IFERROR(INDEX('Usage and Coverage'!$E$6:$E$20,MATCH($N100,'Usage and Coverage'!$C$6:$C$20,0)),""),5)="Refer","Usage class. ",""))&amp;IF($CX100="CHECK INPUTS","Incomplete inputs. ",""))))</f>
        <v/>
      </c>
      <c r="DB100" s="92"/>
      <c r="DC100" s="92"/>
      <c r="DD100" s="93"/>
      <c r="DE100" s="92"/>
      <c r="DF100" s="92"/>
      <c r="DG100" s="97" t="str">
        <f t="shared" si="25"/>
        <v/>
      </c>
      <c r="DH100" s="97" t="str">
        <f>IF($A100="","",IF(OR($CX100="REFER",$CX100="DECLINE"),COUNTIF($CX$5:$CX100,"REFER")+COUNTIF($CX$5:$CX100,"DECLINE"),""))</f>
        <v/>
      </c>
      <c r="DI100" s="92"/>
    </row>
    <row r="101" spans="1:113" x14ac:dyDescent="0.25">
      <c r="A101" s="92"/>
      <c r="B101" s="92"/>
      <c r="C101" s="93"/>
      <c r="D101" s="93"/>
      <c r="E101" s="94"/>
      <c r="F101" s="92"/>
      <c r="G101" s="92"/>
      <c r="H101" s="92"/>
      <c r="I101" s="92"/>
      <c r="J101" s="95"/>
      <c r="K101" s="92"/>
      <c r="L101" s="92"/>
      <c r="M101" s="92"/>
      <c r="N101" s="92"/>
      <c r="O101" s="92"/>
      <c r="P101" s="92"/>
      <c r="Q101" s="92"/>
      <c r="R101" s="92"/>
      <c r="S101" s="92"/>
      <c r="T101" s="92"/>
      <c r="U101" s="92"/>
      <c r="V101" s="92"/>
      <c r="W101" s="92"/>
      <c r="X101" s="92"/>
      <c r="Y101" s="92"/>
      <c r="Z101" s="92"/>
      <c r="AA101" s="92"/>
      <c r="AB101" s="92"/>
      <c r="AC101" s="92"/>
      <c r="AD101" s="92"/>
      <c r="AE101" s="92"/>
      <c r="AF101" s="92"/>
      <c r="AG101" s="92"/>
      <c r="AH101" s="92"/>
      <c r="AI101" s="92"/>
      <c r="AJ101" s="92"/>
      <c r="AK101" s="92"/>
      <c r="AL101" s="92"/>
      <c r="AM101" s="92"/>
      <c r="AN101" s="92"/>
      <c r="AO101" s="92"/>
      <c r="AP101" s="92"/>
      <c r="AQ101" s="96"/>
      <c r="AR101" s="97" t="str">
        <f t="shared" si="13"/>
        <v/>
      </c>
      <c r="AS101" s="97" t="str">
        <f>IF($A101="","",IF($AP101&lt;&gt;"",$AP101,IFERROR(INDEX('Cat Zone by ZIP'!$D$6:$D$856,MATCH($AR101,'Cat Zone by ZIP'!$B$6:$B$856,0)),IFERROR(INDEX('Cat Zone by ZIP'!$C$860:$C$910,MATCH($K101,'Cat Zone by ZIP'!$B$860:$B$910,0)),"NOT FOUND"))))</f>
        <v/>
      </c>
      <c r="AT101" s="97" t="str">
        <f>IF($A101="","",IF($AP101&lt;&gt;"","Override",IF(ISNUMBER(MATCH($AR101,'Cat Zone by ZIP'!$B$6:$B$856,0)),"ZIP-3","State default")))</f>
        <v/>
      </c>
      <c r="AU101" s="98" t="str">
        <f>IF($A101="","",IFERROR(INDEX('Natural Catastrophe'!$D$6:$D$17,MATCH($AS101,'Natural Catastrophe'!$B$6:$B$17,0)),"?"))</f>
        <v/>
      </c>
      <c r="AV101" s="98" t="str">
        <f>IF($A101="","",IFERROR(INDEX('Natural Catastrophe'!$C$21:$C$26,MATCH($AA101,'Natural Catastrophe'!$B$21:$B$26,0)),"?"))</f>
        <v/>
      </c>
      <c r="AW101" s="97" t="str">
        <f>IF($A101="","",IFERROR(INDEX('Base Rates'!$C$4:$I$4,MATCH(MAX($J101,'Technical Premium'!$C$18),'Base Rates'!$C$3:$I$3,1)),"?"))</f>
        <v/>
      </c>
      <c r="AX101" s="99" t="str">
        <f>IF($A101="","",IFERROR(INDEX('Base Rates'!$C$5:$I$16,MATCH($I101,'Base Rates'!$B$5:$B$16,0),MATCH(MAX($J101,'Technical Premium'!$C$18),'Base Rates'!$C$3:$I$3,1)),"?"))</f>
        <v/>
      </c>
      <c r="AY101" s="100" t="str">
        <f t="shared" si="14"/>
        <v/>
      </c>
      <c r="AZ101" s="97" t="str">
        <f>IF($A101="","",IFERROR(INDEX('Make Factors'!$G$5:$G$69,MATCH($F101,'Make Factors'!$B$5:$B$69,0)),"?"))</f>
        <v/>
      </c>
      <c r="BA101" s="97" t="str">
        <f>IF($A101="","",IFERROR(INDEX('Driver Factors'!$C$6:$C$15,MATCH($R101,'Driver Factors'!$B$6:$B$15,0)),"?"))</f>
        <v/>
      </c>
      <c r="BB101" s="97" t="str">
        <f>IF($A101="","",IFERROR(INDEX('Driver Factors'!$C$19:$C$24,MATCH($S101,'Driver Factors'!$B$19:$B$24,0)),"?"))</f>
        <v/>
      </c>
      <c r="BC101" s="97" t="str">
        <f>IF($A101="","",IFERROR(INDEX('Driver Factors'!$C$28:$C$36,MATCH($T101,'Driver Factors'!$B$28:$B$36,0)),"?"))</f>
        <v/>
      </c>
      <c r="BD101" s="97" t="str">
        <f>IF($A101="","",IFERROR(INDEX('Claims History'!$C$6:$C$15,MATCH($U101,'Claims History'!$B$6:$B$15,0)),"?"))</f>
        <v/>
      </c>
      <c r="BE101" s="97" t="str">
        <f>IF($A101="","",IFERROR(INDEX('Territory Factors'!$E$6:$E$56,MATCH($K101,'Territory Factors'!$B$6:$B$56,0)),"?"))</f>
        <v/>
      </c>
      <c r="BF101" s="97" t="str">
        <f>IF($A101="","",IFERROR(INDEX('City Accident Ratings'!$G$6:$G$54,MATCH($Z101,'City Accident Ratings'!$B$6:$B$54,0)),"?"))</f>
        <v/>
      </c>
      <c r="BG101" s="97" t="str">
        <f>IF($A101="","",IFERROR(INDEX('Usage and Coverage'!$D$6:$D$20,MATCH($N101,'Usage and Coverage'!$C$6:$C$20,0)),"?"))</f>
        <v/>
      </c>
      <c r="BH101" s="97" t="str">
        <f>IF($A101="","",IFERROR(INDEX('Usage and Coverage'!$C$24:$C$30,MATCH($O101,'Usage and Coverage'!$B$24:$B$30,0)),"?"))</f>
        <v/>
      </c>
      <c r="BI101" s="97" t="str">
        <f>IF($A101="","",IFERROR(INDEX('Usage and Coverage'!$C$34:$C$40,MATCH($P101,'Usage and Coverage'!$B$34:$B$40,0)),"?"))</f>
        <v/>
      </c>
      <c r="BJ101" s="97" t="str">
        <f>IF($A101="","",IFERROR(INDEX('Usage and Coverage'!$C$44:$C$49,MATCH($Q101,'Usage and Coverage'!$B$44:$B$49,0)),"?"))</f>
        <v/>
      </c>
      <c r="BK101" s="97" t="str">
        <f>IF($A101="","",IFERROR(INDEX(Deductibles!$C$6:$I$15,MATCH($W101,Deductibles!$B$6:$B$15,0),MATCH(MAX($J101,'Technical Premium'!$C$18),'Base Rates'!$C$3:$I$3,1)),"?"))</f>
        <v/>
      </c>
      <c r="BL101" s="97" t="str">
        <f>IF($A101="","",IFERROR(INDEX('Usage and Coverage'!$C$63:$C$66,MATCH($X101,'Usage and Coverage'!$B$63:$B$66,0)),"?"))</f>
        <v/>
      </c>
      <c r="BM101" s="97" t="str">
        <f>IF($A101="","",IFERROR(INDEX('Usage and Coverage'!$C$70:$C$75,MATCH($V101,'Usage and Coverage'!$B$70:$B$75,0)),"?"))</f>
        <v/>
      </c>
      <c r="BN101" s="97" t="str">
        <f>IF($A101="","",IF($AB101="",1,IFERROR(INDEX(Deductibles!$C$48:$C$51,MATCH($AB101,Deductibles!$B$48:$B$51,0)),"?")))</f>
        <v/>
      </c>
      <c r="BO101" s="97" t="str">
        <f>IF($A101="","",IF($AC101="",1,IFERROR(INDEX(Deductibles!$C$55:$C$57,MATCH($AC101,Deductibles!$B$55:$B$57,0)),"?")))</f>
        <v/>
      </c>
      <c r="BP101" s="97" t="str">
        <f>IF($A101="","",IF($AD101="",1,IFERROR(INDEX(Deductibles!$C$61:$C$63,MATCH($AD101,Deductibles!$B$61:$B$63,0)),"?")))</f>
        <v/>
      </c>
      <c r="BQ101" s="97" t="str">
        <f>IF($A101="","",IF($AE101="",1,IFERROR(INDEX(Deductibles!$C$67:$C$69,MATCH($AE101,Deductibles!$B$67:$B$69,0)),"?")))</f>
        <v/>
      </c>
      <c r="BR101" s="97" t="str">
        <f>IF($A101="","",IF($AF101="",1,IFERROR(INDEX(Deductibles!$C$73:$C$74,MATCH($AF101,Deductibles!$B$73:$B$74,0)),"?")))</f>
        <v/>
      </c>
      <c r="BS101" s="97" t="str">
        <f>IF($A101="","",IF($AG101="",1,IFERROR(INDEX('Sublimits and Parts'!$C$49:$C$52,MATCH($AG101,'Sublimits and Parts'!$B$49:$B$52,0)),"?")))</f>
        <v/>
      </c>
      <c r="BT101" s="97" t="str">
        <f>IF($A101="","",IF($AH101="",1,IFERROR(INDEX('Sublimits and Parts'!$C$56:$C$60,MATCH($AH101,'Sublimits and Parts'!$B$56:$B$60,0)),"?")))</f>
        <v/>
      </c>
      <c r="BU101" s="97" t="str">
        <f>IF($A101="","",IF($AI101="",1,IFERROR(INDEX('Sublimits and Parts'!$C$64:$C$67,MATCH($AI101,'Sublimits and Parts'!$B$64:$B$67,0)),"?")))</f>
        <v/>
      </c>
      <c r="BV101" s="97" t="str">
        <f>IF($A101="","",IF($AJ101="",1,IFERROR(INDEX('Sublimits and Parts'!$C$71:$C$74,MATCH($AJ101,'Sublimits and Parts'!$B$71:$B$74,0)),"?")))</f>
        <v/>
      </c>
      <c r="BW101" s="97" t="str">
        <f>IF($A101="","",IF($AK101="",1,IFERROR(INDEX('Sublimits and Parts'!$C$78:$C$80,MATCH($AK101,'Sublimits and Parts'!$B$78:$B$80,0)),"?")))</f>
        <v/>
      </c>
      <c r="BX101" s="97" t="str">
        <f>IF($A101="","",IF($AL101="",1,IFERROR(INDEX('Sublimits and Parts'!$C$84:$C$87,MATCH($AL101,'Sublimits and Parts'!$B$84:$B$87,0)),"?")))</f>
        <v/>
      </c>
      <c r="BY101" s="97" t="str">
        <f>IF($A101="","",IF($AM101="",1,IFERROR(INDEX('Sublimits and Parts'!$C$91:$C$94,MATCH($AM101,'Sublimits and Parts'!$B$91:$B$94,0)),"?")))</f>
        <v/>
      </c>
      <c r="BZ101" s="97" t="str">
        <f>IF($A101="","",IF($AN101="",1,IFERROR(INDEX('Sublimits and Parts'!$C$98:$C$101,MATCH($AN101,'Sublimits and Parts'!$B$98:$B$101,0)),"?")))</f>
        <v/>
      </c>
      <c r="CA101" s="97" t="str">
        <f>IF($A101="","",IF($AO101="",1,IFERROR(INDEX('Sublimits and Parts'!$C$105:$C$109,MATCH($AO101,'Sublimits and Parts'!$B$105:$B$109,0)),"?")))</f>
        <v/>
      </c>
      <c r="CB101" s="98" t="str">
        <f t="shared" si="15"/>
        <v/>
      </c>
      <c r="CC101" s="98" t="str">
        <f t="shared" si="16"/>
        <v/>
      </c>
      <c r="CD101" s="101" t="str">
        <f>IF($A101="","",IF(OR($CB101="?",$CC101="?"),"?",MIN($CB101*$CC101,'Technical Premium'!$C$17)))</f>
        <v/>
      </c>
      <c r="CE101" s="100" t="str">
        <f t="shared" si="17"/>
        <v/>
      </c>
      <c r="CF101" s="100" t="str">
        <f>IF($A101="","",IFERROR(INDEX('Territory Factors'!$F$6:$F$56,MATCH($K101,'Territory Factors'!$B$6:$B$56,0)),"?"))</f>
        <v/>
      </c>
      <c r="CG101" s="98" t="str">
        <f>IF($A101="","",IFERROR(INDEX('Usage and Coverage'!$C$79:$C$84,MATCH($Y101,'Usage and Coverage'!$B$79:$B$84,0)),"?"))</f>
        <v/>
      </c>
      <c r="CH101" s="100" t="str">
        <f>IFERROR(IF(ISNUMBER($CD101),$CF101*$CG101*MIN($BG101*$BA101*$BC101*$BD101*$BH101*$BF101,'Technical Premium'!$C$17),""),"")</f>
        <v/>
      </c>
      <c r="CI101" s="100" t="str">
        <f t="shared" si="18"/>
        <v/>
      </c>
      <c r="CJ101" s="100" t="str">
        <f>IFERROR($CI101*(1+'Technical Premium'!$C$5)*(1+'Technical Premium'!$C$6),"")</f>
        <v/>
      </c>
      <c r="CK101" s="100" t="str">
        <f>IFERROR($CE101*INDEX('Territory Factors'!$G$6:$G$56,MATCH($K101,'Territory Factors'!$B$6:$B$56,0))*$AU101*$AV101,"")</f>
        <v/>
      </c>
      <c r="CL101" s="100" t="str">
        <f>IFERROR(($CJ101+$CK101)*(1+'Technical Premium'!$C$7),"")</f>
        <v/>
      </c>
      <c r="CM101" s="102" t="str">
        <f>IFERROR($CL101/'Technical Premium'!$C$13,"")</f>
        <v/>
      </c>
      <c r="CN101" s="103" t="str">
        <f t="shared" si="19"/>
        <v/>
      </c>
      <c r="CO101" s="102" t="str">
        <f t="shared" si="20"/>
        <v/>
      </c>
      <c r="CP101" s="103" t="str">
        <f t="shared" si="21"/>
        <v/>
      </c>
      <c r="CQ101" s="104" t="str">
        <f t="shared" si="22"/>
        <v/>
      </c>
      <c r="CR101" s="100" t="str">
        <f>IF(ISNUMBER($CM101),'Technical Premium'!$C$14+IF($J101&gt;=1000000,'Technical Premium'!$C$15,0),"")</f>
        <v/>
      </c>
      <c r="CS101" s="100" t="str">
        <f>IFERROR(($CO101+$CR101)*(INDEX('Territory Factors'!$K$6:$K$56,MATCH($K101,'Territory Factors'!$B$6:$B$56,0))+'Commission Structure'!$C$21),"")</f>
        <v/>
      </c>
      <c r="CT101" s="102" t="str">
        <f t="shared" si="23"/>
        <v/>
      </c>
      <c r="CU101" s="100" t="str">
        <f>IFERROR($CO101*('Commission Structure'!$C$6+'Commission Structure'!$C$7),"")</f>
        <v/>
      </c>
      <c r="CV101" s="100" t="str">
        <f>IFERROR($CO101*'Commission Structure'!$C$5-$CU101,"")</f>
        <v/>
      </c>
      <c r="CW101" s="100" t="str">
        <f>IFERROR($CO101*(1-'Commission Structure'!$C$5),"")</f>
        <v/>
      </c>
      <c r="CX101" s="105" t="str">
        <f>IF($A101="","",IF(OR($CB101="?",$CC101="?",NOT(ISNUMBER($AU101))),"CHECK INPUTS",IF(OR($J101&lt;'Technical Premium'!$C$18,LEFT(IFERROR(INDEX('Driver Factors'!$D$6:$D$15,MATCH($R101,'Driver Factors'!$B$6:$B$15,0)),""),7)="DECLINE",LEFT(IFERROR(INDEX('Driver Factors'!$D$28:$D$36,MATCH($T101,'Driver Factors'!$B$28:$B$36,0)),""),7)="DECLINE",LEFT(IFERROR(INDEX('Claims History'!$D$6:$D$15,MATCH($U101,'Claims History'!$B$6:$B$15,0)),""),7)="DECLINE",LEFT(IFERROR(INDEX('Usage and Coverage'!$E$6:$E$20,MATCH($N101,'Usage and Coverage'!$C$6:$C$20,0)),""),7)="DECLINE"),"DECLINE",IF(OR($CD101&gt;2.5,$CD101&gt;='Technical Premium'!$C$17,$J101&gt;='Technical Premium'!$C$16,N($AQ101)&lt;'Technical Premium'!$C$19,N($AQ101)&gt;'Technical Premium'!$C$20,LEFT(IFERROR(INDEX('Driver Factors'!$D$6:$D$15,MATCH($R101,'Driver Factors'!$B$6:$B$15,0)),""),5)="Refer",LEFT(IFERROR(INDEX('Driver Factors'!$D$28:$D$36,MATCH($T101,'Driver Factors'!$B$28:$B$36,0)),""),5)="Refer",LEFT(IFERROR(INDEX('Claims History'!$D$6:$D$15,MATCH($U101,'Claims History'!$B$6:$B$15,0)),""),5)="Refer",LEFT(IFERROR(INDEX('Usage and Coverage'!$E$6:$E$20,MATCH($N101,'Usage and Coverage'!$C$6:$C$20,0)),""),5)="Refer"),"REFER","AUTO-BIND"))))</f>
        <v/>
      </c>
      <c r="CY101" s="106" t="str">
        <f t="shared" si="24"/>
        <v/>
      </c>
      <c r="CZ101" s="97" t="str">
        <f>IF($CY101="","",IF($CY101&lt;'Technical Premium'!$C$19,"BEYOND AUTHORITY",IF($CY101&gt;0.005,"Above technical",IF($CY101&lt;-0.005,"BELOW technical","At technical"))))</f>
        <v/>
      </c>
      <c r="DA101" s="97" t="str">
        <f>IF($A101="","",IF($CX101="AUTO-BIND","",TRIM(IF($J101&lt;'Technical Premium'!$C$18,"Below programme minimum agreed value. ","")&amp;IF(N($AQ101)&lt;'Technical Premium'!$C$19,"DISCOUNT AUTHORITY BREACH. ","")&amp;IF(N($AQ101)&gt;'Technical Premium'!$C$20,"Load authority breach. ","")&amp;IF($J101&gt;='Technical Premium'!$C$16,"Agreed value at or above auto-bind limit. ","")&amp;IF(AND(ISNUMBER($CD101),$CD101&gt;='Technical Premium'!$C$17),"Composite factor at cap. ","")&amp;IF(AND(ISNUMBER($CD101),$CD101&gt;2.5),"Composite factor above 2.50. ","")&amp;IF(LEFT(IFERROR(INDEX('Driver Factors'!$D$6:$D$15,MATCH($R101,'Driver Factors'!$B$6:$B$15,0)),""),7)="DECLINE","DECLINE - driver age. ",IF(LEFT(IFERROR(INDEX('Driver Factors'!$D$6:$D$15,MATCH($R101,'Driver Factors'!$B$6:$B$15,0)),""),5)="Refer","Driver age band. ",""))&amp;IF(LEFT(IFERROR(INDEX('Driver Factors'!$D$28:$D$36,MATCH($T101,'Driver Factors'!$B$28:$B$36,0)),""),7)="DECLINE","DECLINE - MVR. ",IF(LEFT(IFERROR(INDEX('Driver Factors'!$D$28:$D$36,MATCH($T101,'Driver Factors'!$B$28:$B$36,0)),""),5)="Refer","MVR record. ",""))&amp;IF(LEFT(IFERROR(INDEX('Claims History'!$D$6:$D$15,MATCH($U101,'Claims History'!$B$6:$B$15,0)),""),7)="DECLINE","DECLINE - claims. ",IF(LEFT(IFERROR(INDEX('Claims History'!$D$6:$D$15,MATCH($U101,'Claims History'!$B$6:$B$15,0)),""),5)="Refer","Claims history. ",""))&amp;IF(LEFT(IFERROR(INDEX('Usage and Coverage'!$E$6:$E$20,MATCH($N101,'Usage and Coverage'!$C$6:$C$20,0)),""),7)="DECLINE","DECLINE - usage class. ",IF(LEFT(IFERROR(INDEX('Usage and Coverage'!$E$6:$E$20,MATCH($N101,'Usage and Coverage'!$C$6:$C$20,0)),""),5)="Refer","Usage class. ",""))&amp;IF($CX101="CHECK INPUTS","Incomplete inputs. ",""))))</f>
        <v/>
      </c>
      <c r="DB101" s="92"/>
      <c r="DC101" s="92"/>
      <c r="DD101" s="93"/>
      <c r="DE101" s="92"/>
      <c r="DF101" s="92"/>
      <c r="DG101" s="97" t="str">
        <f t="shared" si="25"/>
        <v/>
      </c>
      <c r="DH101" s="97" t="str">
        <f>IF($A101="","",IF(OR($CX101="REFER",$CX101="DECLINE"),COUNTIF($CX$5:$CX101,"REFER")+COUNTIF($CX$5:$CX101,"DECLINE"),""))</f>
        <v/>
      </c>
      <c r="DI101" s="92"/>
    </row>
    <row r="102" spans="1:113" x14ac:dyDescent="0.25">
      <c r="A102" s="92"/>
      <c r="B102" s="92"/>
      <c r="C102" s="93"/>
      <c r="D102" s="93"/>
      <c r="E102" s="94"/>
      <c r="F102" s="92"/>
      <c r="G102" s="92"/>
      <c r="H102" s="92"/>
      <c r="I102" s="92"/>
      <c r="J102" s="95"/>
      <c r="K102" s="92"/>
      <c r="L102" s="92"/>
      <c r="M102" s="92"/>
      <c r="N102" s="92"/>
      <c r="O102" s="92"/>
      <c r="P102" s="92"/>
      <c r="Q102" s="92"/>
      <c r="R102" s="92"/>
      <c r="S102" s="92"/>
      <c r="T102" s="92"/>
      <c r="U102" s="92"/>
      <c r="V102" s="92"/>
      <c r="W102" s="92"/>
      <c r="X102" s="92"/>
      <c r="Y102" s="92"/>
      <c r="Z102" s="92"/>
      <c r="AA102" s="92"/>
      <c r="AB102" s="92"/>
      <c r="AC102" s="92"/>
      <c r="AD102" s="92"/>
      <c r="AE102" s="92"/>
      <c r="AF102" s="92"/>
      <c r="AG102" s="92"/>
      <c r="AH102" s="92"/>
      <c r="AI102" s="92"/>
      <c r="AJ102" s="92"/>
      <c r="AK102" s="92"/>
      <c r="AL102" s="92"/>
      <c r="AM102" s="92"/>
      <c r="AN102" s="92"/>
      <c r="AO102" s="92"/>
      <c r="AP102" s="92"/>
      <c r="AQ102" s="96"/>
      <c r="AR102" s="97" t="str">
        <f t="shared" si="13"/>
        <v/>
      </c>
      <c r="AS102" s="97" t="str">
        <f>IF($A102="","",IF($AP102&lt;&gt;"",$AP102,IFERROR(INDEX('Cat Zone by ZIP'!$D$6:$D$856,MATCH($AR102,'Cat Zone by ZIP'!$B$6:$B$856,0)),IFERROR(INDEX('Cat Zone by ZIP'!$C$860:$C$910,MATCH($K102,'Cat Zone by ZIP'!$B$860:$B$910,0)),"NOT FOUND"))))</f>
        <v/>
      </c>
      <c r="AT102" s="97" t="str">
        <f>IF($A102="","",IF($AP102&lt;&gt;"","Override",IF(ISNUMBER(MATCH($AR102,'Cat Zone by ZIP'!$B$6:$B$856,0)),"ZIP-3","State default")))</f>
        <v/>
      </c>
      <c r="AU102" s="98" t="str">
        <f>IF($A102="","",IFERROR(INDEX('Natural Catastrophe'!$D$6:$D$17,MATCH($AS102,'Natural Catastrophe'!$B$6:$B$17,0)),"?"))</f>
        <v/>
      </c>
      <c r="AV102" s="98" t="str">
        <f>IF($A102="","",IFERROR(INDEX('Natural Catastrophe'!$C$21:$C$26,MATCH($AA102,'Natural Catastrophe'!$B$21:$B$26,0)),"?"))</f>
        <v/>
      </c>
      <c r="AW102" s="97" t="str">
        <f>IF($A102="","",IFERROR(INDEX('Base Rates'!$C$4:$I$4,MATCH(MAX($J102,'Technical Premium'!$C$18),'Base Rates'!$C$3:$I$3,1)),"?"))</f>
        <v/>
      </c>
      <c r="AX102" s="99" t="str">
        <f>IF($A102="","",IFERROR(INDEX('Base Rates'!$C$5:$I$16,MATCH($I102,'Base Rates'!$B$5:$B$16,0),MATCH(MAX($J102,'Technical Premium'!$C$18),'Base Rates'!$C$3:$I$3,1)),"?"))</f>
        <v/>
      </c>
      <c r="AY102" s="100" t="str">
        <f t="shared" si="14"/>
        <v/>
      </c>
      <c r="AZ102" s="97" t="str">
        <f>IF($A102="","",IFERROR(INDEX('Make Factors'!$G$5:$G$69,MATCH($F102,'Make Factors'!$B$5:$B$69,0)),"?"))</f>
        <v/>
      </c>
      <c r="BA102" s="97" t="str">
        <f>IF($A102="","",IFERROR(INDEX('Driver Factors'!$C$6:$C$15,MATCH($R102,'Driver Factors'!$B$6:$B$15,0)),"?"))</f>
        <v/>
      </c>
      <c r="BB102" s="97" t="str">
        <f>IF($A102="","",IFERROR(INDEX('Driver Factors'!$C$19:$C$24,MATCH($S102,'Driver Factors'!$B$19:$B$24,0)),"?"))</f>
        <v/>
      </c>
      <c r="BC102" s="97" t="str">
        <f>IF($A102="","",IFERROR(INDEX('Driver Factors'!$C$28:$C$36,MATCH($T102,'Driver Factors'!$B$28:$B$36,0)),"?"))</f>
        <v/>
      </c>
      <c r="BD102" s="97" t="str">
        <f>IF($A102="","",IFERROR(INDEX('Claims History'!$C$6:$C$15,MATCH($U102,'Claims History'!$B$6:$B$15,0)),"?"))</f>
        <v/>
      </c>
      <c r="BE102" s="97" t="str">
        <f>IF($A102="","",IFERROR(INDEX('Territory Factors'!$E$6:$E$56,MATCH($K102,'Territory Factors'!$B$6:$B$56,0)),"?"))</f>
        <v/>
      </c>
      <c r="BF102" s="97" t="str">
        <f>IF($A102="","",IFERROR(INDEX('City Accident Ratings'!$G$6:$G$54,MATCH($Z102,'City Accident Ratings'!$B$6:$B$54,0)),"?"))</f>
        <v/>
      </c>
      <c r="BG102" s="97" t="str">
        <f>IF($A102="","",IFERROR(INDEX('Usage and Coverage'!$D$6:$D$20,MATCH($N102,'Usage and Coverage'!$C$6:$C$20,0)),"?"))</f>
        <v/>
      </c>
      <c r="BH102" s="97" t="str">
        <f>IF($A102="","",IFERROR(INDEX('Usage and Coverage'!$C$24:$C$30,MATCH($O102,'Usage and Coverage'!$B$24:$B$30,0)),"?"))</f>
        <v/>
      </c>
      <c r="BI102" s="97" t="str">
        <f>IF($A102="","",IFERROR(INDEX('Usage and Coverage'!$C$34:$C$40,MATCH($P102,'Usage and Coverage'!$B$34:$B$40,0)),"?"))</f>
        <v/>
      </c>
      <c r="BJ102" s="97" t="str">
        <f>IF($A102="","",IFERROR(INDEX('Usage and Coverage'!$C$44:$C$49,MATCH($Q102,'Usage and Coverage'!$B$44:$B$49,0)),"?"))</f>
        <v/>
      </c>
      <c r="BK102" s="97" t="str">
        <f>IF($A102="","",IFERROR(INDEX(Deductibles!$C$6:$I$15,MATCH($W102,Deductibles!$B$6:$B$15,0),MATCH(MAX($J102,'Technical Premium'!$C$18),'Base Rates'!$C$3:$I$3,1)),"?"))</f>
        <v/>
      </c>
      <c r="BL102" s="97" t="str">
        <f>IF($A102="","",IFERROR(INDEX('Usage and Coverage'!$C$63:$C$66,MATCH($X102,'Usage and Coverage'!$B$63:$B$66,0)),"?"))</f>
        <v/>
      </c>
      <c r="BM102" s="97" t="str">
        <f>IF($A102="","",IFERROR(INDEX('Usage and Coverage'!$C$70:$C$75,MATCH($V102,'Usage and Coverage'!$B$70:$B$75,0)),"?"))</f>
        <v/>
      </c>
      <c r="BN102" s="97" t="str">
        <f>IF($A102="","",IF($AB102="",1,IFERROR(INDEX(Deductibles!$C$48:$C$51,MATCH($AB102,Deductibles!$B$48:$B$51,0)),"?")))</f>
        <v/>
      </c>
      <c r="BO102" s="97" t="str">
        <f>IF($A102="","",IF($AC102="",1,IFERROR(INDEX(Deductibles!$C$55:$C$57,MATCH($AC102,Deductibles!$B$55:$B$57,0)),"?")))</f>
        <v/>
      </c>
      <c r="BP102" s="97" t="str">
        <f>IF($A102="","",IF($AD102="",1,IFERROR(INDEX(Deductibles!$C$61:$C$63,MATCH($AD102,Deductibles!$B$61:$B$63,0)),"?")))</f>
        <v/>
      </c>
      <c r="BQ102" s="97" t="str">
        <f>IF($A102="","",IF($AE102="",1,IFERROR(INDEX(Deductibles!$C$67:$C$69,MATCH($AE102,Deductibles!$B$67:$B$69,0)),"?")))</f>
        <v/>
      </c>
      <c r="BR102" s="97" t="str">
        <f>IF($A102="","",IF($AF102="",1,IFERROR(INDEX(Deductibles!$C$73:$C$74,MATCH($AF102,Deductibles!$B$73:$B$74,0)),"?")))</f>
        <v/>
      </c>
      <c r="BS102" s="97" t="str">
        <f>IF($A102="","",IF($AG102="",1,IFERROR(INDEX('Sublimits and Parts'!$C$49:$C$52,MATCH($AG102,'Sublimits and Parts'!$B$49:$B$52,0)),"?")))</f>
        <v/>
      </c>
      <c r="BT102" s="97" t="str">
        <f>IF($A102="","",IF($AH102="",1,IFERROR(INDEX('Sublimits and Parts'!$C$56:$C$60,MATCH($AH102,'Sublimits and Parts'!$B$56:$B$60,0)),"?")))</f>
        <v/>
      </c>
      <c r="BU102" s="97" t="str">
        <f>IF($A102="","",IF($AI102="",1,IFERROR(INDEX('Sublimits and Parts'!$C$64:$C$67,MATCH($AI102,'Sublimits and Parts'!$B$64:$B$67,0)),"?")))</f>
        <v/>
      </c>
      <c r="BV102" s="97" t="str">
        <f>IF($A102="","",IF($AJ102="",1,IFERROR(INDEX('Sublimits and Parts'!$C$71:$C$74,MATCH($AJ102,'Sublimits and Parts'!$B$71:$B$74,0)),"?")))</f>
        <v/>
      </c>
      <c r="BW102" s="97" t="str">
        <f>IF($A102="","",IF($AK102="",1,IFERROR(INDEX('Sublimits and Parts'!$C$78:$C$80,MATCH($AK102,'Sublimits and Parts'!$B$78:$B$80,0)),"?")))</f>
        <v/>
      </c>
      <c r="BX102" s="97" t="str">
        <f>IF($A102="","",IF($AL102="",1,IFERROR(INDEX('Sublimits and Parts'!$C$84:$C$87,MATCH($AL102,'Sublimits and Parts'!$B$84:$B$87,0)),"?")))</f>
        <v/>
      </c>
      <c r="BY102" s="97" t="str">
        <f>IF($A102="","",IF($AM102="",1,IFERROR(INDEX('Sublimits and Parts'!$C$91:$C$94,MATCH($AM102,'Sublimits and Parts'!$B$91:$B$94,0)),"?")))</f>
        <v/>
      </c>
      <c r="BZ102" s="97" t="str">
        <f>IF($A102="","",IF($AN102="",1,IFERROR(INDEX('Sublimits and Parts'!$C$98:$C$101,MATCH($AN102,'Sublimits and Parts'!$B$98:$B$101,0)),"?")))</f>
        <v/>
      </c>
      <c r="CA102" s="97" t="str">
        <f>IF($A102="","",IF($AO102="",1,IFERROR(INDEX('Sublimits and Parts'!$C$105:$C$109,MATCH($AO102,'Sublimits and Parts'!$B$105:$B$109,0)),"?")))</f>
        <v/>
      </c>
      <c r="CB102" s="98" t="str">
        <f t="shared" si="15"/>
        <v/>
      </c>
      <c r="CC102" s="98" t="str">
        <f t="shared" si="16"/>
        <v/>
      </c>
      <c r="CD102" s="101" t="str">
        <f>IF($A102="","",IF(OR($CB102="?",$CC102="?"),"?",MIN($CB102*$CC102,'Technical Premium'!$C$17)))</f>
        <v/>
      </c>
      <c r="CE102" s="100" t="str">
        <f t="shared" si="17"/>
        <v/>
      </c>
      <c r="CF102" s="100" t="str">
        <f>IF($A102="","",IFERROR(INDEX('Territory Factors'!$F$6:$F$56,MATCH($K102,'Territory Factors'!$B$6:$B$56,0)),"?"))</f>
        <v/>
      </c>
      <c r="CG102" s="98" t="str">
        <f>IF($A102="","",IFERROR(INDEX('Usage and Coverage'!$C$79:$C$84,MATCH($Y102,'Usage and Coverage'!$B$79:$B$84,0)),"?"))</f>
        <v/>
      </c>
      <c r="CH102" s="100" t="str">
        <f>IFERROR(IF(ISNUMBER($CD102),$CF102*$CG102*MIN($BG102*$BA102*$BC102*$BD102*$BH102*$BF102,'Technical Premium'!$C$17),""),"")</f>
        <v/>
      </c>
      <c r="CI102" s="100" t="str">
        <f t="shared" si="18"/>
        <v/>
      </c>
      <c r="CJ102" s="100" t="str">
        <f>IFERROR($CI102*(1+'Technical Premium'!$C$5)*(1+'Technical Premium'!$C$6),"")</f>
        <v/>
      </c>
      <c r="CK102" s="100" t="str">
        <f>IFERROR($CE102*INDEX('Territory Factors'!$G$6:$G$56,MATCH($K102,'Territory Factors'!$B$6:$B$56,0))*$AU102*$AV102,"")</f>
        <v/>
      </c>
      <c r="CL102" s="100" t="str">
        <f>IFERROR(($CJ102+$CK102)*(1+'Technical Premium'!$C$7),"")</f>
        <v/>
      </c>
      <c r="CM102" s="102" t="str">
        <f>IFERROR($CL102/'Technical Premium'!$C$13,"")</f>
        <v/>
      </c>
      <c r="CN102" s="103" t="str">
        <f t="shared" si="19"/>
        <v/>
      </c>
      <c r="CO102" s="102" t="str">
        <f t="shared" si="20"/>
        <v/>
      </c>
      <c r="CP102" s="103" t="str">
        <f t="shared" si="21"/>
        <v/>
      </c>
      <c r="CQ102" s="104" t="str">
        <f t="shared" si="22"/>
        <v/>
      </c>
      <c r="CR102" s="100" t="str">
        <f>IF(ISNUMBER($CM102),'Technical Premium'!$C$14+IF($J102&gt;=1000000,'Technical Premium'!$C$15,0),"")</f>
        <v/>
      </c>
      <c r="CS102" s="100" t="str">
        <f>IFERROR(($CO102+$CR102)*(INDEX('Territory Factors'!$K$6:$K$56,MATCH($K102,'Territory Factors'!$B$6:$B$56,0))+'Commission Structure'!$C$21),"")</f>
        <v/>
      </c>
      <c r="CT102" s="102" t="str">
        <f t="shared" si="23"/>
        <v/>
      </c>
      <c r="CU102" s="100" t="str">
        <f>IFERROR($CO102*('Commission Structure'!$C$6+'Commission Structure'!$C$7),"")</f>
        <v/>
      </c>
      <c r="CV102" s="100" t="str">
        <f>IFERROR($CO102*'Commission Structure'!$C$5-$CU102,"")</f>
        <v/>
      </c>
      <c r="CW102" s="100" t="str">
        <f>IFERROR($CO102*(1-'Commission Structure'!$C$5),"")</f>
        <v/>
      </c>
      <c r="CX102" s="105" t="str">
        <f>IF($A102="","",IF(OR($CB102="?",$CC102="?",NOT(ISNUMBER($AU102))),"CHECK INPUTS",IF(OR($J102&lt;'Technical Premium'!$C$18,LEFT(IFERROR(INDEX('Driver Factors'!$D$6:$D$15,MATCH($R102,'Driver Factors'!$B$6:$B$15,0)),""),7)="DECLINE",LEFT(IFERROR(INDEX('Driver Factors'!$D$28:$D$36,MATCH($T102,'Driver Factors'!$B$28:$B$36,0)),""),7)="DECLINE",LEFT(IFERROR(INDEX('Claims History'!$D$6:$D$15,MATCH($U102,'Claims History'!$B$6:$B$15,0)),""),7)="DECLINE",LEFT(IFERROR(INDEX('Usage and Coverage'!$E$6:$E$20,MATCH($N102,'Usage and Coverage'!$C$6:$C$20,0)),""),7)="DECLINE"),"DECLINE",IF(OR($CD102&gt;2.5,$CD102&gt;='Technical Premium'!$C$17,$J102&gt;='Technical Premium'!$C$16,N($AQ102)&lt;'Technical Premium'!$C$19,N($AQ102)&gt;'Technical Premium'!$C$20,LEFT(IFERROR(INDEX('Driver Factors'!$D$6:$D$15,MATCH($R102,'Driver Factors'!$B$6:$B$15,0)),""),5)="Refer",LEFT(IFERROR(INDEX('Driver Factors'!$D$28:$D$36,MATCH($T102,'Driver Factors'!$B$28:$B$36,0)),""),5)="Refer",LEFT(IFERROR(INDEX('Claims History'!$D$6:$D$15,MATCH($U102,'Claims History'!$B$6:$B$15,0)),""),5)="Refer",LEFT(IFERROR(INDEX('Usage and Coverage'!$E$6:$E$20,MATCH($N102,'Usage and Coverage'!$C$6:$C$20,0)),""),5)="Refer"),"REFER","AUTO-BIND"))))</f>
        <v/>
      </c>
      <c r="CY102" s="106" t="str">
        <f t="shared" si="24"/>
        <v/>
      </c>
      <c r="CZ102" s="97" t="str">
        <f>IF($CY102="","",IF($CY102&lt;'Technical Premium'!$C$19,"BEYOND AUTHORITY",IF($CY102&gt;0.005,"Above technical",IF($CY102&lt;-0.005,"BELOW technical","At technical"))))</f>
        <v/>
      </c>
      <c r="DA102" s="97" t="str">
        <f>IF($A102="","",IF($CX102="AUTO-BIND","",TRIM(IF($J102&lt;'Technical Premium'!$C$18,"Below programme minimum agreed value. ","")&amp;IF(N($AQ102)&lt;'Technical Premium'!$C$19,"DISCOUNT AUTHORITY BREACH. ","")&amp;IF(N($AQ102)&gt;'Technical Premium'!$C$20,"Load authority breach. ","")&amp;IF($J102&gt;='Technical Premium'!$C$16,"Agreed value at or above auto-bind limit. ","")&amp;IF(AND(ISNUMBER($CD102),$CD102&gt;='Technical Premium'!$C$17),"Composite factor at cap. ","")&amp;IF(AND(ISNUMBER($CD102),$CD102&gt;2.5),"Composite factor above 2.50. ","")&amp;IF(LEFT(IFERROR(INDEX('Driver Factors'!$D$6:$D$15,MATCH($R102,'Driver Factors'!$B$6:$B$15,0)),""),7)="DECLINE","DECLINE - driver age. ",IF(LEFT(IFERROR(INDEX('Driver Factors'!$D$6:$D$15,MATCH($R102,'Driver Factors'!$B$6:$B$15,0)),""),5)="Refer","Driver age band. ",""))&amp;IF(LEFT(IFERROR(INDEX('Driver Factors'!$D$28:$D$36,MATCH($T102,'Driver Factors'!$B$28:$B$36,0)),""),7)="DECLINE","DECLINE - MVR. ",IF(LEFT(IFERROR(INDEX('Driver Factors'!$D$28:$D$36,MATCH($T102,'Driver Factors'!$B$28:$B$36,0)),""),5)="Refer","MVR record. ",""))&amp;IF(LEFT(IFERROR(INDEX('Claims History'!$D$6:$D$15,MATCH($U102,'Claims History'!$B$6:$B$15,0)),""),7)="DECLINE","DECLINE - claims. ",IF(LEFT(IFERROR(INDEX('Claims History'!$D$6:$D$15,MATCH($U102,'Claims History'!$B$6:$B$15,0)),""),5)="Refer","Claims history. ",""))&amp;IF(LEFT(IFERROR(INDEX('Usage and Coverage'!$E$6:$E$20,MATCH($N102,'Usage and Coverage'!$C$6:$C$20,0)),""),7)="DECLINE","DECLINE - usage class. ",IF(LEFT(IFERROR(INDEX('Usage and Coverage'!$E$6:$E$20,MATCH($N102,'Usage and Coverage'!$C$6:$C$20,0)),""),5)="Refer","Usage class. ",""))&amp;IF($CX102="CHECK INPUTS","Incomplete inputs. ",""))))</f>
        <v/>
      </c>
      <c r="DB102" s="92"/>
      <c r="DC102" s="92"/>
      <c r="DD102" s="93"/>
      <c r="DE102" s="92"/>
      <c r="DF102" s="92"/>
      <c r="DG102" s="97" t="str">
        <f t="shared" si="25"/>
        <v/>
      </c>
      <c r="DH102" s="97" t="str">
        <f>IF($A102="","",IF(OR($CX102="REFER",$CX102="DECLINE"),COUNTIF($CX$5:$CX102,"REFER")+COUNTIF($CX$5:$CX102,"DECLINE"),""))</f>
        <v/>
      </c>
      <c r="DI102" s="92"/>
    </row>
    <row r="103" spans="1:113" x14ac:dyDescent="0.25">
      <c r="A103" s="92"/>
      <c r="B103" s="92"/>
      <c r="C103" s="93"/>
      <c r="D103" s="93"/>
      <c r="E103" s="94"/>
      <c r="F103" s="92"/>
      <c r="G103" s="92"/>
      <c r="H103" s="92"/>
      <c r="I103" s="92"/>
      <c r="J103" s="95"/>
      <c r="K103" s="92"/>
      <c r="L103" s="92"/>
      <c r="M103" s="92"/>
      <c r="N103" s="92"/>
      <c r="O103" s="92"/>
      <c r="P103" s="92"/>
      <c r="Q103" s="92"/>
      <c r="R103" s="92"/>
      <c r="S103" s="92"/>
      <c r="T103" s="92"/>
      <c r="U103" s="92"/>
      <c r="V103" s="92"/>
      <c r="W103" s="92"/>
      <c r="X103" s="92"/>
      <c r="Y103" s="92"/>
      <c r="Z103" s="92"/>
      <c r="AA103" s="92"/>
      <c r="AB103" s="92"/>
      <c r="AC103" s="92"/>
      <c r="AD103" s="92"/>
      <c r="AE103" s="92"/>
      <c r="AF103" s="92"/>
      <c r="AG103" s="92"/>
      <c r="AH103" s="92"/>
      <c r="AI103" s="92"/>
      <c r="AJ103" s="92"/>
      <c r="AK103" s="92"/>
      <c r="AL103" s="92"/>
      <c r="AM103" s="92"/>
      <c r="AN103" s="92"/>
      <c r="AO103" s="92"/>
      <c r="AP103" s="92"/>
      <c r="AQ103" s="96"/>
      <c r="AR103" s="97" t="str">
        <f t="shared" si="13"/>
        <v/>
      </c>
      <c r="AS103" s="97" t="str">
        <f>IF($A103="","",IF($AP103&lt;&gt;"",$AP103,IFERROR(INDEX('Cat Zone by ZIP'!$D$6:$D$856,MATCH($AR103,'Cat Zone by ZIP'!$B$6:$B$856,0)),IFERROR(INDEX('Cat Zone by ZIP'!$C$860:$C$910,MATCH($K103,'Cat Zone by ZIP'!$B$860:$B$910,0)),"NOT FOUND"))))</f>
        <v/>
      </c>
      <c r="AT103" s="97" t="str">
        <f>IF($A103="","",IF($AP103&lt;&gt;"","Override",IF(ISNUMBER(MATCH($AR103,'Cat Zone by ZIP'!$B$6:$B$856,0)),"ZIP-3","State default")))</f>
        <v/>
      </c>
      <c r="AU103" s="98" t="str">
        <f>IF($A103="","",IFERROR(INDEX('Natural Catastrophe'!$D$6:$D$17,MATCH($AS103,'Natural Catastrophe'!$B$6:$B$17,0)),"?"))</f>
        <v/>
      </c>
      <c r="AV103" s="98" t="str">
        <f>IF($A103="","",IFERROR(INDEX('Natural Catastrophe'!$C$21:$C$26,MATCH($AA103,'Natural Catastrophe'!$B$21:$B$26,0)),"?"))</f>
        <v/>
      </c>
      <c r="AW103" s="97" t="str">
        <f>IF($A103="","",IFERROR(INDEX('Base Rates'!$C$4:$I$4,MATCH(MAX($J103,'Technical Premium'!$C$18),'Base Rates'!$C$3:$I$3,1)),"?"))</f>
        <v/>
      </c>
      <c r="AX103" s="99" t="str">
        <f>IF($A103="","",IFERROR(INDEX('Base Rates'!$C$5:$I$16,MATCH($I103,'Base Rates'!$B$5:$B$16,0),MATCH(MAX($J103,'Technical Premium'!$C$18),'Base Rates'!$C$3:$I$3,1)),"?"))</f>
        <v/>
      </c>
      <c r="AY103" s="100" t="str">
        <f t="shared" si="14"/>
        <v/>
      </c>
      <c r="AZ103" s="97" t="str">
        <f>IF($A103="","",IFERROR(INDEX('Make Factors'!$G$5:$G$69,MATCH($F103,'Make Factors'!$B$5:$B$69,0)),"?"))</f>
        <v/>
      </c>
      <c r="BA103" s="97" t="str">
        <f>IF($A103="","",IFERROR(INDEX('Driver Factors'!$C$6:$C$15,MATCH($R103,'Driver Factors'!$B$6:$B$15,0)),"?"))</f>
        <v/>
      </c>
      <c r="BB103" s="97" t="str">
        <f>IF($A103="","",IFERROR(INDEX('Driver Factors'!$C$19:$C$24,MATCH($S103,'Driver Factors'!$B$19:$B$24,0)),"?"))</f>
        <v/>
      </c>
      <c r="BC103" s="97" t="str">
        <f>IF($A103="","",IFERROR(INDEX('Driver Factors'!$C$28:$C$36,MATCH($T103,'Driver Factors'!$B$28:$B$36,0)),"?"))</f>
        <v/>
      </c>
      <c r="BD103" s="97" t="str">
        <f>IF($A103="","",IFERROR(INDEX('Claims History'!$C$6:$C$15,MATCH($U103,'Claims History'!$B$6:$B$15,0)),"?"))</f>
        <v/>
      </c>
      <c r="BE103" s="97" t="str">
        <f>IF($A103="","",IFERROR(INDEX('Territory Factors'!$E$6:$E$56,MATCH($K103,'Territory Factors'!$B$6:$B$56,0)),"?"))</f>
        <v/>
      </c>
      <c r="BF103" s="97" t="str">
        <f>IF($A103="","",IFERROR(INDEX('City Accident Ratings'!$G$6:$G$54,MATCH($Z103,'City Accident Ratings'!$B$6:$B$54,0)),"?"))</f>
        <v/>
      </c>
      <c r="BG103" s="97" t="str">
        <f>IF($A103="","",IFERROR(INDEX('Usage and Coverage'!$D$6:$D$20,MATCH($N103,'Usage and Coverage'!$C$6:$C$20,0)),"?"))</f>
        <v/>
      </c>
      <c r="BH103" s="97" t="str">
        <f>IF($A103="","",IFERROR(INDEX('Usage and Coverage'!$C$24:$C$30,MATCH($O103,'Usage and Coverage'!$B$24:$B$30,0)),"?"))</f>
        <v/>
      </c>
      <c r="BI103" s="97" t="str">
        <f>IF($A103="","",IFERROR(INDEX('Usage and Coverage'!$C$34:$C$40,MATCH($P103,'Usage and Coverage'!$B$34:$B$40,0)),"?"))</f>
        <v/>
      </c>
      <c r="BJ103" s="97" t="str">
        <f>IF($A103="","",IFERROR(INDEX('Usage and Coverage'!$C$44:$C$49,MATCH($Q103,'Usage and Coverage'!$B$44:$B$49,0)),"?"))</f>
        <v/>
      </c>
      <c r="BK103" s="97" t="str">
        <f>IF($A103="","",IFERROR(INDEX(Deductibles!$C$6:$I$15,MATCH($W103,Deductibles!$B$6:$B$15,0),MATCH(MAX($J103,'Technical Premium'!$C$18),'Base Rates'!$C$3:$I$3,1)),"?"))</f>
        <v/>
      </c>
      <c r="BL103" s="97" t="str">
        <f>IF($A103="","",IFERROR(INDEX('Usage and Coverage'!$C$63:$C$66,MATCH($X103,'Usage and Coverage'!$B$63:$B$66,0)),"?"))</f>
        <v/>
      </c>
      <c r="BM103" s="97" t="str">
        <f>IF($A103="","",IFERROR(INDEX('Usage and Coverage'!$C$70:$C$75,MATCH($V103,'Usage and Coverage'!$B$70:$B$75,0)),"?"))</f>
        <v/>
      </c>
      <c r="BN103" s="97" t="str">
        <f>IF($A103="","",IF($AB103="",1,IFERROR(INDEX(Deductibles!$C$48:$C$51,MATCH($AB103,Deductibles!$B$48:$B$51,0)),"?")))</f>
        <v/>
      </c>
      <c r="BO103" s="97" t="str">
        <f>IF($A103="","",IF($AC103="",1,IFERROR(INDEX(Deductibles!$C$55:$C$57,MATCH($AC103,Deductibles!$B$55:$B$57,0)),"?")))</f>
        <v/>
      </c>
      <c r="BP103" s="97" t="str">
        <f>IF($A103="","",IF($AD103="",1,IFERROR(INDEX(Deductibles!$C$61:$C$63,MATCH($AD103,Deductibles!$B$61:$B$63,0)),"?")))</f>
        <v/>
      </c>
      <c r="BQ103" s="97" t="str">
        <f>IF($A103="","",IF($AE103="",1,IFERROR(INDEX(Deductibles!$C$67:$C$69,MATCH($AE103,Deductibles!$B$67:$B$69,0)),"?")))</f>
        <v/>
      </c>
      <c r="BR103" s="97" t="str">
        <f>IF($A103="","",IF($AF103="",1,IFERROR(INDEX(Deductibles!$C$73:$C$74,MATCH($AF103,Deductibles!$B$73:$B$74,0)),"?")))</f>
        <v/>
      </c>
      <c r="BS103" s="97" t="str">
        <f>IF($A103="","",IF($AG103="",1,IFERROR(INDEX('Sublimits and Parts'!$C$49:$C$52,MATCH($AG103,'Sublimits and Parts'!$B$49:$B$52,0)),"?")))</f>
        <v/>
      </c>
      <c r="BT103" s="97" t="str">
        <f>IF($A103="","",IF($AH103="",1,IFERROR(INDEX('Sublimits and Parts'!$C$56:$C$60,MATCH($AH103,'Sublimits and Parts'!$B$56:$B$60,0)),"?")))</f>
        <v/>
      </c>
      <c r="BU103" s="97" t="str">
        <f>IF($A103="","",IF($AI103="",1,IFERROR(INDEX('Sublimits and Parts'!$C$64:$C$67,MATCH($AI103,'Sublimits and Parts'!$B$64:$B$67,0)),"?")))</f>
        <v/>
      </c>
      <c r="BV103" s="97" t="str">
        <f>IF($A103="","",IF($AJ103="",1,IFERROR(INDEX('Sublimits and Parts'!$C$71:$C$74,MATCH($AJ103,'Sublimits and Parts'!$B$71:$B$74,0)),"?")))</f>
        <v/>
      </c>
      <c r="BW103" s="97" t="str">
        <f>IF($A103="","",IF($AK103="",1,IFERROR(INDEX('Sublimits and Parts'!$C$78:$C$80,MATCH($AK103,'Sublimits and Parts'!$B$78:$B$80,0)),"?")))</f>
        <v/>
      </c>
      <c r="BX103" s="97" t="str">
        <f>IF($A103="","",IF($AL103="",1,IFERROR(INDEX('Sublimits and Parts'!$C$84:$C$87,MATCH($AL103,'Sublimits and Parts'!$B$84:$B$87,0)),"?")))</f>
        <v/>
      </c>
      <c r="BY103" s="97" t="str">
        <f>IF($A103="","",IF($AM103="",1,IFERROR(INDEX('Sublimits and Parts'!$C$91:$C$94,MATCH($AM103,'Sublimits and Parts'!$B$91:$B$94,0)),"?")))</f>
        <v/>
      </c>
      <c r="BZ103" s="97" t="str">
        <f>IF($A103="","",IF($AN103="",1,IFERROR(INDEX('Sublimits and Parts'!$C$98:$C$101,MATCH($AN103,'Sublimits and Parts'!$B$98:$B$101,0)),"?")))</f>
        <v/>
      </c>
      <c r="CA103" s="97" t="str">
        <f>IF($A103="","",IF($AO103="",1,IFERROR(INDEX('Sublimits and Parts'!$C$105:$C$109,MATCH($AO103,'Sublimits and Parts'!$B$105:$B$109,0)),"?")))</f>
        <v/>
      </c>
      <c r="CB103" s="98" t="str">
        <f t="shared" si="15"/>
        <v/>
      </c>
      <c r="CC103" s="98" t="str">
        <f t="shared" si="16"/>
        <v/>
      </c>
      <c r="CD103" s="101" t="str">
        <f>IF($A103="","",IF(OR($CB103="?",$CC103="?"),"?",MIN($CB103*$CC103,'Technical Premium'!$C$17)))</f>
        <v/>
      </c>
      <c r="CE103" s="100" t="str">
        <f t="shared" si="17"/>
        <v/>
      </c>
      <c r="CF103" s="100" t="str">
        <f>IF($A103="","",IFERROR(INDEX('Territory Factors'!$F$6:$F$56,MATCH($K103,'Territory Factors'!$B$6:$B$56,0)),"?"))</f>
        <v/>
      </c>
      <c r="CG103" s="98" t="str">
        <f>IF($A103="","",IFERROR(INDEX('Usage and Coverage'!$C$79:$C$84,MATCH($Y103,'Usage and Coverage'!$B$79:$B$84,0)),"?"))</f>
        <v/>
      </c>
      <c r="CH103" s="100" t="str">
        <f>IFERROR(IF(ISNUMBER($CD103),$CF103*$CG103*MIN($BG103*$BA103*$BC103*$BD103*$BH103*$BF103,'Technical Premium'!$C$17),""),"")</f>
        <v/>
      </c>
      <c r="CI103" s="100" t="str">
        <f t="shared" si="18"/>
        <v/>
      </c>
      <c r="CJ103" s="100" t="str">
        <f>IFERROR($CI103*(1+'Technical Premium'!$C$5)*(1+'Technical Premium'!$C$6),"")</f>
        <v/>
      </c>
      <c r="CK103" s="100" t="str">
        <f>IFERROR($CE103*INDEX('Territory Factors'!$G$6:$G$56,MATCH($K103,'Territory Factors'!$B$6:$B$56,0))*$AU103*$AV103,"")</f>
        <v/>
      </c>
      <c r="CL103" s="100" t="str">
        <f>IFERROR(($CJ103+$CK103)*(1+'Technical Premium'!$C$7),"")</f>
        <v/>
      </c>
      <c r="CM103" s="102" t="str">
        <f>IFERROR($CL103/'Technical Premium'!$C$13,"")</f>
        <v/>
      </c>
      <c r="CN103" s="103" t="str">
        <f t="shared" si="19"/>
        <v/>
      </c>
      <c r="CO103" s="102" t="str">
        <f t="shared" si="20"/>
        <v/>
      </c>
      <c r="CP103" s="103" t="str">
        <f t="shared" si="21"/>
        <v/>
      </c>
      <c r="CQ103" s="104" t="str">
        <f t="shared" si="22"/>
        <v/>
      </c>
      <c r="CR103" s="100" t="str">
        <f>IF(ISNUMBER($CM103),'Technical Premium'!$C$14+IF($J103&gt;=1000000,'Technical Premium'!$C$15,0),"")</f>
        <v/>
      </c>
      <c r="CS103" s="100" t="str">
        <f>IFERROR(($CO103+$CR103)*(INDEX('Territory Factors'!$K$6:$K$56,MATCH($K103,'Territory Factors'!$B$6:$B$56,0))+'Commission Structure'!$C$21),"")</f>
        <v/>
      </c>
      <c r="CT103" s="102" t="str">
        <f t="shared" si="23"/>
        <v/>
      </c>
      <c r="CU103" s="100" t="str">
        <f>IFERROR($CO103*('Commission Structure'!$C$6+'Commission Structure'!$C$7),"")</f>
        <v/>
      </c>
      <c r="CV103" s="100" t="str">
        <f>IFERROR($CO103*'Commission Structure'!$C$5-$CU103,"")</f>
        <v/>
      </c>
      <c r="CW103" s="100" t="str">
        <f>IFERROR($CO103*(1-'Commission Structure'!$C$5),"")</f>
        <v/>
      </c>
      <c r="CX103" s="105" t="str">
        <f>IF($A103="","",IF(OR($CB103="?",$CC103="?",NOT(ISNUMBER($AU103))),"CHECK INPUTS",IF(OR($J103&lt;'Technical Premium'!$C$18,LEFT(IFERROR(INDEX('Driver Factors'!$D$6:$D$15,MATCH($R103,'Driver Factors'!$B$6:$B$15,0)),""),7)="DECLINE",LEFT(IFERROR(INDEX('Driver Factors'!$D$28:$D$36,MATCH($T103,'Driver Factors'!$B$28:$B$36,0)),""),7)="DECLINE",LEFT(IFERROR(INDEX('Claims History'!$D$6:$D$15,MATCH($U103,'Claims History'!$B$6:$B$15,0)),""),7)="DECLINE",LEFT(IFERROR(INDEX('Usage and Coverage'!$E$6:$E$20,MATCH($N103,'Usage and Coverage'!$C$6:$C$20,0)),""),7)="DECLINE"),"DECLINE",IF(OR($CD103&gt;2.5,$CD103&gt;='Technical Premium'!$C$17,$J103&gt;='Technical Premium'!$C$16,N($AQ103)&lt;'Technical Premium'!$C$19,N($AQ103)&gt;'Technical Premium'!$C$20,LEFT(IFERROR(INDEX('Driver Factors'!$D$6:$D$15,MATCH($R103,'Driver Factors'!$B$6:$B$15,0)),""),5)="Refer",LEFT(IFERROR(INDEX('Driver Factors'!$D$28:$D$36,MATCH($T103,'Driver Factors'!$B$28:$B$36,0)),""),5)="Refer",LEFT(IFERROR(INDEX('Claims History'!$D$6:$D$15,MATCH($U103,'Claims History'!$B$6:$B$15,0)),""),5)="Refer",LEFT(IFERROR(INDEX('Usage and Coverage'!$E$6:$E$20,MATCH($N103,'Usage and Coverage'!$C$6:$C$20,0)),""),5)="Refer"),"REFER","AUTO-BIND"))))</f>
        <v/>
      </c>
      <c r="CY103" s="106" t="str">
        <f t="shared" si="24"/>
        <v/>
      </c>
      <c r="CZ103" s="97" t="str">
        <f>IF($CY103="","",IF($CY103&lt;'Technical Premium'!$C$19,"BEYOND AUTHORITY",IF($CY103&gt;0.005,"Above technical",IF($CY103&lt;-0.005,"BELOW technical","At technical"))))</f>
        <v/>
      </c>
      <c r="DA103" s="97" t="str">
        <f>IF($A103="","",IF($CX103="AUTO-BIND","",TRIM(IF($J103&lt;'Technical Premium'!$C$18,"Below programme minimum agreed value. ","")&amp;IF(N($AQ103)&lt;'Technical Premium'!$C$19,"DISCOUNT AUTHORITY BREACH. ","")&amp;IF(N($AQ103)&gt;'Technical Premium'!$C$20,"Load authority breach. ","")&amp;IF($J103&gt;='Technical Premium'!$C$16,"Agreed value at or above auto-bind limit. ","")&amp;IF(AND(ISNUMBER($CD103),$CD103&gt;='Technical Premium'!$C$17),"Composite factor at cap. ","")&amp;IF(AND(ISNUMBER($CD103),$CD103&gt;2.5),"Composite factor above 2.50. ","")&amp;IF(LEFT(IFERROR(INDEX('Driver Factors'!$D$6:$D$15,MATCH($R103,'Driver Factors'!$B$6:$B$15,0)),""),7)="DECLINE","DECLINE - driver age. ",IF(LEFT(IFERROR(INDEX('Driver Factors'!$D$6:$D$15,MATCH($R103,'Driver Factors'!$B$6:$B$15,0)),""),5)="Refer","Driver age band. ",""))&amp;IF(LEFT(IFERROR(INDEX('Driver Factors'!$D$28:$D$36,MATCH($T103,'Driver Factors'!$B$28:$B$36,0)),""),7)="DECLINE","DECLINE - MVR. ",IF(LEFT(IFERROR(INDEX('Driver Factors'!$D$28:$D$36,MATCH($T103,'Driver Factors'!$B$28:$B$36,0)),""),5)="Refer","MVR record. ",""))&amp;IF(LEFT(IFERROR(INDEX('Claims History'!$D$6:$D$15,MATCH($U103,'Claims History'!$B$6:$B$15,0)),""),7)="DECLINE","DECLINE - claims. ",IF(LEFT(IFERROR(INDEX('Claims History'!$D$6:$D$15,MATCH($U103,'Claims History'!$B$6:$B$15,0)),""),5)="Refer","Claims history. ",""))&amp;IF(LEFT(IFERROR(INDEX('Usage and Coverage'!$E$6:$E$20,MATCH($N103,'Usage and Coverage'!$C$6:$C$20,0)),""),7)="DECLINE","DECLINE - usage class. ",IF(LEFT(IFERROR(INDEX('Usage and Coverage'!$E$6:$E$20,MATCH($N103,'Usage and Coverage'!$C$6:$C$20,0)),""),5)="Refer","Usage class. ",""))&amp;IF($CX103="CHECK INPUTS","Incomplete inputs. ",""))))</f>
        <v/>
      </c>
      <c r="DB103" s="92"/>
      <c r="DC103" s="92"/>
      <c r="DD103" s="93"/>
      <c r="DE103" s="92"/>
      <c r="DF103" s="92"/>
      <c r="DG103" s="97" t="str">
        <f t="shared" si="25"/>
        <v/>
      </c>
      <c r="DH103" s="97" t="str">
        <f>IF($A103="","",IF(OR($CX103="REFER",$CX103="DECLINE"),COUNTIF($CX$5:$CX103,"REFER")+COUNTIF($CX$5:$CX103,"DECLINE"),""))</f>
        <v/>
      </c>
      <c r="DI103" s="92"/>
    </row>
    <row r="104" spans="1:113" x14ac:dyDescent="0.25">
      <c r="A104" s="92"/>
      <c r="B104" s="92"/>
      <c r="C104" s="93"/>
      <c r="D104" s="93"/>
      <c r="E104" s="94"/>
      <c r="F104" s="92"/>
      <c r="G104" s="92"/>
      <c r="H104" s="92"/>
      <c r="I104" s="92"/>
      <c r="J104" s="95"/>
      <c r="K104" s="92"/>
      <c r="L104" s="92"/>
      <c r="M104" s="92"/>
      <c r="N104" s="92"/>
      <c r="O104" s="92"/>
      <c r="P104" s="92"/>
      <c r="Q104" s="92"/>
      <c r="R104" s="92"/>
      <c r="S104" s="92"/>
      <c r="T104" s="92"/>
      <c r="U104" s="92"/>
      <c r="V104" s="92"/>
      <c r="W104" s="92"/>
      <c r="X104" s="92"/>
      <c r="Y104" s="92"/>
      <c r="Z104" s="92"/>
      <c r="AA104" s="92"/>
      <c r="AB104" s="92"/>
      <c r="AC104" s="92"/>
      <c r="AD104" s="92"/>
      <c r="AE104" s="92"/>
      <c r="AF104" s="92"/>
      <c r="AG104" s="92"/>
      <c r="AH104" s="92"/>
      <c r="AI104" s="92"/>
      <c r="AJ104" s="92"/>
      <c r="AK104" s="92"/>
      <c r="AL104" s="92"/>
      <c r="AM104" s="92"/>
      <c r="AN104" s="92"/>
      <c r="AO104" s="92"/>
      <c r="AP104" s="92"/>
      <c r="AQ104" s="96"/>
      <c r="AR104" s="97" t="str">
        <f t="shared" si="13"/>
        <v/>
      </c>
      <c r="AS104" s="97" t="str">
        <f>IF($A104="","",IF($AP104&lt;&gt;"",$AP104,IFERROR(INDEX('Cat Zone by ZIP'!$D$6:$D$856,MATCH($AR104,'Cat Zone by ZIP'!$B$6:$B$856,0)),IFERROR(INDEX('Cat Zone by ZIP'!$C$860:$C$910,MATCH($K104,'Cat Zone by ZIP'!$B$860:$B$910,0)),"NOT FOUND"))))</f>
        <v/>
      </c>
      <c r="AT104" s="97" t="str">
        <f>IF($A104="","",IF($AP104&lt;&gt;"","Override",IF(ISNUMBER(MATCH($AR104,'Cat Zone by ZIP'!$B$6:$B$856,0)),"ZIP-3","State default")))</f>
        <v/>
      </c>
      <c r="AU104" s="98" t="str">
        <f>IF($A104="","",IFERROR(INDEX('Natural Catastrophe'!$D$6:$D$17,MATCH($AS104,'Natural Catastrophe'!$B$6:$B$17,0)),"?"))</f>
        <v/>
      </c>
      <c r="AV104" s="98" t="str">
        <f>IF($A104="","",IFERROR(INDEX('Natural Catastrophe'!$C$21:$C$26,MATCH($AA104,'Natural Catastrophe'!$B$21:$B$26,0)),"?"))</f>
        <v/>
      </c>
      <c r="AW104" s="97" t="str">
        <f>IF($A104="","",IFERROR(INDEX('Base Rates'!$C$4:$I$4,MATCH(MAX($J104,'Technical Premium'!$C$18),'Base Rates'!$C$3:$I$3,1)),"?"))</f>
        <v/>
      </c>
      <c r="AX104" s="99" t="str">
        <f>IF($A104="","",IFERROR(INDEX('Base Rates'!$C$5:$I$16,MATCH($I104,'Base Rates'!$B$5:$B$16,0),MATCH(MAX($J104,'Technical Premium'!$C$18),'Base Rates'!$C$3:$I$3,1)),"?"))</f>
        <v/>
      </c>
      <c r="AY104" s="100" t="str">
        <f t="shared" si="14"/>
        <v/>
      </c>
      <c r="AZ104" s="97" t="str">
        <f>IF($A104="","",IFERROR(INDEX('Make Factors'!$G$5:$G$69,MATCH($F104,'Make Factors'!$B$5:$B$69,0)),"?"))</f>
        <v/>
      </c>
      <c r="BA104" s="97" t="str">
        <f>IF($A104="","",IFERROR(INDEX('Driver Factors'!$C$6:$C$15,MATCH($R104,'Driver Factors'!$B$6:$B$15,0)),"?"))</f>
        <v/>
      </c>
      <c r="BB104" s="97" t="str">
        <f>IF($A104="","",IFERROR(INDEX('Driver Factors'!$C$19:$C$24,MATCH($S104,'Driver Factors'!$B$19:$B$24,0)),"?"))</f>
        <v/>
      </c>
      <c r="BC104" s="97" t="str">
        <f>IF($A104="","",IFERROR(INDEX('Driver Factors'!$C$28:$C$36,MATCH($T104,'Driver Factors'!$B$28:$B$36,0)),"?"))</f>
        <v/>
      </c>
      <c r="BD104" s="97" t="str">
        <f>IF($A104="","",IFERROR(INDEX('Claims History'!$C$6:$C$15,MATCH($U104,'Claims History'!$B$6:$B$15,0)),"?"))</f>
        <v/>
      </c>
      <c r="BE104" s="97" t="str">
        <f>IF($A104="","",IFERROR(INDEX('Territory Factors'!$E$6:$E$56,MATCH($K104,'Territory Factors'!$B$6:$B$56,0)),"?"))</f>
        <v/>
      </c>
      <c r="BF104" s="97" t="str">
        <f>IF($A104="","",IFERROR(INDEX('City Accident Ratings'!$G$6:$G$54,MATCH($Z104,'City Accident Ratings'!$B$6:$B$54,0)),"?"))</f>
        <v/>
      </c>
      <c r="BG104" s="97" t="str">
        <f>IF($A104="","",IFERROR(INDEX('Usage and Coverage'!$D$6:$D$20,MATCH($N104,'Usage and Coverage'!$C$6:$C$20,0)),"?"))</f>
        <v/>
      </c>
      <c r="BH104" s="97" t="str">
        <f>IF($A104="","",IFERROR(INDEX('Usage and Coverage'!$C$24:$C$30,MATCH($O104,'Usage and Coverage'!$B$24:$B$30,0)),"?"))</f>
        <v/>
      </c>
      <c r="BI104" s="97" t="str">
        <f>IF($A104="","",IFERROR(INDEX('Usage and Coverage'!$C$34:$C$40,MATCH($P104,'Usage and Coverage'!$B$34:$B$40,0)),"?"))</f>
        <v/>
      </c>
      <c r="BJ104" s="97" t="str">
        <f>IF($A104="","",IFERROR(INDEX('Usage and Coverage'!$C$44:$C$49,MATCH($Q104,'Usage and Coverage'!$B$44:$B$49,0)),"?"))</f>
        <v/>
      </c>
      <c r="BK104" s="97" t="str">
        <f>IF($A104="","",IFERROR(INDEX(Deductibles!$C$6:$I$15,MATCH($W104,Deductibles!$B$6:$B$15,0),MATCH(MAX($J104,'Technical Premium'!$C$18),'Base Rates'!$C$3:$I$3,1)),"?"))</f>
        <v/>
      </c>
      <c r="BL104" s="97" t="str">
        <f>IF($A104="","",IFERROR(INDEX('Usage and Coverage'!$C$63:$C$66,MATCH($X104,'Usage and Coverage'!$B$63:$B$66,0)),"?"))</f>
        <v/>
      </c>
      <c r="BM104" s="97" t="str">
        <f>IF($A104="","",IFERROR(INDEX('Usage and Coverage'!$C$70:$C$75,MATCH($V104,'Usage and Coverage'!$B$70:$B$75,0)),"?"))</f>
        <v/>
      </c>
      <c r="BN104" s="97" t="str">
        <f>IF($A104="","",IF($AB104="",1,IFERROR(INDEX(Deductibles!$C$48:$C$51,MATCH($AB104,Deductibles!$B$48:$B$51,0)),"?")))</f>
        <v/>
      </c>
      <c r="BO104" s="97" t="str">
        <f>IF($A104="","",IF($AC104="",1,IFERROR(INDEX(Deductibles!$C$55:$C$57,MATCH($AC104,Deductibles!$B$55:$B$57,0)),"?")))</f>
        <v/>
      </c>
      <c r="BP104" s="97" t="str">
        <f>IF($A104="","",IF($AD104="",1,IFERROR(INDEX(Deductibles!$C$61:$C$63,MATCH($AD104,Deductibles!$B$61:$B$63,0)),"?")))</f>
        <v/>
      </c>
      <c r="BQ104" s="97" t="str">
        <f>IF($A104="","",IF($AE104="",1,IFERROR(INDEX(Deductibles!$C$67:$C$69,MATCH($AE104,Deductibles!$B$67:$B$69,0)),"?")))</f>
        <v/>
      </c>
      <c r="BR104" s="97" t="str">
        <f>IF($A104="","",IF($AF104="",1,IFERROR(INDEX(Deductibles!$C$73:$C$74,MATCH($AF104,Deductibles!$B$73:$B$74,0)),"?")))</f>
        <v/>
      </c>
      <c r="BS104" s="97" t="str">
        <f>IF($A104="","",IF($AG104="",1,IFERROR(INDEX('Sublimits and Parts'!$C$49:$C$52,MATCH($AG104,'Sublimits and Parts'!$B$49:$B$52,0)),"?")))</f>
        <v/>
      </c>
      <c r="BT104" s="97" t="str">
        <f>IF($A104="","",IF($AH104="",1,IFERROR(INDEX('Sublimits and Parts'!$C$56:$C$60,MATCH($AH104,'Sublimits and Parts'!$B$56:$B$60,0)),"?")))</f>
        <v/>
      </c>
      <c r="BU104" s="97" t="str">
        <f>IF($A104="","",IF($AI104="",1,IFERROR(INDEX('Sublimits and Parts'!$C$64:$C$67,MATCH($AI104,'Sublimits and Parts'!$B$64:$B$67,0)),"?")))</f>
        <v/>
      </c>
      <c r="BV104" s="97" t="str">
        <f>IF($A104="","",IF($AJ104="",1,IFERROR(INDEX('Sublimits and Parts'!$C$71:$C$74,MATCH($AJ104,'Sublimits and Parts'!$B$71:$B$74,0)),"?")))</f>
        <v/>
      </c>
      <c r="BW104" s="97" t="str">
        <f>IF($A104="","",IF($AK104="",1,IFERROR(INDEX('Sublimits and Parts'!$C$78:$C$80,MATCH($AK104,'Sublimits and Parts'!$B$78:$B$80,0)),"?")))</f>
        <v/>
      </c>
      <c r="BX104" s="97" t="str">
        <f>IF($A104="","",IF($AL104="",1,IFERROR(INDEX('Sublimits and Parts'!$C$84:$C$87,MATCH($AL104,'Sublimits and Parts'!$B$84:$B$87,0)),"?")))</f>
        <v/>
      </c>
      <c r="BY104" s="97" t="str">
        <f>IF($A104="","",IF($AM104="",1,IFERROR(INDEX('Sublimits and Parts'!$C$91:$C$94,MATCH($AM104,'Sublimits and Parts'!$B$91:$B$94,0)),"?")))</f>
        <v/>
      </c>
      <c r="BZ104" s="97" t="str">
        <f>IF($A104="","",IF($AN104="",1,IFERROR(INDEX('Sublimits and Parts'!$C$98:$C$101,MATCH($AN104,'Sublimits and Parts'!$B$98:$B$101,0)),"?")))</f>
        <v/>
      </c>
      <c r="CA104" s="97" t="str">
        <f>IF($A104="","",IF($AO104="",1,IFERROR(INDEX('Sublimits and Parts'!$C$105:$C$109,MATCH($AO104,'Sublimits and Parts'!$B$105:$B$109,0)),"?")))</f>
        <v/>
      </c>
      <c r="CB104" s="98" t="str">
        <f t="shared" si="15"/>
        <v/>
      </c>
      <c r="CC104" s="98" t="str">
        <f t="shared" si="16"/>
        <v/>
      </c>
      <c r="CD104" s="101" t="str">
        <f>IF($A104="","",IF(OR($CB104="?",$CC104="?"),"?",MIN($CB104*$CC104,'Technical Premium'!$C$17)))</f>
        <v/>
      </c>
      <c r="CE104" s="100" t="str">
        <f t="shared" si="17"/>
        <v/>
      </c>
      <c r="CF104" s="100" t="str">
        <f>IF($A104="","",IFERROR(INDEX('Territory Factors'!$F$6:$F$56,MATCH($K104,'Territory Factors'!$B$6:$B$56,0)),"?"))</f>
        <v/>
      </c>
      <c r="CG104" s="98" t="str">
        <f>IF($A104="","",IFERROR(INDEX('Usage and Coverage'!$C$79:$C$84,MATCH($Y104,'Usage and Coverage'!$B$79:$B$84,0)),"?"))</f>
        <v/>
      </c>
      <c r="CH104" s="100" t="str">
        <f>IFERROR(IF(ISNUMBER($CD104),$CF104*$CG104*MIN($BG104*$BA104*$BC104*$BD104*$BH104*$BF104,'Technical Premium'!$C$17),""),"")</f>
        <v/>
      </c>
      <c r="CI104" s="100" t="str">
        <f t="shared" si="18"/>
        <v/>
      </c>
      <c r="CJ104" s="100" t="str">
        <f>IFERROR($CI104*(1+'Technical Premium'!$C$5)*(1+'Technical Premium'!$C$6),"")</f>
        <v/>
      </c>
      <c r="CK104" s="100" t="str">
        <f>IFERROR($CE104*INDEX('Territory Factors'!$G$6:$G$56,MATCH($K104,'Territory Factors'!$B$6:$B$56,0))*$AU104*$AV104,"")</f>
        <v/>
      </c>
      <c r="CL104" s="100" t="str">
        <f>IFERROR(($CJ104+$CK104)*(1+'Technical Premium'!$C$7),"")</f>
        <v/>
      </c>
      <c r="CM104" s="102" t="str">
        <f>IFERROR($CL104/'Technical Premium'!$C$13,"")</f>
        <v/>
      </c>
      <c r="CN104" s="103" t="str">
        <f t="shared" si="19"/>
        <v/>
      </c>
      <c r="CO104" s="102" t="str">
        <f t="shared" si="20"/>
        <v/>
      </c>
      <c r="CP104" s="103" t="str">
        <f t="shared" si="21"/>
        <v/>
      </c>
      <c r="CQ104" s="104" t="str">
        <f t="shared" si="22"/>
        <v/>
      </c>
      <c r="CR104" s="100" t="str">
        <f>IF(ISNUMBER($CM104),'Technical Premium'!$C$14+IF($J104&gt;=1000000,'Technical Premium'!$C$15,0),"")</f>
        <v/>
      </c>
      <c r="CS104" s="100" t="str">
        <f>IFERROR(($CO104+$CR104)*(INDEX('Territory Factors'!$K$6:$K$56,MATCH($K104,'Territory Factors'!$B$6:$B$56,0))+'Commission Structure'!$C$21),"")</f>
        <v/>
      </c>
      <c r="CT104" s="102" t="str">
        <f t="shared" si="23"/>
        <v/>
      </c>
      <c r="CU104" s="100" t="str">
        <f>IFERROR($CO104*('Commission Structure'!$C$6+'Commission Structure'!$C$7),"")</f>
        <v/>
      </c>
      <c r="CV104" s="100" t="str">
        <f>IFERROR($CO104*'Commission Structure'!$C$5-$CU104,"")</f>
        <v/>
      </c>
      <c r="CW104" s="100" t="str">
        <f>IFERROR($CO104*(1-'Commission Structure'!$C$5),"")</f>
        <v/>
      </c>
      <c r="CX104" s="105" t="str">
        <f>IF($A104="","",IF(OR($CB104="?",$CC104="?",NOT(ISNUMBER($AU104))),"CHECK INPUTS",IF(OR($J104&lt;'Technical Premium'!$C$18,LEFT(IFERROR(INDEX('Driver Factors'!$D$6:$D$15,MATCH($R104,'Driver Factors'!$B$6:$B$15,0)),""),7)="DECLINE",LEFT(IFERROR(INDEX('Driver Factors'!$D$28:$D$36,MATCH($T104,'Driver Factors'!$B$28:$B$36,0)),""),7)="DECLINE",LEFT(IFERROR(INDEX('Claims History'!$D$6:$D$15,MATCH($U104,'Claims History'!$B$6:$B$15,0)),""),7)="DECLINE",LEFT(IFERROR(INDEX('Usage and Coverage'!$E$6:$E$20,MATCH($N104,'Usage and Coverage'!$C$6:$C$20,0)),""),7)="DECLINE"),"DECLINE",IF(OR($CD104&gt;2.5,$CD104&gt;='Technical Premium'!$C$17,$J104&gt;='Technical Premium'!$C$16,N($AQ104)&lt;'Technical Premium'!$C$19,N($AQ104)&gt;'Technical Premium'!$C$20,LEFT(IFERROR(INDEX('Driver Factors'!$D$6:$D$15,MATCH($R104,'Driver Factors'!$B$6:$B$15,0)),""),5)="Refer",LEFT(IFERROR(INDEX('Driver Factors'!$D$28:$D$36,MATCH($T104,'Driver Factors'!$B$28:$B$36,0)),""),5)="Refer",LEFT(IFERROR(INDEX('Claims History'!$D$6:$D$15,MATCH($U104,'Claims History'!$B$6:$B$15,0)),""),5)="Refer",LEFT(IFERROR(INDEX('Usage and Coverage'!$E$6:$E$20,MATCH($N104,'Usage and Coverage'!$C$6:$C$20,0)),""),5)="Refer"),"REFER","AUTO-BIND"))))</f>
        <v/>
      </c>
      <c r="CY104" s="106" t="str">
        <f t="shared" si="24"/>
        <v/>
      </c>
      <c r="CZ104" s="97" t="str">
        <f>IF($CY104="","",IF($CY104&lt;'Technical Premium'!$C$19,"BEYOND AUTHORITY",IF($CY104&gt;0.005,"Above technical",IF($CY104&lt;-0.005,"BELOW technical","At technical"))))</f>
        <v/>
      </c>
      <c r="DA104" s="97" t="str">
        <f>IF($A104="","",IF($CX104="AUTO-BIND","",TRIM(IF($J104&lt;'Technical Premium'!$C$18,"Below programme minimum agreed value. ","")&amp;IF(N($AQ104)&lt;'Technical Premium'!$C$19,"DISCOUNT AUTHORITY BREACH. ","")&amp;IF(N($AQ104)&gt;'Technical Premium'!$C$20,"Load authority breach. ","")&amp;IF($J104&gt;='Technical Premium'!$C$16,"Agreed value at or above auto-bind limit. ","")&amp;IF(AND(ISNUMBER($CD104),$CD104&gt;='Technical Premium'!$C$17),"Composite factor at cap. ","")&amp;IF(AND(ISNUMBER($CD104),$CD104&gt;2.5),"Composite factor above 2.50. ","")&amp;IF(LEFT(IFERROR(INDEX('Driver Factors'!$D$6:$D$15,MATCH($R104,'Driver Factors'!$B$6:$B$15,0)),""),7)="DECLINE","DECLINE - driver age. ",IF(LEFT(IFERROR(INDEX('Driver Factors'!$D$6:$D$15,MATCH($R104,'Driver Factors'!$B$6:$B$15,0)),""),5)="Refer","Driver age band. ",""))&amp;IF(LEFT(IFERROR(INDEX('Driver Factors'!$D$28:$D$36,MATCH($T104,'Driver Factors'!$B$28:$B$36,0)),""),7)="DECLINE","DECLINE - MVR. ",IF(LEFT(IFERROR(INDEX('Driver Factors'!$D$28:$D$36,MATCH($T104,'Driver Factors'!$B$28:$B$36,0)),""),5)="Refer","MVR record. ",""))&amp;IF(LEFT(IFERROR(INDEX('Claims History'!$D$6:$D$15,MATCH($U104,'Claims History'!$B$6:$B$15,0)),""),7)="DECLINE","DECLINE - claims. ",IF(LEFT(IFERROR(INDEX('Claims History'!$D$6:$D$15,MATCH($U104,'Claims History'!$B$6:$B$15,0)),""),5)="Refer","Claims history. ",""))&amp;IF(LEFT(IFERROR(INDEX('Usage and Coverage'!$E$6:$E$20,MATCH($N104,'Usage and Coverage'!$C$6:$C$20,0)),""),7)="DECLINE","DECLINE - usage class. ",IF(LEFT(IFERROR(INDEX('Usage and Coverage'!$E$6:$E$20,MATCH($N104,'Usage and Coverage'!$C$6:$C$20,0)),""),5)="Refer","Usage class. ",""))&amp;IF($CX104="CHECK INPUTS","Incomplete inputs. ",""))))</f>
        <v/>
      </c>
      <c r="DB104" s="92"/>
      <c r="DC104" s="92"/>
      <c r="DD104" s="93"/>
      <c r="DE104" s="92"/>
      <c r="DF104" s="92"/>
      <c r="DG104" s="97" t="str">
        <f t="shared" si="25"/>
        <v/>
      </c>
      <c r="DH104" s="97" t="str">
        <f>IF($A104="","",IF(OR($CX104="REFER",$CX104="DECLINE"),COUNTIF($CX$5:$CX104,"REFER")+COUNTIF($CX$5:$CX104,"DECLINE"),""))</f>
        <v/>
      </c>
      <c r="DI104" s="92"/>
    </row>
    <row r="105" spans="1:113" x14ac:dyDescent="0.25">
      <c r="A105" s="92"/>
      <c r="B105" s="92"/>
      <c r="C105" s="93"/>
      <c r="D105" s="93"/>
      <c r="E105" s="94"/>
      <c r="F105" s="92"/>
      <c r="G105" s="92"/>
      <c r="H105" s="92"/>
      <c r="I105" s="92"/>
      <c r="J105" s="95"/>
      <c r="K105" s="92"/>
      <c r="L105" s="92"/>
      <c r="M105" s="92"/>
      <c r="N105" s="92"/>
      <c r="O105" s="92"/>
      <c r="P105" s="92"/>
      <c r="Q105" s="92"/>
      <c r="R105" s="92"/>
      <c r="S105" s="92"/>
      <c r="T105" s="92"/>
      <c r="U105" s="92"/>
      <c r="V105" s="92"/>
      <c r="W105" s="92"/>
      <c r="X105" s="92"/>
      <c r="Y105" s="92"/>
      <c r="Z105" s="92"/>
      <c r="AA105" s="92"/>
      <c r="AB105" s="92"/>
      <c r="AC105" s="92"/>
      <c r="AD105" s="92"/>
      <c r="AE105" s="92"/>
      <c r="AF105" s="92"/>
      <c r="AG105" s="92"/>
      <c r="AH105" s="92"/>
      <c r="AI105" s="92"/>
      <c r="AJ105" s="92"/>
      <c r="AK105" s="92"/>
      <c r="AL105" s="92"/>
      <c r="AM105" s="92"/>
      <c r="AN105" s="92"/>
      <c r="AO105" s="92"/>
      <c r="AP105" s="92"/>
      <c r="AQ105" s="96"/>
      <c r="AR105" s="97" t="str">
        <f t="shared" si="13"/>
        <v/>
      </c>
      <c r="AS105" s="97" t="str">
        <f>IF($A105="","",IF($AP105&lt;&gt;"",$AP105,IFERROR(INDEX('Cat Zone by ZIP'!$D$6:$D$856,MATCH($AR105,'Cat Zone by ZIP'!$B$6:$B$856,0)),IFERROR(INDEX('Cat Zone by ZIP'!$C$860:$C$910,MATCH($K105,'Cat Zone by ZIP'!$B$860:$B$910,0)),"NOT FOUND"))))</f>
        <v/>
      </c>
      <c r="AT105" s="97" t="str">
        <f>IF($A105="","",IF($AP105&lt;&gt;"","Override",IF(ISNUMBER(MATCH($AR105,'Cat Zone by ZIP'!$B$6:$B$856,0)),"ZIP-3","State default")))</f>
        <v/>
      </c>
      <c r="AU105" s="98" t="str">
        <f>IF($A105="","",IFERROR(INDEX('Natural Catastrophe'!$D$6:$D$17,MATCH($AS105,'Natural Catastrophe'!$B$6:$B$17,0)),"?"))</f>
        <v/>
      </c>
      <c r="AV105" s="98" t="str">
        <f>IF($A105="","",IFERROR(INDEX('Natural Catastrophe'!$C$21:$C$26,MATCH($AA105,'Natural Catastrophe'!$B$21:$B$26,0)),"?"))</f>
        <v/>
      </c>
      <c r="AW105" s="97" t="str">
        <f>IF($A105="","",IFERROR(INDEX('Base Rates'!$C$4:$I$4,MATCH(MAX($J105,'Technical Premium'!$C$18),'Base Rates'!$C$3:$I$3,1)),"?"))</f>
        <v/>
      </c>
      <c r="AX105" s="99" t="str">
        <f>IF($A105="","",IFERROR(INDEX('Base Rates'!$C$5:$I$16,MATCH($I105,'Base Rates'!$B$5:$B$16,0),MATCH(MAX($J105,'Technical Premium'!$C$18),'Base Rates'!$C$3:$I$3,1)),"?"))</f>
        <v/>
      </c>
      <c r="AY105" s="100" t="str">
        <f t="shared" si="14"/>
        <v/>
      </c>
      <c r="AZ105" s="97" t="str">
        <f>IF($A105="","",IFERROR(INDEX('Make Factors'!$G$5:$G$69,MATCH($F105,'Make Factors'!$B$5:$B$69,0)),"?"))</f>
        <v/>
      </c>
      <c r="BA105" s="97" t="str">
        <f>IF($A105="","",IFERROR(INDEX('Driver Factors'!$C$6:$C$15,MATCH($R105,'Driver Factors'!$B$6:$B$15,0)),"?"))</f>
        <v/>
      </c>
      <c r="BB105" s="97" t="str">
        <f>IF($A105="","",IFERROR(INDEX('Driver Factors'!$C$19:$C$24,MATCH($S105,'Driver Factors'!$B$19:$B$24,0)),"?"))</f>
        <v/>
      </c>
      <c r="BC105" s="97" t="str">
        <f>IF($A105="","",IFERROR(INDEX('Driver Factors'!$C$28:$C$36,MATCH($T105,'Driver Factors'!$B$28:$B$36,0)),"?"))</f>
        <v/>
      </c>
      <c r="BD105" s="97" t="str">
        <f>IF($A105="","",IFERROR(INDEX('Claims History'!$C$6:$C$15,MATCH($U105,'Claims History'!$B$6:$B$15,0)),"?"))</f>
        <v/>
      </c>
      <c r="BE105" s="97" t="str">
        <f>IF($A105="","",IFERROR(INDEX('Territory Factors'!$E$6:$E$56,MATCH($K105,'Territory Factors'!$B$6:$B$56,0)),"?"))</f>
        <v/>
      </c>
      <c r="BF105" s="97" t="str">
        <f>IF($A105="","",IFERROR(INDEX('City Accident Ratings'!$G$6:$G$54,MATCH($Z105,'City Accident Ratings'!$B$6:$B$54,0)),"?"))</f>
        <v/>
      </c>
      <c r="BG105" s="97" t="str">
        <f>IF($A105="","",IFERROR(INDEX('Usage and Coverage'!$D$6:$D$20,MATCH($N105,'Usage and Coverage'!$C$6:$C$20,0)),"?"))</f>
        <v/>
      </c>
      <c r="BH105" s="97" t="str">
        <f>IF($A105="","",IFERROR(INDEX('Usage and Coverage'!$C$24:$C$30,MATCH($O105,'Usage and Coverage'!$B$24:$B$30,0)),"?"))</f>
        <v/>
      </c>
      <c r="BI105" s="97" t="str">
        <f>IF($A105="","",IFERROR(INDEX('Usage and Coverage'!$C$34:$C$40,MATCH($P105,'Usage and Coverage'!$B$34:$B$40,0)),"?"))</f>
        <v/>
      </c>
      <c r="BJ105" s="97" t="str">
        <f>IF($A105="","",IFERROR(INDEX('Usage and Coverage'!$C$44:$C$49,MATCH($Q105,'Usage and Coverage'!$B$44:$B$49,0)),"?"))</f>
        <v/>
      </c>
      <c r="BK105" s="97" t="str">
        <f>IF($A105="","",IFERROR(INDEX(Deductibles!$C$6:$I$15,MATCH($W105,Deductibles!$B$6:$B$15,0),MATCH(MAX($J105,'Technical Premium'!$C$18),'Base Rates'!$C$3:$I$3,1)),"?"))</f>
        <v/>
      </c>
      <c r="BL105" s="97" t="str">
        <f>IF($A105="","",IFERROR(INDEX('Usage and Coverage'!$C$63:$C$66,MATCH($X105,'Usage and Coverage'!$B$63:$B$66,0)),"?"))</f>
        <v/>
      </c>
      <c r="BM105" s="97" t="str">
        <f>IF($A105="","",IFERROR(INDEX('Usage and Coverage'!$C$70:$C$75,MATCH($V105,'Usage and Coverage'!$B$70:$B$75,0)),"?"))</f>
        <v/>
      </c>
      <c r="BN105" s="97" t="str">
        <f>IF($A105="","",IF($AB105="",1,IFERROR(INDEX(Deductibles!$C$48:$C$51,MATCH($AB105,Deductibles!$B$48:$B$51,0)),"?")))</f>
        <v/>
      </c>
      <c r="BO105" s="97" t="str">
        <f>IF($A105="","",IF($AC105="",1,IFERROR(INDEX(Deductibles!$C$55:$C$57,MATCH($AC105,Deductibles!$B$55:$B$57,0)),"?")))</f>
        <v/>
      </c>
      <c r="BP105" s="97" t="str">
        <f>IF($A105="","",IF($AD105="",1,IFERROR(INDEX(Deductibles!$C$61:$C$63,MATCH($AD105,Deductibles!$B$61:$B$63,0)),"?")))</f>
        <v/>
      </c>
      <c r="BQ105" s="97" t="str">
        <f>IF($A105="","",IF($AE105="",1,IFERROR(INDEX(Deductibles!$C$67:$C$69,MATCH($AE105,Deductibles!$B$67:$B$69,0)),"?")))</f>
        <v/>
      </c>
      <c r="BR105" s="97" t="str">
        <f>IF($A105="","",IF($AF105="",1,IFERROR(INDEX(Deductibles!$C$73:$C$74,MATCH($AF105,Deductibles!$B$73:$B$74,0)),"?")))</f>
        <v/>
      </c>
      <c r="BS105" s="97" t="str">
        <f>IF($A105="","",IF($AG105="",1,IFERROR(INDEX('Sublimits and Parts'!$C$49:$C$52,MATCH($AG105,'Sublimits and Parts'!$B$49:$B$52,0)),"?")))</f>
        <v/>
      </c>
      <c r="BT105" s="97" t="str">
        <f>IF($A105="","",IF($AH105="",1,IFERROR(INDEX('Sublimits and Parts'!$C$56:$C$60,MATCH($AH105,'Sublimits and Parts'!$B$56:$B$60,0)),"?")))</f>
        <v/>
      </c>
      <c r="BU105" s="97" t="str">
        <f>IF($A105="","",IF($AI105="",1,IFERROR(INDEX('Sublimits and Parts'!$C$64:$C$67,MATCH($AI105,'Sublimits and Parts'!$B$64:$B$67,0)),"?")))</f>
        <v/>
      </c>
      <c r="BV105" s="97" t="str">
        <f>IF($A105="","",IF($AJ105="",1,IFERROR(INDEX('Sublimits and Parts'!$C$71:$C$74,MATCH($AJ105,'Sublimits and Parts'!$B$71:$B$74,0)),"?")))</f>
        <v/>
      </c>
      <c r="BW105" s="97" t="str">
        <f>IF($A105="","",IF($AK105="",1,IFERROR(INDEX('Sublimits and Parts'!$C$78:$C$80,MATCH($AK105,'Sublimits and Parts'!$B$78:$B$80,0)),"?")))</f>
        <v/>
      </c>
      <c r="BX105" s="97" t="str">
        <f>IF($A105="","",IF($AL105="",1,IFERROR(INDEX('Sublimits and Parts'!$C$84:$C$87,MATCH($AL105,'Sublimits and Parts'!$B$84:$B$87,0)),"?")))</f>
        <v/>
      </c>
      <c r="BY105" s="97" t="str">
        <f>IF($A105="","",IF($AM105="",1,IFERROR(INDEX('Sublimits and Parts'!$C$91:$C$94,MATCH($AM105,'Sublimits and Parts'!$B$91:$B$94,0)),"?")))</f>
        <v/>
      </c>
      <c r="BZ105" s="97" t="str">
        <f>IF($A105="","",IF($AN105="",1,IFERROR(INDEX('Sublimits and Parts'!$C$98:$C$101,MATCH($AN105,'Sublimits and Parts'!$B$98:$B$101,0)),"?")))</f>
        <v/>
      </c>
      <c r="CA105" s="97" t="str">
        <f>IF($A105="","",IF($AO105="",1,IFERROR(INDEX('Sublimits and Parts'!$C$105:$C$109,MATCH($AO105,'Sublimits and Parts'!$B$105:$B$109,0)),"?")))</f>
        <v/>
      </c>
      <c r="CB105" s="98" t="str">
        <f t="shared" si="15"/>
        <v/>
      </c>
      <c r="CC105" s="98" t="str">
        <f t="shared" si="16"/>
        <v/>
      </c>
      <c r="CD105" s="101" t="str">
        <f>IF($A105="","",IF(OR($CB105="?",$CC105="?"),"?",MIN($CB105*$CC105,'Technical Premium'!$C$17)))</f>
        <v/>
      </c>
      <c r="CE105" s="100" t="str">
        <f t="shared" si="17"/>
        <v/>
      </c>
      <c r="CF105" s="100" t="str">
        <f>IF($A105="","",IFERROR(INDEX('Territory Factors'!$F$6:$F$56,MATCH($K105,'Territory Factors'!$B$6:$B$56,0)),"?"))</f>
        <v/>
      </c>
      <c r="CG105" s="98" t="str">
        <f>IF($A105="","",IFERROR(INDEX('Usage and Coverage'!$C$79:$C$84,MATCH($Y105,'Usage and Coverage'!$B$79:$B$84,0)),"?"))</f>
        <v/>
      </c>
      <c r="CH105" s="100" t="str">
        <f>IFERROR(IF(ISNUMBER($CD105),$CF105*$CG105*MIN($BG105*$BA105*$BC105*$BD105*$BH105*$BF105,'Technical Premium'!$C$17),""),"")</f>
        <v/>
      </c>
      <c r="CI105" s="100" t="str">
        <f t="shared" si="18"/>
        <v/>
      </c>
      <c r="CJ105" s="100" t="str">
        <f>IFERROR($CI105*(1+'Technical Premium'!$C$5)*(1+'Technical Premium'!$C$6),"")</f>
        <v/>
      </c>
      <c r="CK105" s="100" t="str">
        <f>IFERROR($CE105*INDEX('Territory Factors'!$G$6:$G$56,MATCH($K105,'Territory Factors'!$B$6:$B$56,0))*$AU105*$AV105,"")</f>
        <v/>
      </c>
      <c r="CL105" s="100" t="str">
        <f>IFERROR(($CJ105+$CK105)*(1+'Technical Premium'!$C$7),"")</f>
        <v/>
      </c>
      <c r="CM105" s="102" t="str">
        <f>IFERROR($CL105/'Technical Premium'!$C$13,"")</f>
        <v/>
      </c>
      <c r="CN105" s="103" t="str">
        <f t="shared" si="19"/>
        <v/>
      </c>
      <c r="CO105" s="102" t="str">
        <f t="shared" si="20"/>
        <v/>
      </c>
      <c r="CP105" s="103" t="str">
        <f t="shared" si="21"/>
        <v/>
      </c>
      <c r="CQ105" s="104" t="str">
        <f t="shared" si="22"/>
        <v/>
      </c>
      <c r="CR105" s="100" t="str">
        <f>IF(ISNUMBER($CM105),'Technical Premium'!$C$14+IF($J105&gt;=1000000,'Technical Premium'!$C$15,0),"")</f>
        <v/>
      </c>
      <c r="CS105" s="100" t="str">
        <f>IFERROR(($CO105+$CR105)*(INDEX('Territory Factors'!$K$6:$K$56,MATCH($K105,'Territory Factors'!$B$6:$B$56,0))+'Commission Structure'!$C$21),"")</f>
        <v/>
      </c>
      <c r="CT105" s="102" t="str">
        <f t="shared" si="23"/>
        <v/>
      </c>
      <c r="CU105" s="100" t="str">
        <f>IFERROR($CO105*('Commission Structure'!$C$6+'Commission Structure'!$C$7),"")</f>
        <v/>
      </c>
      <c r="CV105" s="100" t="str">
        <f>IFERROR($CO105*'Commission Structure'!$C$5-$CU105,"")</f>
        <v/>
      </c>
      <c r="CW105" s="100" t="str">
        <f>IFERROR($CO105*(1-'Commission Structure'!$C$5),"")</f>
        <v/>
      </c>
      <c r="CX105" s="105" t="str">
        <f>IF($A105="","",IF(OR($CB105="?",$CC105="?",NOT(ISNUMBER($AU105))),"CHECK INPUTS",IF(OR($J105&lt;'Technical Premium'!$C$18,LEFT(IFERROR(INDEX('Driver Factors'!$D$6:$D$15,MATCH($R105,'Driver Factors'!$B$6:$B$15,0)),""),7)="DECLINE",LEFT(IFERROR(INDEX('Driver Factors'!$D$28:$D$36,MATCH($T105,'Driver Factors'!$B$28:$B$36,0)),""),7)="DECLINE",LEFT(IFERROR(INDEX('Claims History'!$D$6:$D$15,MATCH($U105,'Claims History'!$B$6:$B$15,0)),""),7)="DECLINE",LEFT(IFERROR(INDEX('Usage and Coverage'!$E$6:$E$20,MATCH($N105,'Usage and Coverage'!$C$6:$C$20,0)),""),7)="DECLINE"),"DECLINE",IF(OR($CD105&gt;2.5,$CD105&gt;='Technical Premium'!$C$17,$J105&gt;='Technical Premium'!$C$16,N($AQ105)&lt;'Technical Premium'!$C$19,N($AQ105)&gt;'Technical Premium'!$C$20,LEFT(IFERROR(INDEX('Driver Factors'!$D$6:$D$15,MATCH($R105,'Driver Factors'!$B$6:$B$15,0)),""),5)="Refer",LEFT(IFERROR(INDEX('Driver Factors'!$D$28:$D$36,MATCH($T105,'Driver Factors'!$B$28:$B$36,0)),""),5)="Refer",LEFT(IFERROR(INDEX('Claims History'!$D$6:$D$15,MATCH($U105,'Claims History'!$B$6:$B$15,0)),""),5)="Refer",LEFT(IFERROR(INDEX('Usage and Coverage'!$E$6:$E$20,MATCH($N105,'Usage and Coverage'!$C$6:$C$20,0)),""),5)="Refer"),"REFER","AUTO-BIND"))))</f>
        <v/>
      </c>
      <c r="CY105" s="106" t="str">
        <f t="shared" si="24"/>
        <v/>
      </c>
      <c r="CZ105" s="97" t="str">
        <f>IF($CY105="","",IF($CY105&lt;'Technical Premium'!$C$19,"BEYOND AUTHORITY",IF($CY105&gt;0.005,"Above technical",IF($CY105&lt;-0.005,"BELOW technical","At technical"))))</f>
        <v/>
      </c>
      <c r="DA105" s="97" t="str">
        <f>IF($A105="","",IF($CX105="AUTO-BIND","",TRIM(IF($J105&lt;'Technical Premium'!$C$18,"Below programme minimum agreed value. ","")&amp;IF(N($AQ105)&lt;'Technical Premium'!$C$19,"DISCOUNT AUTHORITY BREACH. ","")&amp;IF(N($AQ105)&gt;'Technical Premium'!$C$20,"Load authority breach. ","")&amp;IF($J105&gt;='Technical Premium'!$C$16,"Agreed value at or above auto-bind limit. ","")&amp;IF(AND(ISNUMBER($CD105),$CD105&gt;='Technical Premium'!$C$17),"Composite factor at cap. ","")&amp;IF(AND(ISNUMBER($CD105),$CD105&gt;2.5),"Composite factor above 2.50. ","")&amp;IF(LEFT(IFERROR(INDEX('Driver Factors'!$D$6:$D$15,MATCH($R105,'Driver Factors'!$B$6:$B$15,0)),""),7)="DECLINE","DECLINE - driver age. ",IF(LEFT(IFERROR(INDEX('Driver Factors'!$D$6:$D$15,MATCH($R105,'Driver Factors'!$B$6:$B$15,0)),""),5)="Refer","Driver age band. ",""))&amp;IF(LEFT(IFERROR(INDEX('Driver Factors'!$D$28:$D$36,MATCH($T105,'Driver Factors'!$B$28:$B$36,0)),""),7)="DECLINE","DECLINE - MVR. ",IF(LEFT(IFERROR(INDEX('Driver Factors'!$D$28:$D$36,MATCH($T105,'Driver Factors'!$B$28:$B$36,0)),""),5)="Refer","MVR record. ",""))&amp;IF(LEFT(IFERROR(INDEX('Claims History'!$D$6:$D$15,MATCH($U105,'Claims History'!$B$6:$B$15,0)),""),7)="DECLINE","DECLINE - claims. ",IF(LEFT(IFERROR(INDEX('Claims History'!$D$6:$D$15,MATCH($U105,'Claims History'!$B$6:$B$15,0)),""),5)="Refer","Claims history. ",""))&amp;IF(LEFT(IFERROR(INDEX('Usage and Coverage'!$E$6:$E$20,MATCH($N105,'Usage and Coverage'!$C$6:$C$20,0)),""),7)="DECLINE","DECLINE - usage class. ",IF(LEFT(IFERROR(INDEX('Usage and Coverage'!$E$6:$E$20,MATCH($N105,'Usage and Coverage'!$C$6:$C$20,0)),""),5)="Refer","Usage class. ",""))&amp;IF($CX105="CHECK INPUTS","Incomplete inputs. ",""))))</f>
        <v/>
      </c>
      <c r="DB105" s="92"/>
      <c r="DC105" s="92"/>
      <c r="DD105" s="93"/>
      <c r="DE105" s="92"/>
      <c r="DF105" s="92"/>
      <c r="DG105" s="97" t="str">
        <f t="shared" si="25"/>
        <v/>
      </c>
      <c r="DH105" s="97" t="str">
        <f>IF($A105="","",IF(OR($CX105="REFER",$CX105="DECLINE"),COUNTIF($CX$5:$CX105,"REFER")+COUNTIF($CX$5:$CX105,"DECLINE"),""))</f>
        <v/>
      </c>
      <c r="DI105" s="92"/>
    </row>
    <row r="106" spans="1:113" x14ac:dyDescent="0.25">
      <c r="A106" s="92"/>
      <c r="B106" s="92"/>
      <c r="C106" s="93"/>
      <c r="D106" s="93"/>
      <c r="E106" s="94"/>
      <c r="F106" s="92"/>
      <c r="G106" s="92"/>
      <c r="H106" s="92"/>
      <c r="I106" s="92"/>
      <c r="J106" s="95"/>
      <c r="K106" s="92"/>
      <c r="L106" s="92"/>
      <c r="M106" s="92"/>
      <c r="N106" s="92"/>
      <c r="O106" s="92"/>
      <c r="P106" s="92"/>
      <c r="Q106" s="92"/>
      <c r="R106" s="92"/>
      <c r="S106" s="92"/>
      <c r="T106" s="92"/>
      <c r="U106" s="92"/>
      <c r="V106" s="92"/>
      <c r="W106" s="92"/>
      <c r="X106" s="92"/>
      <c r="Y106" s="92"/>
      <c r="Z106" s="92"/>
      <c r="AA106" s="92"/>
      <c r="AB106" s="92"/>
      <c r="AC106" s="92"/>
      <c r="AD106" s="92"/>
      <c r="AE106" s="92"/>
      <c r="AF106" s="92"/>
      <c r="AG106" s="92"/>
      <c r="AH106" s="92"/>
      <c r="AI106" s="92"/>
      <c r="AJ106" s="92"/>
      <c r="AK106" s="92"/>
      <c r="AL106" s="92"/>
      <c r="AM106" s="92"/>
      <c r="AN106" s="92"/>
      <c r="AO106" s="92"/>
      <c r="AP106" s="92"/>
      <c r="AQ106" s="96"/>
      <c r="AR106" s="97" t="str">
        <f t="shared" si="13"/>
        <v/>
      </c>
      <c r="AS106" s="97" t="str">
        <f>IF($A106="","",IF($AP106&lt;&gt;"",$AP106,IFERROR(INDEX('Cat Zone by ZIP'!$D$6:$D$856,MATCH($AR106,'Cat Zone by ZIP'!$B$6:$B$856,0)),IFERROR(INDEX('Cat Zone by ZIP'!$C$860:$C$910,MATCH($K106,'Cat Zone by ZIP'!$B$860:$B$910,0)),"NOT FOUND"))))</f>
        <v/>
      </c>
      <c r="AT106" s="97" t="str">
        <f>IF($A106="","",IF($AP106&lt;&gt;"","Override",IF(ISNUMBER(MATCH($AR106,'Cat Zone by ZIP'!$B$6:$B$856,0)),"ZIP-3","State default")))</f>
        <v/>
      </c>
      <c r="AU106" s="98" t="str">
        <f>IF($A106="","",IFERROR(INDEX('Natural Catastrophe'!$D$6:$D$17,MATCH($AS106,'Natural Catastrophe'!$B$6:$B$17,0)),"?"))</f>
        <v/>
      </c>
      <c r="AV106" s="98" t="str">
        <f>IF($A106="","",IFERROR(INDEX('Natural Catastrophe'!$C$21:$C$26,MATCH($AA106,'Natural Catastrophe'!$B$21:$B$26,0)),"?"))</f>
        <v/>
      </c>
      <c r="AW106" s="97" t="str">
        <f>IF($A106="","",IFERROR(INDEX('Base Rates'!$C$4:$I$4,MATCH(MAX($J106,'Technical Premium'!$C$18),'Base Rates'!$C$3:$I$3,1)),"?"))</f>
        <v/>
      </c>
      <c r="AX106" s="99" t="str">
        <f>IF($A106="","",IFERROR(INDEX('Base Rates'!$C$5:$I$16,MATCH($I106,'Base Rates'!$B$5:$B$16,0),MATCH(MAX($J106,'Technical Premium'!$C$18),'Base Rates'!$C$3:$I$3,1)),"?"))</f>
        <v/>
      </c>
      <c r="AY106" s="100" t="str">
        <f t="shared" si="14"/>
        <v/>
      </c>
      <c r="AZ106" s="97" t="str">
        <f>IF($A106="","",IFERROR(INDEX('Make Factors'!$G$5:$G$69,MATCH($F106,'Make Factors'!$B$5:$B$69,0)),"?"))</f>
        <v/>
      </c>
      <c r="BA106" s="97" t="str">
        <f>IF($A106="","",IFERROR(INDEX('Driver Factors'!$C$6:$C$15,MATCH($R106,'Driver Factors'!$B$6:$B$15,0)),"?"))</f>
        <v/>
      </c>
      <c r="BB106" s="97" t="str">
        <f>IF($A106="","",IFERROR(INDEX('Driver Factors'!$C$19:$C$24,MATCH($S106,'Driver Factors'!$B$19:$B$24,0)),"?"))</f>
        <v/>
      </c>
      <c r="BC106" s="97" t="str">
        <f>IF($A106="","",IFERROR(INDEX('Driver Factors'!$C$28:$C$36,MATCH($T106,'Driver Factors'!$B$28:$B$36,0)),"?"))</f>
        <v/>
      </c>
      <c r="BD106" s="97" t="str">
        <f>IF($A106="","",IFERROR(INDEX('Claims History'!$C$6:$C$15,MATCH($U106,'Claims History'!$B$6:$B$15,0)),"?"))</f>
        <v/>
      </c>
      <c r="BE106" s="97" t="str">
        <f>IF($A106="","",IFERROR(INDEX('Territory Factors'!$E$6:$E$56,MATCH($K106,'Territory Factors'!$B$6:$B$56,0)),"?"))</f>
        <v/>
      </c>
      <c r="BF106" s="97" t="str">
        <f>IF($A106="","",IFERROR(INDEX('City Accident Ratings'!$G$6:$G$54,MATCH($Z106,'City Accident Ratings'!$B$6:$B$54,0)),"?"))</f>
        <v/>
      </c>
      <c r="BG106" s="97" t="str">
        <f>IF($A106="","",IFERROR(INDEX('Usage and Coverage'!$D$6:$D$20,MATCH($N106,'Usage and Coverage'!$C$6:$C$20,0)),"?"))</f>
        <v/>
      </c>
      <c r="BH106" s="97" t="str">
        <f>IF($A106="","",IFERROR(INDEX('Usage and Coverage'!$C$24:$C$30,MATCH($O106,'Usage and Coverage'!$B$24:$B$30,0)),"?"))</f>
        <v/>
      </c>
      <c r="BI106" s="97" t="str">
        <f>IF($A106="","",IFERROR(INDEX('Usage and Coverage'!$C$34:$C$40,MATCH($P106,'Usage and Coverage'!$B$34:$B$40,0)),"?"))</f>
        <v/>
      </c>
      <c r="BJ106" s="97" t="str">
        <f>IF($A106="","",IFERROR(INDEX('Usage and Coverage'!$C$44:$C$49,MATCH($Q106,'Usage and Coverage'!$B$44:$B$49,0)),"?"))</f>
        <v/>
      </c>
      <c r="BK106" s="97" t="str">
        <f>IF($A106="","",IFERROR(INDEX(Deductibles!$C$6:$I$15,MATCH($W106,Deductibles!$B$6:$B$15,0),MATCH(MAX($J106,'Technical Premium'!$C$18),'Base Rates'!$C$3:$I$3,1)),"?"))</f>
        <v/>
      </c>
      <c r="BL106" s="97" t="str">
        <f>IF($A106="","",IFERROR(INDEX('Usage and Coverage'!$C$63:$C$66,MATCH($X106,'Usage and Coverage'!$B$63:$B$66,0)),"?"))</f>
        <v/>
      </c>
      <c r="BM106" s="97" t="str">
        <f>IF($A106="","",IFERROR(INDEX('Usage and Coverage'!$C$70:$C$75,MATCH($V106,'Usage and Coverage'!$B$70:$B$75,0)),"?"))</f>
        <v/>
      </c>
      <c r="BN106" s="97" t="str">
        <f>IF($A106="","",IF($AB106="",1,IFERROR(INDEX(Deductibles!$C$48:$C$51,MATCH($AB106,Deductibles!$B$48:$B$51,0)),"?")))</f>
        <v/>
      </c>
      <c r="BO106" s="97" t="str">
        <f>IF($A106="","",IF($AC106="",1,IFERROR(INDEX(Deductibles!$C$55:$C$57,MATCH($AC106,Deductibles!$B$55:$B$57,0)),"?")))</f>
        <v/>
      </c>
      <c r="BP106" s="97" t="str">
        <f>IF($A106="","",IF($AD106="",1,IFERROR(INDEX(Deductibles!$C$61:$C$63,MATCH($AD106,Deductibles!$B$61:$B$63,0)),"?")))</f>
        <v/>
      </c>
      <c r="BQ106" s="97" t="str">
        <f>IF($A106="","",IF($AE106="",1,IFERROR(INDEX(Deductibles!$C$67:$C$69,MATCH($AE106,Deductibles!$B$67:$B$69,0)),"?")))</f>
        <v/>
      </c>
      <c r="BR106" s="97" t="str">
        <f>IF($A106="","",IF($AF106="",1,IFERROR(INDEX(Deductibles!$C$73:$C$74,MATCH($AF106,Deductibles!$B$73:$B$74,0)),"?")))</f>
        <v/>
      </c>
      <c r="BS106" s="97" t="str">
        <f>IF($A106="","",IF($AG106="",1,IFERROR(INDEX('Sublimits and Parts'!$C$49:$C$52,MATCH($AG106,'Sublimits and Parts'!$B$49:$B$52,0)),"?")))</f>
        <v/>
      </c>
      <c r="BT106" s="97" t="str">
        <f>IF($A106="","",IF($AH106="",1,IFERROR(INDEX('Sublimits and Parts'!$C$56:$C$60,MATCH($AH106,'Sublimits and Parts'!$B$56:$B$60,0)),"?")))</f>
        <v/>
      </c>
      <c r="BU106" s="97" t="str">
        <f>IF($A106="","",IF($AI106="",1,IFERROR(INDEX('Sublimits and Parts'!$C$64:$C$67,MATCH($AI106,'Sublimits and Parts'!$B$64:$B$67,0)),"?")))</f>
        <v/>
      </c>
      <c r="BV106" s="97" t="str">
        <f>IF($A106="","",IF($AJ106="",1,IFERROR(INDEX('Sublimits and Parts'!$C$71:$C$74,MATCH($AJ106,'Sublimits and Parts'!$B$71:$B$74,0)),"?")))</f>
        <v/>
      </c>
      <c r="BW106" s="97" t="str">
        <f>IF($A106="","",IF($AK106="",1,IFERROR(INDEX('Sublimits and Parts'!$C$78:$C$80,MATCH($AK106,'Sublimits and Parts'!$B$78:$B$80,0)),"?")))</f>
        <v/>
      </c>
      <c r="BX106" s="97" t="str">
        <f>IF($A106="","",IF($AL106="",1,IFERROR(INDEX('Sublimits and Parts'!$C$84:$C$87,MATCH($AL106,'Sublimits and Parts'!$B$84:$B$87,0)),"?")))</f>
        <v/>
      </c>
      <c r="BY106" s="97" t="str">
        <f>IF($A106="","",IF($AM106="",1,IFERROR(INDEX('Sublimits and Parts'!$C$91:$C$94,MATCH($AM106,'Sublimits and Parts'!$B$91:$B$94,0)),"?")))</f>
        <v/>
      </c>
      <c r="BZ106" s="97" t="str">
        <f>IF($A106="","",IF($AN106="",1,IFERROR(INDEX('Sublimits and Parts'!$C$98:$C$101,MATCH($AN106,'Sublimits and Parts'!$B$98:$B$101,0)),"?")))</f>
        <v/>
      </c>
      <c r="CA106" s="97" t="str">
        <f>IF($A106="","",IF($AO106="",1,IFERROR(INDEX('Sublimits and Parts'!$C$105:$C$109,MATCH($AO106,'Sublimits and Parts'!$B$105:$B$109,0)),"?")))</f>
        <v/>
      </c>
      <c r="CB106" s="98" t="str">
        <f t="shared" si="15"/>
        <v/>
      </c>
      <c r="CC106" s="98" t="str">
        <f t="shared" si="16"/>
        <v/>
      </c>
      <c r="CD106" s="101" t="str">
        <f>IF($A106="","",IF(OR($CB106="?",$CC106="?"),"?",MIN($CB106*$CC106,'Technical Premium'!$C$17)))</f>
        <v/>
      </c>
      <c r="CE106" s="100" t="str">
        <f t="shared" si="17"/>
        <v/>
      </c>
      <c r="CF106" s="100" t="str">
        <f>IF($A106="","",IFERROR(INDEX('Territory Factors'!$F$6:$F$56,MATCH($K106,'Territory Factors'!$B$6:$B$56,0)),"?"))</f>
        <v/>
      </c>
      <c r="CG106" s="98" t="str">
        <f>IF($A106="","",IFERROR(INDEX('Usage and Coverage'!$C$79:$C$84,MATCH($Y106,'Usage and Coverage'!$B$79:$B$84,0)),"?"))</f>
        <v/>
      </c>
      <c r="CH106" s="100" t="str">
        <f>IFERROR(IF(ISNUMBER($CD106),$CF106*$CG106*MIN($BG106*$BA106*$BC106*$BD106*$BH106*$BF106,'Technical Premium'!$C$17),""),"")</f>
        <v/>
      </c>
      <c r="CI106" s="100" t="str">
        <f t="shared" si="18"/>
        <v/>
      </c>
      <c r="CJ106" s="100" t="str">
        <f>IFERROR($CI106*(1+'Technical Premium'!$C$5)*(1+'Technical Premium'!$C$6),"")</f>
        <v/>
      </c>
      <c r="CK106" s="100" t="str">
        <f>IFERROR($CE106*INDEX('Territory Factors'!$G$6:$G$56,MATCH($K106,'Territory Factors'!$B$6:$B$56,0))*$AU106*$AV106,"")</f>
        <v/>
      </c>
      <c r="CL106" s="100" t="str">
        <f>IFERROR(($CJ106+$CK106)*(1+'Technical Premium'!$C$7),"")</f>
        <v/>
      </c>
      <c r="CM106" s="102" t="str">
        <f>IFERROR($CL106/'Technical Premium'!$C$13,"")</f>
        <v/>
      </c>
      <c r="CN106" s="103" t="str">
        <f t="shared" si="19"/>
        <v/>
      </c>
      <c r="CO106" s="102" t="str">
        <f t="shared" si="20"/>
        <v/>
      </c>
      <c r="CP106" s="103" t="str">
        <f t="shared" si="21"/>
        <v/>
      </c>
      <c r="CQ106" s="104" t="str">
        <f t="shared" si="22"/>
        <v/>
      </c>
      <c r="CR106" s="100" t="str">
        <f>IF(ISNUMBER($CM106),'Technical Premium'!$C$14+IF($J106&gt;=1000000,'Technical Premium'!$C$15,0),"")</f>
        <v/>
      </c>
      <c r="CS106" s="100" t="str">
        <f>IFERROR(($CO106+$CR106)*(INDEX('Territory Factors'!$K$6:$K$56,MATCH($K106,'Territory Factors'!$B$6:$B$56,0))+'Commission Structure'!$C$21),"")</f>
        <v/>
      </c>
      <c r="CT106" s="102" t="str">
        <f t="shared" si="23"/>
        <v/>
      </c>
      <c r="CU106" s="100" t="str">
        <f>IFERROR($CO106*('Commission Structure'!$C$6+'Commission Structure'!$C$7),"")</f>
        <v/>
      </c>
      <c r="CV106" s="100" t="str">
        <f>IFERROR($CO106*'Commission Structure'!$C$5-$CU106,"")</f>
        <v/>
      </c>
      <c r="CW106" s="100" t="str">
        <f>IFERROR($CO106*(1-'Commission Structure'!$C$5),"")</f>
        <v/>
      </c>
      <c r="CX106" s="105" t="str">
        <f>IF($A106="","",IF(OR($CB106="?",$CC106="?",NOT(ISNUMBER($AU106))),"CHECK INPUTS",IF(OR($J106&lt;'Technical Premium'!$C$18,LEFT(IFERROR(INDEX('Driver Factors'!$D$6:$D$15,MATCH($R106,'Driver Factors'!$B$6:$B$15,0)),""),7)="DECLINE",LEFT(IFERROR(INDEX('Driver Factors'!$D$28:$D$36,MATCH($T106,'Driver Factors'!$B$28:$B$36,0)),""),7)="DECLINE",LEFT(IFERROR(INDEX('Claims History'!$D$6:$D$15,MATCH($U106,'Claims History'!$B$6:$B$15,0)),""),7)="DECLINE",LEFT(IFERROR(INDEX('Usage and Coverage'!$E$6:$E$20,MATCH($N106,'Usage and Coverage'!$C$6:$C$20,0)),""),7)="DECLINE"),"DECLINE",IF(OR($CD106&gt;2.5,$CD106&gt;='Technical Premium'!$C$17,$J106&gt;='Technical Premium'!$C$16,N($AQ106)&lt;'Technical Premium'!$C$19,N($AQ106)&gt;'Technical Premium'!$C$20,LEFT(IFERROR(INDEX('Driver Factors'!$D$6:$D$15,MATCH($R106,'Driver Factors'!$B$6:$B$15,0)),""),5)="Refer",LEFT(IFERROR(INDEX('Driver Factors'!$D$28:$D$36,MATCH($T106,'Driver Factors'!$B$28:$B$36,0)),""),5)="Refer",LEFT(IFERROR(INDEX('Claims History'!$D$6:$D$15,MATCH($U106,'Claims History'!$B$6:$B$15,0)),""),5)="Refer",LEFT(IFERROR(INDEX('Usage and Coverage'!$E$6:$E$20,MATCH($N106,'Usage and Coverage'!$C$6:$C$20,0)),""),5)="Refer"),"REFER","AUTO-BIND"))))</f>
        <v/>
      </c>
      <c r="CY106" s="106" t="str">
        <f t="shared" si="24"/>
        <v/>
      </c>
      <c r="CZ106" s="97" t="str">
        <f>IF($CY106="","",IF($CY106&lt;'Technical Premium'!$C$19,"BEYOND AUTHORITY",IF($CY106&gt;0.005,"Above technical",IF($CY106&lt;-0.005,"BELOW technical","At technical"))))</f>
        <v/>
      </c>
      <c r="DA106" s="97" t="str">
        <f>IF($A106="","",IF($CX106="AUTO-BIND","",TRIM(IF($J106&lt;'Technical Premium'!$C$18,"Below programme minimum agreed value. ","")&amp;IF(N($AQ106)&lt;'Technical Premium'!$C$19,"DISCOUNT AUTHORITY BREACH. ","")&amp;IF(N($AQ106)&gt;'Technical Premium'!$C$20,"Load authority breach. ","")&amp;IF($J106&gt;='Technical Premium'!$C$16,"Agreed value at or above auto-bind limit. ","")&amp;IF(AND(ISNUMBER($CD106),$CD106&gt;='Technical Premium'!$C$17),"Composite factor at cap. ","")&amp;IF(AND(ISNUMBER($CD106),$CD106&gt;2.5),"Composite factor above 2.50. ","")&amp;IF(LEFT(IFERROR(INDEX('Driver Factors'!$D$6:$D$15,MATCH($R106,'Driver Factors'!$B$6:$B$15,0)),""),7)="DECLINE","DECLINE - driver age. ",IF(LEFT(IFERROR(INDEX('Driver Factors'!$D$6:$D$15,MATCH($R106,'Driver Factors'!$B$6:$B$15,0)),""),5)="Refer","Driver age band. ",""))&amp;IF(LEFT(IFERROR(INDEX('Driver Factors'!$D$28:$D$36,MATCH($T106,'Driver Factors'!$B$28:$B$36,0)),""),7)="DECLINE","DECLINE - MVR. ",IF(LEFT(IFERROR(INDEX('Driver Factors'!$D$28:$D$36,MATCH($T106,'Driver Factors'!$B$28:$B$36,0)),""),5)="Refer","MVR record. ",""))&amp;IF(LEFT(IFERROR(INDEX('Claims History'!$D$6:$D$15,MATCH($U106,'Claims History'!$B$6:$B$15,0)),""),7)="DECLINE","DECLINE - claims. ",IF(LEFT(IFERROR(INDEX('Claims History'!$D$6:$D$15,MATCH($U106,'Claims History'!$B$6:$B$15,0)),""),5)="Refer","Claims history. ",""))&amp;IF(LEFT(IFERROR(INDEX('Usage and Coverage'!$E$6:$E$20,MATCH($N106,'Usage and Coverage'!$C$6:$C$20,0)),""),7)="DECLINE","DECLINE - usage class. ",IF(LEFT(IFERROR(INDEX('Usage and Coverage'!$E$6:$E$20,MATCH($N106,'Usage and Coverage'!$C$6:$C$20,0)),""),5)="Refer","Usage class. ",""))&amp;IF($CX106="CHECK INPUTS","Incomplete inputs. ",""))))</f>
        <v/>
      </c>
      <c r="DB106" s="92"/>
      <c r="DC106" s="92"/>
      <c r="DD106" s="93"/>
      <c r="DE106" s="92"/>
      <c r="DF106" s="92"/>
      <c r="DG106" s="97" t="str">
        <f t="shared" si="25"/>
        <v/>
      </c>
      <c r="DH106" s="97" t="str">
        <f>IF($A106="","",IF(OR($CX106="REFER",$CX106="DECLINE"),COUNTIF($CX$5:$CX106,"REFER")+COUNTIF($CX$5:$CX106,"DECLINE"),""))</f>
        <v/>
      </c>
      <c r="DI106" s="92"/>
    </row>
    <row r="107" spans="1:113" x14ac:dyDescent="0.25">
      <c r="A107" s="92"/>
      <c r="B107" s="92"/>
      <c r="C107" s="93"/>
      <c r="D107" s="93"/>
      <c r="E107" s="94"/>
      <c r="F107" s="92"/>
      <c r="G107" s="92"/>
      <c r="H107" s="92"/>
      <c r="I107" s="92"/>
      <c r="J107" s="95"/>
      <c r="K107" s="92"/>
      <c r="L107" s="92"/>
      <c r="M107" s="92"/>
      <c r="N107" s="92"/>
      <c r="O107" s="92"/>
      <c r="P107" s="92"/>
      <c r="Q107" s="92"/>
      <c r="R107" s="92"/>
      <c r="S107" s="92"/>
      <c r="T107" s="92"/>
      <c r="U107" s="92"/>
      <c r="V107" s="92"/>
      <c r="W107" s="92"/>
      <c r="X107" s="92"/>
      <c r="Y107" s="92"/>
      <c r="Z107" s="92"/>
      <c r="AA107" s="92"/>
      <c r="AB107" s="92"/>
      <c r="AC107" s="92"/>
      <c r="AD107" s="92"/>
      <c r="AE107" s="92"/>
      <c r="AF107" s="92"/>
      <c r="AG107" s="92"/>
      <c r="AH107" s="92"/>
      <c r="AI107" s="92"/>
      <c r="AJ107" s="92"/>
      <c r="AK107" s="92"/>
      <c r="AL107" s="92"/>
      <c r="AM107" s="92"/>
      <c r="AN107" s="92"/>
      <c r="AO107" s="92"/>
      <c r="AP107" s="92"/>
      <c r="AQ107" s="96"/>
      <c r="AR107" s="97" t="str">
        <f t="shared" si="13"/>
        <v/>
      </c>
      <c r="AS107" s="97" t="str">
        <f>IF($A107="","",IF($AP107&lt;&gt;"",$AP107,IFERROR(INDEX('Cat Zone by ZIP'!$D$6:$D$856,MATCH($AR107,'Cat Zone by ZIP'!$B$6:$B$856,0)),IFERROR(INDEX('Cat Zone by ZIP'!$C$860:$C$910,MATCH($K107,'Cat Zone by ZIP'!$B$860:$B$910,0)),"NOT FOUND"))))</f>
        <v/>
      </c>
      <c r="AT107" s="97" t="str">
        <f>IF($A107="","",IF($AP107&lt;&gt;"","Override",IF(ISNUMBER(MATCH($AR107,'Cat Zone by ZIP'!$B$6:$B$856,0)),"ZIP-3","State default")))</f>
        <v/>
      </c>
      <c r="AU107" s="98" t="str">
        <f>IF($A107="","",IFERROR(INDEX('Natural Catastrophe'!$D$6:$D$17,MATCH($AS107,'Natural Catastrophe'!$B$6:$B$17,0)),"?"))</f>
        <v/>
      </c>
      <c r="AV107" s="98" t="str">
        <f>IF($A107="","",IFERROR(INDEX('Natural Catastrophe'!$C$21:$C$26,MATCH($AA107,'Natural Catastrophe'!$B$21:$B$26,0)),"?"))</f>
        <v/>
      </c>
      <c r="AW107" s="97" t="str">
        <f>IF($A107="","",IFERROR(INDEX('Base Rates'!$C$4:$I$4,MATCH(MAX($J107,'Technical Premium'!$C$18),'Base Rates'!$C$3:$I$3,1)),"?"))</f>
        <v/>
      </c>
      <c r="AX107" s="99" t="str">
        <f>IF($A107="","",IFERROR(INDEX('Base Rates'!$C$5:$I$16,MATCH($I107,'Base Rates'!$B$5:$B$16,0),MATCH(MAX($J107,'Technical Premium'!$C$18),'Base Rates'!$C$3:$I$3,1)),"?"))</f>
        <v/>
      </c>
      <c r="AY107" s="100" t="str">
        <f t="shared" si="14"/>
        <v/>
      </c>
      <c r="AZ107" s="97" t="str">
        <f>IF($A107="","",IFERROR(INDEX('Make Factors'!$G$5:$G$69,MATCH($F107,'Make Factors'!$B$5:$B$69,0)),"?"))</f>
        <v/>
      </c>
      <c r="BA107" s="97" t="str">
        <f>IF($A107="","",IFERROR(INDEX('Driver Factors'!$C$6:$C$15,MATCH($R107,'Driver Factors'!$B$6:$B$15,0)),"?"))</f>
        <v/>
      </c>
      <c r="BB107" s="97" t="str">
        <f>IF($A107="","",IFERROR(INDEX('Driver Factors'!$C$19:$C$24,MATCH($S107,'Driver Factors'!$B$19:$B$24,0)),"?"))</f>
        <v/>
      </c>
      <c r="BC107" s="97" t="str">
        <f>IF($A107="","",IFERROR(INDEX('Driver Factors'!$C$28:$C$36,MATCH($T107,'Driver Factors'!$B$28:$B$36,0)),"?"))</f>
        <v/>
      </c>
      <c r="BD107" s="97" t="str">
        <f>IF($A107="","",IFERROR(INDEX('Claims History'!$C$6:$C$15,MATCH($U107,'Claims History'!$B$6:$B$15,0)),"?"))</f>
        <v/>
      </c>
      <c r="BE107" s="97" t="str">
        <f>IF($A107="","",IFERROR(INDEX('Territory Factors'!$E$6:$E$56,MATCH($K107,'Territory Factors'!$B$6:$B$56,0)),"?"))</f>
        <v/>
      </c>
      <c r="BF107" s="97" t="str">
        <f>IF($A107="","",IFERROR(INDEX('City Accident Ratings'!$G$6:$G$54,MATCH($Z107,'City Accident Ratings'!$B$6:$B$54,0)),"?"))</f>
        <v/>
      </c>
      <c r="BG107" s="97" t="str">
        <f>IF($A107="","",IFERROR(INDEX('Usage and Coverage'!$D$6:$D$20,MATCH($N107,'Usage and Coverage'!$C$6:$C$20,0)),"?"))</f>
        <v/>
      </c>
      <c r="BH107" s="97" t="str">
        <f>IF($A107="","",IFERROR(INDEX('Usage and Coverage'!$C$24:$C$30,MATCH($O107,'Usage and Coverage'!$B$24:$B$30,0)),"?"))</f>
        <v/>
      </c>
      <c r="BI107" s="97" t="str">
        <f>IF($A107="","",IFERROR(INDEX('Usage and Coverage'!$C$34:$C$40,MATCH($P107,'Usage and Coverage'!$B$34:$B$40,0)),"?"))</f>
        <v/>
      </c>
      <c r="BJ107" s="97" t="str">
        <f>IF($A107="","",IFERROR(INDEX('Usage and Coverage'!$C$44:$C$49,MATCH($Q107,'Usage and Coverage'!$B$44:$B$49,0)),"?"))</f>
        <v/>
      </c>
      <c r="BK107" s="97" t="str">
        <f>IF($A107="","",IFERROR(INDEX(Deductibles!$C$6:$I$15,MATCH($W107,Deductibles!$B$6:$B$15,0),MATCH(MAX($J107,'Technical Premium'!$C$18),'Base Rates'!$C$3:$I$3,1)),"?"))</f>
        <v/>
      </c>
      <c r="BL107" s="97" t="str">
        <f>IF($A107="","",IFERROR(INDEX('Usage and Coverage'!$C$63:$C$66,MATCH($X107,'Usage and Coverage'!$B$63:$B$66,0)),"?"))</f>
        <v/>
      </c>
      <c r="BM107" s="97" t="str">
        <f>IF($A107="","",IFERROR(INDEX('Usage and Coverage'!$C$70:$C$75,MATCH($V107,'Usage and Coverage'!$B$70:$B$75,0)),"?"))</f>
        <v/>
      </c>
      <c r="BN107" s="97" t="str">
        <f>IF($A107="","",IF($AB107="",1,IFERROR(INDEX(Deductibles!$C$48:$C$51,MATCH($AB107,Deductibles!$B$48:$B$51,0)),"?")))</f>
        <v/>
      </c>
      <c r="BO107" s="97" t="str">
        <f>IF($A107="","",IF($AC107="",1,IFERROR(INDEX(Deductibles!$C$55:$C$57,MATCH($AC107,Deductibles!$B$55:$B$57,0)),"?")))</f>
        <v/>
      </c>
      <c r="BP107" s="97" t="str">
        <f>IF($A107="","",IF($AD107="",1,IFERROR(INDEX(Deductibles!$C$61:$C$63,MATCH($AD107,Deductibles!$B$61:$B$63,0)),"?")))</f>
        <v/>
      </c>
      <c r="BQ107" s="97" t="str">
        <f>IF($A107="","",IF($AE107="",1,IFERROR(INDEX(Deductibles!$C$67:$C$69,MATCH($AE107,Deductibles!$B$67:$B$69,0)),"?")))</f>
        <v/>
      </c>
      <c r="BR107" s="97" t="str">
        <f>IF($A107="","",IF($AF107="",1,IFERROR(INDEX(Deductibles!$C$73:$C$74,MATCH($AF107,Deductibles!$B$73:$B$74,0)),"?")))</f>
        <v/>
      </c>
      <c r="BS107" s="97" t="str">
        <f>IF($A107="","",IF($AG107="",1,IFERROR(INDEX('Sublimits and Parts'!$C$49:$C$52,MATCH($AG107,'Sublimits and Parts'!$B$49:$B$52,0)),"?")))</f>
        <v/>
      </c>
      <c r="BT107" s="97" t="str">
        <f>IF($A107="","",IF($AH107="",1,IFERROR(INDEX('Sublimits and Parts'!$C$56:$C$60,MATCH($AH107,'Sublimits and Parts'!$B$56:$B$60,0)),"?")))</f>
        <v/>
      </c>
      <c r="BU107" s="97" t="str">
        <f>IF($A107="","",IF($AI107="",1,IFERROR(INDEX('Sublimits and Parts'!$C$64:$C$67,MATCH($AI107,'Sublimits and Parts'!$B$64:$B$67,0)),"?")))</f>
        <v/>
      </c>
      <c r="BV107" s="97" t="str">
        <f>IF($A107="","",IF($AJ107="",1,IFERROR(INDEX('Sublimits and Parts'!$C$71:$C$74,MATCH($AJ107,'Sublimits and Parts'!$B$71:$B$74,0)),"?")))</f>
        <v/>
      </c>
      <c r="BW107" s="97" t="str">
        <f>IF($A107="","",IF($AK107="",1,IFERROR(INDEX('Sublimits and Parts'!$C$78:$C$80,MATCH($AK107,'Sublimits and Parts'!$B$78:$B$80,0)),"?")))</f>
        <v/>
      </c>
      <c r="BX107" s="97" t="str">
        <f>IF($A107="","",IF($AL107="",1,IFERROR(INDEX('Sublimits and Parts'!$C$84:$C$87,MATCH($AL107,'Sublimits and Parts'!$B$84:$B$87,0)),"?")))</f>
        <v/>
      </c>
      <c r="BY107" s="97" t="str">
        <f>IF($A107="","",IF($AM107="",1,IFERROR(INDEX('Sublimits and Parts'!$C$91:$C$94,MATCH($AM107,'Sublimits and Parts'!$B$91:$B$94,0)),"?")))</f>
        <v/>
      </c>
      <c r="BZ107" s="97" t="str">
        <f>IF($A107="","",IF($AN107="",1,IFERROR(INDEX('Sublimits and Parts'!$C$98:$C$101,MATCH($AN107,'Sublimits and Parts'!$B$98:$B$101,0)),"?")))</f>
        <v/>
      </c>
      <c r="CA107" s="97" t="str">
        <f>IF($A107="","",IF($AO107="",1,IFERROR(INDEX('Sublimits and Parts'!$C$105:$C$109,MATCH($AO107,'Sublimits and Parts'!$B$105:$B$109,0)),"?")))</f>
        <v/>
      </c>
      <c r="CB107" s="98" t="str">
        <f t="shared" si="15"/>
        <v/>
      </c>
      <c r="CC107" s="98" t="str">
        <f t="shared" si="16"/>
        <v/>
      </c>
      <c r="CD107" s="101" t="str">
        <f>IF($A107="","",IF(OR($CB107="?",$CC107="?"),"?",MIN($CB107*$CC107,'Technical Premium'!$C$17)))</f>
        <v/>
      </c>
      <c r="CE107" s="100" t="str">
        <f t="shared" si="17"/>
        <v/>
      </c>
      <c r="CF107" s="100" t="str">
        <f>IF($A107="","",IFERROR(INDEX('Territory Factors'!$F$6:$F$56,MATCH($K107,'Territory Factors'!$B$6:$B$56,0)),"?"))</f>
        <v/>
      </c>
      <c r="CG107" s="98" t="str">
        <f>IF($A107="","",IFERROR(INDEX('Usage and Coverage'!$C$79:$C$84,MATCH($Y107,'Usage and Coverage'!$B$79:$B$84,0)),"?"))</f>
        <v/>
      </c>
      <c r="CH107" s="100" t="str">
        <f>IFERROR(IF(ISNUMBER($CD107),$CF107*$CG107*MIN($BG107*$BA107*$BC107*$BD107*$BH107*$BF107,'Technical Premium'!$C$17),""),"")</f>
        <v/>
      </c>
      <c r="CI107" s="100" t="str">
        <f t="shared" si="18"/>
        <v/>
      </c>
      <c r="CJ107" s="100" t="str">
        <f>IFERROR($CI107*(1+'Technical Premium'!$C$5)*(1+'Technical Premium'!$C$6),"")</f>
        <v/>
      </c>
      <c r="CK107" s="100" t="str">
        <f>IFERROR($CE107*INDEX('Territory Factors'!$G$6:$G$56,MATCH($K107,'Territory Factors'!$B$6:$B$56,0))*$AU107*$AV107,"")</f>
        <v/>
      </c>
      <c r="CL107" s="100" t="str">
        <f>IFERROR(($CJ107+$CK107)*(1+'Technical Premium'!$C$7),"")</f>
        <v/>
      </c>
      <c r="CM107" s="102" t="str">
        <f>IFERROR($CL107/'Technical Premium'!$C$13,"")</f>
        <v/>
      </c>
      <c r="CN107" s="103" t="str">
        <f t="shared" si="19"/>
        <v/>
      </c>
      <c r="CO107" s="102" t="str">
        <f t="shared" si="20"/>
        <v/>
      </c>
      <c r="CP107" s="103" t="str">
        <f t="shared" si="21"/>
        <v/>
      </c>
      <c r="CQ107" s="104" t="str">
        <f t="shared" si="22"/>
        <v/>
      </c>
      <c r="CR107" s="100" t="str">
        <f>IF(ISNUMBER($CM107),'Technical Premium'!$C$14+IF($J107&gt;=1000000,'Technical Premium'!$C$15,0),"")</f>
        <v/>
      </c>
      <c r="CS107" s="100" t="str">
        <f>IFERROR(($CO107+$CR107)*(INDEX('Territory Factors'!$K$6:$K$56,MATCH($K107,'Territory Factors'!$B$6:$B$56,0))+'Commission Structure'!$C$21),"")</f>
        <v/>
      </c>
      <c r="CT107" s="102" t="str">
        <f t="shared" si="23"/>
        <v/>
      </c>
      <c r="CU107" s="100" t="str">
        <f>IFERROR($CO107*('Commission Structure'!$C$6+'Commission Structure'!$C$7),"")</f>
        <v/>
      </c>
      <c r="CV107" s="100" t="str">
        <f>IFERROR($CO107*'Commission Structure'!$C$5-$CU107,"")</f>
        <v/>
      </c>
      <c r="CW107" s="100" t="str">
        <f>IFERROR($CO107*(1-'Commission Structure'!$C$5),"")</f>
        <v/>
      </c>
      <c r="CX107" s="105" t="str">
        <f>IF($A107="","",IF(OR($CB107="?",$CC107="?",NOT(ISNUMBER($AU107))),"CHECK INPUTS",IF(OR($J107&lt;'Technical Premium'!$C$18,LEFT(IFERROR(INDEX('Driver Factors'!$D$6:$D$15,MATCH($R107,'Driver Factors'!$B$6:$B$15,0)),""),7)="DECLINE",LEFT(IFERROR(INDEX('Driver Factors'!$D$28:$D$36,MATCH($T107,'Driver Factors'!$B$28:$B$36,0)),""),7)="DECLINE",LEFT(IFERROR(INDEX('Claims History'!$D$6:$D$15,MATCH($U107,'Claims History'!$B$6:$B$15,0)),""),7)="DECLINE",LEFT(IFERROR(INDEX('Usage and Coverage'!$E$6:$E$20,MATCH($N107,'Usage and Coverage'!$C$6:$C$20,0)),""),7)="DECLINE"),"DECLINE",IF(OR($CD107&gt;2.5,$CD107&gt;='Technical Premium'!$C$17,$J107&gt;='Technical Premium'!$C$16,N($AQ107)&lt;'Technical Premium'!$C$19,N($AQ107)&gt;'Technical Premium'!$C$20,LEFT(IFERROR(INDEX('Driver Factors'!$D$6:$D$15,MATCH($R107,'Driver Factors'!$B$6:$B$15,0)),""),5)="Refer",LEFT(IFERROR(INDEX('Driver Factors'!$D$28:$D$36,MATCH($T107,'Driver Factors'!$B$28:$B$36,0)),""),5)="Refer",LEFT(IFERROR(INDEX('Claims History'!$D$6:$D$15,MATCH($U107,'Claims History'!$B$6:$B$15,0)),""),5)="Refer",LEFT(IFERROR(INDEX('Usage and Coverage'!$E$6:$E$20,MATCH($N107,'Usage and Coverage'!$C$6:$C$20,0)),""),5)="Refer"),"REFER","AUTO-BIND"))))</f>
        <v/>
      </c>
      <c r="CY107" s="106" t="str">
        <f t="shared" si="24"/>
        <v/>
      </c>
      <c r="CZ107" s="97" t="str">
        <f>IF($CY107="","",IF($CY107&lt;'Technical Premium'!$C$19,"BEYOND AUTHORITY",IF($CY107&gt;0.005,"Above technical",IF($CY107&lt;-0.005,"BELOW technical","At technical"))))</f>
        <v/>
      </c>
      <c r="DA107" s="97" t="str">
        <f>IF($A107="","",IF($CX107="AUTO-BIND","",TRIM(IF($J107&lt;'Technical Premium'!$C$18,"Below programme minimum agreed value. ","")&amp;IF(N($AQ107)&lt;'Technical Premium'!$C$19,"DISCOUNT AUTHORITY BREACH. ","")&amp;IF(N($AQ107)&gt;'Technical Premium'!$C$20,"Load authority breach. ","")&amp;IF($J107&gt;='Technical Premium'!$C$16,"Agreed value at or above auto-bind limit. ","")&amp;IF(AND(ISNUMBER($CD107),$CD107&gt;='Technical Premium'!$C$17),"Composite factor at cap. ","")&amp;IF(AND(ISNUMBER($CD107),$CD107&gt;2.5),"Composite factor above 2.50. ","")&amp;IF(LEFT(IFERROR(INDEX('Driver Factors'!$D$6:$D$15,MATCH($R107,'Driver Factors'!$B$6:$B$15,0)),""),7)="DECLINE","DECLINE - driver age. ",IF(LEFT(IFERROR(INDEX('Driver Factors'!$D$6:$D$15,MATCH($R107,'Driver Factors'!$B$6:$B$15,0)),""),5)="Refer","Driver age band. ",""))&amp;IF(LEFT(IFERROR(INDEX('Driver Factors'!$D$28:$D$36,MATCH($T107,'Driver Factors'!$B$28:$B$36,0)),""),7)="DECLINE","DECLINE - MVR. ",IF(LEFT(IFERROR(INDEX('Driver Factors'!$D$28:$D$36,MATCH($T107,'Driver Factors'!$B$28:$B$36,0)),""),5)="Refer","MVR record. ",""))&amp;IF(LEFT(IFERROR(INDEX('Claims History'!$D$6:$D$15,MATCH($U107,'Claims History'!$B$6:$B$15,0)),""),7)="DECLINE","DECLINE - claims. ",IF(LEFT(IFERROR(INDEX('Claims History'!$D$6:$D$15,MATCH($U107,'Claims History'!$B$6:$B$15,0)),""),5)="Refer","Claims history. ",""))&amp;IF(LEFT(IFERROR(INDEX('Usage and Coverage'!$E$6:$E$20,MATCH($N107,'Usage and Coverage'!$C$6:$C$20,0)),""),7)="DECLINE","DECLINE - usage class. ",IF(LEFT(IFERROR(INDEX('Usage and Coverage'!$E$6:$E$20,MATCH($N107,'Usage and Coverage'!$C$6:$C$20,0)),""),5)="Refer","Usage class. ",""))&amp;IF($CX107="CHECK INPUTS","Incomplete inputs. ",""))))</f>
        <v/>
      </c>
      <c r="DB107" s="92"/>
      <c r="DC107" s="92"/>
      <c r="DD107" s="93"/>
      <c r="DE107" s="92"/>
      <c r="DF107" s="92"/>
      <c r="DG107" s="97" t="str">
        <f t="shared" si="25"/>
        <v/>
      </c>
      <c r="DH107" s="97" t="str">
        <f>IF($A107="","",IF(OR($CX107="REFER",$CX107="DECLINE"),COUNTIF($CX$5:$CX107,"REFER")+COUNTIF($CX$5:$CX107,"DECLINE"),""))</f>
        <v/>
      </c>
      <c r="DI107" s="92"/>
    </row>
    <row r="108" spans="1:113" x14ac:dyDescent="0.25">
      <c r="A108" s="92"/>
      <c r="B108" s="92"/>
      <c r="C108" s="93"/>
      <c r="D108" s="93"/>
      <c r="E108" s="94"/>
      <c r="F108" s="92"/>
      <c r="G108" s="92"/>
      <c r="H108" s="92"/>
      <c r="I108" s="92"/>
      <c r="J108" s="95"/>
      <c r="K108" s="92"/>
      <c r="L108" s="92"/>
      <c r="M108" s="92"/>
      <c r="N108" s="92"/>
      <c r="O108" s="92"/>
      <c r="P108" s="92"/>
      <c r="Q108" s="92"/>
      <c r="R108" s="92"/>
      <c r="S108" s="92"/>
      <c r="T108" s="92"/>
      <c r="U108" s="92"/>
      <c r="V108" s="92"/>
      <c r="W108" s="92"/>
      <c r="X108" s="92"/>
      <c r="Y108" s="92"/>
      <c r="Z108" s="92"/>
      <c r="AA108" s="92"/>
      <c r="AB108" s="92"/>
      <c r="AC108" s="92"/>
      <c r="AD108" s="92"/>
      <c r="AE108" s="92"/>
      <c r="AF108" s="92"/>
      <c r="AG108" s="92"/>
      <c r="AH108" s="92"/>
      <c r="AI108" s="92"/>
      <c r="AJ108" s="92"/>
      <c r="AK108" s="92"/>
      <c r="AL108" s="92"/>
      <c r="AM108" s="92"/>
      <c r="AN108" s="92"/>
      <c r="AO108" s="92"/>
      <c r="AP108" s="92"/>
      <c r="AQ108" s="96"/>
      <c r="AR108" s="97" t="str">
        <f t="shared" si="13"/>
        <v/>
      </c>
      <c r="AS108" s="97" t="str">
        <f>IF($A108="","",IF($AP108&lt;&gt;"",$AP108,IFERROR(INDEX('Cat Zone by ZIP'!$D$6:$D$856,MATCH($AR108,'Cat Zone by ZIP'!$B$6:$B$856,0)),IFERROR(INDEX('Cat Zone by ZIP'!$C$860:$C$910,MATCH($K108,'Cat Zone by ZIP'!$B$860:$B$910,0)),"NOT FOUND"))))</f>
        <v/>
      </c>
      <c r="AT108" s="97" t="str">
        <f>IF($A108="","",IF($AP108&lt;&gt;"","Override",IF(ISNUMBER(MATCH($AR108,'Cat Zone by ZIP'!$B$6:$B$856,0)),"ZIP-3","State default")))</f>
        <v/>
      </c>
      <c r="AU108" s="98" t="str">
        <f>IF($A108="","",IFERROR(INDEX('Natural Catastrophe'!$D$6:$D$17,MATCH($AS108,'Natural Catastrophe'!$B$6:$B$17,0)),"?"))</f>
        <v/>
      </c>
      <c r="AV108" s="98" t="str">
        <f>IF($A108="","",IFERROR(INDEX('Natural Catastrophe'!$C$21:$C$26,MATCH($AA108,'Natural Catastrophe'!$B$21:$B$26,0)),"?"))</f>
        <v/>
      </c>
      <c r="AW108" s="97" t="str">
        <f>IF($A108="","",IFERROR(INDEX('Base Rates'!$C$4:$I$4,MATCH(MAX($J108,'Technical Premium'!$C$18),'Base Rates'!$C$3:$I$3,1)),"?"))</f>
        <v/>
      </c>
      <c r="AX108" s="99" t="str">
        <f>IF($A108="","",IFERROR(INDEX('Base Rates'!$C$5:$I$16,MATCH($I108,'Base Rates'!$B$5:$B$16,0),MATCH(MAX($J108,'Technical Premium'!$C$18),'Base Rates'!$C$3:$I$3,1)),"?"))</f>
        <v/>
      </c>
      <c r="AY108" s="100" t="str">
        <f t="shared" si="14"/>
        <v/>
      </c>
      <c r="AZ108" s="97" t="str">
        <f>IF($A108="","",IFERROR(INDEX('Make Factors'!$G$5:$G$69,MATCH($F108,'Make Factors'!$B$5:$B$69,0)),"?"))</f>
        <v/>
      </c>
      <c r="BA108" s="97" t="str">
        <f>IF($A108="","",IFERROR(INDEX('Driver Factors'!$C$6:$C$15,MATCH($R108,'Driver Factors'!$B$6:$B$15,0)),"?"))</f>
        <v/>
      </c>
      <c r="BB108" s="97" t="str">
        <f>IF($A108="","",IFERROR(INDEX('Driver Factors'!$C$19:$C$24,MATCH($S108,'Driver Factors'!$B$19:$B$24,0)),"?"))</f>
        <v/>
      </c>
      <c r="BC108" s="97" t="str">
        <f>IF($A108="","",IFERROR(INDEX('Driver Factors'!$C$28:$C$36,MATCH($T108,'Driver Factors'!$B$28:$B$36,0)),"?"))</f>
        <v/>
      </c>
      <c r="BD108" s="97" t="str">
        <f>IF($A108="","",IFERROR(INDEX('Claims History'!$C$6:$C$15,MATCH($U108,'Claims History'!$B$6:$B$15,0)),"?"))</f>
        <v/>
      </c>
      <c r="BE108" s="97" t="str">
        <f>IF($A108="","",IFERROR(INDEX('Territory Factors'!$E$6:$E$56,MATCH($K108,'Territory Factors'!$B$6:$B$56,0)),"?"))</f>
        <v/>
      </c>
      <c r="BF108" s="97" t="str">
        <f>IF($A108="","",IFERROR(INDEX('City Accident Ratings'!$G$6:$G$54,MATCH($Z108,'City Accident Ratings'!$B$6:$B$54,0)),"?"))</f>
        <v/>
      </c>
      <c r="BG108" s="97" t="str">
        <f>IF($A108="","",IFERROR(INDEX('Usage and Coverage'!$D$6:$D$20,MATCH($N108,'Usage and Coverage'!$C$6:$C$20,0)),"?"))</f>
        <v/>
      </c>
      <c r="BH108" s="97" t="str">
        <f>IF($A108="","",IFERROR(INDEX('Usage and Coverage'!$C$24:$C$30,MATCH($O108,'Usage and Coverage'!$B$24:$B$30,0)),"?"))</f>
        <v/>
      </c>
      <c r="BI108" s="97" t="str">
        <f>IF($A108="","",IFERROR(INDEX('Usage and Coverage'!$C$34:$C$40,MATCH($P108,'Usage and Coverage'!$B$34:$B$40,0)),"?"))</f>
        <v/>
      </c>
      <c r="BJ108" s="97" t="str">
        <f>IF($A108="","",IFERROR(INDEX('Usage and Coverage'!$C$44:$C$49,MATCH($Q108,'Usage and Coverage'!$B$44:$B$49,0)),"?"))</f>
        <v/>
      </c>
      <c r="BK108" s="97" t="str">
        <f>IF($A108="","",IFERROR(INDEX(Deductibles!$C$6:$I$15,MATCH($W108,Deductibles!$B$6:$B$15,0),MATCH(MAX($J108,'Technical Premium'!$C$18),'Base Rates'!$C$3:$I$3,1)),"?"))</f>
        <v/>
      </c>
      <c r="BL108" s="97" t="str">
        <f>IF($A108="","",IFERROR(INDEX('Usage and Coverage'!$C$63:$C$66,MATCH($X108,'Usage and Coverage'!$B$63:$B$66,0)),"?"))</f>
        <v/>
      </c>
      <c r="BM108" s="97" t="str">
        <f>IF($A108="","",IFERROR(INDEX('Usage and Coverage'!$C$70:$C$75,MATCH($V108,'Usage and Coverage'!$B$70:$B$75,0)),"?"))</f>
        <v/>
      </c>
      <c r="BN108" s="97" t="str">
        <f>IF($A108="","",IF($AB108="",1,IFERROR(INDEX(Deductibles!$C$48:$C$51,MATCH($AB108,Deductibles!$B$48:$B$51,0)),"?")))</f>
        <v/>
      </c>
      <c r="BO108" s="97" t="str">
        <f>IF($A108="","",IF($AC108="",1,IFERROR(INDEX(Deductibles!$C$55:$C$57,MATCH($AC108,Deductibles!$B$55:$B$57,0)),"?")))</f>
        <v/>
      </c>
      <c r="BP108" s="97" t="str">
        <f>IF($A108="","",IF($AD108="",1,IFERROR(INDEX(Deductibles!$C$61:$C$63,MATCH($AD108,Deductibles!$B$61:$B$63,0)),"?")))</f>
        <v/>
      </c>
      <c r="BQ108" s="97" t="str">
        <f>IF($A108="","",IF($AE108="",1,IFERROR(INDEX(Deductibles!$C$67:$C$69,MATCH($AE108,Deductibles!$B$67:$B$69,0)),"?")))</f>
        <v/>
      </c>
      <c r="BR108" s="97" t="str">
        <f>IF($A108="","",IF($AF108="",1,IFERROR(INDEX(Deductibles!$C$73:$C$74,MATCH($AF108,Deductibles!$B$73:$B$74,0)),"?")))</f>
        <v/>
      </c>
      <c r="BS108" s="97" t="str">
        <f>IF($A108="","",IF($AG108="",1,IFERROR(INDEX('Sublimits and Parts'!$C$49:$C$52,MATCH($AG108,'Sublimits and Parts'!$B$49:$B$52,0)),"?")))</f>
        <v/>
      </c>
      <c r="BT108" s="97" t="str">
        <f>IF($A108="","",IF($AH108="",1,IFERROR(INDEX('Sublimits and Parts'!$C$56:$C$60,MATCH($AH108,'Sublimits and Parts'!$B$56:$B$60,0)),"?")))</f>
        <v/>
      </c>
      <c r="BU108" s="97" t="str">
        <f>IF($A108="","",IF($AI108="",1,IFERROR(INDEX('Sublimits and Parts'!$C$64:$C$67,MATCH($AI108,'Sublimits and Parts'!$B$64:$B$67,0)),"?")))</f>
        <v/>
      </c>
      <c r="BV108" s="97" t="str">
        <f>IF($A108="","",IF($AJ108="",1,IFERROR(INDEX('Sublimits and Parts'!$C$71:$C$74,MATCH($AJ108,'Sublimits and Parts'!$B$71:$B$74,0)),"?")))</f>
        <v/>
      </c>
      <c r="BW108" s="97" t="str">
        <f>IF($A108="","",IF($AK108="",1,IFERROR(INDEX('Sublimits and Parts'!$C$78:$C$80,MATCH($AK108,'Sublimits and Parts'!$B$78:$B$80,0)),"?")))</f>
        <v/>
      </c>
      <c r="BX108" s="97" t="str">
        <f>IF($A108="","",IF($AL108="",1,IFERROR(INDEX('Sublimits and Parts'!$C$84:$C$87,MATCH($AL108,'Sublimits and Parts'!$B$84:$B$87,0)),"?")))</f>
        <v/>
      </c>
      <c r="BY108" s="97" t="str">
        <f>IF($A108="","",IF($AM108="",1,IFERROR(INDEX('Sublimits and Parts'!$C$91:$C$94,MATCH($AM108,'Sublimits and Parts'!$B$91:$B$94,0)),"?")))</f>
        <v/>
      </c>
      <c r="BZ108" s="97" t="str">
        <f>IF($A108="","",IF($AN108="",1,IFERROR(INDEX('Sublimits and Parts'!$C$98:$C$101,MATCH($AN108,'Sublimits and Parts'!$B$98:$B$101,0)),"?")))</f>
        <v/>
      </c>
      <c r="CA108" s="97" t="str">
        <f>IF($A108="","",IF($AO108="",1,IFERROR(INDEX('Sublimits and Parts'!$C$105:$C$109,MATCH($AO108,'Sublimits and Parts'!$B$105:$B$109,0)),"?")))</f>
        <v/>
      </c>
      <c r="CB108" s="98" t="str">
        <f t="shared" si="15"/>
        <v/>
      </c>
      <c r="CC108" s="98" t="str">
        <f t="shared" si="16"/>
        <v/>
      </c>
      <c r="CD108" s="101" t="str">
        <f>IF($A108="","",IF(OR($CB108="?",$CC108="?"),"?",MIN($CB108*$CC108,'Technical Premium'!$C$17)))</f>
        <v/>
      </c>
      <c r="CE108" s="100" t="str">
        <f t="shared" si="17"/>
        <v/>
      </c>
      <c r="CF108" s="100" t="str">
        <f>IF($A108="","",IFERROR(INDEX('Territory Factors'!$F$6:$F$56,MATCH($K108,'Territory Factors'!$B$6:$B$56,0)),"?"))</f>
        <v/>
      </c>
      <c r="CG108" s="98" t="str">
        <f>IF($A108="","",IFERROR(INDEX('Usage and Coverage'!$C$79:$C$84,MATCH($Y108,'Usage and Coverage'!$B$79:$B$84,0)),"?"))</f>
        <v/>
      </c>
      <c r="CH108" s="100" t="str">
        <f>IFERROR(IF(ISNUMBER($CD108),$CF108*$CG108*MIN($BG108*$BA108*$BC108*$BD108*$BH108*$BF108,'Technical Premium'!$C$17),""),"")</f>
        <v/>
      </c>
      <c r="CI108" s="100" t="str">
        <f t="shared" si="18"/>
        <v/>
      </c>
      <c r="CJ108" s="100" t="str">
        <f>IFERROR($CI108*(1+'Technical Premium'!$C$5)*(1+'Technical Premium'!$C$6),"")</f>
        <v/>
      </c>
      <c r="CK108" s="100" t="str">
        <f>IFERROR($CE108*INDEX('Territory Factors'!$G$6:$G$56,MATCH($K108,'Territory Factors'!$B$6:$B$56,0))*$AU108*$AV108,"")</f>
        <v/>
      </c>
      <c r="CL108" s="100" t="str">
        <f>IFERROR(($CJ108+$CK108)*(1+'Technical Premium'!$C$7),"")</f>
        <v/>
      </c>
      <c r="CM108" s="102" t="str">
        <f>IFERROR($CL108/'Technical Premium'!$C$13,"")</f>
        <v/>
      </c>
      <c r="CN108" s="103" t="str">
        <f t="shared" si="19"/>
        <v/>
      </c>
      <c r="CO108" s="102" t="str">
        <f t="shared" si="20"/>
        <v/>
      </c>
      <c r="CP108" s="103" t="str">
        <f t="shared" si="21"/>
        <v/>
      </c>
      <c r="CQ108" s="104" t="str">
        <f t="shared" si="22"/>
        <v/>
      </c>
      <c r="CR108" s="100" t="str">
        <f>IF(ISNUMBER($CM108),'Technical Premium'!$C$14+IF($J108&gt;=1000000,'Technical Premium'!$C$15,0),"")</f>
        <v/>
      </c>
      <c r="CS108" s="100" t="str">
        <f>IFERROR(($CO108+$CR108)*(INDEX('Territory Factors'!$K$6:$K$56,MATCH($K108,'Territory Factors'!$B$6:$B$56,0))+'Commission Structure'!$C$21),"")</f>
        <v/>
      </c>
      <c r="CT108" s="102" t="str">
        <f t="shared" si="23"/>
        <v/>
      </c>
      <c r="CU108" s="100" t="str">
        <f>IFERROR($CO108*('Commission Structure'!$C$6+'Commission Structure'!$C$7),"")</f>
        <v/>
      </c>
      <c r="CV108" s="100" t="str">
        <f>IFERROR($CO108*'Commission Structure'!$C$5-$CU108,"")</f>
        <v/>
      </c>
      <c r="CW108" s="100" t="str">
        <f>IFERROR($CO108*(1-'Commission Structure'!$C$5),"")</f>
        <v/>
      </c>
      <c r="CX108" s="105" t="str">
        <f>IF($A108="","",IF(OR($CB108="?",$CC108="?",NOT(ISNUMBER($AU108))),"CHECK INPUTS",IF(OR($J108&lt;'Technical Premium'!$C$18,LEFT(IFERROR(INDEX('Driver Factors'!$D$6:$D$15,MATCH($R108,'Driver Factors'!$B$6:$B$15,0)),""),7)="DECLINE",LEFT(IFERROR(INDEX('Driver Factors'!$D$28:$D$36,MATCH($T108,'Driver Factors'!$B$28:$B$36,0)),""),7)="DECLINE",LEFT(IFERROR(INDEX('Claims History'!$D$6:$D$15,MATCH($U108,'Claims History'!$B$6:$B$15,0)),""),7)="DECLINE",LEFT(IFERROR(INDEX('Usage and Coverage'!$E$6:$E$20,MATCH($N108,'Usage and Coverage'!$C$6:$C$20,0)),""),7)="DECLINE"),"DECLINE",IF(OR($CD108&gt;2.5,$CD108&gt;='Technical Premium'!$C$17,$J108&gt;='Technical Premium'!$C$16,N($AQ108)&lt;'Technical Premium'!$C$19,N($AQ108)&gt;'Technical Premium'!$C$20,LEFT(IFERROR(INDEX('Driver Factors'!$D$6:$D$15,MATCH($R108,'Driver Factors'!$B$6:$B$15,0)),""),5)="Refer",LEFT(IFERROR(INDEX('Driver Factors'!$D$28:$D$36,MATCH($T108,'Driver Factors'!$B$28:$B$36,0)),""),5)="Refer",LEFT(IFERROR(INDEX('Claims History'!$D$6:$D$15,MATCH($U108,'Claims History'!$B$6:$B$15,0)),""),5)="Refer",LEFT(IFERROR(INDEX('Usage and Coverage'!$E$6:$E$20,MATCH($N108,'Usage and Coverage'!$C$6:$C$20,0)),""),5)="Refer"),"REFER","AUTO-BIND"))))</f>
        <v/>
      </c>
      <c r="CY108" s="106" t="str">
        <f t="shared" si="24"/>
        <v/>
      </c>
      <c r="CZ108" s="97" t="str">
        <f>IF($CY108="","",IF($CY108&lt;'Technical Premium'!$C$19,"BEYOND AUTHORITY",IF($CY108&gt;0.005,"Above technical",IF($CY108&lt;-0.005,"BELOW technical","At technical"))))</f>
        <v/>
      </c>
      <c r="DA108" s="97" t="str">
        <f>IF($A108="","",IF($CX108="AUTO-BIND","",TRIM(IF($J108&lt;'Technical Premium'!$C$18,"Below programme minimum agreed value. ","")&amp;IF(N($AQ108)&lt;'Technical Premium'!$C$19,"DISCOUNT AUTHORITY BREACH. ","")&amp;IF(N($AQ108)&gt;'Technical Premium'!$C$20,"Load authority breach. ","")&amp;IF($J108&gt;='Technical Premium'!$C$16,"Agreed value at or above auto-bind limit. ","")&amp;IF(AND(ISNUMBER($CD108),$CD108&gt;='Technical Premium'!$C$17),"Composite factor at cap. ","")&amp;IF(AND(ISNUMBER($CD108),$CD108&gt;2.5),"Composite factor above 2.50. ","")&amp;IF(LEFT(IFERROR(INDEX('Driver Factors'!$D$6:$D$15,MATCH($R108,'Driver Factors'!$B$6:$B$15,0)),""),7)="DECLINE","DECLINE - driver age. ",IF(LEFT(IFERROR(INDEX('Driver Factors'!$D$6:$D$15,MATCH($R108,'Driver Factors'!$B$6:$B$15,0)),""),5)="Refer","Driver age band. ",""))&amp;IF(LEFT(IFERROR(INDEX('Driver Factors'!$D$28:$D$36,MATCH($T108,'Driver Factors'!$B$28:$B$36,0)),""),7)="DECLINE","DECLINE - MVR. ",IF(LEFT(IFERROR(INDEX('Driver Factors'!$D$28:$D$36,MATCH($T108,'Driver Factors'!$B$28:$B$36,0)),""),5)="Refer","MVR record. ",""))&amp;IF(LEFT(IFERROR(INDEX('Claims History'!$D$6:$D$15,MATCH($U108,'Claims History'!$B$6:$B$15,0)),""),7)="DECLINE","DECLINE - claims. ",IF(LEFT(IFERROR(INDEX('Claims History'!$D$6:$D$15,MATCH($U108,'Claims History'!$B$6:$B$15,0)),""),5)="Refer","Claims history. ",""))&amp;IF(LEFT(IFERROR(INDEX('Usage and Coverage'!$E$6:$E$20,MATCH($N108,'Usage and Coverage'!$C$6:$C$20,0)),""),7)="DECLINE","DECLINE - usage class. ",IF(LEFT(IFERROR(INDEX('Usage and Coverage'!$E$6:$E$20,MATCH($N108,'Usage and Coverage'!$C$6:$C$20,0)),""),5)="Refer","Usage class. ",""))&amp;IF($CX108="CHECK INPUTS","Incomplete inputs. ",""))))</f>
        <v/>
      </c>
      <c r="DB108" s="92"/>
      <c r="DC108" s="92"/>
      <c r="DD108" s="93"/>
      <c r="DE108" s="92"/>
      <c r="DF108" s="92"/>
      <c r="DG108" s="97" t="str">
        <f t="shared" si="25"/>
        <v/>
      </c>
      <c r="DH108" s="97" t="str">
        <f>IF($A108="","",IF(OR($CX108="REFER",$CX108="DECLINE"),COUNTIF($CX$5:$CX108,"REFER")+COUNTIF($CX$5:$CX108,"DECLINE"),""))</f>
        <v/>
      </c>
      <c r="DI108" s="92"/>
    </row>
    <row r="109" spans="1:113" x14ac:dyDescent="0.25">
      <c r="A109" s="92"/>
      <c r="B109" s="92"/>
      <c r="C109" s="93"/>
      <c r="D109" s="93"/>
      <c r="E109" s="94"/>
      <c r="F109" s="92"/>
      <c r="G109" s="92"/>
      <c r="H109" s="92"/>
      <c r="I109" s="92"/>
      <c r="J109" s="95"/>
      <c r="K109" s="92"/>
      <c r="L109" s="92"/>
      <c r="M109" s="92"/>
      <c r="N109" s="92"/>
      <c r="O109" s="92"/>
      <c r="P109" s="92"/>
      <c r="Q109" s="92"/>
      <c r="R109" s="92"/>
      <c r="S109" s="92"/>
      <c r="T109" s="92"/>
      <c r="U109" s="92"/>
      <c r="V109" s="92"/>
      <c r="W109" s="92"/>
      <c r="X109" s="92"/>
      <c r="Y109" s="92"/>
      <c r="Z109" s="92"/>
      <c r="AA109" s="92"/>
      <c r="AB109" s="92"/>
      <c r="AC109" s="92"/>
      <c r="AD109" s="92"/>
      <c r="AE109" s="92"/>
      <c r="AF109" s="92"/>
      <c r="AG109" s="92"/>
      <c r="AH109" s="92"/>
      <c r="AI109" s="92"/>
      <c r="AJ109" s="92"/>
      <c r="AK109" s="92"/>
      <c r="AL109" s="92"/>
      <c r="AM109" s="92"/>
      <c r="AN109" s="92"/>
      <c r="AO109" s="92"/>
      <c r="AP109" s="92"/>
      <c r="AQ109" s="96"/>
      <c r="AR109" s="97" t="str">
        <f t="shared" si="13"/>
        <v/>
      </c>
      <c r="AS109" s="97" t="str">
        <f>IF($A109="","",IF($AP109&lt;&gt;"",$AP109,IFERROR(INDEX('Cat Zone by ZIP'!$D$6:$D$856,MATCH($AR109,'Cat Zone by ZIP'!$B$6:$B$856,0)),IFERROR(INDEX('Cat Zone by ZIP'!$C$860:$C$910,MATCH($K109,'Cat Zone by ZIP'!$B$860:$B$910,0)),"NOT FOUND"))))</f>
        <v/>
      </c>
      <c r="AT109" s="97" t="str">
        <f>IF($A109="","",IF($AP109&lt;&gt;"","Override",IF(ISNUMBER(MATCH($AR109,'Cat Zone by ZIP'!$B$6:$B$856,0)),"ZIP-3","State default")))</f>
        <v/>
      </c>
      <c r="AU109" s="98" t="str">
        <f>IF($A109="","",IFERROR(INDEX('Natural Catastrophe'!$D$6:$D$17,MATCH($AS109,'Natural Catastrophe'!$B$6:$B$17,0)),"?"))</f>
        <v/>
      </c>
      <c r="AV109" s="98" t="str">
        <f>IF($A109="","",IFERROR(INDEX('Natural Catastrophe'!$C$21:$C$26,MATCH($AA109,'Natural Catastrophe'!$B$21:$B$26,0)),"?"))</f>
        <v/>
      </c>
      <c r="AW109" s="97" t="str">
        <f>IF($A109="","",IFERROR(INDEX('Base Rates'!$C$4:$I$4,MATCH(MAX($J109,'Technical Premium'!$C$18),'Base Rates'!$C$3:$I$3,1)),"?"))</f>
        <v/>
      </c>
      <c r="AX109" s="99" t="str">
        <f>IF($A109="","",IFERROR(INDEX('Base Rates'!$C$5:$I$16,MATCH($I109,'Base Rates'!$B$5:$B$16,0),MATCH(MAX($J109,'Technical Premium'!$C$18),'Base Rates'!$C$3:$I$3,1)),"?"))</f>
        <v/>
      </c>
      <c r="AY109" s="100" t="str">
        <f t="shared" si="14"/>
        <v/>
      </c>
      <c r="AZ109" s="97" t="str">
        <f>IF($A109="","",IFERROR(INDEX('Make Factors'!$G$5:$G$69,MATCH($F109,'Make Factors'!$B$5:$B$69,0)),"?"))</f>
        <v/>
      </c>
      <c r="BA109" s="97" t="str">
        <f>IF($A109="","",IFERROR(INDEX('Driver Factors'!$C$6:$C$15,MATCH($R109,'Driver Factors'!$B$6:$B$15,0)),"?"))</f>
        <v/>
      </c>
      <c r="BB109" s="97" t="str">
        <f>IF($A109="","",IFERROR(INDEX('Driver Factors'!$C$19:$C$24,MATCH($S109,'Driver Factors'!$B$19:$B$24,0)),"?"))</f>
        <v/>
      </c>
      <c r="BC109" s="97" t="str">
        <f>IF($A109="","",IFERROR(INDEX('Driver Factors'!$C$28:$C$36,MATCH($T109,'Driver Factors'!$B$28:$B$36,0)),"?"))</f>
        <v/>
      </c>
      <c r="BD109" s="97" t="str">
        <f>IF($A109="","",IFERROR(INDEX('Claims History'!$C$6:$C$15,MATCH($U109,'Claims History'!$B$6:$B$15,0)),"?"))</f>
        <v/>
      </c>
      <c r="BE109" s="97" t="str">
        <f>IF($A109="","",IFERROR(INDEX('Territory Factors'!$E$6:$E$56,MATCH($K109,'Territory Factors'!$B$6:$B$56,0)),"?"))</f>
        <v/>
      </c>
      <c r="BF109" s="97" t="str">
        <f>IF($A109="","",IFERROR(INDEX('City Accident Ratings'!$G$6:$G$54,MATCH($Z109,'City Accident Ratings'!$B$6:$B$54,0)),"?"))</f>
        <v/>
      </c>
      <c r="BG109" s="97" t="str">
        <f>IF($A109="","",IFERROR(INDEX('Usage and Coverage'!$D$6:$D$20,MATCH($N109,'Usage and Coverage'!$C$6:$C$20,0)),"?"))</f>
        <v/>
      </c>
      <c r="BH109" s="97" t="str">
        <f>IF($A109="","",IFERROR(INDEX('Usage and Coverage'!$C$24:$C$30,MATCH($O109,'Usage and Coverage'!$B$24:$B$30,0)),"?"))</f>
        <v/>
      </c>
      <c r="BI109" s="97" t="str">
        <f>IF($A109="","",IFERROR(INDEX('Usage and Coverage'!$C$34:$C$40,MATCH($P109,'Usage and Coverage'!$B$34:$B$40,0)),"?"))</f>
        <v/>
      </c>
      <c r="BJ109" s="97" t="str">
        <f>IF($A109="","",IFERROR(INDEX('Usage and Coverage'!$C$44:$C$49,MATCH($Q109,'Usage and Coverage'!$B$44:$B$49,0)),"?"))</f>
        <v/>
      </c>
      <c r="BK109" s="97" t="str">
        <f>IF($A109="","",IFERROR(INDEX(Deductibles!$C$6:$I$15,MATCH($W109,Deductibles!$B$6:$B$15,0),MATCH(MAX($J109,'Technical Premium'!$C$18),'Base Rates'!$C$3:$I$3,1)),"?"))</f>
        <v/>
      </c>
      <c r="BL109" s="97" t="str">
        <f>IF($A109="","",IFERROR(INDEX('Usage and Coverage'!$C$63:$C$66,MATCH($X109,'Usage and Coverage'!$B$63:$B$66,0)),"?"))</f>
        <v/>
      </c>
      <c r="BM109" s="97" t="str">
        <f>IF($A109="","",IFERROR(INDEX('Usage and Coverage'!$C$70:$C$75,MATCH($V109,'Usage and Coverage'!$B$70:$B$75,0)),"?"))</f>
        <v/>
      </c>
      <c r="BN109" s="97" t="str">
        <f>IF($A109="","",IF($AB109="",1,IFERROR(INDEX(Deductibles!$C$48:$C$51,MATCH($AB109,Deductibles!$B$48:$B$51,0)),"?")))</f>
        <v/>
      </c>
      <c r="BO109" s="97" t="str">
        <f>IF($A109="","",IF($AC109="",1,IFERROR(INDEX(Deductibles!$C$55:$C$57,MATCH($AC109,Deductibles!$B$55:$B$57,0)),"?")))</f>
        <v/>
      </c>
      <c r="BP109" s="97" t="str">
        <f>IF($A109="","",IF($AD109="",1,IFERROR(INDEX(Deductibles!$C$61:$C$63,MATCH($AD109,Deductibles!$B$61:$B$63,0)),"?")))</f>
        <v/>
      </c>
      <c r="BQ109" s="97" t="str">
        <f>IF($A109="","",IF($AE109="",1,IFERROR(INDEX(Deductibles!$C$67:$C$69,MATCH($AE109,Deductibles!$B$67:$B$69,0)),"?")))</f>
        <v/>
      </c>
      <c r="BR109" s="97" t="str">
        <f>IF($A109="","",IF($AF109="",1,IFERROR(INDEX(Deductibles!$C$73:$C$74,MATCH($AF109,Deductibles!$B$73:$B$74,0)),"?")))</f>
        <v/>
      </c>
      <c r="BS109" s="97" t="str">
        <f>IF($A109="","",IF($AG109="",1,IFERROR(INDEX('Sublimits and Parts'!$C$49:$C$52,MATCH($AG109,'Sublimits and Parts'!$B$49:$B$52,0)),"?")))</f>
        <v/>
      </c>
      <c r="BT109" s="97" t="str">
        <f>IF($A109="","",IF($AH109="",1,IFERROR(INDEX('Sublimits and Parts'!$C$56:$C$60,MATCH($AH109,'Sublimits and Parts'!$B$56:$B$60,0)),"?")))</f>
        <v/>
      </c>
      <c r="BU109" s="97" t="str">
        <f>IF($A109="","",IF($AI109="",1,IFERROR(INDEX('Sublimits and Parts'!$C$64:$C$67,MATCH($AI109,'Sublimits and Parts'!$B$64:$B$67,0)),"?")))</f>
        <v/>
      </c>
      <c r="BV109" s="97" t="str">
        <f>IF($A109="","",IF($AJ109="",1,IFERROR(INDEX('Sublimits and Parts'!$C$71:$C$74,MATCH($AJ109,'Sublimits and Parts'!$B$71:$B$74,0)),"?")))</f>
        <v/>
      </c>
      <c r="BW109" s="97" t="str">
        <f>IF($A109="","",IF($AK109="",1,IFERROR(INDEX('Sublimits and Parts'!$C$78:$C$80,MATCH($AK109,'Sublimits and Parts'!$B$78:$B$80,0)),"?")))</f>
        <v/>
      </c>
      <c r="BX109" s="97" t="str">
        <f>IF($A109="","",IF($AL109="",1,IFERROR(INDEX('Sublimits and Parts'!$C$84:$C$87,MATCH($AL109,'Sublimits and Parts'!$B$84:$B$87,0)),"?")))</f>
        <v/>
      </c>
      <c r="BY109" s="97" t="str">
        <f>IF($A109="","",IF($AM109="",1,IFERROR(INDEX('Sublimits and Parts'!$C$91:$C$94,MATCH($AM109,'Sublimits and Parts'!$B$91:$B$94,0)),"?")))</f>
        <v/>
      </c>
      <c r="BZ109" s="97" t="str">
        <f>IF($A109="","",IF($AN109="",1,IFERROR(INDEX('Sublimits and Parts'!$C$98:$C$101,MATCH($AN109,'Sublimits and Parts'!$B$98:$B$101,0)),"?")))</f>
        <v/>
      </c>
      <c r="CA109" s="97" t="str">
        <f>IF($A109="","",IF($AO109="",1,IFERROR(INDEX('Sublimits and Parts'!$C$105:$C$109,MATCH($AO109,'Sublimits and Parts'!$B$105:$B$109,0)),"?")))</f>
        <v/>
      </c>
      <c r="CB109" s="98" t="str">
        <f t="shared" si="15"/>
        <v/>
      </c>
      <c r="CC109" s="98" t="str">
        <f t="shared" si="16"/>
        <v/>
      </c>
      <c r="CD109" s="101" t="str">
        <f>IF($A109="","",IF(OR($CB109="?",$CC109="?"),"?",MIN($CB109*$CC109,'Technical Premium'!$C$17)))</f>
        <v/>
      </c>
      <c r="CE109" s="100" t="str">
        <f t="shared" si="17"/>
        <v/>
      </c>
      <c r="CF109" s="100" t="str">
        <f>IF($A109="","",IFERROR(INDEX('Territory Factors'!$F$6:$F$56,MATCH($K109,'Territory Factors'!$B$6:$B$56,0)),"?"))</f>
        <v/>
      </c>
      <c r="CG109" s="98" t="str">
        <f>IF($A109="","",IFERROR(INDEX('Usage and Coverage'!$C$79:$C$84,MATCH($Y109,'Usage and Coverage'!$B$79:$B$84,0)),"?"))</f>
        <v/>
      </c>
      <c r="CH109" s="100" t="str">
        <f>IFERROR(IF(ISNUMBER($CD109),$CF109*$CG109*MIN($BG109*$BA109*$BC109*$BD109*$BH109*$BF109,'Technical Premium'!$C$17),""),"")</f>
        <v/>
      </c>
      <c r="CI109" s="100" t="str">
        <f t="shared" si="18"/>
        <v/>
      </c>
      <c r="CJ109" s="100" t="str">
        <f>IFERROR($CI109*(1+'Technical Premium'!$C$5)*(1+'Technical Premium'!$C$6),"")</f>
        <v/>
      </c>
      <c r="CK109" s="100" t="str">
        <f>IFERROR($CE109*INDEX('Territory Factors'!$G$6:$G$56,MATCH($K109,'Territory Factors'!$B$6:$B$56,0))*$AU109*$AV109,"")</f>
        <v/>
      </c>
      <c r="CL109" s="100" t="str">
        <f>IFERROR(($CJ109+$CK109)*(1+'Technical Premium'!$C$7),"")</f>
        <v/>
      </c>
      <c r="CM109" s="102" t="str">
        <f>IFERROR($CL109/'Technical Premium'!$C$13,"")</f>
        <v/>
      </c>
      <c r="CN109" s="103" t="str">
        <f t="shared" si="19"/>
        <v/>
      </c>
      <c r="CO109" s="102" t="str">
        <f t="shared" si="20"/>
        <v/>
      </c>
      <c r="CP109" s="103" t="str">
        <f t="shared" si="21"/>
        <v/>
      </c>
      <c r="CQ109" s="104" t="str">
        <f t="shared" si="22"/>
        <v/>
      </c>
      <c r="CR109" s="100" t="str">
        <f>IF(ISNUMBER($CM109),'Technical Premium'!$C$14+IF($J109&gt;=1000000,'Technical Premium'!$C$15,0),"")</f>
        <v/>
      </c>
      <c r="CS109" s="100" t="str">
        <f>IFERROR(($CO109+$CR109)*(INDEX('Territory Factors'!$K$6:$K$56,MATCH($K109,'Territory Factors'!$B$6:$B$56,0))+'Commission Structure'!$C$21),"")</f>
        <v/>
      </c>
      <c r="CT109" s="102" t="str">
        <f t="shared" si="23"/>
        <v/>
      </c>
      <c r="CU109" s="100" t="str">
        <f>IFERROR($CO109*('Commission Structure'!$C$6+'Commission Structure'!$C$7),"")</f>
        <v/>
      </c>
      <c r="CV109" s="100" t="str">
        <f>IFERROR($CO109*'Commission Structure'!$C$5-$CU109,"")</f>
        <v/>
      </c>
      <c r="CW109" s="100" t="str">
        <f>IFERROR($CO109*(1-'Commission Structure'!$C$5),"")</f>
        <v/>
      </c>
      <c r="CX109" s="105" t="str">
        <f>IF($A109="","",IF(OR($CB109="?",$CC109="?",NOT(ISNUMBER($AU109))),"CHECK INPUTS",IF(OR($J109&lt;'Technical Premium'!$C$18,LEFT(IFERROR(INDEX('Driver Factors'!$D$6:$D$15,MATCH($R109,'Driver Factors'!$B$6:$B$15,0)),""),7)="DECLINE",LEFT(IFERROR(INDEX('Driver Factors'!$D$28:$D$36,MATCH($T109,'Driver Factors'!$B$28:$B$36,0)),""),7)="DECLINE",LEFT(IFERROR(INDEX('Claims History'!$D$6:$D$15,MATCH($U109,'Claims History'!$B$6:$B$15,0)),""),7)="DECLINE",LEFT(IFERROR(INDEX('Usage and Coverage'!$E$6:$E$20,MATCH($N109,'Usage and Coverage'!$C$6:$C$20,0)),""),7)="DECLINE"),"DECLINE",IF(OR($CD109&gt;2.5,$CD109&gt;='Technical Premium'!$C$17,$J109&gt;='Technical Premium'!$C$16,N($AQ109)&lt;'Technical Premium'!$C$19,N($AQ109)&gt;'Technical Premium'!$C$20,LEFT(IFERROR(INDEX('Driver Factors'!$D$6:$D$15,MATCH($R109,'Driver Factors'!$B$6:$B$15,0)),""),5)="Refer",LEFT(IFERROR(INDEX('Driver Factors'!$D$28:$D$36,MATCH($T109,'Driver Factors'!$B$28:$B$36,0)),""),5)="Refer",LEFT(IFERROR(INDEX('Claims History'!$D$6:$D$15,MATCH($U109,'Claims History'!$B$6:$B$15,0)),""),5)="Refer",LEFT(IFERROR(INDEX('Usage and Coverage'!$E$6:$E$20,MATCH($N109,'Usage and Coverage'!$C$6:$C$20,0)),""),5)="Refer"),"REFER","AUTO-BIND"))))</f>
        <v/>
      </c>
      <c r="CY109" s="106" t="str">
        <f t="shared" si="24"/>
        <v/>
      </c>
      <c r="CZ109" s="97" t="str">
        <f>IF($CY109="","",IF($CY109&lt;'Technical Premium'!$C$19,"BEYOND AUTHORITY",IF($CY109&gt;0.005,"Above technical",IF($CY109&lt;-0.005,"BELOW technical","At technical"))))</f>
        <v/>
      </c>
      <c r="DA109" s="97" t="str">
        <f>IF($A109="","",IF($CX109="AUTO-BIND","",TRIM(IF($J109&lt;'Technical Premium'!$C$18,"Below programme minimum agreed value. ","")&amp;IF(N($AQ109)&lt;'Technical Premium'!$C$19,"DISCOUNT AUTHORITY BREACH. ","")&amp;IF(N($AQ109)&gt;'Technical Premium'!$C$20,"Load authority breach. ","")&amp;IF($J109&gt;='Technical Premium'!$C$16,"Agreed value at or above auto-bind limit. ","")&amp;IF(AND(ISNUMBER($CD109),$CD109&gt;='Technical Premium'!$C$17),"Composite factor at cap. ","")&amp;IF(AND(ISNUMBER($CD109),$CD109&gt;2.5),"Composite factor above 2.50. ","")&amp;IF(LEFT(IFERROR(INDEX('Driver Factors'!$D$6:$D$15,MATCH($R109,'Driver Factors'!$B$6:$B$15,0)),""),7)="DECLINE","DECLINE - driver age. ",IF(LEFT(IFERROR(INDEX('Driver Factors'!$D$6:$D$15,MATCH($R109,'Driver Factors'!$B$6:$B$15,0)),""),5)="Refer","Driver age band. ",""))&amp;IF(LEFT(IFERROR(INDEX('Driver Factors'!$D$28:$D$36,MATCH($T109,'Driver Factors'!$B$28:$B$36,0)),""),7)="DECLINE","DECLINE - MVR. ",IF(LEFT(IFERROR(INDEX('Driver Factors'!$D$28:$D$36,MATCH($T109,'Driver Factors'!$B$28:$B$36,0)),""),5)="Refer","MVR record. ",""))&amp;IF(LEFT(IFERROR(INDEX('Claims History'!$D$6:$D$15,MATCH($U109,'Claims History'!$B$6:$B$15,0)),""),7)="DECLINE","DECLINE - claims. ",IF(LEFT(IFERROR(INDEX('Claims History'!$D$6:$D$15,MATCH($U109,'Claims History'!$B$6:$B$15,0)),""),5)="Refer","Claims history. ",""))&amp;IF(LEFT(IFERROR(INDEX('Usage and Coverage'!$E$6:$E$20,MATCH($N109,'Usage and Coverage'!$C$6:$C$20,0)),""),7)="DECLINE","DECLINE - usage class. ",IF(LEFT(IFERROR(INDEX('Usage and Coverage'!$E$6:$E$20,MATCH($N109,'Usage and Coverage'!$C$6:$C$20,0)),""),5)="Refer","Usage class. ",""))&amp;IF($CX109="CHECK INPUTS","Incomplete inputs. ",""))))</f>
        <v/>
      </c>
      <c r="DB109" s="92"/>
      <c r="DC109" s="92"/>
      <c r="DD109" s="93"/>
      <c r="DE109" s="92"/>
      <c r="DF109" s="92"/>
      <c r="DG109" s="97" t="str">
        <f t="shared" si="25"/>
        <v/>
      </c>
      <c r="DH109" s="97" t="str">
        <f>IF($A109="","",IF(OR($CX109="REFER",$CX109="DECLINE"),COUNTIF($CX$5:$CX109,"REFER")+COUNTIF($CX$5:$CX109,"DECLINE"),""))</f>
        <v/>
      </c>
      <c r="DI109" s="92"/>
    </row>
    <row r="110" spans="1:113" x14ac:dyDescent="0.25">
      <c r="A110" s="92"/>
      <c r="B110" s="92"/>
      <c r="C110" s="93"/>
      <c r="D110" s="93"/>
      <c r="E110" s="94"/>
      <c r="F110" s="92"/>
      <c r="G110" s="92"/>
      <c r="H110" s="92"/>
      <c r="I110" s="92"/>
      <c r="J110" s="95"/>
      <c r="K110" s="92"/>
      <c r="L110" s="92"/>
      <c r="M110" s="92"/>
      <c r="N110" s="92"/>
      <c r="O110" s="92"/>
      <c r="P110" s="92"/>
      <c r="Q110" s="92"/>
      <c r="R110" s="92"/>
      <c r="S110" s="92"/>
      <c r="T110" s="92"/>
      <c r="U110" s="92"/>
      <c r="V110" s="92"/>
      <c r="W110" s="92"/>
      <c r="X110" s="92"/>
      <c r="Y110" s="92"/>
      <c r="Z110" s="92"/>
      <c r="AA110" s="92"/>
      <c r="AB110" s="92"/>
      <c r="AC110" s="92"/>
      <c r="AD110" s="92"/>
      <c r="AE110" s="92"/>
      <c r="AF110" s="92"/>
      <c r="AG110" s="92"/>
      <c r="AH110" s="92"/>
      <c r="AI110" s="92"/>
      <c r="AJ110" s="92"/>
      <c r="AK110" s="92"/>
      <c r="AL110" s="92"/>
      <c r="AM110" s="92"/>
      <c r="AN110" s="92"/>
      <c r="AO110" s="92"/>
      <c r="AP110" s="92"/>
      <c r="AQ110" s="96"/>
      <c r="AR110" s="97" t="str">
        <f t="shared" si="13"/>
        <v/>
      </c>
      <c r="AS110" s="97" t="str">
        <f>IF($A110="","",IF($AP110&lt;&gt;"",$AP110,IFERROR(INDEX('Cat Zone by ZIP'!$D$6:$D$856,MATCH($AR110,'Cat Zone by ZIP'!$B$6:$B$856,0)),IFERROR(INDEX('Cat Zone by ZIP'!$C$860:$C$910,MATCH($K110,'Cat Zone by ZIP'!$B$860:$B$910,0)),"NOT FOUND"))))</f>
        <v/>
      </c>
      <c r="AT110" s="97" t="str">
        <f>IF($A110="","",IF($AP110&lt;&gt;"","Override",IF(ISNUMBER(MATCH($AR110,'Cat Zone by ZIP'!$B$6:$B$856,0)),"ZIP-3","State default")))</f>
        <v/>
      </c>
      <c r="AU110" s="98" t="str">
        <f>IF($A110="","",IFERROR(INDEX('Natural Catastrophe'!$D$6:$D$17,MATCH($AS110,'Natural Catastrophe'!$B$6:$B$17,0)),"?"))</f>
        <v/>
      </c>
      <c r="AV110" s="98" t="str">
        <f>IF($A110="","",IFERROR(INDEX('Natural Catastrophe'!$C$21:$C$26,MATCH($AA110,'Natural Catastrophe'!$B$21:$B$26,0)),"?"))</f>
        <v/>
      </c>
      <c r="AW110" s="97" t="str">
        <f>IF($A110="","",IFERROR(INDEX('Base Rates'!$C$4:$I$4,MATCH(MAX($J110,'Technical Premium'!$C$18),'Base Rates'!$C$3:$I$3,1)),"?"))</f>
        <v/>
      </c>
      <c r="AX110" s="99" t="str">
        <f>IF($A110="","",IFERROR(INDEX('Base Rates'!$C$5:$I$16,MATCH($I110,'Base Rates'!$B$5:$B$16,0),MATCH(MAX($J110,'Technical Premium'!$C$18),'Base Rates'!$C$3:$I$3,1)),"?"))</f>
        <v/>
      </c>
      <c r="AY110" s="100" t="str">
        <f t="shared" si="14"/>
        <v/>
      </c>
      <c r="AZ110" s="97" t="str">
        <f>IF($A110="","",IFERROR(INDEX('Make Factors'!$G$5:$G$69,MATCH($F110,'Make Factors'!$B$5:$B$69,0)),"?"))</f>
        <v/>
      </c>
      <c r="BA110" s="97" t="str">
        <f>IF($A110="","",IFERROR(INDEX('Driver Factors'!$C$6:$C$15,MATCH($R110,'Driver Factors'!$B$6:$B$15,0)),"?"))</f>
        <v/>
      </c>
      <c r="BB110" s="97" t="str">
        <f>IF($A110="","",IFERROR(INDEX('Driver Factors'!$C$19:$C$24,MATCH($S110,'Driver Factors'!$B$19:$B$24,0)),"?"))</f>
        <v/>
      </c>
      <c r="BC110" s="97" t="str">
        <f>IF($A110="","",IFERROR(INDEX('Driver Factors'!$C$28:$C$36,MATCH($T110,'Driver Factors'!$B$28:$B$36,0)),"?"))</f>
        <v/>
      </c>
      <c r="BD110" s="97" t="str">
        <f>IF($A110="","",IFERROR(INDEX('Claims History'!$C$6:$C$15,MATCH($U110,'Claims History'!$B$6:$B$15,0)),"?"))</f>
        <v/>
      </c>
      <c r="BE110" s="97" t="str">
        <f>IF($A110="","",IFERROR(INDEX('Territory Factors'!$E$6:$E$56,MATCH($K110,'Territory Factors'!$B$6:$B$56,0)),"?"))</f>
        <v/>
      </c>
      <c r="BF110" s="97" t="str">
        <f>IF($A110="","",IFERROR(INDEX('City Accident Ratings'!$G$6:$G$54,MATCH($Z110,'City Accident Ratings'!$B$6:$B$54,0)),"?"))</f>
        <v/>
      </c>
      <c r="BG110" s="97" t="str">
        <f>IF($A110="","",IFERROR(INDEX('Usage and Coverage'!$D$6:$D$20,MATCH($N110,'Usage and Coverage'!$C$6:$C$20,0)),"?"))</f>
        <v/>
      </c>
      <c r="BH110" s="97" t="str">
        <f>IF($A110="","",IFERROR(INDEX('Usage and Coverage'!$C$24:$C$30,MATCH($O110,'Usage and Coverage'!$B$24:$B$30,0)),"?"))</f>
        <v/>
      </c>
      <c r="BI110" s="97" t="str">
        <f>IF($A110="","",IFERROR(INDEX('Usage and Coverage'!$C$34:$C$40,MATCH($P110,'Usage and Coverage'!$B$34:$B$40,0)),"?"))</f>
        <v/>
      </c>
      <c r="BJ110" s="97" t="str">
        <f>IF($A110="","",IFERROR(INDEX('Usage and Coverage'!$C$44:$C$49,MATCH($Q110,'Usage and Coverage'!$B$44:$B$49,0)),"?"))</f>
        <v/>
      </c>
      <c r="BK110" s="97" t="str">
        <f>IF($A110="","",IFERROR(INDEX(Deductibles!$C$6:$I$15,MATCH($W110,Deductibles!$B$6:$B$15,0),MATCH(MAX($J110,'Technical Premium'!$C$18),'Base Rates'!$C$3:$I$3,1)),"?"))</f>
        <v/>
      </c>
      <c r="BL110" s="97" t="str">
        <f>IF($A110="","",IFERROR(INDEX('Usage and Coverage'!$C$63:$C$66,MATCH($X110,'Usage and Coverage'!$B$63:$B$66,0)),"?"))</f>
        <v/>
      </c>
      <c r="BM110" s="97" t="str">
        <f>IF($A110="","",IFERROR(INDEX('Usage and Coverage'!$C$70:$C$75,MATCH($V110,'Usage and Coverage'!$B$70:$B$75,0)),"?"))</f>
        <v/>
      </c>
      <c r="BN110" s="97" t="str">
        <f>IF($A110="","",IF($AB110="",1,IFERROR(INDEX(Deductibles!$C$48:$C$51,MATCH($AB110,Deductibles!$B$48:$B$51,0)),"?")))</f>
        <v/>
      </c>
      <c r="BO110" s="97" t="str">
        <f>IF($A110="","",IF($AC110="",1,IFERROR(INDEX(Deductibles!$C$55:$C$57,MATCH($AC110,Deductibles!$B$55:$B$57,0)),"?")))</f>
        <v/>
      </c>
      <c r="BP110" s="97" t="str">
        <f>IF($A110="","",IF($AD110="",1,IFERROR(INDEX(Deductibles!$C$61:$C$63,MATCH($AD110,Deductibles!$B$61:$B$63,0)),"?")))</f>
        <v/>
      </c>
      <c r="BQ110" s="97" t="str">
        <f>IF($A110="","",IF($AE110="",1,IFERROR(INDEX(Deductibles!$C$67:$C$69,MATCH($AE110,Deductibles!$B$67:$B$69,0)),"?")))</f>
        <v/>
      </c>
      <c r="BR110" s="97" t="str">
        <f>IF($A110="","",IF($AF110="",1,IFERROR(INDEX(Deductibles!$C$73:$C$74,MATCH($AF110,Deductibles!$B$73:$B$74,0)),"?")))</f>
        <v/>
      </c>
      <c r="BS110" s="97" t="str">
        <f>IF($A110="","",IF($AG110="",1,IFERROR(INDEX('Sublimits and Parts'!$C$49:$C$52,MATCH($AG110,'Sublimits and Parts'!$B$49:$B$52,0)),"?")))</f>
        <v/>
      </c>
      <c r="BT110" s="97" t="str">
        <f>IF($A110="","",IF($AH110="",1,IFERROR(INDEX('Sublimits and Parts'!$C$56:$C$60,MATCH($AH110,'Sublimits and Parts'!$B$56:$B$60,0)),"?")))</f>
        <v/>
      </c>
      <c r="BU110" s="97" t="str">
        <f>IF($A110="","",IF($AI110="",1,IFERROR(INDEX('Sublimits and Parts'!$C$64:$C$67,MATCH($AI110,'Sublimits and Parts'!$B$64:$B$67,0)),"?")))</f>
        <v/>
      </c>
      <c r="BV110" s="97" t="str">
        <f>IF($A110="","",IF($AJ110="",1,IFERROR(INDEX('Sublimits and Parts'!$C$71:$C$74,MATCH($AJ110,'Sublimits and Parts'!$B$71:$B$74,0)),"?")))</f>
        <v/>
      </c>
      <c r="BW110" s="97" t="str">
        <f>IF($A110="","",IF($AK110="",1,IFERROR(INDEX('Sublimits and Parts'!$C$78:$C$80,MATCH($AK110,'Sublimits and Parts'!$B$78:$B$80,0)),"?")))</f>
        <v/>
      </c>
      <c r="BX110" s="97" t="str">
        <f>IF($A110="","",IF($AL110="",1,IFERROR(INDEX('Sublimits and Parts'!$C$84:$C$87,MATCH($AL110,'Sublimits and Parts'!$B$84:$B$87,0)),"?")))</f>
        <v/>
      </c>
      <c r="BY110" s="97" t="str">
        <f>IF($A110="","",IF($AM110="",1,IFERROR(INDEX('Sublimits and Parts'!$C$91:$C$94,MATCH($AM110,'Sublimits and Parts'!$B$91:$B$94,0)),"?")))</f>
        <v/>
      </c>
      <c r="BZ110" s="97" t="str">
        <f>IF($A110="","",IF($AN110="",1,IFERROR(INDEX('Sublimits and Parts'!$C$98:$C$101,MATCH($AN110,'Sublimits and Parts'!$B$98:$B$101,0)),"?")))</f>
        <v/>
      </c>
      <c r="CA110" s="97" t="str">
        <f>IF($A110="","",IF($AO110="",1,IFERROR(INDEX('Sublimits and Parts'!$C$105:$C$109,MATCH($AO110,'Sublimits and Parts'!$B$105:$B$109,0)),"?")))</f>
        <v/>
      </c>
      <c r="CB110" s="98" t="str">
        <f t="shared" si="15"/>
        <v/>
      </c>
      <c r="CC110" s="98" t="str">
        <f t="shared" si="16"/>
        <v/>
      </c>
      <c r="CD110" s="101" t="str">
        <f>IF($A110="","",IF(OR($CB110="?",$CC110="?"),"?",MIN($CB110*$CC110,'Technical Premium'!$C$17)))</f>
        <v/>
      </c>
      <c r="CE110" s="100" t="str">
        <f t="shared" si="17"/>
        <v/>
      </c>
      <c r="CF110" s="100" t="str">
        <f>IF($A110="","",IFERROR(INDEX('Territory Factors'!$F$6:$F$56,MATCH($K110,'Territory Factors'!$B$6:$B$56,0)),"?"))</f>
        <v/>
      </c>
      <c r="CG110" s="98" t="str">
        <f>IF($A110="","",IFERROR(INDEX('Usage and Coverage'!$C$79:$C$84,MATCH($Y110,'Usage and Coverage'!$B$79:$B$84,0)),"?"))</f>
        <v/>
      </c>
      <c r="CH110" s="100" t="str">
        <f>IFERROR(IF(ISNUMBER($CD110),$CF110*$CG110*MIN($BG110*$BA110*$BC110*$BD110*$BH110*$BF110,'Technical Premium'!$C$17),""),"")</f>
        <v/>
      </c>
      <c r="CI110" s="100" t="str">
        <f t="shared" si="18"/>
        <v/>
      </c>
      <c r="CJ110" s="100" t="str">
        <f>IFERROR($CI110*(1+'Technical Premium'!$C$5)*(1+'Technical Premium'!$C$6),"")</f>
        <v/>
      </c>
      <c r="CK110" s="100" t="str">
        <f>IFERROR($CE110*INDEX('Territory Factors'!$G$6:$G$56,MATCH($K110,'Territory Factors'!$B$6:$B$56,0))*$AU110*$AV110,"")</f>
        <v/>
      </c>
      <c r="CL110" s="100" t="str">
        <f>IFERROR(($CJ110+$CK110)*(1+'Technical Premium'!$C$7),"")</f>
        <v/>
      </c>
      <c r="CM110" s="102" t="str">
        <f>IFERROR($CL110/'Technical Premium'!$C$13,"")</f>
        <v/>
      </c>
      <c r="CN110" s="103" t="str">
        <f t="shared" si="19"/>
        <v/>
      </c>
      <c r="CO110" s="102" t="str">
        <f t="shared" si="20"/>
        <v/>
      </c>
      <c r="CP110" s="103" t="str">
        <f t="shared" si="21"/>
        <v/>
      </c>
      <c r="CQ110" s="104" t="str">
        <f t="shared" si="22"/>
        <v/>
      </c>
      <c r="CR110" s="100" t="str">
        <f>IF(ISNUMBER($CM110),'Technical Premium'!$C$14+IF($J110&gt;=1000000,'Technical Premium'!$C$15,0),"")</f>
        <v/>
      </c>
      <c r="CS110" s="100" t="str">
        <f>IFERROR(($CO110+$CR110)*(INDEX('Territory Factors'!$K$6:$K$56,MATCH($K110,'Territory Factors'!$B$6:$B$56,0))+'Commission Structure'!$C$21),"")</f>
        <v/>
      </c>
      <c r="CT110" s="102" t="str">
        <f t="shared" si="23"/>
        <v/>
      </c>
      <c r="CU110" s="100" t="str">
        <f>IFERROR($CO110*('Commission Structure'!$C$6+'Commission Structure'!$C$7),"")</f>
        <v/>
      </c>
      <c r="CV110" s="100" t="str">
        <f>IFERROR($CO110*'Commission Structure'!$C$5-$CU110,"")</f>
        <v/>
      </c>
      <c r="CW110" s="100" t="str">
        <f>IFERROR($CO110*(1-'Commission Structure'!$C$5),"")</f>
        <v/>
      </c>
      <c r="CX110" s="105" t="str">
        <f>IF($A110="","",IF(OR($CB110="?",$CC110="?",NOT(ISNUMBER($AU110))),"CHECK INPUTS",IF(OR($J110&lt;'Technical Premium'!$C$18,LEFT(IFERROR(INDEX('Driver Factors'!$D$6:$D$15,MATCH($R110,'Driver Factors'!$B$6:$B$15,0)),""),7)="DECLINE",LEFT(IFERROR(INDEX('Driver Factors'!$D$28:$D$36,MATCH($T110,'Driver Factors'!$B$28:$B$36,0)),""),7)="DECLINE",LEFT(IFERROR(INDEX('Claims History'!$D$6:$D$15,MATCH($U110,'Claims History'!$B$6:$B$15,0)),""),7)="DECLINE",LEFT(IFERROR(INDEX('Usage and Coverage'!$E$6:$E$20,MATCH($N110,'Usage and Coverage'!$C$6:$C$20,0)),""),7)="DECLINE"),"DECLINE",IF(OR($CD110&gt;2.5,$CD110&gt;='Technical Premium'!$C$17,$J110&gt;='Technical Premium'!$C$16,N($AQ110)&lt;'Technical Premium'!$C$19,N($AQ110)&gt;'Technical Premium'!$C$20,LEFT(IFERROR(INDEX('Driver Factors'!$D$6:$D$15,MATCH($R110,'Driver Factors'!$B$6:$B$15,0)),""),5)="Refer",LEFT(IFERROR(INDEX('Driver Factors'!$D$28:$D$36,MATCH($T110,'Driver Factors'!$B$28:$B$36,0)),""),5)="Refer",LEFT(IFERROR(INDEX('Claims History'!$D$6:$D$15,MATCH($U110,'Claims History'!$B$6:$B$15,0)),""),5)="Refer",LEFT(IFERROR(INDEX('Usage and Coverage'!$E$6:$E$20,MATCH($N110,'Usage and Coverage'!$C$6:$C$20,0)),""),5)="Refer"),"REFER","AUTO-BIND"))))</f>
        <v/>
      </c>
      <c r="CY110" s="106" t="str">
        <f t="shared" si="24"/>
        <v/>
      </c>
      <c r="CZ110" s="97" t="str">
        <f>IF($CY110="","",IF($CY110&lt;'Technical Premium'!$C$19,"BEYOND AUTHORITY",IF($CY110&gt;0.005,"Above technical",IF($CY110&lt;-0.005,"BELOW technical","At technical"))))</f>
        <v/>
      </c>
      <c r="DA110" s="97" t="str">
        <f>IF($A110="","",IF($CX110="AUTO-BIND","",TRIM(IF($J110&lt;'Technical Premium'!$C$18,"Below programme minimum agreed value. ","")&amp;IF(N($AQ110)&lt;'Technical Premium'!$C$19,"DISCOUNT AUTHORITY BREACH. ","")&amp;IF(N($AQ110)&gt;'Technical Premium'!$C$20,"Load authority breach. ","")&amp;IF($J110&gt;='Technical Premium'!$C$16,"Agreed value at or above auto-bind limit. ","")&amp;IF(AND(ISNUMBER($CD110),$CD110&gt;='Technical Premium'!$C$17),"Composite factor at cap. ","")&amp;IF(AND(ISNUMBER($CD110),$CD110&gt;2.5),"Composite factor above 2.50. ","")&amp;IF(LEFT(IFERROR(INDEX('Driver Factors'!$D$6:$D$15,MATCH($R110,'Driver Factors'!$B$6:$B$15,0)),""),7)="DECLINE","DECLINE - driver age. ",IF(LEFT(IFERROR(INDEX('Driver Factors'!$D$6:$D$15,MATCH($R110,'Driver Factors'!$B$6:$B$15,0)),""),5)="Refer","Driver age band. ",""))&amp;IF(LEFT(IFERROR(INDEX('Driver Factors'!$D$28:$D$36,MATCH($T110,'Driver Factors'!$B$28:$B$36,0)),""),7)="DECLINE","DECLINE - MVR. ",IF(LEFT(IFERROR(INDEX('Driver Factors'!$D$28:$D$36,MATCH($T110,'Driver Factors'!$B$28:$B$36,0)),""),5)="Refer","MVR record. ",""))&amp;IF(LEFT(IFERROR(INDEX('Claims History'!$D$6:$D$15,MATCH($U110,'Claims History'!$B$6:$B$15,0)),""),7)="DECLINE","DECLINE - claims. ",IF(LEFT(IFERROR(INDEX('Claims History'!$D$6:$D$15,MATCH($U110,'Claims History'!$B$6:$B$15,0)),""),5)="Refer","Claims history. ",""))&amp;IF(LEFT(IFERROR(INDEX('Usage and Coverage'!$E$6:$E$20,MATCH($N110,'Usage and Coverage'!$C$6:$C$20,0)),""),7)="DECLINE","DECLINE - usage class. ",IF(LEFT(IFERROR(INDEX('Usage and Coverage'!$E$6:$E$20,MATCH($N110,'Usage and Coverage'!$C$6:$C$20,0)),""),5)="Refer","Usage class. ",""))&amp;IF($CX110="CHECK INPUTS","Incomplete inputs. ",""))))</f>
        <v/>
      </c>
      <c r="DB110" s="92"/>
      <c r="DC110" s="92"/>
      <c r="DD110" s="93"/>
      <c r="DE110" s="92"/>
      <c r="DF110" s="92"/>
      <c r="DG110" s="97" t="str">
        <f t="shared" si="25"/>
        <v/>
      </c>
      <c r="DH110" s="97" t="str">
        <f>IF($A110="","",IF(OR($CX110="REFER",$CX110="DECLINE"),COUNTIF($CX$5:$CX110,"REFER")+COUNTIF($CX$5:$CX110,"DECLINE"),""))</f>
        <v/>
      </c>
      <c r="DI110" s="92"/>
    </row>
    <row r="111" spans="1:113" x14ac:dyDescent="0.25">
      <c r="A111" s="92"/>
      <c r="B111" s="92"/>
      <c r="C111" s="93"/>
      <c r="D111" s="93"/>
      <c r="E111" s="94"/>
      <c r="F111" s="92"/>
      <c r="G111" s="92"/>
      <c r="H111" s="92"/>
      <c r="I111" s="92"/>
      <c r="J111" s="95"/>
      <c r="K111" s="92"/>
      <c r="L111" s="92"/>
      <c r="M111" s="92"/>
      <c r="N111" s="92"/>
      <c r="O111" s="92"/>
      <c r="P111" s="92"/>
      <c r="Q111" s="92"/>
      <c r="R111" s="92"/>
      <c r="S111" s="92"/>
      <c r="T111" s="92"/>
      <c r="U111" s="92"/>
      <c r="V111" s="92"/>
      <c r="W111" s="92"/>
      <c r="X111" s="92"/>
      <c r="Y111" s="92"/>
      <c r="Z111" s="92"/>
      <c r="AA111" s="92"/>
      <c r="AB111" s="92"/>
      <c r="AC111" s="92"/>
      <c r="AD111" s="92"/>
      <c r="AE111" s="92"/>
      <c r="AF111" s="92"/>
      <c r="AG111" s="92"/>
      <c r="AH111" s="92"/>
      <c r="AI111" s="92"/>
      <c r="AJ111" s="92"/>
      <c r="AK111" s="92"/>
      <c r="AL111" s="92"/>
      <c r="AM111" s="92"/>
      <c r="AN111" s="92"/>
      <c r="AO111" s="92"/>
      <c r="AP111" s="92"/>
      <c r="AQ111" s="96"/>
      <c r="AR111" s="97" t="str">
        <f t="shared" si="13"/>
        <v/>
      </c>
      <c r="AS111" s="97" t="str">
        <f>IF($A111="","",IF($AP111&lt;&gt;"",$AP111,IFERROR(INDEX('Cat Zone by ZIP'!$D$6:$D$856,MATCH($AR111,'Cat Zone by ZIP'!$B$6:$B$856,0)),IFERROR(INDEX('Cat Zone by ZIP'!$C$860:$C$910,MATCH($K111,'Cat Zone by ZIP'!$B$860:$B$910,0)),"NOT FOUND"))))</f>
        <v/>
      </c>
      <c r="AT111" s="97" t="str">
        <f>IF($A111="","",IF($AP111&lt;&gt;"","Override",IF(ISNUMBER(MATCH($AR111,'Cat Zone by ZIP'!$B$6:$B$856,0)),"ZIP-3","State default")))</f>
        <v/>
      </c>
      <c r="AU111" s="98" t="str">
        <f>IF($A111="","",IFERROR(INDEX('Natural Catastrophe'!$D$6:$D$17,MATCH($AS111,'Natural Catastrophe'!$B$6:$B$17,0)),"?"))</f>
        <v/>
      </c>
      <c r="AV111" s="98" t="str">
        <f>IF($A111="","",IFERROR(INDEX('Natural Catastrophe'!$C$21:$C$26,MATCH($AA111,'Natural Catastrophe'!$B$21:$B$26,0)),"?"))</f>
        <v/>
      </c>
      <c r="AW111" s="97" t="str">
        <f>IF($A111="","",IFERROR(INDEX('Base Rates'!$C$4:$I$4,MATCH(MAX($J111,'Technical Premium'!$C$18),'Base Rates'!$C$3:$I$3,1)),"?"))</f>
        <v/>
      </c>
      <c r="AX111" s="99" t="str">
        <f>IF($A111="","",IFERROR(INDEX('Base Rates'!$C$5:$I$16,MATCH($I111,'Base Rates'!$B$5:$B$16,0),MATCH(MAX($J111,'Technical Premium'!$C$18),'Base Rates'!$C$3:$I$3,1)),"?"))</f>
        <v/>
      </c>
      <c r="AY111" s="100" t="str">
        <f t="shared" si="14"/>
        <v/>
      </c>
      <c r="AZ111" s="97" t="str">
        <f>IF($A111="","",IFERROR(INDEX('Make Factors'!$G$5:$G$69,MATCH($F111,'Make Factors'!$B$5:$B$69,0)),"?"))</f>
        <v/>
      </c>
      <c r="BA111" s="97" t="str">
        <f>IF($A111="","",IFERROR(INDEX('Driver Factors'!$C$6:$C$15,MATCH($R111,'Driver Factors'!$B$6:$B$15,0)),"?"))</f>
        <v/>
      </c>
      <c r="BB111" s="97" t="str">
        <f>IF($A111="","",IFERROR(INDEX('Driver Factors'!$C$19:$C$24,MATCH($S111,'Driver Factors'!$B$19:$B$24,0)),"?"))</f>
        <v/>
      </c>
      <c r="BC111" s="97" t="str">
        <f>IF($A111="","",IFERROR(INDEX('Driver Factors'!$C$28:$C$36,MATCH($T111,'Driver Factors'!$B$28:$B$36,0)),"?"))</f>
        <v/>
      </c>
      <c r="BD111" s="97" t="str">
        <f>IF($A111="","",IFERROR(INDEX('Claims History'!$C$6:$C$15,MATCH($U111,'Claims History'!$B$6:$B$15,0)),"?"))</f>
        <v/>
      </c>
      <c r="BE111" s="97" t="str">
        <f>IF($A111="","",IFERROR(INDEX('Territory Factors'!$E$6:$E$56,MATCH($K111,'Territory Factors'!$B$6:$B$56,0)),"?"))</f>
        <v/>
      </c>
      <c r="BF111" s="97" t="str">
        <f>IF($A111="","",IFERROR(INDEX('City Accident Ratings'!$G$6:$G$54,MATCH($Z111,'City Accident Ratings'!$B$6:$B$54,0)),"?"))</f>
        <v/>
      </c>
      <c r="BG111" s="97" t="str">
        <f>IF($A111="","",IFERROR(INDEX('Usage and Coverage'!$D$6:$D$20,MATCH($N111,'Usage and Coverage'!$C$6:$C$20,0)),"?"))</f>
        <v/>
      </c>
      <c r="BH111" s="97" t="str">
        <f>IF($A111="","",IFERROR(INDEX('Usage and Coverage'!$C$24:$C$30,MATCH($O111,'Usage and Coverage'!$B$24:$B$30,0)),"?"))</f>
        <v/>
      </c>
      <c r="BI111" s="97" t="str">
        <f>IF($A111="","",IFERROR(INDEX('Usage and Coverage'!$C$34:$C$40,MATCH($P111,'Usage and Coverage'!$B$34:$B$40,0)),"?"))</f>
        <v/>
      </c>
      <c r="BJ111" s="97" t="str">
        <f>IF($A111="","",IFERROR(INDEX('Usage and Coverage'!$C$44:$C$49,MATCH($Q111,'Usage and Coverage'!$B$44:$B$49,0)),"?"))</f>
        <v/>
      </c>
      <c r="BK111" s="97" t="str">
        <f>IF($A111="","",IFERROR(INDEX(Deductibles!$C$6:$I$15,MATCH($W111,Deductibles!$B$6:$B$15,0),MATCH(MAX($J111,'Technical Premium'!$C$18),'Base Rates'!$C$3:$I$3,1)),"?"))</f>
        <v/>
      </c>
      <c r="BL111" s="97" t="str">
        <f>IF($A111="","",IFERROR(INDEX('Usage and Coverage'!$C$63:$C$66,MATCH($X111,'Usage and Coverage'!$B$63:$B$66,0)),"?"))</f>
        <v/>
      </c>
      <c r="BM111" s="97" t="str">
        <f>IF($A111="","",IFERROR(INDEX('Usage and Coverage'!$C$70:$C$75,MATCH($V111,'Usage and Coverage'!$B$70:$B$75,0)),"?"))</f>
        <v/>
      </c>
      <c r="BN111" s="97" t="str">
        <f>IF($A111="","",IF($AB111="",1,IFERROR(INDEX(Deductibles!$C$48:$C$51,MATCH($AB111,Deductibles!$B$48:$B$51,0)),"?")))</f>
        <v/>
      </c>
      <c r="BO111" s="97" t="str">
        <f>IF($A111="","",IF($AC111="",1,IFERROR(INDEX(Deductibles!$C$55:$C$57,MATCH($AC111,Deductibles!$B$55:$B$57,0)),"?")))</f>
        <v/>
      </c>
      <c r="BP111" s="97" t="str">
        <f>IF($A111="","",IF($AD111="",1,IFERROR(INDEX(Deductibles!$C$61:$C$63,MATCH($AD111,Deductibles!$B$61:$B$63,0)),"?")))</f>
        <v/>
      </c>
      <c r="BQ111" s="97" t="str">
        <f>IF($A111="","",IF($AE111="",1,IFERROR(INDEX(Deductibles!$C$67:$C$69,MATCH($AE111,Deductibles!$B$67:$B$69,0)),"?")))</f>
        <v/>
      </c>
      <c r="BR111" s="97" t="str">
        <f>IF($A111="","",IF($AF111="",1,IFERROR(INDEX(Deductibles!$C$73:$C$74,MATCH($AF111,Deductibles!$B$73:$B$74,0)),"?")))</f>
        <v/>
      </c>
      <c r="BS111" s="97" t="str">
        <f>IF($A111="","",IF($AG111="",1,IFERROR(INDEX('Sublimits and Parts'!$C$49:$C$52,MATCH($AG111,'Sublimits and Parts'!$B$49:$B$52,0)),"?")))</f>
        <v/>
      </c>
      <c r="BT111" s="97" t="str">
        <f>IF($A111="","",IF($AH111="",1,IFERROR(INDEX('Sublimits and Parts'!$C$56:$C$60,MATCH($AH111,'Sublimits and Parts'!$B$56:$B$60,0)),"?")))</f>
        <v/>
      </c>
      <c r="BU111" s="97" t="str">
        <f>IF($A111="","",IF($AI111="",1,IFERROR(INDEX('Sublimits and Parts'!$C$64:$C$67,MATCH($AI111,'Sublimits and Parts'!$B$64:$B$67,0)),"?")))</f>
        <v/>
      </c>
      <c r="BV111" s="97" t="str">
        <f>IF($A111="","",IF($AJ111="",1,IFERROR(INDEX('Sublimits and Parts'!$C$71:$C$74,MATCH($AJ111,'Sublimits and Parts'!$B$71:$B$74,0)),"?")))</f>
        <v/>
      </c>
      <c r="BW111" s="97" t="str">
        <f>IF($A111="","",IF($AK111="",1,IFERROR(INDEX('Sublimits and Parts'!$C$78:$C$80,MATCH($AK111,'Sublimits and Parts'!$B$78:$B$80,0)),"?")))</f>
        <v/>
      </c>
      <c r="BX111" s="97" t="str">
        <f>IF($A111="","",IF($AL111="",1,IFERROR(INDEX('Sublimits and Parts'!$C$84:$C$87,MATCH($AL111,'Sublimits and Parts'!$B$84:$B$87,0)),"?")))</f>
        <v/>
      </c>
      <c r="BY111" s="97" t="str">
        <f>IF($A111="","",IF($AM111="",1,IFERROR(INDEX('Sublimits and Parts'!$C$91:$C$94,MATCH($AM111,'Sublimits and Parts'!$B$91:$B$94,0)),"?")))</f>
        <v/>
      </c>
      <c r="BZ111" s="97" t="str">
        <f>IF($A111="","",IF($AN111="",1,IFERROR(INDEX('Sublimits and Parts'!$C$98:$C$101,MATCH($AN111,'Sublimits and Parts'!$B$98:$B$101,0)),"?")))</f>
        <v/>
      </c>
      <c r="CA111" s="97" t="str">
        <f>IF($A111="","",IF($AO111="",1,IFERROR(INDEX('Sublimits and Parts'!$C$105:$C$109,MATCH($AO111,'Sublimits and Parts'!$B$105:$B$109,0)),"?")))</f>
        <v/>
      </c>
      <c r="CB111" s="98" t="str">
        <f t="shared" si="15"/>
        <v/>
      </c>
      <c r="CC111" s="98" t="str">
        <f t="shared" si="16"/>
        <v/>
      </c>
      <c r="CD111" s="101" t="str">
        <f>IF($A111="","",IF(OR($CB111="?",$CC111="?"),"?",MIN($CB111*$CC111,'Technical Premium'!$C$17)))</f>
        <v/>
      </c>
      <c r="CE111" s="100" t="str">
        <f t="shared" si="17"/>
        <v/>
      </c>
      <c r="CF111" s="100" t="str">
        <f>IF($A111="","",IFERROR(INDEX('Territory Factors'!$F$6:$F$56,MATCH($K111,'Territory Factors'!$B$6:$B$56,0)),"?"))</f>
        <v/>
      </c>
      <c r="CG111" s="98" t="str">
        <f>IF($A111="","",IFERROR(INDEX('Usage and Coverage'!$C$79:$C$84,MATCH($Y111,'Usage and Coverage'!$B$79:$B$84,0)),"?"))</f>
        <v/>
      </c>
      <c r="CH111" s="100" t="str">
        <f>IFERROR(IF(ISNUMBER($CD111),$CF111*$CG111*MIN($BG111*$BA111*$BC111*$BD111*$BH111*$BF111,'Technical Premium'!$C$17),""),"")</f>
        <v/>
      </c>
      <c r="CI111" s="100" t="str">
        <f t="shared" si="18"/>
        <v/>
      </c>
      <c r="CJ111" s="100" t="str">
        <f>IFERROR($CI111*(1+'Technical Premium'!$C$5)*(1+'Technical Premium'!$C$6),"")</f>
        <v/>
      </c>
      <c r="CK111" s="100" t="str">
        <f>IFERROR($CE111*INDEX('Territory Factors'!$G$6:$G$56,MATCH($K111,'Territory Factors'!$B$6:$B$56,0))*$AU111*$AV111,"")</f>
        <v/>
      </c>
      <c r="CL111" s="100" t="str">
        <f>IFERROR(($CJ111+$CK111)*(1+'Technical Premium'!$C$7),"")</f>
        <v/>
      </c>
      <c r="CM111" s="102" t="str">
        <f>IFERROR($CL111/'Technical Premium'!$C$13,"")</f>
        <v/>
      </c>
      <c r="CN111" s="103" t="str">
        <f t="shared" si="19"/>
        <v/>
      </c>
      <c r="CO111" s="102" t="str">
        <f t="shared" si="20"/>
        <v/>
      </c>
      <c r="CP111" s="103" t="str">
        <f t="shared" si="21"/>
        <v/>
      </c>
      <c r="CQ111" s="104" t="str">
        <f t="shared" si="22"/>
        <v/>
      </c>
      <c r="CR111" s="100" t="str">
        <f>IF(ISNUMBER($CM111),'Technical Premium'!$C$14+IF($J111&gt;=1000000,'Technical Premium'!$C$15,0),"")</f>
        <v/>
      </c>
      <c r="CS111" s="100" t="str">
        <f>IFERROR(($CO111+$CR111)*(INDEX('Territory Factors'!$K$6:$K$56,MATCH($K111,'Territory Factors'!$B$6:$B$56,0))+'Commission Structure'!$C$21),"")</f>
        <v/>
      </c>
      <c r="CT111" s="102" t="str">
        <f t="shared" si="23"/>
        <v/>
      </c>
      <c r="CU111" s="100" t="str">
        <f>IFERROR($CO111*('Commission Structure'!$C$6+'Commission Structure'!$C$7),"")</f>
        <v/>
      </c>
      <c r="CV111" s="100" t="str">
        <f>IFERROR($CO111*'Commission Structure'!$C$5-$CU111,"")</f>
        <v/>
      </c>
      <c r="CW111" s="100" t="str">
        <f>IFERROR($CO111*(1-'Commission Structure'!$C$5),"")</f>
        <v/>
      </c>
      <c r="CX111" s="105" t="str">
        <f>IF($A111="","",IF(OR($CB111="?",$CC111="?",NOT(ISNUMBER($AU111))),"CHECK INPUTS",IF(OR($J111&lt;'Technical Premium'!$C$18,LEFT(IFERROR(INDEX('Driver Factors'!$D$6:$D$15,MATCH($R111,'Driver Factors'!$B$6:$B$15,0)),""),7)="DECLINE",LEFT(IFERROR(INDEX('Driver Factors'!$D$28:$D$36,MATCH($T111,'Driver Factors'!$B$28:$B$36,0)),""),7)="DECLINE",LEFT(IFERROR(INDEX('Claims History'!$D$6:$D$15,MATCH($U111,'Claims History'!$B$6:$B$15,0)),""),7)="DECLINE",LEFT(IFERROR(INDEX('Usage and Coverage'!$E$6:$E$20,MATCH($N111,'Usage and Coverage'!$C$6:$C$20,0)),""),7)="DECLINE"),"DECLINE",IF(OR($CD111&gt;2.5,$CD111&gt;='Technical Premium'!$C$17,$J111&gt;='Technical Premium'!$C$16,N($AQ111)&lt;'Technical Premium'!$C$19,N($AQ111)&gt;'Technical Premium'!$C$20,LEFT(IFERROR(INDEX('Driver Factors'!$D$6:$D$15,MATCH($R111,'Driver Factors'!$B$6:$B$15,0)),""),5)="Refer",LEFT(IFERROR(INDEX('Driver Factors'!$D$28:$D$36,MATCH($T111,'Driver Factors'!$B$28:$B$36,0)),""),5)="Refer",LEFT(IFERROR(INDEX('Claims History'!$D$6:$D$15,MATCH($U111,'Claims History'!$B$6:$B$15,0)),""),5)="Refer",LEFT(IFERROR(INDEX('Usage and Coverage'!$E$6:$E$20,MATCH($N111,'Usage and Coverage'!$C$6:$C$20,0)),""),5)="Refer"),"REFER","AUTO-BIND"))))</f>
        <v/>
      </c>
      <c r="CY111" s="106" t="str">
        <f t="shared" si="24"/>
        <v/>
      </c>
      <c r="CZ111" s="97" t="str">
        <f>IF($CY111="","",IF($CY111&lt;'Technical Premium'!$C$19,"BEYOND AUTHORITY",IF($CY111&gt;0.005,"Above technical",IF($CY111&lt;-0.005,"BELOW technical","At technical"))))</f>
        <v/>
      </c>
      <c r="DA111" s="97" t="str">
        <f>IF($A111="","",IF($CX111="AUTO-BIND","",TRIM(IF($J111&lt;'Technical Premium'!$C$18,"Below programme minimum agreed value. ","")&amp;IF(N($AQ111)&lt;'Technical Premium'!$C$19,"DISCOUNT AUTHORITY BREACH. ","")&amp;IF(N($AQ111)&gt;'Technical Premium'!$C$20,"Load authority breach. ","")&amp;IF($J111&gt;='Technical Premium'!$C$16,"Agreed value at or above auto-bind limit. ","")&amp;IF(AND(ISNUMBER($CD111),$CD111&gt;='Technical Premium'!$C$17),"Composite factor at cap. ","")&amp;IF(AND(ISNUMBER($CD111),$CD111&gt;2.5),"Composite factor above 2.50. ","")&amp;IF(LEFT(IFERROR(INDEX('Driver Factors'!$D$6:$D$15,MATCH($R111,'Driver Factors'!$B$6:$B$15,0)),""),7)="DECLINE","DECLINE - driver age. ",IF(LEFT(IFERROR(INDEX('Driver Factors'!$D$6:$D$15,MATCH($R111,'Driver Factors'!$B$6:$B$15,0)),""),5)="Refer","Driver age band. ",""))&amp;IF(LEFT(IFERROR(INDEX('Driver Factors'!$D$28:$D$36,MATCH($T111,'Driver Factors'!$B$28:$B$36,0)),""),7)="DECLINE","DECLINE - MVR. ",IF(LEFT(IFERROR(INDEX('Driver Factors'!$D$28:$D$36,MATCH($T111,'Driver Factors'!$B$28:$B$36,0)),""),5)="Refer","MVR record. ",""))&amp;IF(LEFT(IFERROR(INDEX('Claims History'!$D$6:$D$15,MATCH($U111,'Claims History'!$B$6:$B$15,0)),""),7)="DECLINE","DECLINE - claims. ",IF(LEFT(IFERROR(INDEX('Claims History'!$D$6:$D$15,MATCH($U111,'Claims History'!$B$6:$B$15,0)),""),5)="Refer","Claims history. ",""))&amp;IF(LEFT(IFERROR(INDEX('Usage and Coverage'!$E$6:$E$20,MATCH($N111,'Usage and Coverage'!$C$6:$C$20,0)),""),7)="DECLINE","DECLINE - usage class. ",IF(LEFT(IFERROR(INDEX('Usage and Coverage'!$E$6:$E$20,MATCH($N111,'Usage and Coverage'!$C$6:$C$20,0)),""),5)="Refer","Usage class. ",""))&amp;IF($CX111="CHECK INPUTS","Incomplete inputs. ",""))))</f>
        <v/>
      </c>
      <c r="DB111" s="92"/>
      <c r="DC111" s="92"/>
      <c r="DD111" s="93"/>
      <c r="DE111" s="92"/>
      <c r="DF111" s="92"/>
      <c r="DG111" s="97" t="str">
        <f t="shared" si="25"/>
        <v/>
      </c>
      <c r="DH111" s="97" t="str">
        <f>IF($A111="","",IF(OR($CX111="REFER",$CX111="DECLINE"),COUNTIF($CX$5:$CX111,"REFER")+COUNTIF($CX$5:$CX111,"DECLINE"),""))</f>
        <v/>
      </c>
      <c r="DI111" s="92"/>
    </row>
    <row r="112" spans="1:113" x14ac:dyDescent="0.25">
      <c r="A112" s="92"/>
      <c r="B112" s="92"/>
      <c r="C112" s="93"/>
      <c r="D112" s="93"/>
      <c r="E112" s="94"/>
      <c r="F112" s="92"/>
      <c r="G112" s="92"/>
      <c r="H112" s="92"/>
      <c r="I112" s="92"/>
      <c r="J112" s="95"/>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92"/>
      <c r="AM112" s="92"/>
      <c r="AN112" s="92"/>
      <c r="AO112" s="92"/>
      <c r="AP112" s="92"/>
      <c r="AQ112" s="96"/>
      <c r="AR112" s="97" t="str">
        <f t="shared" si="13"/>
        <v/>
      </c>
      <c r="AS112" s="97" t="str">
        <f>IF($A112="","",IF($AP112&lt;&gt;"",$AP112,IFERROR(INDEX('Cat Zone by ZIP'!$D$6:$D$856,MATCH($AR112,'Cat Zone by ZIP'!$B$6:$B$856,0)),IFERROR(INDEX('Cat Zone by ZIP'!$C$860:$C$910,MATCH($K112,'Cat Zone by ZIP'!$B$860:$B$910,0)),"NOT FOUND"))))</f>
        <v/>
      </c>
      <c r="AT112" s="97" t="str">
        <f>IF($A112="","",IF($AP112&lt;&gt;"","Override",IF(ISNUMBER(MATCH($AR112,'Cat Zone by ZIP'!$B$6:$B$856,0)),"ZIP-3","State default")))</f>
        <v/>
      </c>
      <c r="AU112" s="98" t="str">
        <f>IF($A112="","",IFERROR(INDEX('Natural Catastrophe'!$D$6:$D$17,MATCH($AS112,'Natural Catastrophe'!$B$6:$B$17,0)),"?"))</f>
        <v/>
      </c>
      <c r="AV112" s="98" t="str">
        <f>IF($A112="","",IFERROR(INDEX('Natural Catastrophe'!$C$21:$C$26,MATCH($AA112,'Natural Catastrophe'!$B$21:$B$26,0)),"?"))</f>
        <v/>
      </c>
      <c r="AW112" s="97" t="str">
        <f>IF($A112="","",IFERROR(INDEX('Base Rates'!$C$4:$I$4,MATCH(MAX($J112,'Technical Premium'!$C$18),'Base Rates'!$C$3:$I$3,1)),"?"))</f>
        <v/>
      </c>
      <c r="AX112" s="99" t="str">
        <f>IF($A112="","",IFERROR(INDEX('Base Rates'!$C$5:$I$16,MATCH($I112,'Base Rates'!$B$5:$B$16,0),MATCH(MAX($J112,'Technical Premium'!$C$18),'Base Rates'!$C$3:$I$3,1)),"?"))</f>
        <v/>
      </c>
      <c r="AY112" s="100" t="str">
        <f t="shared" si="14"/>
        <v/>
      </c>
      <c r="AZ112" s="97" t="str">
        <f>IF($A112="","",IFERROR(INDEX('Make Factors'!$G$5:$G$69,MATCH($F112,'Make Factors'!$B$5:$B$69,0)),"?"))</f>
        <v/>
      </c>
      <c r="BA112" s="97" t="str">
        <f>IF($A112="","",IFERROR(INDEX('Driver Factors'!$C$6:$C$15,MATCH($R112,'Driver Factors'!$B$6:$B$15,0)),"?"))</f>
        <v/>
      </c>
      <c r="BB112" s="97" t="str">
        <f>IF($A112="","",IFERROR(INDEX('Driver Factors'!$C$19:$C$24,MATCH($S112,'Driver Factors'!$B$19:$B$24,0)),"?"))</f>
        <v/>
      </c>
      <c r="BC112" s="97" t="str">
        <f>IF($A112="","",IFERROR(INDEX('Driver Factors'!$C$28:$C$36,MATCH($T112,'Driver Factors'!$B$28:$B$36,0)),"?"))</f>
        <v/>
      </c>
      <c r="BD112" s="97" t="str">
        <f>IF($A112="","",IFERROR(INDEX('Claims History'!$C$6:$C$15,MATCH($U112,'Claims History'!$B$6:$B$15,0)),"?"))</f>
        <v/>
      </c>
      <c r="BE112" s="97" t="str">
        <f>IF($A112="","",IFERROR(INDEX('Territory Factors'!$E$6:$E$56,MATCH($K112,'Territory Factors'!$B$6:$B$56,0)),"?"))</f>
        <v/>
      </c>
      <c r="BF112" s="97" t="str">
        <f>IF($A112="","",IFERROR(INDEX('City Accident Ratings'!$G$6:$G$54,MATCH($Z112,'City Accident Ratings'!$B$6:$B$54,0)),"?"))</f>
        <v/>
      </c>
      <c r="BG112" s="97" t="str">
        <f>IF($A112="","",IFERROR(INDEX('Usage and Coverage'!$D$6:$D$20,MATCH($N112,'Usage and Coverage'!$C$6:$C$20,0)),"?"))</f>
        <v/>
      </c>
      <c r="BH112" s="97" t="str">
        <f>IF($A112="","",IFERROR(INDEX('Usage and Coverage'!$C$24:$C$30,MATCH($O112,'Usage and Coverage'!$B$24:$B$30,0)),"?"))</f>
        <v/>
      </c>
      <c r="BI112" s="97" t="str">
        <f>IF($A112="","",IFERROR(INDEX('Usage and Coverage'!$C$34:$C$40,MATCH($P112,'Usage and Coverage'!$B$34:$B$40,0)),"?"))</f>
        <v/>
      </c>
      <c r="BJ112" s="97" t="str">
        <f>IF($A112="","",IFERROR(INDEX('Usage and Coverage'!$C$44:$C$49,MATCH($Q112,'Usage and Coverage'!$B$44:$B$49,0)),"?"))</f>
        <v/>
      </c>
      <c r="BK112" s="97" t="str">
        <f>IF($A112="","",IFERROR(INDEX(Deductibles!$C$6:$I$15,MATCH($W112,Deductibles!$B$6:$B$15,0),MATCH(MAX($J112,'Technical Premium'!$C$18),'Base Rates'!$C$3:$I$3,1)),"?"))</f>
        <v/>
      </c>
      <c r="BL112" s="97" t="str">
        <f>IF($A112="","",IFERROR(INDEX('Usage and Coverage'!$C$63:$C$66,MATCH($X112,'Usage and Coverage'!$B$63:$B$66,0)),"?"))</f>
        <v/>
      </c>
      <c r="BM112" s="97" t="str">
        <f>IF($A112="","",IFERROR(INDEX('Usage and Coverage'!$C$70:$C$75,MATCH($V112,'Usage and Coverage'!$B$70:$B$75,0)),"?"))</f>
        <v/>
      </c>
      <c r="BN112" s="97" t="str">
        <f>IF($A112="","",IF($AB112="",1,IFERROR(INDEX(Deductibles!$C$48:$C$51,MATCH($AB112,Deductibles!$B$48:$B$51,0)),"?")))</f>
        <v/>
      </c>
      <c r="BO112" s="97" t="str">
        <f>IF($A112="","",IF($AC112="",1,IFERROR(INDEX(Deductibles!$C$55:$C$57,MATCH($AC112,Deductibles!$B$55:$B$57,0)),"?")))</f>
        <v/>
      </c>
      <c r="BP112" s="97" t="str">
        <f>IF($A112="","",IF($AD112="",1,IFERROR(INDEX(Deductibles!$C$61:$C$63,MATCH($AD112,Deductibles!$B$61:$B$63,0)),"?")))</f>
        <v/>
      </c>
      <c r="BQ112" s="97" t="str">
        <f>IF($A112="","",IF($AE112="",1,IFERROR(INDEX(Deductibles!$C$67:$C$69,MATCH($AE112,Deductibles!$B$67:$B$69,0)),"?")))</f>
        <v/>
      </c>
      <c r="BR112" s="97" t="str">
        <f>IF($A112="","",IF($AF112="",1,IFERROR(INDEX(Deductibles!$C$73:$C$74,MATCH($AF112,Deductibles!$B$73:$B$74,0)),"?")))</f>
        <v/>
      </c>
      <c r="BS112" s="97" t="str">
        <f>IF($A112="","",IF($AG112="",1,IFERROR(INDEX('Sublimits and Parts'!$C$49:$C$52,MATCH($AG112,'Sublimits and Parts'!$B$49:$B$52,0)),"?")))</f>
        <v/>
      </c>
      <c r="BT112" s="97" t="str">
        <f>IF($A112="","",IF($AH112="",1,IFERROR(INDEX('Sublimits and Parts'!$C$56:$C$60,MATCH($AH112,'Sublimits and Parts'!$B$56:$B$60,0)),"?")))</f>
        <v/>
      </c>
      <c r="BU112" s="97" t="str">
        <f>IF($A112="","",IF($AI112="",1,IFERROR(INDEX('Sublimits and Parts'!$C$64:$C$67,MATCH($AI112,'Sublimits and Parts'!$B$64:$B$67,0)),"?")))</f>
        <v/>
      </c>
      <c r="BV112" s="97" t="str">
        <f>IF($A112="","",IF($AJ112="",1,IFERROR(INDEX('Sublimits and Parts'!$C$71:$C$74,MATCH($AJ112,'Sublimits and Parts'!$B$71:$B$74,0)),"?")))</f>
        <v/>
      </c>
      <c r="BW112" s="97" t="str">
        <f>IF($A112="","",IF($AK112="",1,IFERROR(INDEX('Sublimits and Parts'!$C$78:$C$80,MATCH($AK112,'Sublimits and Parts'!$B$78:$B$80,0)),"?")))</f>
        <v/>
      </c>
      <c r="BX112" s="97" t="str">
        <f>IF($A112="","",IF($AL112="",1,IFERROR(INDEX('Sublimits and Parts'!$C$84:$C$87,MATCH($AL112,'Sublimits and Parts'!$B$84:$B$87,0)),"?")))</f>
        <v/>
      </c>
      <c r="BY112" s="97" t="str">
        <f>IF($A112="","",IF($AM112="",1,IFERROR(INDEX('Sublimits and Parts'!$C$91:$C$94,MATCH($AM112,'Sublimits and Parts'!$B$91:$B$94,0)),"?")))</f>
        <v/>
      </c>
      <c r="BZ112" s="97" t="str">
        <f>IF($A112="","",IF($AN112="",1,IFERROR(INDEX('Sublimits and Parts'!$C$98:$C$101,MATCH($AN112,'Sublimits and Parts'!$B$98:$B$101,0)),"?")))</f>
        <v/>
      </c>
      <c r="CA112" s="97" t="str">
        <f>IF($A112="","",IF($AO112="",1,IFERROR(INDEX('Sublimits and Parts'!$C$105:$C$109,MATCH($AO112,'Sublimits and Parts'!$B$105:$B$109,0)),"?")))</f>
        <v/>
      </c>
      <c r="CB112" s="98" t="str">
        <f t="shared" si="15"/>
        <v/>
      </c>
      <c r="CC112" s="98" t="str">
        <f t="shared" si="16"/>
        <v/>
      </c>
      <c r="CD112" s="101" t="str">
        <f>IF($A112="","",IF(OR($CB112="?",$CC112="?"),"?",MIN($CB112*$CC112,'Technical Premium'!$C$17)))</f>
        <v/>
      </c>
      <c r="CE112" s="100" t="str">
        <f t="shared" si="17"/>
        <v/>
      </c>
      <c r="CF112" s="100" t="str">
        <f>IF($A112="","",IFERROR(INDEX('Territory Factors'!$F$6:$F$56,MATCH($K112,'Territory Factors'!$B$6:$B$56,0)),"?"))</f>
        <v/>
      </c>
      <c r="CG112" s="98" t="str">
        <f>IF($A112="","",IFERROR(INDEX('Usage and Coverage'!$C$79:$C$84,MATCH($Y112,'Usage and Coverage'!$B$79:$B$84,0)),"?"))</f>
        <v/>
      </c>
      <c r="CH112" s="100" t="str">
        <f>IFERROR(IF(ISNUMBER($CD112),$CF112*$CG112*MIN($BG112*$BA112*$BC112*$BD112*$BH112*$BF112,'Technical Premium'!$C$17),""),"")</f>
        <v/>
      </c>
      <c r="CI112" s="100" t="str">
        <f t="shared" si="18"/>
        <v/>
      </c>
      <c r="CJ112" s="100" t="str">
        <f>IFERROR($CI112*(1+'Technical Premium'!$C$5)*(1+'Technical Premium'!$C$6),"")</f>
        <v/>
      </c>
      <c r="CK112" s="100" t="str">
        <f>IFERROR($CE112*INDEX('Territory Factors'!$G$6:$G$56,MATCH($K112,'Territory Factors'!$B$6:$B$56,0))*$AU112*$AV112,"")</f>
        <v/>
      </c>
      <c r="CL112" s="100" t="str">
        <f>IFERROR(($CJ112+$CK112)*(1+'Technical Premium'!$C$7),"")</f>
        <v/>
      </c>
      <c r="CM112" s="102" t="str">
        <f>IFERROR($CL112/'Technical Premium'!$C$13,"")</f>
        <v/>
      </c>
      <c r="CN112" s="103" t="str">
        <f t="shared" si="19"/>
        <v/>
      </c>
      <c r="CO112" s="102" t="str">
        <f t="shared" si="20"/>
        <v/>
      </c>
      <c r="CP112" s="103" t="str">
        <f t="shared" si="21"/>
        <v/>
      </c>
      <c r="CQ112" s="104" t="str">
        <f t="shared" si="22"/>
        <v/>
      </c>
      <c r="CR112" s="100" t="str">
        <f>IF(ISNUMBER($CM112),'Technical Premium'!$C$14+IF($J112&gt;=1000000,'Technical Premium'!$C$15,0),"")</f>
        <v/>
      </c>
      <c r="CS112" s="100" t="str">
        <f>IFERROR(($CO112+$CR112)*(INDEX('Territory Factors'!$K$6:$K$56,MATCH($K112,'Territory Factors'!$B$6:$B$56,0))+'Commission Structure'!$C$21),"")</f>
        <v/>
      </c>
      <c r="CT112" s="102" t="str">
        <f t="shared" si="23"/>
        <v/>
      </c>
      <c r="CU112" s="100" t="str">
        <f>IFERROR($CO112*('Commission Structure'!$C$6+'Commission Structure'!$C$7),"")</f>
        <v/>
      </c>
      <c r="CV112" s="100" t="str">
        <f>IFERROR($CO112*'Commission Structure'!$C$5-$CU112,"")</f>
        <v/>
      </c>
      <c r="CW112" s="100" t="str">
        <f>IFERROR($CO112*(1-'Commission Structure'!$C$5),"")</f>
        <v/>
      </c>
      <c r="CX112" s="105" t="str">
        <f>IF($A112="","",IF(OR($CB112="?",$CC112="?",NOT(ISNUMBER($AU112))),"CHECK INPUTS",IF(OR($J112&lt;'Technical Premium'!$C$18,LEFT(IFERROR(INDEX('Driver Factors'!$D$6:$D$15,MATCH($R112,'Driver Factors'!$B$6:$B$15,0)),""),7)="DECLINE",LEFT(IFERROR(INDEX('Driver Factors'!$D$28:$D$36,MATCH($T112,'Driver Factors'!$B$28:$B$36,0)),""),7)="DECLINE",LEFT(IFERROR(INDEX('Claims History'!$D$6:$D$15,MATCH($U112,'Claims History'!$B$6:$B$15,0)),""),7)="DECLINE",LEFT(IFERROR(INDEX('Usage and Coverage'!$E$6:$E$20,MATCH($N112,'Usage and Coverage'!$C$6:$C$20,0)),""),7)="DECLINE"),"DECLINE",IF(OR($CD112&gt;2.5,$CD112&gt;='Technical Premium'!$C$17,$J112&gt;='Technical Premium'!$C$16,N($AQ112)&lt;'Technical Premium'!$C$19,N($AQ112)&gt;'Technical Premium'!$C$20,LEFT(IFERROR(INDEX('Driver Factors'!$D$6:$D$15,MATCH($R112,'Driver Factors'!$B$6:$B$15,0)),""),5)="Refer",LEFT(IFERROR(INDEX('Driver Factors'!$D$28:$D$36,MATCH($T112,'Driver Factors'!$B$28:$B$36,0)),""),5)="Refer",LEFT(IFERROR(INDEX('Claims History'!$D$6:$D$15,MATCH($U112,'Claims History'!$B$6:$B$15,0)),""),5)="Refer",LEFT(IFERROR(INDEX('Usage and Coverage'!$E$6:$E$20,MATCH($N112,'Usage and Coverage'!$C$6:$C$20,0)),""),5)="Refer"),"REFER","AUTO-BIND"))))</f>
        <v/>
      </c>
      <c r="CY112" s="106" t="str">
        <f t="shared" si="24"/>
        <v/>
      </c>
      <c r="CZ112" s="97" t="str">
        <f>IF($CY112="","",IF($CY112&lt;'Technical Premium'!$C$19,"BEYOND AUTHORITY",IF($CY112&gt;0.005,"Above technical",IF($CY112&lt;-0.005,"BELOW technical","At technical"))))</f>
        <v/>
      </c>
      <c r="DA112" s="97" t="str">
        <f>IF($A112="","",IF($CX112="AUTO-BIND","",TRIM(IF($J112&lt;'Technical Premium'!$C$18,"Below programme minimum agreed value. ","")&amp;IF(N($AQ112)&lt;'Technical Premium'!$C$19,"DISCOUNT AUTHORITY BREACH. ","")&amp;IF(N($AQ112)&gt;'Technical Premium'!$C$20,"Load authority breach. ","")&amp;IF($J112&gt;='Technical Premium'!$C$16,"Agreed value at or above auto-bind limit. ","")&amp;IF(AND(ISNUMBER($CD112),$CD112&gt;='Technical Premium'!$C$17),"Composite factor at cap. ","")&amp;IF(AND(ISNUMBER($CD112),$CD112&gt;2.5),"Composite factor above 2.50. ","")&amp;IF(LEFT(IFERROR(INDEX('Driver Factors'!$D$6:$D$15,MATCH($R112,'Driver Factors'!$B$6:$B$15,0)),""),7)="DECLINE","DECLINE - driver age. ",IF(LEFT(IFERROR(INDEX('Driver Factors'!$D$6:$D$15,MATCH($R112,'Driver Factors'!$B$6:$B$15,0)),""),5)="Refer","Driver age band. ",""))&amp;IF(LEFT(IFERROR(INDEX('Driver Factors'!$D$28:$D$36,MATCH($T112,'Driver Factors'!$B$28:$B$36,0)),""),7)="DECLINE","DECLINE - MVR. ",IF(LEFT(IFERROR(INDEX('Driver Factors'!$D$28:$D$36,MATCH($T112,'Driver Factors'!$B$28:$B$36,0)),""),5)="Refer","MVR record. ",""))&amp;IF(LEFT(IFERROR(INDEX('Claims History'!$D$6:$D$15,MATCH($U112,'Claims History'!$B$6:$B$15,0)),""),7)="DECLINE","DECLINE - claims. ",IF(LEFT(IFERROR(INDEX('Claims History'!$D$6:$D$15,MATCH($U112,'Claims History'!$B$6:$B$15,0)),""),5)="Refer","Claims history. ",""))&amp;IF(LEFT(IFERROR(INDEX('Usage and Coverage'!$E$6:$E$20,MATCH($N112,'Usage and Coverage'!$C$6:$C$20,0)),""),7)="DECLINE","DECLINE - usage class. ",IF(LEFT(IFERROR(INDEX('Usage and Coverage'!$E$6:$E$20,MATCH($N112,'Usage and Coverage'!$C$6:$C$20,0)),""),5)="Refer","Usage class. ",""))&amp;IF($CX112="CHECK INPUTS","Incomplete inputs. ",""))))</f>
        <v/>
      </c>
      <c r="DB112" s="92"/>
      <c r="DC112" s="92"/>
      <c r="DD112" s="93"/>
      <c r="DE112" s="92"/>
      <c r="DF112" s="92"/>
      <c r="DG112" s="97" t="str">
        <f t="shared" si="25"/>
        <v/>
      </c>
      <c r="DH112" s="97" t="str">
        <f>IF($A112="","",IF(OR($CX112="REFER",$CX112="DECLINE"),COUNTIF($CX$5:$CX112,"REFER")+COUNTIF($CX$5:$CX112,"DECLINE"),""))</f>
        <v/>
      </c>
      <c r="DI112" s="92"/>
    </row>
    <row r="113" spans="1:113" x14ac:dyDescent="0.25">
      <c r="A113" s="92"/>
      <c r="B113" s="92"/>
      <c r="C113" s="93"/>
      <c r="D113" s="93"/>
      <c r="E113" s="94"/>
      <c r="F113" s="92"/>
      <c r="G113" s="92"/>
      <c r="H113" s="92"/>
      <c r="I113" s="92"/>
      <c r="J113" s="95"/>
      <c r="K113" s="92"/>
      <c r="L113" s="92"/>
      <c r="M113" s="92"/>
      <c r="N113" s="92"/>
      <c r="O113" s="92"/>
      <c r="P113" s="92"/>
      <c r="Q113" s="92"/>
      <c r="R113" s="92"/>
      <c r="S113" s="92"/>
      <c r="T113" s="92"/>
      <c r="U113" s="92"/>
      <c r="V113" s="92"/>
      <c r="W113" s="92"/>
      <c r="X113" s="92"/>
      <c r="Y113" s="92"/>
      <c r="Z113" s="92"/>
      <c r="AA113" s="92"/>
      <c r="AB113" s="92"/>
      <c r="AC113" s="92"/>
      <c r="AD113" s="92"/>
      <c r="AE113" s="92"/>
      <c r="AF113" s="92"/>
      <c r="AG113" s="92"/>
      <c r="AH113" s="92"/>
      <c r="AI113" s="92"/>
      <c r="AJ113" s="92"/>
      <c r="AK113" s="92"/>
      <c r="AL113" s="92"/>
      <c r="AM113" s="92"/>
      <c r="AN113" s="92"/>
      <c r="AO113" s="92"/>
      <c r="AP113" s="92"/>
      <c r="AQ113" s="96"/>
      <c r="AR113" s="97" t="str">
        <f t="shared" si="13"/>
        <v/>
      </c>
      <c r="AS113" s="97" t="str">
        <f>IF($A113="","",IF($AP113&lt;&gt;"",$AP113,IFERROR(INDEX('Cat Zone by ZIP'!$D$6:$D$856,MATCH($AR113,'Cat Zone by ZIP'!$B$6:$B$856,0)),IFERROR(INDEX('Cat Zone by ZIP'!$C$860:$C$910,MATCH($K113,'Cat Zone by ZIP'!$B$860:$B$910,0)),"NOT FOUND"))))</f>
        <v/>
      </c>
      <c r="AT113" s="97" t="str">
        <f>IF($A113="","",IF($AP113&lt;&gt;"","Override",IF(ISNUMBER(MATCH($AR113,'Cat Zone by ZIP'!$B$6:$B$856,0)),"ZIP-3","State default")))</f>
        <v/>
      </c>
      <c r="AU113" s="98" t="str">
        <f>IF($A113="","",IFERROR(INDEX('Natural Catastrophe'!$D$6:$D$17,MATCH($AS113,'Natural Catastrophe'!$B$6:$B$17,0)),"?"))</f>
        <v/>
      </c>
      <c r="AV113" s="98" t="str">
        <f>IF($A113="","",IFERROR(INDEX('Natural Catastrophe'!$C$21:$C$26,MATCH($AA113,'Natural Catastrophe'!$B$21:$B$26,0)),"?"))</f>
        <v/>
      </c>
      <c r="AW113" s="97" t="str">
        <f>IF($A113="","",IFERROR(INDEX('Base Rates'!$C$4:$I$4,MATCH(MAX($J113,'Technical Premium'!$C$18),'Base Rates'!$C$3:$I$3,1)),"?"))</f>
        <v/>
      </c>
      <c r="AX113" s="99" t="str">
        <f>IF($A113="","",IFERROR(INDEX('Base Rates'!$C$5:$I$16,MATCH($I113,'Base Rates'!$B$5:$B$16,0),MATCH(MAX($J113,'Technical Premium'!$C$18),'Base Rates'!$C$3:$I$3,1)),"?"))</f>
        <v/>
      </c>
      <c r="AY113" s="100" t="str">
        <f t="shared" si="14"/>
        <v/>
      </c>
      <c r="AZ113" s="97" t="str">
        <f>IF($A113="","",IFERROR(INDEX('Make Factors'!$G$5:$G$69,MATCH($F113,'Make Factors'!$B$5:$B$69,0)),"?"))</f>
        <v/>
      </c>
      <c r="BA113" s="97" t="str">
        <f>IF($A113="","",IFERROR(INDEX('Driver Factors'!$C$6:$C$15,MATCH($R113,'Driver Factors'!$B$6:$B$15,0)),"?"))</f>
        <v/>
      </c>
      <c r="BB113" s="97" t="str">
        <f>IF($A113="","",IFERROR(INDEX('Driver Factors'!$C$19:$C$24,MATCH($S113,'Driver Factors'!$B$19:$B$24,0)),"?"))</f>
        <v/>
      </c>
      <c r="BC113" s="97" t="str">
        <f>IF($A113="","",IFERROR(INDEX('Driver Factors'!$C$28:$C$36,MATCH($T113,'Driver Factors'!$B$28:$B$36,0)),"?"))</f>
        <v/>
      </c>
      <c r="BD113" s="97" t="str">
        <f>IF($A113="","",IFERROR(INDEX('Claims History'!$C$6:$C$15,MATCH($U113,'Claims History'!$B$6:$B$15,0)),"?"))</f>
        <v/>
      </c>
      <c r="BE113" s="97" t="str">
        <f>IF($A113="","",IFERROR(INDEX('Territory Factors'!$E$6:$E$56,MATCH($K113,'Territory Factors'!$B$6:$B$56,0)),"?"))</f>
        <v/>
      </c>
      <c r="BF113" s="97" t="str">
        <f>IF($A113="","",IFERROR(INDEX('City Accident Ratings'!$G$6:$G$54,MATCH($Z113,'City Accident Ratings'!$B$6:$B$54,0)),"?"))</f>
        <v/>
      </c>
      <c r="BG113" s="97" t="str">
        <f>IF($A113="","",IFERROR(INDEX('Usage and Coverage'!$D$6:$D$20,MATCH($N113,'Usage and Coverage'!$C$6:$C$20,0)),"?"))</f>
        <v/>
      </c>
      <c r="BH113" s="97" t="str">
        <f>IF($A113="","",IFERROR(INDEX('Usage and Coverage'!$C$24:$C$30,MATCH($O113,'Usage and Coverage'!$B$24:$B$30,0)),"?"))</f>
        <v/>
      </c>
      <c r="BI113" s="97" t="str">
        <f>IF($A113="","",IFERROR(INDEX('Usage and Coverage'!$C$34:$C$40,MATCH($P113,'Usage and Coverage'!$B$34:$B$40,0)),"?"))</f>
        <v/>
      </c>
      <c r="BJ113" s="97" t="str">
        <f>IF($A113="","",IFERROR(INDEX('Usage and Coverage'!$C$44:$C$49,MATCH($Q113,'Usage and Coverage'!$B$44:$B$49,0)),"?"))</f>
        <v/>
      </c>
      <c r="BK113" s="97" t="str">
        <f>IF($A113="","",IFERROR(INDEX(Deductibles!$C$6:$I$15,MATCH($W113,Deductibles!$B$6:$B$15,0),MATCH(MAX($J113,'Technical Premium'!$C$18),'Base Rates'!$C$3:$I$3,1)),"?"))</f>
        <v/>
      </c>
      <c r="BL113" s="97" t="str">
        <f>IF($A113="","",IFERROR(INDEX('Usage and Coverage'!$C$63:$C$66,MATCH($X113,'Usage and Coverage'!$B$63:$B$66,0)),"?"))</f>
        <v/>
      </c>
      <c r="BM113" s="97" t="str">
        <f>IF($A113="","",IFERROR(INDEX('Usage and Coverage'!$C$70:$C$75,MATCH($V113,'Usage and Coverage'!$B$70:$B$75,0)),"?"))</f>
        <v/>
      </c>
      <c r="BN113" s="97" t="str">
        <f>IF($A113="","",IF($AB113="",1,IFERROR(INDEX(Deductibles!$C$48:$C$51,MATCH($AB113,Deductibles!$B$48:$B$51,0)),"?")))</f>
        <v/>
      </c>
      <c r="BO113" s="97" t="str">
        <f>IF($A113="","",IF($AC113="",1,IFERROR(INDEX(Deductibles!$C$55:$C$57,MATCH($AC113,Deductibles!$B$55:$B$57,0)),"?")))</f>
        <v/>
      </c>
      <c r="BP113" s="97" t="str">
        <f>IF($A113="","",IF($AD113="",1,IFERROR(INDEX(Deductibles!$C$61:$C$63,MATCH($AD113,Deductibles!$B$61:$B$63,0)),"?")))</f>
        <v/>
      </c>
      <c r="BQ113" s="97" t="str">
        <f>IF($A113="","",IF($AE113="",1,IFERROR(INDEX(Deductibles!$C$67:$C$69,MATCH($AE113,Deductibles!$B$67:$B$69,0)),"?")))</f>
        <v/>
      </c>
      <c r="BR113" s="97" t="str">
        <f>IF($A113="","",IF($AF113="",1,IFERROR(INDEX(Deductibles!$C$73:$C$74,MATCH($AF113,Deductibles!$B$73:$B$74,0)),"?")))</f>
        <v/>
      </c>
      <c r="BS113" s="97" t="str">
        <f>IF($A113="","",IF($AG113="",1,IFERROR(INDEX('Sublimits and Parts'!$C$49:$C$52,MATCH($AG113,'Sublimits and Parts'!$B$49:$B$52,0)),"?")))</f>
        <v/>
      </c>
      <c r="BT113" s="97" t="str">
        <f>IF($A113="","",IF($AH113="",1,IFERROR(INDEX('Sublimits and Parts'!$C$56:$C$60,MATCH($AH113,'Sublimits and Parts'!$B$56:$B$60,0)),"?")))</f>
        <v/>
      </c>
      <c r="BU113" s="97" t="str">
        <f>IF($A113="","",IF($AI113="",1,IFERROR(INDEX('Sublimits and Parts'!$C$64:$C$67,MATCH($AI113,'Sublimits and Parts'!$B$64:$B$67,0)),"?")))</f>
        <v/>
      </c>
      <c r="BV113" s="97" t="str">
        <f>IF($A113="","",IF($AJ113="",1,IFERROR(INDEX('Sublimits and Parts'!$C$71:$C$74,MATCH($AJ113,'Sublimits and Parts'!$B$71:$B$74,0)),"?")))</f>
        <v/>
      </c>
      <c r="BW113" s="97" t="str">
        <f>IF($A113="","",IF($AK113="",1,IFERROR(INDEX('Sublimits and Parts'!$C$78:$C$80,MATCH($AK113,'Sublimits and Parts'!$B$78:$B$80,0)),"?")))</f>
        <v/>
      </c>
      <c r="BX113" s="97" t="str">
        <f>IF($A113="","",IF($AL113="",1,IFERROR(INDEX('Sublimits and Parts'!$C$84:$C$87,MATCH($AL113,'Sublimits and Parts'!$B$84:$B$87,0)),"?")))</f>
        <v/>
      </c>
      <c r="BY113" s="97" t="str">
        <f>IF($A113="","",IF($AM113="",1,IFERROR(INDEX('Sublimits and Parts'!$C$91:$C$94,MATCH($AM113,'Sublimits and Parts'!$B$91:$B$94,0)),"?")))</f>
        <v/>
      </c>
      <c r="BZ113" s="97" t="str">
        <f>IF($A113="","",IF($AN113="",1,IFERROR(INDEX('Sublimits and Parts'!$C$98:$C$101,MATCH($AN113,'Sublimits and Parts'!$B$98:$B$101,0)),"?")))</f>
        <v/>
      </c>
      <c r="CA113" s="97" t="str">
        <f>IF($A113="","",IF($AO113="",1,IFERROR(INDEX('Sublimits and Parts'!$C$105:$C$109,MATCH($AO113,'Sublimits and Parts'!$B$105:$B$109,0)),"?")))</f>
        <v/>
      </c>
      <c r="CB113" s="98" t="str">
        <f t="shared" si="15"/>
        <v/>
      </c>
      <c r="CC113" s="98" t="str">
        <f t="shared" si="16"/>
        <v/>
      </c>
      <c r="CD113" s="101" t="str">
        <f>IF($A113="","",IF(OR($CB113="?",$CC113="?"),"?",MIN($CB113*$CC113,'Technical Premium'!$C$17)))</f>
        <v/>
      </c>
      <c r="CE113" s="100" t="str">
        <f t="shared" si="17"/>
        <v/>
      </c>
      <c r="CF113" s="100" t="str">
        <f>IF($A113="","",IFERROR(INDEX('Territory Factors'!$F$6:$F$56,MATCH($K113,'Territory Factors'!$B$6:$B$56,0)),"?"))</f>
        <v/>
      </c>
      <c r="CG113" s="98" t="str">
        <f>IF($A113="","",IFERROR(INDEX('Usage and Coverage'!$C$79:$C$84,MATCH($Y113,'Usage and Coverage'!$B$79:$B$84,0)),"?"))</f>
        <v/>
      </c>
      <c r="CH113" s="100" t="str">
        <f>IFERROR(IF(ISNUMBER($CD113),$CF113*$CG113*MIN($BG113*$BA113*$BC113*$BD113*$BH113*$BF113,'Technical Premium'!$C$17),""),"")</f>
        <v/>
      </c>
      <c r="CI113" s="100" t="str">
        <f t="shared" si="18"/>
        <v/>
      </c>
      <c r="CJ113" s="100" t="str">
        <f>IFERROR($CI113*(1+'Technical Premium'!$C$5)*(1+'Technical Premium'!$C$6),"")</f>
        <v/>
      </c>
      <c r="CK113" s="100" t="str">
        <f>IFERROR($CE113*INDEX('Territory Factors'!$G$6:$G$56,MATCH($K113,'Territory Factors'!$B$6:$B$56,0))*$AU113*$AV113,"")</f>
        <v/>
      </c>
      <c r="CL113" s="100" t="str">
        <f>IFERROR(($CJ113+$CK113)*(1+'Technical Premium'!$C$7),"")</f>
        <v/>
      </c>
      <c r="CM113" s="102" t="str">
        <f>IFERROR($CL113/'Technical Premium'!$C$13,"")</f>
        <v/>
      </c>
      <c r="CN113" s="103" t="str">
        <f t="shared" si="19"/>
        <v/>
      </c>
      <c r="CO113" s="102" t="str">
        <f t="shared" si="20"/>
        <v/>
      </c>
      <c r="CP113" s="103" t="str">
        <f t="shared" si="21"/>
        <v/>
      </c>
      <c r="CQ113" s="104" t="str">
        <f t="shared" si="22"/>
        <v/>
      </c>
      <c r="CR113" s="100" t="str">
        <f>IF(ISNUMBER($CM113),'Technical Premium'!$C$14+IF($J113&gt;=1000000,'Technical Premium'!$C$15,0),"")</f>
        <v/>
      </c>
      <c r="CS113" s="100" t="str">
        <f>IFERROR(($CO113+$CR113)*(INDEX('Territory Factors'!$K$6:$K$56,MATCH($K113,'Territory Factors'!$B$6:$B$56,0))+'Commission Structure'!$C$21),"")</f>
        <v/>
      </c>
      <c r="CT113" s="102" t="str">
        <f t="shared" si="23"/>
        <v/>
      </c>
      <c r="CU113" s="100" t="str">
        <f>IFERROR($CO113*('Commission Structure'!$C$6+'Commission Structure'!$C$7),"")</f>
        <v/>
      </c>
      <c r="CV113" s="100" t="str">
        <f>IFERROR($CO113*'Commission Structure'!$C$5-$CU113,"")</f>
        <v/>
      </c>
      <c r="CW113" s="100" t="str">
        <f>IFERROR($CO113*(1-'Commission Structure'!$C$5),"")</f>
        <v/>
      </c>
      <c r="CX113" s="105" t="str">
        <f>IF($A113="","",IF(OR($CB113="?",$CC113="?",NOT(ISNUMBER($AU113))),"CHECK INPUTS",IF(OR($J113&lt;'Technical Premium'!$C$18,LEFT(IFERROR(INDEX('Driver Factors'!$D$6:$D$15,MATCH($R113,'Driver Factors'!$B$6:$B$15,0)),""),7)="DECLINE",LEFT(IFERROR(INDEX('Driver Factors'!$D$28:$D$36,MATCH($T113,'Driver Factors'!$B$28:$B$36,0)),""),7)="DECLINE",LEFT(IFERROR(INDEX('Claims History'!$D$6:$D$15,MATCH($U113,'Claims History'!$B$6:$B$15,0)),""),7)="DECLINE",LEFT(IFERROR(INDEX('Usage and Coverage'!$E$6:$E$20,MATCH($N113,'Usage and Coverage'!$C$6:$C$20,0)),""),7)="DECLINE"),"DECLINE",IF(OR($CD113&gt;2.5,$CD113&gt;='Technical Premium'!$C$17,$J113&gt;='Technical Premium'!$C$16,N($AQ113)&lt;'Technical Premium'!$C$19,N($AQ113)&gt;'Technical Premium'!$C$20,LEFT(IFERROR(INDEX('Driver Factors'!$D$6:$D$15,MATCH($R113,'Driver Factors'!$B$6:$B$15,0)),""),5)="Refer",LEFT(IFERROR(INDEX('Driver Factors'!$D$28:$D$36,MATCH($T113,'Driver Factors'!$B$28:$B$36,0)),""),5)="Refer",LEFT(IFERROR(INDEX('Claims History'!$D$6:$D$15,MATCH($U113,'Claims History'!$B$6:$B$15,0)),""),5)="Refer",LEFT(IFERROR(INDEX('Usage and Coverage'!$E$6:$E$20,MATCH($N113,'Usage and Coverage'!$C$6:$C$20,0)),""),5)="Refer"),"REFER","AUTO-BIND"))))</f>
        <v/>
      </c>
      <c r="CY113" s="106" t="str">
        <f t="shared" si="24"/>
        <v/>
      </c>
      <c r="CZ113" s="97" t="str">
        <f>IF($CY113="","",IF($CY113&lt;'Technical Premium'!$C$19,"BEYOND AUTHORITY",IF($CY113&gt;0.005,"Above technical",IF($CY113&lt;-0.005,"BELOW technical","At technical"))))</f>
        <v/>
      </c>
      <c r="DA113" s="97" t="str">
        <f>IF($A113="","",IF($CX113="AUTO-BIND","",TRIM(IF($J113&lt;'Technical Premium'!$C$18,"Below programme minimum agreed value. ","")&amp;IF(N($AQ113)&lt;'Technical Premium'!$C$19,"DISCOUNT AUTHORITY BREACH. ","")&amp;IF(N($AQ113)&gt;'Technical Premium'!$C$20,"Load authority breach. ","")&amp;IF($J113&gt;='Technical Premium'!$C$16,"Agreed value at or above auto-bind limit. ","")&amp;IF(AND(ISNUMBER($CD113),$CD113&gt;='Technical Premium'!$C$17),"Composite factor at cap. ","")&amp;IF(AND(ISNUMBER($CD113),$CD113&gt;2.5),"Composite factor above 2.50. ","")&amp;IF(LEFT(IFERROR(INDEX('Driver Factors'!$D$6:$D$15,MATCH($R113,'Driver Factors'!$B$6:$B$15,0)),""),7)="DECLINE","DECLINE - driver age. ",IF(LEFT(IFERROR(INDEX('Driver Factors'!$D$6:$D$15,MATCH($R113,'Driver Factors'!$B$6:$B$15,0)),""),5)="Refer","Driver age band. ",""))&amp;IF(LEFT(IFERROR(INDEX('Driver Factors'!$D$28:$D$36,MATCH($T113,'Driver Factors'!$B$28:$B$36,0)),""),7)="DECLINE","DECLINE - MVR. ",IF(LEFT(IFERROR(INDEX('Driver Factors'!$D$28:$D$36,MATCH($T113,'Driver Factors'!$B$28:$B$36,0)),""),5)="Refer","MVR record. ",""))&amp;IF(LEFT(IFERROR(INDEX('Claims History'!$D$6:$D$15,MATCH($U113,'Claims History'!$B$6:$B$15,0)),""),7)="DECLINE","DECLINE - claims. ",IF(LEFT(IFERROR(INDEX('Claims History'!$D$6:$D$15,MATCH($U113,'Claims History'!$B$6:$B$15,0)),""),5)="Refer","Claims history. ",""))&amp;IF(LEFT(IFERROR(INDEX('Usage and Coverage'!$E$6:$E$20,MATCH($N113,'Usage and Coverage'!$C$6:$C$20,0)),""),7)="DECLINE","DECLINE - usage class. ",IF(LEFT(IFERROR(INDEX('Usage and Coverage'!$E$6:$E$20,MATCH($N113,'Usage and Coverage'!$C$6:$C$20,0)),""),5)="Refer","Usage class. ",""))&amp;IF($CX113="CHECK INPUTS","Incomplete inputs. ",""))))</f>
        <v/>
      </c>
      <c r="DB113" s="92"/>
      <c r="DC113" s="92"/>
      <c r="DD113" s="93"/>
      <c r="DE113" s="92"/>
      <c r="DF113" s="92"/>
      <c r="DG113" s="97" t="str">
        <f t="shared" si="25"/>
        <v/>
      </c>
      <c r="DH113" s="97" t="str">
        <f>IF($A113="","",IF(OR($CX113="REFER",$CX113="DECLINE"),COUNTIF($CX$5:$CX113,"REFER")+COUNTIF($CX$5:$CX113,"DECLINE"),""))</f>
        <v/>
      </c>
      <c r="DI113" s="92"/>
    </row>
    <row r="114" spans="1:113" x14ac:dyDescent="0.25">
      <c r="A114" s="92"/>
      <c r="B114" s="92"/>
      <c r="C114" s="93"/>
      <c r="D114" s="93"/>
      <c r="E114" s="94"/>
      <c r="F114" s="92"/>
      <c r="G114" s="92"/>
      <c r="H114" s="92"/>
      <c r="I114" s="92"/>
      <c r="J114" s="95"/>
      <c r="K114" s="92"/>
      <c r="L114" s="92"/>
      <c r="M114" s="92"/>
      <c r="N114" s="92"/>
      <c r="O114" s="92"/>
      <c r="P114" s="92"/>
      <c r="Q114" s="92"/>
      <c r="R114" s="92"/>
      <c r="S114" s="92"/>
      <c r="T114" s="92"/>
      <c r="U114" s="92"/>
      <c r="V114" s="92"/>
      <c r="W114" s="92"/>
      <c r="X114" s="92"/>
      <c r="Y114" s="92"/>
      <c r="Z114" s="92"/>
      <c r="AA114" s="92"/>
      <c r="AB114" s="92"/>
      <c r="AC114" s="92"/>
      <c r="AD114" s="92"/>
      <c r="AE114" s="92"/>
      <c r="AF114" s="92"/>
      <c r="AG114" s="92"/>
      <c r="AH114" s="92"/>
      <c r="AI114" s="92"/>
      <c r="AJ114" s="92"/>
      <c r="AK114" s="92"/>
      <c r="AL114" s="92"/>
      <c r="AM114" s="92"/>
      <c r="AN114" s="92"/>
      <c r="AO114" s="92"/>
      <c r="AP114" s="92"/>
      <c r="AQ114" s="96"/>
      <c r="AR114" s="97" t="str">
        <f t="shared" si="13"/>
        <v/>
      </c>
      <c r="AS114" s="97" t="str">
        <f>IF($A114="","",IF($AP114&lt;&gt;"",$AP114,IFERROR(INDEX('Cat Zone by ZIP'!$D$6:$D$856,MATCH($AR114,'Cat Zone by ZIP'!$B$6:$B$856,0)),IFERROR(INDEX('Cat Zone by ZIP'!$C$860:$C$910,MATCH($K114,'Cat Zone by ZIP'!$B$860:$B$910,0)),"NOT FOUND"))))</f>
        <v/>
      </c>
      <c r="AT114" s="97" t="str">
        <f>IF($A114="","",IF($AP114&lt;&gt;"","Override",IF(ISNUMBER(MATCH($AR114,'Cat Zone by ZIP'!$B$6:$B$856,0)),"ZIP-3","State default")))</f>
        <v/>
      </c>
      <c r="AU114" s="98" t="str">
        <f>IF($A114="","",IFERROR(INDEX('Natural Catastrophe'!$D$6:$D$17,MATCH($AS114,'Natural Catastrophe'!$B$6:$B$17,0)),"?"))</f>
        <v/>
      </c>
      <c r="AV114" s="98" t="str">
        <f>IF($A114="","",IFERROR(INDEX('Natural Catastrophe'!$C$21:$C$26,MATCH($AA114,'Natural Catastrophe'!$B$21:$B$26,0)),"?"))</f>
        <v/>
      </c>
      <c r="AW114" s="97" t="str">
        <f>IF($A114="","",IFERROR(INDEX('Base Rates'!$C$4:$I$4,MATCH(MAX($J114,'Technical Premium'!$C$18),'Base Rates'!$C$3:$I$3,1)),"?"))</f>
        <v/>
      </c>
      <c r="AX114" s="99" t="str">
        <f>IF($A114="","",IFERROR(INDEX('Base Rates'!$C$5:$I$16,MATCH($I114,'Base Rates'!$B$5:$B$16,0),MATCH(MAX($J114,'Technical Premium'!$C$18),'Base Rates'!$C$3:$I$3,1)),"?"))</f>
        <v/>
      </c>
      <c r="AY114" s="100" t="str">
        <f t="shared" si="14"/>
        <v/>
      </c>
      <c r="AZ114" s="97" t="str">
        <f>IF($A114="","",IFERROR(INDEX('Make Factors'!$G$5:$G$69,MATCH($F114,'Make Factors'!$B$5:$B$69,0)),"?"))</f>
        <v/>
      </c>
      <c r="BA114" s="97" t="str">
        <f>IF($A114="","",IFERROR(INDEX('Driver Factors'!$C$6:$C$15,MATCH($R114,'Driver Factors'!$B$6:$B$15,0)),"?"))</f>
        <v/>
      </c>
      <c r="BB114" s="97" t="str">
        <f>IF($A114="","",IFERROR(INDEX('Driver Factors'!$C$19:$C$24,MATCH($S114,'Driver Factors'!$B$19:$B$24,0)),"?"))</f>
        <v/>
      </c>
      <c r="BC114" s="97" t="str">
        <f>IF($A114="","",IFERROR(INDEX('Driver Factors'!$C$28:$C$36,MATCH($T114,'Driver Factors'!$B$28:$B$36,0)),"?"))</f>
        <v/>
      </c>
      <c r="BD114" s="97" t="str">
        <f>IF($A114="","",IFERROR(INDEX('Claims History'!$C$6:$C$15,MATCH($U114,'Claims History'!$B$6:$B$15,0)),"?"))</f>
        <v/>
      </c>
      <c r="BE114" s="97" t="str">
        <f>IF($A114="","",IFERROR(INDEX('Territory Factors'!$E$6:$E$56,MATCH($K114,'Territory Factors'!$B$6:$B$56,0)),"?"))</f>
        <v/>
      </c>
      <c r="BF114" s="97" t="str">
        <f>IF($A114="","",IFERROR(INDEX('City Accident Ratings'!$G$6:$G$54,MATCH($Z114,'City Accident Ratings'!$B$6:$B$54,0)),"?"))</f>
        <v/>
      </c>
      <c r="BG114" s="97" t="str">
        <f>IF($A114="","",IFERROR(INDEX('Usage and Coverage'!$D$6:$D$20,MATCH($N114,'Usage and Coverage'!$C$6:$C$20,0)),"?"))</f>
        <v/>
      </c>
      <c r="BH114" s="97" t="str">
        <f>IF($A114="","",IFERROR(INDEX('Usage and Coverage'!$C$24:$C$30,MATCH($O114,'Usage and Coverage'!$B$24:$B$30,0)),"?"))</f>
        <v/>
      </c>
      <c r="BI114" s="97" t="str">
        <f>IF($A114="","",IFERROR(INDEX('Usage and Coverage'!$C$34:$C$40,MATCH($P114,'Usage and Coverage'!$B$34:$B$40,0)),"?"))</f>
        <v/>
      </c>
      <c r="BJ114" s="97" t="str">
        <f>IF($A114="","",IFERROR(INDEX('Usage and Coverage'!$C$44:$C$49,MATCH($Q114,'Usage and Coverage'!$B$44:$B$49,0)),"?"))</f>
        <v/>
      </c>
      <c r="BK114" s="97" t="str">
        <f>IF($A114="","",IFERROR(INDEX(Deductibles!$C$6:$I$15,MATCH($W114,Deductibles!$B$6:$B$15,0),MATCH(MAX($J114,'Technical Premium'!$C$18),'Base Rates'!$C$3:$I$3,1)),"?"))</f>
        <v/>
      </c>
      <c r="BL114" s="97" t="str">
        <f>IF($A114="","",IFERROR(INDEX('Usage and Coverage'!$C$63:$C$66,MATCH($X114,'Usage and Coverage'!$B$63:$B$66,0)),"?"))</f>
        <v/>
      </c>
      <c r="BM114" s="97" t="str">
        <f>IF($A114="","",IFERROR(INDEX('Usage and Coverage'!$C$70:$C$75,MATCH($V114,'Usage and Coverage'!$B$70:$B$75,0)),"?"))</f>
        <v/>
      </c>
      <c r="BN114" s="97" t="str">
        <f>IF($A114="","",IF($AB114="",1,IFERROR(INDEX(Deductibles!$C$48:$C$51,MATCH($AB114,Deductibles!$B$48:$B$51,0)),"?")))</f>
        <v/>
      </c>
      <c r="BO114" s="97" t="str">
        <f>IF($A114="","",IF($AC114="",1,IFERROR(INDEX(Deductibles!$C$55:$C$57,MATCH($AC114,Deductibles!$B$55:$B$57,0)),"?")))</f>
        <v/>
      </c>
      <c r="BP114" s="97" t="str">
        <f>IF($A114="","",IF($AD114="",1,IFERROR(INDEX(Deductibles!$C$61:$C$63,MATCH($AD114,Deductibles!$B$61:$B$63,0)),"?")))</f>
        <v/>
      </c>
      <c r="BQ114" s="97" t="str">
        <f>IF($A114="","",IF($AE114="",1,IFERROR(INDEX(Deductibles!$C$67:$C$69,MATCH($AE114,Deductibles!$B$67:$B$69,0)),"?")))</f>
        <v/>
      </c>
      <c r="BR114" s="97" t="str">
        <f>IF($A114="","",IF($AF114="",1,IFERROR(INDEX(Deductibles!$C$73:$C$74,MATCH($AF114,Deductibles!$B$73:$B$74,0)),"?")))</f>
        <v/>
      </c>
      <c r="BS114" s="97" t="str">
        <f>IF($A114="","",IF($AG114="",1,IFERROR(INDEX('Sublimits and Parts'!$C$49:$C$52,MATCH($AG114,'Sublimits and Parts'!$B$49:$B$52,0)),"?")))</f>
        <v/>
      </c>
      <c r="BT114" s="97" t="str">
        <f>IF($A114="","",IF($AH114="",1,IFERROR(INDEX('Sublimits and Parts'!$C$56:$C$60,MATCH($AH114,'Sublimits and Parts'!$B$56:$B$60,0)),"?")))</f>
        <v/>
      </c>
      <c r="BU114" s="97" t="str">
        <f>IF($A114="","",IF($AI114="",1,IFERROR(INDEX('Sublimits and Parts'!$C$64:$C$67,MATCH($AI114,'Sublimits and Parts'!$B$64:$B$67,0)),"?")))</f>
        <v/>
      </c>
      <c r="BV114" s="97" t="str">
        <f>IF($A114="","",IF($AJ114="",1,IFERROR(INDEX('Sublimits and Parts'!$C$71:$C$74,MATCH($AJ114,'Sublimits and Parts'!$B$71:$B$74,0)),"?")))</f>
        <v/>
      </c>
      <c r="BW114" s="97" t="str">
        <f>IF($A114="","",IF($AK114="",1,IFERROR(INDEX('Sublimits and Parts'!$C$78:$C$80,MATCH($AK114,'Sublimits and Parts'!$B$78:$B$80,0)),"?")))</f>
        <v/>
      </c>
      <c r="BX114" s="97" t="str">
        <f>IF($A114="","",IF($AL114="",1,IFERROR(INDEX('Sublimits and Parts'!$C$84:$C$87,MATCH($AL114,'Sublimits and Parts'!$B$84:$B$87,0)),"?")))</f>
        <v/>
      </c>
      <c r="BY114" s="97" t="str">
        <f>IF($A114="","",IF($AM114="",1,IFERROR(INDEX('Sublimits and Parts'!$C$91:$C$94,MATCH($AM114,'Sublimits and Parts'!$B$91:$B$94,0)),"?")))</f>
        <v/>
      </c>
      <c r="BZ114" s="97" t="str">
        <f>IF($A114="","",IF($AN114="",1,IFERROR(INDEX('Sublimits and Parts'!$C$98:$C$101,MATCH($AN114,'Sublimits and Parts'!$B$98:$B$101,0)),"?")))</f>
        <v/>
      </c>
      <c r="CA114" s="97" t="str">
        <f>IF($A114="","",IF($AO114="",1,IFERROR(INDEX('Sublimits and Parts'!$C$105:$C$109,MATCH($AO114,'Sublimits and Parts'!$B$105:$B$109,0)),"?")))</f>
        <v/>
      </c>
      <c r="CB114" s="98" t="str">
        <f t="shared" si="15"/>
        <v/>
      </c>
      <c r="CC114" s="98" t="str">
        <f t="shared" si="16"/>
        <v/>
      </c>
      <c r="CD114" s="101" t="str">
        <f>IF($A114="","",IF(OR($CB114="?",$CC114="?"),"?",MIN($CB114*$CC114,'Technical Premium'!$C$17)))</f>
        <v/>
      </c>
      <c r="CE114" s="100" t="str">
        <f t="shared" si="17"/>
        <v/>
      </c>
      <c r="CF114" s="100" t="str">
        <f>IF($A114="","",IFERROR(INDEX('Territory Factors'!$F$6:$F$56,MATCH($K114,'Territory Factors'!$B$6:$B$56,0)),"?"))</f>
        <v/>
      </c>
      <c r="CG114" s="98" t="str">
        <f>IF($A114="","",IFERROR(INDEX('Usage and Coverage'!$C$79:$C$84,MATCH($Y114,'Usage and Coverage'!$B$79:$B$84,0)),"?"))</f>
        <v/>
      </c>
      <c r="CH114" s="100" t="str">
        <f>IFERROR(IF(ISNUMBER($CD114),$CF114*$CG114*MIN($BG114*$BA114*$BC114*$BD114*$BH114*$BF114,'Technical Premium'!$C$17),""),"")</f>
        <v/>
      </c>
      <c r="CI114" s="100" t="str">
        <f t="shared" si="18"/>
        <v/>
      </c>
      <c r="CJ114" s="100" t="str">
        <f>IFERROR($CI114*(1+'Technical Premium'!$C$5)*(1+'Technical Premium'!$C$6),"")</f>
        <v/>
      </c>
      <c r="CK114" s="100" t="str">
        <f>IFERROR($CE114*INDEX('Territory Factors'!$G$6:$G$56,MATCH($K114,'Territory Factors'!$B$6:$B$56,0))*$AU114*$AV114,"")</f>
        <v/>
      </c>
      <c r="CL114" s="100" t="str">
        <f>IFERROR(($CJ114+$CK114)*(1+'Technical Premium'!$C$7),"")</f>
        <v/>
      </c>
      <c r="CM114" s="102" t="str">
        <f>IFERROR($CL114/'Technical Premium'!$C$13,"")</f>
        <v/>
      </c>
      <c r="CN114" s="103" t="str">
        <f t="shared" si="19"/>
        <v/>
      </c>
      <c r="CO114" s="102" t="str">
        <f t="shared" si="20"/>
        <v/>
      </c>
      <c r="CP114" s="103" t="str">
        <f t="shared" si="21"/>
        <v/>
      </c>
      <c r="CQ114" s="104" t="str">
        <f t="shared" si="22"/>
        <v/>
      </c>
      <c r="CR114" s="100" t="str">
        <f>IF(ISNUMBER($CM114),'Technical Premium'!$C$14+IF($J114&gt;=1000000,'Technical Premium'!$C$15,0),"")</f>
        <v/>
      </c>
      <c r="CS114" s="100" t="str">
        <f>IFERROR(($CO114+$CR114)*(INDEX('Territory Factors'!$K$6:$K$56,MATCH($K114,'Territory Factors'!$B$6:$B$56,0))+'Commission Structure'!$C$21),"")</f>
        <v/>
      </c>
      <c r="CT114" s="102" t="str">
        <f t="shared" si="23"/>
        <v/>
      </c>
      <c r="CU114" s="100" t="str">
        <f>IFERROR($CO114*('Commission Structure'!$C$6+'Commission Structure'!$C$7),"")</f>
        <v/>
      </c>
      <c r="CV114" s="100" t="str">
        <f>IFERROR($CO114*'Commission Structure'!$C$5-$CU114,"")</f>
        <v/>
      </c>
      <c r="CW114" s="100" t="str">
        <f>IFERROR($CO114*(1-'Commission Structure'!$C$5),"")</f>
        <v/>
      </c>
      <c r="CX114" s="105" t="str">
        <f>IF($A114="","",IF(OR($CB114="?",$CC114="?",NOT(ISNUMBER($AU114))),"CHECK INPUTS",IF(OR($J114&lt;'Technical Premium'!$C$18,LEFT(IFERROR(INDEX('Driver Factors'!$D$6:$D$15,MATCH($R114,'Driver Factors'!$B$6:$B$15,0)),""),7)="DECLINE",LEFT(IFERROR(INDEX('Driver Factors'!$D$28:$D$36,MATCH($T114,'Driver Factors'!$B$28:$B$36,0)),""),7)="DECLINE",LEFT(IFERROR(INDEX('Claims History'!$D$6:$D$15,MATCH($U114,'Claims History'!$B$6:$B$15,0)),""),7)="DECLINE",LEFT(IFERROR(INDEX('Usage and Coverage'!$E$6:$E$20,MATCH($N114,'Usage and Coverage'!$C$6:$C$20,0)),""),7)="DECLINE"),"DECLINE",IF(OR($CD114&gt;2.5,$CD114&gt;='Technical Premium'!$C$17,$J114&gt;='Technical Premium'!$C$16,N($AQ114)&lt;'Technical Premium'!$C$19,N($AQ114)&gt;'Technical Premium'!$C$20,LEFT(IFERROR(INDEX('Driver Factors'!$D$6:$D$15,MATCH($R114,'Driver Factors'!$B$6:$B$15,0)),""),5)="Refer",LEFT(IFERROR(INDEX('Driver Factors'!$D$28:$D$36,MATCH($T114,'Driver Factors'!$B$28:$B$36,0)),""),5)="Refer",LEFT(IFERROR(INDEX('Claims History'!$D$6:$D$15,MATCH($U114,'Claims History'!$B$6:$B$15,0)),""),5)="Refer",LEFT(IFERROR(INDEX('Usage and Coverage'!$E$6:$E$20,MATCH($N114,'Usage and Coverage'!$C$6:$C$20,0)),""),5)="Refer"),"REFER","AUTO-BIND"))))</f>
        <v/>
      </c>
      <c r="CY114" s="106" t="str">
        <f t="shared" si="24"/>
        <v/>
      </c>
      <c r="CZ114" s="97" t="str">
        <f>IF($CY114="","",IF($CY114&lt;'Technical Premium'!$C$19,"BEYOND AUTHORITY",IF($CY114&gt;0.005,"Above technical",IF($CY114&lt;-0.005,"BELOW technical","At technical"))))</f>
        <v/>
      </c>
      <c r="DA114" s="97" t="str">
        <f>IF($A114="","",IF($CX114="AUTO-BIND","",TRIM(IF($J114&lt;'Technical Premium'!$C$18,"Below programme minimum agreed value. ","")&amp;IF(N($AQ114)&lt;'Technical Premium'!$C$19,"DISCOUNT AUTHORITY BREACH. ","")&amp;IF(N($AQ114)&gt;'Technical Premium'!$C$20,"Load authority breach. ","")&amp;IF($J114&gt;='Technical Premium'!$C$16,"Agreed value at or above auto-bind limit. ","")&amp;IF(AND(ISNUMBER($CD114),$CD114&gt;='Technical Premium'!$C$17),"Composite factor at cap. ","")&amp;IF(AND(ISNUMBER($CD114),$CD114&gt;2.5),"Composite factor above 2.50. ","")&amp;IF(LEFT(IFERROR(INDEX('Driver Factors'!$D$6:$D$15,MATCH($R114,'Driver Factors'!$B$6:$B$15,0)),""),7)="DECLINE","DECLINE - driver age. ",IF(LEFT(IFERROR(INDEX('Driver Factors'!$D$6:$D$15,MATCH($R114,'Driver Factors'!$B$6:$B$15,0)),""),5)="Refer","Driver age band. ",""))&amp;IF(LEFT(IFERROR(INDEX('Driver Factors'!$D$28:$D$36,MATCH($T114,'Driver Factors'!$B$28:$B$36,0)),""),7)="DECLINE","DECLINE - MVR. ",IF(LEFT(IFERROR(INDEX('Driver Factors'!$D$28:$D$36,MATCH($T114,'Driver Factors'!$B$28:$B$36,0)),""),5)="Refer","MVR record. ",""))&amp;IF(LEFT(IFERROR(INDEX('Claims History'!$D$6:$D$15,MATCH($U114,'Claims History'!$B$6:$B$15,0)),""),7)="DECLINE","DECLINE - claims. ",IF(LEFT(IFERROR(INDEX('Claims History'!$D$6:$D$15,MATCH($U114,'Claims History'!$B$6:$B$15,0)),""),5)="Refer","Claims history. ",""))&amp;IF(LEFT(IFERROR(INDEX('Usage and Coverage'!$E$6:$E$20,MATCH($N114,'Usage and Coverage'!$C$6:$C$20,0)),""),7)="DECLINE","DECLINE - usage class. ",IF(LEFT(IFERROR(INDEX('Usage and Coverage'!$E$6:$E$20,MATCH($N114,'Usage and Coverage'!$C$6:$C$20,0)),""),5)="Refer","Usage class. ",""))&amp;IF($CX114="CHECK INPUTS","Incomplete inputs. ",""))))</f>
        <v/>
      </c>
      <c r="DB114" s="92"/>
      <c r="DC114" s="92"/>
      <c r="DD114" s="93"/>
      <c r="DE114" s="92"/>
      <c r="DF114" s="92"/>
      <c r="DG114" s="97" t="str">
        <f t="shared" si="25"/>
        <v/>
      </c>
      <c r="DH114" s="97" t="str">
        <f>IF($A114="","",IF(OR($CX114="REFER",$CX114="DECLINE"),COUNTIF($CX$5:$CX114,"REFER")+COUNTIF($CX$5:$CX114,"DECLINE"),""))</f>
        <v/>
      </c>
      <c r="DI114" s="92"/>
    </row>
    <row r="115" spans="1:113" x14ac:dyDescent="0.25">
      <c r="A115" s="92"/>
      <c r="B115" s="92"/>
      <c r="C115" s="93"/>
      <c r="D115" s="93"/>
      <c r="E115" s="94"/>
      <c r="F115" s="92"/>
      <c r="G115" s="92"/>
      <c r="H115" s="92"/>
      <c r="I115" s="92"/>
      <c r="J115" s="95"/>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6"/>
      <c r="AR115" s="97" t="str">
        <f t="shared" si="13"/>
        <v/>
      </c>
      <c r="AS115" s="97" t="str">
        <f>IF($A115="","",IF($AP115&lt;&gt;"",$AP115,IFERROR(INDEX('Cat Zone by ZIP'!$D$6:$D$856,MATCH($AR115,'Cat Zone by ZIP'!$B$6:$B$856,0)),IFERROR(INDEX('Cat Zone by ZIP'!$C$860:$C$910,MATCH($K115,'Cat Zone by ZIP'!$B$860:$B$910,0)),"NOT FOUND"))))</f>
        <v/>
      </c>
      <c r="AT115" s="97" t="str">
        <f>IF($A115="","",IF($AP115&lt;&gt;"","Override",IF(ISNUMBER(MATCH($AR115,'Cat Zone by ZIP'!$B$6:$B$856,0)),"ZIP-3","State default")))</f>
        <v/>
      </c>
      <c r="AU115" s="98" t="str">
        <f>IF($A115="","",IFERROR(INDEX('Natural Catastrophe'!$D$6:$D$17,MATCH($AS115,'Natural Catastrophe'!$B$6:$B$17,0)),"?"))</f>
        <v/>
      </c>
      <c r="AV115" s="98" t="str">
        <f>IF($A115="","",IFERROR(INDEX('Natural Catastrophe'!$C$21:$C$26,MATCH($AA115,'Natural Catastrophe'!$B$21:$B$26,0)),"?"))</f>
        <v/>
      </c>
      <c r="AW115" s="97" t="str">
        <f>IF($A115="","",IFERROR(INDEX('Base Rates'!$C$4:$I$4,MATCH(MAX($J115,'Technical Premium'!$C$18),'Base Rates'!$C$3:$I$3,1)),"?"))</f>
        <v/>
      </c>
      <c r="AX115" s="99" t="str">
        <f>IF($A115="","",IFERROR(INDEX('Base Rates'!$C$5:$I$16,MATCH($I115,'Base Rates'!$B$5:$B$16,0),MATCH(MAX($J115,'Technical Premium'!$C$18),'Base Rates'!$C$3:$I$3,1)),"?"))</f>
        <v/>
      </c>
      <c r="AY115" s="100" t="str">
        <f t="shared" si="14"/>
        <v/>
      </c>
      <c r="AZ115" s="97" t="str">
        <f>IF($A115="","",IFERROR(INDEX('Make Factors'!$G$5:$G$69,MATCH($F115,'Make Factors'!$B$5:$B$69,0)),"?"))</f>
        <v/>
      </c>
      <c r="BA115" s="97" t="str">
        <f>IF($A115="","",IFERROR(INDEX('Driver Factors'!$C$6:$C$15,MATCH($R115,'Driver Factors'!$B$6:$B$15,0)),"?"))</f>
        <v/>
      </c>
      <c r="BB115" s="97" t="str">
        <f>IF($A115="","",IFERROR(INDEX('Driver Factors'!$C$19:$C$24,MATCH($S115,'Driver Factors'!$B$19:$B$24,0)),"?"))</f>
        <v/>
      </c>
      <c r="BC115" s="97" t="str">
        <f>IF($A115="","",IFERROR(INDEX('Driver Factors'!$C$28:$C$36,MATCH($T115,'Driver Factors'!$B$28:$B$36,0)),"?"))</f>
        <v/>
      </c>
      <c r="BD115" s="97" t="str">
        <f>IF($A115="","",IFERROR(INDEX('Claims History'!$C$6:$C$15,MATCH($U115,'Claims History'!$B$6:$B$15,0)),"?"))</f>
        <v/>
      </c>
      <c r="BE115" s="97" t="str">
        <f>IF($A115="","",IFERROR(INDEX('Territory Factors'!$E$6:$E$56,MATCH($K115,'Territory Factors'!$B$6:$B$56,0)),"?"))</f>
        <v/>
      </c>
      <c r="BF115" s="97" t="str">
        <f>IF($A115="","",IFERROR(INDEX('City Accident Ratings'!$G$6:$G$54,MATCH($Z115,'City Accident Ratings'!$B$6:$B$54,0)),"?"))</f>
        <v/>
      </c>
      <c r="BG115" s="97" t="str">
        <f>IF($A115="","",IFERROR(INDEX('Usage and Coverage'!$D$6:$D$20,MATCH($N115,'Usage and Coverage'!$C$6:$C$20,0)),"?"))</f>
        <v/>
      </c>
      <c r="BH115" s="97" t="str">
        <f>IF($A115="","",IFERROR(INDEX('Usage and Coverage'!$C$24:$C$30,MATCH($O115,'Usage and Coverage'!$B$24:$B$30,0)),"?"))</f>
        <v/>
      </c>
      <c r="BI115" s="97" t="str">
        <f>IF($A115="","",IFERROR(INDEX('Usage and Coverage'!$C$34:$C$40,MATCH($P115,'Usage and Coverage'!$B$34:$B$40,0)),"?"))</f>
        <v/>
      </c>
      <c r="BJ115" s="97" t="str">
        <f>IF($A115="","",IFERROR(INDEX('Usage and Coverage'!$C$44:$C$49,MATCH($Q115,'Usage and Coverage'!$B$44:$B$49,0)),"?"))</f>
        <v/>
      </c>
      <c r="BK115" s="97" t="str">
        <f>IF($A115="","",IFERROR(INDEX(Deductibles!$C$6:$I$15,MATCH($W115,Deductibles!$B$6:$B$15,0),MATCH(MAX($J115,'Technical Premium'!$C$18),'Base Rates'!$C$3:$I$3,1)),"?"))</f>
        <v/>
      </c>
      <c r="BL115" s="97" t="str">
        <f>IF($A115="","",IFERROR(INDEX('Usage and Coverage'!$C$63:$C$66,MATCH($X115,'Usage and Coverage'!$B$63:$B$66,0)),"?"))</f>
        <v/>
      </c>
      <c r="BM115" s="97" t="str">
        <f>IF($A115="","",IFERROR(INDEX('Usage and Coverage'!$C$70:$C$75,MATCH($V115,'Usage and Coverage'!$B$70:$B$75,0)),"?"))</f>
        <v/>
      </c>
      <c r="BN115" s="97" t="str">
        <f>IF($A115="","",IF($AB115="",1,IFERROR(INDEX(Deductibles!$C$48:$C$51,MATCH($AB115,Deductibles!$B$48:$B$51,0)),"?")))</f>
        <v/>
      </c>
      <c r="BO115" s="97" t="str">
        <f>IF($A115="","",IF($AC115="",1,IFERROR(INDEX(Deductibles!$C$55:$C$57,MATCH($AC115,Deductibles!$B$55:$B$57,0)),"?")))</f>
        <v/>
      </c>
      <c r="BP115" s="97" t="str">
        <f>IF($A115="","",IF($AD115="",1,IFERROR(INDEX(Deductibles!$C$61:$C$63,MATCH($AD115,Deductibles!$B$61:$B$63,0)),"?")))</f>
        <v/>
      </c>
      <c r="BQ115" s="97" t="str">
        <f>IF($A115="","",IF($AE115="",1,IFERROR(INDEX(Deductibles!$C$67:$C$69,MATCH($AE115,Deductibles!$B$67:$B$69,0)),"?")))</f>
        <v/>
      </c>
      <c r="BR115" s="97" t="str">
        <f>IF($A115="","",IF($AF115="",1,IFERROR(INDEX(Deductibles!$C$73:$C$74,MATCH($AF115,Deductibles!$B$73:$B$74,0)),"?")))</f>
        <v/>
      </c>
      <c r="BS115" s="97" t="str">
        <f>IF($A115="","",IF($AG115="",1,IFERROR(INDEX('Sublimits and Parts'!$C$49:$C$52,MATCH($AG115,'Sublimits and Parts'!$B$49:$B$52,0)),"?")))</f>
        <v/>
      </c>
      <c r="BT115" s="97" t="str">
        <f>IF($A115="","",IF($AH115="",1,IFERROR(INDEX('Sublimits and Parts'!$C$56:$C$60,MATCH($AH115,'Sublimits and Parts'!$B$56:$B$60,0)),"?")))</f>
        <v/>
      </c>
      <c r="BU115" s="97" t="str">
        <f>IF($A115="","",IF($AI115="",1,IFERROR(INDEX('Sublimits and Parts'!$C$64:$C$67,MATCH($AI115,'Sublimits and Parts'!$B$64:$B$67,0)),"?")))</f>
        <v/>
      </c>
      <c r="BV115" s="97" t="str">
        <f>IF($A115="","",IF($AJ115="",1,IFERROR(INDEX('Sublimits and Parts'!$C$71:$C$74,MATCH($AJ115,'Sublimits and Parts'!$B$71:$B$74,0)),"?")))</f>
        <v/>
      </c>
      <c r="BW115" s="97" t="str">
        <f>IF($A115="","",IF($AK115="",1,IFERROR(INDEX('Sublimits and Parts'!$C$78:$C$80,MATCH($AK115,'Sublimits and Parts'!$B$78:$B$80,0)),"?")))</f>
        <v/>
      </c>
      <c r="BX115" s="97" t="str">
        <f>IF($A115="","",IF($AL115="",1,IFERROR(INDEX('Sublimits and Parts'!$C$84:$C$87,MATCH($AL115,'Sublimits and Parts'!$B$84:$B$87,0)),"?")))</f>
        <v/>
      </c>
      <c r="BY115" s="97" t="str">
        <f>IF($A115="","",IF($AM115="",1,IFERROR(INDEX('Sublimits and Parts'!$C$91:$C$94,MATCH($AM115,'Sublimits and Parts'!$B$91:$B$94,0)),"?")))</f>
        <v/>
      </c>
      <c r="BZ115" s="97" t="str">
        <f>IF($A115="","",IF($AN115="",1,IFERROR(INDEX('Sublimits and Parts'!$C$98:$C$101,MATCH($AN115,'Sublimits and Parts'!$B$98:$B$101,0)),"?")))</f>
        <v/>
      </c>
      <c r="CA115" s="97" t="str">
        <f>IF($A115="","",IF($AO115="",1,IFERROR(INDEX('Sublimits and Parts'!$C$105:$C$109,MATCH($AO115,'Sublimits and Parts'!$B$105:$B$109,0)),"?")))</f>
        <v/>
      </c>
      <c r="CB115" s="98" t="str">
        <f t="shared" si="15"/>
        <v/>
      </c>
      <c r="CC115" s="98" t="str">
        <f t="shared" si="16"/>
        <v/>
      </c>
      <c r="CD115" s="101" t="str">
        <f>IF($A115="","",IF(OR($CB115="?",$CC115="?"),"?",MIN($CB115*$CC115,'Technical Premium'!$C$17)))</f>
        <v/>
      </c>
      <c r="CE115" s="100" t="str">
        <f t="shared" si="17"/>
        <v/>
      </c>
      <c r="CF115" s="100" t="str">
        <f>IF($A115="","",IFERROR(INDEX('Territory Factors'!$F$6:$F$56,MATCH($K115,'Territory Factors'!$B$6:$B$56,0)),"?"))</f>
        <v/>
      </c>
      <c r="CG115" s="98" t="str">
        <f>IF($A115="","",IFERROR(INDEX('Usage and Coverage'!$C$79:$C$84,MATCH($Y115,'Usage and Coverage'!$B$79:$B$84,0)),"?"))</f>
        <v/>
      </c>
      <c r="CH115" s="100" t="str">
        <f>IFERROR(IF(ISNUMBER($CD115),$CF115*$CG115*MIN($BG115*$BA115*$BC115*$BD115*$BH115*$BF115,'Technical Premium'!$C$17),""),"")</f>
        <v/>
      </c>
      <c r="CI115" s="100" t="str">
        <f t="shared" si="18"/>
        <v/>
      </c>
      <c r="CJ115" s="100" t="str">
        <f>IFERROR($CI115*(1+'Technical Premium'!$C$5)*(1+'Technical Premium'!$C$6),"")</f>
        <v/>
      </c>
      <c r="CK115" s="100" t="str">
        <f>IFERROR($CE115*INDEX('Territory Factors'!$G$6:$G$56,MATCH($K115,'Territory Factors'!$B$6:$B$56,0))*$AU115*$AV115,"")</f>
        <v/>
      </c>
      <c r="CL115" s="100" t="str">
        <f>IFERROR(($CJ115+$CK115)*(1+'Technical Premium'!$C$7),"")</f>
        <v/>
      </c>
      <c r="CM115" s="102" t="str">
        <f>IFERROR($CL115/'Technical Premium'!$C$13,"")</f>
        <v/>
      </c>
      <c r="CN115" s="103" t="str">
        <f t="shared" si="19"/>
        <v/>
      </c>
      <c r="CO115" s="102" t="str">
        <f t="shared" si="20"/>
        <v/>
      </c>
      <c r="CP115" s="103" t="str">
        <f t="shared" si="21"/>
        <v/>
      </c>
      <c r="CQ115" s="104" t="str">
        <f t="shared" si="22"/>
        <v/>
      </c>
      <c r="CR115" s="100" t="str">
        <f>IF(ISNUMBER($CM115),'Technical Premium'!$C$14+IF($J115&gt;=1000000,'Technical Premium'!$C$15,0),"")</f>
        <v/>
      </c>
      <c r="CS115" s="100" t="str">
        <f>IFERROR(($CO115+$CR115)*(INDEX('Territory Factors'!$K$6:$K$56,MATCH($K115,'Territory Factors'!$B$6:$B$56,0))+'Commission Structure'!$C$21),"")</f>
        <v/>
      </c>
      <c r="CT115" s="102" t="str">
        <f t="shared" si="23"/>
        <v/>
      </c>
      <c r="CU115" s="100" t="str">
        <f>IFERROR($CO115*('Commission Structure'!$C$6+'Commission Structure'!$C$7),"")</f>
        <v/>
      </c>
      <c r="CV115" s="100" t="str">
        <f>IFERROR($CO115*'Commission Structure'!$C$5-$CU115,"")</f>
        <v/>
      </c>
      <c r="CW115" s="100" t="str">
        <f>IFERROR($CO115*(1-'Commission Structure'!$C$5),"")</f>
        <v/>
      </c>
      <c r="CX115" s="105" t="str">
        <f>IF($A115="","",IF(OR($CB115="?",$CC115="?",NOT(ISNUMBER($AU115))),"CHECK INPUTS",IF(OR($J115&lt;'Technical Premium'!$C$18,LEFT(IFERROR(INDEX('Driver Factors'!$D$6:$D$15,MATCH($R115,'Driver Factors'!$B$6:$B$15,0)),""),7)="DECLINE",LEFT(IFERROR(INDEX('Driver Factors'!$D$28:$D$36,MATCH($T115,'Driver Factors'!$B$28:$B$36,0)),""),7)="DECLINE",LEFT(IFERROR(INDEX('Claims History'!$D$6:$D$15,MATCH($U115,'Claims History'!$B$6:$B$15,0)),""),7)="DECLINE",LEFT(IFERROR(INDEX('Usage and Coverage'!$E$6:$E$20,MATCH($N115,'Usage and Coverage'!$C$6:$C$20,0)),""),7)="DECLINE"),"DECLINE",IF(OR($CD115&gt;2.5,$CD115&gt;='Technical Premium'!$C$17,$J115&gt;='Technical Premium'!$C$16,N($AQ115)&lt;'Technical Premium'!$C$19,N($AQ115)&gt;'Technical Premium'!$C$20,LEFT(IFERROR(INDEX('Driver Factors'!$D$6:$D$15,MATCH($R115,'Driver Factors'!$B$6:$B$15,0)),""),5)="Refer",LEFT(IFERROR(INDEX('Driver Factors'!$D$28:$D$36,MATCH($T115,'Driver Factors'!$B$28:$B$36,0)),""),5)="Refer",LEFT(IFERROR(INDEX('Claims History'!$D$6:$D$15,MATCH($U115,'Claims History'!$B$6:$B$15,0)),""),5)="Refer",LEFT(IFERROR(INDEX('Usage and Coverage'!$E$6:$E$20,MATCH($N115,'Usage and Coverage'!$C$6:$C$20,0)),""),5)="Refer"),"REFER","AUTO-BIND"))))</f>
        <v/>
      </c>
      <c r="CY115" s="106" t="str">
        <f t="shared" si="24"/>
        <v/>
      </c>
      <c r="CZ115" s="97" t="str">
        <f>IF($CY115="","",IF($CY115&lt;'Technical Premium'!$C$19,"BEYOND AUTHORITY",IF($CY115&gt;0.005,"Above technical",IF($CY115&lt;-0.005,"BELOW technical","At technical"))))</f>
        <v/>
      </c>
      <c r="DA115" s="97" t="str">
        <f>IF($A115="","",IF($CX115="AUTO-BIND","",TRIM(IF($J115&lt;'Technical Premium'!$C$18,"Below programme minimum agreed value. ","")&amp;IF(N($AQ115)&lt;'Technical Premium'!$C$19,"DISCOUNT AUTHORITY BREACH. ","")&amp;IF(N($AQ115)&gt;'Technical Premium'!$C$20,"Load authority breach. ","")&amp;IF($J115&gt;='Technical Premium'!$C$16,"Agreed value at or above auto-bind limit. ","")&amp;IF(AND(ISNUMBER($CD115),$CD115&gt;='Technical Premium'!$C$17),"Composite factor at cap. ","")&amp;IF(AND(ISNUMBER($CD115),$CD115&gt;2.5),"Composite factor above 2.50. ","")&amp;IF(LEFT(IFERROR(INDEX('Driver Factors'!$D$6:$D$15,MATCH($R115,'Driver Factors'!$B$6:$B$15,0)),""),7)="DECLINE","DECLINE - driver age. ",IF(LEFT(IFERROR(INDEX('Driver Factors'!$D$6:$D$15,MATCH($R115,'Driver Factors'!$B$6:$B$15,0)),""),5)="Refer","Driver age band. ",""))&amp;IF(LEFT(IFERROR(INDEX('Driver Factors'!$D$28:$D$36,MATCH($T115,'Driver Factors'!$B$28:$B$36,0)),""),7)="DECLINE","DECLINE - MVR. ",IF(LEFT(IFERROR(INDEX('Driver Factors'!$D$28:$D$36,MATCH($T115,'Driver Factors'!$B$28:$B$36,0)),""),5)="Refer","MVR record. ",""))&amp;IF(LEFT(IFERROR(INDEX('Claims History'!$D$6:$D$15,MATCH($U115,'Claims History'!$B$6:$B$15,0)),""),7)="DECLINE","DECLINE - claims. ",IF(LEFT(IFERROR(INDEX('Claims History'!$D$6:$D$15,MATCH($U115,'Claims History'!$B$6:$B$15,0)),""),5)="Refer","Claims history. ",""))&amp;IF(LEFT(IFERROR(INDEX('Usage and Coverage'!$E$6:$E$20,MATCH($N115,'Usage and Coverage'!$C$6:$C$20,0)),""),7)="DECLINE","DECLINE - usage class. ",IF(LEFT(IFERROR(INDEX('Usage and Coverage'!$E$6:$E$20,MATCH($N115,'Usage and Coverage'!$C$6:$C$20,0)),""),5)="Refer","Usage class. ",""))&amp;IF($CX115="CHECK INPUTS","Incomplete inputs. ",""))))</f>
        <v/>
      </c>
      <c r="DB115" s="92"/>
      <c r="DC115" s="92"/>
      <c r="DD115" s="93"/>
      <c r="DE115" s="92"/>
      <c r="DF115" s="92"/>
      <c r="DG115" s="97" t="str">
        <f t="shared" si="25"/>
        <v/>
      </c>
      <c r="DH115" s="97" t="str">
        <f>IF($A115="","",IF(OR($CX115="REFER",$CX115="DECLINE"),COUNTIF($CX$5:$CX115,"REFER")+COUNTIF($CX$5:$CX115,"DECLINE"),""))</f>
        <v/>
      </c>
      <c r="DI115" s="92"/>
    </row>
    <row r="116" spans="1:113" x14ac:dyDescent="0.25">
      <c r="A116" s="92"/>
      <c r="B116" s="92"/>
      <c r="C116" s="93"/>
      <c r="D116" s="93"/>
      <c r="E116" s="94"/>
      <c r="F116" s="92"/>
      <c r="G116" s="92"/>
      <c r="H116" s="92"/>
      <c r="I116" s="92"/>
      <c r="J116" s="95"/>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6"/>
      <c r="AR116" s="97" t="str">
        <f t="shared" si="13"/>
        <v/>
      </c>
      <c r="AS116" s="97" t="str">
        <f>IF($A116="","",IF($AP116&lt;&gt;"",$AP116,IFERROR(INDEX('Cat Zone by ZIP'!$D$6:$D$856,MATCH($AR116,'Cat Zone by ZIP'!$B$6:$B$856,0)),IFERROR(INDEX('Cat Zone by ZIP'!$C$860:$C$910,MATCH($K116,'Cat Zone by ZIP'!$B$860:$B$910,0)),"NOT FOUND"))))</f>
        <v/>
      </c>
      <c r="AT116" s="97" t="str">
        <f>IF($A116="","",IF($AP116&lt;&gt;"","Override",IF(ISNUMBER(MATCH($AR116,'Cat Zone by ZIP'!$B$6:$B$856,0)),"ZIP-3","State default")))</f>
        <v/>
      </c>
      <c r="AU116" s="98" t="str">
        <f>IF($A116="","",IFERROR(INDEX('Natural Catastrophe'!$D$6:$D$17,MATCH($AS116,'Natural Catastrophe'!$B$6:$B$17,0)),"?"))</f>
        <v/>
      </c>
      <c r="AV116" s="98" t="str">
        <f>IF($A116="","",IFERROR(INDEX('Natural Catastrophe'!$C$21:$C$26,MATCH($AA116,'Natural Catastrophe'!$B$21:$B$26,0)),"?"))</f>
        <v/>
      </c>
      <c r="AW116" s="97" t="str">
        <f>IF($A116="","",IFERROR(INDEX('Base Rates'!$C$4:$I$4,MATCH(MAX($J116,'Technical Premium'!$C$18),'Base Rates'!$C$3:$I$3,1)),"?"))</f>
        <v/>
      </c>
      <c r="AX116" s="99" t="str">
        <f>IF($A116="","",IFERROR(INDEX('Base Rates'!$C$5:$I$16,MATCH($I116,'Base Rates'!$B$5:$B$16,0),MATCH(MAX($J116,'Technical Premium'!$C$18),'Base Rates'!$C$3:$I$3,1)),"?"))</f>
        <v/>
      </c>
      <c r="AY116" s="100" t="str">
        <f t="shared" si="14"/>
        <v/>
      </c>
      <c r="AZ116" s="97" t="str">
        <f>IF($A116="","",IFERROR(INDEX('Make Factors'!$G$5:$G$69,MATCH($F116,'Make Factors'!$B$5:$B$69,0)),"?"))</f>
        <v/>
      </c>
      <c r="BA116" s="97" t="str">
        <f>IF($A116="","",IFERROR(INDEX('Driver Factors'!$C$6:$C$15,MATCH($R116,'Driver Factors'!$B$6:$B$15,0)),"?"))</f>
        <v/>
      </c>
      <c r="BB116" s="97" t="str">
        <f>IF($A116="","",IFERROR(INDEX('Driver Factors'!$C$19:$C$24,MATCH($S116,'Driver Factors'!$B$19:$B$24,0)),"?"))</f>
        <v/>
      </c>
      <c r="BC116" s="97" t="str">
        <f>IF($A116="","",IFERROR(INDEX('Driver Factors'!$C$28:$C$36,MATCH($T116,'Driver Factors'!$B$28:$B$36,0)),"?"))</f>
        <v/>
      </c>
      <c r="BD116" s="97" t="str">
        <f>IF($A116="","",IFERROR(INDEX('Claims History'!$C$6:$C$15,MATCH($U116,'Claims History'!$B$6:$B$15,0)),"?"))</f>
        <v/>
      </c>
      <c r="BE116" s="97" t="str">
        <f>IF($A116="","",IFERROR(INDEX('Territory Factors'!$E$6:$E$56,MATCH($K116,'Territory Factors'!$B$6:$B$56,0)),"?"))</f>
        <v/>
      </c>
      <c r="BF116" s="97" t="str">
        <f>IF($A116="","",IFERROR(INDEX('City Accident Ratings'!$G$6:$G$54,MATCH($Z116,'City Accident Ratings'!$B$6:$B$54,0)),"?"))</f>
        <v/>
      </c>
      <c r="BG116" s="97" t="str">
        <f>IF($A116="","",IFERROR(INDEX('Usage and Coverage'!$D$6:$D$20,MATCH($N116,'Usage and Coverage'!$C$6:$C$20,0)),"?"))</f>
        <v/>
      </c>
      <c r="BH116" s="97" t="str">
        <f>IF($A116="","",IFERROR(INDEX('Usage and Coverage'!$C$24:$C$30,MATCH($O116,'Usage and Coverage'!$B$24:$B$30,0)),"?"))</f>
        <v/>
      </c>
      <c r="BI116" s="97" t="str">
        <f>IF($A116="","",IFERROR(INDEX('Usage and Coverage'!$C$34:$C$40,MATCH($P116,'Usage and Coverage'!$B$34:$B$40,0)),"?"))</f>
        <v/>
      </c>
      <c r="BJ116" s="97" t="str">
        <f>IF($A116="","",IFERROR(INDEX('Usage and Coverage'!$C$44:$C$49,MATCH($Q116,'Usage and Coverage'!$B$44:$B$49,0)),"?"))</f>
        <v/>
      </c>
      <c r="BK116" s="97" t="str">
        <f>IF($A116="","",IFERROR(INDEX(Deductibles!$C$6:$I$15,MATCH($W116,Deductibles!$B$6:$B$15,0),MATCH(MAX($J116,'Technical Premium'!$C$18),'Base Rates'!$C$3:$I$3,1)),"?"))</f>
        <v/>
      </c>
      <c r="BL116" s="97" t="str">
        <f>IF($A116="","",IFERROR(INDEX('Usage and Coverage'!$C$63:$C$66,MATCH($X116,'Usage and Coverage'!$B$63:$B$66,0)),"?"))</f>
        <v/>
      </c>
      <c r="BM116" s="97" t="str">
        <f>IF($A116="","",IFERROR(INDEX('Usage and Coverage'!$C$70:$C$75,MATCH($V116,'Usage and Coverage'!$B$70:$B$75,0)),"?"))</f>
        <v/>
      </c>
      <c r="BN116" s="97" t="str">
        <f>IF($A116="","",IF($AB116="",1,IFERROR(INDEX(Deductibles!$C$48:$C$51,MATCH($AB116,Deductibles!$B$48:$B$51,0)),"?")))</f>
        <v/>
      </c>
      <c r="BO116" s="97" t="str">
        <f>IF($A116="","",IF($AC116="",1,IFERROR(INDEX(Deductibles!$C$55:$C$57,MATCH($AC116,Deductibles!$B$55:$B$57,0)),"?")))</f>
        <v/>
      </c>
      <c r="BP116" s="97" t="str">
        <f>IF($A116="","",IF($AD116="",1,IFERROR(INDEX(Deductibles!$C$61:$C$63,MATCH($AD116,Deductibles!$B$61:$B$63,0)),"?")))</f>
        <v/>
      </c>
      <c r="BQ116" s="97" t="str">
        <f>IF($A116="","",IF($AE116="",1,IFERROR(INDEX(Deductibles!$C$67:$C$69,MATCH($AE116,Deductibles!$B$67:$B$69,0)),"?")))</f>
        <v/>
      </c>
      <c r="BR116" s="97" t="str">
        <f>IF($A116="","",IF($AF116="",1,IFERROR(INDEX(Deductibles!$C$73:$C$74,MATCH($AF116,Deductibles!$B$73:$B$74,0)),"?")))</f>
        <v/>
      </c>
      <c r="BS116" s="97" t="str">
        <f>IF($A116="","",IF($AG116="",1,IFERROR(INDEX('Sublimits and Parts'!$C$49:$C$52,MATCH($AG116,'Sublimits and Parts'!$B$49:$B$52,0)),"?")))</f>
        <v/>
      </c>
      <c r="BT116" s="97" t="str">
        <f>IF($A116="","",IF($AH116="",1,IFERROR(INDEX('Sublimits and Parts'!$C$56:$C$60,MATCH($AH116,'Sublimits and Parts'!$B$56:$B$60,0)),"?")))</f>
        <v/>
      </c>
      <c r="BU116" s="97" t="str">
        <f>IF($A116="","",IF($AI116="",1,IFERROR(INDEX('Sublimits and Parts'!$C$64:$C$67,MATCH($AI116,'Sublimits and Parts'!$B$64:$B$67,0)),"?")))</f>
        <v/>
      </c>
      <c r="BV116" s="97" t="str">
        <f>IF($A116="","",IF($AJ116="",1,IFERROR(INDEX('Sublimits and Parts'!$C$71:$C$74,MATCH($AJ116,'Sublimits and Parts'!$B$71:$B$74,0)),"?")))</f>
        <v/>
      </c>
      <c r="BW116" s="97" t="str">
        <f>IF($A116="","",IF($AK116="",1,IFERROR(INDEX('Sublimits and Parts'!$C$78:$C$80,MATCH($AK116,'Sublimits and Parts'!$B$78:$B$80,0)),"?")))</f>
        <v/>
      </c>
      <c r="BX116" s="97" t="str">
        <f>IF($A116="","",IF($AL116="",1,IFERROR(INDEX('Sublimits and Parts'!$C$84:$C$87,MATCH($AL116,'Sublimits and Parts'!$B$84:$B$87,0)),"?")))</f>
        <v/>
      </c>
      <c r="BY116" s="97" t="str">
        <f>IF($A116="","",IF($AM116="",1,IFERROR(INDEX('Sublimits and Parts'!$C$91:$C$94,MATCH($AM116,'Sublimits and Parts'!$B$91:$B$94,0)),"?")))</f>
        <v/>
      </c>
      <c r="BZ116" s="97" t="str">
        <f>IF($A116="","",IF($AN116="",1,IFERROR(INDEX('Sublimits and Parts'!$C$98:$C$101,MATCH($AN116,'Sublimits and Parts'!$B$98:$B$101,0)),"?")))</f>
        <v/>
      </c>
      <c r="CA116" s="97" t="str">
        <f>IF($A116="","",IF($AO116="",1,IFERROR(INDEX('Sublimits and Parts'!$C$105:$C$109,MATCH($AO116,'Sublimits and Parts'!$B$105:$B$109,0)),"?")))</f>
        <v/>
      </c>
      <c r="CB116" s="98" t="str">
        <f t="shared" si="15"/>
        <v/>
      </c>
      <c r="CC116" s="98" t="str">
        <f t="shared" si="16"/>
        <v/>
      </c>
      <c r="CD116" s="101" t="str">
        <f>IF($A116="","",IF(OR($CB116="?",$CC116="?"),"?",MIN($CB116*$CC116,'Technical Premium'!$C$17)))</f>
        <v/>
      </c>
      <c r="CE116" s="100" t="str">
        <f t="shared" si="17"/>
        <v/>
      </c>
      <c r="CF116" s="100" t="str">
        <f>IF($A116="","",IFERROR(INDEX('Territory Factors'!$F$6:$F$56,MATCH($K116,'Territory Factors'!$B$6:$B$56,0)),"?"))</f>
        <v/>
      </c>
      <c r="CG116" s="98" t="str">
        <f>IF($A116="","",IFERROR(INDEX('Usage and Coverage'!$C$79:$C$84,MATCH($Y116,'Usage and Coverage'!$B$79:$B$84,0)),"?"))</f>
        <v/>
      </c>
      <c r="CH116" s="100" t="str">
        <f>IFERROR(IF(ISNUMBER($CD116),$CF116*$CG116*MIN($BG116*$BA116*$BC116*$BD116*$BH116*$BF116,'Technical Premium'!$C$17),""),"")</f>
        <v/>
      </c>
      <c r="CI116" s="100" t="str">
        <f t="shared" si="18"/>
        <v/>
      </c>
      <c r="CJ116" s="100" t="str">
        <f>IFERROR($CI116*(1+'Technical Premium'!$C$5)*(1+'Technical Premium'!$C$6),"")</f>
        <v/>
      </c>
      <c r="CK116" s="100" t="str">
        <f>IFERROR($CE116*INDEX('Territory Factors'!$G$6:$G$56,MATCH($K116,'Territory Factors'!$B$6:$B$56,0))*$AU116*$AV116,"")</f>
        <v/>
      </c>
      <c r="CL116" s="100" t="str">
        <f>IFERROR(($CJ116+$CK116)*(1+'Technical Premium'!$C$7),"")</f>
        <v/>
      </c>
      <c r="CM116" s="102" t="str">
        <f>IFERROR($CL116/'Technical Premium'!$C$13,"")</f>
        <v/>
      </c>
      <c r="CN116" s="103" t="str">
        <f t="shared" si="19"/>
        <v/>
      </c>
      <c r="CO116" s="102" t="str">
        <f t="shared" si="20"/>
        <v/>
      </c>
      <c r="CP116" s="103" t="str">
        <f t="shared" si="21"/>
        <v/>
      </c>
      <c r="CQ116" s="104" t="str">
        <f t="shared" si="22"/>
        <v/>
      </c>
      <c r="CR116" s="100" t="str">
        <f>IF(ISNUMBER($CM116),'Technical Premium'!$C$14+IF($J116&gt;=1000000,'Technical Premium'!$C$15,0),"")</f>
        <v/>
      </c>
      <c r="CS116" s="100" t="str">
        <f>IFERROR(($CO116+$CR116)*(INDEX('Territory Factors'!$K$6:$K$56,MATCH($K116,'Territory Factors'!$B$6:$B$56,0))+'Commission Structure'!$C$21),"")</f>
        <v/>
      </c>
      <c r="CT116" s="102" t="str">
        <f t="shared" si="23"/>
        <v/>
      </c>
      <c r="CU116" s="100" t="str">
        <f>IFERROR($CO116*('Commission Structure'!$C$6+'Commission Structure'!$C$7),"")</f>
        <v/>
      </c>
      <c r="CV116" s="100" t="str">
        <f>IFERROR($CO116*'Commission Structure'!$C$5-$CU116,"")</f>
        <v/>
      </c>
      <c r="CW116" s="100" t="str">
        <f>IFERROR($CO116*(1-'Commission Structure'!$C$5),"")</f>
        <v/>
      </c>
      <c r="CX116" s="105" t="str">
        <f>IF($A116="","",IF(OR($CB116="?",$CC116="?",NOT(ISNUMBER($AU116))),"CHECK INPUTS",IF(OR($J116&lt;'Technical Premium'!$C$18,LEFT(IFERROR(INDEX('Driver Factors'!$D$6:$D$15,MATCH($R116,'Driver Factors'!$B$6:$B$15,0)),""),7)="DECLINE",LEFT(IFERROR(INDEX('Driver Factors'!$D$28:$D$36,MATCH($T116,'Driver Factors'!$B$28:$B$36,0)),""),7)="DECLINE",LEFT(IFERROR(INDEX('Claims History'!$D$6:$D$15,MATCH($U116,'Claims History'!$B$6:$B$15,0)),""),7)="DECLINE",LEFT(IFERROR(INDEX('Usage and Coverage'!$E$6:$E$20,MATCH($N116,'Usage and Coverage'!$C$6:$C$20,0)),""),7)="DECLINE"),"DECLINE",IF(OR($CD116&gt;2.5,$CD116&gt;='Technical Premium'!$C$17,$J116&gt;='Technical Premium'!$C$16,N($AQ116)&lt;'Technical Premium'!$C$19,N($AQ116)&gt;'Technical Premium'!$C$20,LEFT(IFERROR(INDEX('Driver Factors'!$D$6:$D$15,MATCH($R116,'Driver Factors'!$B$6:$B$15,0)),""),5)="Refer",LEFT(IFERROR(INDEX('Driver Factors'!$D$28:$D$36,MATCH($T116,'Driver Factors'!$B$28:$B$36,0)),""),5)="Refer",LEFT(IFERROR(INDEX('Claims History'!$D$6:$D$15,MATCH($U116,'Claims History'!$B$6:$B$15,0)),""),5)="Refer",LEFT(IFERROR(INDEX('Usage and Coverage'!$E$6:$E$20,MATCH($N116,'Usage and Coverage'!$C$6:$C$20,0)),""),5)="Refer"),"REFER","AUTO-BIND"))))</f>
        <v/>
      </c>
      <c r="CY116" s="106" t="str">
        <f t="shared" si="24"/>
        <v/>
      </c>
      <c r="CZ116" s="97" t="str">
        <f>IF($CY116="","",IF($CY116&lt;'Technical Premium'!$C$19,"BEYOND AUTHORITY",IF($CY116&gt;0.005,"Above technical",IF($CY116&lt;-0.005,"BELOW technical","At technical"))))</f>
        <v/>
      </c>
      <c r="DA116" s="97" t="str">
        <f>IF($A116="","",IF($CX116="AUTO-BIND","",TRIM(IF($J116&lt;'Technical Premium'!$C$18,"Below programme minimum agreed value. ","")&amp;IF(N($AQ116)&lt;'Technical Premium'!$C$19,"DISCOUNT AUTHORITY BREACH. ","")&amp;IF(N($AQ116)&gt;'Technical Premium'!$C$20,"Load authority breach. ","")&amp;IF($J116&gt;='Technical Premium'!$C$16,"Agreed value at or above auto-bind limit. ","")&amp;IF(AND(ISNUMBER($CD116),$CD116&gt;='Technical Premium'!$C$17),"Composite factor at cap. ","")&amp;IF(AND(ISNUMBER($CD116),$CD116&gt;2.5),"Composite factor above 2.50. ","")&amp;IF(LEFT(IFERROR(INDEX('Driver Factors'!$D$6:$D$15,MATCH($R116,'Driver Factors'!$B$6:$B$15,0)),""),7)="DECLINE","DECLINE - driver age. ",IF(LEFT(IFERROR(INDEX('Driver Factors'!$D$6:$D$15,MATCH($R116,'Driver Factors'!$B$6:$B$15,0)),""),5)="Refer","Driver age band. ",""))&amp;IF(LEFT(IFERROR(INDEX('Driver Factors'!$D$28:$D$36,MATCH($T116,'Driver Factors'!$B$28:$B$36,0)),""),7)="DECLINE","DECLINE - MVR. ",IF(LEFT(IFERROR(INDEX('Driver Factors'!$D$28:$D$36,MATCH($T116,'Driver Factors'!$B$28:$B$36,0)),""),5)="Refer","MVR record. ",""))&amp;IF(LEFT(IFERROR(INDEX('Claims History'!$D$6:$D$15,MATCH($U116,'Claims History'!$B$6:$B$15,0)),""),7)="DECLINE","DECLINE - claims. ",IF(LEFT(IFERROR(INDEX('Claims History'!$D$6:$D$15,MATCH($U116,'Claims History'!$B$6:$B$15,0)),""),5)="Refer","Claims history. ",""))&amp;IF(LEFT(IFERROR(INDEX('Usage and Coverage'!$E$6:$E$20,MATCH($N116,'Usage and Coverage'!$C$6:$C$20,0)),""),7)="DECLINE","DECLINE - usage class. ",IF(LEFT(IFERROR(INDEX('Usage and Coverage'!$E$6:$E$20,MATCH($N116,'Usage and Coverage'!$C$6:$C$20,0)),""),5)="Refer","Usage class. ",""))&amp;IF($CX116="CHECK INPUTS","Incomplete inputs. ",""))))</f>
        <v/>
      </c>
      <c r="DB116" s="92"/>
      <c r="DC116" s="92"/>
      <c r="DD116" s="93"/>
      <c r="DE116" s="92"/>
      <c r="DF116" s="92"/>
      <c r="DG116" s="97" t="str">
        <f t="shared" si="25"/>
        <v/>
      </c>
      <c r="DH116" s="97" t="str">
        <f>IF($A116="","",IF(OR($CX116="REFER",$CX116="DECLINE"),COUNTIF($CX$5:$CX116,"REFER")+COUNTIF($CX$5:$CX116,"DECLINE"),""))</f>
        <v/>
      </c>
      <c r="DI116" s="92"/>
    </row>
    <row r="117" spans="1:113" x14ac:dyDescent="0.25">
      <c r="A117" s="92"/>
      <c r="B117" s="92"/>
      <c r="C117" s="93"/>
      <c r="D117" s="93"/>
      <c r="E117" s="94"/>
      <c r="F117" s="92"/>
      <c r="G117" s="92"/>
      <c r="H117" s="92"/>
      <c r="I117" s="92"/>
      <c r="J117" s="95"/>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6"/>
      <c r="AR117" s="97" t="str">
        <f t="shared" si="13"/>
        <v/>
      </c>
      <c r="AS117" s="97" t="str">
        <f>IF($A117="","",IF($AP117&lt;&gt;"",$AP117,IFERROR(INDEX('Cat Zone by ZIP'!$D$6:$D$856,MATCH($AR117,'Cat Zone by ZIP'!$B$6:$B$856,0)),IFERROR(INDEX('Cat Zone by ZIP'!$C$860:$C$910,MATCH($K117,'Cat Zone by ZIP'!$B$860:$B$910,0)),"NOT FOUND"))))</f>
        <v/>
      </c>
      <c r="AT117" s="97" t="str">
        <f>IF($A117="","",IF($AP117&lt;&gt;"","Override",IF(ISNUMBER(MATCH($AR117,'Cat Zone by ZIP'!$B$6:$B$856,0)),"ZIP-3","State default")))</f>
        <v/>
      </c>
      <c r="AU117" s="98" t="str">
        <f>IF($A117="","",IFERROR(INDEX('Natural Catastrophe'!$D$6:$D$17,MATCH($AS117,'Natural Catastrophe'!$B$6:$B$17,0)),"?"))</f>
        <v/>
      </c>
      <c r="AV117" s="98" t="str">
        <f>IF($A117="","",IFERROR(INDEX('Natural Catastrophe'!$C$21:$C$26,MATCH($AA117,'Natural Catastrophe'!$B$21:$B$26,0)),"?"))</f>
        <v/>
      </c>
      <c r="AW117" s="97" t="str">
        <f>IF($A117="","",IFERROR(INDEX('Base Rates'!$C$4:$I$4,MATCH(MAX($J117,'Technical Premium'!$C$18),'Base Rates'!$C$3:$I$3,1)),"?"))</f>
        <v/>
      </c>
      <c r="AX117" s="99" t="str">
        <f>IF($A117="","",IFERROR(INDEX('Base Rates'!$C$5:$I$16,MATCH($I117,'Base Rates'!$B$5:$B$16,0),MATCH(MAX($J117,'Technical Premium'!$C$18),'Base Rates'!$C$3:$I$3,1)),"?"))</f>
        <v/>
      </c>
      <c r="AY117" s="100" t="str">
        <f t="shared" si="14"/>
        <v/>
      </c>
      <c r="AZ117" s="97" t="str">
        <f>IF($A117="","",IFERROR(INDEX('Make Factors'!$G$5:$G$69,MATCH($F117,'Make Factors'!$B$5:$B$69,0)),"?"))</f>
        <v/>
      </c>
      <c r="BA117" s="97" t="str">
        <f>IF($A117="","",IFERROR(INDEX('Driver Factors'!$C$6:$C$15,MATCH($R117,'Driver Factors'!$B$6:$B$15,0)),"?"))</f>
        <v/>
      </c>
      <c r="BB117" s="97" t="str">
        <f>IF($A117="","",IFERROR(INDEX('Driver Factors'!$C$19:$C$24,MATCH($S117,'Driver Factors'!$B$19:$B$24,0)),"?"))</f>
        <v/>
      </c>
      <c r="BC117" s="97" t="str">
        <f>IF($A117="","",IFERROR(INDEX('Driver Factors'!$C$28:$C$36,MATCH($T117,'Driver Factors'!$B$28:$B$36,0)),"?"))</f>
        <v/>
      </c>
      <c r="BD117" s="97" t="str">
        <f>IF($A117="","",IFERROR(INDEX('Claims History'!$C$6:$C$15,MATCH($U117,'Claims History'!$B$6:$B$15,0)),"?"))</f>
        <v/>
      </c>
      <c r="BE117" s="97" t="str">
        <f>IF($A117="","",IFERROR(INDEX('Territory Factors'!$E$6:$E$56,MATCH($K117,'Territory Factors'!$B$6:$B$56,0)),"?"))</f>
        <v/>
      </c>
      <c r="BF117" s="97" t="str">
        <f>IF($A117="","",IFERROR(INDEX('City Accident Ratings'!$G$6:$G$54,MATCH($Z117,'City Accident Ratings'!$B$6:$B$54,0)),"?"))</f>
        <v/>
      </c>
      <c r="BG117" s="97" t="str">
        <f>IF($A117="","",IFERROR(INDEX('Usage and Coverage'!$D$6:$D$20,MATCH($N117,'Usage and Coverage'!$C$6:$C$20,0)),"?"))</f>
        <v/>
      </c>
      <c r="BH117" s="97" t="str">
        <f>IF($A117="","",IFERROR(INDEX('Usage and Coverage'!$C$24:$C$30,MATCH($O117,'Usage and Coverage'!$B$24:$B$30,0)),"?"))</f>
        <v/>
      </c>
      <c r="BI117" s="97" t="str">
        <f>IF($A117="","",IFERROR(INDEX('Usage and Coverage'!$C$34:$C$40,MATCH($P117,'Usage and Coverage'!$B$34:$B$40,0)),"?"))</f>
        <v/>
      </c>
      <c r="BJ117" s="97" t="str">
        <f>IF($A117="","",IFERROR(INDEX('Usage and Coverage'!$C$44:$C$49,MATCH($Q117,'Usage and Coverage'!$B$44:$B$49,0)),"?"))</f>
        <v/>
      </c>
      <c r="BK117" s="97" t="str">
        <f>IF($A117="","",IFERROR(INDEX(Deductibles!$C$6:$I$15,MATCH($W117,Deductibles!$B$6:$B$15,0),MATCH(MAX($J117,'Technical Premium'!$C$18),'Base Rates'!$C$3:$I$3,1)),"?"))</f>
        <v/>
      </c>
      <c r="BL117" s="97" t="str">
        <f>IF($A117="","",IFERROR(INDEX('Usage and Coverage'!$C$63:$C$66,MATCH($X117,'Usage and Coverage'!$B$63:$B$66,0)),"?"))</f>
        <v/>
      </c>
      <c r="BM117" s="97" t="str">
        <f>IF($A117="","",IFERROR(INDEX('Usage and Coverage'!$C$70:$C$75,MATCH($V117,'Usage and Coverage'!$B$70:$B$75,0)),"?"))</f>
        <v/>
      </c>
      <c r="BN117" s="97" t="str">
        <f>IF($A117="","",IF($AB117="",1,IFERROR(INDEX(Deductibles!$C$48:$C$51,MATCH($AB117,Deductibles!$B$48:$B$51,0)),"?")))</f>
        <v/>
      </c>
      <c r="BO117" s="97" t="str">
        <f>IF($A117="","",IF($AC117="",1,IFERROR(INDEX(Deductibles!$C$55:$C$57,MATCH($AC117,Deductibles!$B$55:$B$57,0)),"?")))</f>
        <v/>
      </c>
      <c r="BP117" s="97" t="str">
        <f>IF($A117="","",IF($AD117="",1,IFERROR(INDEX(Deductibles!$C$61:$C$63,MATCH($AD117,Deductibles!$B$61:$B$63,0)),"?")))</f>
        <v/>
      </c>
      <c r="BQ117" s="97" t="str">
        <f>IF($A117="","",IF($AE117="",1,IFERROR(INDEX(Deductibles!$C$67:$C$69,MATCH($AE117,Deductibles!$B$67:$B$69,0)),"?")))</f>
        <v/>
      </c>
      <c r="BR117" s="97" t="str">
        <f>IF($A117="","",IF($AF117="",1,IFERROR(INDEX(Deductibles!$C$73:$C$74,MATCH($AF117,Deductibles!$B$73:$B$74,0)),"?")))</f>
        <v/>
      </c>
      <c r="BS117" s="97" t="str">
        <f>IF($A117="","",IF($AG117="",1,IFERROR(INDEX('Sublimits and Parts'!$C$49:$C$52,MATCH($AG117,'Sublimits and Parts'!$B$49:$B$52,0)),"?")))</f>
        <v/>
      </c>
      <c r="BT117" s="97" t="str">
        <f>IF($A117="","",IF($AH117="",1,IFERROR(INDEX('Sublimits and Parts'!$C$56:$C$60,MATCH($AH117,'Sublimits and Parts'!$B$56:$B$60,0)),"?")))</f>
        <v/>
      </c>
      <c r="BU117" s="97" t="str">
        <f>IF($A117="","",IF($AI117="",1,IFERROR(INDEX('Sublimits and Parts'!$C$64:$C$67,MATCH($AI117,'Sublimits and Parts'!$B$64:$B$67,0)),"?")))</f>
        <v/>
      </c>
      <c r="BV117" s="97" t="str">
        <f>IF($A117="","",IF($AJ117="",1,IFERROR(INDEX('Sublimits and Parts'!$C$71:$C$74,MATCH($AJ117,'Sublimits and Parts'!$B$71:$B$74,0)),"?")))</f>
        <v/>
      </c>
      <c r="BW117" s="97" t="str">
        <f>IF($A117="","",IF($AK117="",1,IFERROR(INDEX('Sublimits and Parts'!$C$78:$C$80,MATCH($AK117,'Sublimits and Parts'!$B$78:$B$80,0)),"?")))</f>
        <v/>
      </c>
      <c r="BX117" s="97" t="str">
        <f>IF($A117="","",IF($AL117="",1,IFERROR(INDEX('Sublimits and Parts'!$C$84:$C$87,MATCH($AL117,'Sublimits and Parts'!$B$84:$B$87,0)),"?")))</f>
        <v/>
      </c>
      <c r="BY117" s="97" t="str">
        <f>IF($A117="","",IF($AM117="",1,IFERROR(INDEX('Sublimits and Parts'!$C$91:$C$94,MATCH($AM117,'Sublimits and Parts'!$B$91:$B$94,0)),"?")))</f>
        <v/>
      </c>
      <c r="BZ117" s="97" t="str">
        <f>IF($A117="","",IF($AN117="",1,IFERROR(INDEX('Sublimits and Parts'!$C$98:$C$101,MATCH($AN117,'Sublimits and Parts'!$B$98:$B$101,0)),"?")))</f>
        <v/>
      </c>
      <c r="CA117" s="97" t="str">
        <f>IF($A117="","",IF($AO117="",1,IFERROR(INDEX('Sublimits and Parts'!$C$105:$C$109,MATCH($AO117,'Sublimits and Parts'!$B$105:$B$109,0)),"?")))</f>
        <v/>
      </c>
      <c r="CB117" s="98" t="str">
        <f t="shared" si="15"/>
        <v/>
      </c>
      <c r="CC117" s="98" t="str">
        <f t="shared" si="16"/>
        <v/>
      </c>
      <c r="CD117" s="101" t="str">
        <f>IF($A117="","",IF(OR($CB117="?",$CC117="?"),"?",MIN($CB117*$CC117,'Technical Premium'!$C$17)))</f>
        <v/>
      </c>
      <c r="CE117" s="100" t="str">
        <f t="shared" si="17"/>
        <v/>
      </c>
      <c r="CF117" s="100" t="str">
        <f>IF($A117="","",IFERROR(INDEX('Territory Factors'!$F$6:$F$56,MATCH($K117,'Territory Factors'!$B$6:$B$56,0)),"?"))</f>
        <v/>
      </c>
      <c r="CG117" s="98" t="str">
        <f>IF($A117="","",IFERROR(INDEX('Usage and Coverage'!$C$79:$C$84,MATCH($Y117,'Usage and Coverage'!$B$79:$B$84,0)),"?"))</f>
        <v/>
      </c>
      <c r="CH117" s="100" t="str">
        <f>IFERROR(IF(ISNUMBER($CD117),$CF117*$CG117*MIN($BG117*$BA117*$BC117*$BD117*$BH117*$BF117,'Technical Premium'!$C$17),""),"")</f>
        <v/>
      </c>
      <c r="CI117" s="100" t="str">
        <f t="shared" si="18"/>
        <v/>
      </c>
      <c r="CJ117" s="100" t="str">
        <f>IFERROR($CI117*(1+'Technical Premium'!$C$5)*(1+'Technical Premium'!$C$6),"")</f>
        <v/>
      </c>
      <c r="CK117" s="100" t="str">
        <f>IFERROR($CE117*INDEX('Territory Factors'!$G$6:$G$56,MATCH($K117,'Territory Factors'!$B$6:$B$56,0))*$AU117*$AV117,"")</f>
        <v/>
      </c>
      <c r="CL117" s="100" t="str">
        <f>IFERROR(($CJ117+$CK117)*(1+'Technical Premium'!$C$7),"")</f>
        <v/>
      </c>
      <c r="CM117" s="102" t="str">
        <f>IFERROR($CL117/'Technical Premium'!$C$13,"")</f>
        <v/>
      </c>
      <c r="CN117" s="103" t="str">
        <f t="shared" si="19"/>
        <v/>
      </c>
      <c r="CO117" s="102" t="str">
        <f t="shared" si="20"/>
        <v/>
      </c>
      <c r="CP117" s="103" t="str">
        <f t="shared" si="21"/>
        <v/>
      </c>
      <c r="CQ117" s="104" t="str">
        <f t="shared" si="22"/>
        <v/>
      </c>
      <c r="CR117" s="100" t="str">
        <f>IF(ISNUMBER($CM117),'Technical Premium'!$C$14+IF($J117&gt;=1000000,'Technical Premium'!$C$15,0),"")</f>
        <v/>
      </c>
      <c r="CS117" s="100" t="str">
        <f>IFERROR(($CO117+$CR117)*(INDEX('Territory Factors'!$K$6:$K$56,MATCH($K117,'Territory Factors'!$B$6:$B$56,0))+'Commission Structure'!$C$21),"")</f>
        <v/>
      </c>
      <c r="CT117" s="102" t="str">
        <f t="shared" si="23"/>
        <v/>
      </c>
      <c r="CU117" s="100" t="str">
        <f>IFERROR($CO117*('Commission Structure'!$C$6+'Commission Structure'!$C$7),"")</f>
        <v/>
      </c>
      <c r="CV117" s="100" t="str">
        <f>IFERROR($CO117*'Commission Structure'!$C$5-$CU117,"")</f>
        <v/>
      </c>
      <c r="CW117" s="100" t="str">
        <f>IFERROR($CO117*(1-'Commission Structure'!$C$5),"")</f>
        <v/>
      </c>
      <c r="CX117" s="105" t="str">
        <f>IF($A117="","",IF(OR($CB117="?",$CC117="?",NOT(ISNUMBER($AU117))),"CHECK INPUTS",IF(OR($J117&lt;'Technical Premium'!$C$18,LEFT(IFERROR(INDEX('Driver Factors'!$D$6:$D$15,MATCH($R117,'Driver Factors'!$B$6:$B$15,0)),""),7)="DECLINE",LEFT(IFERROR(INDEX('Driver Factors'!$D$28:$D$36,MATCH($T117,'Driver Factors'!$B$28:$B$36,0)),""),7)="DECLINE",LEFT(IFERROR(INDEX('Claims History'!$D$6:$D$15,MATCH($U117,'Claims History'!$B$6:$B$15,0)),""),7)="DECLINE",LEFT(IFERROR(INDEX('Usage and Coverage'!$E$6:$E$20,MATCH($N117,'Usage and Coverage'!$C$6:$C$20,0)),""),7)="DECLINE"),"DECLINE",IF(OR($CD117&gt;2.5,$CD117&gt;='Technical Premium'!$C$17,$J117&gt;='Technical Premium'!$C$16,N($AQ117)&lt;'Technical Premium'!$C$19,N($AQ117)&gt;'Technical Premium'!$C$20,LEFT(IFERROR(INDEX('Driver Factors'!$D$6:$D$15,MATCH($R117,'Driver Factors'!$B$6:$B$15,0)),""),5)="Refer",LEFT(IFERROR(INDEX('Driver Factors'!$D$28:$D$36,MATCH($T117,'Driver Factors'!$B$28:$B$36,0)),""),5)="Refer",LEFT(IFERROR(INDEX('Claims History'!$D$6:$D$15,MATCH($U117,'Claims History'!$B$6:$B$15,0)),""),5)="Refer",LEFT(IFERROR(INDEX('Usage and Coverage'!$E$6:$E$20,MATCH($N117,'Usage and Coverage'!$C$6:$C$20,0)),""),5)="Refer"),"REFER","AUTO-BIND"))))</f>
        <v/>
      </c>
      <c r="CY117" s="106" t="str">
        <f t="shared" si="24"/>
        <v/>
      </c>
      <c r="CZ117" s="97" t="str">
        <f>IF($CY117="","",IF($CY117&lt;'Technical Premium'!$C$19,"BEYOND AUTHORITY",IF($CY117&gt;0.005,"Above technical",IF($CY117&lt;-0.005,"BELOW technical","At technical"))))</f>
        <v/>
      </c>
      <c r="DA117" s="97" t="str">
        <f>IF($A117="","",IF($CX117="AUTO-BIND","",TRIM(IF($J117&lt;'Technical Premium'!$C$18,"Below programme minimum agreed value. ","")&amp;IF(N($AQ117)&lt;'Technical Premium'!$C$19,"DISCOUNT AUTHORITY BREACH. ","")&amp;IF(N($AQ117)&gt;'Technical Premium'!$C$20,"Load authority breach. ","")&amp;IF($J117&gt;='Technical Premium'!$C$16,"Agreed value at or above auto-bind limit. ","")&amp;IF(AND(ISNUMBER($CD117),$CD117&gt;='Technical Premium'!$C$17),"Composite factor at cap. ","")&amp;IF(AND(ISNUMBER($CD117),$CD117&gt;2.5),"Composite factor above 2.50. ","")&amp;IF(LEFT(IFERROR(INDEX('Driver Factors'!$D$6:$D$15,MATCH($R117,'Driver Factors'!$B$6:$B$15,0)),""),7)="DECLINE","DECLINE - driver age. ",IF(LEFT(IFERROR(INDEX('Driver Factors'!$D$6:$D$15,MATCH($R117,'Driver Factors'!$B$6:$B$15,0)),""),5)="Refer","Driver age band. ",""))&amp;IF(LEFT(IFERROR(INDEX('Driver Factors'!$D$28:$D$36,MATCH($T117,'Driver Factors'!$B$28:$B$36,0)),""),7)="DECLINE","DECLINE - MVR. ",IF(LEFT(IFERROR(INDEX('Driver Factors'!$D$28:$D$36,MATCH($T117,'Driver Factors'!$B$28:$B$36,0)),""),5)="Refer","MVR record. ",""))&amp;IF(LEFT(IFERROR(INDEX('Claims History'!$D$6:$D$15,MATCH($U117,'Claims History'!$B$6:$B$15,0)),""),7)="DECLINE","DECLINE - claims. ",IF(LEFT(IFERROR(INDEX('Claims History'!$D$6:$D$15,MATCH($U117,'Claims History'!$B$6:$B$15,0)),""),5)="Refer","Claims history. ",""))&amp;IF(LEFT(IFERROR(INDEX('Usage and Coverage'!$E$6:$E$20,MATCH($N117,'Usage and Coverage'!$C$6:$C$20,0)),""),7)="DECLINE","DECLINE - usage class. ",IF(LEFT(IFERROR(INDEX('Usage and Coverage'!$E$6:$E$20,MATCH($N117,'Usage and Coverage'!$C$6:$C$20,0)),""),5)="Refer","Usage class. ",""))&amp;IF($CX117="CHECK INPUTS","Incomplete inputs. ",""))))</f>
        <v/>
      </c>
      <c r="DB117" s="92"/>
      <c r="DC117" s="92"/>
      <c r="DD117" s="93"/>
      <c r="DE117" s="92"/>
      <c r="DF117" s="92"/>
      <c r="DG117" s="97" t="str">
        <f t="shared" si="25"/>
        <v/>
      </c>
      <c r="DH117" s="97" t="str">
        <f>IF($A117="","",IF(OR($CX117="REFER",$CX117="DECLINE"),COUNTIF($CX$5:$CX117,"REFER")+COUNTIF($CX$5:$CX117,"DECLINE"),""))</f>
        <v/>
      </c>
      <c r="DI117" s="92"/>
    </row>
    <row r="118" spans="1:113" x14ac:dyDescent="0.25">
      <c r="A118" s="92"/>
      <c r="B118" s="92"/>
      <c r="C118" s="93"/>
      <c r="D118" s="93"/>
      <c r="E118" s="94"/>
      <c r="F118" s="92"/>
      <c r="G118" s="92"/>
      <c r="H118" s="92"/>
      <c r="I118" s="92"/>
      <c r="J118" s="95"/>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6"/>
      <c r="AR118" s="97" t="str">
        <f t="shared" si="13"/>
        <v/>
      </c>
      <c r="AS118" s="97" t="str">
        <f>IF($A118="","",IF($AP118&lt;&gt;"",$AP118,IFERROR(INDEX('Cat Zone by ZIP'!$D$6:$D$856,MATCH($AR118,'Cat Zone by ZIP'!$B$6:$B$856,0)),IFERROR(INDEX('Cat Zone by ZIP'!$C$860:$C$910,MATCH($K118,'Cat Zone by ZIP'!$B$860:$B$910,0)),"NOT FOUND"))))</f>
        <v/>
      </c>
      <c r="AT118" s="97" t="str">
        <f>IF($A118="","",IF($AP118&lt;&gt;"","Override",IF(ISNUMBER(MATCH($AR118,'Cat Zone by ZIP'!$B$6:$B$856,0)),"ZIP-3","State default")))</f>
        <v/>
      </c>
      <c r="AU118" s="98" t="str">
        <f>IF($A118="","",IFERROR(INDEX('Natural Catastrophe'!$D$6:$D$17,MATCH($AS118,'Natural Catastrophe'!$B$6:$B$17,0)),"?"))</f>
        <v/>
      </c>
      <c r="AV118" s="98" t="str">
        <f>IF($A118="","",IFERROR(INDEX('Natural Catastrophe'!$C$21:$C$26,MATCH($AA118,'Natural Catastrophe'!$B$21:$B$26,0)),"?"))</f>
        <v/>
      </c>
      <c r="AW118" s="97" t="str">
        <f>IF($A118="","",IFERROR(INDEX('Base Rates'!$C$4:$I$4,MATCH(MAX($J118,'Technical Premium'!$C$18),'Base Rates'!$C$3:$I$3,1)),"?"))</f>
        <v/>
      </c>
      <c r="AX118" s="99" t="str">
        <f>IF($A118="","",IFERROR(INDEX('Base Rates'!$C$5:$I$16,MATCH($I118,'Base Rates'!$B$5:$B$16,0),MATCH(MAX($J118,'Technical Premium'!$C$18),'Base Rates'!$C$3:$I$3,1)),"?"))</f>
        <v/>
      </c>
      <c r="AY118" s="100" t="str">
        <f t="shared" si="14"/>
        <v/>
      </c>
      <c r="AZ118" s="97" t="str">
        <f>IF($A118="","",IFERROR(INDEX('Make Factors'!$G$5:$G$69,MATCH($F118,'Make Factors'!$B$5:$B$69,0)),"?"))</f>
        <v/>
      </c>
      <c r="BA118" s="97" t="str">
        <f>IF($A118="","",IFERROR(INDEX('Driver Factors'!$C$6:$C$15,MATCH($R118,'Driver Factors'!$B$6:$B$15,0)),"?"))</f>
        <v/>
      </c>
      <c r="BB118" s="97" t="str">
        <f>IF($A118="","",IFERROR(INDEX('Driver Factors'!$C$19:$C$24,MATCH($S118,'Driver Factors'!$B$19:$B$24,0)),"?"))</f>
        <v/>
      </c>
      <c r="BC118" s="97" t="str">
        <f>IF($A118="","",IFERROR(INDEX('Driver Factors'!$C$28:$C$36,MATCH($T118,'Driver Factors'!$B$28:$B$36,0)),"?"))</f>
        <v/>
      </c>
      <c r="BD118" s="97" t="str">
        <f>IF($A118="","",IFERROR(INDEX('Claims History'!$C$6:$C$15,MATCH($U118,'Claims History'!$B$6:$B$15,0)),"?"))</f>
        <v/>
      </c>
      <c r="BE118" s="97" t="str">
        <f>IF($A118="","",IFERROR(INDEX('Territory Factors'!$E$6:$E$56,MATCH($K118,'Territory Factors'!$B$6:$B$56,0)),"?"))</f>
        <v/>
      </c>
      <c r="BF118" s="97" t="str">
        <f>IF($A118="","",IFERROR(INDEX('City Accident Ratings'!$G$6:$G$54,MATCH($Z118,'City Accident Ratings'!$B$6:$B$54,0)),"?"))</f>
        <v/>
      </c>
      <c r="BG118" s="97" t="str">
        <f>IF($A118="","",IFERROR(INDEX('Usage and Coverage'!$D$6:$D$20,MATCH($N118,'Usage and Coverage'!$C$6:$C$20,0)),"?"))</f>
        <v/>
      </c>
      <c r="BH118" s="97" t="str">
        <f>IF($A118="","",IFERROR(INDEX('Usage and Coverage'!$C$24:$C$30,MATCH($O118,'Usage and Coverage'!$B$24:$B$30,0)),"?"))</f>
        <v/>
      </c>
      <c r="BI118" s="97" t="str">
        <f>IF($A118="","",IFERROR(INDEX('Usage and Coverage'!$C$34:$C$40,MATCH($P118,'Usage and Coverage'!$B$34:$B$40,0)),"?"))</f>
        <v/>
      </c>
      <c r="BJ118" s="97" t="str">
        <f>IF($A118="","",IFERROR(INDEX('Usage and Coverage'!$C$44:$C$49,MATCH($Q118,'Usage and Coverage'!$B$44:$B$49,0)),"?"))</f>
        <v/>
      </c>
      <c r="BK118" s="97" t="str">
        <f>IF($A118="","",IFERROR(INDEX(Deductibles!$C$6:$I$15,MATCH($W118,Deductibles!$B$6:$B$15,0),MATCH(MAX($J118,'Technical Premium'!$C$18),'Base Rates'!$C$3:$I$3,1)),"?"))</f>
        <v/>
      </c>
      <c r="BL118" s="97" t="str">
        <f>IF($A118="","",IFERROR(INDEX('Usage and Coverage'!$C$63:$C$66,MATCH($X118,'Usage and Coverage'!$B$63:$B$66,0)),"?"))</f>
        <v/>
      </c>
      <c r="BM118" s="97" t="str">
        <f>IF($A118="","",IFERROR(INDEX('Usage and Coverage'!$C$70:$C$75,MATCH($V118,'Usage and Coverage'!$B$70:$B$75,0)),"?"))</f>
        <v/>
      </c>
      <c r="BN118" s="97" t="str">
        <f>IF($A118="","",IF($AB118="",1,IFERROR(INDEX(Deductibles!$C$48:$C$51,MATCH($AB118,Deductibles!$B$48:$B$51,0)),"?")))</f>
        <v/>
      </c>
      <c r="BO118" s="97" t="str">
        <f>IF($A118="","",IF($AC118="",1,IFERROR(INDEX(Deductibles!$C$55:$C$57,MATCH($AC118,Deductibles!$B$55:$B$57,0)),"?")))</f>
        <v/>
      </c>
      <c r="BP118" s="97" t="str">
        <f>IF($A118="","",IF($AD118="",1,IFERROR(INDEX(Deductibles!$C$61:$C$63,MATCH($AD118,Deductibles!$B$61:$B$63,0)),"?")))</f>
        <v/>
      </c>
      <c r="BQ118" s="97" t="str">
        <f>IF($A118="","",IF($AE118="",1,IFERROR(INDEX(Deductibles!$C$67:$C$69,MATCH($AE118,Deductibles!$B$67:$B$69,0)),"?")))</f>
        <v/>
      </c>
      <c r="BR118" s="97" t="str">
        <f>IF($A118="","",IF($AF118="",1,IFERROR(INDEX(Deductibles!$C$73:$C$74,MATCH($AF118,Deductibles!$B$73:$B$74,0)),"?")))</f>
        <v/>
      </c>
      <c r="BS118" s="97" t="str">
        <f>IF($A118="","",IF($AG118="",1,IFERROR(INDEX('Sublimits and Parts'!$C$49:$C$52,MATCH($AG118,'Sublimits and Parts'!$B$49:$B$52,0)),"?")))</f>
        <v/>
      </c>
      <c r="BT118" s="97" t="str">
        <f>IF($A118="","",IF($AH118="",1,IFERROR(INDEX('Sublimits and Parts'!$C$56:$C$60,MATCH($AH118,'Sublimits and Parts'!$B$56:$B$60,0)),"?")))</f>
        <v/>
      </c>
      <c r="BU118" s="97" t="str">
        <f>IF($A118="","",IF($AI118="",1,IFERROR(INDEX('Sublimits and Parts'!$C$64:$C$67,MATCH($AI118,'Sublimits and Parts'!$B$64:$B$67,0)),"?")))</f>
        <v/>
      </c>
      <c r="BV118" s="97" t="str">
        <f>IF($A118="","",IF($AJ118="",1,IFERROR(INDEX('Sublimits and Parts'!$C$71:$C$74,MATCH($AJ118,'Sublimits and Parts'!$B$71:$B$74,0)),"?")))</f>
        <v/>
      </c>
      <c r="BW118" s="97" t="str">
        <f>IF($A118="","",IF($AK118="",1,IFERROR(INDEX('Sublimits and Parts'!$C$78:$C$80,MATCH($AK118,'Sublimits and Parts'!$B$78:$B$80,0)),"?")))</f>
        <v/>
      </c>
      <c r="BX118" s="97" t="str">
        <f>IF($A118="","",IF($AL118="",1,IFERROR(INDEX('Sublimits and Parts'!$C$84:$C$87,MATCH($AL118,'Sublimits and Parts'!$B$84:$B$87,0)),"?")))</f>
        <v/>
      </c>
      <c r="BY118" s="97" t="str">
        <f>IF($A118="","",IF($AM118="",1,IFERROR(INDEX('Sublimits and Parts'!$C$91:$C$94,MATCH($AM118,'Sublimits and Parts'!$B$91:$B$94,0)),"?")))</f>
        <v/>
      </c>
      <c r="BZ118" s="97" t="str">
        <f>IF($A118="","",IF($AN118="",1,IFERROR(INDEX('Sublimits and Parts'!$C$98:$C$101,MATCH($AN118,'Sublimits and Parts'!$B$98:$B$101,0)),"?")))</f>
        <v/>
      </c>
      <c r="CA118" s="97" t="str">
        <f>IF($A118="","",IF($AO118="",1,IFERROR(INDEX('Sublimits and Parts'!$C$105:$C$109,MATCH($AO118,'Sublimits and Parts'!$B$105:$B$109,0)),"?")))</f>
        <v/>
      </c>
      <c r="CB118" s="98" t="str">
        <f t="shared" si="15"/>
        <v/>
      </c>
      <c r="CC118" s="98" t="str">
        <f t="shared" si="16"/>
        <v/>
      </c>
      <c r="CD118" s="101" t="str">
        <f>IF($A118="","",IF(OR($CB118="?",$CC118="?"),"?",MIN($CB118*$CC118,'Technical Premium'!$C$17)))</f>
        <v/>
      </c>
      <c r="CE118" s="100" t="str">
        <f t="shared" si="17"/>
        <v/>
      </c>
      <c r="CF118" s="100" t="str">
        <f>IF($A118="","",IFERROR(INDEX('Territory Factors'!$F$6:$F$56,MATCH($K118,'Territory Factors'!$B$6:$B$56,0)),"?"))</f>
        <v/>
      </c>
      <c r="CG118" s="98" t="str">
        <f>IF($A118="","",IFERROR(INDEX('Usage and Coverage'!$C$79:$C$84,MATCH($Y118,'Usage and Coverage'!$B$79:$B$84,0)),"?"))</f>
        <v/>
      </c>
      <c r="CH118" s="100" t="str">
        <f>IFERROR(IF(ISNUMBER($CD118),$CF118*$CG118*MIN($BG118*$BA118*$BC118*$BD118*$BH118*$BF118,'Technical Premium'!$C$17),""),"")</f>
        <v/>
      </c>
      <c r="CI118" s="100" t="str">
        <f t="shared" si="18"/>
        <v/>
      </c>
      <c r="CJ118" s="100" t="str">
        <f>IFERROR($CI118*(1+'Technical Premium'!$C$5)*(1+'Technical Premium'!$C$6),"")</f>
        <v/>
      </c>
      <c r="CK118" s="100" t="str">
        <f>IFERROR($CE118*INDEX('Territory Factors'!$G$6:$G$56,MATCH($K118,'Territory Factors'!$B$6:$B$56,0))*$AU118*$AV118,"")</f>
        <v/>
      </c>
      <c r="CL118" s="100" t="str">
        <f>IFERROR(($CJ118+$CK118)*(1+'Technical Premium'!$C$7),"")</f>
        <v/>
      </c>
      <c r="CM118" s="102" t="str">
        <f>IFERROR($CL118/'Technical Premium'!$C$13,"")</f>
        <v/>
      </c>
      <c r="CN118" s="103" t="str">
        <f t="shared" si="19"/>
        <v/>
      </c>
      <c r="CO118" s="102" t="str">
        <f t="shared" si="20"/>
        <v/>
      </c>
      <c r="CP118" s="103" t="str">
        <f t="shared" si="21"/>
        <v/>
      </c>
      <c r="CQ118" s="104" t="str">
        <f t="shared" si="22"/>
        <v/>
      </c>
      <c r="CR118" s="100" t="str">
        <f>IF(ISNUMBER($CM118),'Technical Premium'!$C$14+IF($J118&gt;=1000000,'Technical Premium'!$C$15,0),"")</f>
        <v/>
      </c>
      <c r="CS118" s="100" t="str">
        <f>IFERROR(($CO118+$CR118)*(INDEX('Territory Factors'!$K$6:$K$56,MATCH($K118,'Territory Factors'!$B$6:$B$56,0))+'Commission Structure'!$C$21),"")</f>
        <v/>
      </c>
      <c r="CT118" s="102" t="str">
        <f t="shared" si="23"/>
        <v/>
      </c>
      <c r="CU118" s="100" t="str">
        <f>IFERROR($CO118*('Commission Structure'!$C$6+'Commission Structure'!$C$7),"")</f>
        <v/>
      </c>
      <c r="CV118" s="100" t="str">
        <f>IFERROR($CO118*'Commission Structure'!$C$5-$CU118,"")</f>
        <v/>
      </c>
      <c r="CW118" s="100" t="str">
        <f>IFERROR($CO118*(1-'Commission Structure'!$C$5),"")</f>
        <v/>
      </c>
      <c r="CX118" s="105" t="str">
        <f>IF($A118="","",IF(OR($CB118="?",$CC118="?",NOT(ISNUMBER($AU118))),"CHECK INPUTS",IF(OR($J118&lt;'Technical Premium'!$C$18,LEFT(IFERROR(INDEX('Driver Factors'!$D$6:$D$15,MATCH($R118,'Driver Factors'!$B$6:$B$15,0)),""),7)="DECLINE",LEFT(IFERROR(INDEX('Driver Factors'!$D$28:$D$36,MATCH($T118,'Driver Factors'!$B$28:$B$36,0)),""),7)="DECLINE",LEFT(IFERROR(INDEX('Claims History'!$D$6:$D$15,MATCH($U118,'Claims History'!$B$6:$B$15,0)),""),7)="DECLINE",LEFT(IFERROR(INDEX('Usage and Coverage'!$E$6:$E$20,MATCH($N118,'Usage and Coverage'!$C$6:$C$20,0)),""),7)="DECLINE"),"DECLINE",IF(OR($CD118&gt;2.5,$CD118&gt;='Technical Premium'!$C$17,$J118&gt;='Technical Premium'!$C$16,N($AQ118)&lt;'Technical Premium'!$C$19,N($AQ118)&gt;'Technical Premium'!$C$20,LEFT(IFERROR(INDEX('Driver Factors'!$D$6:$D$15,MATCH($R118,'Driver Factors'!$B$6:$B$15,0)),""),5)="Refer",LEFT(IFERROR(INDEX('Driver Factors'!$D$28:$D$36,MATCH($T118,'Driver Factors'!$B$28:$B$36,0)),""),5)="Refer",LEFT(IFERROR(INDEX('Claims History'!$D$6:$D$15,MATCH($U118,'Claims History'!$B$6:$B$15,0)),""),5)="Refer",LEFT(IFERROR(INDEX('Usage and Coverage'!$E$6:$E$20,MATCH($N118,'Usage and Coverage'!$C$6:$C$20,0)),""),5)="Refer"),"REFER","AUTO-BIND"))))</f>
        <v/>
      </c>
      <c r="CY118" s="106" t="str">
        <f t="shared" si="24"/>
        <v/>
      </c>
      <c r="CZ118" s="97" t="str">
        <f>IF($CY118="","",IF($CY118&lt;'Technical Premium'!$C$19,"BEYOND AUTHORITY",IF($CY118&gt;0.005,"Above technical",IF($CY118&lt;-0.005,"BELOW technical","At technical"))))</f>
        <v/>
      </c>
      <c r="DA118" s="97" t="str">
        <f>IF($A118="","",IF($CX118="AUTO-BIND","",TRIM(IF($J118&lt;'Technical Premium'!$C$18,"Below programme minimum agreed value. ","")&amp;IF(N($AQ118)&lt;'Technical Premium'!$C$19,"DISCOUNT AUTHORITY BREACH. ","")&amp;IF(N($AQ118)&gt;'Technical Premium'!$C$20,"Load authority breach. ","")&amp;IF($J118&gt;='Technical Premium'!$C$16,"Agreed value at or above auto-bind limit. ","")&amp;IF(AND(ISNUMBER($CD118),$CD118&gt;='Technical Premium'!$C$17),"Composite factor at cap. ","")&amp;IF(AND(ISNUMBER($CD118),$CD118&gt;2.5),"Composite factor above 2.50. ","")&amp;IF(LEFT(IFERROR(INDEX('Driver Factors'!$D$6:$D$15,MATCH($R118,'Driver Factors'!$B$6:$B$15,0)),""),7)="DECLINE","DECLINE - driver age. ",IF(LEFT(IFERROR(INDEX('Driver Factors'!$D$6:$D$15,MATCH($R118,'Driver Factors'!$B$6:$B$15,0)),""),5)="Refer","Driver age band. ",""))&amp;IF(LEFT(IFERROR(INDEX('Driver Factors'!$D$28:$D$36,MATCH($T118,'Driver Factors'!$B$28:$B$36,0)),""),7)="DECLINE","DECLINE - MVR. ",IF(LEFT(IFERROR(INDEX('Driver Factors'!$D$28:$D$36,MATCH($T118,'Driver Factors'!$B$28:$B$36,0)),""),5)="Refer","MVR record. ",""))&amp;IF(LEFT(IFERROR(INDEX('Claims History'!$D$6:$D$15,MATCH($U118,'Claims History'!$B$6:$B$15,0)),""),7)="DECLINE","DECLINE - claims. ",IF(LEFT(IFERROR(INDEX('Claims History'!$D$6:$D$15,MATCH($U118,'Claims History'!$B$6:$B$15,0)),""),5)="Refer","Claims history. ",""))&amp;IF(LEFT(IFERROR(INDEX('Usage and Coverage'!$E$6:$E$20,MATCH($N118,'Usage and Coverage'!$C$6:$C$20,0)),""),7)="DECLINE","DECLINE - usage class. ",IF(LEFT(IFERROR(INDEX('Usage and Coverage'!$E$6:$E$20,MATCH($N118,'Usage and Coverage'!$C$6:$C$20,0)),""),5)="Refer","Usage class. ",""))&amp;IF($CX118="CHECK INPUTS","Incomplete inputs. ",""))))</f>
        <v/>
      </c>
      <c r="DB118" s="92"/>
      <c r="DC118" s="92"/>
      <c r="DD118" s="93"/>
      <c r="DE118" s="92"/>
      <c r="DF118" s="92"/>
      <c r="DG118" s="97" t="str">
        <f t="shared" si="25"/>
        <v/>
      </c>
      <c r="DH118" s="97" t="str">
        <f>IF($A118="","",IF(OR($CX118="REFER",$CX118="DECLINE"),COUNTIF($CX$5:$CX118,"REFER")+COUNTIF($CX$5:$CX118,"DECLINE"),""))</f>
        <v/>
      </c>
      <c r="DI118" s="92"/>
    </row>
    <row r="119" spans="1:113" x14ac:dyDescent="0.25">
      <c r="A119" s="92"/>
      <c r="B119" s="92"/>
      <c r="C119" s="93"/>
      <c r="D119" s="93"/>
      <c r="E119" s="94"/>
      <c r="F119" s="92"/>
      <c r="G119" s="92"/>
      <c r="H119" s="92"/>
      <c r="I119" s="92"/>
      <c r="J119" s="95"/>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6"/>
      <c r="AR119" s="97" t="str">
        <f t="shared" si="13"/>
        <v/>
      </c>
      <c r="AS119" s="97" t="str">
        <f>IF($A119="","",IF($AP119&lt;&gt;"",$AP119,IFERROR(INDEX('Cat Zone by ZIP'!$D$6:$D$856,MATCH($AR119,'Cat Zone by ZIP'!$B$6:$B$856,0)),IFERROR(INDEX('Cat Zone by ZIP'!$C$860:$C$910,MATCH($K119,'Cat Zone by ZIP'!$B$860:$B$910,0)),"NOT FOUND"))))</f>
        <v/>
      </c>
      <c r="AT119" s="97" t="str">
        <f>IF($A119="","",IF($AP119&lt;&gt;"","Override",IF(ISNUMBER(MATCH($AR119,'Cat Zone by ZIP'!$B$6:$B$856,0)),"ZIP-3","State default")))</f>
        <v/>
      </c>
      <c r="AU119" s="98" t="str">
        <f>IF($A119="","",IFERROR(INDEX('Natural Catastrophe'!$D$6:$D$17,MATCH($AS119,'Natural Catastrophe'!$B$6:$B$17,0)),"?"))</f>
        <v/>
      </c>
      <c r="AV119" s="98" t="str">
        <f>IF($A119="","",IFERROR(INDEX('Natural Catastrophe'!$C$21:$C$26,MATCH($AA119,'Natural Catastrophe'!$B$21:$B$26,0)),"?"))</f>
        <v/>
      </c>
      <c r="AW119" s="97" t="str">
        <f>IF($A119="","",IFERROR(INDEX('Base Rates'!$C$4:$I$4,MATCH(MAX($J119,'Technical Premium'!$C$18),'Base Rates'!$C$3:$I$3,1)),"?"))</f>
        <v/>
      </c>
      <c r="AX119" s="99" t="str">
        <f>IF($A119="","",IFERROR(INDEX('Base Rates'!$C$5:$I$16,MATCH($I119,'Base Rates'!$B$5:$B$16,0),MATCH(MAX($J119,'Technical Premium'!$C$18),'Base Rates'!$C$3:$I$3,1)),"?"))</f>
        <v/>
      </c>
      <c r="AY119" s="100" t="str">
        <f t="shared" si="14"/>
        <v/>
      </c>
      <c r="AZ119" s="97" t="str">
        <f>IF($A119="","",IFERROR(INDEX('Make Factors'!$G$5:$G$69,MATCH($F119,'Make Factors'!$B$5:$B$69,0)),"?"))</f>
        <v/>
      </c>
      <c r="BA119" s="97" t="str">
        <f>IF($A119="","",IFERROR(INDEX('Driver Factors'!$C$6:$C$15,MATCH($R119,'Driver Factors'!$B$6:$B$15,0)),"?"))</f>
        <v/>
      </c>
      <c r="BB119" s="97" t="str">
        <f>IF($A119="","",IFERROR(INDEX('Driver Factors'!$C$19:$C$24,MATCH($S119,'Driver Factors'!$B$19:$B$24,0)),"?"))</f>
        <v/>
      </c>
      <c r="BC119" s="97" t="str">
        <f>IF($A119="","",IFERROR(INDEX('Driver Factors'!$C$28:$C$36,MATCH($T119,'Driver Factors'!$B$28:$B$36,0)),"?"))</f>
        <v/>
      </c>
      <c r="BD119" s="97" t="str">
        <f>IF($A119="","",IFERROR(INDEX('Claims History'!$C$6:$C$15,MATCH($U119,'Claims History'!$B$6:$B$15,0)),"?"))</f>
        <v/>
      </c>
      <c r="BE119" s="97" t="str">
        <f>IF($A119="","",IFERROR(INDEX('Territory Factors'!$E$6:$E$56,MATCH($K119,'Territory Factors'!$B$6:$B$56,0)),"?"))</f>
        <v/>
      </c>
      <c r="BF119" s="97" t="str">
        <f>IF($A119="","",IFERROR(INDEX('City Accident Ratings'!$G$6:$G$54,MATCH($Z119,'City Accident Ratings'!$B$6:$B$54,0)),"?"))</f>
        <v/>
      </c>
      <c r="BG119" s="97" t="str">
        <f>IF($A119="","",IFERROR(INDEX('Usage and Coverage'!$D$6:$D$20,MATCH($N119,'Usage and Coverage'!$C$6:$C$20,0)),"?"))</f>
        <v/>
      </c>
      <c r="BH119" s="97" t="str">
        <f>IF($A119="","",IFERROR(INDEX('Usage and Coverage'!$C$24:$C$30,MATCH($O119,'Usage and Coverage'!$B$24:$B$30,0)),"?"))</f>
        <v/>
      </c>
      <c r="BI119" s="97" t="str">
        <f>IF($A119="","",IFERROR(INDEX('Usage and Coverage'!$C$34:$C$40,MATCH($P119,'Usage and Coverage'!$B$34:$B$40,0)),"?"))</f>
        <v/>
      </c>
      <c r="BJ119" s="97" t="str">
        <f>IF($A119="","",IFERROR(INDEX('Usage and Coverage'!$C$44:$C$49,MATCH($Q119,'Usage and Coverage'!$B$44:$B$49,0)),"?"))</f>
        <v/>
      </c>
      <c r="BK119" s="97" t="str">
        <f>IF($A119="","",IFERROR(INDEX(Deductibles!$C$6:$I$15,MATCH($W119,Deductibles!$B$6:$B$15,0),MATCH(MAX($J119,'Technical Premium'!$C$18),'Base Rates'!$C$3:$I$3,1)),"?"))</f>
        <v/>
      </c>
      <c r="BL119" s="97" t="str">
        <f>IF($A119="","",IFERROR(INDEX('Usage and Coverage'!$C$63:$C$66,MATCH($X119,'Usage and Coverage'!$B$63:$B$66,0)),"?"))</f>
        <v/>
      </c>
      <c r="BM119" s="97" t="str">
        <f>IF($A119="","",IFERROR(INDEX('Usage and Coverage'!$C$70:$C$75,MATCH($V119,'Usage and Coverage'!$B$70:$B$75,0)),"?"))</f>
        <v/>
      </c>
      <c r="BN119" s="97" t="str">
        <f>IF($A119="","",IF($AB119="",1,IFERROR(INDEX(Deductibles!$C$48:$C$51,MATCH($AB119,Deductibles!$B$48:$B$51,0)),"?")))</f>
        <v/>
      </c>
      <c r="BO119" s="97" t="str">
        <f>IF($A119="","",IF($AC119="",1,IFERROR(INDEX(Deductibles!$C$55:$C$57,MATCH($AC119,Deductibles!$B$55:$B$57,0)),"?")))</f>
        <v/>
      </c>
      <c r="BP119" s="97" t="str">
        <f>IF($A119="","",IF($AD119="",1,IFERROR(INDEX(Deductibles!$C$61:$C$63,MATCH($AD119,Deductibles!$B$61:$B$63,0)),"?")))</f>
        <v/>
      </c>
      <c r="BQ119" s="97" t="str">
        <f>IF($A119="","",IF($AE119="",1,IFERROR(INDEX(Deductibles!$C$67:$C$69,MATCH($AE119,Deductibles!$B$67:$B$69,0)),"?")))</f>
        <v/>
      </c>
      <c r="BR119" s="97" t="str">
        <f>IF($A119="","",IF($AF119="",1,IFERROR(INDEX(Deductibles!$C$73:$C$74,MATCH($AF119,Deductibles!$B$73:$B$74,0)),"?")))</f>
        <v/>
      </c>
      <c r="BS119" s="97" t="str">
        <f>IF($A119="","",IF($AG119="",1,IFERROR(INDEX('Sublimits and Parts'!$C$49:$C$52,MATCH($AG119,'Sublimits and Parts'!$B$49:$B$52,0)),"?")))</f>
        <v/>
      </c>
      <c r="BT119" s="97" t="str">
        <f>IF($A119="","",IF($AH119="",1,IFERROR(INDEX('Sublimits and Parts'!$C$56:$C$60,MATCH($AH119,'Sublimits and Parts'!$B$56:$B$60,0)),"?")))</f>
        <v/>
      </c>
      <c r="BU119" s="97" t="str">
        <f>IF($A119="","",IF($AI119="",1,IFERROR(INDEX('Sublimits and Parts'!$C$64:$C$67,MATCH($AI119,'Sublimits and Parts'!$B$64:$B$67,0)),"?")))</f>
        <v/>
      </c>
      <c r="BV119" s="97" t="str">
        <f>IF($A119="","",IF($AJ119="",1,IFERROR(INDEX('Sublimits and Parts'!$C$71:$C$74,MATCH($AJ119,'Sublimits and Parts'!$B$71:$B$74,0)),"?")))</f>
        <v/>
      </c>
      <c r="BW119" s="97" t="str">
        <f>IF($A119="","",IF($AK119="",1,IFERROR(INDEX('Sublimits and Parts'!$C$78:$C$80,MATCH($AK119,'Sublimits and Parts'!$B$78:$B$80,0)),"?")))</f>
        <v/>
      </c>
      <c r="BX119" s="97" t="str">
        <f>IF($A119="","",IF($AL119="",1,IFERROR(INDEX('Sublimits and Parts'!$C$84:$C$87,MATCH($AL119,'Sublimits and Parts'!$B$84:$B$87,0)),"?")))</f>
        <v/>
      </c>
      <c r="BY119" s="97" t="str">
        <f>IF($A119="","",IF($AM119="",1,IFERROR(INDEX('Sublimits and Parts'!$C$91:$C$94,MATCH($AM119,'Sublimits and Parts'!$B$91:$B$94,0)),"?")))</f>
        <v/>
      </c>
      <c r="BZ119" s="97" t="str">
        <f>IF($A119="","",IF($AN119="",1,IFERROR(INDEX('Sublimits and Parts'!$C$98:$C$101,MATCH($AN119,'Sublimits and Parts'!$B$98:$B$101,0)),"?")))</f>
        <v/>
      </c>
      <c r="CA119" s="97" t="str">
        <f>IF($A119="","",IF($AO119="",1,IFERROR(INDEX('Sublimits and Parts'!$C$105:$C$109,MATCH($AO119,'Sublimits and Parts'!$B$105:$B$109,0)),"?")))</f>
        <v/>
      </c>
      <c r="CB119" s="98" t="str">
        <f t="shared" si="15"/>
        <v/>
      </c>
      <c r="CC119" s="98" t="str">
        <f t="shared" si="16"/>
        <v/>
      </c>
      <c r="CD119" s="101" t="str">
        <f>IF($A119="","",IF(OR($CB119="?",$CC119="?"),"?",MIN($CB119*$CC119,'Technical Premium'!$C$17)))</f>
        <v/>
      </c>
      <c r="CE119" s="100" t="str">
        <f t="shared" si="17"/>
        <v/>
      </c>
      <c r="CF119" s="100" t="str">
        <f>IF($A119="","",IFERROR(INDEX('Territory Factors'!$F$6:$F$56,MATCH($K119,'Territory Factors'!$B$6:$B$56,0)),"?"))</f>
        <v/>
      </c>
      <c r="CG119" s="98" t="str">
        <f>IF($A119="","",IFERROR(INDEX('Usage and Coverage'!$C$79:$C$84,MATCH($Y119,'Usage and Coverage'!$B$79:$B$84,0)),"?"))</f>
        <v/>
      </c>
      <c r="CH119" s="100" t="str">
        <f>IFERROR(IF(ISNUMBER($CD119),$CF119*$CG119*MIN($BG119*$BA119*$BC119*$BD119*$BH119*$BF119,'Technical Premium'!$C$17),""),"")</f>
        <v/>
      </c>
      <c r="CI119" s="100" t="str">
        <f t="shared" si="18"/>
        <v/>
      </c>
      <c r="CJ119" s="100" t="str">
        <f>IFERROR($CI119*(1+'Technical Premium'!$C$5)*(1+'Technical Premium'!$C$6),"")</f>
        <v/>
      </c>
      <c r="CK119" s="100" t="str">
        <f>IFERROR($CE119*INDEX('Territory Factors'!$G$6:$G$56,MATCH($K119,'Territory Factors'!$B$6:$B$56,0))*$AU119*$AV119,"")</f>
        <v/>
      </c>
      <c r="CL119" s="100" t="str">
        <f>IFERROR(($CJ119+$CK119)*(1+'Technical Premium'!$C$7),"")</f>
        <v/>
      </c>
      <c r="CM119" s="102" t="str">
        <f>IFERROR($CL119/'Technical Premium'!$C$13,"")</f>
        <v/>
      </c>
      <c r="CN119" s="103" t="str">
        <f t="shared" si="19"/>
        <v/>
      </c>
      <c r="CO119" s="102" t="str">
        <f t="shared" si="20"/>
        <v/>
      </c>
      <c r="CP119" s="103" t="str">
        <f t="shared" si="21"/>
        <v/>
      </c>
      <c r="CQ119" s="104" t="str">
        <f t="shared" si="22"/>
        <v/>
      </c>
      <c r="CR119" s="100" t="str">
        <f>IF(ISNUMBER($CM119),'Technical Premium'!$C$14+IF($J119&gt;=1000000,'Technical Premium'!$C$15,0),"")</f>
        <v/>
      </c>
      <c r="CS119" s="100" t="str">
        <f>IFERROR(($CO119+$CR119)*(INDEX('Territory Factors'!$K$6:$K$56,MATCH($K119,'Territory Factors'!$B$6:$B$56,0))+'Commission Structure'!$C$21),"")</f>
        <v/>
      </c>
      <c r="CT119" s="102" t="str">
        <f t="shared" si="23"/>
        <v/>
      </c>
      <c r="CU119" s="100" t="str">
        <f>IFERROR($CO119*('Commission Structure'!$C$6+'Commission Structure'!$C$7),"")</f>
        <v/>
      </c>
      <c r="CV119" s="100" t="str">
        <f>IFERROR($CO119*'Commission Structure'!$C$5-$CU119,"")</f>
        <v/>
      </c>
      <c r="CW119" s="100" t="str">
        <f>IFERROR($CO119*(1-'Commission Structure'!$C$5),"")</f>
        <v/>
      </c>
      <c r="CX119" s="105" t="str">
        <f>IF($A119="","",IF(OR($CB119="?",$CC119="?",NOT(ISNUMBER($AU119))),"CHECK INPUTS",IF(OR($J119&lt;'Technical Premium'!$C$18,LEFT(IFERROR(INDEX('Driver Factors'!$D$6:$D$15,MATCH($R119,'Driver Factors'!$B$6:$B$15,0)),""),7)="DECLINE",LEFT(IFERROR(INDEX('Driver Factors'!$D$28:$D$36,MATCH($T119,'Driver Factors'!$B$28:$B$36,0)),""),7)="DECLINE",LEFT(IFERROR(INDEX('Claims History'!$D$6:$D$15,MATCH($U119,'Claims History'!$B$6:$B$15,0)),""),7)="DECLINE",LEFT(IFERROR(INDEX('Usage and Coverage'!$E$6:$E$20,MATCH($N119,'Usage and Coverage'!$C$6:$C$20,0)),""),7)="DECLINE"),"DECLINE",IF(OR($CD119&gt;2.5,$CD119&gt;='Technical Premium'!$C$17,$J119&gt;='Technical Premium'!$C$16,N($AQ119)&lt;'Technical Premium'!$C$19,N($AQ119)&gt;'Technical Premium'!$C$20,LEFT(IFERROR(INDEX('Driver Factors'!$D$6:$D$15,MATCH($R119,'Driver Factors'!$B$6:$B$15,0)),""),5)="Refer",LEFT(IFERROR(INDEX('Driver Factors'!$D$28:$D$36,MATCH($T119,'Driver Factors'!$B$28:$B$36,0)),""),5)="Refer",LEFT(IFERROR(INDEX('Claims History'!$D$6:$D$15,MATCH($U119,'Claims History'!$B$6:$B$15,0)),""),5)="Refer",LEFT(IFERROR(INDEX('Usage and Coverage'!$E$6:$E$20,MATCH($N119,'Usage and Coverage'!$C$6:$C$20,0)),""),5)="Refer"),"REFER","AUTO-BIND"))))</f>
        <v/>
      </c>
      <c r="CY119" s="106" t="str">
        <f t="shared" si="24"/>
        <v/>
      </c>
      <c r="CZ119" s="97" t="str">
        <f>IF($CY119="","",IF($CY119&lt;'Technical Premium'!$C$19,"BEYOND AUTHORITY",IF($CY119&gt;0.005,"Above technical",IF($CY119&lt;-0.005,"BELOW technical","At technical"))))</f>
        <v/>
      </c>
      <c r="DA119" s="97" t="str">
        <f>IF($A119="","",IF($CX119="AUTO-BIND","",TRIM(IF($J119&lt;'Technical Premium'!$C$18,"Below programme minimum agreed value. ","")&amp;IF(N($AQ119)&lt;'Technical Premium'!$C$19,"DISCOUNT AUTHORITY BREACH. ","")&amp;IF(N($AQ119)&gt;'Technical Premium'!$C$20,"Load authority breach. ","")&amp;IF($J119&gt;='Technical Premium'!$C$16,"Agreed value at or above auto-bind limit. ","")&amp;IF(AND(ISNUMBER($CD119),$CD119&gt;='Technical Premium'!$C$17),"Composite factor at cap. ","")&amp;IF(AND(ISNUMBER($CD119),$CD119&gt;2.5),"Composite factor above 2.50. ","")&amp;IF(LEFT(IFERROR(INDEX('Driver Factors'!$D$6:$D$15,MATCH($R119,'Driver Factors'!$B$6:$B$15,0)),""),7)="DECLINE","DECLINE - driver age. ",IF(LEFT(IFERROR(INDEX('Driver Factors'!$D$6:$D$15,MATCH($R119,'Driver Factors'!$B$6:$B$15,0)),""),5)="Refer","Driver age band. ",""))&amp;IF(LEFT(IFERROR(INDEX('Driver Factors'!$D$28:$D$36,MATCH($T119,'Driver Factors'!$B$28:$B$36,0)),""),7)="DECLINE","DECLINE - MVR. ",IF(LEFT(IFERROR(INDEX('Driver Factors'!$D$28:$D$36,MATCH($T119,'Driver Factors'!$B$28:$B$36,0)),""),5)="Refer","MVR record. ",""))&amp;IF(LEFT(IFERROR(INDEX('Claims History'!$D$6:$D$15,MATCH($U119,'Claims History'!$B$6:$B$15,0)),""),7)="DECLINE","DECLINE - claims. ",IF(LEFT(IFERROR(INDEX('Claims History'!$D$6:$D$15,MATCH($U119,'Claims History'!$B$6:$B$15,0)),""),5)="Refer","Claims history. ",""))&amp;IF(LEFT(IFERROR(INDEX('Usage and Coverage'!$E$6:$E$20,MATCH($N119,'Usage and Coverage'!$C$6:$C$20,0)),""),7)="DECLINE","DECLINE - usage class. ",IF(LEFT(IFERROR(INDEX('Usage and Coverage'!$E$6:$E$20,MATCH($N119,'Usage and Coverage'!$C$6:$C$20,0)),""),5)="Refer","Usage class. ",""))&amp;IF($CX119="CHECK INPUTS","Incomplete inputs. ",""))))</f>
        <v/>
      </c>
      <c r="DB119" s="92"/>
      <c r="DC119" s="92"/>
      <c r="DD119" s="93"/>
      <c r="DE119" s="92"/>
      <c r="DF119" s="92"/>
      <c r="DG119" s="97" t="str">
        <f t="shared" si="25"/>
        <v/>
      </c>
      <c r="DH119" s="97" t="str">
        <f>IF($A119="","",IF(OR($CX119="REFER",$CX119="DECLINE"),COUNTIF($CX$5:$CX119,"REFER")+COUNTIF($CX$5:$CX119,"DECLINE"),""))</f>
        <v/>
      </c>
      <c r="DI119" s="92"/>
    </row>
    <row r="120" spans="1:113" x14ac:dyDescent="0.25">
      <c r="A120" s="92"/>
      <c r="B120" s="92"/>
      <c r="C120" s="93"/>
      <c r="D120" s="93"/>
      <c r="E120" s="94"/>
      <c r="F120" s="92"/>
      <c r="G120" s="92"/>
      <c r="H120" s="92"/>
      <c r="I120" s="92"/>
      <c r="J120" s="95"/>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6"/>
      <c r="AR120" s="97" t="str">
        <f t="shared" si="13"/>
        <v/>
      </c>
      <c r="AS120" s="97" t="str">
        <f>IF($A120="","",IF($AP120&lt;&gt;"",$AP120,IFERROR(INDEX('Cat Zone by ZIP'!$D$6:$D$856,MATCH($AR120,'Cat Zone by ZIP'!$B$6:$B$856,0)),IFERROR(INDEX('Cat Zone by ZIP'!$C$860:$C$910,MATCH($K120,'Cat Zone by ZIP'!$B$860:$B$910,0)),"NOT FOUND"))))</f>
        <v/>
      </c>
      <c r="AT120" s="97" t="str">
        <f>IF($A120="","",IF($AP120&lt;&gt;"","Override",IF(ISNUMBER(MATCH($AR120,'Cat Zone by ZIP'!$B$6:$B$856,0)),"ZIP-3","State default")))</f>
        <v/>
      </c>
      <c r="AU120" s="98" t="str">
        <f>IF($A120="","",IFERROR(INDEX('Natural Catastrophe'!$D$6:$D$17,MATCH($AS120,'Natural Catastrophe'!$B$6:$B$17,0)),"?"))</f>
        <v/>
      </c>
      <c r="AV120" s="98" t="str">
        <f>IF($A120="","",IFERROR(INDEX('Natural Catastrophe'!$C$21:$C$26,MATCH($AA120,'Natural Catastrophe'!$B$21:$B$26,0)),"?"))</f>
        <v/>
      </c>
      <c r="AW120" s="97" t="str">
        <f>IF($A120="","",IFERROR(INDEX('Base Rates'!$C$4:$I$4,MATCH(MAX($J120,'Technical Premium'!$C$18),'Base Rates'!$C$3:$I$3,1)),"?"))</f>
        <v/>
      </c>
      <c r="AX120" s="99" t="str">
        <f>IF($A120="","",IFERROR(INDEX('Base Rates'!$C$5:$I$16,MATCH($I120,'Base Rates'!$B$5:$B$16,0),MATCH(MAX($J120,'Technical Premium'!$C$18),'Base Rates'!$C$3:$I$3,1)),"?"))</f>
        <v/>
      </c>
      <c r="AY120" s="100" t="str">
        <f t="shared" si="14"/>
        <v/>
      </c>
      <c r="AZ120" s="97" t="str">
        <f>IF($A120="","",IFERROR(INDEX('Make Factors'!$G$5:$G$69,MATCH($F120,'Make Factors'!$B$5:$B$69,0)),"?"))</f>
        <v/>
      </c>
      <c r="BA120" s="97" t="str">
        <f>IF($A120="","",IFERROR(INDEX('Driver Factors'!$C$6:$C$15,MATCH($R120,'Driver Factors'!$B$6:$B$15,0)),"?"))</f>
        <v/>
      </c>
      <c r="BB120" s="97" t="str">
        <f>IF($A120="","",IFERROR(INDEX('Driver Factors'!$C$19:$C$24,MATCH($S120,'Driver Factors'!$B$19:$B$24,0)),"?"))</f>
        <v/>
      </c>
      <c r="BC120" s="97" t="str">
        <f>IF($A120="","",IFERROR(INDEX('Driver Factors'!$C$28:$C$36,MATCH($T120,'Driver Factors'!$B$28:$B$36,0)),"?"))</f>
        <v/>
      </c>
      <c r="BD120" s="97" t="str">
        <f>IF($A120="","",IFERROR(INDEX('Claims History'!$C$6:$C$15,MATCH($U120,'Claims History'!$B$6:$B$15,0)),"?"))</f>
        <v/>
      </c>
      <c r="BE120" s="97" t="str">
        <f>IF($A120="","",IFERROR(INDEX('Territory Factors'!$E$6:$E$56,MATCH($K120,'Territory Factors'!$B$6:$B$56,0)),"?"))</f>
        <v/>
      </c>
      <c r="BF120" s="97" t="str">
        <f>IF($A120="","",IFERROR(INDEX('City Accident Ratings'!$G$6:$G$54,MATCH($Z120,'City Accident Ratings'!$B$6:$B$54,0)),"?"))</f>
        <v/>
      </c>
      <c r="BG120" s="97" t="str">
        <f>IF($A120="","",IFERROR(INDEX('Usage and Coverage'!$D$6:$D$20,MATCH($N120,'Usage and Coverage'!$C$6:$C$20,0)),"?"))</f>
        <v/>
      </c>
      <c r="BH120" s="97" t="str">
        <f>IF($A120="","",IFERROR(INDEX('Usage and Coverage'!$C$24:$C$30,MATCH($O120,'Usage and Coverage'!$B$24:$B$30,0)),"?"))</f>
        <v/>
      </c>
      <c r="BI120" s="97" t="str">
        <f>IF($A120="","",IFERROR(INDEX('Usage and Coverage'!$C$34:$C$40,MATCH($P120,'Usage and Coverage'!$B$34:$B$40,0)),"?"))</f>
        <v/>
      </c>
      <c r="BJ120" s="97" t="str">
        <f>IF($A120="","",IFERROR(INDEX('Usage and Coverage'!$C$44:$C$49,MATCH($Q120,'Usage and Coverage'!$B$44:$B$49,0)),"?"))</f>
        <v/>
      </c>
      <c r="BK120" s="97" t="str">
        <f>IF($A120="","",IFERROR(INDEX(Deductibles!$C$6:$I$15,MATCH($W120,Deductibles!$B$6:$B$15,0),MATCH(MAX($J120,'Technical Premium'!$C$18),'Base Rates'!$C$3:$I$3,1)),"?"))</f>
        <v/>
      </c>
      <c r="BL120" s="97" t="str">
        <f>IF($A120="","",IFERROR(INDEX('Usage and Coverage'!$C$63:$C$66,MATCH($X120,'Usage and Coverage'!$B$63:$B$66,0)),"?"))</f>
        <v/>
      </c>
      <c r="BM120" s="97" t="str">
        <f>IF($A120="","",IFERROR(INDEX('Usage and Coverage'!$C$70:$C$75,MATCH($V120,'Usage and Coverage'!$B$70:$B$75,0)),"?"))</f>
        <v/>
      </c>
      <c r="BN120" s="97" t="str">
        <f>IF($A120="","",IF($AB120="",1,IFERROR(INDEX(Deductibles!$C$48:$C$51,MATCH($AB120,Deductibles!$B$48:$B$51,0)),"?")))</f>
        <v/>
      </c>
      <c r="BO120" s="97" t="str">
        <f>IF($A120="","",IF($AC120="",1,IFERROR(INDEX(Deductibles!$C$55:$C$57,MATCH($AC120,Deductibles!$B$55:$B$57,0)),"?")))</f>
        <v/>
      </c>
      <c r="BP120" s="97" t="str">
        <f>IF($A120="","",IF($AD120="",1,IFERROR(INDEX(Deductibles!$C$61:$C$63,MATCH($AD120,Deductibles!$B$61:$B$63,0)),"?")))</f>
        <v/>
      </c>
      <c r="BQ120" s="97" t="str">
        <f>IF($A120="","",IF($AE120="",1,IFERROR(INDEX(Deductibles!$C$67:$C$69,MATCH($AE120,Deductibles!$B$67:$B$69,0)),"?")))</f>
        <v/>
      </c>
      <c r="BR120" s="97" t="str">
        <f>IF($A120="","",IF($AF120="",1,IFERROR(INDEX(Deductibles!$C$73:$C$74,MATCH($AF120,Deductibles!$B$73:$B$74,0)),"?")))</f>
        <v/>
      </c>
      <c r="BS120" s="97" t="str">
        <f>IF($A120="","",IF($AG120="",1,IFERROR(INDEX('Sublimits and Parts'!$C$49:$C$52,MATCH($AG120,'Sublimits and Parts'!$B$49:$B$52,0)),"?")))</f>
        <v/>
      </c>
      <c r="BT120" s="97" t="str">
        <f>IF($A120="","",IF($AH120="",1,IFERROR(INDEX('Sublimits and Parts'!$C$56:$C$60,MATCH($AH120,'Sublimits and Parts'!$B$56:$B$60,0)),"?")))</f>
        <v/>
      </c>
      <c r="BU120" s="97" t="str">
        <f>IF($A120="","",IF($AI120="",1,IFERROR(INDEX('Sublimits and Parts'!$C$64:$C$67,MATCH($AI120,'Sublimits and Parts'!$B$64:$B$67,0)),"?")))</f>
        <v/>
      </c>
      <c r="BV120" s="97" t="str">
        <f>IF($A120="","",IF($AJ120="",1,IFERROR(INDEX('Sublimits and Parts'!$C$71:$C$74,MATCH($AJ120,'Sublimits and Parts'!$B$71:$B$74,0)),"?")))</f>
        <v/>
      </c>
      <c r="BW120" s="97" t="str">
        <f>IF($A120="","",IF($AK120="",1,IFERROR(INDEX('Sublimits and Parts'!$C$78:$C$80,MATCH($AK120,'Sublimits and Parts'!$B$78:$B$80,0)),"?")))</f>
        <v/>
      </c>
      <c r="BX120" s="97" t="str">
        <f>IF($A120="","",IF($AL120="",1,IFERROR(INDEX('Sublimits and Parts'!$C$84:$C$87,MATCH($AL120,'Sublimits and Parts'!$B$84:$B$87,0)),"?")))</f>
        <v/>
      </c>
      <c r="BY120" s="97" t="str">
        <f>IF($A120="","",IF($AM120="",1,IFERROR(INDEX('Sublimits and Parts'!$C$91:$C$94,MATCH($AM120,'Sublimits and Parts'!$B$91:$B$94,0)),"?")))</f>
        <v/>
      </c>
      <c r="BZ120" s="97" t="str">
        <f>IF($A120="","",IF($AN120="",1,IFERROR(INDEX('Sublimits and Parts'!$C$98:$C$101,MATCH($AN120,'Sublimits and Parts'!$B$98:$B$101,0)),"?")))</f>
        <v/>
      </c>
      <c r="CA120" s="97" t="str">
        <f>IF($A120="","",IF($AO120="",1,IFERROR(INDEX('Sublimits and Parts'!$C$105:$C$109,MATCH($AO120,'Sublimits and Parts'!$B$105:$B$109,0)),"?")))</f>
        <v/>
      </c>
      <c r="CB120" s="98" t="str">
        <f t="shared" si="15"/>
        <v/>
      </c>
      <c r="CC120" s="98" t="str">
        <f t="shared" si="16"/>
        <v/>
      </c>
      <c r="CD120" s="101" t="str">
        <f>IF($A120="","",IF(OR($CB120="?",$CC120="?"),"?",MIN($CB120*$CC120,'Technical Premium'!$C$17)))</f>
        <v/>
      </c>
      <c r="CE120" s="100" t="str">
        <f t="shared" si="17"/>
        <v/>
      </c>
      <c r="CF120" s="100" t="str">
        <f>IF($A120="","",IFERROR(INDEX('Territory Factors'!$F$6:$F$56,MATCH($K120,'Territory Factors'!$B$6:$B$56,0)),"?"))</f>
        <v/>
      </c>
      <c r="CG120" s="98" t="str">
        <f>IF($A120="","",IFERROR(INDEX('Usage and Coverage'!$C$79:$C$84,MATCH($Y120,'Usage and Coverage'!$B$79:$B$84,0)),"?"))</f>
        <v/>
      </c>
      <c r="CH120" s="100" t="str">
        <f>IFERROR(IF(ISNUMBER($CD120),$CF120*$CG120*MIN($BG120*$BA120*$BC120*$BD120*$BH120*$BF120,'Technical Premium'!$C$17),""),"")</f>
        <v/>
      </c>
      <c r="CI120" s="100" t="str">
        <f t="shared" si="18"/>
        <v/>
      </c>
      <c r="CJ120" s="100" t="str">
        <f>IFERROR($CI120*(1+'Technical Premium'!$C$5)*(1+'Technical Premium'!$C$6),"")</f>
        <v/>
      </c>
      <c r="CK120" s="100" t="str">
        <f>IFERROR($CE120*INDEX('Territory Factors'!$G$6:$G$56,MATCH($K120,'Territory Factors'!$B$6:$B$56,0))*$AU120*$AV120,"")</f>
        <v/>
      </c>
      <c r="CL120" s="100" t="str">
        <f>IFERROR(($CJ120+$CK120)*(1+'Technical Premium'!$C$7),"")</f>
        <v/>
      </c>
      <c r="CM120" s="102" t="str">
        <f>IFERROR($CL120/'Technical Premium'!$C$13,"")</f>
        <v/>
      </c>
      <c r="CN120" s="103" t="str">
        <f t="shared" si="19"/>
        <v/>
      </c>
      <c r="CO120" s="102" t="str">
        <f t="shared" si="20"/>
        <v/>
      </c>
      <c r="CP120" s="103" t="str">
        <f t="shared" si="21"/>
        <v/>
      </c>
      <c r="CQ120" s="104" t="str">
        <f t="shared" si="22"/>
        <v/>
      </c>
      <c r="CR120" s="100" t="str">
        <f>IF(ISNUMBER($CM120),'Technical Premium'!$C$14+IF($J120&gt;=1000000,'Technical Premium'!$C$15,0),"")</f>
        <v/>
      </c>
      <c r="CS120" s="100" t="str">
        <f>IFERROR(($CO120+$CR120)*(INDEX('Territory Factors'!$K$6:$K$56,MATCH($K120,'Territory Factors'!$B$6:$B$56,0))+'Commission Structure'!$C$21),"")</f>
        <v/>
      </c>
      <c r="CT120" s="102" t="str">
        <f t="shared" si="23"/>
        <v/>
      </c>
      <c r="CU120" s="100" t="str">
        <f>IFERROR($CO120*('Commission Structure'!$C$6+'Commission Structure'!$C$7),"")</f>
        <v/>
      </c>
      <c r="CV120" s="100" t="str">
        <f>IFERROR($CO120*'Commission Structure'!$C$5-$CU120,"")</f>
        <v/>
      </c>
      <c r="CW120" s="100" t="str">
        <f>IFERROR($CO120*(1-'Commission Structure'!$C$5),"")</f>
        <v/>
      </c>
      <c r="CX120" s="105" t="str">
        <f>IF($A120="","",IF(OR($CB120="?",$CC120="?",NOT(ISNUMBER($AU120))),"CHECK INPUTS",IF(OR($J120&lt;'Technical Premium'!$C$18,LEFT(IFERROR(INDEX('Driver Factors'!$D$6:$D$15,MATCH($R120,'Driver Factors'!$B$6:$B$15,0)),""),7)="DECLINE",LEFT(IFERROR(INDEX('Driver Factors'!$D$28:$D$36,MATCH($T120,'Driver Factors'!$B$28:$B$36,0)),""),7)="DECLINE",LEFT(IFERROR(INDEX('Claims History'!$D$6:$D$15,MATCH($U120,'Claims History'!$B$6:$B$15,0)),""),7)="DECLINE",LEFT(IFERROR(INDEX('Usage and Coverage'!$E$6:$E$20,MATCH($N120,'Usage and Coverage'!$C$6:$C$20,0)),""),7)="DECLINE"),"DECLINE",IF(OR($CD120&gt;2.5,$CD120&gt;='Technical Premium'!$C$17,$J120&gt;='Technical Premium'!$C$16,N($AQ120)&lt;'Technical Premium'!$C$19,N($AQ120)&gt;'Technical Premium'!$C$20,LEFT(IFERROR(INDEX('Driver Factors'!$D$6:$D$15,MATCH($R120,'Driver Factors'!$B$6:$B$15,0)),""),5)="Refer",LEFT(IFERROR(INDEX('Driver Factors'!$D$28:$D$36,MATCH($T120,'Driver Factors'!$B$28:$B$36,0)),""),5)="Refer",LEFT(IFERROR(INDEX('Claims History'!$D$6:$D$15,MATCH($U120,'Claims History'!$B$6:$B$15,0)),""),5)="Refer",LEFT(IFERROR(INDEX('Usage and Coverage'!$E$6:$E$20,MATCH($N120,'Usage and Coverage'!$C$6:$C$20,0)),""),5)="Refer"),"REFER","AUTO-BIND"))))</f>
        <v/>
      </c>
      <c r="CY120" s="106" t="str">
        <f t="shared" si="24"/>
        <v/>
      </c>
      <c r="CZ120" s="97" t="str">
        <f>IF($CY120="","",IF($CY120&lt;'Technical Premium'!$C$19,"BEYOND AUTHORITY",IF($CY120&gt;0.005,"Above technical",IF($CY120&lt;-0.005,"BELOW technical","At technical"))))</f>
        <v/>
      </c>
      <c r="DA120" s="97" t="str">
        <f>IF($A120="","",IF($CX120="AUTO-BIND","",TRIM(IF($J120&lt;'Technical Premium'!$C$18,"Below programme minimum agreed value. ","")&amp;IF(N($AQ120)&lt;'Technical Premium'!$C$19,"DISCOUNT AUTHORITY BREACH. ","")&amp;IF(N($AQ120)&gt;'Technical Premium'!$C$20,"Load authority breach. ","")&amp;IF($J120&gt;='Technical Premium'!$C$16,"Agreed value at or above auto-bind limit. ","")&amp;IF(AND(ISNUMBER($CD120),$CD120&gt;='Technical Premium'!$C$17),"Composite factor at cap. ","")&amp;IF(AND(ISNUMBER($CD120),$CD120&gt;2.5),"Composite factor above 2.50. ","")&amp;IF(LEFT(IFERROR(INDEX('Driver Factors'!$D$6:$D$15,MATCH($R120,'Driver Factors'!$B$6:$B$15,0)),""),7)="DECLINE","DECLINE - driver age. ",IF(LEFT(IFERROR(INDEX('Driver Factors'!$D$6:$D$15,MATCH($R120,'Driver Factors'!$B$6:$B$15,0)),""),5)="Refer","Driver age band. ",""))&amp;IF(LEFT(IFERROR(INDEX('Driver Factors'!$D$28:$D$36,MATCH($T120,'Driver Factors'!$B$28:$B$36,0)),""),7)="DECLINE","DECLINE - MVR. ",IF(LEFT(IFERROR(INDEX('Driver Factors'!$D$28:$D$36,MATCH($T120,'Driver Factors'!$B$28:$B$36,0)),""),5)="Refer","MVR record. ",""))&amp;IF(LEFT(IFERROR(INDEX('Claims History'!$D$6:$D$15,MATCH($U120,'Claims History'!$B$6:$B$15,0)),""),7)="DECLINE","DECLINE - claims. ",IF(LEFT(IFERROR(INDEX('Claims History'!$D$6:$D$15,MATCH($U120,'Claims History'!$B$6:$B$15,0)),""),5)="Refer","Claims history. ",""))&amp;IF(LEFT(IFERROR(INDEX('Usage and Coverage'!$E$6:$E$20,MATCH($N120,'Usage and Coverage'!$C$6:$C$20,0)),""),7)="DECLINE","DECLINE - usage class. ",IF(LEFT(IFERROR(INDEX('Usage and Coverage'!$E$6:$E$20,MATCH($N120,'Usage and Coverage'!$C$6:$C$20,0)),""),5)="Refer","Usage class. ",""))&amp;IF($CX120="CHECK INPUTS","Incomplete inputs. ",""))))</f>
        <v/>
      </c>
      <c r="DB120" s="92"/>
      <c r="DC120" s="92"/>
      <c r="DD120" s="93"/>
      <c r="DE120" s="92"/>
      <c r="DF120" s="92"/>
      <c r="DG120" s="97" t="str">
        <f t="shared" si="25"/>
        <v/>
      </c>
      <c r="DH120" s="97" t="str">
        <f>IF($A120="","",IF(OR($CX120="REFER",$CX120="DECLINE"),COUNTIF($CX$5:$CX120,"REFER")+COUNTIF($CX$5:$CX120,"DECLINE"),""))</f>
        <v/>
      </c>
      <c r="DI120" s="92"/>
    </row>
    <row r="121" spans="1:113" x14ac:dyDescent="0.25">
      <c r="A121" s="92"/>
      <c r="B121" s="92"/>
      <c r="C121" s="93"/>
      <c r="D121" s="93"/>
      <c r="E121" s="94"/>
      <c r="F121" s="92"/>
      <c r="G121" s="92"/>
      <c r="H121" s="92"/>
      <c r="I121" s="92"/>
      <c r="J121" s="95"/>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6"/>
      <c r="AR121" s="97" t="str">
        <f t="shared" si="13"/>
        <v/>
      </c>
      <c r="AS121" s="97" t="str">
        <f>IF($A121="","",IF($AP121&lt;&gt;"",$AP121,IFERROR(INDEX('Cat Zone by ZIP'!$D$6:$D$856,MATCH($AR121,'Cat Zone by ZIP'!$B$6:$B$856,0)),IFERROR(INDEX('Cat Zone by ZIP'!$C$860:$C$910,MATCH($K121,'Cat Zone by ZIP'!$B$860:$B$910,0)),"NOT FOUND"))))</f>
        <v/>
      </c>
      <c r="AT121" s="97" t="str">
        <f>IF($A121="","",IF($AP121&lt;&gt;"","Override",IF(ISNUMBER(MATCH($AR121,'Cat Zone by ZIP'!$B$6:$B$856,0)),"ZIP-3","State default")))</f>
        <v/>
      </c>
      <c r="AU121" s="98" t="str">
        <f>IF($A121="","",IFERROR(INDEX('Natural Catastrophe'!$D$6:$D$17,MATCH($AS121,'Natural Catastrophe'!$B$6:$B$17,0)),"?"))</f>
        <v/>
      </c>
      <c r="AV121" s="98" t="str">
        <f>IF($A121="","",IFERROR(INDEX('Natural Catastrophe'!$C$21:$C$26,MATCH($AA121,'Natural Catastrophe'!$B$21:$B$26,0)),"?"))</f>
        <v/>
      </c>
      <c r="AW121" s="97" t="str">
        <f>IF($A121="","",IFERROR(INDEX('Base Rates'!$C$4:$I$4,MATCH(MAX($J121,'Technical Premium'!$C$18),'Base Rates'!$C$3:$I$3,1)),"?"))</f>
        <v/>
      </c>
      <c r="AX121" s="99" t="str">
        <f>IF($A121="","",IFERROR(INDEX('Base Rates'!$C$5:$I$16,MATCH($I121,'Base Rates'!$B$5:$B$16,0),MATCH(MAX($J121,'Technical Premium'!$C$18),'Base Rates'!$C$3:$I$3,1)),"?"))</f>
        <v/>
      </c>
      <c r="AY121" s="100" t="str">
        <f t="shared" si="14"/>
        <v/>
      </c>
      <c r="AZ121" s="97" t="str">
        <f>IF($A121="","",IFERROR(INDEX('Make Factors'!$G$5:$G$69,MATCH($F121,'Make Factors'!$B$5:$B$69,0)),"?"))</f>
        <v/>
      </c>
      <c r="BA121" s="97" t="str">
        <f>IF($A121="","",IFERROR(INDEX('Driver Factors'!$C$6:$C$15,MATCH($R121,'Driver Factors'!$B$6:$B$15,0)),"?"))</f>
        <v/>
      </c>
      <c r="BB121" s="97" t="str">
        <f>IF($A121="","",IFERROR(INDEX('Driver Factors'!$C$19:$C$24,MATCH($S121,'Driver Factors'!$B$19:$B$24,0)),"?"))</f>
        <v/>
      </c>
      <c r="BC121" s="97" t="str">
        <f>IF($A121="","",IFERROR(INDEX('Driver Factors'!$C$28:$C$36,MATCH($T121,'Driver Factors'!$B$28:$B$36,0)),"?"))</f>
        <v/>
      </c>
      <c r="BD121" s="97" t="str">
        <f>IF($A121="","",IFERROR(INDEX('Claims History'!$C$6:$C$15,MATCH($U121,'Claims History'!$B$6:$B$15,0)),"?"))</f>
        <v/>
      </c>
      <c r="BE121" s="97" t="str">
        <f>IF($A121="","",IFERROR(INDEX('Territory Factors'!$E$6:$E$56,MATCH($K121,'Territory Factors'!$B$6:$B$56,0)),"?"))</f>
        <v/>
      </c>
      <c r="BF121" s="97" t="str">
        <f>IF($A121="","",IFERROR(INDEX('City Accident Ratings'!$G$6:$G$54,MATCH($Z121,'City Accident Ratings'!$B$6:$B$54,0)),"?"))</f>
        <v/>
      </c>
      <c r="BG121" s="97" t="str">
        <f>IF($A121="","",IFERROR(INDEX('Usage and Coverage'!$D$6:$D$20,MATCH($N121,'Usage and Coverage'!$C$6:$C$20,0)),"?"))</f>
        <v/>
      </c>
      <c r="BH121" s="97" t="str">
        <f>IF($A121="","",IFERROR(INDEX('Usage and Coverage'!$C$24:$C$30,MATCH($O121,'Usage and Coverage'!$B$24:$B$30,0)),"?"))</f>
        <v/>
      </c>
      <c r="BI121" s="97" t="str">
        <f>IF($A121="","",IFERROR(INDEX('Usage and Coverage'!$C$34:$C$40,MATCH($P121,'Usage and Coverage'!$B$34:$B$40,0)),"?"))</f>
        <v/>
      </c>
      <c r="BJ121" s="97" t="str">
        <f>IF($A121="","",IFERROR(INDEX('Usage and Coverage'!$C$44:$C$49,MATCH($Q121,'Usage and Coverage'!$B$44:$B$49,0)),"?"))</f>
        <v/>
      </c>
      <c r="BK121" s="97" t="str">
        <f>IF($A121="","",IFERROR(INDEX(Deductibles!$C$6:$I$15,MATCH($W121,Deductibles!$B$6:$B$15,0),MATCH(MAX($J121,'Technical Premium'!$C$18),'Base Rates'!$C$3:$I$3,1)),"?"))</f>
        <v/>
      </c>
      <c r="BL121" s="97" t="str">
        <f>IF($A121="","",IFERROR(INDEX('Usage and Coverage'!$C$63:$C$66,MATCH($X121,'Usage and Coverage'!$B$63:$B$66,0)),"?"))</f>
        <v/>
      </c>
      <c r="BM121" s="97" t="str">
        <f>IF($A121="","",IFERROR(INDEX('Usage and Coverage'!$C$70:$C$75,MATCH($V121,'Usage and Coverage'!$B$70:$B$75,0)),"?"))</f>
        <v/>
      </c>
      <c r="BN121" s="97" t="str">
        <f>IF($A121="","",IF($AB121="",1,IFERROR(INDEX(Deductibles!$C$48:$C$51,MATCH($AB121,Deductibles!$B$48:$B$51,0)),"?")))</f>
        <v/>
      </c>
      <c r="BO121" s="97" t="str">
        <f>IF($A121="","",IF($AC121="",1,IFERROR(INDEX(Deductibles!$C$55:$C$57,MATCH($AC121,Deductibles!$B$55:$B$57,0)),"?")))</f>
        <v/>
      </c>
      <c r="BP121" s="97" t="str">
        <f>IF($A121="","",IF($AD121="",1,IFERROR(INDEX(Deductibles!$C$61:$C$63,MATCH($AD121,Deductibles!$B$61:$B$63,0)),"?")))</f>
        <v/>
      </c>
      <c r="BQ121" s="97" t="str">
        <f>IF($A121="","",IF($AE121="",1,IFERROR(INDEX(Deductibles!$C$67:$C$69,MATCH($AE121,Deductibles!$B$67:$B$69,0)),"?")))</f>
        <v/>
      </c>
      <c r="BR121" s="97" t="str">
        <f>IF($A121="","",IF($AF121="",1,IFERROR(INDEX(Deductibles!$C$73:$C$74,MATCH($AF121,Deductibles!$B$73:$B$74,0)),"?")))</f>
        <v/>
      </c>
      <c r="BS121" s="97" t="str">
        <f>IF($A121="","",IF($AG121="",1,IFERROR(INDEX('Sublimits and Parts'!$C$49:$C$52,MATCH($AG121,'Sublimits and Parts'!$B$49:$B$52,0)),"?")))</f>
        <v/>
      </c>
      <c r="BT121" s="97" t="str">
        <f>IF($A121="","",IF($AH121="",1,IFERROR(INDEX('Sublimits and Parts'!$C$56:$C$60,MATCH($AH121,'Sublimits and Parts'!$B$56:$B$60,0)),"?")))</f>
        <v/>
      </c>
      <c r="BU121" s="97" t="str">
        <f>IF($A121="","",IF($AI121="",1,IFERROR(INDEX('Sublimits and Parts'!$C$64:$C$67,MATCH($AI121,'Sublimits and Parts'!$B$64:$B$67,0)),"?")))</f>
        <v/>
      </c>
      <c r="BV121" s="97" t="str">
        <f>IF($A121="","",IF($AJ121="",1,IFERROR(INDEX('Sublimits and Parts'!$C$71:$C$74,MATCH($AJ121,'Sublimits and Parts'!$B$71:$B$74,0)),"?")))</f>
        <v/>
      </c>
      <c r="BW121" s="97" t="str">
        <f>IF($A121="","",IF($AK121="",1,IFERROR(INDEX('Sublimits and Parts'!$C$78:$C$80,MATCH($AK121,'Sublimits and Parts'!$B$78:$B$80,0)),"?")))</f>
        <v/>
      </c>
      <c r="BX121" s="97" t="str">
        <f>IF($A121="","",IF($AL121="",1,IFERROR(INDEX('Sublimits and Parts'!$C$84:$C$87,MATCH($AL121,'Sublimits and Parts'!$B$84:$B$87,0)),"?")))</f>
        <v/>
      </c>
      <c r="BY121" s="97" t="str">
        <f>IF($A121="","",IF($AM121="",1,IFERROR(INDEX('Sublimits and Parts'!$C$91:$C$94,MATCH($AM121,'Sublimits and Parts'!$B$91:$B$94,0)),"?")))</f>
        <v/>
      </c>
      <c r="BZ121" s="97" t="str">
        <f>IF($A121="","",IF($AN121="",1,IFERROR(INDEX('Sublimits and Parts'!$C$98:$C$101,MATCH($AN121,'Sublimits and Parts'!$B$98:$B$101,0)),"?")))</f>
        <v/>
      </c>
      <c r="CA121" s="97" t="str">
        <f>IF($A121="","",IF($AO121="",1,IFERROR(INDEX('Sublimits and Parts'!$C$105:$C$109,MATCH($AO121,'Sublimits and Parts'!$B$105:$B$109,0)),"?")))</f>
        <v/>
      </c>
      <c r="CB121" s="98" t="str">
        <f t="shared" si="15"/>
        <v/>
      </c>
      <c r="CC121" s="98" t="str">
        <f t="shared" si="16"/>
        <v/>
      </c>
      <c r="CD121" s="101" t="str">
        <f>IF($A121="","",IF(OR($CB121="?",$CC121="?"),"?",MIN($CB121*$CC121,'Technical Premium'!$C$17)))</f>
        <v/>
      </c>
      <c r="CE121" s="100" t="str">
        <f t="shared" si="17"/>
        <v/>
      </c>
      <c r="CF121" s="100" t="str">
        <f>IF($A121="","",IFERROR(INDEX('Territory Factors'!$F$6:$F$56,MATCH($K121,'Territory Factors'!$B$6:$B$56,0)),"?"))</f>
        <v/>
      </c>
      <c r="CG121" s="98" t="str">
        <f>IF($A121="","",IFERROR(INDEX('Usage and Coverage'!$C$79:$C$84,MATCH($Y121,'Usage and Coverage'!$B$79:$B$84,0)),"?"))</f>
        <v/>
      </c>
      <c r="CH121" s="100" t="str">
        <f>IFERROR(IF(ISNUMBER($CD121),$CF121*$CG121*MIN($BG121*$BA121*$BC121*$BD121*$BH121*$BF121,'Technical Premium'!$C$17),""),"")</f>
        <v/>
      </c>
      <c r="CI121" s="100" t="str">
        <f t="shared" si="18"/>
        <v/>
      </c>
      <c r="CJ121" s="100" t="str">
        <f>IFERROR($CI121*(1+'Technical Premium'!$C$5)*(1+'Technical Premium'!$C$6),"")</f>
        <v/>
      </c>
      <c r="CK121" s="100" t="str">
        <f>IFERROR($CE121*INDEX('Territory Factors'!$G$6:$G$56,MATCH($K121,'Territory Factors'!$B$6:$B$56,0))*$AU121*$AV121,"")</f>
        <v/>
      </c>
      <c r="CL121" s="100" t="str">
        <f>IFERROR(($CJ121+$CK121)*(1+'Technical Premium'!$C$7),"")</f>
        <v/>
      </c>
      <c r="CM121" s="102" t="str">
        <f>IFERROR($CL121/'Technical Premium'!$C$13,"")</f>
        <v/>
      </c>
      <c r="CN121" s="103" t="str">
        <f t="shared" si="19"/>
        <v/>
      </c>
      <c r="CO121" s="102" t="str">
        <f t="shared" si="20"/>
        <v/>
      </c>
      <c r="CP121" s="103" t="str">
        <f t="shared" si="21"/>
        <v/>
      </c>
      <c r="CQ121" s="104" t="str">
        <f t="shared" si="22"/>
        <v/>
      </c>
      <c r="CR121" s="100" t="str">
        <f>IF(ISNUMBER($CM121),'Technical Premium'!$C$14+IF($J121&gt;=1000000,'Technical Premium'!$C$15,0),"")</f>
        <v/>
      </c>
      <c r="CS121" s="100" t="str">
        <f>IFERROR(($CO121+$CR121)*(INDEX('Territory Factors'!$K$6:$K$56,MATCH($K121,'Territory Factors'!$B$6:$B$56,0))+'Commission Structure'!$C$21),"")</f>
        <v/>
      </c>
      <c r="CT121" s="102" t="str">
        <f t="shared" si="23"/>
        <v/>
      </c>
      <c r="CU121" s="100" t="str">
        <f>IFERROR($CO121*('Commission Structure'!$C$6+'Commission Structure'!$C$7),"")</f>
        <v/>
      </c>
      <c r="CV121" s="100" t="str">
        <f>IFERROR($CO121*'Commission Structure'!$C$5-$CU121,"")</f>
        <v/>
      </c>
      <c r="CW121" s="100" t="str">
        <f>IFERROR($CO121*(1-'Commission Structure'!$C$5),"")</f>
        <v/>
      </c>
      <c r="CX121" s="105" t="str">
        <f>IF($A121="","",IF(OR($CB121="?",$CC121="?",NOT(ISNUMBER($AU121))),"CHECK INPUTS",IF(OR($J121&lt;'Technical Premium'!$C$18,LEFT(IFERROR(INDEX('Driver Factors'!$D$6:$D$15,MATCH($R121,'Driver Factors'!$B$6:$B$15,0)),""),7)="DECLINE",LEFT(IFERROR(INDEX('Driver Factors'!$D$28:$D$36,MATCH($T121,'Driver Factors'!$B$28:$B$36,0)),""),7)="DECLINE",LEFT(IFERROR(INDEX('Claims History'!$D$6:$D$15,MATCH($U121,'Claims History'!$B$6:$B$15,0)),""),7)="DECLINE",LEFT(IFERROR(INDEX('Usage and Coverage'!$E$6:$E$20,MATCH($N121,'Usage and Coverage'!$C$6:$C$20,0)),""),7)="DECLINE"),"DECLINE",IF(OR($CD121&gt;2.5,$CD121&gt;='Technical Premium'!$C$17,$J121&gt;='Technical Premium'!$C$16,N($AQ121)&lt;'Technical Premium'!$C$19,N($AQ121)&gt;'Technical Premium'!$C$20,LEFT(IFERROR(INDEX('Driver Factors'!$D$6:$D$15,MATCH($R121,'Driver Factors'!$B$6:$B$15,0)),""),5)="Refer",LEFT(IFERROR(INDEX('Driver Factors'!$D$28:$D$36,MATCH($T121,'Driver Factors'!$B$28:$B$36,0)),""),5)="Refer",LEFT(IFERROR(INDEX('Claims History'!$D$6:$D$15,MATCH($U121,'Claims History'!$B$6:$B$15,0)),""),5)="Refer",LEFT(IFERROR(INDEX('Usage and Coverage'!$E$6:$E$20,MATCH($N121,'Usage and Coverage'!$C$6:$C$20,0)),""),5)="Refer"),"REFER","AUTO-BIND"))))</f>
        <v/>
      </c>
      <c r="CY121" s="106" t="str">
        <f t="shared" si="24"/>
        <v/>
      </c>
      <c r="CZ121" s="97" t="str">
        <f>IF($CY121="","",IF($CY121&lt;'Technical Premium'!$C$19,"BEYOND AUTHORITY",IF($CY121&gt;0.005,"Above technical",IF($CY121&lt;-0.005,"BELOW technical","At technical"))))</f>
        <v/>
      </c>
      <c r="DA121" s="97" t="str">
        <f>IF($A121="","",IF($CX121="AUTO-BIND","",TRIM(IF($J121&lt;'Technical Premium'!$C$18,"Below programme minimum agreed value. ","")&amp;IF(N($AQ121)&lt;'Technical Premium'!$C$19,"DISCOUNT AUTHORITY BREACH. ","")&amp;IF(N($AQ121)&gt;'Technical Premium'!$C$20,"Load authority breach. ","")&amp;IF($J121&gt;='Technical Premium'!$C$16,"Agreed value at or above auto-bind limit. ","")&amp;IF(AND(ISNUMBER($CD121),$CD121&gt;='Technical Premium'!$C$17),"Composite factor at cap. ","")&amp;IF(AND(ISNUMBER($CD121),$CD121&gt;2.5),"Composite factor above 2.50. ","")&amp;IF(LEFT(IFERROR(INDEX('Driver Factors'!$D$6:$D$15,MATCH($R121,'Driver Factors'!$B$6:$B$15,0)),""),7)="DECLINE","DECLINE - driver age. ",IF(LEFT(IFERROR(INDEX('Driver Factors'!$D$6:$D$15,MATCH($R121,'Driver Factors'!$B$6:$B$15,0)),""),5)="Refer","Driver age band. ",""))&amp;IF(LEFT(IFERROR(INDEX('Driver Factors'!$D$28:$D$36,MATCH($T121,'Driver Factors'!$B$28:$B$36,0)),""),7)="DECLINE","DECLINE - MVR. ",IF(LEFT(IFERROR(INDEX('Driver Factors'!$D$28:$D$36,MATCH($T121,'Driver Factors'!$B$28:$B$36,0)),""),5)="Refer","MVR record. ",""))&amp;IF(LEFT(IFERROR(INDEX('Claims History'!$D$6:$D$15,MATCH($U121,'Claims History'!$B$6:$B$15,0)),""),7)="DECLINE","DECLINE - claims. ",IF(LEFT(IFERROR(INDEX('Claims History'!$D$6:$D$15,MATCH($U121,'Claims History'!$B$6:$B$15,0)),""),5)="Refer","Claims history. ",""))&amp;IF(LEFT(IFERROR(INDEX('Usage and Coverage'!$E$6:$E$20,MATCH($N121,'Usage and Coverage'!$C$6:$C$20,0)),""),7)="DECLINE","DECLINE - usage class. ",IF(LEFT(IFERROR(INDEX('Usage and Coverage'!$E$6:$E$20,MATCH($N121,'Usage and Coverage'!$C$6:$C$20,0)),""),5)="Refer","Usage class. ",""))&amp;IF($CX121="CHECK INPUTS","Incomplete inputs. ",""))))</f>
        <v/>
      </c>
      <c r="DB121" s="92"/>
      <c r="DC121" s="92"/>
      <c r="DD121" s="93"/>
      <c r="DE121" s="92"/>
      <c r="DF121" s="92"/>
      <c r="DG121" s="97" t="str">
        <f t="shared" si="25"/>
        <v/>
      </c>
      <c r="DH121" s="97" t="str">
        <f>IF($A121="","",IF(OR($CX121="REFER",$CX121="DECLINE"),COUNTIF($CX$5:$CX121,"REFER")+COUNTIF($CX$5:$CX121,"DECLINE"),""))</f>
        <v/>
      </c>
      <c r="DI121" s="92"/>
    </row>
    <row r="122" spans="1:113" x14ac:dyDescent="0.25">
      <c r="A122" s="92"/>
      <c r="B122" s="92"/>
      <c r="C122" s="93"/>
      <c r="D122" s="93"/>
      <c r="E122" s="94"/>
      <c r="F122" s="92"/>
      <c r="G122" s="92"/>
      <c r="H122" s="92"/>
      <c r="I122" s="92"/>
      <c r="J122" s="95"/>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6"/>
      <c r="AR122" s="97" t="str">
        <f t="shared" si="13"/>
        <v/>
      </c>
      <c r="AS122" s="97" t="str">
        <f>IF($A122="","",IF($AP122&lt;&gt;"",$AP122,IFERROR(INDEX('Cat Zone by ZIP'!$D$6:$D$856,MATCH($AR122,'Cat Zone by ZIP'!$B$6:$B$856,0)),IFERROR(INDEX('Cat Zone by ZIP'!$C$860:$C$910,MATCH($K122,'Cat Zone by ZIP'!$B$860:$B$910,0)),"NOT FOUND"))))</f>
        <v/>
      </c>
      <c r="AT122" s="97" t="str">
        <f>IF($A122="","",IF($AP122&lt;&gt;"","Override",IF(ISNUMBER(MATCH($AR122,'Cat Zone by ZIP'!$B$6:$B$856,0)),"ZIP-3","State default")))</f>
        <v/>
      </c>
      <c r="AU122" s="98" t="str">
        <f>IF($A122="","",IFERROR(INDEX('Natural Catastrophe'!$D$6:$D$17,MATCH($AS122,'Natural Catastrophe'!$B$6:$B$17,0)),"?"))</f>
        <v/>
      </c>
      <c r="AV122" s="98" t="str">
        <f>IF($A122="","",IFERROR(INDEX('Natural Catastrophe'!$C$21:$C$26,MATCH($AA122,'Natural Catastrophe'!$B$21:$B$26,0)),"?"))</f>
        <v/>
      </c>
      <c r="AW122" s="97" t="str">
        <f>IF($A122="","",IFERROR(INDEX('Base Rates'!$C$4:$I$4,MATCH(MAX($J122,'Technical Premium'!$C$18),'Base Rates'!$C$3:$I$3,1)),"?"))</f>
        <v/>
      </c>
      <c r="AX122" s="99" t="str">
        <f>IF($A122="","",IFERROR(INDEX('Base Rates'!$C$5:$I$16,MATCH($I122,'Base Rates'!$B$5:$B$16,0),MATCH(MAX($J122,'Technical Premium'!$C$18),'Base Rates'!$C$3:$I$3,1)),"?"))</f>
        <v/>
      </c>
      <c r="AY122" s="100" t="str">
        <f t="shared" si="14"/>
        <v/>
      </c>
      <c r="AZ122" s="97" t="str">
        <f>IF($A122="","",IFERROR(INDEX('Make Factors'!$G$5:$G$69,MATCH($F122,'Make Factors'!$B$5:$B$69,0)),"?"))</f>
        <v/>
      </c>
      <c r="BA122" s="97" t="str">
        <f>IF($A122="","",IFERROR(INDEX('Driver Factors'!$C$6:$C$15,MATCH($R122,'Driver Factors'!$B$6:$B$15,0)),"?"))</f>
        <v/>
      </c>
      <c r="BB122" s="97" t="str">
        <f>IF($A122="","",IFERROR(INDEX('Driver Factors'!$C$19:$C$24,MATCH($S122,'Driver Factors'!$B$19:$B$24,0)),"?"))</f>
        <v/>
      </c>
      <c r="BC122" s="97" t="str">
        <f>IF($A122="","",IFERROR(INDEX('Driver Factors'!$C$28:$C$36,MATCH($T122,'Driver Factors'!$B$28:$B$36,0)),"?"))</f>
        <v/>
      </c>
      <c r="BD122" s="97" t="str">
        <f>IF($A122="","",IFERROR(INDEX('Claims History'!$C$6:$C$15,MATCH($U122,'Claims History'!$B$6:$B$15,0)),"?"))</f>
        <v/>
      </c>
      <c r="BE122" s="97" t="str">
        <f>IF($A122="","",IFERROR(INDEX('Territory Factors'!$E$6:$E$56,MATCH($K122,'Territory Factors'!$B$6:$B$56,0)),"?"))</f>
        <v/>
      </c>
      <c r="BF122" s="97" t="str">
        <f>IF($A122="","",IFERROR(INDEX('City Accident Ratings'!$G$6:$G$54,MATCH($Z122,'City Accident Ratings'!$B$6:$B$54,0)),"?"))</f>
        <v/>
      </c>
      <c r="BG122" s="97" t="str">
        <f>IF($A122="","",IFERROR(INDEX('Usage and Coverage'!$D$6:$D$20,MATCH($N122,'Usage and Coverage'!$C$6:$C$20,0)),"?"))</f>
        <v/>
      </c>
      <c r="BH122" s="97" t="str">
        <f>IF($A122="","",IFERROR(INDEX('Usage and Coverage'!$C$24:$C$30,MATCH($O122,'Usage and Coverage'!$B$24:$B$30,0)),"?"))</f>
        <v/>
      </c>
      <c r="BI122" s="97" t="str">
        <f>IF($A122="","",IFERROR(INDEX('Usage and Coverage'!$C$34:$C$40,MATCH($P122,'Usage and Coverage'!$B$34:$B$40,0)),"?"))</f>
        <v/>
      </c>
      <c r="BJ122" s="97" t="str">
        <f>IF($A122="","",IFERROR(INDEX('Usage and Coverage'!$C$44:$C$49,MATCH($Q122,'Usage and Coverage'!$B$44:$B$49,0)),"?"))</f>
        <v/>
      </c>
      <c r="BK122" s="97" t="str">
        <f>IF($A122="","",IFERROR(INDEX(Deductibles!$C$6:$I$15,MATCH($W122,Deductibles!$B$6:$B$15,0),MATCH(MAX($J122,'Technical Premium'!$C$18),'Base Rates'!$C$3:$I$3,1)),"?"))</f>
        <v/>
      </c>
      <c r="BL122" s="97" t="str">
        <f>IF($A122="","",IFERROR(INDEX('Usage and Coverage'!$C$63:$C$66,MATCH($X122,'Usage and Coverage'!$B$63:$B$66,0)),"?"))</f>
        <v/>
      </c>
      <c r="BM122" s="97" t="str">
        <f>IF($A122="","",IFERROR(INDEX('Usage and Coverage'!$C$70:$C$75,MATCH($V122,'Usage and Coverage'!$B$70:$B$75,0)),"?"))</f>
        <v/>
      </c>
      <c r="BN122" s="97" t="str">
        <f>IF($A122="","",IF($AB122="",1,IFERROR(INDEX(Deductibles!$C$48:$C$51,MATCH($AB122,Deductibles!$B$48:$B$51,0)),"?")))</f>
        <v/>
      </c>
      <c r="BO122" s="97" t="str">
        <f>IF($A122="","",IF($AC122="",1,IFERROR(INDEX(Deductibles!$C$55:$C$57,MATCH($AC122,Deductibles!$B$55:$B$57,0)),"?")))</f>
        <v/>
      </c>
      <c r="BP122" s="97" t="str">
        <f>IF($A122="","",IF($AD122="",1,IFERROR(INDEX(Deductibles!$C$61:$C$63,MATCH($AD122,Deductibles!$B$61:$B$63,0)),"?")))</f>
        <v/>
      </c>
      <c r="BQ122" s="97" t="str">
        <f>IF($A122="","",IF($AE122="",1,IFERROR(INDEX(Deductibles!$C$67:$C$69,MATCH($AE122,Deductibles!$B$67:$B$69,0)),"?")))</f>
        <v/>
      </c>
      <c r="BR122" s="97" t="str">
        <f>IF($A122="","",IF($AF122="",1,IFERROR(INDEX(Deductibles!$C$73:$C$74,MATCH($AF122,Deductibles!$B$73:$B$74,0)),"?")))</f>
        <v/>
      </c>
      <c r="BS122" s="97" t="str">
        <f>IF($A122="","",IF($AG122="",1,IFERROR(INDEX('Sublimits and Parts'!$C$49:$C$52,MATCH($AG122,'Sublimits and Parts'!$B$49:$B$52,0)),"?")))</f>
        <v/>
      </c>
      <c r="BT122" s="97" t="str">
        <f>IF($A122="","",IF($AH122="",1,IFERROR(INDEX('Sublimits and Parts'!$C$56:$C$60,MATCH($AH122,'Sublimits and Parts'!$B$56:$B$60,0)),"?")))</f>
        <v/>
      </c>
      <c r="BU122" s="97" t="str">
        <f>IF($A122="","",IF($AI122="",1,IFERROR(INDEX('Sublimits and Parts'!$C$64:$C$67,MATCH($AI122,'Sublimits and Parts'!$B$64:$B$67,0)),"?")))</f>
        <v/>
      </c>
      <c r="BV122" s="97" t="str">
        <f>IF($A122="","",IF($AJ122="",1,IFERROR(INDEX('Sublimits and Parts'!$C$71:$C$74,MATCH($AJ122,'Sublimits and Parts'!$B$71:$B$74,0)),"?")))</f>
        <v/>
      </c>
      <c r="BW122" s="97" t="str">
        <f>IF($A122="","",IF($AK122="",1,IFERROR(INDEX('Sublimits and Parts'!$C$78:$C$80,MATCH($AK122,'Sublimits and Parts'!$B$78:$B$80,0)),"?")))</f>
        <v/>
      </c>
      <c r="BX122" s="97" t="str">
        <f>IF($A122="","",IF($AL122="",1,IFERROR(INDEX('Sublimits and Parts'!$C$84:$C$87,MATCH($AL122,'Sublimits and Parts'!$B$84:$B$87,0)),"?")))</f>
        <v/>
      </c>
      <c r="BY122" s="97" t="str">
        <f>IF($A122="","",IF($AM122="",1,IFERROR(INDEX('Sublimits and Parts'!$C$91:$C$94,MATCH($AM122,'Sublimits and Parts'!$B$91:$B$94,0)),"?")))</f>
        <v/>
      </c>
      <c r="BZ122" s="97" t="str">
        <f>IF($A122="","",IF($AN122="",1,IFERROR(INDEX('Sublimits and Parts'!$C$98:$C$101,MATCH($AN122,'Sublimits and Parts'!$B$98:$B$101,0)),"?")))</f>
        <v/>
      </c>
      <c r="CA122" s="97" t="str">
        <f>IF($A122="","",IF($AO122="",1,IFERROR(INDEX('Sublimits and Parts'!$C$105:$C$109,MATCH($AO122,'Sublimits and Parts'!$B$105:$B$109,0)),"?")))</f>
        <v/>
      </c>
      <c r="CB122" s="98" t="str">
        <f t="shared" si="15"/>
        <v/>
      </c>
      <c r="CC122" s="98" t="str">
        <f t="shared" si="16"/>
        <v/>
      </c>
      <c r="CD122" s="101" t="str">
        <f>IF($A122="","",IF(OR($CB122="?",$CC122="?"),"?",MIN($CB122*$CC122,'Technical Premium'!$C$17)))</f>
        <v/>
      </c>
      <c r="CE122" s="100" t="str">
        <f t="shared" si="17"/>
        <v/>
      </c>
      <c r="CF122" s="100" t="str">
        <f>IF($A122="","",IFERROR(INDEX('Territory Factors'!$F$6:$F$56,MATCH($K122,'Territory Factors'!$B$6:$B$56,0)),"?"))</f>
        <v/>
      </c>
      <c r="CG122" s="98" t="str">
        <f>IF($A122="","",IFERROR(INDEX('Usage and Coverage'!$C$79:$C$84,MATCH($Y122,'Usage and Coverage'!$B$79:$B$84,0)),"?"))</f>
        <v/>
      </c>
      <c r="CH122" s="100" t="str">
        <f>IFERROR(IF(ISNUMBER($CD122),$CF122*$CG122*MIN($BG122*$BA122*$BC122*$BD122*$BH122*$BF122,'Technical Premium'!$C$17),""),"")</f>
        <v/>
      </c>
      <c r="CI122" s="100" t="str">
        <f t="shared" si="18"/>
        <v/>
      </c>
      <c r="CJ122" s="100" t="str">
        <f>IFERROR($CI122*(1+'Technical Premium'!$C$5)*(1+'Technical Premium'!$C$6),"")</f>
        <v/>
      </c>
      <c r="CK122" s="100" t="str">
        <f>IFERROR($CE122*INDEX('Territory Factors'!$G$6:$G$56,MATCH($K122,'Territory Factors'!$B$6:$B$56,0))*$AU122*$AV122,"")</f>
        <v/>
      </c>
      <c r="CL122" s="100" t="str">
        <f>IFERROR(($CJ122+$CK122)*(1+'Technical Premium'!$C$7),"")</f>
        <v/>
      </c>
      <c r="CM122" s="102" t="str">
        <f>IFERROR($CL122/'Technical Premium'!$C$13,"")</f>
        <v/>
      </c>
      <c r="CN122" s="103" t="str">
        <f t="shared" si="19"/>
        <v/>
      </c>
      <c r="CO122" s="102" t="str">
        <f t="shared" si="20"/>
        <v/>
      </c>
      <c r="CP122" s="103" t="str">
        <f t="shared" si="21"/>
        <v/>
      </c>
      <c r="CQ122" s="104" t="str">
        <f t="shared" si="22"/>
        <v/>
      </c>
      <c r="CR122" s="100" t="str">
        <f>IF(ISNUMBER($CM122),'Technical Premium'!$C$14+IF($J122&gt;=1000000,'Technical Premium'!$C$15,0),"")</f>
        <v/>
      </c>
      <c r="CS122" s="100" t="str">
        <f>IFERROR(($CO122+$CR122)*(INDEX('Territory Factors'!$K$6:$K$56,MATCH($K122,'Territory Factors'!$B$6:$B$56,0))+'Commission Structure'!$C$21),"")</f>
        <v/>
      </c>
      <c r="CT122" s="102" t="str">
        <f t="shared" si="23"/>
        <v/>
      </c>
      <c r="CU122" s="100" t="str">
        <f>IFERROR($CO122*('Commission Structure'!$C$6+'Commission Structure'!$C$7),"")</f>
        <v/>
      </c>
      <c r="CV122" s="100" t="str">
        <f>IFERROR($CO122*'Commission Structure'!$C$5-$CU122,"")</f>
        <v/>
      </c>
      <c r="CW122" s="100" t="str">
        <f>IFERROR($CO122*(1-'Commission Structure'!$C$5),"")</f>
        <v/>
      </c>
      <c r="CX122" s="105" t="str">
        <f>IF($A122="","",IF(OR($CB122="?",$CC122="?",NOT(ISNUMBER($AU122))),"CHECK INPUTS",IF(OR($J122&lt;'Technical Premium'!$C$18,LEFT(IFERROR(INDEX('Driver Factors'!$D$6:$D$15,MATCH($R122,'Driver Factors'!$B$6:$B$15,0)),""),7)="DECLINE",LEFT(IFERROR(INDEX('Driver Factors'!$D$28:$D$36,MATCH($T122,'Driver Factors'!$B$28:$B$36,0)),""),7)="DECLINE",LEFT(IFERROR(INDEX('Claims History'!$D$6:$D$15,MATCH($U122,'Claims History'!$B$6:$B$15,0)),""),7)="DECLINE",LEFT(IFERROR(INDEX('Usage and Coverage'!$E$6:$E$20,MATCH($N122,'Usage and Coverage'!$C$6:$C$20,0)),""),7)="DECLINE"),"DECLINE",IF(OR($CD122&gt;2.5,$CD122&gt;='Technical Premium'!$C$17,$J122&gt;='Technical Premium'!$C$16,N($AQ122)&lt;'Technical Premium'!$C$19,N($AQ122)&gt;'Technical Premium'!$C$20,LEFT(IFERROR(INDEX('Driver Factors'!$D$6:$D$15,MATCH($R122,'Driver Factors'!$B$6:$B$15,0)),""),5)="Refer",LEFT(IFERROR(INDEX('Driver Factors'!$D$28:$D$36,MATCH($T122,'Driver Factors'!$B$28:$B$36,0)),""),5)="Refer",LEFT(IFERROR(INDEX('Claims History'!$D$6:$D$15,MATCH($U122,'Claims History'!$B$6:$B$15,0)),""),5)="Refer",LEFT(IFERROR(INDEX('Usage and Coverage'!$E$6:$E$20,MATCH($N122,'Usage and Coverage'!$C$6:$C$20,0)),""),5)="Refer"),"REFER","AUTO-BIND"))))</f>
        <v/>
      </c>
      <c r="CY122" s="106" t="str">
        <f t="shared" si="24"/>
        <v/>
      </c>
      <c r="CZ122" s="97" t="str">
        <f>IF($CY122="","",IF($CY122&lt;'Technical Premium'!$C$19,"BEYOND AUTHORITY",IF($CY122&gt;0.005,"Above technical",IF($CY122&lt;-0.005,"BELOW technical","At technical"))))</f>
        <v/>
      </c>
      <c r="DA122" s="97" t="str">
        <f>IF($A122="","",IF($CX122="AUTO-BIND","",TRIM(IF($J122&lt;'Technical Premium'!$C$18,"Below programme minimum agreed value. ","")&amp;IF(N($AQ122)&lt;'Technical Premium'!$C$19,"DISCOUNT AUTHORITY BREACH. ","")&amp;IF(N($AQ122)&gt;'Technical Premium'!$C$20,"Load authority breach. ","")&amp;IF($J122&gt;='Technical Premium'!$C$16,"Agreed value at or above auto-bind limit. ","")&amp;IF(AND(ISNUMBER($CD122),$CD122&gt;='Technical Premium'!$C$17),"Composite factor at cap. ","")&amp;IF(AND(ISNUMBER($CD122),$CD122&gt;2.5),"Composite factor above 2.50. ","")&amp;IF(LEFT(IFERROR(INDEX('Driver Factors'!$D$6:$D$15,MATCH($R122,'Driver Factors'!$B$6:$B$15,0)),""),7)="DECLINE","DECLINE - driver age. ",IF(LEFT(IFERROR(INDEX('Driver Factors'!$D$6:$D$15,MATCH($R122,'Driver Factors'!$B$6:$B$15,0)),""),5)="Refer","Driver age band. ",""))&amp;IF(LEFT(IFERROR(INDEX('Driver Factors'!$D$28:$D$36,MATCH($T122,'Driver Factors'!$B$28:$B$36,0)),""),7)="DECLINE","DECLINE - MVR. ",IF(LEFT(IFERROR(INDEX('Driver Factors'!$D$28:$D$36,MATCH($T122,'Driver Factors'!$B$28:$B$36,0)),""),5)="Refer","MVR record. ",""))&amp;IF(LEFT(IFERROR(INDEX('Claims History'!$D$6:$D$15,MATCH($U122,'Claims History'!$B$6:$B$15,0)),""),7)="DECLINE","DECLINE - claims. ",IF(LEFT(IFERROR(INDEX('Claims History'!$D$6:$D$15,MATCH($U122,'Claims History'!$B$6:$B$15,0)),""),5)="Refer","Claims history. ",""))&amp;IF(LEFT(IFERROR(INDEX('Usage and Coverage'!$E$6:$E$20,MATCH($N122,'Usage and Coverage'!$C$6:$C$20,0)),""),7)="DECLINE","DECLINE - usage class. ",IF(LEFT(IFERROR(INDEX('Usage and Coverage'!$E$6:$E$20,MATCH($N122,'Usage and Coverage'!$C$6:$C$20,0)),""),5)="Refer","Usage class. ",""))&amp;IF($CX122="CHECK INPUTS","Incomplete inputs. ",""))))</f>
        <v/>
      </c>
      <c r="DB122" s="92"/>
      <c r="DC122" s="92"/>
      <c r="DD122" s="93"/>
      <c r="DE122" s="92"/>
      <c r="DF122" s="92"/>
      <c r="DG122" s="97" t="str">
        <f t="shared" si="25"/>
        <v/>
      </c>
      <c r="DH122" s="97" t="str">
        <f>IF($A122="","",IF(OR($CX122="REFER",$CX122="DECLINE"),COUNTIF($CX$5:$CX122,"REFER")+COUNTIF($CX$5:$CX122,"DECLINE"),""))</f>
        <v/>
      </c>
      <c r="DI122" s="92"/>
    </row>
    <row r="123" spans="1:113" x14ac:dyDescent="0.25">
      <c r="A123" s="92"/>
      <c r="B123" s="92"/>
      <c r="C123" s="93"/>
      <c r="D123" s="93"/>
      <c r="E123" s="94"/>
      <c r="F123" s="92"/>
      <c r="G123" s="92"/>
      <c r="H123" s="92"/>
      <c r="I123" s="92"/>
      <c r="J123" s="95"/>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6"/>
      <c r="AR123" s="97" t="str">
        <f t="shared" si="13"/>
        <v/>
      </c>
      <c r="AS123" s="97" t="str">
        <f>IF($A123="","",IF($AP123&lt;&gt;"",$AP123,IFERROR(INDEX('Cat Zone by ZIP'!$D$6:$D$856,MATCH($AR123,'Cat Zone by ZIP'!$B$6:$B$856,0)),IFERROR(INDEX('Cat Zone by ZIP'!$C$860:$C$910,MATCH($K123,'Cat Zone by ZIP'!$B$860:$B$910,0)),"NOT FOUND"))))</f>
        <v/>
      </c>
      <c r="AT123" s="97" t="str">
        <f>IF($A123="","",IF($AP123&lt;&gt;"","Override",IF(ISNUMBER(MATCH($AR123,'Cat Zone by ZIP'!$B$6:$B$856,0)),"ZIP-3","State default")))</f>
        <v/>
      </c>
      <c r="AU123" s="98" t="str">
        <f>IF($A123="","",IFERROR(INDEX('Natural Catastrophe'!$D$6:$D$17,MATCH($AS123,'Natural Catastrophe'!$B$6:$B$17,0)),"?"))</f>
        <v/>
      </c>
      <c r="AV123" s="98" t="str">
        <f>IF($A123="","",IFERROR(INDEX('Natural Catastrophe'!$C$21:$C$26,MATCH($AA123,'Natural Catastrophe'!$B$21:$B$26,0)),"?"))</f>
        <v/>
      </c>
      <c r="AW123" s="97" t="str">
        <f>IF($A123="","",IFERROR(INDEX('Base Rates'!$C$4:$I$4,MATCH(MAX($J123,'Technical Premium'!$C$18),'Base Rates'!$C$3:$I$3,1)),"?"))</f>
        <v/>
      </c>
      <c r="AX123" s="99" t="str">
        <f>IF($A123="","",IFERROR(INDEX('Base Rates'!$C$5:$I$16,MATCH($I123,'Base Rates'!$B$5:$B$16,0),MATCH(MAX($J123,'Technical Premium'!$C$18),'Base Rates'!$C$3:$I$3,1)),"?"))</f>
        <v/>
      </c>
      <c r="AY123" s="100" t="str">
        <f t="shared" si="14"/>
        <v/>
      </c>
      <c r="AZ123" s="97" t="str">
        <f>IF($A123="","",IFERROR(INDEX('Make Factors'!$G$5:$G$69,MATCH($F123,'Make Factors'!$B$5:$B$69,0)),"?"))</f>
        <v/>
      </c>
      <c r="BA123" s="97" t="str">
        <f>IF($A123="","",IFERROR(INDEX('Driver Factors'!$C$6:$C$15,MATCH($R123,'Driver Factors'!$B$6:$B$15,0)),"?"))</f>
        <v/>
      </c>
      <c r="BB123" s="97" t="str">
        <f>IF($A123="","",IFERROR(INDEX('Driver Factors'!$C$19:$C$24,MATCH($S123,'Driver Factors'!$B$19:$B$24,0)),"?"))</f>
        <v/>
      </c>
      <c r="BC123" s="97" t="str">
        <f>IF($A123="","",IFERROR(INDEX('Driver Factors'!$C$28:$C$36,MATCH($T123,'Driver Factors'!$B$28:$B$36,0)),"?"))</f>
        <v/>
      </c>
      <c r="BD123" s="97" t="str">
        <f>IF($A123="","",IFERROR(INDEX('Claims History'!$C$6:$C$15,MATCH($U123,'Claims History'!$B$6:$B$15,0)),"?"))</f>
        <v/>
      </c>
      <c r="BE123" s="97" t="str">
        <f>IF($A123="","",IFERROR(INDEX('Territory Factors'!$E$6:$E$56,MATCH($K123,'Territory Factors'!$B$6:$B$56,0)),"?"))</f>
        <v/>
      </c>
      <c r="BF123" s="97" t="str">
        <f>IF($A123="","",IFERROR(INDEX('City Accident Ratings'!$G$6:$G$54,MATCH($Z123,'City Accident Ratings'!$B$6:$B$54,0)),"?"))</f>
        <v/>
      </c>
      <c r="BG123" s="97" t="str">
        <f>IF($A123="","",IFERROR(INDEX('Usage and Coverage'!$D$6:$D$20,MATCH($N123,'Usage and Coverage'!$C$6:$C$20,0)),"?"))</f>
        <v/>
      </c>
      <c r="BH123" s="97" t="str">
        <f>IF($A123="","",IFERROR(INDEX('Usage and Coverage'!$C$24:$C$30,MATCH($O123,'Usage and Coverage'!$B$24:$B$30,0)),"?"))</f>
        <v/>
      </c>
      <c r="BI123" s="97" t="str">
        <f>IF($A123="","",IFERROR(INDEX('Usage and Coverage'!$C$34:$C$40,MATCH($P123,'Usage and Coverage'!$B$34:$B$40,0)),"?"))</f>
        <v/>
      </c>
      <c r="BJ123" s="97" t="str">
        <f>IF($A123="","",IFERROR(INDEX('Usage and Coverage'!$C$44:$C$49,MATCH($Q123,'Usage and Coverage'!$B$44:$B$49,0)),"?"))</f>
        <v/>
      </c>
      <c r="BK123" s="97" t="str">
        <f>IF($A123="","",IFERROR(INDEX(Deductibles!$C$6:$I$15,MATCH($W123,Deductibles!$B$6:$B$15,0),MATCH(MAX($J123,'Technical Premium'!$C$18),'Base Rates'!$C$3:$I$3,1)),"?"))</f>
        <v/>
      </c>
      <c r="BL123" s="97" t="str">
        <f>IF($A123="","",IFERROR(INDEX('Usage and Coverage'!$C$63:$C$66,MATCH($X123,'Usage and Coverage'!$B$63:$B$66,0)),"?"))</f>
        <v/>
      </c>
      <c r="BM123" s="97" t="str">
        <f>IF($A123="","",IFERROR(INDEX('Usage and Coverage'!$C$70:$C$75,MATCH($V123,'Usage and Coverage'!$B$70:$B$75,0)),"?"))</f>
        <v/>
      </c>
      <c r="BN123" s="97" t="str">
        <f>IF($A123="","",IF($AB123="",1,IFERROR(INDEX(Deductibles!$C$48:$C$51,MATCH($AB123,Deductibles!$B$48:$B$51,0)),"?")))</f>
        <v/>
      </c>
      <c r="BO123" s="97" t="str">
        <f>IF($A123="","",IF($AC123="",1,IFERROR(INDEX(Deductibles!$C$55:$C$57,MATCH($AC123,Deductibles!$B$55:$B$57,0)),"?")))</f>
        <v/>
      </c>
      <c r="BP123" s="97" t="str">
        <f>IF($A123="","",IF($AD123="",1,IFERROR(INDEX(Deductibles!$C$61:$C$63,MATCH($AD123,Deductibles!$B$61:$B$63,0)),"?")))</f>
        <v/>
      </c>
      <c r="BQ123" s="97" t="str">
        <f>IF($A123="","",IF($AE123="",1,IFERROR(INDEX(Deductibles!$C$67:$C$69,MATCH($AE123,Deductibles!$B$67:$B$69,0)),"?")))</f>
        <v/>
      </c>
      <c r="BR123" s="97" t="str">
        <f>IF($A123="","",IF($AF123="",1,IFERROR(INDEX(Deductibles!$C$73:$C$74,MATCH($AF123,Deductibles!$B$73:$B$74,0)),"?")))</f>
        <v/>
      </c>
      <c r="BS123" s="97" t="str">
        <f>IF($A123="","",IF($AG123="",1,IFERROR(INDEX('Sublimits and Parts'!$C$49:$C$52,MATCH($AG123,'Sublimits and Parts'!$B$49:$B$52,0)),"?")))</f>
        <v/>
      </c>
      <c r="BT123" s="97" t="str">
        <f>IF($A123="","",IF($AH123="",1,IFERROR(INDEX('Sublimits and Parts'!$C$56:$C$60,MATCH($AH123,'Sublimits and Parts'!$B$56:$B$60,0)),"?")))</f>
        <v/>
      </c>
      <c r="BU123" s="97" t="str">
        <f>IF($A123="","",IF($AI123="",1,IFERROR(INDEX('Sublimits and Parts'!$C$64:$C$67,MATCH($AI123,'Sublimits and Parts'!$B$64:$B$67,0)),"?")))</f>
        <v/>
      </c>
      <c r="BV123" s="97" t="str">
        <f>IF($A123="","",IF($AJ123="",1,IFERROR(INDEX('Sublimits and Parts'!$C$71:$C$74,MATCH($AJ123,'Sublimits and Parts'!$B$71:$B$74,0)),"?")))</f>
        <v/>
      </c>
      <c r="BW123" s="97" t="str">
        <f>IF($A123="","",IF($AK123="",1,IFERROR(INDEX('Sublimits and Parts'!$C$78:$C$80,MATCH($AK123,'Sublimits and Parts'!$B$78:$B$80,0)),"?")))</f>
        <v/>
      </c>
      <c r="BX123" s="97" t="str">
        <f>IF($A123="","",IF($AL123="",1,IFERROR(INDEX('Sublimits and Parts'!$C$84:$C$87,MATCH($AL123,'Sublimits and Parts'!$B$84:$B$87,0)),"?")))</f>
        <v/>
      </c>
      <c r="BY123" s="97" t="str">
        <f>IF($A123="","",IF($AM123="",1,IFERROR(INDEX('Sublimits and Parts'!$C$91:$C$94,MATCH($AM123,'Sublimits and Parts'!$B$91:$B$94,0)),"?")))</f>
        <v/>
      </c>
      <c r="BZ123" s="97" t="str">
        <f>IF($A123="","",IF($AN123="",1,IFERROR(INDEX('Sublimits and Parts'!$C$98:$C$101,MATCH($AN123,'Sublimits and Parts'!$B$98:$B$101,0)),"?")))</f>
        <v/>
      </c>
      <c r="CA123" s="97" t="str">
        <f>IF($A123="","",IF($AO123="",1,IFERROR(INDEX('Sublimits and Parts'!$C$105:$C$109,MATCH($AO123,'Sublimits and Parts'!$B$105:$B$109,0)),"?")))</f>
        <v/>
      </c>
      <c r="CB123" s="98" t="str">
        <f t="shared" si="15"/>
        <v/>
      </c>
      <c r="CC123" s="98" t="str">
        <f t="shared" si="16"/>
        <v/>
      </c>
      <c r="CD123" s="101" t="str">
        <f>IF($A123="","",IF(OR($CB123="?",$CC123="?"),"?",MIN($CB123*$CC123,'Technical Premium'!$C$17)))</f>
        <v/>
      </c>
      <c r="CE123" s="100" t="str">
        <f t="shared" si="17"/>
        <v/>
      </c>
      <c r="CF123" s="100" t="str">
        <f>IF($A123="","",IFERROR(INDEX('Territory Factors'!$F$6:$F$56,MATCH($K123,'Territory Factors'!$B$6:$B$56,0)),"?"))</f>
        <v/>
      </c>
      <c r="CG123" s="98" t="str">
        <f>IF($A123="","",IFERROR(INDEX('Usage and Coverage'!$C$79:$C$84,MATCH($Y123,'Usage and Coverage'!$B$79:$B$84,0)),"?"))</f>
        <v/>
      </c>
      <c r="CH123" s="100" t="str">
        <f>IFERROR(IF(ISNUMBER($CD123),$CF123*$CG123*MIN($BG123*$BA123*$BC123*$BD123*$BH123*$BF123,'Technical Premium'!$C$17),""),"")</f>
        <v/>
      </c>
      <c r="CI123" s="100" t="str">
        <f t="shared" si="18"/>
        <v/>
      </c>
      <c r="CJ123" s="100" t="str">
        <f>IFERROR($CI123*(1+'Technical Premium'!$C$5)*(1+'Technical Premium'!$C$6),"")</f>
        <v/>
      </c>
      <c r="CK123" s="100" t="str">
        <f>IFERROR($CE123*INDEX('Territory Factors'!$G$6:$G$56,MATCH($K123,'Territory Factors'!$B$6:$B$56,0))*$AU123*$AV123,"")</f>
        <v/>
      </c>
      <c r="CL123" s="100" t="str">
        <f>IFERROR(($CJ123+$CK123)*(1+'Technical Premium'!$C$7),"")</f>
        <v/>
      </c>
      <c r="CM123" s="102" t="str">
        <f>IFERROR($CL123/'Technical Premium'!$C$13,"")</f>
        <v/>
      </c>
      <c r="CN123" s="103" t="str">
        <f t="shared" si="19"/>
        <v/>
      </c>
      <c r="CO123" s="102" t="str">
        <f t="shared" si="20"/>
        <v/>
      </c>
      <c r="CP123" s="103" t="str">
        <f t="shared" si="21"/>
        <v/>
      </c>
      <c r="CQ123" s="104" t="str">
        <f t="shared" si="22"/>
        <v/>
      </c>
      <c r="CR123" s="100" t="str">
        <f>IF(ISNUMBER($CM123),'Technical Premium'!$C$14+IF($J123&gt;=1000000,'Technical Premium'!$C$15,0),"")</f>
        <v/>
      </c>
      <c r="CS123" s="100" t="str">
        <f>IFERROR(($CO123+$CR123)*(INDEX('Territory Factors'!$K$6:$K$56,MATCH($K123,'Territory Factors'!$B$6:$B$56,0))+'Commission Structure'!$C$21),"")</f>
        <v/>
      </c>
      <c r="CT123" s="102" t="str">
        <f t="shared" si="23"/>
        <v/>
      </c>
      <c r="CU123" s="100" t="str">
        <f>IFERROR($CO123*('Commission Structure'!$C$6+'Commission Structure'!$C$7),"")</f>
        <v/>
      </c>
      <c r="CV123" s="100" t="str">
        <f>IFERROR($CO123*'Commission Structure'!$C$5-$CU123,"")</f>
        <v/>
      </c>
      <c r="CW123" s="100" t="str">
        <f>IFERROR($CO123*(1-'Commission Structure'!$C$5),"")</f>
        <v/>
      </c>
      <c r="CX123" s="105" t="str">
        <f>IF($A123="","",IF(OR($CB123="?",$CC123="?",NOT(ISNUMBER($AU123))),"CHECK INPUTS",IF(OR($J123&lt;'Technical Premium'!$C$18,LEFT(IFERROR(INDEX('Driver Factors'!$D$6:$D$15,MATCH($R123,'Driver Factors'!$B$6:$B$15,0)),""),7)="DECLINE",LEFT(IFERROR(INDEX('Driver Factors'!$D$28:$D$36,MATCH($T123,'Driver Factors'!$B$28:$B$36,0)),""),7)="DECLINE",LEFT(IFERROR(INDEX('Claims History'!$D$6:$D$15,MATCH($U123,'Claims History'!$B$6:$B$15,0)),""),7)="DECLINE",LEFT(IFERROR(INDEX('Usage and Coverage'!$E$6:$E$20,MATCH($N123,'Usage and Coverage'!$C$6:$C$20,0)),""),7)="DECLINE"),"DECLINE",IF(OR($CD123&gt;2.5,$CD123&gt;='Technical Premium'!$C$17,$J123&gt;='Technical Premium'!$C$16,N($AQ123)&lt;'Technical Premium'!$C$19,N($AQ123)&gt;'Technical Premium'!$C$20,LEFT(IFERROR(INDEX('Driver Factors'!$D$6:$D$15,MATCH($R123,'Driver Factors'!$B$6:$B$15,0)),""),5)="Refer",LEFT(IFERROR(INDEX('Driver Factors'!$D$28:$D$36,MATCH($T123,'Driver Factors'!$B$28:$B$36,0)),""),5)="Refer",LEFT(IFERROR(INDEX('Claims History'!$D$6:$D$15,MATCH($U123,'Claims History'!$B$6:$B$15,0)),""),5)="Refer",LEFT(IFERROR(INDEX('Usage and Coverage'!$E$6:$E$20,MATCH($N123,'Usage and Coverage'!$C$6:$C$20,0)),""),5)="Refer"),"REFER","AUTO-BIND"))))</f>
        <v/>
      </c>
      <c r="CY123" s="106" t="str">
        <f t="shared" si="24"/>
        <v/>
      </c>
      <c r="CZ123" s="97" t="str">
        <f>IF($CY123="","",IF($CY123&lt;'Technical Premium'!$C$19,"BEYOND AUTHORITY",IF($CY123&gt;0.005,"Above technical",IF($CY123&lt;-0.005,"BELOW technical","At technical"))))</f>
        <v/>
      </c>
      <c r="DA123" s="97" t="str">
        <f>IF($A123="","",IF($CX123="AUTO-BIND","",TRIM(IF($J123&lt;'Technical Premium'!$C$18,"Below programme minimum agreed value. ","")&amp;IF(N($AQ123)&lt;'Technical Premium'!$C$19,"DISCOUNT AUTHORITY BREACH. ","")&amp;IF(N($AQ123)&gt;'Technical Premium'!$C$20,"Load authority breach. ","")&amp;IF($J123&gt;='Technical Premium'!$C$16,"Agreed value at or above auto-bind limit. ","")&amp;IF(AND(ISNUMBER($CD123),$CD123&gt;='Technical Premium'!$C$17),"Composite factor at cap. ","")&amp;IF(AND(ISNUMBER($CD123),$CD123&gt;2.5),"Composite factor above 2.50. ","")&amp;IF(LEFT(IFERROR(INDEX('Driver Factors'!$D$6:$D$15,MATCH($R123,'Driver Factors'!$B$6:$B$15,0)),""),7)="DECLINE","DECLINE - driver age. ",IF(LEFT(IFERROR(INDEX('Driver Factors'!$D$6:$D$15,MATCH($R123,'Driver Factors'!$B$6:$B$15,0)),""),5)="Refer","Driver age band. ",""))&amp;IF(LEFT(IFERROR(INDEX('Driver Factors'!$D$28:$D$36,MATCH($T123,'Driver Factors'!$B$28:$B$36,0)),""),7)="DECLINE","DECLINE - MVR. ",IF(LEFT(IFERROR(INDEX('Driver Factors'!$D$28:$D$36,MATCH($T123,'Driver Factors'!$B$28:$B$36,0)),""),5)="Refer","MVR record. ",""))&amp;IF(LEFT(IFERROR(INDEX('Claims History'!$D$6:$D$15,MATCH($U123,'Claims History'!$B$6:$B$15,0)),""),7)="DECLINE","DECLINE - claims. ",IF(LEFT(IFERROR(INDEX('Claims History'!$D$6:$D$15,MATCH($U123,'Claims History'!$B$6:$B$15,0)),""),5)="Refer","Claims history. ",""))&amp;IF(LEFT(IFERROR(INDEX('Usage and Coverage'!$E$6:$E$20,MATCH($N123,'Usage and Coverage'!$C$6:$C$20,0)),""),7)="DECLINE","DECLINE - usage class. ",IF(LEFT(IFERROR(INDEX('Usage and Coverage'!$E$6:$E$20,MATCH($N123,'Usage and Coverage'!$C$6:$C$20,0)),""),5)="Refer","Usage class. ",""))&amp;IF($CX123="CHECK INPUTS","Incomplete inputs. ",""))))</f>
        <v/>
      </c>
      <c r="DB123" s="92"/>
      <c r="DC123" s="92"/>
      <c r="DD123" s="93"/>
      <c r="DE123" s="92"/>
      <c r="DF123" s="92"/>
      <c r="DG123" s="97" t="str">
        <f t="shared" si="25"/>
        <v/>
      </c>
      <c r="DH123" s="97" t="str">
        <f>IF($A123="","",IF(OR($CX123="REFER",$CX123="DECLINE"),COUNTIF($CX$5:$CX123,"REFER")+COUNTIF($CX$5:$CX123,"DECLINE"),""))</f>
        <v/>
      </c>
      <c r="DI123" s="92"/>
    </row>
    <row r="124" spans="1:113" x14ac:dyDescent="0.25">
      <c r="A124" s="92"/>
      <c r="B124" s="92"/>
      <c r="C124" s="93"/>
      <c r="D124" s="93"/>
      <c r="E124" s="94"/>
      <c r="F124" s="92"/>
      <c r="G124" s="92"/>
      <c r="H124" s="92"/>
      <c r="I124" s="92"/>
      <c r="J124" s="95"/>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6"/>
      <c r="AR124" s="97" t="str">
        <f t="shared" si="13"/>
        <v/>
      </c>
      <c r="AS124" s="97" t="str">
        <f>IF($A124="","",IF($AP124&lt;&gt;"",$AP124,IFERROR(INDEX('Cat Zone by ZIP'!$D$6:$D$856,MATCH($AR124,'Cat Zone by ZIP'!$B$6:$B$856,0)),IFERROR(INDEX('Cat Zone by ZIP'!$C$860:$C$910,MATCH($K124,'Cat Zone by ZIP'!$B$860:$B$910,0)),"NOT FOUND"))))</f>
        <v/>
      </c>
      <c r="AT124" s="97" t="str">
        <f>IF($A124="","",IF($AP124&lt;&gt;"","Override",IF(ISNUMBER(MATCH($AR124,'Cat Zone by ZIP'!$B$6:$B$856,0)),"ZIP-3","State default")))</f>
        <v/>
      </c>
      <c r="AU124" s="98" t="str">
        <f>IF($A124="","",IFERROR(INDEX('Natural Catastrophe'!$D$6:$D$17,MATCH($AS124,'Natural Catastrophe'!$B$6:$B$17,0)),"?"))</f>
        <v/>
      </c>
      <c r="AV124" s="98" t="str">
        <f>IF($A124="","",IFERROR(INDEX('Natural Catastrophe'!$C$21:$C$26,MATCH($AA124,'Natural Catastrophe'!$B$21:$B$26,0)),"?"))</f>
        <v/>
      </c>
      <c r="AW124" s="97" t="str">
        <f>IF($A124="","",IFERROR(INDEX('Base Rates'!$C$4:$I$4,MATCH(MAX($J124,'Technical Premium'!$C$18),'Base Rates'!$C$3:$I$3,1)),"?"))</f>
        <v/>
      </c>
      <c r="AX124" s="99" t="str">
        <f>IF($A124="","",IFERROR(INDEX('Base Rates'!$C$5:$I$16,MATCH($I124,'Base Rates'!$B$5:$B$16,0),MATCH(MAX($J124,'Technical Premium'!$C$18),'Base Rates'!$C$3:$I$3,1)),"?"))</f>
        <v/>
      </c>
      <c r="AY124" s="100" t="str">
        <f t="shared" si="14"/>
        <v/>
      </c>
      <c r="AZ124" s="97" t="str">
        <f>IF($A124="","",IFERROR(INDEX('Make Factors'!$G$5:$G$69,MATCH($F124,'Make Factors'!$B$5:$B$69,0)),"?"))</f>
        <v/>
      </c>
      <c r="BA124" s="97" t="str">
        <f>IF($A124="","",IFERROR(INDEX('Driver Factors'!$C$6:$C$15,MATCH($R124,'Driver Factors'!$B$6:$B$15,0)),"?"))</f>
        <v/>
      </c>
      <c r="BB124" s="97" t="str">
        <f>IF($A124="","",IFERROR(INDEX('Driver Factors'!$C$19:$C$24,MATCH($S124,'Driver Factors'!$B$19:$B$24,0)),"?"))</f>
        <v/>
      </c>
      <c r="BC124" s="97" t="str">
        <f>IF($A124="","",IFERROR(INDEX('Driver Factors'!$C$28:$C$36,MATCH($T124,'Driver Factors'!$B$28:$B$36,0)),"?"))</f>
        <v/>
      </c>
      <c r="BD124" s="97" t="str">
        <f>IF($A124="","",IFERROR(INDEX('Claims History'!$C$6:$C$15,MATCH($U124,'Claims History'!$B$6:$B$15,0)),"?"))</f>
        <v/>
      </c>
      <c r="BE124" s="97" t="str">
        <f>IF($A124="","",IFERROR(INDEX('Territory Factors'!$E$6:$E$56,MATCH($K124,'Territory Factors'!$B$6:$B$56,0)),"?"))</f>
        <v/>
      </c>
      <c r="BF124" s="97" t="str">
        <f>IF($A124="","",IFERROR(INDEX('City Accident Ratings'!$G$6:$G$54,MATCH($Z124,'City Accident Ratings'!$B$6:$B$54,0)),"?"))</f>
        <v/>
      </c>
      <c r="BG124" s="97" t="str">
        <f>IF($A124="","",IFERROR(INDEX('Usage and Coverage'!$D$6:$D$20,MATCH($N124,'Usage and Coverage'!$C$6:$C$20,0)),"?"))</f>
        <v/>
      </c>
      <c r="BH124" s="97" t="str">
        <f>IF($A124="","",IFERROR(INDEX('Usage and Coverage'!$C$24:$C$30,MATCH($O124,'Usage and Coverage'!$B$24:$B$30,0)),"?"))</f>
        <v/>
      </c>
      <c r="BI124" s="97" t="str">
        <f>IF($A124="","",IFERROR(INDEX('Usage and Coverage'!$C$34:$C$40,MATCH($P124,'Usage and Coverage'!$B$34:$B$40,0)),"?"))</f>
        <v/>
      </c>
      <c r="BJ124" s="97" t="str">
        <f>IF($A124="","",IFERROR(INDEX('Usage and Coverage'!$C$44:$C$49,MATCH($Q124,'Usage and Coverage'!$B$44:$B$49,0)),"?"))</f>
        <v/>
      </c>
      <c r="BK124" s="97" t="str">
        <f>IF($A124="","",IFERROR(INDEX(Deductibles!$C$6:$I$15,MATCH($W124,Deductibles!$B$6:$B$15,0),MATCH(MAX($J124,'Technical Premium'!$C$18),'Base Rates'!$C$3:$I$3,1)),"?"))</f>
        <v/>
      </c>
      <c r="BL124" s="97" t="str">
        <f>IF($A124="","",IFERROR(INDEX('Usage and Coverage'!$C$63:$C$66,MATCH($X124,'Usage and Coverage'!$B$63:$B$66,0)),"?"))</f>
        <v/>
      </c>
      <c r="BM124" s="97" t="str">
        <f>IF($A124="","",IFERROR(INDEX('Usage and Coverage'!$C$70:$C$75,MATCH($V124,'Usage and Coverage'!$B$70:$B$75,0)),"?"))</f>
        <v/>
      </c>
      <c r="BN124" s="97" t="str">
        <f>IF($A124="","",IF($AB124="",1,IFERROR(INDEX(Deductibles!$C$48:$C$51,MATCH($AB124,Deductibles!$B$48:$B$51,0)),"?")))</f>
        <v/>
      </c>
      <c r="BO124" s="97" t="str">
        <f>IF($A124="","",IF($AC124="",1,IFERROR(INDEX(Deductibles!$C$55:$C$57,MATCH($AC124,Deductibles!$B$55:$B$57,0)),"?")))</f>
        <v/>
      </c>
      <c r="BP124" s="97" t="str">
        <f>IF($A124="","",IF($AD124="",1,IFERROR(INDEX(Deductibles!$C$61:$C$63,MATCH($AD124,Deductibles!$B$61:$B$63,0)),"?")))</f>
        <v/>
      </c>
      <c r="BQ124" s="97" t="str">
        <f>IF($A124="","",IF($AE124="",1,IFERROR(INDEX(Deductibles!$C$67:$C$69,MATCH($AE124,Deductibles!$B$67:$B$69,0)),"?")))</f>
        <v/>
      </c>
      <c r="BR124" s="97" t="str">
        <f>IF($A124="","",IF($AF124="",1,IFERROR(INDEX(Deductibles!$C$73:$C$74,MATCH($AF124,Deductibles!$B$73:$B$74,0)),"?")))</f>
        <v/>
      </c>
      <c r="BS124" s="97" t="str">
        <f>IF($A124="","",IF($AG124="",1,IFERROR(INDEX('Sublimits and Parts'!$C$49:$C$52,MATCH($AG124,'Sublimits and Parts'!$B$49:$B$52,0)),"?")))</f>
        <v/>
      </c>
      <c r="BT124" s="97" t="str">
        <f>IF($A124="","",IF($AH124="",1,IFERROR(INDEX('Sublimits and Parts'!$C$56:$C$60,MATCH($AH124,'Sublimits and Parts'!$B$56:$B$60,0)),"?")))</f>
        <v/>
      </c>
      <c r="BU124" s="97" t="str">
        <f>IF($A124="","",IF($AI124="",1,IFERROR(INDEX('Sublimits and Parts'!$C$64:$C$67,MATCH($AI124,'Sublimits and Parts'!$B$64:$B$67,0)),"?")))</f>
        <v/>
      </c>
      <c r="BV124" s="97" t="str">
        <f>IF($A124="","",IF($AJ124="",1,IFERROR(INDEX('Sublimits and Parts'!$C$71:$C$74,MATCH($AJ124,'Sublimits and Parts'!$B$71:$B$74,0)),"?")))</f>
        <v/>
      </c>
      <c r="BW124" s="97" t="str">
        <f>IF($A124="","",IF($AK124="",1,IFERROR(INDEX('Sublimits and Parts'!$C$78:$C$80,MATCH($AK124,'Sublimits and Parts'!$B$78:$B$80,0)),"?")))</f>
        <v/>
      </c>
      <c r="BX124" s="97" t="str">
        <f>IF($A124="","",IF($AL124="",1,IFERROR(INDEX('Sublimits and Parts'!$C$84:$C$87,MATCH($AL124,'Sublimits and Parts'!$B$84:$B$87,0)),"?")))</f>
        <v/>
      </c>
      <c r="BY124" s="97" t="str">
        <f>IF($A124="","",IF($AM124="",1,IFERROR(INDEX('Sublimits and Parts'!$C$91:$C$94,MATCH($AM124,'Sublimits and Parts'!$B$91:$B$94,0)),"?")))</f>
        <v/>
      </c>
      <c r="BZ124" s="97" t="str">
        <f>IF($A124="","",IF($AN124="",1,IFERROR(INDEX('Sublimits and Parts'!$C$98:$C$101,MATCH($AN124,'Sublimits and Parts'!$B$98:$B$101,0)),"?")))</f>
        <v/>
      </c>
      <c r="CA124" s="97" t="str">
        <f>IF($A124="","",IF($AO124="",1,IFERROR(INDEX('Sublimits and Parts'!$C$105:$C$109,MATCH($AO124,'Sublimits and Parts'!$B$105:$B$109,0)),"?")))</f>
        <v/>
      </c>
      <c r="CB124" s="98" t="str">
        <f t="shared" si="15"/>
        <v/>
      </c>
      <c r="CC124" s="98" t="str">
        <f t="shared" si="16"/>
        <v/>
      </c>
      <c r="CD124" s="101" t="str">
        <f>IF($A124="","",IF(OR($CB124="?",$CC124="?"),"?",MIN($CB124*$CC124,'Technical Premium'!$C$17)))</f>
        <v/>
      </c>
      <c r="CE124" s="100" t="str">
        <f t="shared" si="17"/>
        <v/>
      </c>
      <c r="CF124" s="100" t="str">
        <f>IF($A124="","",IFERROR(INDEX('Territory Factors'!$F$6:$F$56,MATCH($K124,'Territory Factors'!$B$6:$B$56,0)),"?"))</f>
        <v/>
      </c>
      <c r="CG124" s="98" t="str">
        <f>IF($A124="","",IFERROR(INDEX('Usage and Coverage'!$C$79:$C$84,MATCH($Y124,'Usage and Coverage'!$B$79:$B$84,0)),"?"))</f>
        <v/>
      </c>
      <c r="CH124" s="100" t="str">
        <f>IFERROR(IF(ISNUMBER($CD124),$CF124*$CG124*MIN($BG124*$BA124*$BC124*$BD124*$BH124*$BF124,'Technical Premium'!$C$17),""),"")</f>
        <v/>
      </c>
      <c r="CI124" s="100" t="str">
        <f t="shared" si="18"/>
        <v/>
      </c>
      <c r="CJ124" s="100" t="str">
        <f>IFERROR($CI124*(1+'Technical Premium'!$C$5)*(1+'Technical Premium'!$C$6),"")</f>
        <v/>
      </c>
      <c r="CK124" s="100" t="str">
        <f>IFERROR($CE124*INDEX('Territory Factors'!$G$6:$G$56,MATCH($K124,'Territory Factors'!$B$6:$B$56,0))*$AU124*$AV124,"")</f>
        <v/>
      </c>
      <c r="CL124" s="100" t="str">
        <f>IFERROR(($CJ124+$CK124)*(1+'Technical Premium'!$C$7),"")</f>
        <v/>
      </c>
      <c r="CM124" s="102" t="str">
        <f>IFERROR($CL124/'Technical Premium'!$C$13,"")</f>
        <v/>
      </c>
      <c r="CN124" s="103" t="str">
        <f t="shared" si="19"/>
        <v/>
      </c>
      <c r="CO124" s="102" t="str">
        <f t="shared" si="20"/>
        <v/>
      </c>
      <c r="CP124" s="103" t="str">
        <f t="shared" si="21"/>
        <v/>
      </c>
      <c r="CQ124" s="104" t="str">
        <f t="shared" si="22"/>
        <v/>
      </c>
      <c r="CR124" s="100" t="str">
        <f>IF(ISNUMBER($CM124),'Technical Premium'!$C$14+IF($J124&gt;=1000000,'Technical Premium'!$C$15,0),"")</f>
        <v/>
      </c>
      <c r="CS124" s="100" t="str">
        <f>IFERROR(($CO124+$CR124)*(INDEX('Territory Factors'!$K$6:$K$56,MATCH($K124,'Territory Factors'!$B$6:$B$56,0))+'Commission Structure'!$C$21),"")</f>
        <v/>
      </c>
      <c r="CT124" s="102" t="str">
        <f t="shared" si="23"/>
        <v/>
      </c>
      <c r="CU124" s="100" t="str">
        <f>IFERROR($CO124*('Commission Structure'!$C$6+'Commission Structure'!$C$7),"")</f>
        <v/>
      </c>
      <c r="CV124" s="100" t="str">
        <f>IFERROR($CO124*'Commission Structure'!$C$5-$CU124,"")</f>
        <v/>
      </c>
      <c r="CW124" s="100" t="str">
        <f>IFERROR($CO124*(1-'Commission Structure'!$C$5),"")</f>
        <v/>
      </c>
      <c r="CX124" s="105" t="str">
        <f>IF($A124="","",IF(OR($CB124="?",$CC124="?",NOT(ISNUMBER($AU124))),"CHECK INPUTS",IF(OR($J124&lt;'Technical Premium'!$C$18,LEFT(IFERROR(INDEX('Driver Factors'!$D$6:$D$15,MATCH($R124,'Driver Factors'!$B$6:$B$15,0)),""),7)="DECLINE",LEFT(IFERROR(INDEX('Driver Factors'!$D$28:$D$36,MATCH($T124,'Driver Factors'!$B$28:$B$36,0)),""),7)="DECLINE",LEFT(IFERROR(INDEX('Claims History'!$D$6:$D$15,MATCH($U124,'Claims History'!$B$6:$B$15,0)),""),7)="DECLINE",LEFT(IFERROR(INDEX('Usage and Coverage'!$E$6:$E$20,MATCH($N124,'Usage and Coverage'!$C$6:$C$20,0)),""),7)="DECLINE"),"DECLINE",IF(OR($CD124&gt;2.5,$CD124&gt;='Technical Premium'!$C$17,$J124&gt;='Technical Premium'!$C$16,N($AQ124)&lt;'Technical Premium'!$C$19,N($AQ124)&gt;'Technical Premium'!$C$20,LEFT(IFERROR(INDEX('Driver Factors'!$D$6:$D$15,MATCH($R124,'Driver Factors'!$B$6:$B$15,0)),""),5)="Refer",LEFT(IFERROR(INDEX('Driver Factors'!$D$28:$D$36,MATCH($T124,'Driver Factors'!$B$28:$B$36,0)),""),5)="Refer",LEFT(IFERROR(INDEX('Claims History'!$D$6:$D$15,MATCH($U124,'Claims History'!$B$6:$B$15,0)),""),5)="Refer",LEFT(IFERROR(INDEX('Usage and Coverage'!$E$6:$E$20,MATCH($N124,'Usage and Coverage'!$C$6:$C$20,0)),""),5)="Refer"),"REFER","AUTO-BIND"))))</f>
        <v/>
      </c>
      <c r="CY124" s="106" t="str">
        <f t="shared" si="24"/>
        <v/>
      </c>
      <c r="CZ124" s="97" t="str">
        <f>IF($CY124="","",IF($CY124&lt;'Technical Premium'!$C$19,"BEYOND AUTHORITY",IF($CY124&gt;0.005,"Above technical",IF($CY124&lt;-0.005,"BELOW technical","At technical"))))</f>
        <v/>
      </c>
      <c r="DA124" s="97" t="str">
        <f>IF($A124="","",IF($CX124="AUTO-BIND","",TRIM(IF($J124&lt;'Technical Premium'!$C$18,"Below programme minimum agreed value. ","")&amp;IF(N($AQ124)&lt;'Technical Premium'!$C$19,"DISCOUNT AUTHORITY BREACH. ","")&amp;IF(N($AQ124)&gt;'Technical Premium'!$C$20,"Load authority breach. ","")&amp;IF($J124&gt;='Technical Premium'!$C$16,"Agreed value at or above auto-bind limit. ","")&amp;IF(AND(ISNUMBER($CD124),$CD124&gt;='Technical Premium'!$C$17),"Composite factor at cap. ","")&amp;IF(AND(ISNUMBER($CD124),$CD124&gt;2.5),"Composite factor above 2.50. ","")&amp;IF(LEFT(IFERROR(INDEX('Driver Factors'!$D$6:$D$15,MATCH($R124,'Driver Factors'!$B$6:$B$15,0)),""),7)="DECLINE","DECLINE - driver age. ",IF(LEFT(IFERROR(INDEX('Driver Factors'!$D$6:$D$15,MATCH($R124,'Driver Factors'!$B$6:$B$15,0)),""),5)="Refer","Driver age band. ",""))&amp;IF(LEFT(IFERROR(INDEX('Driver Factors'!$D$28:$D$36,MATCH($T124,'Driver Factors'!$B$28:$B$36,0)),""),7)="DECLINE","DECLINE - MVR. ",IF(LEFT(IFERROR(INDEX('Driver Factors'!$D$28:$D$36,MATCH($T124,'Driver Factors'!$B$28:$B$36,0)),""),5)="Refer","MVR record. ",""))&amp;IF(LEFT(IFERROR(INDEX('Claims History'!$D$6:$D$15,MATCH($U124,'Claims History'!$B$6:$B$15,0)),""),7)="DECLINE","DECLINE - claims. ",IF(LEFT(IFERROR(INDEX('Claims History'!$D$6:$D$15,MATCH($U124,'Claims History'!$B$6:$B$15,0)),""),5)="Refer","Claims history. ",""))&amp;IF(LEFT(IFERROR(INDEX('Usage and Coverage'!$E$6:$E$20,MATCH($N124,'Usage and Coverage'!$C$6:$C$20,0)),""),7)="DECLINE","DECLINE - usage class. ",IF(LEFT(IFERROR(INDEX('Usage and Coverage'!$E$6:$E$20,MATCH($N124,'Usage and Coverage'!$C$6:$C$20,0)),""),5)="Refer","Usage class. ",""))&amp;IF($CX124="CHECK INPUTS","Incomplete inputs. ",""))))</f>
        <v/>
      </c>
      <c r="DB124" s="92"/>
      <c r="DC124" s="92"/>
      <c r="DD124" s="93"/>
      <c r="DE124" s="92"/>
      <c r="DF124" s="92"/>
      <c r="DG124" s="97" t="str">
        <f t="shared" si="25"/>
        <v/>
      </c>
      <c r="DH124" s="97" t="str">
        <f>IF($A124="","",IF(OR($CX124="REFER",$CX124="DECLINE"),COUNTIF($CX$5:$CX124,"REFER")+COUNTIF($CX$5:$CX124,"DECLINE"),""))</f>
        <v/>
      </c>
      <c r="DI124" s="92"/>
    </row>
    <row r="125" spans="1:113" x14ac:dyDescent="0.25">
      <c r="A125" s="92"/>
      <c r="B125" s="92"/>
      <c r="C125" s="93"/>
      <c r="D125" s="93"/>
      <c r="E125" s="94"/>
      <c r="F125" s="92"/>
      <c r="G125" s="92"/>
      <c r="H125" s="92"/>
      <c r="I125" s="92"/>
      <c r="J125" s="95"/>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6"/>
      <c r="AR125" s="97" t="str">
        <f t="shared" si="13"/>
        <v/>
      </c>
      <c r="AS125" s="97" t="str">
        <f>IF($A125="","",IF($AP125&lt;&gt;"",$AP125,IFERROR(INDEX('Cat Zone by ZIP'!$D$6:$D$856,MATCH($AR125,'Cat Zone by ZIP'!$B$6:$B$856,0)),IFERROR(INDEX('Cat Zone by ZIP'!$C$860:$C$910,MATCH($K125,'Cat Zone by ZIP'!$B$860:$B$910,0)),"NOT FOUND"))))</f>
        <v/>
      </c>
      <c r="AT125" s="97" t="str">
        <f>IF($A125="","",IF($AP125&lt;&gt;"","Override",IF(ISNUMBER(MATCH($AR125,'Cat Zone by ZIP'!$B$6:$B$856,0)),"ZIP-3","State default")))</f>
        <v/>
      </c>
      <c r="AU125" s="98" t="str">
        <f>IF($A125="","",IFERROR(INDEX('Natural Catastrophe'!$D$6:$D$17,MATCH($AS125,'Natural Catastrophe'!$B$6:$B$17,0)),"?"))</f>
        <v/>
      </c>
      <c r="AV125" s="98" t="str">
        <f>IF($A125="","",IFERROR(INDEX('Natural Catastrophe'!$C$21:$C$26,MATCH($AA125,'Natural Catastrophe'!$B$21:$B$26,0)),"?"))</f>
        <v/>
      </c>
      <c r="AW125" s="97" t="str">
        <f>IF($A125="","",IFERROR(INDEX('Base Rates'!$C$4:$I$4,MATCH(MAX($J125,'Technical Premium'!$C$18),'Base Rates'!$C$3:$I$3,1)),"?"))</f>
        <v/>
      </c>
      <c r="AX125" s="99" t="str">
        <f>IF($A125="","",IFERROR(INDEX('Base Rates'!$C$5:$I$16,MATCH($I125,'Base Rates'!$B$5:$B$16,0),MATCH(MAX($J125,'Technical Premium'!$C$18),'Base Rates'!$C$3:$I$3,1)),"?"))</f>
        <v/>
      </c>
      <c r="AY125" s="100" t="str">
        <f t="shared" si="14"/>
        <v/>
      </c>
      <c r="AZ125" s="97" t="str">
        <f>IF($A125="","",IFERROR(INDEX('Make Factors'!$G$5:$G$69,MATCH($F125,'Make Factors'!$B$5:$B$69,0)),"?"))</f>
        <v/>
      </c>
      <c r="BA125" s="97" t="str">
        <f>IF($A125="","",IFERROR(INDEX('Driver Factors'!$C$6:$C$15,MATCH($R125,'Driver Factors'!$B$6:$B$15,0)),"?"))</f>
        <v/>
      </c>
      <c r="BB125" s="97" t="str">
        <f>IF($A125="","",IFERROR(INDEX('Driver Factors'!$C$19:$C$24,MATCH($S125,'Driver Factors'!$B$19:$B$24,0)),"?"))</f>
        <v/>
      </c>
      <c r="BC125" s="97" t="str">
        <f>IF($A125="","",IFERROR(INDEX('Driver Factors'!$C$28:$C$36,MATCH($T125,'Driver Factors'!$B$28:$B$36,0)),"?"))</f>
        <v/>
      </c>
      <c r="BD125" s="97" t="str">
        <f>IF($A125="","",IFERROR(INDEX('Claims History'!$C$6:$C$15,MATCH($U125,'Claims History'!$B$6:$B$15,0)),"?"))</f>
        <v/>
      </c>
      <c r="BE125" s="97" t="str">
        <f>IF($A125="","",IFERROR(INDEX('Territory Factors'!$E$6:$E$56,MATCH($K125,'Territory Factors'!$B$6:$B$56,0)),"?"))</f>
        <v/>
      </c>
      <c r="BF125" s="97" t="str">
        <f>IF($A125="","",IFERROR(INDEX('City Accident Ratings'!$G$6:$G$54,MATCH($Z125,'City Accident Ratings'!$B$6:$B$54,0)),"?"))</f>
        <v/>
      </c>
      <c r="BG125" s="97" t="str">
        <f>IF($A125="","",IFERROR(INDEX('Usage and Coverage'!$D$6:$D$20,MATCH($N125,'Usage and Coverage'!$C$6:$C$20,0)),"?"))</f>
        <v/>
      </c>
      <c r="BH125" s="97" t="str">
        <f>IF($A125="","",IFERROR(INDEX('Usage and Coverage'!$C$24:$C$30,MATCH($O125,'Usage and Coverage'!$B$24:$B$30,0)),"?"))</f>
        <v/>
      </c>
      <c r="BI125" s="97" t="str">
        <f>IF($A125="","",IFERROR(INDEX('Usage and Coverage'!$C$34:$C$40,MATCH($P125,'Usage and Coverage'!$B$34:$B$40,0)),"?"))</f>
        <v/>
      </c>
      <c r="BJ125" s="97" t="str">
        <f>IF($A125="","",IFERROR(INDEX('Usage and Coverage'!$C$44:$C$49,MATCH($Q125,'Usage and Coverage'!$B$44:$B$49,0)),"?"))</f>
        <v/>
      </c>
      <c r="BK125" s="97" t="str">
        <f>IF($A125="","",IFERROR(INDEX(Deductibles!$C$6:$I$15,MATCH($W125,Deductibles!$B$6:$B$15,0),MATCH(MAX($J125,'Technical Premium'!$C$18),'Base Rates'!$C$3:$I$3,1)),"?"))</f>
        <v/>
      </c>
      <c r="BL125" s="97" t="str">
        <f>IF($A125="","",IFERROR(INDEX('Usage and Coverage'!$C$63:$C$66,MATCH($X125,'Usage and Coverage'!$B$63:$B$66,0)),"?"))</f>
        <v/>
      </c>
      <c r="BM125" s="97" t="str">
        <f>IF($A125="","",IFERROR(INDEX('Usage and Coverage'!$C$70:$C$75,MATCH($V125,'Usage and Coverage'!$B$70:$B$75,0)),"?"))</f>
        <v/>
      </c>
      <c r="BN125" s="97" t="str">
        <f>IF($A125="","",IF($AB125="",1,IFERROR(INDEX(Deductibles!$C$48:$C$51,MATCH($AB125,Deductibles!$B$48:$B$51,0)),"?")))</f>
        <v/>
      </c>
      <c r="BO125" s="97" t="str">
        <f>IF($A125="","",IF($AC125="",1,IFERROR(INDEX(Deductibles!$C$55:$C$57,MATCH($AC125,Deductibles!$B$55:$B$57,0)),"?")))</f>
        <v/>
      </c>
      <c r="BP125" s="97" t="str">
        <f>IF($A125="","",IF($AD125="",1,IFERROR(INDEX(Deductibles!$C$61:$C$63,MATCH($AD125,Deductibles!$B$61:$B$63,0)),"?")))</f>
        <v/>
      </c>
      <c r="BQ125" s="97" t="str">
        <f>IF($A125="","",IF($AE125="",1,IFERROR(INDEX(Deductibles!$C$67:$C$69,MATCH($AE125,Deductibles!$B$67:$B$69,0)),"?")))</f>
        <v/>
      </c>
      <c r="BR125" s="97" t="str">
        <f>IF($A125="","",IF($AF125="",1,IFERROR(INDEX(Deductibles!$C$73:$C$74,MATCH($AF125,Deductibles!$B$73:$B$74,0)),"?")))</f>
        <v/>
      </c>
      <c r="BS125" s="97" t="str">
        <f>IF($A125="","",IF($AG125="",1,IFERROR(INDEX('Sublimits and Parts'!$C$49:$C$52,MATCH($AG125,'Sublimits and Parts'!$B$49:$B$52,0)),"?")))</f>
        <v/>
      </c>
      <c r="BT125" s="97" t="str">
        <f>IF($A125="","",IF($AH125="",1,IFERROR(INDEX('Sublimits and Parts'!$C$56:$C$60,MATCH($AH125,'Sublimits and Parts'!$B$56:$B$60,0)),"?")))</f>
        <v/>
      </c>
      <c r="BU125" s="97" t="str">
        <f>IF($A125="","",IF($AI125="",1,IFERROR(INDEX('Sublimits and Parts'!$C$64:$C$67,MATCH($AI125,'Sublimits and Parts'!$B$64:$B$67,0)),"?")))</f>
        <v/>
      </c>
      <c r="BV125" s="97" t="str">
        <f>IF($A125="","",IF($AJ125="",1,IFERROR(INDEX('Sublimits and Parts'!$C$71:$C$74,MATCH($AJ125,'Sublimits and Parts'!$B$71:$B$74,0)),"?")))</f>
        <v/>
      </c>
      <c r="BW125" s="97" t="str">
        <f>IF($A125="","",IF($AK125="",1,IFERROR(INDEX('Sublimits and Parts'!$C$78:$C$80,MATCH($AK125,'Sublimits and Parts'!$B$78:$B$80,0)),"?")))</f>
        <v/>
      </c>
      <c r="BX125" s="97" t="str">
        <f>IF($A125="","",IF($AL125="",1,IFERROR(INDEX('Sublimits and Parts'!$C$84:$C$87,MATCH($AL125,'Sublimits and Parts'!$B$84:$B$87,0)),"?")))</f>
        <v/>
      </c>
      <c r="BY125" s="97" t="str">
        <f>IF($A125="","",IF($AM125="",1,IFERROR(INDEX('Sublimits and Parts'!$C$91:$C$94,MATCH($AM125,'Sublimits and Parts'!$B$91:$B$94,0)),"?")))</f>
        <v/>
      </c>
      <c r="BZ125" s="97" t="str">
        <f>IF($A125="","",IF($AN125="",1,IFERROR(INDEX('Sublimits and Parts'!$C$98:$C$101,MATCH($AN125,'Sublimits and Parts'!$B$98:$B$101,0)),"?")))</f>
        <v/>
      </c>
      <c r="CA125" s="97" t="str">
        <f>IF($A125="","",IF($AO125="",1,IFERROR(INDEX('Sublimits and Parts'!$C$105:$C$109,MATCH($AO125,'Sublimits and Parts'!$B$105:$B$109,0)),"?")))</f>
        <v/>
      </c>
      <c r="CB125" s="98" t="str">
        <f t="shared" si="15"/>
        <v/>
      </c>
      <c r="CC125" s="98" t="str">
        <f t="shared" si="16"/>
        <v/>
      </c>
      <c r="CD125" s="101" t="str">
        <f>IF($A125="","",IF(OR($CB125="?",$CC125="?"),"?",MIN($CB125*$CC125,'Technical Premium'!$C$17)))</f>
        <v/>
      </c>
      <c r="CE125" s="100" t="str">
        <f t="shared" si="17"/>
        <v/>
      </c>
      <c r="CF125" s="100" t="str">
        <f>IF($A125="","",IFERROR(INDEX('Territory Factors'!$F$6:$F$56,MATCH($K125,'Territory Factors'!$B$6:$B$56,0)),"?"))</f>
        <v/>
      </c>
      <c r="CG125" s="98" t="str">
        <f>IF($A125="","",IFERROR(INDEX('Usage and Coverage'!$C$79:$C$84,MATCH($Y125,'Usage and Coverage'!$B$79:$B$84,0)),"?"))</f>
        <v/>
      </c>
      <c r="CH125" s="100" t="str">
        <f>IFERROR(IF(ISNUMBER($CD125),$CF125*$CG125*MIN($BG125*$BA125*$BC125*$BD125*$BH125*$BF125,'Technical Premium'!$C$17),""),"")</f>
        <v/>
      </c>
      <c r="CI125" s="100" t="str">
        <f t="shared" si="18"/>
        <v/>
      </c>
      <c r="CJ125" s="100" t="str">
        <f>IFERROR($CI125*(1+'Technical Premium'!$C$5)*(1+'Technical Premium'!$C$6),"")</f>
        <v/>
      </c>
      <c r="CK125" s="100" t="str">
        <f>IFERROR($CE125*INDEX('Territory Factors'!$G$6:$G$56,MATCH($K125,'Territory Factors'!$B$6:$B$56,0))*$AU125*$AV125,"")</f>
        <v/>
      </c>
      <c r="CL125" s="100" t="str">
        <f>IFERROR(($CJ125+$CK125)*(1+'Technical Premium'!$C$7),"")</f>
        <v/>
      </c>
      <c r="CM125" s="102" t="str">
        <f>IFERROR($CL125/'Technical Premium'!$C$13,"")</f>
        <v/>
      </c>
      <c r="CN125" s="103" t="str">
        <f t="shared" si="19"/>
        <v/>
      </c>
      <c r="CO125" s="102" t="str">
        <f t="shared" si="20"/>
        <v/>
      </c>
      <c r="CP125" s="103" t="str">
        <f t="shared" si="21"/>
        <v/>
      </c>
      <c r="CQ125" s="104" t="str">
        <f t="shared" si="22"/>
        <v/>
      </c>
      <c r="CR125" s="100" t="str">
        <f>IF(ISNUMBER($CM125),'Technical Premium'!$C$14+IF($J125&gt;=1000000,'Technical Premium'!$C$15,0),"")</f>
        <v/>
      </c>
      <c r="CS125" s="100" t="str">
        <f>IFERROR(($CO125+$CR125)*(INDEX('Territory Factors'!$K$6:$K$56,MATCH($K125,'Territory Factors'!$B$6:$B$56,0))+'Commission Structure'!$C$21),"")</f>
        <v/>
      </c>
      <c r="CT125" s="102" t="str">
        <f t="shared" si="23"/>
        <v/>
      </c>
      <c r="CU125" s="100" t="str">
        <f>IFERROR($CO125*('Commission Structure'!$C$6+'Commission Structure'!$C$7),"")</f>
        <v/>
      </c>
      <c r="CV125" s="100" t="str">
        <f>IFERROR($CO125*'Commission Structure'!$C$5-$CU125,"")</f>
        <v/>
      </c>
      <c r="CW125" s="100" t="str">
        <f>IFERROR($CO125*(1-'Commission Structure'!$C$5),"")</f>
        <v/>
      </c>
      <c r="CX125" s="105" t="str">
        <f>IF($A125="","",IF(OR($CB125="?",$CC125="?",NOT(ISNUMBER($AU125))),"CHECK INPUTS",IF(OR($J125&lt;'Technical Premium'!$C$18,LEFT(IFERROR(INDEX('Driver Factors'!$D$6:$D$15,MATCH($R125,'Driver Factors'!$B$6:$B$15,0)),""),7)="DECLINE",LEFT(IFERROR(INDEX('Driver Factors'!$D$28:$D$36,MATCH($T125,'Driver Factors'!$B$28:$B$36,0)),""),7)="DECLINE",LEFT(IFERROR(INDEX('Claims History'!$D$6:$D$15,MATCH($U125,'Claims History'!$B$6:$B$15,0)),""),7)="DECLINE",LEFT(IFERROR(INDEX('Usage and Coverage'!$E$6:$E$20,MATCH($N125,'Usage and Coverage'!$C$6:$C$20,0)),""),7)="DECLINE"),"DECLINE",IF(OR($CD125&gt;2.5,$CD125&gt;='Technical Premium'!$C$17,$J125&gt;='Technical Premium'!$C$16,N($AQ125)&lt;'Technical Premium'!$C$19,N($AQ125)&gt;'Technical Premium'!$C$20,LEFT(IFERROR(INDEX('Driver Factors'!$D$6:$D$15,MATCH($R125,'Driver Factors'!$B$6:$B$15,0)),""),5)="Refer",LEFT(IFERROR(INDEX('Driver Factors'!$D$28:$D$36,MATCH($T125,'Driver Factors'!$B$28:$B$36,0)),""),5)="Refer",LEFT(IFERROR(INDEX('Claims History'!$D$6:$D$15,MATCH($U125,'Claims History'!$B$6:$B$15,0)),""),5)="Refer",LEFT(IFERROR(INDEX('Usage and Coverage'!$E$6:$E$20,MATCH($N125,'Usage and Coverage'!$C$6:$C$20,0)),""),5)="Refer"),"REFER","AUTO-BIND"))))</f>
        <v/>
      </c>
      <c r="CY125" s="106" t="str">
        <f t="shared" si="24"/>
        <v/>
      </c>
      <c r="CZ125" s="97" t="str">
        <f>IF($CY125="","",IF($CY125&lt;'Technical Premium'!$C$19,"BEYOND AUTHORITY",IF($CY125&gt;0.005,"Above technical",IF($CY125&lt;-0.005,"BELOW technical","At technical"))))</f>
        <v/>
      </c>
      <c r="DA125" s="97" t="str">
        <f>IF($A125="","",IF($CX125="AUTO-BIND","",TRIM(IF($J125&lt;'Technical Premium'!$C$18,"Below programme minimum agreed value. ","")&amp;IF(N($AQ125)&lt;'Technical Premium'!$C$19,"DISCOUNT AUTHORITY BREACH. ","")&amp;IF(N($AQ125)&gt;'Technical Premium'!$C$20,"Load authority breach. ","")&amp;IF($J125&gt;='Technical Premium'!$C$16,"Agreed value at or above auto-bind limit. ","")&amp;IF(AND(ISNUMBER($CD125),$CD125&gt;='Technical Premium'!$C$17),"Composite factor at cap. ","")&amp;IF(AND(ISNUMBER($CD125),$CD125&gt;2.5),"Composite factor above 2.50. ","")&amp;IF(LEFT(IFERROR(INDEX('Driver Factors'!$D$6:$D$15,MATCH($R125,'Driver Factors'!$B$6:$B$15,0)),""),7)="DECLINE","DECLINE - driver age. ",IF(LEFT(IFERROR(INDEX('Driver Factors'!$D$6:$D$15,MATCH($R125,'Driver Factors'!$B$6:$B$15,0)),""),5)="Refer","Driver age band. ",""))&amp;IF(LEFT(IFERROR(INDEX('Driver Factors'!$D$28:$D$36,MATCH($T125,'Driver Factors'!$B$28:$B$36,0)),""),7)="DECLINE","DECLINE - MVR. ",IF(LEFT(IFERROR(INDEX('Driver Factors'!$D$28:$D$36,MATCH($T125,'Driver Factors'!$B$28:$B$36,0)),""),5)="Refer","MVR record. ",""))&amp;IF(LEFT(IFERROR(INDEX('Claims History'!$D$6:$D$15,MATCH($U125,'Claims History'!$B$6:$B$15,0)),""),7)="DECLINE","DECLINE - claims. ",IF(LEFT(IFERROR(INDEX('Claims History'!$D$6:$D$15,MATCH($U125,'Claims History'!$B$6:$B$15,0)),""),5)="Refer","Claims history. ",""))&amp;IF(LEFT(IFERROR(INDEX('Usage and Coverage'!$E$6:$E$20,MATCH($N125,'Usage and Coverage'!$C$6:$C$20,0)),""),7)="DECLINE","DECLINE - usage class. ",IF(LEFT(IFERROR(INDEX('Usage and Coverage'!$E$6:$E$20,MATCH($N125,'Usage and Coverage'!$C$6:$C$20,0)),""),5)="Refer","Usage class. ",""))&amp;IF($CX125="CHECK INPUTS","Incomplete inputs. ",""))))</f>
        <v/>
      </c>
      <c r="DB125" s="92"/>
      <c r="DC125" s="92"/>
      <c r="DD125" s="93"/>
      <c r="DE125" s="92"/>
      <c r="DF125" s="92"/>
      <c r="DG125" s="97" t="str">
        <f t="shared" si="25"/>
        <v/>
      </c>
      <c r="DH125" s="97" t="str">
        <f>IF($A125="","",IF(OR($CX125="REFER",$CX125="DECLINE"),COUNTIF($CX$5:$CX125,"REFER")+COUNTIF($CX$5:$CX125,"DECLINE"),""))</f>
        <v/>
      </c>
      <c r="DI125" s="92"/>
    </row>
    <row r="126" spans="1:113" x14ac:dyDescent="0.25">
      <c r="A126" s="92"/>
      <c r="B126" s="92"/>
      <c r="C126" s="93"/>
      <c r="D126" s="93"/>
      <c r="E126" s="94"/>
      <c r="F126" s="92"/>
      <c r="G126" s="92"/>
      <c r="H126" s="92"/>
      <c r="I126" s="92"/>
      <c r="J126" s="95"/>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6"/>
      <c r="AR126" s="97" t="str">
        <f t="shared" si="13"/>
        <v/>
      </c>
      <c r="AS126" s="97" t="str">
        <f>IF($A126="","",IF($AP126&lt;&gt;"",$AP126,IFERROR(INDEX('Cat Zone by ZIP'!$D$6:$D$856,MATCH($AR126,'Cat Zone by ZIP'!$B$6:$B$856,0)),IFERROR(INDEX('Cat Zone by ZIP'!$C$860:$C$910,MATCH($K126,'Cat Zone by ZIP'!$B$860:$B$910,0)),"NOT FOUND"))))</f>
        <v/>
      </c>
      <c r="AT126" s="97" t="str">
        <f>IF($A126="","",IF($AP126&lt;&gt;"","Override",IF(ISNUMBER(MATCH($AR126,'Cat Zone by ZIP'!$B$6:$B$856,0)),"ZIP-3","State default")))</f>
        <v/>
      </c>
      <c r="AU126" s="98" t="str">
        <f>IF($A126="","",IFERROR(INDEX('Natural Catastrophe'!$D$6:$D$17,MATCH($AS126,'Natural Catastrophe'!$B$6:$B$17,0)),"?"))</f>
        <v/>
      </c>
      <c r="AV126" s="98" t="str">
        <f>IF($A126="","",IFERROR(INDEX('Natural Catastrophe'!$C$21:$C$26,MATCH($AA126,'Natural Catastrophe'!$B$21:$B$26,0)),"?"))</f>
        <v/>
      </c>
      <c r="AW126" s="97" t="str">
        <f>IF($A126="","",IFERROR(INDEX('Base Rates'!$C$4:$I$4,MATCH(MAX($J126,'Technical Premium'!$C$18),'Base Rates'!$C$3:$I$3,1)),"?"))</f>
        <v/>
      </c>
      <c r="AX126" s="99" t="str">
        <f>IF($A126="","",IFERROR(INDEX('Base Rates'!$C$5:$I$16,MATCH($I126,'Base Rates'!$B$5:$B$16,0),MATCH(MAX($J126,'Technical Premium'!$C$18),'Base Rates'!$C$3:$I$3,1)),"?"))</f>
        <v/>
      </c>
      <c r="AY126" s="100" t="str">
        <f t="shared" si="14"/>
        <v/>
      </c>
      <c r="AZ126" s="97" t="str">
        <f>IF($A126="","",IFERROR(INDEX('Make Factors'!$G$5:$G$69,MATCH($F126,'Make Factors'!$B$5:$B$69,0)),"?"))</f>
        <v/>
      </c>
      <c r="BA126" s="97" t="str">
        <f>IF($A126="","",IFERROR(INDEX('Driver Factors'!$C$6:$C$15,MATCH($R126,'Driver Factors'!$B$6:$B$15,0)),"?"))</f>
        <v/>
      </c>
      <c r="BB126" s="97" t="str">
        <f>IF($A126="","",IFERROR(INDEX('Driver Factors'!$C$19:$C$24,MATCH($S126,'Driver Factors'!$B$19:$B$24,0)),"?"))</f>
        <v/>
      </c>
      <c r="BC126" s="97" t="str">
        <f>IF($A126="","",IFERROR(INDEX('Driver Factors'!$C$28:$C$36,MATCH($T126,'Driver Factors'!$B$28:$B$36,0)),"?"))</f>
        <v/>
      </c>
      <c r="BD126" s="97" t="str">
        <f>IF($A126="","",IFERROR(INDEX('Claims History'!$C$6:$C$15,MATCH($U126,'Claims History'!$B$6:$B$15,0)),"?"))</f>
        <v/>
      </c>
      <c r="BE126" s="97" t="str">
        <f>IF($A126="","",IFERROR(INDEX('Territory Factors'!$E$6:$E$56,MATCH($K126,'Territory Factors'!$B$6:$B$56,0)),"?"))</f>
        <v/>
      </c>
      <c r="BF126" s="97" t="str">
        <f>IF($A126="","",IFERROR(INDEX('City Accident Ratings'!$G$6:$G$54,MATCH($Z126,'City Accident Ratings'!$B$6:$B$54,0)),"?"))</f>
        <v/>
      </c>
      <c r="BG126" s="97" t="str">
        <f>IF($A126="","",IFERROR(INDEX('Usage and Coverage'!$D$6:$D$20,MATCH($N126,'Usage and Coverage'!$C$6:$C$20,0)),"?"))</f>
        <v/>
      </c>
      <c r="BH126" s="97" t="str">
        <f>IF($A126="","",IFERROR(INDEX('Usage and Coverage'!$C$24:$C$30,MATCH($O126,'Usage and Coverage'!$B$24:$B$30,0)),"?"))</f>
        <v/>
      </c>
      <c r="BI126" s="97" t="str">
        <f>IF($A126="","",IFERROR(INDEX('Usage and Coverage'!$C$34:$C$40,MATCH($P126,'Usage and Coverage'!$B$34:$B$40,0)),"?"))</f>
        <v/>
      </c>
      <c r="BJ126" s="97" t="str">
        <f>IF($A126="","",IFERROR(INDEX('Usage and Coverage'!$C$44:$C$49,MATCH($Q126,'Usage and Coverage'!$B$44:$B$49,0)),"?"))</f>
        <v/>
      </c>
      <c r="BK126" s="97" t="str">
        <f>IF($A126="","",IFERROR(INDEX(Deductibles!$C$6:$I$15,MATCH($W126,Deductibles!$B$6:$B$15,0),MATCH(MAX($J126,'Technical Premium'!$C$18),'Base Rates'!$C$3:$I$3,1)),"?"))</f>
        <v/>
      </c>
      <c r="BL126" s="97" t="str">
        <f>IF($A126="","",IFERROR(INDEX('Usage and Coverage'!$C$63:$C$66,MATCH($X126,'Usage and Coverage'!$B$63:$B$66,0)),"?"))</f>
        <v/>
      </c>
      <c r="BM126" s="97" t="str">
        <f>IF($A126="","",IFERROR(INDEX('Usage and Coverage'!$C$70:$C$75,MATCH($V126,'Usage and Coverage'!$B$70:$B$75,0)),"?"))</f>
        <v/>
      </c>
      <c r="BN126" s="97" t="str">
        <f>IF($A126="","",IF($AB126="",1,IFERROR(INDEX(Deductibles!$C$48:$C$51,MATCH($AB126,Deductibles!$B$48:$B$51,0)),"?")))</f>
        <v/>
      </c>
      <c r="BO126" s="97" t="str">
        <f>IF($A126="","",IF($AC126="",1,IFERROR(INDEX(Deductibles!$C$55:$C$57,MATCH($AC126,Deductibles!$B$55:$B$57,0)),"?")))</f>
        <v/>
      </c>
      <c r="BP126" s="97" t="str">
        <f>IF($A126="","",IF($AD126="",1,IFERROR(INDEX(Deductibles!$C$61:$C$63,MATCH($AD126,Deductibles!$B$61:$B$63,0)),"?")))</f>
        <v/>
      </c>
      <c r="BQ126" s="97" t="str">
        <f>IF($A126="","",IF($AE126="",1,IFERROR(INDEX(Deductibles!$C$67:$C$69,MATCH($AE126,Deductibles!$B$67:$B$69,0)),"?")))</f>
        <v/>
      </c>
      <c r="BR126" s="97" t="str">
        <f>IF($A126="","",IF($AF126="",1,IFERROR(INDEX(Deductibles!$C$73:$C$74,MATCH($AF126,Deductibles!$B$73:$B$74,0)),"?")))</f>
        <v/>
      </c>
      <c r="BS126" s="97" t="str">
        <f>IF($A126="","",IF($AG126="",1,IFERROR(INDEX('Sublimits and Parts'!$C$49:$C$52,MATCH($AG126,'Sublimits and Parts'!$B$49:$B$52,0)),"?")))</f>
        <v/>
      </c>
      <c r="BT126" s="97" t="str">
        <f>IF($A126="","",IF($AH126="",1,IFERROR(INDEX('Sublimits and Parts'!$C$56:$C$60,MATCH($AH126,'Sublimits and Parts'!$B$56:$B$60,0)),"?")))</f>
        <v/>
      </c>
      <c r="BU126" s="97" t="str">
        <f>IF($A126="","",IF($AI126="",1,IFERROR(INDEX('Sublimits and Parts'!$C$64:$C$67,MATCH($AI126,'Sublimits and Parts'!$B$64:$B$67,0)),"?")))</f>
        <v/>
      </c>
      <c r="BV126" s="97" t="str">
        <f>IF($A126="","",IF($AJ126="",1,IFERROR(INDEX('Sublimits and Parts'!$C$71:$C$74,MATCH($AJ126,'Sublimits and Parts'!$B$71:$B$74,0)),"?")))</f>
        <v/>
      </c>
      <c r="BW126" s="97" t="str">
        <f>IF($A126="","",IF($AK126="",1,IFERROR(INDEX('Sublimits and Parts'!$C$78:$C$80,MATCH($AK126,'Sublimits and Parts'!$B$78:$B$80,0)),"?")))</f>
        <v/>
      </c>
      <c r="BX126" s="97" t="str">
        <f>IF($A126="","",IF($AL126="",1,IFERROR(INDEX('Sublimits and Parts'!$C$84:$C$87,MATCH($AL126,'Sublimits and Parts'!$B$84:$B$87,0)),"?")))</f>
        <v/>
      </c>
      <c r="BY126" s="97" t="str">
        <f>IF($A126="","",IF($AM126="",1,IFERROR(INDEX('Sublimits and Parts'!$C$91:$C$94,MATCH($AM126,'Sublimits and Parts'!$B$91:$B$94,0)),"?")))</f>
        <v/>
      </c>
      <c r="BZ126" s="97" t="str">
        <f>IF($A126="","",IF($AN126="",1,IFERROR(INDEX('Sublimits and Parts'!$C$98:$C$101,MATCH($AN126,'Sublimits and Parts'!$B$98:$B$101,0)),"?")))</f>
        <v/>
      </c>
      <c r="CA126" s="97" t="str">
        <f>IF($A126="","",IF($AO126="",1,IFERROR(INDEX('Sublimits and Parts'!$C$105:$C$109,MATCH($AO126,'Sublimits and Parts'!$B$105:$B$109,0)),"?")))</f>
        <v/>
      </c>
      <c r="CB126" s="98" t="str">
        <f t="shared" si="15"/>
        <v/>
      </c>
      <c r="CC126" s="98" t="str">
        <f t="shared" si="16"/>
        <v/>
      </c>
      <c r="CD126" s="101" t="str">
        <f>IF($A126="","",IF(OR($CB126="?",$CC126="?"),"?",MIN($CB126*$CC126,'Technical Premium'!$C$17)))</f>
        <v/>
      </c>
      <c r="CE126" s="100" t="str">
        <f t="shared" si="17"/>
        <v/>
      </c>
      <c r="CF126" s="100" t="str">
        <f>IF($A126="","",IFERROR(INDEX('Territory Factors'!$F$6:$F$56,MATCH($K126,'Territory Factors'!$B$6:$B$56,0)),"?"))</f>
        <v/>
      </c>
      <c r="CG126" s="98" t="str">
        <f>IF($A126="","",IFERROR(INDEX('Usage and Coverage'!$C$79:$C$84,MATCH($Y126,'Usage and Coverage'!$B$79:$B$84,0)),"?"))</f>
        <v/>
      </c>
      <c r="CH126" s="100" t="str">
        <f>IFERROR(IF(ISNUMBER($CD126),$CF126*$CG126*MIN($BG126*$BA126*$BC126*$BD126*$BH126*$BF126,'Technical Premium'!$C$17),""),"")</f>
        <v/>
      </c>
      <c r="CI126" s="100" t="str">
        <f t="shared" si="18"/>
        <v/>
      </c>
      <c r="CJ126" s="100" t="str">
        <f>IFERROR($CI126*(1+'Technical Premium'!$C$5)*(1+'Technical Premium'!$C$6),"")</f>
        <v/>
      </c>
      <c r="CK126" s="100" t="str">
        <f>IFERROR($CE126*INDEX('Territory Factors'!$G$6:$G$56,MATCH($K126,'Territory Factors'!$B$6:$B$56,0))*$AU126*$AV126,"")</f>
        <v/>
      </c>
      <c r="CL126" s="100" t="str">
        <f>IFERROR(($CJ126+$CK126)*(1+'Technical Premium'!$C$7),"")</f>
        <v/>
      </c>
      <c r="CM126" s="102" t="str">
        <f>IFERROR($CL126/'Technical Premium'!$C$13,"")</f>
        <v/>
      </c>
      <c r="CN126" s="103" t="str">
        <f t="shared" si="19"/>
        <v/>
      </c>
      <c r="CO126" s="102" t="str">
        <f t="shared" si="20"/>
        <v/>
      </c>
      <c r="CP126" s="103" t="str">
        <f t="shared" si="21"/>
        <v/>
      </c>
      <c r="CQ126" s="104" t="str">
        <f t="shared" si="22"/>
        <v/>
      </c>
      <c r="CR126" s="100" t="str">
        <f>IF(ISNUMBER($CM126),'Technical Premium'!$C$14+IF($J126&gt;=1000000,'Technical Premium'!$C$15,0),"")</f>
        <v/>
      </c>
      <c r="CS126" s="100" t="str">
        <f>IFERROR(($CO126+$CR126)*(INDEX('Territory Factors'!$K$6:$K$56,MATCH($K126,'Territory Factors'!$B$6:$B$56,0))+'Commission Structure'!$C$21),"")</f>
        <v/>
      </c>
      <c r="CT126" s="102" t="str">
        <f t="shared" si="23"/>
        <v/>
      </c>
      <c r="CU126" s="100" t="str">
        <f>IFERROR($CO126*('Commission Structure'!$C$6+'Commission Structure'!$C$7),"")</f>
        <v/>
      </c>
      <c r="CV126" s="100" t="str">
        <f>IFERROR($CO126*'Commission Structure'!$C$5-$CU126,"")</f>
        <v/>
      </c>
      <c r="CW126" s="100" t="str">
        <f>IFERROR($CO126*(1-'Commission Structure'!$C$5),"")</f>
        <v/>
      </c>
      <c r="CX126" s="105" t="str">
        <f>IF($A126="","",IF(OR($CB126="?",$CC126="?",NOT(ISNUMBER($AU126))),"CHECK INPUTS",IF(OR($J126&lt;'Technical Premium'!$C$18,LEFT(IFERROR(INDEX('Driver Factors'!$D$6:$D$15,MATCH($R126,'Driver Factors'!$B$6:$B$15,0)),""),7)="DECLINE",LEFT(IFERROR(INDEX('Driver Factors'!$D$28:$D$36,MATCH($T126,'Driver Factors'!$B$28:$B$36,0)),""),7)="DECLINE",LEFT(IFERROR(INDEX('Claims History'!$D$6:$D$15,MATCH($U126,'Claims History'!$B$6:$B$15,0)),""),7)="DECLINE",LEFT(IFERROR(INDEX('Usage and Coverage'!$E$6:$E$20,MATCH($N126,'Usage and Coverage'!$C$6:$C$20,0)),""),7)="DECLINE"),"DECLINE",IF(OR($CD126&gt;2.5,$CD126&gt;='Technical Premium'!$C$17,$J126&gt;='Technical Premium'!$C$16,N($AQ126)&lt;'Technical Premium'!$C$19,N($AQ126)&gt;'Technical Premium'!$C$20,LEFT(IFERROR(INDEX('Driver Factors'!$D$6:$D$15,MATCH($R126,'Driver Factors'!$B$6:$B$15,0)),""),5)="Refer",LEFT(IFERROR(INDEX('Driver Factors'!$D$28:$D$36,MATCH($T126,'Driver Factors'!$B$28:$B$36,0)),""),5)="Refer",LEFT(IFERROR(INDEX('Claims History'!$D$6:$D$15,MATCH($U126,'Claims History'!$B$6:$B$15,0)),""),5)="Refer",LEFT(IFERROR(INDEX('Usage and Coverage'!$E$6:$E$20,MATCH($N126,'Usage and Coverage'!$C$6:$C$20,0)),""),5)="Refer"),"REFER","AUTO-BIND"))))</f>
        <v/>
      </c>
      <c r="CY126" s="106" t="str">
        <f t="shared" si="24"/>
        <v/>
      </c>
      <c r="CZ126" s="97" t="str">
        <f>IF($CY126="","",IF($CY126&lt;'Technical Premium'!$C$19,"BEYOND AUTHORITY",IF($CY126&gt;0.005,"Above technical",IF($CY126&lt;-0.005,"BELOW technical","At technical"))))</f>
        <v/>
      </c>
      <c r="DA126" s="97" t="str">
        <f>IF($A126="","",IF($CX126="AUTO-BIND","",TRIM(IF($J126&lt;'Technical Premium'!$C$18,"Below programme minimum agreed value. ","")&amp;IF(N($AQ126)&lt;'Technical Premium'!$C$19,"DISCOUNT AUTHORITY BREACH. ","")&amp;IF(N($AQ126)&gt;'Technical Premium'!$C$20,"Load authority breach. ","")&amp;IF($J126&gt;='Technical Premium'!$C$16,"Agreed value at or above auto-bind limit. ","")&amp;IF(AND(ISNUMBER($CD126),$CD126&gt;='Technical Premium'!$C$17),"Composite factor at cap. ","")&amp;IF(AND(ISNUMBER($CD126),$CD126&gt;2.5),"Composite factor above 2.50. ","")&amp;IF(LEFT(IFERROR(INDEX('Driver Factors'!$D$6:$D$15,MATCH($R126,'Driver Factors'!$B$6:$B$15,0)),""),7)="DECLINE","DECLINE - driver age. ",IF(LEFT(IFERROR(INDEX('Driver Factors'!$D$6:$D$15,MATCH($R126,'Driver Factors'!$B$6:$B$15,0)),""),5)="Refer","Driver age band. ",""))&amp;IF(LEFT(IFERROR(INDEX('Driver Factors'!$D$28:$D$36,MATCH($T126,'Driver Factors'!$B$28:$B$36,0)),""),7)="DECLINE","DECLINE - MVR. ",IF(LEFT(IFERROR(INDEX('Driver Factors'!$D$28:$D$36,MATCH($T126,'Driver Factors'!$B$28:$B$36,0)),""),5)="Refer","MVR record. ",""))&amp;IF(LEFT(IFERROR(INDEX('Claims History'!$D$6:$D$15,MATCH($U126,'Claims History'!$B$6:$B$15,0)),""),7)="DECLINE","DECLINE - claims. ",IF(LEFT(IFERROR(INDEX('Claims History'!$D$6:$D$15,MATCH($U126,'Claims History'!$B$6:$B$15,0)),""),5)="Refer","Claims history. ",""))&amp;IF(LEFT(IFERROR(INDEX('Usage and Coverage'!$E$6:$E$20,MATCH($N126,'Usage and Coverage'!$C$6:$C$20,0)),""),7)="DECLINE","DECLINE - usage class. ",IF(LEFT(IFERROR(INDEX('Usage and Coverage'!$E$6:$E$20,MATCH($N126,'Usage and Coverage'!$C$6:$C$20,0)),""),5)="Refer","Usage class. ",""))&amp;IF($CX126="CHECK INPUTS","Incomplete inputs. ",""))))</f>
        <v/>
      </c>
      <c r="DB126" s="92"/>
      <c r="DC126" s="92"/>
      <c r="DD126" s="93"/>
      <c r="DE126" s="92"/>
      <c r="DF126" s="92"/>
      <c r="DG126" s="97" t="str">
        <f t="shared" si="25"/>
        <v/>
      </c>
      <c r="DH126" s="97" t="str">
        <f>IF($A126="","",IF(OR($CX126="REFER",$CX126="DECLINE"),COUNTIF($CX$5:$CX126,"REFER")+COUNTIF($CX$5:$CX126,"DECLINE"),""))</f>
        <v/>
      </c>
      <c r="DI126" s="92"/>
    </row>
    <row r="127" spans="1:113" x14ac:dyDescent="0.25">
      <c r="A127" s="92"/>
      <c r="B127" s="92"/>
      <c r="C127" s="93"/>
      <c r="D127" s="93"/>
      <c r="E127" s="94"/>
      <c r="F127" s="92"/>
      <c r="G127" s="92"/>
      <c r="H127" s="92"/>
      <c r="I127" s="92"/>
      <c r="J127" s="95"/>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6"/>
      <c r="AR127" s="97" t="str">
        <f t="shared" si="13"/>
        <v/>
      </c>
      <c r="AS127" s="97" t="str">
        <f>IF($A127="","",IF($AP127&lt;&gt;"",$AP127,IFERROR(INDEX('Cat Zone by ZIP'!$D$6:$D$856,MATCH($AR127,'Cat Zone by ZIP'!$B$6:$B$856,0)),IFERROR(INDEX('Cat Zone by ZIP'!$C$860:$C$910,MATCH($K127,'Cat Zone by ZIP'!$B$860:$B$910,0)),"NOT FOUND"))))</f>
        <v/>
      </c>
      <c r="AT127" s="97" t="str">
        <f>IF($A127="","",IF($AP127&lt;&gt;"","Override",IF(ISNUMBER(MATCH($AR127,'Cat Zone by ZIP'!$B$6:$B$856,0)),"ZIP-3","State default")))</f>
        <v/>
      </c>
      <c r="AU127" s="98" t="str">
        <f>IF($A127="","",IFERROR(INDEX('Natural Catastrophe'!$D$6:$D$17,MATCH($AS127,'Natural Catastrophe'!$B$6:$B$17,0)),"?"))</f>
        <v/>
      </c>
      <c r="AV127" s="98" t="str">
        <f>IF($A127="","",IFERROR(INDEX('Natural Catastrophe'!$C$21:$C$26,MATCH($AA127,'Natural Catastrophe'!$B$21:$B$26,0)),"?"))</f>
        <v/>
      </c>
      <c r="AW127" s="97" t="str">
        <f>IF($A127="","",IFERROR(INDEX('Base Rates'!$C$4:$I$4,MATCH(MAX($J127,'Technical Premium'!$C$18),'Base Rates'!$C$3:$I$3,1)),"?"))</f>
        <v/>
      </c>
      <c r="AX127" s="99" t="str">
        <f>IF($A127="","",IFERROR(INDEX('Base Rates'!$C$5:$I$16,MATCH($I127,'Base Rates'!$B$5:$B$16,0),MATCH(MAX($J127,'Technical Premium'!$C$18),'Base Rates'!$C$3:$I$3,1)),"?"))</f>
        <v/>
      </c>
      <c r="AY127" s="100" t="str">
        <f t="shared" si="14"/>
        <v/>
      </c>
      <c r="AZ127" s="97" t="str">
        <f>IF($A127="","",IFERROR(INDEX('Make Factors'!$G$5:$G$69,MATCH($F127,'Make Factors'!$B$5:$B$69,0)),"?"))</f>
        <v/>
      </c>
      <c r="BA127" s="97" t="str">
        <f>IF($A127="","",IFERROR(INDEX('Driver Factors'!$C$6:$C$15,MATCH($R127,'Driver Factors'!$B$6:$B$15,0)),"?"))</f>
        <v/>
      </c>
      <c r="BB127" s="97" t="str">
        <f>IF($A127="","",IFERROR(INDEX('Driver Factors'!$C$19:$C$24,MATCH($S127,'Driver Factors'!$B$19:$B$24,0)),"?"))</f>
        <v/>
      </c>
      <c r="BC127" s="97" t="str">
        <f>IF($A127="","",IFERROR(INDEX('Driver Factors'!$C$28:$C$36,MATCH($T127,'Driver Factors'!$B$28:$B$36,0)),"?"))</f>
        <v/>
      </c>
      <c r="BD127" s="97" t="str">
        <f>IF($A127="","",IFERROR(INDEX('Claims History'!$C$6:$C$15,MATCH($U127,'Claims History'!$B$6:$B$15,0)),"?"))</f>
        <v/>
      </c>
      <c r="BE127" s="97" t="str">
        <f>IF($A127="","",IFERROR(INDEX('Territory Factors'!$E$6:$E$56,MATCH($K127,'Territory Factors'!$B$6:$B$56,0)),"?"))</f>
        <v/>
      </c>
      <c r="BF127" s="97" t="str">
        <f>IF($A127="","",IFERROR(INDEX('City Accident Ratings'!$G$6:$G$54,MATCH($Z127,'City Accident Ratings'!$B$6:$B$54,0)),"?"))</f>
        <v/>
      </c>
      <c r="BG127" s="97" t="str">
        <f>IF($A127="","",IFERROR(INDEX('Usage and Coverage'!$D$6:$D$20,MATCH($N127,'Usage and Coverage'!$C$6:$C$20,0)),"?"))</f>
        <v/>
      </c>
      <c r="BH127" s="97" t="str">
        <f>IF($A127="","",IFERROR(INDEX('Usage and Coverage'!$C$24:$C$30,MATCH($O127,'Usage and Coverage'!$B$24:$B$30,0)),"?"))</f>
        <v/>
      </c>
      <c r="BI127" s="97" t="str">
        <f>IF($A127="","",IFERROR(INDEX('Usage and Coverage'!$C$34:$C$40,MATCH($P127,'Usage and Coverage'!$B$34:$B$40,0)),"?"))</f>
        <v/>
      </c>
      <c r="BJ127" s="97" t="str">
        <f>IF($A127="","",IFERROR(INDEX('Usage and Coverage'!$C$44:$C$49,MATCH($Q127,'Usage and Coverage'!$B$44:$B$49,0)),"?"))</f>
        <v/>
      </c>
      <c r="BK127" s="97" t="str">
        <f>IF($A127="","",IFERROR(INDEX(Deductibles!$C$6:$I$15,MATCH($W127,Deductibles!$B$6:$B$15,0),MATCH(MAX($J127,'Technical Premium'!$C$18),'Base Rates'!$C$3:$I$3,1)),"?"))</f>
        <v/>
      </c>
      <c r="BL127" s="97" t="str">
        <f>IF($A127="","",IFERROR(INDEX('Usage and Coverage'!$C$63:$C$66,MATCH($X127,'Usage and Coverage'!$B$63:$B$66,0)),"?"))</f>
        <v/>
      </c>
      <c r="BM127" s="97" t="str">
        <f>IF($A127="","",IFERROR(INDEX('Usage and Coverage'!$C$70:$C$75,MATCH($V127,'Usage and Coverage'!$B$70:$B$75,0)),"?"))</f>
        <v/>
      </c>
      <c r="BN127" s="97" t="str">
        <f>IF($A127="","",IF($AB127="",1,IFERROR(INDEX(Deductibles!$C$48:$C$51,MATCH($AB127,Deductibles!$B$48:$B$51,0)),"?")))</f>
        <v/>
      </c>
      <c r="BO127" s="97" t="str">
        <f>IF($A127="","",IF($AC127="",1,IFERROR(INDEX(Deductibles!$C$55:$C$57,MATCH($AC127,Deductibles!$B$55:$B$57,0)),"?")))</f>
        <v/>
      </c>
      <c r="BP127" s="97" t="str">
        <f>IF($A127="","",IF($AD127="",1,IFERROR(INDEX(Deductibles!$C$61:$C$63,MATCH($AD127,Deductibles!$B$61:$B$63,0)),"?")))</f>
        <v/>
      </c>
      <c r="BQ127" s="97" t="str">
        <f>IF($A127="","",IF($AE127="",1,IFERROR(INDEX(Deductibles!$C$67:$C$69,MATCH($AE127,Deductibles!$B$67:$B$69,0)),"?")))</f>
        <v/>
      </c>
      <c r="BR127" s="97" t="str">
        <f>IF($A127="","",IF($AF127="",1,IFERROR(INDEX(Deductibles!$C$73:$C$74,MATCH($AF127,Deductibles!$B$73:$B$74,0)),"?")))</f>
        <v/>
      </c>
      <c r="BS127" s="97" t="str">
        <f>IF($A127="","",IF($AG127="",1,IFERROR(INDEX('Sublimits and Parts'!$C$49:$C$52,MATCH($AG127,'Sublimits and Parts'!$B$49:$B$52,0)),"?")))</f>
        <v/>
      </c>
      <c r="BT127" s="97" t="str">
        <f>IF($A127="","",IF($AH127="",1,IFERROR(INDEX('Sublimits and Parts'!$C$56:$C$60,MATCH($AH127,'Sublimits and Parts'!$B$56:$B$60,0)),"?")))</f>
        <v/>
      </c>
      <c r="BU127" s="97" t="str">
        <f>IF($A127="","",IF($AI127="",1,IFERROR(INDEX('Sublimits and Parts'!$C$64:$C$67,MATCH($AI127,'Sublimits and Parts'!$B$64:$B$67,0)),"?")))</f>
        <v/>
      </c>
      <c r="BV127" s="97" t="str">
        <f>IF($A127="","",IF($AJ127="",1,IFERROR(INDEX('Sublimits and Parts'!$C$71:$C$74,MATCH($AJ127,'Sublimits and Parts'!$B$71:$B$74,0)),"?")))</f>
        <v/>
      </c>
      <c r="BW127" s="97" t="str">
        <f>IF($A127="","",IF($AK127="",1,IFERROR(INDEX('Sublimits and Parts'!$C$78:$C$80,MATCH($AK127,'Sublimits and Parts'!$B$78:$B$80,0)),"?")))</f>
        <v/>
      </c>
      <c r="BX127" s="97" t="str">
        <f>IF($A127="","",IF($AL127="",1,IFERROR(INDEX('Sublimits and Parts'!$C$84:$C$87,MATCH($AL127,'Sublimits and Parts'!$B$84:$B$87,0)),"?")))</f>
        <v/>
      </c>
      <c r="BY127" s="97" t="str">
        <f>IF($A127="","",IF($AM127="",1,IFERROR(INDEX('Sublimits and Parts'!$C$91:$C$94,MATCH($AM127,'Sublimits and Parts'!$B$91:$B$94,0)),"?")))</f>
        <v/>
      </c>
      <c r="BZ127" s="97" t="str">
        <f>IF($A127="","",IF($AN127="",1,IFERROR(INDEX('Sublimits and Parts'!$C$98:$C$101,MATCH($AN127,'Sublimits and Parts'!$B$98:$B$101,0)),"?")))</f>
        <v/>
      </c>
      <c r="CA127" s="97" t="str">
        <f>IF($A127="","",IF($AO127="",1,IFERROR(INDEX('Sublimits and Parts'!$C$105:$C$109,MATCH($AO127,'Sublimits and Parts'!$B$105:$B$109,0)),"?")))</f>
        <v/>
      </c>
      <c r="CB127" s="98" t="str">
        <f t="shared" si="15"/>
        <v/>
      </c>
      <c r="CC127" s="98" t="str">
        <f t="shared" si="16"/>
        <v/>
      </c>
      <c r="CD127" s="101" t="str">
        <f>IF($A127="","",IF(OR($CB127="?",$CC127="?"),"?",MIN($CB127*$CC127,'Technical Premium'!$C$17)))</f>
        <v/>
      </c>
      <c r="CE127" s="100" t="str">
        <f t="shared" si="17"/>
        <v/>
      </c>
      <c r="CF127" s="100" t="str">
        <f>IF($A127="","",IFERROR(INDEX('Territory Factors'!$F$6:$F$56,MATCH($K127,'Territory Factors'!$B$6:$B$56,0)),"?"))</f>
        <v/>
      </c>
      <c r="CG127" s="98" t="str">
        <f>IF($A127="","",IFERROR(INDEX('Usage and Coverage'!$C$79:$C$84,MATCH($Y127,'Usage and Coverage'!$B$79:$B$84,0)),"?"))</f>
        <v/>
      </c>
      <c r="CH127" s="100" t="str">
        <f>IFERROR(IF(ISNUMBER($CD127),$CF127*$CG127*MIN($BG127*$BA127*$BC127*$BD127*$BH127*$BF127,'Technical Premium'!$C$17),""),"")</f>
        <v/>
      </c>
      <c r="CI127" s="100" t="str">
        <f t="shared" si="18"/>
        <v/>
      </c>
      <c r="CJ127" s="100" t="str">
        <f>IFERROR($CI127*(1+'Technical Premium'!$C$5)*(1+'Technical Premium'!$C$6),"")</f>
        <v/>
      </c>
      <c r="CK127" s="100" t="str">
        <f>IFERROR($CE127*INDEX('Territory Factors'!$G$6:$G$56,MATCH($K127,'Territory Factors'!$B$6:$B$56,0))*$AU127*$AV127,"")</f>
        <v/>
      </c>
      <c r="CL127" s="100" t="str">
        <f>IFERROR(($CJ127+$CK127)*(1+'Technical Premium'!$C$7),"")</f>
        <v/>
      </c>
      <c r="CM127" s="102" t="str">
        <f>IFERROR($CL127/'Technical Premium'!$C$13,"")</f>
        <v/>
      </c>
      <c r="CN127" s="103" t="str">
        <f t="shared" si="19"/>
        <v/>
      </c>
      <c r="CO127" s="102" t="str">
        <f t="shared" si="20"/>
        <v/>
      </c>
      <c r="CP127" s="103" t="str">
        <f t="shared" si="21"/>
        <v/>
      </c>
      <c r="CQ127" s="104" t="str">
        <f t="shared" si="22"/>
        <v/>
      </c>
      <c r="CR127" s="100" t="str">
        <f>IF(ISNUMBER($CM127),'Technical Premium'!$C$14+IF($J127&gt;=1000000,'Technical Premium'!$C$15,0),"")</f>
        <v/>
      </c>
      <c r="CS127" s="100" t="str">
        <f>IFERROR(($CO127+$CR127)*(INDEX('Territory Factors'!$K$6:$K$56,MATCH($K127,'Territory Factors'!$B$6:$B$56,0))+'Commission Structure'!$C$21),"")</f>
        <v/>
      </c>
      <c r="CT127" s="102" t="str">
        <f t="shared" si="23"/>
        <v/>
      </c>
      <c r="CU127" s="100" t="str">
        <f>IFERROR($CO127*('Commission Structure'!$C$6+'Commission Structure'!$C$7),"")</f>
        <v/>
      </c>
      <c r="CV127" s="100" t="str">
        <f>IFERROR($CO127*'Commission Structure'!$C$5-$CU127,"")</f>
        <v/>
      </c>
      <c r="CW127" s="100" t="str">
        <f>IFERROR($CO127*(1-'Commission Structure'!$C$5),"")</f>
        <v/>
      </c>
      <c r="CX127" s="105" t="str">
        <f>IF($A127="","",IF(OR($CB127="?",$CC127="?",NOT(ISNUMBER($AU127))),"CHECK INPUTS",IF(OR($J127&lt;'Technical Premium'!$C$18,LEFT(IFERROR(INDEX('Driver Factors'!$D$6:$D$15,MATCH($R127,'Driver Factors'!$B$6:$B$15,0)),""),7)="DECLINE",LEFT(IFERROR(INDEX('Driver Factors'!$D$28:$D$36,MATCH($T127,'Driver Factors'!$B$28:$B$36,0)),""),7)="DECLINE",LEFT(IFERROR(INDEX('Claims History'!$D$6:$D$15,MATCH($U127,'Claims History'!$B$6:$B$15,0)),""),7)="DECLINE",LEFT(IFERROR(INDEX('Usage and Coverage'!$E$6:$E$20,MATCH($N127,'Usage and Coverage'!$C$6:$C$20,0)),""),7)="DECLINE"),"DECLINE",IF(OR($CD127&gt;2.5,$CD127&gt;='Technical Premium'!$C$17,$J127&gt;='Technical Premium'!$C$16,N($AQ127)&lt;'Technical Premium'!$C$19,N($AQ127)&gt;'Technical Premium'!$C$20,LEFT(IFERROR(INDEX('Driver Factors'!$D$6:$D$15,MATCH($R127,'Driver Factors'!$B$6:$B$15,0)),""),5)="Refer",LEFT(IFERROR(INDEX('Driver Factors'!$D$28:$D$36,MATCH($T127,'Driver Factors'!$B$28:$B$36,0)),""),5)="Refer",LEFT(IFERROR(INDEX('Claims History'!$D$6:$D$15,MATCH($U127,'Claims History'!$B$6:$B$15,0)),""),5)="Refer",LEFT(IFERROR(INDEX('Usage and Coverage'!$E$6:$E$20,MATCH($N127,'Usage and Coverage'!$C$6:$C$20,0)),""),5)="Refer"),"REFER","AUTO-BIND"))))</f>
        <v/>
      </c>
      <c r="CY127" s="106" t="str">
        <f t="shared" si="24"/>
        <v/>
      </c>
      <c r="CZ127" s="97" t="str">
        <f>IF($CY127="","",IF($CY127&lt;'Technical Premium'!$C$19,"BEYOND AUTHORITY",IF($CY127&gt;0.005,"Above technical",IF($CY127&lt;-0.005,"BELOW technical","At technical"))))</f>
        <v/>
      </c>
      <c r="DA127" s="97" t="str">
        <f>IF($A127="","",IF($CX127="AUTO-BIND","",TRIM(IF($J127&lt;'Technical Premium'!$C$18,"Below programme minimum agreed value. ","")&amp;IF(N($AQ127)&lt;'Technical Premium'!$C$19,"DISCOUNT AUTHORITY BREACH. ","")&amp;IF(N($AQ127)&gt;'Technical Premium'!$C$20,"Load authority breach. ","")&amp;IF($J127&gt;='Technical Premium'!$C$16,"Agreed value at or above auto-bind limit. ","")&amp;IF(AND(ISNUMBER($CD127),$CD127&gt;='Technical Premium'!$C$17),"Composite factor at cap. ","")&amp;IF(AND(ISNUMBER($CD127),$CD127&gt;2.5),"Composite factor above 2.50. ","")&amp;IF(LEFT(IFERROR(INDEX('Driver Factors'!$D$6:$D$15,MATCH($R127,'Driver Factors'!$B$6:$B$15,0)),""),7)="DECLINE","DECLINE - driver age. ",IF(LEFT(IFERROR(INDEX('Driver Factors'!$D$6:$D$15,MATCH($R127,'Driver Factors'!$B$6:$B$15,0)),""),5)="Refer","Driver age band. ",""))&amp;IF(LEFT(IFERROR(INDEX('Driver Factors'!$D$28:$D$36,MATCH($T127,'Driver Factors'!$B$28:$B$36,0)),""),7)="DECLINE","DECLINE - MVR. ",IF(LEFT(IFERROR(INDEX('Driver Factors'!$D$28:$D$36,MATCH($T127,'Driver Factors'!$B$28:$B$36,0)),""),5)="Refer","MVR record. ",""))&amp;IF(LEFT(IFERROR(INDEX('Claims History'!$D$6:$D$15,MATCH($U127,'Claims History'!$B$6:$B$15,0)),""),7)="DECLINE","DECLINE - claims. ",IF(LEFT(IFERROR(INDEX('Claims History'!$D$6:$D$15,MATCH($U127,'Claims History'!$B$6:$B$15,0)),""),5)="Refer","Claims history. ",""))&amp;IF(LEFT(IFERROR(INDEX('Usage and Coverage'!$E$6:$E$20,MATCH($N127,'Usage and Coverage'!$C$6:$C$20,0)),""),7)="DECLINE","DECLINE - usage class. ",IF(LEFT(IFERROR(INDEX('Usage and Coverage'!$E$6:$E$20,MATCH($N127,'Usage and Coverage'!$C$6:$C$20,0)),""),5)="Refer","Usage class. ",""))&amp;IF($CX127="CHECK INPUTS","Incomplete inputs. ",""))))</f>
        <v/>
      </c>
      <c r="DB127" s="92"/>
      <c r="DC127" s="92"/>
      <c r="DD127" s="93"/>
      <c r="DE127" s="92"/>
      <c r="DF127" s="92"/>
      <c r="DG127" s="97" t="str">
        <f t="shared" si="25"/>
        <v/>
      </c>
      <c r="DH127" s="97" t="str">
        <f>IF($A127="","",IF(OR($CX127="REFER",$CX127="DECLINE"),COUNTIF($CX$5:$CX127,"REFER")+COUNTIF($CX$5:$CX127,"DECLINE"),""))</f>
        <v/>
      </c>
      <c r="DI127" s="92"/>
    </row>
    <row r="128" spans="1:113" x14ac:dyDescent="0.25">
      <c r="A128" s="92"/>
      <c r="B128" s="92"/>
      <c r="C128" s="93"/>
      <c r="D128" s="93"/>
      <c r="E128" s="94"/>
      <c r="F128" s="92"/>
      <c r="G128" s="92"/>
      <c r="H128" s="92"/>
      <c r="I128" s="92"/>
      <c r="J128" s="95"/>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6"/>
      <c r="AR128" s="97" t="str">
        <f t="shared" si="13"/>
        <v/>
      </c>
      <c r="AS128" s="97" t="str">
        <f>IF($A128="","",IF($AP128&lt;&gt;"",$AP128,IFERROR(INDEX('Cat Zone by ZIP'!$D$6:$D$856,MATCH($AR128,'Cat Zone by ZIP'!$B$6:$B$856,0)),IFERROR(INDEX('Cat Zone by ZIP'!$C$860:$C$910,MATCH($K128,'Cat Zone by ZIP'!$B$860:$B$910,0)),"NOT FOUND"))))</f>
        <v/>
      </c>
      <c r="AT128" s="97" t="str">
        <f>IF($A128="","",IF($AP128&lt;&gt;"","Override",IF(ISNUMBER(MATCH($AR128,'Cat Zone by ZIP'!$B$6:$B$856,0)),"ZIP-3","State default")))</f>
        <v/>
      </c>
      <c r="AU128" s="98" t="str">
        <f>IF($A128="","",IFERROR(INDEX('Natural Catastrophe'!$D$6:$D$17,MATCH($AS128,'Natural Catastrophe'!$B$6:$B$17,0)),"?"))</f>
        <v/>
      </c>
      <c r="AV128" s="98" t="str">
        <f>IF($A128="","",IFERROR(INDEX('Natural Catastrophe'!$C$21:$C$26,MATCH($AA128,'Natural Catastrophe'!$B$21:$B$26,0)),"?"))</f>
        <v/>
      </c>
      <c r="AW128" s="97" t="str">
        <f>IF($A128="","",IFERROR(INDEX('Base Rates'!$C$4:$I$4,MATCH(MAX($J128,'Technical Premium'!$C$18),'Base Rates'!$C$3:$I$3,1)),"?"))</f>
        <v/>
      </c>
      <c r="AX128" s="99" t="str">
        <f>IF($A128="","",IFERROR(INDEX('Base Rates'!$C$5:$I$16,MATCH($I128,'Base Rates'!$B$5:$B$16,0),MATCH(MAX($J128,'Technical Premium'!$C$18),'Base Rates'!$C$3:$I$3,1)),"?"))</f>
        <v/>
      </c>
      <c r="AY128" s="100" t="str">
        <f t="shared" si="14"/>
        <v/>
      </c>
      <c r="AZ128" s="97" t="str">
        <f>IF($A128="","",IFERROR(INDEX('Make Factors'!$G$5:$G$69,MATCH($F128,'Make Factors'!$B$5:$B$69,0)),"?"))</f>
        <v/>
      </c>
      <c r="BA128" s="97" t="str">
        <f>IF($A128="","",IFERROR(INDEX('Driver Factors'!$C$6:$C$15,MATCH($R128,'Driver Factors'!$B$6:$B$15,0)),"?"))</f>
        <v/>
      </c>
      <c r="BB128" s="97" t="str">
        <f>IF($A128="","",IFERROR(INDEX('Driver Factors'!$C$19:$C$24,MATCH($S128,'Driver Factors'!$B$19:$B$24,0)),"?"))</f>
        <v/>
      </c>
      <c r="BC128" s="97" t="str">
        <f>IF($A128="","",IFERROR(INDEX('Driver Factors'!$C$28:$C$36,MATCH($T128,'Driver Factors'!$B$28:$B$36,0)),"?"))</f>
        <v/>
      </c>
      <c r="BD128" s="97" t="str">
        <f>IF($A128="","",IFERROR(INDEX('Claims History'!$C$6:$C$15,MATCH($U128,'Claims History'!$B$6:$B$15,0)),"?"))</f>
        <v/>
      </c>
      <c r="BE128" s="97" t="str">
        <f>IF($A128="","",IFERROR(INDEX('Territory Factors'!$E$6:$E$56,MATCH($K128,'Territory Factors'!$B$6:$B$56,0)),"?"))</f>
        <v/>
      </c>
      <c r="BF128" s="97" t="str">
        <f>IF($A128="","",IFERROR(INDEX('City Accident Ratings'!$G$6:$G$54,MATCH($Z128,'City Accident Ratings'!$B$6:$B$54,0)),"?"))</f>
        <v/>
      </c>
      <c r="BG128" s="97" t="str">
        <f>IF($A128="","",IFERROR(INDEX('Usage and Coverage'!$D$6:$D$20,MATCH($N128,'Usage and Coverage'!$C$6:$C$20,0)),"?"))</f>
        <v/>
      </c>
      <c r="BH128" s="97" t="str">
        <f>IF($A128="","",IFERROR(INDEX('Usage and Coverage'!$C$24:$C$30,MATCH($O128,'Usage and Coverage'!$B$24:$B$30,0)),"?"))</f>
        <v/>
      </c>
      <c r="BI128" s="97" t="str">
        <f>IF($A128="","",IFERROR(INDEX('Usage and Coverage'!$C$34:$C$40,MATCH($P128,'Usage and Coverage'!$B$34:$B$40,0)),"?"))</f>
        <v/>
      </c>
      <c r="BJ128" s="97" t="str">
        <f>IF($A128="","",IFERROR(INDEX('Usage and Coverage'!$C$44:$C$49,MATCH($Q128,'Usage and Coverage'!$B$44:$B$49,0)),"?"))</f>
        <v/>
      </c>
      <c r="BK128" s="97" t="str">
        <f>IF($A128="","",IFERROR(INDEX(Deductibles!$C$6:$I$15,MATCH($W128,Deductibles!$B$6:$B$15,0),MATCH(MAX($J128,'Technical Premium'!$C$18),'Base Rates'!$C$3:$I$3,1)),"?"))</f>
        <v/>
      </c>
      <c r="BL128" s="97" t="str">
        <f>IF($A128="","",IFERROR(INDEX('Usage and Coverage'!$C$63:$C$66,MATCH($X128,'Usage and Coverage'!$B$63:$B$66,0)),"?"))</f>
        <v/>
      </c>
      <c r="BM128" s="97" t="str">
        <f>IF($A128="","",IFERROR(INDEX('Usage and Coverage'!$C$70:$C$75,MATCH($V128,'Usage and Coverage'!$B$70:$B$75,0)),"?"))</f>
        <v/>
      </c>
      <c r="BN128" s="97" t="str">
        <f>IF($A128="","",IF($AB128="",1,IFERROR(INDEX(Deductibles!$C$48:$C$51,MATCH($AB128,Deductibles!$B$48:$B$51,0)),"?")))</f>
        <v/>
      </c>
      <c r="BO128" s="97" t="str">
        <f>IF($A128="","",IF($AC128="",1,IFERROR(INDEX(Deductibles!$C$55:$C$57,MATCH($AC128,Deductibles!$B$55:$B$57,0)),"?")))</f>
        <v/>
      </c>
      <c r="BP128" s="97" t="str">
        <f>IF($A128="","",IF($AD128="",1,IFERROR(INDEX(Deductibles!$C$61:$C$63,MATCH($AD128,Deductibles!$B$61:$B$63,0)),"?")))</f>
        <v/>
      </c>
      <c r="BQ128" s="97" t="str">
        <f>IF($A128="","",IF($AE128="",1,IFERROR(INDEX(Deductibles!$C$67:$C$69,MATCH($AE128,Deductibles!$B$67:$B$69,0)),"?")))</f>
        <v/>
      </c>
      <c r="BR128" s="97" t="str">
        <f>IF($A128="","",IF($AF128="",1,IFERROR(INDEX(Deductibles!$C$73:$C$74,MATCH($AF128,Deductibles!$B$73:$B$74,0)),"?")))</f>
        <v/>
      </c>
      <c r="BS128" s="97" t="str">
        <f>IF($A128="","",IF($AG128="",1,IFERROR(INDEX('Sublimits and Parts'!$C$49:$C$52,MATCH($AG128,'Sublimits and Parts'!$B$49:$B$52,0)),"?")))</f>
        <v/>
      </c>
      <c r="BT128" s="97" t="str">
        <f>IF($A128="","",IF($AH128="",1,IFERROR(INDEX('Sublimits and Parts'!$C$56:$C$60,MATCH($AH128,'Sublimits and Parts'!$B$56:$B$60,0)),"?")))</f>
        <v/>
      </c>
      <c r="BU128" s="97" t="str">
        <f>IF($A128="","",IF($AI128="",1,IFERROR(INDEX('Sublimits and Parts'!$C$64:$C$67,MATCH($AI128,'Sublimits and Parts'!$B$64:$B$67,0)),"?")))</f>
        <v/>
      </c>
      <c r="BV128" s="97" t="str">
        <f>IF($A128="","",IF($AJ128="",1,IFERROR(INDEX('Sublimits and Parts'!$C$71:$C$74,MATCH($AJ128,'Sublimits and Parts'!$B$71:$B$74,0)),"?")))</f>
        <v/>
      </c>
      <c r="BW128" s="97" t="str">
        <f>IF($A128="","",IF($AK128="",1,IFERROR(INDEX('Sublimits and Parts'!$C$78:$C$80,MATCH($AK128,'Sublimits and Parts'!$B$78:$B$80,0)),"?")))</f>
        <v/>
      </c>
      <c r="BX128" s="97" t="str">
        <f>IF($A128="","",IF($AL128="",1,IFERROR(INDEX('Sublimits and Parts'!$C$84:$C$87,MATCH($AL128,'Sublimits and Parts'!$B$84:$B$87,0)),"?")))</f>
        <v/>
      </c>
      <c r="BY128" s="97" t="str">
        <f>IF($A128="","",IF($AM128="",1,IFERROR(INDEX('Sublimits and Parts'!$C$91:$C$94,MATCH($AM128,'Sublimits and Parts'!$B$91:$B$94,0)),"?")))</f>
        <v/>
      </c>
      <c r="BZ128" s="97" t="str">
        <f>IF($A128="","",IF($AN128="",1,IFERROR(INDEX('Sublimits and Parts'!$C$98:$C$101,MATCH($AN128,'Sublimits and Parts'!$B$98:$B$101,0)),"?")))</f>
        <v/>
      </c>
      <c r="CA128" s="97" t="str">
        <f>IF($A128="","",IF($AO128="",1,IFERROR(INDEX('Sublimits and Parts'!$C$105:$C$109,MATCH($AO128,'Sublimits and Parts'!$B$105:$B$109,0)),"?")))</f>
        <v/>
      </c>
      <c r="CB128" s="98" t="str">
        <f t="shared" si="15"/>
        <v/>
      </c>
      <c r="CC128" s="98" t="str">
        <f t="shared" si="16"/>
        <v/>
      </c>
      <c r="CD128" s="101" t="str">
        <f>IF($A128="","",IF(OR($CB128="?",$CC128="?"),"?",MIN($CB128*$CC128,'Technical Premium'!$C$17)))</f>
        <v/>
      </c>
      <c r="CE128" s="100" t="str">
        <f t="shared" si="17"/>
        <v/>
      </c>
      <c r="CF128" s="100" t="str">
        <f>IF($A128="","",IFERROR(INDEX('Territory Factors'!$F$6:$F$56,MATCH($K128,'Territory Factors'!$B$6:$B$56,0)),"?"))</f>
        <v/>
      </c>
      <c r="CG128" s="98" t="str">
        <f>IF($A128="","",IFERROR(INDEX('Usage and Coverage'!$C$79:$C$84,MATCH($Y128,'Usage and Coverage'!$B$79:$B$84,0)),"?"))</f>
        <v/>
      </c>
      <c r="CH128" s="100" t="str">
        <f>IFERROR(IF(ISNUMBER($CD128),$CF128*$CG128*MIN($BG128*$BA128*$BC128*$BD128*$BH128*$BF128,'Technical Premium'!$C$17),""),"")</f>
        <v/>
      </c>
      <c r="CI128" s="100" t="str">
        <f t="shared" si="18"/>
        <v/>
      </c>
      <c r="CJ128" s="100" t="str">
        <f>IFERROR($CI128*(1+'Technical Premium'!$C$5)*(1+'Technical Premium'!$C$6),"")</f>
        <v/>
      </c>
      <c r="CK128" s="100" t="str">
        <f>IFERROR($CE128*INDEX('Territory Factors'!$G$6:$G$56,MATCH($K128,'Territory Factors'!$B$6:$B$56,0))*$AU128*$AV128,"")</f>
        <v/>
      </c>
      <c r="CL128" s="100" t="str">
        <f>IFERROR(($CJ128+$CK128)*(1+'Technical Premium'!$C$7),"")</f>
        <v/>
      </c>
      <c r="CM128" s="102" t="str">
        <f>IFERROR($CL128/'Technical Premium'!$C$13,"")</f>
        <v/>
      </c>
      <c r="CN128" s="103" t="str">
        <f t="shared" si="19"/>
        <v/>
      </c>
      <c r="CO128" s="102" t="str">
        <f t="shared" si="20"/>
        <v/>
      </c>
      <c r="CP128" s="103" t="str">
        <f t="shared" si="21"/>
        <v/>
      </c>
      <c r="CQ128" s="104" t="str">
        <f t="shared" si="22"/>
        <v/>
      </c>
      <c r="CR128" s="100" t="str">
        <f>IF(ISNUMBER($CM128),'Technical Premium'!$C$14+IF($J128&gt;=1000000,'Technical Premium'!$C$15,0),"")</f>
        <v/>
      </c>
      <c r="CS128" s="100" t="str">
        <f>IFERROR(($CO128+$CR128)*(INDEX('Territory Factors'!$K$6:$K$56,MATCH($K128,'Territory Factors'!$B$6:$B$56,0))+'Commission Structure'!$C$21),"")</f>
        <v/>
      </c>
      <c r="CT128" s="102" t="str">
        <f t="shared" si="23"/>
        <v/>
      </c>
      <c r="CU128" s="100" t="str">
        <f>IFERROR($CO128*('Commission Structure'!$C$6+'Commission Structure'!$C$7),"")</f>
        <v/>
      </c>
      <c r="CV128" s="100" t="str">
        <f>IFERROR($CO128*'Commission Structure'!$C$5-$CU128,"")</f>
        <v/>
      </c>
      <c r="CW128" s="100" t="str">
        <f>IFERROR($CO128*(1-'Commission Structure'!$C$5),"")</f>
        <v/>
      </c>
      <c r="CX128" s="105" t="str">
        <f>IF($A128="","",IF(OR($CB128="?",$CC128="?",NOT(ISNUMBER($AU128))),"CHECK INPUTS",IF(OR($J128&lt;'Technical Premium'!$C$18,LEFT(IFERROR(INDEX('Driver Factors'!$D$6:$D$15,MATCH($R128,'Driver Factors'!$B$6:$B$15,0)),""),7)="DECLINE",LEFT(IFERROR(INDEX('Driver Factors'!$D$28:$D$36,MATCH($T128,'Driver Factors'!$B$28:$B$36,0)),""),7)="DECLINE",LEFT(IFERROR(INDEX('Claims History'!$D$6:$D$15,MATCH($U128,'Claims History'!$B$6:$B$15,0)),""),7)="DECLINE",LEFT(IFERROR(INDEX('Usage and Coverage'!$E$6:$E$20,MATCH($N128,'Usage and Coverage'!$C$6:$C$20,0)),""),7)="DECLINE"),"DECLINE",IF(OR($CD128&gt;2.5,$CD128&gt;='Technical Premium'!$C$17,$J128&gt;='Technical Premium'!$C$16,N($AQ128)&lt;'Technical Premium'!$C$19,N($AQ128)&gt;'Technical Premium'!$C$20,LEFT(IFERROR(INDEX('Driver Factors'!$D$6:$D$15,MATCH($R128,'Driver Factors'!$B$6:$B$15,0)),""),5)="Refer",LEFT(IFERROR(INDEX('Driver Factors'!$D$28:$D$36,MATCH($T128,'Driver Factors'!$B$28:$B$36,0)),""),5)="Refer",LEFT(IFERROR(INDEX('Claims History'!$D$6:$D$15,MATCH($U128,'Claims History'!$B$6:$B$15,0)),""),5)="Refer",LEFT(IFERROR(INDEX('Usage and Coverage'!$E$6:$E$20,MATCH($N128,'Usage and Coverage'!$C$6:$C$20,0)),""),5)="Refer"),"REFER","AUTO-BIND"))))</f>
        <v/>
      </c>
      <c r="CY128" s="106" t="str">
        <f t="shared" si="24"/>
        <v/>
      </c>
      <c r="CZ128" s="97" t="str">
        <f>IF($CY128="","",IF($CY128&lt;'Technical Premium'!$C$19,"BEYOND AUTHORITY",IF($CY128&gt;0.005,"Above technical",IF($CY128&lt;-0.005,"BELOW technical","At technical"))))</f>
        <v/>
      </c>
      <c r="DA128" s="97" t="str">
        <f>IF($A128="","",IF($CX128="AUTO-BIND","",TRIM(IF($J128&lt;'Technical Premium'!$C$18,"Below programme minimum agreed value. ","")&amp;IF(N($AQ128)&lt;'Technical Premium'!$C$19,"DISCOUNT AUTHORITY BREACH. ","")&amp;IF(N($AQ128)&gt;'Technical Premium'!$C$20,"Load authority breach. ","")&amp;IF($J128&gt;='Technical Premium'!$C$16,"Agreed value at or above auto-bind limit. ","")&amp;IF(AND(ISNUMBER($CD128),$CD128&gt;='Technical Premium'!$C$17),"Composite factor at cap. ","")&amp;IF(AND(ISNUMBER($CD128),$CD128&gt;2.5),"Composite factor above 2.50. ","")&amp;IF(LEFT(IFERROR(INDEX('Driver Factors'!$D$6:$D$15,MATCH($R128,'Driver Factors'!$B$6:$B$15,0)),""),7)="DECLINE","DECLINE - driver age. ",IF(LEFT(IFERROR(INDEX('Driver Factors'!$D$6:$D$15,MATCH($R128,'Driver Factors'!$B$6:$B$15,0)),""),5)="Refer","Driver age band. ",""))&amp;IF(LEFT(IFERROR(INDEX('Driver Factors'!$D$28:$D$36,MATCH($T128,'Driver Factors'!$B$28:$B$36,0)),""),7)="DECLINE","DECLINE - MVR. ",IF(LEFT(IFERROR(INDEX('Driver Factors'!$D$28:$D$36,MATCH($T128,'Driver Factors'!$B$28:$B$36,0)),""),5)="Refer","MVR record. ",""))&amp;IF(LEFT(IFERROR(INDEX('Claims History'!$D$6:$D$15,MATCH($U128,'Claims History'!$B$6:$B$15,0)),""),7)="DECLINE","DECLINE - claims. ",IF(LEFT(IFERROR(INDEX('Claims History'!$D$6:$D$15,MATCH($U128,'Claims History'!$B$6:$B$15,0)),""),5)="Refer","Claims history. ",""))&amp;IF(LEFT(IFERROR(INDEX('Usage and Coverage'!$E$6:$E$20,MATCH($N128,'Usage and Coverage'!$C$6:$C$20,0)),""),7)="DECLINE","DECLINE - usage class. ",IF(LEFT(IFERROR(INDEX('Usage and Coverage'!$E$6:$E$20,MATCH($N128,'Usage and Coverage'!$C$6:$C$20,0)),""),5)="Refer","Usage class. ",""))&amp;IF($CX128="CHECK INPUTS","Incomplete inputs. ",""))))</f>
        <v/>
      </c>
      <c r="DB128" s="92"/>
      <c r="DC128" s="92"/>
      <c r="DD128" s="93"/>
      <c r="DE128" s="92"/>
      <c r="DF128" s="92"/>
      <c r="DG128" s="97" t="str">
        <f t="shared" si="25"/>
        <v/>
      </c>
      <c r="DH128" s="97" t="str">
        <f>IF($A128="","",IF(OR($CX128="REFER",$CX128="DECLINE"),COUNTIF($CX$5:$CX128,"REFER")+COUNTIF($CX$5:$CX128,"DECLINE"),""))</f>
        <v/>
      </c>
      <c r="DI128" s="92"/>
    </row>
    <row r="129" spans="1:113" x14ac:dyDescent="0.25">
      <c r="A129" s="92"/>
      <c r="B129" s="92"/>
      <c r="C129" s="93"/>
      <c r="D129" s="93"/>
      <c r="E129" s="94"/>
      <c r="F129" s="92"/>
      <c r="G129" s="92"/>
      <c r="H129" s="92"/>
      <c r="I129" s="92"/>
      <c r="J129" s="95"/>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6"/>
      <c r="AR129" s="97" t="str">
        <f t="shared" si="13"/>
        <v/>
      </c>
      <c r="AS129" s="97" t="str">
        <f>IF($A129="","",IF($AP129&lt;&gt;"",$AP129,IFERROR(INDEX('Cat Zone by ZIP'!$D$6:$D$856,MATCH($AR129,'Cat Zone by ZIP'!$B$6:$B$856,0)),IFERROR(INDEX('Cat Zone by ZIP'!$C$860:$C$910,MATCH($K129,'Cat Zone by ZIP'!$B$860:$B$910,0)),"NOT FOUND"))))</f>
        <v/>
      </c>
      <c r="AT129" s="97" t="str">
        <f>IF($A129="","",IF($AP129&lt;&gt;"","Override",IF(ISNUMBER(MATCH($AR129,'Cat Zone by ZIP'!$B$6:$B$856,0)),"ZIP-3","State default")))</f>
        <v/>
      </c>
      <c r="AU129" s="98" t="str">
        <f>IF($A129="","",IFERROR(INDEX('Natural Catastrophe'!$D$6:$D$17,MATCH($AS129,'Natural Catastrophe'!$B$6:$B$17,0)),"?"))</f>
        <v/>
      </c>
      <c r="AV129" s="98" t="str">
        <f>IF($A129="","",IFERROR(INDEX('Natural Catastrophe'!$C$21:$C$26,MATCH($AA129,'Natural Catastrophe'!$B$21:$B$26,0)),"?"))</f>
        <v/>
      </c>
      <c r="AW129" s="97" t="str">
        <f>IF($A129="","",IFERROR(INDEX('Base Rates'!$C$4:$I$4,MATCH(MAX($J129,'Technical Premium'!$C$18),'Base Rates'!$C$3:$I$3,1)),"?"))</f>
        <v/>
      </c>
      <c r="AX129" s="99" t="str">
        <f>IF($A129="","",IFERROR(INDEX('Base Rates'!$C$5:$I$16,MATCH($I129,'Base Rates'!$B$5:$B$16,0),MATCH(MAX($J129,'Technical Premium'!$C$18),'Base Rates'!$C$3:$I$3,1)),"?"))</f>
        <v/>
      </c>
      <c r="AY129" s="100" t="str">
        <f t="shared" si="14"/>
        <v/>
      </c>
      <c r="AZ129" s="97" t="str">
        <f>IF($A129="","",IFERROR(INDEX('Make Factors'!$G$5:$G$69,MATCH($F129,'Make Factors'!$B$5:$B$69,0)),"?"))</f>
        <v/>
      </c>
      <c r="BA129" s="97" t="str">
        <f>IF($A129="","",IFERROR(INDEX('Driver Factors'!$C$6:$C$15,MATCH($R129,'Driver Factors'!$B$6:$B$15,0)),"?"))</f>
        <v/>
      </c>
      <c r="BB129" s="97" t="str">
        <f>IF($A129="","",IFERROR(INDEX('Driver Factors'!$C$19:$C$24,MATCH($S129,'Driver Factors'!$B$19:$B$24,0)),"?"))</f>
        <v/>
      </c>
      <c r="BC129" s="97" t="str">
        <f>IF($A129="","",IFERROR(INDEX('Driver Factors'!$C$28:$C$36,MATCH($T129,'Driver Factors'!$B$28:$B$36,0)),"?"))</f>
        <v/>
      </c>
      <c r="BD129" s="97" t="str">
        <f>IF($A129="","",IFERROR(INDEX('Claims History'!$C$6:$C$15,MATCH($U129,'Claims History'!$B$6:$B$15,0)),"?"))</f>
        <v/>
      </c>
      <c r="BE129" s="97" t="str">
        <f>IF($A129="","",IFERROR(INDEX('Territory Factors'!$E$6:$E$56,MATCH($K129,'Territory Factors'!$B$6:$B$56,0)),"?"))</f>
        <v/>
      </c>
      <c r="BF129" s="97" t="str">
        <f>IF($A129="","",IFERROR(INDEX('City Accident Ratings'!$G$6:$G$54,MATCH($Z129,'City Accident Ratings'!$B$6:$B$54,0)),"?"))</f>
        <v/>
      </c>
      <c r="BG129" s="97" t="str">
        <f>IF($A129="","",IFERROR(INDEX('Usage and Coverage'!$D$6:$D$20,MATCH($N129,'Usage and Coverage'!$C$6:$C$20,0)),"?"))</f>
        <v/>
      </c>
      <c r="BH129" s="97" t="str">
        <f>IF($A129="","",IFERROR(INDEX('Usage and Coverage'!$C$24:$C$30,MATCH($O129,'Usage and Coverage'!$B$24:$B$30,0)),"?"))</f>
        <v/>
      </c>
      <c r="BI129" s="97" t="str">
        <f>IF($A129="","",IFERROR(INDEX('Usage and Coverage'!$C$34:$C$40,MATCH($P129,'Usage and Coverage'!$B$34:$B$40,0)),"?"))</f>
        <v/>
      </c>
      <c r="BJ129" s="97" t="str">
        <f>IF($A129="","",IFERROR(INDEX('Usage and Coverage'!$C$44:$C$49,MATCH($Q129,'Usage and Coverage'!$B$44:$B$49,0)),"?"))</f>
        <v/>
      </c>
      <c r="BK129" s="97" t="str">
        <f>IF($A129="","",IFERROR(INDEX(Deductibles!$C$6:$I$15,MATCH($W129,Deductibles!$B$6:$B$15,0),MATCH(MAX($J129,'Technical Premium'!$C$18),'Base Rates'!$C$3:$I$3,1)),"?"))</f>
        <v/>
      </c>
      <c r="BL129" s="97" t="str">
        <f>IF($A129="","",IFERROR(INDEX('Usage and Coverage'!$C$63:$C$66,MATCH($X129,'Usage and Coverage'!$B$63:$B$66,0)),"?"))</f>
        <v/>
      </c>
      <c r="BM129" s="97" t="str">
        <f>IF($A129="","",IFERROR(INDEX('Usage and Coverage'!$C$70:$C$75,MATCH($V129,'Usage and Coverage'!$B$70:$B$75,0)),"?"))</f>
        <v/>
      </c>
      <c r="BN129" s="97" t="str">
        <f>IF($A129="","",IF($AB129="",1,IFERROR(INDEX(Deductibles!$C$48:$C$51,MATCH($AB129,Deductibles!$B$48:$B$51,0)),"?")))</f>
        <v/>
      </c>
      <c r="BO129" s="97" t="str">
        <f>IF($A129="","",IF($AC129="",1,IFERROR(INDEX(Deductibles!$C$55:$C$57,MATCH($AC129,Deductibles!$B$55:$B$57,0)),"?")))</f>
        <v/>
      </c>
      <c r="BP129" s="97" t="str">
        <f>IF($A129="","",IF($AD129="",1,IFERROR(INDEX(Deductibles!$C$61:$C$63,MATCH($AD129,Deductibles!$B$61:$B$63,0)),"?")))</f>
        <v/>
      </c>
      <c r="BQ129" s="97" t="str">
        <f>IF($A129="","",IF($AE129="",1,IFERROR(INDEX(Deductibles!$C$67:$C$69,MATCH($AE129,Deductibles!$B$67:$B$69,0)),"?")))</f>
        <v/>
      </c>
      <c r="BR129" s="97" t="str">
        <f>IF($A129="","",IF($AF129="",1,IFERROR(INDEX(Deductibles!$C$73:$C$74,MATCH($AF129,Deductibles!$B$73:$B$74,0)),"?")))</f>
        <v/>
      </c>
      <c r="BS129" s="97" t="str">
        <f>IF($A129="","",IF($AG129="",1,IFERROR(INDEX('Sublimits and Parts'!$C$49:$C$52,MATCH($AG129,'Sublimits and Parts'!$B$49:$B$52,0)),"?")))</f>
        <v/>
      </c>
      <c r="BT129" s="97" t="str">
        <f>IF($A129="","",IF($AH129="",1,IFERROR(INDEX('Sublimits and Parts'!$C$56:$C$60,MATCH($AH129,'Sublimits and Parts'!$B$56:$B$60,0)),"?")))</f>
        <v/>
      </c>
      <c r="BU129" s="97" t="str">
        <f>IF($A129="","",IF($AI129="",1,IFERROR(INDEX('Sublimits and Parts'!$C$64:$C$67,MATCH($AI129,'Sublimits and Parts'!$B$64:$B$67,0)),"?")))</f>
        <v/>
      </c>
      <c r="BV129" s="97" t="str">
        <f>IF($A129="","",IF($AJ129="",1,IFERROR(INDEX('Sublimits and Parts'!$C$71:$C$74,MATCH($AJ129,'Sublimits and Parts'!$B$71:$B$74,0)),"?")))</f>
        <v/>
      </c>
      <c r="BW129" s="97" t="str">
        <f>IF($A129="","",IF($AK129="",1,IFERROR(INDEX('Sublimits and Parts'!$C$78:$C$80,MATCH($AK129,'Sublimits and Parts'!$B$78:$B$80,0)),"?")))</f>
        <v/>
      </c>
      <c r="BX129" s="97" t="str">
        <f>IF($A129="","",IF($AL129="",1,IFERROR(INDEX('Sublimits and Parts'!$C$84:$C$87,MATCH($AL129,'Sublimits and Parts'!$B$84:$B$87,0)),"?")))</f>
        <v/>
      </c>
      <c r="BY129" s="97" t="str">
        <f>IF($A129="","",IF($AM129="",1,IFERROR(INDEX('Sublimits and Parts'!$C$91:$C$94,MATCH($AM129,'Sublimits and Parts'!$B$91:$B$94,0)),"?")))</f>
        <v/>
      </c>
      <c r="BZ129" s="97" t="str">
        <f>IF($A129="","",IF($AN129="",1,IFERROR(INDEX('Sublimits and Parts'!$C$98:$C$101,MATCH($AN129,'Sublimits and Parts'!$B$98:$B$101,0)),"?")))</f>
        <v/>
      </c>
      <c r="CA129" s="97" t="str">
        <f>IF($A129="","",IF($AO129="",1,IFERROR(INDEX('Sublimits and Parts'!$C$105:$C$109,MATCH($AO129,'Sublimits and Parts'!$B$105:$B$109,0)),"?")))</f>
        <v/>
      </c>
      <c r="CB129" s="98" t="str">
        <f t="shared" si="15"/>
        <v/>
      </c>
      <c r="CC129" s="98" t="str">
        <f t="shared" si="16"/>
        <v/>
      </c>
      <c r="CD129" s="101" t="str">
        <f>IF($A129="","",IF(OR($CB129="?",$CC129="?"),"?",MIN($CB129*$CC129,'Technical Premium'!$C$17)))</f>
        <v/>
      </c>
      <c r="CE129" s="100" t="str">
        <f t="shared" si="17"/>
        <v/>
      </c>
      <c r="CF129" s="100" t="str">
        <f>IF($A129="","",IFERROR(INDEX('Territory Factors'!$F$6:$F$56,MATCH($K129,'Territory Factors'!$B$6:$B$56,0)),"?"))</f>
        <v/>
      </c>
      <c r="CG129" s="98" t="str">
        <f>IF($A129="","",IFERROR(INDEX('Usage and Coverage'!$C$79:$C$84,MATCH($Y129,'Usage and Coverage'!$B$79:$B$84,0)),"?"))</f>
        <v/>
      </c>
      <c r="CH129" s="100" t="str">
        <f>IFERROR(IF(ISNUMBER($CD129),$CF129*$CG129*MIN($BG129*$BA129*$BC129*$BD129*$BH129*$BF129,'Technical Premium'!$C$17),""),"")</f>
        <v/>
      </c>
      <c r="CI129" s="100" t="str">
        <f t="shared" si="18"/>
        <v/>
      </c>
      <c r="CJ129" s="100" t="str">
        <f>IFERROR($CI129*(1+'Technical Premium'!$C$5)*(1+'Technical Premium'!$C$6),"")</f>
        <v/>
      </c>
      <c r="CK129" s="100" t="str">
        <f>IFERROR($CE129*INDEX('Territory Factors'!$G$6:$G$56,MATCH($K129,'Territory Factors'!$B$6:$B$56,0))*$AU129*$AV129,"")</f>
        <v/>
      </c>
      <c r="CL129" s="100" t="str">
        <f>IFERROR(($CJ129+$CK129)*(1+'Technical Premium'!$C$7),"")</f>
        <v/>
      </c>
      <c r="CM129" s="102" t="str">
        <f>IFERROR($CL129/'Technical Premium'!$C$13,"")</f>
        <v/>
      </c>
      <c r="CN129" s="103" t="str">
        <f t="shared" si="19"/>
        <v/>
      </c>
      <c r="CO129" s="102" t="str">
        <f t="shared" si="20"/>
        <v/>
      </c>
      <c r="CP129" s="103" t="str">
        <f t="shared" si="21"/>
        <v/>
      </c>
      <c r="CQ129" s="104" t="str">
        <f t="shared" si="22"/>
        <v/>
      </c>
      <c r="CR129" s="100" t="str">
        <f>IF(ISNUMBER($CM129),'Technical Premium'!$C$14+IF($J129&gt;=1000000,'Technical Premium'!$C$15,0),"")</f>
        <v/>
      </c>
      <c r="CS129" s="100" t="str">
        <f>IFERROR(($CO129+$CR129)*(INDEX('Territory Factors'!$K$6:$K$56,MATCH($K129,'Territory Factors'!$B$6:$B$56,0))+'Commission Structure'!$C$21),"")</f>
        <v/>
      </c>
      <c r="CT129" s="102" t="str">
        <f t="shared" si="23"/>
        <v/>
      </c>
      <c r="CU129" s="100" t="str">
        <f>IFERROR($CO129*('Commission Structure'!$C$6+'Commission Structure'!$C$7),"")</f>
        <v/>
      </c>
      <c r="CV129" s="100" t="str">
        <f>IFERROR($CO129*'Commission Structure'!$C$5-$CU129,"")</f>
        <v/>
      </c>
      <c r="CW129" s="100" t="str">
        <f>IFERROR($CO129*(1-'Commission Structure'!$C$5),"")</f>
        <v/>
      </c>
      <c r="CX129" s="105" t="str">
        <f>IF($A129="","",IF(OR($CB129="?",$CC129="?",NOT(ISNUMBER($AU129))),"CHECK INPUTS",IF(OR($J129&lt;'Technical Premium'!$C$18,LEFT(IFERROR(INDEX('Driver Factors'!$D$6:$D$15,MATCH($R129,'Driver Factors'!$B$6:$B$15,0)),""),7)="DECLINE",LEFT(IFERROR(INDEX('Driver Factors'!$D$28:$D$36,MATCH($T129,'Driver Factors'!$B$28:$B$36,0)),""),7)="DECLINE",LEFT(IFERROR(INDEX('Claims History'!$D$6:$D$15,MATCH($U129,'Claims History'!$B$6:$B$15,0)),""),7)="DECLINE",LEFT(IFERROR(INDEX('Usage and Coverage'!$E$6:$E$20,MATCH($N129,'Usage and Coverage'!$C$6:$C$20,0)),""),7)="DECLINE"),"DECLINE",IF(OR($CD129&gt;2.5,$CD129&gt;='Technical Premium'!$C$17,$J129&gt;='Technical Premium'!$C$16,N($AQ129)&lt;'Technical Premium'!$C$19,N($AQ129)&gt;'Technical Premium'!$C$20,LEFT(IFERROR(INDEX('Driver Factors'!$D$6:$D$15,MATCH($R129,'Driver Factors'!$B$6:$B$15,0)),""),5)="Refer",LEFT(IFERROR(INDEX('Driver Factors'!$D$28:$D$36,MATCH($T129,'Driver Factors'!$B$28:$B$36,0)),""),5)="Refer",LEFT(IFERROR(INDEX('Claims History'!$D$6:$D$15,MATCH($U129,'Claims History'!$B$6:$B$15,0)),""),5)="Refer",LEFT(IFERROR(INDEX('Usage and Coverage'!$E$6:$E$20,MATCH($N129,'Usage and Coverage'!$C$6:$C$20,0)),""),5)="Refer"),"REFER","AUTO-BIND"))))</f>
        <v/>
      </c>
      <c r="CY129" s="106" t="str">
        <f t="shared" si="24"/>
        <v/>
      </c>
      <c r="CZ129" s="97" t="str">
        <f>IF($CY129="","",IF($CY129&lt;'Technical Premium'!$C$19,"BEYOND AUTHORITY",IF($CY129&gt;0.005,"Above technical",IF($CY129&lt;-0.005,"BELOW technical","At technical"))))</f>
        <v/>
      </c>
      <c r="DA129" s="97" t="str">
        <f>IF($A129="","",IF($CX129="AUTO-BIND","",TRIM(IF($J129&lt;'Technical Premium'!$C$18,"Below programme minimum agreed value. ","")&amp;IF(N($AQ129)&lt;'Technical Premium'!$C$19,"DISCOUNT AUTHORITY BREACH. ","")&amp;IF(N($AQ129)&gt;'Technical Premium'!$C$20,"Load authority breach. ","")&amp;IF($J129&gt;='Technical Premium'!$C$16,"Agreed value at or above auto-bind limit. ","")&amp;IF(AND(ISNUMBER($CD129),$CD129&gt;='Technical Premium'!$C$17),"Composite factor at cap. ","")&amp;IF(AND(ISNUMBER($CD129),$CD129&gt;2.5),"Composite factor above 2.50. ","")&amp;IF(LEFT(IFERROR(INDEX('Driver Factors'!$D$6:$D$15,MATCH($R129,'Driver Factors'!$B$6:$B$15,0)),""),7)="DECLINE","DECLINE - driver age. ",IF(LEFT(IFERROR(INDEX('Driver Factors'!$D$6:$D$15,MATCH($R129,'Driver Factors'!$B$6:$B$15,0)),""),5)="Refer","Driver age band. ",""))&amp;IF(LEFT(IFERROR(INDEX('Driver Factors'!$D$28:$D$36,MATCH($T129,'Driver Factors'!$B$28:$B$36,0)),""),7)="DECLINE","DECLINE - MVR. ",IF(LEFT(IFERROR(INDEX('Driver Factors'!$D$28:$D$36,MATCH($T129,'Driver Factors'!$B$28:$B$36,0)),""),5)="Refer","MVR record. ",""))&amp;IF(LEFT(IFERROR(INDEX('Claims History'!$D$6:$D$15,MATCH($U129,'Claims History'!$B$6:$B$15,0)),""),7)="DECLINE","DECLINE - claims. ",IF(LEFT(IFERROR(INDEX('Claims History'!$D$6:$D$15,MATCH($U129,'Claims History'!$B$6:$B$15,0)),""),5)="Refer","Claims history. ",""))&amp;IF(LEFT(IFERROR(INDEX('Usage and Coverage'!$E$6:$E$20,MATCH($N129,'Usage and Coverage'!$C$6:$C$20,0)),""),7)="DECLINE","DECLINE - usage class. ",IF(LEFT(IFERROR(INDEX('Usage and Coverage'!$E$6:$E$20,MATCH($N129,'Usage and Coverage'!$C$6:$C$20,0)),""),5)="Refer","Usage class. ",""))&amp;IF($CX129="CHECK INPUTS","Incomplete inputs. ",""))))</f>
        <v/>
      </c>
      <c r="DB129" s="92"/>
      <c r="DC129" s="92"/>
      <c r="DD129" s="93"/>
      <c r="DE129" s="92"/>
      <c r="DF129" s="92"/>
      <c r="DG129" s="97" t="str">
        <f t="shared" si="25"/>
        <v/>
      </c>
      <c r="DH129" s="97" t="str">
        <f>IF($A129="","",IF(OR($CX129="REFER",$CX129="DECLINE"),COUNTIF($CX$5:$CX129,"REFER")+COUNTIF($CX$5:$CX129,"DECLINE"),""))</f>
        <v/>
      </c>
      <c r="DI129" s="92"/>
    </row>
    <row r="130" spans="1:113" x14ac:dyDescent="0.25">
      <c r="A130" s="92"/>
      <c r="B130" s="92"/>
      <c r="C130" s="93"/>
      <c r="D130" s="93"/>
      <c r="E130" s="94"/>
      <c r="F130" s="92"/>
      <c r="G130" s="92"/>
      <c r="H130" s="92"/>
      <c r="I130" s="92"/>
      <c r="J130" s="95"/>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6"/>
      <c r="AR130" s="97" t="str">
        <f t="shared" si="13"/>
        <v/>
      </c>
      <c r="AS130" s="97" t="str">
        <f>IF($A130="","",IF($AP130&lt;&gt;"",$AP130,IFERROR(INDEX('Cat Zone by ZIP'!$D$6:$D$856,MATCH($AR130,'Cat Zone by ZIP'!$B$6:$B$856,0)),IFERROR(INDEX('Cat Zone by ZIP'!$C$860:$C$910,MATCH($K130,'Cat Zone by ZIP'!$B$860:$B$910,0)),"NOT FOUND"))))</f>
        <v/>
      </c>
      <c r="AT130" s="97" t="str">
        <f>IF($A130="","",IF($AP130&lt;&gt;"","Override",IF(ISNUMBER(MATCH($AR130,'Cat Zone by ZIP'!$B$6:$B$856,0)),"ZIP-3","State default")))</f>
        <v/>
      </c>
      <c r="AU130" s="98" t="str">
        <f>IF($A130="","",IFERROR(INDEX('Natural Catastrophe'!$D$6:$D$17,MATCH($AS130,'Natural Catastrophe'!$B$6:$B$17,0)),"?"))</f>
        <v/>
      </c>
      <c r="AV130" s="98" t="str">
        <f>IF($A130="","",IFERROR(INDEX('Natural Catastrophe'!$C$21:$C$26,MATCH($AA130,'Natural Catastrophe'!$B$21:$B$26,0)),"?"))</f>
        <v/>
      </c>
      <c r="AW130" s="97" t="str">
        <f>IF($A130="","",IFERROR(INDEX('Base Rates'!$C$4:$I$4,MATCH(MAX($J130,'Technical Premium'!$C$18),'Base Rates'!$C$3:$I$3,1)),"?"))</f>
        <v/>
      </c>
      <c r="AX130" s="99" t="str">
        <f>IF($A130="","",IFERROR(INDEX('Base Rates'!$C$5:$I$16,MATCH($I130,'Base Rates'!$B$5:$B$16,0),MATCH(MAX($J130,'Technical Premium'!$C$18),'Base Rates'!$C$3:$I$3,1)),"?"))</f>
        <v/>
      </c>
      <c r="AY130" s="100" t="str">
        <f t="shared" si="14"/>
        <v/>
      </c>
      <c r="AZ130" s="97" t="str">
        <f>IF($A130="","",IFERROR(INDEX('Make Factors'!$G$5:$G$69,MATCH($F130,'Make Factors'!$B$5:$B$69,0)),"?"))</f>
        <v/>
      </c>
      <c r="BA130" s="97" t="str">
        <f>IF($A130="","",IFERROR(INDEX('Driver Factors'!$C$6:$C$15,MATCH($R130,'Driver Factors'!$B$6:$B$15,0)),"?"))</f>
        <v/>
      </c>
      <c r="BB130" s="97" t="str">
        <f>IF($A130="","",IFERROR(INDEX('Driver Factors'!$C$19:$C$24,MATCH($S130,'Driver Factors'!$B$19:$B$24,0)),"?"))</f>
        <v/>
      </c>
      <c r="BC130" s="97" t="str">
        <f>IF($A130="","",IFERROR(INDEX('Driver Factors'!$C$28:$C$36,MATCH($T130,'Driver Factors'!$B$28:$B$36,0)),"?"))</f>
        <v/>
      </c>
      <c r="BD130" s="97" t="str">
        <f>IF($A130="","",IFERROR(INDEX('Claims History'!$C$6:$C$15,MATCH($U130,'Claims History'!$B$6:$B$15,0)),"?"))</f>
        <v/>
      </c>
      <c r="BE130" s="97" t="str">
        <f>IF($A130="","",IFERROR(INDEX('Territory Factors'!$E$6:$E$56,MATCH($K130,'Territory Factors'!$B$6:$B$56,0)),"?"))</f>
        <v/>
      </c>
      <c r="BF130" s="97" t="str">
        <f>IF($A130="","",IFERROR(INDEX('City Accident Ratings'!$G$6:$G$54,MATCH($Z130,'City Accident Ratings'!$B$6:$B$54,0)),"?"))</f>
        <v/>
      </c>
      <c r="BG130" s="97" t="str">
        <f>IF($A130="","",IFERROR(INDEX('Usage and Coverage'!$D$6:$D$20,MATCH($N130,'Usage and Coverage'!$C$6:$C$20,0)),"?"))</f>
        <v/>
      </c>
      <c r="BH130" s="97" t="str">
        <f>IF($A130="","",IFERROR(INDEX('Usage and Coverage'!$C$24:$C$30,MATCH($O130,'Usage and Coverage'!$B$24:$B$30,0)),"?"))</f>
        <v/>
      </c>
      <c r="BI130" s="97" t="str">
        <f>IF($A130="","",IFERROR(INDEX('Usage and Coverage'!$C$34:$C$40,MATCH($P130,'Usage and Coverage'!$B$34:$B$40,0)),"?"))</f>
        <v/>
      </c>
      <c r="BJ130" s="97" t="str">
        <f>IF($A130="","",IFERROR(INDEX('Usage and Coverage'!$C$44:$C$49,MATCH($Q130,'Usage and Coverage'!$B$44:$B$49,0)),"?"))</f>
        <v/>
      </c>
      <c r="BK130" s="97" t="str">
        <f>IF($A130="","",IFERROR(INDEX(Deductibles!$C$6:$I$15,MATCH($W130,Deductibles!$B$6:$B$15,0),MATCH(MAX($J130,'Technical Premium'!$C$18),'Base Rates'!$C$3:$I$3,1)),"?"))</f>
        <v/>
      </c>
      <c r="BL130" s="97" t="str">
        <f>IF($A130="","",IFERROR(INDEX('Usage and Coverage'!$C$63:$C$66,MATCH($X130,'Usage and Coverage'!$B$63:$B$66,0)),"?"))</f>
        <v/>
      </c>
      <c r="BM130" s="97" t="str">
        <f>IF($A130="","",IFERROR(INDEX('Usage and Coverage'!$C$70:$C$75,MATCH($V130,'Usage and Coverage'!$B$70:$B$75,0)),"?"))</f>
        <v/>
      </c>
      <c r="BN130" s="97" t="str">
        <f>IF($A130="","",IF($AB130="",1,IFERROR(INDEX(Deductibles!$C$48:$C$51,MATCH($AB130,Deductibles!$B$48:$B$51,0)),"?")))</f>
        <v/>
      </c>
      <c r="BO130" s="97" t="str">
        <f>IF($A130="","",IF($AC130="",1,IFERROR(INDEX(Deductibles!$C$55:$C$57,MATCH($AC130,Deductibles!$B$55:$B$57,0)),"?")))</f>
        <v/>
      </c>
      <c r="BP130" s="97" t="str">
        <f>IF($A130="","",IF($AD130="",1,IFERROR(INDEX(Deductibles!$C$61:$C$63,MATCH($AD130,Deductibles!$B$61:$B$63,0)),"?")))</f>
        <v/>
      </c>
      <c r="BQ130" s="97" t="str">
        <f>IF($A130="","",IF($AE130="",1,IFERROR(INDEX(Deductibles!$C$67:$C$69,MATCH($AE130,Deductibles!$B$67:$B$69,0)),"?")))</f>
        <v/>
      </c>
      <c r="BR130" s="97" t="str">
        <f>IF($A130="","",IF($AF130="",1,IFERROR(INDEX(Deductibles!$C$73:$C$74,MATCH($AF130,Deductibles!$B$73:$B$74,0)),"?")))</f>
        <v/>
      </c>
      <c r="BS130" s="97" t="str">
        <f>IF($A130="","",IF($AG130="",1,IFERROR(INDEX('Sublimits and Parts'!$C$49:$C$52,MATCH($AG130,'Sublimits and Parts'!$B$49:$B$52,0)),"?")))</f>
        <v/>
      </c>
      <c r="BT130" s="97" t="str">
        <f>IF($A130="","",IF($AH130="",1,IFERROR(INDEX('Sublimits and Parts'!$C$56:$C$60,MATCH($AH130,'Sublimits and Parts'!$B$56:$B$60,0)),"?")))</f>
        <v/>
      </c>
      <c r="BU130" s="97" t="str">
        <f>IF($A130="","",IF($AI130="",1,IFERROR(INDEX('Sublimits and Parts'!$C$64:$C$67,MATCH($AI130,'Sublimits and Parts'!$B$64:$B$67,0)),"?")))</f>
        <v/>
      </c>
      <c r="BV130" s="97" t="str">
        <f>IF($A130="","",IF($AJ130="",1,IFERROR(INDEX('Sublimits and Parts'!$C$71:$C$74,MATCH($AJ130,'Sublimits and Parts'!$B$71:$B$74,0)),"?")))</f>
        <v/>
      </c>
      <c r="BW130" s="97" t="str">
        <f>IF($A130="","",IF($AK130="",1,IFERROR(INDEX('Sublimits and Parts'!$C$78:$C$80,MATCH($AK130,'Sublimits and Parts'!$B$78:$B$80,0)),"?")))</f>
        <v/>
      </c>
      <c r="BX130" s="97" t="str">
        <f>IF($A130="","",IF($AL130="",1,IFERROR(INDEX('Sublimits and Parts'!$C$84:$C$87,MATCH($AL130,'Sublimits and Parts'!$B$84:$B$87,0)),"?")))</f>
        <v/>
      </c>
      <c r="BY130" s="97" t="str">
        <f>IF($A130="","",IF($AM130="",1,IFERROR(INDEX('Sublimits and Parts'!$C$91:$C$94,MATCH($AM130,'Sublimits and Parts'!$B$91:$B$94,0)),"?")))</f>
        <v/>
      </c>
      <c r="BZ130" s="97" t="str">
        <f>IF($A130="","",IF($AN130="",1,IFERROR(INDEX('Sublimits and Parts'!$C$98:$C$101,MATCH($AN130,'Sublimits and Parts'!$B$98:$B$101,0)),"?")))</f>
        <v/>
      </c>
      <c r="CA130" s="97" t="str">
        <f>IF($A130="","",IF($AO130="",1,IFERROR(INDEX('Sublimits and Parts'!$C$105:$C$109,MATCH($AO130,'Sublimits and Parts'!$B$105:$B$109,0)),"?")))</f>
        <v/>
      </c>
      <c r="CB130" s="98" t="str">
        <f t="shared" si="15"/>
        <v/>
      </c>
      <c r="CC130" s="98" t="str">
        <f t="shared" si="16"/>
        <v/>
      </c>
      <c r="CD130" s="101" t="str">
        <f>IF($A130="","",IF(OR($CB130="?",$CC130="?"),"?",MIN($CB130*$CC130,'Technical Premium'!$C$17)))</f>
        <v/>
      </c>
      <c r="CE130" s="100" t="str">
        <f t="shared" si="17"/>
        <v/>
      </c>
      <c r="CF130" s="100" t="str">
        <f>IF($A130="","",IFERROR(INDEX('Territory Factors'!$F$6:$F$56,MATCH($K130,'Territory Factors'!$B$6:$B$56,0)),"?"))</f>
        <v/>
      </c>
      <c r="CG130" s="98" t="str">
        <f>IF($A130="","",IFERROR(INDEX('Usage and Coverage'!$C$79:$C$84,MATCH($Y130,'Usage and Coverage'!$B$79:$B$84,0)),"?"))</f>
        <v/>
      </c>
      <c r="CH130" s="100" t="str">
        <f>IFERROR(IF(ISNUMBER($CD130),$CF130*$CG130*MIN($BG130*$BA130*$BC130*$BD130*$BH130*$BF130,'Technical Premium'!$C$17),""),"")</f>
        <v/>
      </c>
      <c r="CI130" s="100" t="str">
        <f t="shared" si="18"/>
        <v/>
      </c>
      <c r="CJ130" s="100" t="str">
        <f>IFERROR($CI130*(1+'Technical Premium'!$C$5)*(1+'Technical Premium'!$C$6),"")</f>
        <v/>
      </c>
      <c r="CK130" s="100" t="str">
        <f>IFERROR($CE130*INDEX('Territory Factors'!$G$6:$G$56,MATCH($K130,'Territory Factors'!$B$6:$B$56,0))*$AU130*$AV130,"")</f>
        <v/>
      </c>
      <c r="CL130" s="100" t="str">
        <f>IFERROR(($CJ130+$CK130)*(1+'Technical Premium'!$C$7),"")</f>
        <v/>
      </c>
      <c r="CM130" s="102" t="str">
        <f>IFERROR($CL130/'Technical Premium'!$C$13,"")</f>
        <v/>
      </c>
      <c r="CN130" s="103" t="str">
        <f t="shared" si="19"/>
        <v/>
      </c>
      <c r="CO130" s="102" t="str">
        <f t="shared" si="20"/>
        <v/>
      </c>
      <c r="CP130" s="103" t="str">
        <f t="shared" si="21"/>
        <v/>
      </c>
      <c r="CQ130" s="104" t="str">
        <f t="shared" si="22"/>
        <v/>
      </c>
      <c r="CR130" s="100" t="str">
        <f>IF(ISNUMBER($CM130),'Technical Premium'!$C$14+IF($J130&gt;=1000000,'Technical Premium'!$C$15,0),"")</f>
        <v/>
      </c>
      <c r="CS130" s="100" t="str">
        <f>IFERROR(($CO130+$CR130)*(INDEX('Territory Factors'!$K$6:$K$56,MATCH($K130,'Territory Factors'!$B$6:$B$56,0))+'Commission Structure'!$C$21),"")</f>
        <v/>
      </c>
      <c r="CT130" s="102" t="str">
        <f t="shared" si="23"/>
        <v/>
      </c>
      <c r="CU130" s="100" t="str">
        <f>IFERROR($CO130*('Commission Structure'!$C$6+'Commission Structure'!$C$7),"")</f>
        <v/>
      </c>
      <c r="CV130" s="100" t="str">
        <f>IFERROR($CO130*'Commission Structure'!$C$5-$CU130,"")</f>
        <v/>
      </c>
      <c r="CW130" s="100" t="str">
        <f>IFERROR($CO130*(1-'Commission Structure'!$C$5),"")</f>
        <v/>
      </c>
      <c r="CX130" s="105" t="str">
        <f>IF($A130="","",IF(OR($CB130="?",$CC130="?",NOT(ISNUMBER($AU130))),"CHECK INPUTS",IF(OR($J130&lt;'Technical Premium'!$C$18,LEFT(IFERROR(INDEX('Driver Factors'!$D$6:$D$15,MATCH($R130,'Driver Factors'!$B$6:$B$15,0)),""),7)="DECLINE",LEFT(IFERROR(INDEX('Driver Factors'!$D$28:$D$36,MATCH($T130,'Driver Factors'!$B$28:$B$36,0)),""),7)="DECLINE",LEFT(IFERROR(INDEX('Claims History'!$D$6:$D$15,MATCH($U130,'Claims History'!$B$6:$B$15,0)),""),7)="DECLINE",LEFT(IFERROR(INDEX('Usage and Coverage'!$E$6:$E$20,MATCH($N130,'Usage and Coverage'!$C$6:$C$20,0)),""),7)="DECLINE"),"DECLINE",IF(OR($CD130&gt;2.5,$CD130&gt;='Technical Premium'!$C$17,$J130&gt;='Technical Premium'!$C$16,N($AQ130)&lt;'Technical Premium'!$C$19,N($AQ130)&gt;'Technical Premium'!$C$20,LEFT(IFERROR(INDEX('Driver Factors'!$D$6:$D$15,MATCH($R130,'Driver Factors'!$B$6:$B$15,0)),""),5)="Refer",LEFT(IFERROR(INDEX('Driver Factors'!$D$28:$D$36,MATCH($T130,'Driver Factors'!$B$28:$B$36,0)),""),5)="Refer",LEFT(IFERROR(INDEX('Claims History'!$D$6:$D$15,MATCH($U130,'Claims History'!$B$6:$B$15,0)),""),5)="Refer",LEFT(IFERROR(INDEX('Usage and Coverage'!$E$6:$E$20,MATCH($N130,'Usage and Coverage'!$C$6:$C$20,0)),""),5)="Refer"),"REFER","AUTO-BIND"))))</f>
        <v/>
      </c>
      <c r="CY130" s="106" t="str">
        <f t="shared" si="24"/>
        <v/>
      </c>
      <c r="CZ130" s="97" t="str">
        <f>IF($CY130="","",IF($CY130&lt;'Technical Premium'!$C$19,"BEYOND AUTHORITY",IF($CY130&gt;0.005,"Above technical",IF($CY130&lt;-0.005,"BELOW technical","At technical"))))</f>
        <v/>
      </c>
      <c r="DA130" s="97" t="str">
        <f>IF($A130="","",IF($CX130="AUTO-BIND","",TRIM(IF($J130&lt;'Technical Premium'!$C$18,"Below programme minimum agreed value. ","")&amp;IF(N($AQ130)&lt;'Technical Premium'!$C$19,"DISCOUNT AUTHORITY BREACH. ","")&amp;IF(N($AQ130)&gt;'Technical Premium'!$C$20,"Load authority breach. ","")&amp;IF($J130&gt;='Technical Premium'!$C$16,"Agreed value at or above auto-bind limit. ","")&amp;IF(AND(ISNUMBER($CD130),$CD130&gt;='Technical Premium'!$C$17),"Composite factor at cap. ","")&amp;IF(AND(ISNUMBER($CD130),$CD130&gt;2.5),"Composite factor above 2.50. ","")&amp;IF(LEFT(IFERROR(INDEX('Driver Factors'!$D$6:$D$15,MATCH($R130,'Driver Factors'!$B$6:$B$15,0)),""),7)="DECLINE","DECLINE - driver age. ",IF(LEFT(IFERROR(INDEX('Driver Factors'!$D$6:$D$15,MATCH($R130,'Driver Factors'!$B$6:$B$15,0)),""),5)="Refer","Driver age band. ",""))&amp;IF(LEFT(IFERROR(INDEX('Driver Factors'!$D$28:$D$36,MATCH($T130,'Driver Factors'!$B$28:$B$36,0)),""),7)="DECLINE","DECLINE - MVR. ",IF(LEFT(IFERROR(INDEX('Driver Factors'!$D$28:$D$36,MATCH($T130,'Driver Factors'!$B$28:$B$36,0)),""),5)="Refer","MVR record. ",""))&amp;IF(LEFT(IFERROR(INDEX('Claims History'!$D$6:$D$15,MATCH($U130,'Claims History'!$B$6:$B$15,0)),""),7)="DECLINE","DECLINE - claims. ",IF(LEFT(IFERROR(INDEX('Claims History'!$D$6:$D$15,MATCH($U130,'Claims History'!$B$6:$B$15,0)),""),5)="Refer","Claims history. ",""))&amp;IF(LEFT(IFERROR(INDEX('Usage and Coverage'!$E$6:$E$20,MATCH($N130,'Usage and Coverage'!$C$6:$C$20,0)),""),7)="DECLINE","DECLINE - usage class. ",IF(LEFT(IFERROR(INDEX('Usage and Coverage'!$E$6:$E$20,MATCH($N130,'Usage and Coverage'!$C$6:$C$20,0)),""),5)="Refer","Usage class. ",""))&amp;IF($CX130="CHECK INPUTS","Incomplete inputs. ",""))))</f>
        <v/>
      </c>
      <c r="DB130" s="92"/>
      <c r="DC130" s="92"/>
      <c r="DD130" s="93"/>
      <c r="DE130" s="92"/>
      <c r="DF130" s="92"/>
      <c r="DG130" s="97" t="str">
        <f t="shared" si="25"/>
        <v/>
      </c>
      <c r="DH130" s="97" t="str">
        <f>IF($A130="","",IF(OR($CX130="REFER",$CX130="DECLINE"),COUNTIF($CX$5:$CX130,"REFER")+COUNTIF($CX$5:$CX130,"DECLINE"),""))</f>
        <v/>
      </c>
      <c r="DI130" s="92"/>
    </row>
    <row r="131" spans="1:113" x14ac:dyDescent="0.25">
      <c r="A131" s="92"/>
      <c r="B131" s="92"/>
      <c r="C131" s="93"/>
      <c r="D131" s="93"/>
      <c r="E131" s="94"/>
      <c r="F131" s="92"/>
      <c r="G131" s="92"/>
      <c r="H131" s="92"/>
      <c r="I131" s="92"/>
      <c r="J131" s="95"/>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6"/>
      <c r="AR131" s="97" t="str">
        <f t="shared" si="13"/>
        <v/>
      </c>
      <c r="AS131" s="97" t="str">
        <f>IF($A131="","",IF($AP131&lt;&gt;"",$AP131,IFERROR(INDEX('Cat Zone by ZIP'!$D$6:$D$856,MATCH($AR131,'Cat Zone by ZIP'!$B$6:$B$856,0)),IFERROR(INDEX('Cat Zone by ZIP'!$C$860:$C$910,MATCH($K131,'Cat Zone by ZIP'!$B$860:$B$910,0)),"NOT FOUND"))))</f>
        <v/>
      </c>
      <c r="AT131" s="97" t="str">
        <f>IF($A131="","",IF($AP131&lt;&gt;"","Override",IF(ISNUMBER(MATCH($AR131,'Cat Zone by ZIP'!$B$6:$B$856,0)),"ZIP-3","State default")))</f>
        <v/>
      </c>
      <c r="AU131" s="98" t="str">
        <f>IF($A131="","",IFERROR(INDEX('Natural Catastrophe'!$D$6:$D$17,MATCH($AS131,'Natural Catastrophe'!$B$6:$B$17,0)),"?"))</f>
        <v/>
      </c>
      <c r="AV131" s="98" t="str">
        <f>IF($A131="","",IFERROR(INDEX('Natural Catastrophe'!$C$21:$C$26,MATCH($AA131,'Natural Catastrophe'!$B$21:$B$26,0)),"?"))</f>
        <v/>
      </c>
      <c r="AW131" s="97" t="str">
        <f>IF($A131="","",IFERROR(INDEX('Base Rates'!$C$4:$I$4,MATCH(MAX($J131,'Technical Premium'!$C$18),'Base Rates'!$C$3:$I$3,1)),"?"))</f>
        <v/>
      </c>
      <c r="AX131" s="99" t="str">
        <f>IF($A131="","",IFERROR(INDEX('Base Rates'!$C$5:$I$16,MATCH($I131,'Base Rates'!$B$5:$B$16,0),MATCH(MAX($J131,'Technical Premium'!$C$18),'Base Rates'!$C$3:$I$3,1)),"?"))</f>
        <v/>
      </c>
      <c r="AY131" s="100" t="str">
        <f t="shared" si="14"/>
        <v/>
      </c>
      <c r="AZ131" s="97" t="str">
        <f>IF($A131="","",IFERROR(INDEX('Make Factors'!$G$5:$G$69,MATCH($F131,'Make Factors'!$B$5:$B$69,0)),"?"))</f>
        <v/>
      </c>
      <c r="BA131" s="97" t="str">
        <f>IF($A131="","",IFERROR(INDEX('Driver Factors'!$C$6:$C$15,MATCH($R131,'Driver Factors'!$B$6:$B$15,0)),"?"))</f>
        <v/>
      </c>
      <c r="BB131" s="97" t="str">
        <f>IF($A131="","",IFERROR(INDEX('Driver Factors'!$C$19:$C$24,MATCH($S131,'Driver Factors'!$B$19:$B$24,0)),"?"))</f>
        <v/>
      </c>
      <c r="BC131" s="97" t="str">
        <f>IF($A131="","",IFERROR(INDEX('Driver Factors'!$C$28:$C$36,MATCH($T131,'Driver Factors'!$B$28:$B$36,0)),"?"))</f>
        <v/>
      </c>
      <c r="BD131" s="97" t="str">
        <f>IF($A131="","",IFERROR(INDEX('Claims History'!$C$6:$C$15,MATCH($U131,'Claims History'!$B$6:$B$15,0)),"?"))</f>
        <v/>
      </c>
      <c r="BE131" s="97" t="str">
        <f>IF($A131="","",IFERROR(INDEX('Territory Factors'!$E$6:$E$56,MATCH($K131,'Territory Factors'!$B$6:$B$56,0)),"?"))</f>
        <v/>
      </c>
      <c r="BF131" s="97" t="str">
        <f>IF($A131="","",IFERROR(INDEX('City Accident Ratings'!$G$6:$G$54,MATCH($Z131,'City Accident Ratings'!$B$6:$B$54,0)),"?"))</f>
        <v/>
      </c>
      <c r="BG131" s="97" t="str">
        <f>IF($A131="","",IFERROR(INDEX('Usage and Coverage'!$D$6:$D$20,MATCH($N131,'Usage and Coverage'!$C$6:$C$20,0)),"?"))</f>
        <v/>
      </c>
      <c r="BH131" s="97" t="str">
        <f>IF($A131="","",IFERROR(INDEX('Usage and Coverage'!$C$24:$C$30,MATCH($O131,'Usage and Coverage'!$B$24:$B$30,0)),"?"))</f>
        <v/>
      </c>
      <c r="BI131" s="97" t="str">
        <f>IF($A131="","",IFERROR(INDEX('Usage and Coverage'!$C$34:$C$40,MATCH($P131,'Usage and Coverage'!$B$34:$B$40,0)),"?"))</f>
        <v/>
      </c>
      <c r="BJ131" s="97" t="str">
        <f>IF($A131="","",IFERROR(INDEX('Usage and Coverage'!$C$44:$C$49,MATCH($Q131,'Usage and Coverage'!$B$44:$B$49,0)),"?"))</f>
        <v/>
      </c>
      <c r="BK131" s="97" t="str">
        <f>IF($A131="","",IFERROR(INDEX(Deductibles!$C$6:$I$15,MATCH($W131,Deductibles!$B$6:$B$15,0),MATCH(MAX($J131,'Technical Premium'!$C$18),'Base Rates'!$C$3:$I$3,1)),"?"))</f>
        <v/>
      </c>
      <c r="BL131" s="97" t="str">
        <f>IF($A131="","",IFERROR(INDEX('Usage and Coverage'!$C$63:$C$66,MATCH($X131,'Usage and Coverage'!$B$63:$B$66,0)),"?"))</f>
        <v/>
      </c>
      <c r="BM131" s="97" t="str">
        <f>IF($A131="","",IFERROR(INDEX('Usage and Coverage'!$C$70:$C$75,MATCH($V131,'Usage and Coverage'!$B$70:$B$75,0)),"?"))</f>
        <v/>
      </c>
      <c r="BN131" s="97" t="str">
        <f>IF($A131="","",IF($AB131="",1,IFERROR(INDEX(Deductibles!$C$48:$C$51,MATCH($AB131,Deductibles!$B$48:$B$51,0)),"?")))</f>
        <v/>
      </c>
      <c r="BO131" s="97" t="str">
        <f>IF($A131="","",IF($AC131="",1,IFERROR(INDEX(Deductibles!$C$55:$C$57,MATCH($AC131,Deductibles!$B$55:$B$57,0)),"?")))</f>
        <v/>
      </c>
      <c r="BP131" s="97" t="str">
        <f>IF($A131="","",IF($AD131="",1,IFERROR(INDEX(Deductibles!$C$61:$C$63,MATCH($AD131,Deductibles!$B$61:$B$63,0)),"?")))</f>
        <v/>
      </c>
      <c r="BQ131" s="97" t="str">
        <f>IF($A131="","",IF($AE131="",1,IFERROR(INDEX(Deductibles!$C$67:$C$69,MATCH($AE131,Deductibles!$B$67:$B$69,0)),"?")))</f>
        <v/>
      </c>
      <c r="BR131" s="97" t="str">
        <f>IF($A131="","",IF($AF131="",1,IFERROR(INDEX(Deductibles!$C$73:$C$74,MATCH($AF131,Deductibles!$B$73:$B$74,0)),"?")))</f>
        <v/>
      </c>
      <c r="BS131" s="97" t="str">
        <f>IF($A131="","",IF($AG131="",1,IFERROR(INDEX('Sublimits and Parts'!$C$49:$C$52,MATCH($AG131,'Sublimits and Parts'!$B$49:$B$52,0)),"?")))</f>
        <v/>
      </c>
      <c r="BT131" s="97" t="str">
        <f>IF($A131="","",IF($AH131="",1,IFERROR(INDEX('Sublimits and Parts'!$C$56:$C$60,MATCH($AH131,'Sublimits and Parts'!$B$56:$B$60,0)),"?")))</f>
        <v/>
      </c>
      <c r="BU131" s="97" t="str">
        <f>IF($A131="","",IF($AI131="",1,IFERROR(INDEX('Sublimits and Parts'!$C$64:$C$67,MATCH($AI131,'Sublimits and Parts'!$B$64:$B$67,0)),"?")))</f>
        <v/>
      </c>
      <c r="BV131" s="97" t="str">
        <f>IF($A131="","",IF($AJ131="",1,IFERROR(INDEX('Sublimits and Parts'!$C$71:$C$74,MATCH($AJ131,'Sublimits and Parts'!$B$71:$B$74,0)),"?")))</f>
        <v/>
      </c>
      <c r="BW131" s="97" t="str">
        <f>IF($A131="","",IF($AK131="",1,IFERROR(INDEX('Sublimits and Parts'!$C$78:$C$80,MATCH($AK131,'Sublimits and Parts'!$B$78:$B$80,0)),"?")))</f>
        <v/>
      </c>
      <c r="BX131" s="97" t="str">
        <f>IF($A131="","",IF($AL131="",1,IFERROR(INDEX('Sublimits and Parts'!$C$84:$C$87,MATCH($AL131,'Sublimits and Parts'!$B$84:$B$87,0)),"?")))</f>
        <v/>
      </c>
      <c r="BY131" s="97" t="str">
        <f>IF($A131="","",IF($AM131="",1,IFERROR(INDEX('Sublimits and Parts'!$C$91:$C$94,MATCH($AM131,'Sublimits and Parts'!$B$91:$B$94,0)),"?")))</f>
        <v/>
      </c>
      <c r="BZ131" s="97" t="str">
        <f>IF($A131="","",IF($AN131="",1,IFERROR(INDEX('Sublimits and Parts'!$C$98:$C$101,MATCH($AN131,'Sublimits and Parts'!$B$98:$B$101,0)),"?")))</f>
        <v/>
      </c>
      <c r="CA131" s="97" t="str">
        <f>IF($A131="","",IF($AO131="",1,IFERROR(INDEX('Sublimits and Parts'!$C$105:$C$109,MATCH($AO131,'Sublimits and Parts'!$B$105:$B$109,0)),"?")))</f>
        <v/>
      </c>
      <c r="CB131" s="98" t="str">
        <f t="shared" si="15"/>
        <v/>
      </c>
      <c r="CC131" s="98" t="str">
        <f t="shared" si="16"/>
        <v/>
      </c>
      <c r="CD131" s="101" t="str">
        <f>IF($A131="","",IF(OR($CB131="?",$CC131="?"),"?",MIN($CB131*$CC131,'Technical Premium'!$C$17)))</f>
        <v/>
      </c>
      <c r="CE131" s="100" t="str">
        <f t="shared" si="17"/>
        <v/>
      </c>
      <c r="CF131" s="100" t="str">
        <f>IF($A131="","",IFERROR(INDEX('Territory Factors'!$F$6:$F$56,MATCH($K131,'Territory Factors'!$B$6:$B$56,0)),"?"))</f>
        <v/>
      </c>
      <c r="CG131" s="98" t="str">
        <f>IF($A131="","",IFERROR(INDEX('Usage and Coverage'!$C$79:$C$84,MATCH($Y131,'Usage and Coverage'!$B$79:$B$84,0)),"?"))</f>
        <v/>
      </c>
      <c r="CH131" s="100" t="str">
        <f>IFERROR(IF(ISNUMBER($CD131),$CF131*$CG131*MIN($BG131*$BA131*$BC131*$BD131*$BH131*$BF131,'Technical Premium'!$C$17),""),"")</f>
        <v/>
      </c>
      <c r="CI131" s="100" t="str">
        <f t="shared" si="18"/>
        <v/>
      </c>
      <c r="CJ131" s="100" t="str">
        <f>IFERROR($CI131*(1+'Technical Premium'!$C$5)*(1+'Technical Premium'!$C$6),"")</f>
        <v/>
      </c>
      <c r="CK131" s="100" t="str">
        <f>IFERROR($CE131*INDEX('Territory Factors'!$G$6:$G$56,MATCH($K131,'Territory Factors'!$B$6:$B$56,0))*$AU131*$AV131,"")</f>
        <v/>
      </c>
      <c r="CL131" s="100" t="str">
        <f>IFERROR(($CJ131+$CK131)*(1+'Technical Premium'!$C$7),"")</f>
        <v/>
      </c>
      <c r="CM131" s="102" t="str">
        <f>IFERROR($CL131/'Technical Premium'!$C$13,"")</f>
        <v/>
      </c>
      <c r="CN131" s="103" t="str">
        <f t="shared" si="19"/>
        <v/>
      </c>
      <c r="CO131" s="102" t="str">
        <f t="shared" si="20"/>
        <v/>
      </c>
      <c r="CP131" s="103" t="str">
        <f t="shared" si="21"/>
        <v/>
      </c>
      <c r="CQ131" s="104" t="str">
        <f t="shared" si="22"/>
        <v/>
      </c>
      <c r="CR131" s="100" t="str">
        <f>IF(ISNUMBER($CM131),'Technical Premium'!$C$14+IF($J131&gt;=1000000,'Technical Premium'!$C$15,0),"")</f>
        <v/>
      </c>
      <c r="CS131" s="100" t="str">
        <f>IFERROR(($CO131+$CR131)*(INDEX('Territory Factors'!$K$6:$K$56,MATCH($K131,'Territory Factors'!$B$6:$B$56,0))+'Commission Structure'!$C$21),"")</f>
        <v/>
      </c>
      <c r="CT131" s="102" t="str">
        <f t="shared" si="23"/>
        <v/>
      </c>
      <c r="CU131" s="100" t="str">
        <f>IFERROR($CO131*('Commission Structure'!$C$6+'Commission Structure'!$C$7),"")</f>
        <v/>
      </c>
      <c r="CV131" s="100" t="str">
        <f>IFERROR($CO131*'Commission Structure'!$C$5-$CU131,"")</f>
        <v/>
      </c>
      <c r="CW131" s="100" t="str">
        <f>IFERROR($CO131*(1-'Commission Structure'!$C$5),"")</f>
        <v/>
      </c>
      <c r="CX131" s="105" t="str">
        <f>IF($A131="","",IF(OR($CB131="?",$CC131="?",NOT(ISNUMBER($AU131))),"CHECK INPUTS",IF(OR($J131&lt;'Technical Premium'!$C$18,LEFT(IFERROR(INDEX('Driver Factors'!$D$6:$D$15,MATCH($R131,'Driver Factors'!$B$6:$B$15,0)),""),7)="DECLINE",LEFT(IFERROR(INDEX('Driver Factors'!$D$28:$D$36,MATCH($T131,'Driver Factors'!$B$28:$B$36,0)),""),7)="DECLINE",LEFT(IFERROR(INDEX('Claims History'!$D$6:$D$15,MATCH($U131,'Claims History'!$B$6:$B$15,0)),""),7)="DECLINE",LEFT(IFERROR(INDEX('Usage and Coverage'!$E$6:$E$20,MATCH($N131,'Usage and Coverage'!$C$6:$C$20,0)),""),7)="DECLINE"),"DECLINE",IF(OR($CD131&gt;2.5,$CD131&gt;='Technical Premium'!$C$17,$J131&gt;='Technical Premium'!$C$16,N($AQ131)&lt;'Technical Premium'!$C$19,N($AQ131)&gt;'Technical Premium'!$C$20,LEFT(IFERROR(INDEX('Driver Factors'!$D$6:$D$15,MATCH($R131,'Driver Factors'!$B$6:$B$15,0)),""),5)="Refer",LEFT(IFERROR(INDEX('Driver Factors'!$D$28:$D$36,MATCH($T131,'Driver Factors'!$B$28:$B$36,0)),""),5)="Refer",LEFT(IFERROR(INDEX('Claims History'!$D$6:$D$15,MATCH($U131,'Claims History'!$B$6:$B$15,0)),""),5)="Refer",LEFT(IFERROR(INDEX('Usage and Coverage'!$E$6:$E$20,MATCH($N131,'Usage and Coverage'!$C$6:$C$20,0)),""),5)="Refer"),"REFER","AUTO-BIND"))))</f>
        <v/>
      </c>
      <c r="CY131" s="106" t="str">
        <f t="shared" si="24"/>
        <v/>
      </c>
      <c r="CZ131" s="97" t="str">
        <f>IF($CY131="","",IF($CY131&lt;'Technical Premium'!$C$19,"BEYOND AUTHORITY",IF($CY131&gt;0.005,"Above technical",IF($CY131&lt;-0.005,"BELOW technical","At technical"))))</f>
        <v/>
      </c>
      <c r="DA131" s="97" t="str">
        <f>IF($A131="","",IF($CX131="AUTO-BIND","",TRIM(IF($J131&lt;'Technical Premium'!$C$18,"Below programme minimum agreed value. ","")&amp;IF(N($AQ131)&lt;'Technical Premium'!$C$19,"DISCOUNT AUTHORITY BREACH. ","")&amp;IF(N($AQ131)&gt;'Technical Premium'!$C$20,"Load authority breach. ","")&amp;IF($J131&gt;='Technical Premium'!$C$16,"Agreed value at or above auto-bind limit. ","")&amp;IF(AND(ISNUMBER($CD131),$CD131&gt;='Technical Premium'!$C$17),"Composite factor at cap. ","")&amp;IF(AND(ISNUMBER($CD131),$CD131&gt;2.5),"Composite factor above 2.50. ","")&amp;IF(LEFT(IFERROR(INDEX('Driver Factors'!$D$6:$D$15,MATCH($R131,'Driver Factors'!$B$6:$B$15,0)),""),7)="DECLINE","DECLINE - driver age. ",IF(LEFT(IFERROR(INDEX('Driver Factors'!$D$6:$D$15,MATCH($R131,'Driver Factors'!$B$6:$B$15,0)),""),5)="Refer","Driver age band. ",""))&amp;IF(LEFT(IFERROR(INDEX('Driver Factors'!$D$28:$D$36,MATCH($T131,'Driver Factors'!$B$28:$B$36,0)),""),7)="DECLINE","DECLINE - MVR. ",IF(LEFT(IFERROR(INDEX('Driver Factors'!$D$28:$D$36,MATCH($T131,'Driver Factors'!$B$28:$B$36,0)),""),5)="Refer","MVR record. ",""))&amp;IF(LEFT(IFERROR(INDEX('Claims History'!$D$6:$D$15,MATCH($U131,'Claims History'!$B$6:$B$15,0)),""),7)="DECLINE","DECLINE - claims. ",IF(LEFT(IFERROR(INDEX('Claims History'!$D$6:$D$15,MATCH($U131,'Claims History'!$B$6:$B$15,0)),""),5)="Refer","Claims history. ",""))&amp;IF(LEFT(IFERROR(INDEX('Usage and Coverage'!$E$6:$E$20,MATCH($N131,'Usage and Coverage'!$C$6:$C$20,0)),""),7)="DECLINE","DECLINE - usage class. ",IF(LEFT(IFERROR(INDEX('Usage and Coverage'!$E$6:$E$20,MATCH($N131,'Usage and Coverage'!$C$6:$C$20,0)),""),5)="Refer","Usage class. ",""))&amp;IF($CX131="CHECK INPUTS","Incomplete inputs. ",""))))</f>
        <v/>
      </c>
      <c r="DB131" s="92"/>
      <c r="DC131" s="92"/>
      <c r="DD131" s="93"/>
      <c r="DE131" s="92"/>
      <c r="DF131" s="92"/>
      <c r="DG131" s="97" t="str">
        <f t="shared" si="25"/>
        <v/>
      </c>
      <c r="DH131" s="97" t="str">
        <f>IF($A131="","",IF(OR($CX131="REFER",$CX131="DECLINE"),COUNTIF($CX$5:$CX131,"REFER")+COUNTIF($CX$5:$CX131,"DECLINE"),""))</f>
        <v/>
      </c>
      <c r="DI131" s="92"/>
    </row>
    <row r="132" spans="1:113" x14ac:dyDescent="0.25">
      <c r="A132" s="92"/>
      <c r="B132" s="92"/>
      <c r="C132" s="93"/>
      <c r="D132" s="93"/>
      <c r="E132" s="94"/>
      <c r="F132" s="92"/>
      <c r="G132" s="92"/>
      <c r="H132" s="92"/>
      <c r="I132" s="92"/>
      <c r="J132" s="95"/>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6"/>
      <c r="AR132" s="97" t="str">
        <f t="shared" si="13"/>
        <v/>
      </c>
      <c r="AS132" s="97" t="str">
        <f>IF($A132="","",IF($AP132&lt;&gt;"",$AP132,IFERROR(INDEX('Cat Zone by ZIP'!$D$6:$D$856,MATCH($AR132,'Cat Zone by ZIP'!$B$6:$B$856,0)),IFERROR(INDEX('Cat Zone by ZIP'!$C$860:$C$910,MATCH($K132,'Cat Zone by ZIP'!$B$860:$B$910,0)),"NOT FOUND"))))</f>
        <v/>
      </c>
      <c r="AT132" s="97" t="str">
        <f>IF($A132="","",IF($AP132&lt;&gt;"","Override",IF(ISNUMBER(MATCH($AR132,'Cat Zone by ZIP'!$B$6:$B$856,0)),"ZIP-3","State default")))</f>
        <v/>
      </c>
      <c r="AU132" s="98" t="str">
        <f>IF($A132="","",IFERROR(INDEX('Natural Catastrophe'!$D$6:$D$17,MATCH($AS132,'Natural Catastrophe'!$B$6:$B$17,0)),"?"))</f>
        <v/>
      </c>
      <c r="AV132" s="98" t="str">
        <f>IF($A132="","",IFERROR(INDEX('Natural Catastrophe'!$C$21:$C$26,MATCH($AA132,'Natural Catastrophe'!$B$21:$B$26,0)),"?"))</f>
        <v/>
      </c>
      <c r="AW132" s="97" t="str">
        <f>IF($A132="","",IFERROR(INDEX('Base Rates'!$C$4:$I$4,MATCH(MAX($J132,'Technical Premium'!$C$18),'Base Rates'!$C$3:$I$3,1)),"?"))</f>
        <v/>
      </c>
      <c r="AX132" s="99" t="str">
        <f>IF($A132="","",IFERROR(INDEX('Base Rates'!$C$5:$I$16,MATCH($I132,'Base Rates'!$B$5:$B$16,0),MATCH(MAX($J132,'Technical Premium'!$C$18),'Base Rates'!$C$3:$I$3,1)),"?"))</f>
        <v/>
      </c>
      <c r="AY132" s="100" t="str">
        <f t="shared" si="14"/>
        <v/>
      </c>
      <c r="AZ132" s="97" t="str">
        <f>IF($A132="","",IFERROR(INDEX('Make Factors'!$G$5:$G$69,MATCH($F132,'Make Factors'!$B$5:$B$69,0)),"?"))</f>
        <v/>
      </c>
      <c r="BA132" s="97" t="str">
        <f>IF($A132="","",IFERROR(INDEX('Driver Factors'!$C$6:$C$15,MATCH($R132,'Driver Factors'!$B$6:$B$15,0)),"?"))</f>
        <v/>
      </c>
      <c r="BB132" s="97" t="str">
        <f>IF($A132="","",IFERROR(INDEX('Driver Factors'!$C$19:$C$24,MATCH($S132,'Driver Factors'!$B$19:$B$24,0)),"?"))</f>
        <v/>
      </c>
      <c r="BC132" s="97" t="str">
        <f>IF($A132="","",IFERROR(INDEX('Driver Factors'!$C$28:$C$36,MATCH($T132,'Driver Factors'!$B$28:$B$36,0)),"?"))</f>
        <v/>
      </c>
      <c r="BD132" s="97" t="str">
        <f>IF($A132="","",IFERROR(INDEX('Claims History'!$C$6:$C$15,MATCH($U132,'Claims History'!$B$6:$B$15,0)),"?"))</f>
        <v/>
      </c>
      <c r="BE132" s="97" t="str">
        <f>IF($A132="","",IFERROR(INDEX('Territory Factors'!$E$6:$E$56,MATCH($K132,'Territory Factors'!$B$6:$B$56,0)),"?"))</f>
        <v/>
      </c>
      <c r="BF132" s="97" t="str">
        <f>IF($A132="","",IFERROR(INDEX('City Accident Ratings'!$G$6:$G$54,MATCH($Z132,'City Accident Ratings'!$B$6:$B$54,0)),"?"))</f>
        <v/>
      </c>
      <c r="BG132" s="97" t="str">
        <f>IF($A132="","",IFERROR(INDEX('Usage and Coverage'!$D$6:$D$20,MATCH($N132,'Usage and Coverage'!$C$6:$C$20,0)),"?"))</f>
        <v/>
      </c>
      <c r="BH132" s="97" t="str">
        <f>IF($A132="","",IFERROR(INDEX('Usage and Coverage'!$C$24:$C$30,MATCH($O132,'Usage and Coverage'!$B$24:$B$30,0)),"?"))</f>
        <v/>
      </c>
      <c r="BI132" s="97" t="str">
        <f>IF($A132="","",IFERROR(INDEX('Usage and Coverage'!$C$34:$C$40,MATCH($P132,'Usage and Coverage'!$B$34:$B$40,0)),"?"))</f>
        <v/>
      </c>
      <c r="BJ132" s="97" t="str">
        <f>IF($A132="","",IFERROR(INDEX('Usage and Coverage'!$C$44:$C$49,MATCH($Q132,'Usage and Coverage'!$B$44:$B$49,0)),"?"))</f>
        <v/>
      </c>
      <c r="BK132" s="97" t="str">
        <f>IF($A132="","",IFERROR(INDEX(Deductibles!$C$6:$I$15,MATCH($W132,Deductibles!$B$6:$B$15,0),MATCH(MAX($J132,'Technical Premium'!$C$18),'Base Rates'!$C$3:$I$3,1)),"?"))</f>
        <v/>
      </c>
      <c r="BL132" s="97" t="str">
        <f>IF($A132="","",IFERROR(INDEX('Usage and Coverage'!$C$63:$C$66,MATCH($X132,'Usage and Coverage'!$B$63:$B$66,0)),"?"))</f>
        <v/>
      </c>
      <c r="BM132" s="97" t="str">
        <f>IF($A132="","",IFERROR(INDEX('Usage and Coverage'!$C$70:$C$75,MATCH($V132,'Usage and Coverage'!$B$70:$B$75,0)),"?"))</f>
        <v/>
      </c>
      <c r="BN132" s="97" t="str">
        <f>IF($A132="","",IF($AB132="",1,IFERROR(INDEX(Deductibles!$C$48:$C$51,MATCH($AB132,Deductibles!$B$48:$B$51,0)),"?")))</f>
        <v/>
      </c>
      <c r="BO132" s="97" t="str">
        <f>IF($A132="","",IF($AC132="",1,IFERROR(INDEX(Deductibles!$C$55:$C$57,MATCH($AC132,Deductibles!$B$55:$B$57,0)),"?")))</f>
        <v/>
      </c>
      <c r="BP132" s="97" t="str">
        <f>IF($A132="","",IF($AD132="",1,IFERROR(INDEX(Deductibles!$C$61:$C$63,MATCH($AD132,Deductibles!$B$61:$B$63,0)),"?")))</f>
        <v/>
      </c>
      <c r="BQ132" s="97" t="str">
        <f>IF($A132="","",IF($AE132="",1,IFERROR(INDEX(Deductibles!$C$67:$C$69,MATCH($AE132,Deductibles!$B$67:$B$69,0)),"?")))</f>
        <v/>
      </c>
      <c r="BR132" s="97" t="str">
        <f>IF($A132="","",IF($AF132="",1,IFERROR(INDEX(Deductibles!$C$73:$C$74,MATCH($AF132,Deductibles!$B$73:$B$74,0)),"?")))</f>
        <v/>
      </c>
      <c r="BS132" s="97" t="str">
        <f>IF($A132="","",IF($AG132="",1,IFERROR(INDEX('Sublimits and Parts'!$C$49:$C$52,MATCH($AG132,'Sublimits and Parts'!$B$49:$B$52,0)),"?")))</f>
        <v/>
      </c>
      <c r="BT132" s="97" t="str">
        <f>IF($A132="","",IF($AH132="",1,IFERROR(INDEX('Sublimits and Parts'!$C$56:$C$60,MATCH($AH132,'Sublimits and Parts'!$B$56:$B$60,0)),"?")))</f>
        <v/>
      </c>
      <c r="BU132" s="97" t="str">
        <f>IF($A132="","",IF($AI132="",1,IFERROR(INDEX('Sublimits and Parts'!$C$64:$C$67,MATCH($AI132,'Sublimits and Parts'!$B$64:$B$67,0)),"?")))</f>
        <v/>
      </c>
      <c r="BV132" s="97" t="str">
        <f>IF($A132="","",IF($AJ132="",1,IFERROR(INDEX('Sublimits and Parts'!$C$71:$C$74,MATCH($AJ132,'Sublimits and Parts'!$B$71:$B$74,0)),"?")))</f>
        <v/>
      </c>
      <c r="BW132" s="97" t="str">
        <f>IF($A132="","",IF($AK132="",1,IFERROR(INDEX('Sublimits and Parts'!$C$78:$C$80,MATCH($AK132,'Sublimits and Parts'!$B$78:$B$80,0)),"?")))</f>
        <v/>
      </c>
      <c r="BX132" s="97" t="str">
        <f>IF($A132="","",IF($AL132="",1,IFERROR(INDEX('Sublimits and Parts'!$C$84:$C$87,MATCH($AL132,'Sublimits and Parts'!$B$84:$B$87,0)),"?")))</f>
        <v/>
      </c>
      <c r="BY132" s="97" t="str">
        <f>IF($A132="","",IF($AM132="",1,IFERROR(INDEX('Sublimits and Parts'!$C$91:$C$94,MATCH($AM132,'Sublimits and Parts'!$B$91:$B$94,0)),"?")))</f>
        <v/>
      </c>
      <c r="BZ132" s="97" t="str">
        <f>IF($A132="","",IF($AN132="",1,IFERROR(INDEX('Sublimits and Parts'!$C$98:$C$101,MATCH($AN132,'Sublimits and Parts'!$B$98:$B$101,0)),"?")))</f>
        <v/>
      </c>
      <c r="CA132" s="97" t="str">
        <f>IF($A132="","",IF($AO132="",1,IFERROR(INDEX('Sublimits and Parts'!$C$105:$C$109,MATCH($AO132,'Sublimits and Parts'!$B$105:$B$109,0)),"?")))</f>
        <v/>
      </c>
      <c r="CB132" s="98" t="str">
        <f t="shared" si="15"/>
        <v/>
      </c>
      <c r="CC132" s="98" t="str">
        <f t="shared" si="16"/>
        <v/>
      </c>
      <c r="CD132" s="101" t="str">
        <f>IF($A132="","",IF(OR($CB132="?",$CC132="?"),"?",MIN($CB132*$CC132,'Technical Premium'!$C$17)))</f>
        <v/>
      </c>
      <c r="CE132" s="100" t="str">
        <f t="shared" si="17"/>
        <v/>
      </c>
      <c r="CF132" s="100" t="str">
        <f>IF($A132="","",IFERROR(INDEX('Territory Factors'!$F$6:$F$56,MATCH($K132,'Territory Factors'!$B$6:$B$56,0)),"?"))</f>
        <v/>
      </c>
      <c r="CG132" s="98" t="str">
        <f>IF($A132="","",IFERROR(INDEX('Usage and Coverage'!$C$79:$C$84,MATCH($Y132,'Usage and Coverage'!$B$79:$B$84,0)),"?"))</f>
        <v/>
      </c>
      <c r="CH132" s="100" t="str">
        <f>IFERROR(IF(ISNUMBER($CD132),$CF132*$CG132*MIN($BG132*$BA132*$BC132*$BD132*$BH132*$BF132,'Technical Premium'!$C$17),""),"")</f>
        <v/>
      </c>
      <c r="CI132" s="100" t="str">
        <f t="shared" si="18"/>
        <v/>
      </c>
      <c r="CJ132" s="100" t="str">
        <f>IFERROR($CI132*(1+'Technical Premium'!$C$5)*(1+'Technical Premium'!$C$6),"")</f>
        <v/>
      </c>
      <c r="CK132" s="100" t="str">
        <f>IFERROR($CE132*INDEX('Territory Factors'!$G$6:$G$56,MATCH($K132,'Territory Factors'!$B$6:$B$56,0))*$AU132*$AV132,"")</f>
        <v/>
      </c>
      <c r="CL132" s="100" t="str">
        <f>IFERROR(($CJ132+$CK132)*(1+'Technical Premium'!$C$7),"")</f>
        <v/>
      </c>
      <c r="CM132" s="102" t="str">
        <f>IFERROR($CL132/'Technical Premium'!$C$13,"")</f>
        <v/>
      </c>
      <c r="CN132" s="103" t="str">
        <f t="shared" si="19"/>
        <v/>
      </c>
      <c r="CO132" s="102" t="str">
        <f t="shared" si="20"/>
        <v/>
      </c>
      <c r="CP132" s="103" t="str">
        <f t="shared" si="21"/>
        <v/>
      </c>
      <c r="CQ132" s="104" t="str">
        <f t="shared" si="22"/>
        <v/>
      </c>
      <c r="CR132" s="100" t="str">
        <f>IF(ISNUMBER($CM132),'Technical Premium'!$C$14+IF($J132&gt;=1000000,'Technical Premium'!$C$15,0),"")</f>
        <v/>
      </c>
      <c r="CS132" s="100" t="str">
        <f>IFERROR(($CO132+$CR132)*(INDEX('Territory Factors'!$K$6:$K$56,MATCH($K132,'Territory Factors'!$B$6:$B$56,0))+'Commission Structure'!$C$21),"")</f>
        <v/>
      </c>
      <c r="CT132" s="102" t="str">
        <f t="shared" si="23"/>
        <v/>
      </c>
      <c r="CU132" s="100" t="str">
        <f>IFERROR($CO132*('Commission Structure'!$C$6+'Commission Structure'!$C$7),"")</f>
        <v/>
      </c>
      <c r="CV132" s="100" t="str">
        <f>IFERROR($CO132*'Commission Structure'!$C$5-$CU132,"")</f>
        <v/>
      </c>
      <c r="CW132" s="100" t="str">
        <f>IFERROR($CO132*(1-'Commission Structure'!$C$5),"")</f>
        <v/>
      </c>
      <c r="CX132" s="105" t="str">
        <f>IF($A132="","",IF(OR($CB132="?",$CC132="?",NOT(ISNUMBER($AU132))),"CHECK INPUTS",IF(OR($J132&lt;'Technical Premium'!$C$18,LEFT(IFERROR(INDEX('Driver Factors'!$D$6:$D$15,MATCH($R132,'Driver Factors'!$B$6:$B$15,0)),""),7)="DECLINE",LEFT(IFERROR(INDEX('Driver Factors'!$D$28:$D$36,MATCH($T132,'Driver Factors'!$B$28:$B$36,0)),""),7)="DECLINE",LEFT(IFERROR(INDEX('Claims History'!$D$6:$D$15,MATCH($U132,'Claims History'!$B$6:$B$15,0)),""),7)="DECLINE",LEFT(IFERROR(INDEX('Usage and Coverage'!$E$6:$E$20,MATCH($N132,'Usage and Coverage'!$C$6:$C$20,0)),""),7)="DECLINE"),"DECLINE",IF(OR($CD132&gt;2.5,$CD132&gt;='Technical Premium'!$C$17,$J132&gt;='Technical Premium'!$C$16,N($AQ132)&lt;'Technical Premium'!$C$19,N($AQ132)&gt;'Technical Premium'!$C$20,LEFT(IFERROR(INDEX('Driver Factors'!$D$6:$D$15,MATCH($R132,'Driver Factors'!$B$6:$B$15,0)),""),5)="Refer",LEFT(IFERROR(INDEX('Driver Factors'!$D$28:$D$36,MATCH($T132,'Driver Factors'!$B$28:$B$36,0)),""),5)="Refer",LEFT(IFERROR(INDEX('Claims History'!$D$6:$D$15,MATCH($U132,'Claims History'!$B$6:$B$15,0)),""),5)="Refer",LEFT(IFERROR(INDEX('Usage and Coverage'!$E$6:$E$20,MATCH($N132,'Usage and Coverage'!$C$6:$C$20,0)),""),5)="Refer"),"REFER","AUTO-BIND"))))</f>
        <v/>
      </c>
      <c r="CY132" s="106" t="str">
        <f t="shared" si="24"/>
        <v/>
      </c>
      <c r="CZ132" s="97" t="str">
        <f>IF($CY132="","",IF($CY132&lt;'Technical Premium'!$C$19,"BEYOND AUTHORITY",IF($CY132&gt;0.005,"Above technical",IF($CY132&lt;-0.005,"BELOW technical","At technical"))))</f>
        <v/>
      </c>
      <c r="DA132" s="97" t="str">
        <f>IF($A132="","",IF($CX132="AUTO-BIND","",TRIM(IF($J132&lt;'Technical Premium'!$C$18,"Below programme minimum agreed value. ","")&amp;IF(N($AQ132)&lt;'Technical Premium'!$C$19,"DISCOUNT AUTHORITY BREACH. ","")&amp;IF(N($AQ132)&gt;'Technical Premium'!$C$20,"Load authority breach. ","")&amp;IF($J132&gt;='Technical Premium'!$C$16,"Agreed value at or above auto-bind limit. ","")&amp;IF(AND(ISNUMBER($CD132),$CD132&gt;='Technical Premium'!$C$17),"Composite factor at cap. ","")&amp;IF(AND(ISNUMBER($CD132),$CD132&gt;2.5),"Composite factor above 2.50. ","")&amp;IF(LEFT(IFERROR(INDEX('Driver Factors'!$D$6:$D$15,MATCH($R132,'Driver Factors'!$B$6:$B$15,0)),""),7)="DECLINE","DECLINE - driver age. ",IF(LEFT(IFERROR(INDEX('Driver Factors'!$D$6:$D$15,MATCH($R132,'Driver Factors'!$B$6:$B$15,0)),""),5)="Refer","Driver age band. ",""))&amp;IF(LEFT(IFERROR(INDEX('Driver Factors'!$D$28:$D$36,MATCH($T132,'Driver Factors'!$B$28:$B$36,0)),""),7)="DECLINE","DECLINE - MVR. ",IF(LEFT(IFERROR(INDEX('Driver Factors'!$D$28:$D$36,MATCH($T132,'Driver Factors'!$B$28:$B$36,0)),""),5)="Refer","MVR record. ",""))&amp;IF(LEFT(IFERROR(INDEX('Claims History'!$D$6:$D$15,MATCH($U132,'Claims History'!$B$6:$B$15,0)),""),7)="DECLINE","DECLINE - claims. ",IF(LEFT(IFERROR(INDEX('Claims History'!$D$6:$D$15,MATCH($U132,'Claims History'!$B$6:$B$15,0)),""),5)="Refer","Claims history. ",""))&amp;IF(LEFT(IFERROR(INDEX('Usage and Coverage'!$E$6:$E$20,MATCH($N132,'Usage and Coverage'!$C$6:$C$20,0)),""),7)="DECLINE","DECLINE - usage class. ",IF(LEFT(IFERROR(INDEX('Usage and Coverage'!$E$6:$E$20,MATCH($N132,'Usage and Coverage'!$C$6:$C$20,0)),""),5)="Refer","Usage class. ",""))&amp;IF($CX132="CHECK INPUTS","Incomplete inputs. ",""))))</f>
        <v/>
      </c>
      <c r="DB132" s="92"/>
      <c r="DC132" s="92"/>
      <c r="DD132" s="93"/>
      <c r="DE132" s="92"/>
      <c r="DF132" s="92"/>
      <c r="DG132" s="97" t="str">
        <f t="shared" si="25"/>
        <v/>
      </c>
      <c r="DH132" s="97" t="str">
        <f>IF($A132="","",IF(OR($CX132="REFER",$CX132="DECLINE"),COUNTIF($CX$5:$CX132,"REFER")+COUNTIF($CX$5:$CX132,"DECLINE"),""))</f>
        <v/>
      </c>
      <c r="DI132" s="92"/>
    </row>
    <row r="133" spans="1:113" x14ac:dyDescent="0.25">
      <c r="A133" s="92"/>
      <c r="B133" s="92"/>
      <c r="C133" s="93"/>
      <c r="D133" s="93"/>
      <c r="E133" s="94"/>
      <c r="F133" s="92"/>
      <c r="G133" s="92"/>
      <c r="H133" s="92"/>
      <c r="I133" s="92"/>
      <c r="J133" s="95"/>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6"/>
      <c r="AR133" s="97" t="str">
        <f t="shared" ref="AR133:AR196" si="26">IF($A133="","",IFERROR(LEFT(TEXT(VALUE($L133),"00000"),3),"---"))</f>
        <v/>
      </c>
      <c r="AS133" s="97" t="str">
        <f>IF($A133="","",IF($AP133&lt;&gt;"",$AP133,IFERROR(INDEX('Cat Zone by ZIP'!$D$6:$D$856,MATCH($AR133,'Cat Zone by ZIP'!$B$6:$B$856,0)),IFERROR(INDEX('Cat Zone by ZIP'!$C$860:$C$910,MATCH($K133,'Cat Zone by ZIP'!$B$860:$B$910,0)),"NOT FOUND"))))</f>
        <v/>
      </c>
      <c r="AT133" s="97" t="str">
        <f>IF($A133="","",IF($AP133&lt;&gt;"","Override",IF(ISNUMBER(MATCH($AR133,'Cat Zone by ZIP'!$B$6:$B$856,0)),"ZIP-3","State default")))</f>
        <v/>
      </c>
      <c r="AU133" s="98" t="str">
        <f>IF($A133="","",IFERROR(INDEX('Natural Catastrophe'!$D$6:$D$17,MATCH($AS133,'Natural Catastrophe'!$B$6:$B$17,0)),"?"))</f>
        <v/>
      </c>
      <c r="AV133" s="98" t="str">
        <f>IF($A133="","",IFERROR(INDEX('Natural Catastrophe'!$C$21:$C$26,MATCH($AA133,'Natural Catastrophe'!$B$21:$B$26,0)),"?"))</f>
        <v/>
      </c>
      <c r="AW133" s="97" t="str">
        <f>IF($A133="","",IFERROR(INDEX('Base Rates'!$C$4:$I$4,MATCH(MAX($J133,'Technical Premium'!$C$18),'Base Rates'!$C$3:$I$3,1)),"?"))</f>
        <v/>
      </c>
      <c r="AX133" s="99" t="str">
        <f>IF($A133="","",IFERROR(INDEX('Base Rates'!$C$5:$I$16,MATCH($I133,'Base Rates'!$B$5:$B$16,0),MATCH(MAX($J133,'Technical Premium'!$C$18),'Base Rates'!$C$3:$I$3,1)),"?"))</f>
        <v/>
      </c>
      <c r="AY133" s="100" t="str">
        <f t="shared" ref="AY133:AY196" si="27">IF(ISNUMBER($AX133),$J133/100*$AX133,"")</f>
        <v/>
      </c>
      <c r="AZ133" s="97" t="str">
        <f>IF($A133="","",IFERROR(INDEX('Make Factors'!$G$5:$G$69,MATCH($F133,'Make Factors'!$B$5:$B$69,0)),"?"))</f>
        <v/>
      </c>
      <c r="BA133" s="97" t="str">
        <f>IF($A133="","",IFERROR(INDEX('Driver Factors'!$C$6:$C$15,MATCH($R133,'Driver Factors'!$B$6:$B$15,0)),"?"))</f>
        <v/>
      </c>
      <c r="BB133" s="97" t="str">
        <f>IF($A133="","",IFERROR(INDEX('Driver Factors'!$C$19:$C$24,MATCH($S133,'Driver Factors'!$B$19:$B$24,0)),"?"))</f>
        <v/>
      </c>
      <c r="BC133" s="97" t="str">
        <f>IF($A133="","",IFERROR(INDEX('Driver Factors'!$C$28:$C$36,MATCH($T133,'Driver Factors'!$B$28:$B$36,0)),"?"))</f>
        <v/>
      </c>
      <c r="BD133" s="97" t="str">
        <f>IF($A133="","",IFERROR(INDEX('Claims History'!$C$6:$C$15,MATCH($U133,'Claims History'!$B$6:$B$15,0)),"?"))</f>
        <v/>
      </c>
      <c r="BE133" s="97" t="str">
        <f>IF($A133="","",IFERROR(INDEX('Territory Factors'!$E$6:$E$56,MATCH($K133,'Territory Factors'!$B$6:$B$56,0)),"?"))</f>
        <v/>
      </c>
      <c r="BF133" s="97" t="str">
        <f>IF($A133="","",IFERROR(INDEX('City Accident Ratings'!$G$6:$G$54,MATCH($Z133,'City Accident Ratings'!$B$6:$B$54,0)),"?"))</f>
        <v/>
      </c>
      <c r="BG133" s="97" t="str">
        <f>IF($A133="","",IFERROR(INDEX('Usage and Coverage'!$D$6:$D$20,MATCH($N133,'Usage and Coverage'!$C$6:$C$20,0)),"?"))</f>
        <v/>
      </c>
      <c r="BH133" s="97" t="str">
        <f>IF($A133="","",IFERROR(INDEX('Usage and Coverage'!$C$24:$C$30,MATCH($O133,'Usage and Coverage'!$B$24:$B$30,0)),"?"))</f>
        <v/>
      </c>
      <c r="BI133" s="97" t="str">
        <f>IF($A133="","",IFERROR(INDEX('Usage and Coverage'!$C$34:$C$40,MATCH($P133,'Usage and Coverage'!$B$34:$B$40,0)),"?"))</f>
        <v/>
      </c>
      <c r="BJ133" s="97" t="str">
        <f>IF($A133="","",IFERROR(INDEX('Usage and Coverage'!$C$44:$C$49,MATCH($Q133,'Usage and Coverage'!$B$44:$B$49,0)),"?"))</f>
        <v/>
      </c>
      <c r="BK133" s="97" t="str">
        <f>IF($A133="","",IFERROR(INDEX(Deductibles!$C$6:$I$15,MATCH($W133,Deductibles!$B$6:$B$15,0),MATCH(MAX($J133,'Technical Premium'!$C$18),'Base Rates'!$C$3:$I$3,1)),"?"))</f>
        <v/>
      </c>
      <c r="BL133" s="97" t="str">
        <f>IF($A133="","",IFERROR(INDEX('Usage and Coverage'!$C$63:$C$66,MATCH($X133,'Usage and Coverage'!$B$63:$B$66,0)),"?"))</f>
        <v/>
      </c>
      <c r="BM133" s="97" t="str">
        <f>IF($A133="","",IFERROR(INDEX('Usage and Coverage'!$C$70:$C$75,MATCH($V133,'Usage and Coverage'!$B$70:$B$75,0)),"?"))</f>
        <v/>
      </c>
      <c r="BN133" s="97" t="str">
        <f>IF($A133="","",IF($AB133="",1,IFERROR(INDEX(Deductibles!$C$48:$C$51,MATCH($AB133,Deductibles!$B$48:$B$51,0)),"?")))</f>
        <v/>
      </c>
      <c r="BO133" s="97" t="str">
        <f>IF($A133="","",IF($AC133="",1,IFERROR(INDEX(Deductibles!$C$55:$C$57,MATCH($AC133,Deductibles!$B$55:$B$57,0)),"?")))</f>
        <v/>
      </c>
      <c r="BP133" s="97" t="str">
        <f>IF($A133="","",IF($AD133="",1,IFERROR(INDEX(Deductibles!$C$61:$C$63,MATCH($AD133,Deductibles!$B$61:$B$63,0)),"?")))</f>
        <v/>
      </c>
      <c r="BQ133" s="97" t="str">
        <f>IF($A133="","",IF($AE133="",1,IFERROR(INDEX(Deductibles!$C$67:$C$69,MATCH($AE133,Deductibles!$B$67:$B$69,0)),"?")))</f>
        <v/>
      </c>
      <c r="BR133" s="97" t="str">
        <f>IF($A133="","",IF($AF133="",1,IFERROR(INDEX(Deductibles!$C$73:$C$74,MATCH($AF133,Deductibles!$B$73:$B$74,0)),"?")))</f>
        <v/>
      </c>
      <c r="BS133" s="97" t="str">
        <f>IF($A133="","",IF($AG133="",1,IFERROR(INDEX('Sublimits and Parts'!$C$49:$C$52,MATCH($AG133,'Sublimits and Parts'!$B$49:$B$52,0)),"?")))</f>
        <v/>
      </c>
      <c r="BT133" s="97" t="str">
        <f>IF($A133="","",IF($AH133="",1,IFERROR(INDEX('Sublimits and Parts'!$C$56:$C$60,MATCH($AH133,'Sublimits and Parts'!$B$56:$B$60,0)),"?")))</f>
        <v/>
      </c>
      <c r="BU133" s="97" t="str">
        <f>IF($A133="","",IF($AI133="",1,IFERROR(INDEX('Sublimits and Parts'!$C$64:$C$67,MATCH($AI133,'Sublimits and Parts'!$B$64:$B$67,0)),"?")))</f>
        <v/>
      </c>
      <c r="BV133" s="97" t="str">
        <f>IF($A133="","",IF($AJ133="",1,IFERROR(INDEX('Sublimits and Parts'!$C$71:$C$74,MATCH($AJ133,'Sublimits and Parts'!$B$71:$B$74,0)),"?")))</f>
        <v/>
      </c>
      <c r="BW133" s="97" t="str">
        <f>IF($A133="","",IF($AK133="",1,IFERROR(INDEX('Sublimits and Parts'!$C$78:$C$80,MATCH($AK133,'Sublimits and Parts'!$B$78:$B$80,0)),"?")))</f>
        <v/>
      </c>
      <c r="BX133" s="97" t="str">
        <f>IF($A133="","",IF($AL133="",1,IFERROR(INDEX('Sublimits and Parts'!$C$84:$C$87,MATCH($AL133,'Sublimits and Parts'!$B$84:$B$87,0)),"?")))</f>
        <v/>
      </c>
      <c r="BY133" s="97" t="str">
        <f>IF($A133="","",IF($AM133="",1,IFERROR(INDEX('Sublimits and Parts'!$C$91:$C$94,MATCH($AM133,'Sublimits and Parts'!$B$91:$B$94,0)),"?")))</f>
        <v/>
      </c>
      <c r="BZ133" s="97" t="str">
        <f>IF($A133="","",IF($AN133="",1,IFERROR(INDEX('Sublimits and Parts'!$C$98:$C$101,MATCH($AN133,'Sublimits and Parts'!$B$98:$B$101,0)),"?")))</f>
        <v/>
      </c>
      <c r="CA133" s="97" t="str">
        <f>IF($A133="","",IF($AO133="",1,IFERROR(INDEX('Sublimits and Parts'!$C$105:$C$109,MATCH($AO133,'Sublimits and Parts'!$B$105:$B$109,0)),"?")))</f>
        <v/>
      </c>
      <c r="CB133" s="98" t="str">
        <f t="shared" ref="CB133:CB196" si="28">IF($A133="","",IF(SUMPRODUCT(--ISTEXT($AZ133:$BM133))&gt;0,"?",PRODUCT($AZ133:$BM133)))</f>
        <v/>
      </c>
      <c r="CC133" s="98" t="str">
        <f t="shared" ref="CC133:CC196" si="29">IF($A133="","",IF(SUMPRODUCT(--ISTEXT($BN133:$CA133))&gt;0,"?",PRODUCT($BN133:$CA133)))</f>
        <v/>
      </c>
      <c r="CD133" s="101" t="str">
        <f>IF($A133="","",IF(OR($CB133="?",$CC133="?"),"?",MIN($CB133*$CC133,'Technical Premium'!$C$17)))</f>
        <v/>
      </c>
      <c r="CE133" s="100" t="str">
        <f t="shared" ref="CE133:CE196" si="30">IF(ISNUMBER($CD133),$AY133*$CD133,"")</f>
        <v/>
      </c>
      <c r="CF133" s="100" t="str">
        <f>IF($A133="","",IFERROR(INDEX('Territory Factors'!$F$6:$F$56,MATCH($K133,'Territory Factors'!$B$6:$B$56,0)),"?"))</f>
        <v/>
      </c>
      <c r="CG133" s="98" t="str">
        <f>IF($A133="","",IFERROR(INDEX('Usage and Coverage'!$C$79:$C$84,MATCH($Y133,'Usage and Coverage'!$B$79:$B$84,0)),"?"))</f>
        <v/>
      </c>
      <c r="CH133" s="100" t="str">
        <f>IFERROR(IF(ISNUMBER($CD133),$CF133*$CG133*MIN($BG133*$BA133*$BC133*$BD133*$BH133*$BF133,'Technical Premium'!$C$17),""),"")</f>
        <v/>
      </c>
      <c r="CI133" s="100" t="str">
        <f t="shared" ref="CI133:CI196" si="31">IFERROR($CE133+$CH133,"")</f>
        <v/>
      </c>
      <c r="CJ133" s="100" t="str">
        <f>IFERROR($CI133*(1+'Technical Premium'!$C$5)*(1+'Technical Premium'!$C$6),"")</f>
        <v/>
      </c>
      <c r="CK133" s="100" t="str">
        <f>IFERROR($CE133*INDEX('Territory Factors'!$G$6:$G$56,MATCH($K133,'Territory Factors'!$B$6:$B$56,0))*$AU133*$AV133,"")</f>
        <v/>
      </c>
      <c r="CL133" s="100" t="str">
        <f>IFERROR(($CJ133+$CK133)*(1+'Technical Premium'!$C$7),"")</f>
        <v/>
      </c>
      <c r="CM133" s="102" t="str">
        <f>IFERROR($CL133/'Technical Premium'!$C$13,"")</f>
        <v/>
      </c>
      <c r="CN133" s="103" t="str">
        <f t="shared" ref="CN133:CN196" si="32">IFERROR($CM133/$J133*100,"")</f>
        <v/>
      </c>
      <c r="CO133" s="102" t="str">
        <f t="shared" ref="CO133:CO196" si="33">IFERROR($CM133*(1+N($AQ133)),"")</f>
        <v/>
      </c>
      <c r="CP133" s="103" t="str">
        <f t="shared" ref="CP133:CP196" si="34">IFERROR($CO133/$J133*100,"")</f>
        <v/>
      </c>
      <c r="CQ133" s="104" t="str">
        <f t="shared" ref="CQ133:CQ196" si="35">IFERROR($CP133/$CN133,"")</f>
        <v/>
      </c>
      <c r="CR133" s="100" t="str">
        <f>IF(ISNUMBER($CM133),'Technical Premium'!$C$14+IF($J133&gt;=1000000,'Technical Premium'!$C$15,0),"")</f>
        <v/>
      </c>
      <c r="CS133" s="100" t="str">
        <f>IFERROR(($CO133+$CR133)*(INDEX('Territory Factors'!$K$6:$K$56,MATCH($K133,'Territory Factors'!$B$6:$B$56,0))+'Commission Structure'!$C$21),"")</f>
        <v/>
      </c>
      <c r="CT133" s="102" t="str">
        <f t="shared" ref="CT133:CT196" si="36">IFERROR($CO133+$CR133+$CS133,"")</f>
        <v/>
      </c>
      <c r="CU133" s="100" t="str">
        <f>IFERROR($CO133*('Commission Structure'!$C$6+'Commission Structure'!$C$7),"")</f>
        <v/>
      </c>
      <c r="CV133" s="100" t="str">
        <f>IFERROR($CO133*'Commission Structure'!$C$5-$CU133,"")</f>
        <v/>
      </c>
      <c r="CW133" s="100" t="str">
        <f>IFERROR($CO133*(1-'Commission Structure'!$C$5),"")</f>
        <v/>
      </c>
      <c r="CX133" s="105" t="str">
        <f>IF($A133="","",IF(OR($CB133="?",$CC133="?",NOT(ISNUMBER($AU133))),"CHECK INPUTS",IF(OR($J133&lt;'Technical Premium'!$C$18,LEFT(IFERROR(INDEX('Driver Factors'!$D$6:$D$15,MATCH($R133,'Driver Factors'!$B$6:$B$15,0)),""),7)="DECLINE",LEFT(IFERROR(INDEX('Driver Factors'!$D$28:$D$36,MATCH($T133,'Driver Factors'!$B$28:$B$36,0)),""),7)="DECLINE",LEFT(IFERROR(INDEX('Claims History'!$D$6:$D$15,MATCH($U133,'Claims History'!$B$6:$B$15,0)),""),7)="DECLINE",LEFT(IFERROR(INDEX('Usage and Coverage'!$E$6:$E$20,MATCH($N133,'Usage and Coverage'!$C$6:$C$20,0)),""),7)="DECLINE"),"DECLINE",IF(OR($CD133&gt;2.5,$CD133&gt;='Technical Premium'!$C$17,$J133&gt;='Technical Premium'!$C$16,N($AQ133)&lt;'Technical Premium'!$C$19,N($AQ133)&gt;'Technical Premium'!$C$20,LEFT(IFERROR(INDEX('Driver Factors'!$D$6:$D$15,MATCH($R133,'Driver Factors'!$B$6:$B$15,0)),""),5)="Refer",LEFT(IFERROR(INDEX('Driver Factors'!$D$28:$D$36,MATCH($T133,'Driver Factors'!$B$28:$B$36,0)),""),5)="Refer",LEFT(IFERROR(INDEX('Claims History'!$D$6:$D$15,MATCH($U133,'Claims History'!$B$6:$B$15,0)),""),5)="Refer",LEFT(IFERROR(INDEX('Usage and Coverage'!$E$6:$E$20,MATCH($N133,'Usage and Coverage'!$C$6:$C$20,0)),""),5)="Refer"),"REFER","AUTO-BIND"))))</f>
        <v/>
      </c>
      <c r="CY133" s="106" t="str">
        <f t="shared" ref="CY133:CY196" si="37">IFERROR($CO133/$CM133-1,"")</f>
        <v/>
      </c>
      <c r="CZ133" s="97" t="str">
        <f>IF($CY133="","",IF($CY133&lt;'Technical Premium'!$C$19,"BEYOND AUTHORITY",IF($CY133&gt;0.005,"Above technical",IF($CY133&lt;-0.005,"BELOW technical","At technical"))))</f>
        <v/>
      </c>
      <c r="DA133" s="97" t="str">
        <f>IF($A133="","",IF($CX133="AUTO-BIND","",TRIM(IF($J133&lt;'Technical Premium'!$C$18,"Below programme minimum agreed value. ","")&amp;IF(N($AQ133)&lt;'Technical Premium'!$C$19,"DISCOUNT AUTHORITY BREACH. ","")&amp;IF(N($AQ133)&gt;'Technical Premium'!$C$20,"Load authority breach. ","")&amp;IF($J133&gt;='Technical Premium'!$C$16,"Agreed value at or above auto-bind limit. ","")&amp;IF(AND(ISNUMBER($CD133),$CD133&gt;='Technical Premium'!$C$17),"Composite factor at cap. ","")&amp;IF(AND(ISNUMBER($CD133),$CD133&gt;2.5),"Composite factor above 2.50. ","")&amp;IF(LEFT(IFERROR(INDEX('Driver Factors'!$D$6:$D$15,MATCH($R133,'Driver Factors'!$B$6:$B$15,0)),""),7)="DECLINE","DECLINE - driver age. ",IF(LEFT(IFERROR(INDEX('Driver Factors'!$D$6:$D$15,MATCH($R133,'Driver Factors'!$B$6:$B$15,0)),""),5)="Refer","Driver age band. ",""))&amp;IF(LEFT(IFERROR(INDEX('Driver Factors'!$D$28:$D$36,MATCH($T133,'Driver Factors'!$B$28:$B$36,0)),""),7)="DECLINE","DECLINE - MVR. ",IF(LEFT(IFERROR(INDEX('Driver Factors'!$D$28:$D$36,MATCH($T133,'Driver Factors'!$B$28:$B$36,0)),""),5)="Refer","MVR record. ",""))&amp;IF(LEFT(IFERROR(INDEX('Claims History'!$D$6:$D$15,MATCH($U133,'Claims History'!$B$6:$B$15,0)),""),7)="DECLINE","DECLINE - claims. ",IF(LEFT(IFERROR(INDEX('Claims History'!$D$6:$D$15,MATCH($U133,'Claims History'!$B$6:$B$15,0)),""),5)="Refer","Claims history. ",""))&amp;IF(LEFT(IFERROR(INDEX('Usage and Coverage'!$E$6:$E$20,MATCH($N133,'Usage and Coverage'!$C$6:$C$20,0)),""),7)="DECLINE","DECLINE - usage class. ",IF(LEFT(IFERROR(INDEX('Usage and Coverage'!$E$6:$E$20,MATCH($N133,'Usage and Coverage'!$C$6:$C$20,0)),""),5)="Refer","Usage class. ",""))&amp;IF($CX133="CHECK INPUTS","Incomplete inputs. ",""))))</f>
        <v/>
      </c>
      <c r="DB133" s="92"/>
      <c r="DC133" s="92"/>
      <c r="DD133" s="93"/>
      <c r="DE133" s="92"/>
      <c r="DF133" s="92"/>
      <c r="DG133" s="97" t="str">
        <f t="shared" ref="DG133:DG196" si="38">IF($A133="","",IF($CX133="DECLINE","NO - DECLINED",IF($CX133="CHECK INPUTS","NO - INCOMPLETE INPUTS",IF($CX133="AUTO-BIND","YES - within authority",IF(AND($DB133&lt;&gt;"",$DD133&lt;&gt;""),"YES - approved "&amp;TEXT($DD133,"dd-mmm-yy"),"NO - AWAITING APPROVAL")))))</f>
        <v/>
      </c>
      <c r="DH133" s="97" t="str">
        <f>IF($A133="","",IF(OR($CX133="REFER",$CX133="DECLINE"),COUNTIF($CX$5:$CX133,"REFER")+COUNTIF($CX$5:$CX133,"DECLINE"),""))</f>
        <v/>
      </c>
      <c r="DI133" s="92"/>
    </row>
    <row r="134" spans="1:113" x14ac:dyDescent="0.25">
      <c r="A134" s="92"/>
      <c r="B134" s="92"/>
      <c r="C134" s="93"/>
      <c r="D134" s="93"/>
      <c r="E134" s="94"/>
      <c r="F134" s="92"/>
      <c r="G134" s="92"/>
      <c r="H134" s="92"/>
      <c r="I134" s="92"/>
      <c r="J134" s="95"/>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6"/>
      <c r="AR134" s="97" t="str">
        <f t="shared" si="26"/>
        <v/>
      </c>
      <c r="AS134" s="97" t="str">
        <f>IF($A134="","",IF($AP134&lt;&gt;"",$AP134,IFERROR(INDEX('Cat Zone by ZIP'!$D$6:$D$856,MATCH($AR134,'Cat Zone by ZIP'!$B$6:$B$856,0)),IFERROR(INDEX('Cat Zone by ZIP'!$C$860:$C$910,MATCH($K134,'Cat Zone by ZIP'!$B$860:$B$910,0)),"NOT FOUND"))))</f>
        <v/>
      </c>
      <c r="AT134" s="97" t="str">
        <f>IF($A134="","",IF($AP134&lt;&gt;"","Override",IF(ISNUMBER(MATCH($AR134,'Cat Zone by ZIP'!$B$6:$B$856,0)),"ZIP-3","State default")))</f>
        <v/>
      </c>
      <c r="AU134" s="98" t="str">
        <f>IF($A134="","",IFERROR(INDEX('Natural Catastrophe'!$D$6:$D$17,MATCH($AS134,'Natural Catastrophe'!$B$6:$B$17,0)),"?"))</f>
        <v/>
      </c>
      <c r="AV134" s="98" t="str">
        <f>IF($A134="","",IFERROR(INDEX('Natural Catastrophe'!$C$21:$C$26,MATCH($AA134,'Natural Catastrophe'!$B$21:$B$26,0)),"?"))</f>
        <v/>
      </c>
      <c r="AW134" s="97" t="str">
        <f>IF($A134="","",IFERROR(INDEX('Base Rates'!$C$4:$I$4,MATCH(MAX($J134,'Technical Premium'!$C$18),'Base Rates'!$C$3:$I$3,1)),"?"))</f>
        <v/>
      </c>
      <c r="AX134" s="99" t="str">
        <f>IF($A134="","",IFERROR(INDEX('Base Rates'!$C$5:$I$16,MATCH($I134,'Base Rates'!$B$5:$B$16,0),MATCH(MAX($J134,'Technical Premium'!$C$18),'Base Rates'!$C$3:$I$3,1)),"?"))</f>
        <v/>
      </c>
      <c r="AY134" s="100" t="str">
        <f t="shared" si="27"/>
        <v/>
      </c>
      <c r="AZ134" s="97" t="str">
        <f>IF($A134="","",IFERROR(INDEX('Make Factors'!$G$5:$G$69,MATCH($F134,'Make Factors'!$B$5:$B$69,0)),"?"))</f>
        <v/>
      </c>
      <c r="BA134" s="97" t="str">
        <f>IF($A134="","",IFERROR(INDEX('Driver Factors'!$C$6:$C$15,MATCH($R134,'Driver Factors'!$B$6:$B$15,0)),"?"))</f>
        <v/>
      </c>
      <c r="BB134" s="97" t="str">
        <f>IF($A134="","",IFERROR(INDEX('Driver Factors'!$C$19:$C$24,MATCH($S134,'Driver Factors'!$B$19:$B$24,0)),"?"))</f>
        <v/>
      </c>
      <c r="BC134" s="97" t="str">
        <f>IF($A134="","",IFERROR(INDEX('Driver Factors'!$C$28:$C$36,MATCH($T134,'Driver Factors'!$B$28:$B$36,0)),"?"))</f>
        <v/>
      </c>
      <c r="BD134" s="97" t="str">
        <f>IF($A134="","",IFERROR(INDEX('Claims History'!$C$6:$C$15,MATCH($U134,'Claims History'!$B$6:$B$15,0)),"?"))</f>
        <v/>
      </c>
      <c r="BE134" s="97" t="str">
        <f>IF($A134="","",IFERROR(INDEX('Territory Factors'!$E$6:$E$56,MATCH($K134,'Territory Factors'!$B$6:$B$56,0)),"?"))</f>
        <v/>
      </c>
      <c r="BF134" s="97" t="str">
        <f>IF($A134="","",IFERROR(INDEX('City Accident Ratings'!$G$6:$G$54,MATCH($Z134,'City Accident Ratings'!$B$6:$B$54,0)),"?"))</f>
        <v/>
      </c>
      <c r="BG134" s="97" t="str">
        <f>IF($A134="","",IFERROR(INDEX('Usage and Coverage'!$D$6:$D$20,MATCH($N134,'Usage and Coverage'!$C$6:$C$20,0)),"?"))</f>
        <v/>
      </c>
      <c r="BH134" s="97" t="str">
        <f>IF($A134="","",IFERROR(INDEX('Usage and Coverage'!$C$24:$C$30,MATCH($O134,'Usage and Coverage'!$B$24:$B$30,0)),"?"))</f>
        <v/>
      </c>
      <c r="BI134" s="97" t="str">
        <f>IF($A134="","",IFERROR(INDEX('Usage and Coverage'!$C$34:$C$40,MATCH($P134,'Usage and Coverage'!$B$34:$B$40,0)),"?"))</f>
        <v/>
      </c>
      <c r="BJ134" s="97" t="str">
        <f>IF($A134="","",IFERROR(INDEX('Usage and Coverage'!$C$44:$C$49,MATCH($Q134,'Usage and Coverage'!$B$44:$B$49,0)),"?"))</f>
        <v/>
      </c>
      <c r="BK134" s="97" t="str">
        <f>IF($A134="","",IFERROR(INDEX(Deductibles!$C$6:$I$15,MATCH($W134,Deductibles!$B$6:$B$15,0),MATCH(MAX($J134,'Technical Premium'!$C$18),'Base Rates'!$C$3:$I$3,1)),"?"))</f>
        <v/>
      </c>
      <c r="BL134" s="97" t="str">
        <f>IF($A134="","",IFERROR(INDEX('Usage and Coverage'!$C$63:$C$66,MATCH($X134,'Usage and Coverage'!$B$63:$B$66,0)),"?"))</f>
        <v/>
      </c>
      <c r="BM134" s="97" t="str">
        <f>IF($A134="","",IFERROR(INDEX('Usage and Coverage'!$C$70:$C$75,MATCH($V134,'Usage and Coverage'!$B$70:$B$75,0)),"?"))</f>
        <v/>
      </c>
      <c r="BN134" s="97" t="str">
        <f>IF($A134="","",IF($AB134="",1,IFERROR(INDEX(Deductibles!$C$48:$C$51,MATCH($AB134,Deductibles!$B$48:$B$51,0)),"?")))</f>
        <v/>
      </c>
      <c r="BO134" s="97" t="str">
        <f>IF($A134="","",IF($AC134="",1,IFERROR(INDEX(Deductibles!$C$55:$C$57,MATCH($AC134,Deductibles!$B$55:$B$57,0)),"?")))</f>
        <v/>
      </c>
      <c r="BP134" s="97" t="str">
        <f>IF($A134="","",IF($AD134="",1,IFERROR(INDEX(Deductibles!$C$61:$C$63,MATCH($AD134,Deductibles!$B$61:$B$63,0)),"?")))</f>
        <v/>
      </c>
      <c r="BQ134" s="97" t="str">
        <f>IF($A134="","",IF($AE134="",1,IFERROR(INDEX(Deductibles!$C$67:$C$69,MATCH($AE134,Deductibles!$B$67:$B$69,0)),"?")))</f>
        <v/>
      </c>
      <c r="BR134" s="97" t="str">
        <f>IF($A134="","",IF($AF134="",1,IFERROR(INDEX(Deductibles!$C$73:$C$74,MATCH($AF134,Deductibles!$B$73:$B$74,0)),"?")))</f>
        <v/>
      </c>
      <c r="BS134" s="97" t="str">
        <f>IF($A134="","",IF($AG134="",1,IFERROR(INDEX('Sublimits and Parts'!$C$49:$C$52,MATCH($AG134,'Sublimits and Parts'!$B$49:$B$52,0)),"?")))</f>
        <v/>
      </c>
      <c r="BT134" s="97" t="str">
        <f>IF($A134="","",IF($AH134="",1,IFERROR(INDEX('Sublimits and Parts'!$C$56:$C$60,MATCH($AH134,'Sublimits and Parts'!$B$56:$B$60,0)),"?")))</f>
        <v/>
      </c>
      <c r="BU134" s="97" t="str">
        <f>IF($A134="","",IF($AI134="",1,IFERROR(INDEX('Sublimits and Parts'!$C$64:$C$67,MATCH($AI134,'Sublimits and Parts'!$B$64:$B$67,0)),"?")))</f>
        <v/>
      </c>
      <c r="BV134" s="97" t="str">
        <f>IF($A134="","",IF($AJ134="",1,IFERROR(INDEX('Sublimits and Parts'!$C$71:$C$74,MATCH($AJ134,'Sublimits and Parts'!$B$71:$B$74,0)),"?")))</f>
        <v/>
      </c>
      <c r="BW134" s="97" t="str">
        <f>IF($A134="","",IF($AK134="",1,IFERROR(INDEX('Sublimits and Parts'!$C$78:$C$80,MATCH($AK134,'Sublimits and Parts'!$B$78:$B$80,0)),"?")))</f>
        <v/>
      </c>
      <c r="BX134" s="97" t="str">
        <f>IF($A134="","",IF($AL134="",1,IFERROR(INDEX('Sublimits and Parts'!$C$84:$C$87,MATCH($AL134,'Sublimits and Parts'!$B$84:$B$87,0)),"?")))</f>
        <v/>
      </c>
      <c r="BY134" s="97" t="str">
        <f>IF($A134="","",IF($AM134="",1,IFERROR(INDEX('Sublimits and Parts'!$C$91:$C$94,MATCH($AM134,'Sublimits and Parts'!$B$91:$B$94,0)),"?")))</f>
        <v/>
      </c>
      <c r="BZ134" s="97" t="str">
        <f>IF($A134="","",IF($AN134="",1,IFERROR(INDEX('Sublimits and Parts'!$C$98:$C$101,MATCH($AN134,'Sublimits and Parts'!$B$98:$B$101,0)),"?")))</f>
        <v/>
      </c>
      <c r="CA134" s="97" t="str">
        <f>IF($A134="","",IF($AO134="",1,IFERROR(INDEX('Sublimits and Parts'!$C$105:$C$109,MATCH($AO134,'Sublimits and Parts'!$B$105:$B$109,0)),"?")))</f>
        <v/>
      </c>
      <c r="CB134" s="98" t="str">
        <f t="shared" si="28"/>
        <v/>
      </c>
      <c r="CC134" s="98" t="str">
        <f t="shared" si="29"/>
        <v/>
      </c>
      <c r="CD134" s="101" t="str">
        <f>IF($A134="","",IF(OR($CB134="?",$CC134="?"),"?",MIN($CB134*$CC134,'Technical Premium'!$C$17)))</f>
        <v/>
      </c>
      <c r="CE134" s="100" t="str">
        <f t="shared" si="30"/>
        <v/>
      </c>
      <c r="CF134" s="100" t="str">
        <f>IF($A134="","",IFERROR(INDEX('Territory Factors'!$F$6:$F$56,MATCH($K134,'Territory Factors'!$B$6:$B$56,0)),"?"))</f>
        <v/>
      </c>
      <c r="CG134" s="98" t="str">
        <f>IF($A134="","",IFERROR(INDEX('Usage and Coverage'!$C$79:$C$84,MATCH($Y134,'Usage and Coverage'!$B$79:$B$84,0)),"?"))</f>
        <v/>
      </c>
      <c r="CH134" s="100" t="str">
        <f>IFERROR(IF(ISNUMBER($CD134),$CF134*$CG134*MIN($BG134*$BA134*$BC134*$BD134*$BH134*$BF134,'Technical Premium'!$C$17),""),"")</f>
        <v/>
      </c>
      <c r="CI134" s="100" t="str">
        <f t="shared" si="31"/>
        <v/>
      </c>
      <c r="CJ134" s="100" t="str">
        <f>IFERROR($CI134*(1+'Technical Premium'!$C$5)*(1+'Technical Premium'!$C$6),"")</f>
        <v/>
      </c>
      <c r="CK134" s="100" t="str">
        <f>IFERROR($CE134*INDEX('Territory Factors'!$G$6:$G$56,MATCH($K134,'Territory Factors'!$B$6:$B$56,0))*$AU134*$AV134,"")</f>
        <v/>
      </c>
      <c r="CL134" s="100" t="str">
        <f>IFERROR(($CJ134+$CK134)*(1+'Technical Premium'!$C$7),"")</f>
        <v/>
      </c>
      <c r="CM134" s="102" t="str">
        <f>IFERROR($CL134/'Technical Premium'!$C$13,"")</f>
        <v/>
      </c>
      <c r="CN134" s="103" t="str">
        <f t="shared" si="32"/>
        <v/>
      </c>
      <c r="CO134" s="102" t="str">
        <f t="shared" si="33"/>
        <v/>
      </c>
      <c r="CP134" s="103" t="str">
        <f t="shared" si="34"/>
        <v/>
      </c>
      <c r="CQ134" s="104" t="str">
        <f t="shared" si="35"/>
        <v/>
      </c>
      <c r="CR134" s="100" t="str">
        <f>IF(ISNUMBER($CM134),'Technical Premium'!$C$14+IF($J134&gt;=1000000,'Technical Premium'!$C$15,0),"")</f>
        <v/>
      </c>
      <c r="CS134" s="100" t="str">
        <f>IFERROR(($CO134+$CR134)*(INDEX('Territory Factors'!$K$6:$K$56,MATCH($K134,'Territory Factors'!$B$6:$B$56,0))+'Commission Structure'!$C$21),"")</f>
        <v/>
      </c>
      <c r="CT134" s="102" t="str">
        <f t="shared" si="36"/>
        <v/>
      </c>
      <c r="CU134" s="100" t="str">
        <f>IFERROR($CO134*('Commission Structure'!$C$6+'Commission Structure'!$C$7),"")</f>
        <v/>
      </c>
      <c r="CV134" s="100" t="str">
        <f>IFERROR($CO134*'Commission Structure'!$C$5-$CU134,"")</f>
        <v/>
      </c>
      <c r="CW134" s="100" t="str">
        <f>IFERROR($CO134*(1-'Commission Structure'!$C$5),"")</f>
        <v/>
      </c>
      <c r="CX134" s="105" t="str">
        <f>IF($A134="","",IF(OR($CB134="?",$CC134="?",NOT(ISNUMBER($AU134))),"CHECK INPUTS",IF(OR($J134&lt;'Technical Premium'!$C$18,LEFT(IFERROR(INDEX('Driver Factors'!$D$6:$D$15,MATCH($R134,'Driver Factors'!$B$6:$B$15,0)),""),7)="DECLINE",LEFT(IFERROR(INDEX('Driver Factors'!$D$28:$D$36,MATCH($T134,'Driver Factors'!$B$28:$B$36,0)),""),7)="DECLINE",LEFT(IFERROR(INDEX('Claims History'!$D$6:$D$15,MATCH($U134,'Claims History'!$B$6:$B$15,0)),""),7)="DECLINE",LEFT(IFERROR(INDEX('Usage and Coverage'!$E$6:$E$20,MATCH($N134,'Usage and Coverage'!$C$6:$C$20,0)),""),7)="DECLINE"),"DECLINE",IF(OR($CD134&gt;2.5,$CD134&gt;='Technical Premium'!$C$17,$J134&gt;='Technical Premium'!$C$16,N($AQ134)&lt;'Technical Premium'!$C$19,N($AQ134)&gt;'Technical Premium'!$C$20,LEFT(IFERROR(INDEX('Driver Factors'!$D$6:$D$15,MATCH($R134,'Driver Factors'!$B$6:$B$15,0)),""),5)="Refer",LEFT(IFERROR(INDEX('Driver Factors'!$D$28:$D$36,MATCH($T134,'Driver Factors'!$B$28:$B$36,0)),""),5)="Refer",LEFT(IFERROR(INDEX('Claims History'!$D$6:$D$15,MATCH($U134,'Claims History'!$B$6:$B$15,0)),""),5)="Refer",LEFT(IFERROR(INDEX('Usage and Coverage'!$E$6:$E$20,MATCH($N134,'Usage and Coverage'!$C$6:$C$20,0)),""),5)="Refer"),"REFER","AUTO-BIND"))))</f>
        <v/>
      </c>
      <c r="CY134" s="106" t="str">
        <f t="shared" si="37"/>
        <v/>
      </c>
      <c r="CZ134" s="97" t="str">
        <f>IF($CY134="","",IF($CY134&lt;'Technical Premium'!$C$19,"BEYOND AUTHORITY",IF($CY134&gt;0.005,"Above technical",IF($CY134&lt;-0.005,"BELOW technical","At technical"))))</f>
        <v/>
      </c>
      <c r="DA134" s="97" t="str">
        <f>IF($A134="","",IF($CX134="AUTO-BIND","",TRIM(IF($J134&lt;'Technical Premium'!$C$18,"Below programme minimum agreed value. ","")&amp;IF(N($AQ134)&lt;'Technical Premium'!$C$19,"DISCOUNT AUTHORITY BREACH. ","")&amp;IF(N($AQ134)&gt;'Technical Premium'!$C$20,"Load authority breach. ","")&amp;IF($J134&gt;='Technical Premium'!$C$16,"Agreed value at or above auto-bind limit. ","")&amp;IF(AND(ISNUMBER($CD134),$CD134&gt;='Technical Premium'!$C$17),"Composite factor at cap. ","")&amp;IF(AND(ISNUMBER($CD134),$CD134&gt;2.5),"Composite factor above 2.50. ","")&amp;IF(LEFT(IFERROR(INDEX('Driver Factors'!$D$6:$D$15,MATCH($R134,'Driver Factors'!$B$6:$B$15,0)),""),7)="DECLINE","DECLINE - driver age. ",IF(LEFT(IFERROR(INDEX('Driver Factors'!$D$6:$D$15,MATCH($R134,'Driver Factors'!$B$6:$B$15,0)),""),5)="Refer","Driver age band. ",""))&amp;IF(LEFT(IFERROR(INDEX('Driver Factors'!$D$28:$D$36,MATCH($T134,'Driver Factors'!$B$28:$B$36,0)),""),7)="DECLINE","DECLINE - MVR. ",IF(LEFT(IFERROR(INDEX('Driver Factors'!$D$28:$D$36,MATCH($T134,'Driver Factors'!$B$28:$B$36,0)),""),5)="Refer","MVR record. ",""))&amp;IF(LEFT(IFERROR(INDEX('Claims History'!$D$6:$D$15,MATCH($U134,'Claims History'!$B$6:$B$15,0)),""),7)="DECLINE","DECLINE - claims. ",IF(LEFT(IFERROR(INDEX('Claims History'!$D$6:$D$15,MATCH($U134,'Claims History'!$B$6:$B$15,0)),""),5)="Refer","Claims history. ",""))&amp;IF(LEFT(IFERROR(INDEX('Usage and Coverage'!$E$6:$E$20,MATCH($N134,'Usage and Coverage'!$C$6:$C$20,0)),""),7)="DECLINE","DECLINE - usage class. ",IF(LEFT(IFERROR(INDEX('Usage and Coverage'!$E$6:$E$20,MATCH($N134,'Usage and Coverage'!$C$6:$C$20,0)),""),5)="Refer","Usage class. ",""))&amp;IF($CX134="CHECK INPUTS","Incomplete inputs. ",""))))</f>
        <v/>
      </c>
      <c r="DB134" s="92"/>
      <c r="DC134" s="92"/>
      <c r="DD134" s="93"/>
      <c r="DE134" s="92"/>
      <c r="DF134" s="92"/>
      <c r="DG134" s="97" t="str">
        <f t="shared" si="38"/>
        <v/>
      </c>
      <c r="DH134" s="97" t="str">
        <f>IF($A134="","",IF(OR($CX134="REFER",$CX134="DECLINE"),COUNTIF($CX$5:$CX134,"REFER")+COUNTIF($CX$5:$CX134,"DECLINE"),""))</f>
        <v/>
      </c>
      <c r="DI134" s="92"/>
    </row>
    <row r="135" spans="1:113" x14ac:dyDescent="0.25">
      <c r="A135" s="92"/>
      <c r="B135" s="92"/>
      <c r="C135" s="93"/>
      <c r="D135" s="93"/>
      <c r="E135" s="94"/>
      <c r="F135" s="92"/>
      <c r="G135" s="92"/>
      <c r="H135" s="92"/>
      <c r="I135" s="92"/>
      <c r="J135" s="95"/>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6"/>
      <c r="AR135" s="97" t="str">
        <f t="shared" si="26"/>
        <v/>
      </c>
      <c r="AS135" s="97" t="str">
        <f>IF($A135="","",IF($AP135&lt;&gt;"",$AP135,IFERROR(INDEX('Cat Zone by ZIP'!$D$6:$D$856,MATCH($AR135,'Cat Zone by ZIP'!$B$6:$B$856,0)),IFERROR(INDEX('Cat Zone by ZIP'!$C$860:$C$910,MATCH($K135,'Cat Zone by ZIP'!$B$860:$B$910,0)),"NOT FOUND"))))</f>
        <v/>
      </c>
      <c r="AT135" s="97" t="str">
        <f>IF($A135="","",IF($AP135&lt;&gt;"","Override",IF(ISNUMBER(MATCH($AR135,'Cat Zone by ZIP'!$B$6:$B$856,0)),"ZIP-3","State default")))</f>
        <v/>
      </c>
      <c r="AU135" s="98" t="str">
        <f>IF($A135="","",IFERROR(INDEX('Natural Catastrophe'!$D$6:$D$17,MATCH($AS135,'Natural Catastrophe'!$B$6:$B$17,0)),"?"))</f>
        <v/>
      </c>
      <c r="AV135" s="98" t="str">
        <f>IF($A135="","",IFERROR(INDEX('Natural Catastrophe'!$C$21:$C$26,MATCH($AA135,'Natural Catastrophe'!$B$21:$B$26,0)),"?"))</f>
        <v/>
      </c>
      <c r="AW135" s="97" t="str">
        <f>IF($A135="","",IFERROR(INDEX('Base Rates'!$C$4:$I$4,MATCH(MAX($J135,'Technical Premium'!$C$18),'Base Rates'!$C$3:$I$3,1)),"?"))</f>
        <v/>
      </c>
      <c r="AX135" s="99" t="str">
        <f>IF($A135="","",IFERROR(INDEX('Base Rates'!$C$5:$I$16,MATCH($I135,'Base Rates'!$B$5:$B$16,0),MATCH(MAX($J135,'Technical Premium'!$C$18),'Base Rates'!$C$3:$I$3,1)),"?"))</f>
        <v/>
      </c>
      <c r="AY135" s="100" t="str">
        <f t="shared" si="27"/>
        <v/>
      </c>
      <c r="AZ135" s="97" t="str">
        <f>IF($A135="","",IFERROR(INDEX('Make Factors'!$G$5:$G$69,MATCH($F135,'Make Factors'!$B$5:$B$69,0)),"?"))</f>
        <v/>
      </c>
      <c r="BA135" s="97" t="str">
        <f>IF($A135="","",IFERROR(INDEX('Driver Factors'!$C$6:$C$15,MATCH($R135,'Driver Factors'!$B$6:$B$15,0)),"?"))</f>
        <v/>
      </c>
      <c r="BB135" s="97" t="str">
        <f>IF($A135="","",IFERROR(INDEX('Driver Factors'!$C$19:$C$24,MATCH($S135,'Driver Factors'!$B$19:$B$24,0)),"?"))</f>
        <v/>
      </c>
      <c r="BC135" s="97" t="str">
        <f>IF($A135="","",IFERROR(INDEX('Driver Factors'!$C$28:$C$36,MATCH($T135,'Driver Factors'!$B$28:$B$36,0)),"?"))</f>
        <v/>
      </c>
      <c r="BD135" s="97" t="str">
        <f>IF($A135="","",IFERROR(INDEX('Claims History'!$C$6:$C$15,MATCH($U135,'Claims History'!$B$6:$B$15,0)),"?"))</f>
        <v/>
      </c>
      <c r="BE135" s="97" t="str">
        <f>IF($A135="","",IFERROR(INDEX('Territory Factors'!$E$6:$E$56,MATCH($K135,'Territory Factors'!$B$6:$B$56,0)),"?"))</f>
        <v/>
      </c>
      <c r="BF135" s="97" t="str">
        <f>IF($A135="","",IFERROR(INDEX('City Accident Ratings'!$G$6:$G$54,MATCH($Z135,'City Accident Ratings'!$B$6:$B$54,0)),"?"))</f>
        <v/>
      </c>
      <c r="BG135" s="97" t="str">
        <f>IF($A135="","",IFERROR(INDEX('Usage and Coverage'!$D$6:$D$20,MATCH($N135,'Usage and Coverage'!$C$6:$C$20,0)),"?"))</f>
        <v/>
      </c>
      <c r="BH135" s="97" t="str">
        <f>IF($A135="","",IFERROR(INDEX('Usage and Coverage'!$C$24:$C$30,MATCH($O135,'Usage and Coverage'!$B$24:$B$30,0)),"?"))</f>
        <v/>
      </c>
      <c r="BI135" s="97" t="str">
        <f>IF($A135="","",IFERROR(INDEX('Usage and Coverage'!$C$34:$C$40,MATCH($P135,'Usage and Coverage'!$B$34:$B$40,0)),"?"))</f>
        <v/>
      </c>
      <c r="BJ135" s="97" t="str">
        <f>IF($A135="","",IFERROR(INDEX('Usage and Coverage'!$C$44:$C$49,MATCH($Q135,'Usage and Coverage'!$B$44:$B$49,0)),"?"))</f>
        <v/>
      </c>
      <c r="BK135" s="97" t="str">
        <f>IF($A135="","",IFERROR(INDEX(Deductibles!$C$6:$I$15,MATCH($W135,Deductibles!$B$6:$B$15,0),MATCH(MAX($J135,'Technical Premium'!$C$18),'Base Rates'!$C$3:$I$3,1)),"?"))</f>
        <v/>
      </c>
      <c r="BL135" s="97" t="str">
        <f>IF($A135="","",IFERROR(INDEX('Usage and Coverage'!$C$63:$C$66,MATCH($X135,'Usage and Coverage'!$B$63:$B$66,0)),"?"))</f>
        <v/>
      </c>
      <c r="BM135" s="97" t="str">
        <f>IF($A135="","",IFERROR(INDEX('Usage and Coverage'!$C$70:$C$75,MATCH($V135,'Usage and Coverage'!$B$70:$B$75,0)),"?"))</f>
        <v/>
      </c>
      <c r="BN135" s="97" t="str">
        <f>IF($A135="","",IF($AB135="",1,IFERROR(INDEX(Deductibles!$C$48:$C$51,MATCH($AB135,Deductibles!$B$48:$B$51,0)),"?")))</f>
        <v/>
      </c>
      <c r="BO135" s="97" t="str">
        <f>IF($A135="","",IF($AC135="",1,IFERROR(INDEX(Deductibles!$C$55:$C$57,MATCH($AC135,Deductibles!$B$55:$B$57,0)),"?")))</f>
        <v/>
      </c>
      <c r="BP135" s="97" t="str">
        <f>IF($A135="","",IF($AD135="",1,IFERROR(INDEX(Deductibles!$C$61:$C$63,MATCH($AD135,Deductibles!$B$61:$B$63,0)),"?")))</f>
        <v/>
      </c>
      <c r="BQ135" s="97" t="str">
        <f>IF($A135="","",IF($AE135="",1,IFERROR(INDEX(Deductibles!$C$67:$C$69,MATCH($AE135,Deductibles!$B$67:$B$69,0)),"?")))</f>
        <v/>
      </c>
      <c r="BR135" s="97" t="str">
        <f>IF($A135="","",IF($AF135="",1,IFERROR(INDEX(Deductibles!$C$73:$C$74,MATCH($AF135,Deductibles!$B$73:$B$74,0)),"?")))</f>
        <v/>
      </c>
      <c r="BS135" s="97" t="str">
        <f>IF($A135="","",IF($AG135="",1,IFERROR(INDEX('Sublimits and Parts'!$C$49:$C$52,MATCH($AG135,'Sublimits and Parts'!$B$49:$B$52,0)),"?")))</f>
        <v/>
      </c>
      <c r="BT135" s="97" t="str">
        <f>IF($A135="","",IF($AH135="",1,IFERROR(INDEX('Sublimits and Parts'!$C$56:$C$60,MATCH($AH135,'Sublimits and Parts'!$B$56:$B$60,0)),"?")))</f>
        <v/>
      </c>
      <c r="BU135" s="97" t="str">
        <f>IF($A135="","",IF($AI135="",1,IFERROR(INDEX('Sublimits and Parts'!$C$64:$C$67,MATCH($AI135,'Sublimits and Parts'!$B$64:$B$67,0)),"?")))</f>
        <v/>
      </c>
      <c r="BV135" s="97" t="str">
        <f>IF($A135="","",IF($AJ135="",1,IFERROR(INDEX('Sublimits and Parts'!$C$71:$C$74,MATCH($AJ135,'Sublimits and Parts'!$B$71:$B$74,0)),"?")))</f>
        <v/>
      </c>
      <c r="BW135" s="97" t="str">
        <f>IF($A135="","",IF($AK135="",1,IFERROR(INDEX('Sublimits and Parts'!$C$78:$C$80,MATCH($AK135,'Sublimits and Parts'!$B$78:$B$80,0)),"?")))</f>
        <v/>
      </c>
      <c r="BX135" s="97" t="str">
        <f>IF($A135="","",IF($AL135="",1,IFERROR(INDEX('Sublimits and Parts'!$C$84:$C$87,MATCH($AL135,'Sublimits and Parts'!$B$84:$B$87,0)),"?")))</f>
        <v/>
      </c>
      <c r="BY135" s="97" t="str">
        <f>IF($A135="","",IF($AM135="",1,IFERROR(INDEX('Sublimits and Parts'!$C$91:$C$94,MATCH($AM135,'Sublimits and Parts'!$B$91:$B$94,0)),"?")))</f>
        <v/>
      </c>
      <c r="BZ135" s="97" t="str">
        <f>IF($A135="","",IF($AN135="",1,IFERROR(INDEX('Sublimits and Parts'!$C$98:$C$101,MATCH($AN135,'Sublimits and Parts'!$B$98:$B$101,0)),"?")))</f>
        <v/>
      </c>
      <c r="CA135" s="97" t="str">
        <f>IF($A135="","",IF($AO135="",1,IFERROR(INDEX('Sublimits and Parts'!$C$105:$C$109,MATCH($AO135,'Sublimits and Parts'!$B$105:$B$109,0)),"?")))</f>
        <v/>
      </c>
      <c r="CB135" s="98" t="str">
        <f t="shared" si="28"/>
        <v/>
      </c>
      <c r="CC135" s="98" t="str">
        <f t="shared" si="29"/>
        <v/>
      </c>
      <c r="CD135" s="101" t="str">
        <f>IF($A135="","",IF(OR($CB135="?",$CC135="?"),"?",MIN($CB135*$CC135,'Technical Premium'!$C$17)))</f>
        <v/>
      </c>
      <c r="CE135" s="100" t="str">
        <f t="shared" si="30"/>
        <v/>
      </c>
      <c r="CF135" s="100" t="str">
        <f>IF($A135="","",IFERROR(INDEX('Territory Factors'!$F$6:$F$56,MATCH($K135,'Territory Factors'!$B$6:$B$56,0)),"?"))</f>
        <v/>
      </c>
      <c r="CG135" s="98" t="str">
        <f>IF($A135="","",IFERROR(INDEX('Usage and Coverage'!$C$79:$C$84,MATCH($Y135,'Usage and Coverage'!$B$79:$B$84,0)),"?"))</f>
        <v/>
      </c>
      <c r="CH135" s="100" t="str">
        <f>IFERROR(IF(ISNUMBER($CD135),$CF135*$CG135*MIN($BG135*$BA135*$BC135*$BD135*$BH135*$BF135,'Technical Premium'!$C$17),""),"")</f>
        <v/>
      </c>
      <c r="CI135" s="100" t="str">
        <f t="shared" si="31"/>
        <v/>
      </c>
      <c r="CJ135" s="100" t="str">
        <f>IFERROR($CI135*(1+'Technical Premium'!$C$5)*(1+'Technical Premium'!$C$6),"")</f>
        <v/>
      </c>
      <c r="CK135" s="100" t="str">
        <f>IFERROR($CE135*INDEX('Territory Factors'!$G$6:$G$56,MATCH($K135,'Territory Factors'!$B$6:$B$56,0))*$AU135*$AV135,"")</f>
        <v/>
      </c>
      <c r="CL135" s="100" t="str">
        <f>IFERROR(($CJ135+$CK135)*(1+'Technical Premium'!$C$7),"")</f>
        <v/>
      </c>
      <c r="CM135" s="102" t="str">
        <f>IFERROR($CL135/'Technical Premium'!$C$13,"")</f>
        <v/>
      </c>
      <c r="CN135" s="103" t="str">
        <f t="shared" si="32"/>
        <v/>
      </c>
      <c r="CO135" s="102" t="str">
        <f t="shared" si="33"/>
        <v/>
      </c>
      <c r="CP135" s="103" t="str">
        <f t="shared" si="34"/>
        <v/>
      </c>
      <c r="CQ135" s="104" t="str">
        <f t="shared" si="35"/>
        <v/>
      </c>
      <c r="CR135" s="100" t="str">
        <f>IF(ISNUMBER($CM135),'Technical Premium'!$C$14+IF($J135&gt;=1000000,'Technical Premium'!$C$15,0),"")</f>
        <v/>
      </c>
      <c r="CS135" s="100" t="str">
        <f>IFERROR(($CO135+$CR135)*(INDEX('Territory Factors'!$K$6:$K$56,MATCH($K135,'Territory Factors'!$B$6:$B$56,0))+'Commission Structure'!$C$21),"")</f>
        <v/>
      </c>
      <c r="CT135" s="102" t="str">
        <f t="shared" si="36"/>
        <v/>
      </c>
      <c r="CU135" s="100" t="str">
        <f>IFERROR($CO135*('Commission Structure'!$C$6+'Commission Structure'!$C$7),"")</f>
        <v/>
      </c>
      <c r="CV135" s="100" t="str">
        <f>IFERROR($CO135*'Commission Structure'!$C$5-$CU135,"")</f>
        <v/>
      </c>
      <c r="CW135" s="100" t="str">
        <f>IFERROR($CO135*(1-'Commission Structure'!$C$5),"")</f>
        <v/>
      </c>
      <c r="CX135" s="105" t="str">
        <f>IF($A135="","",IF(OR($CB135="?",$CC135="?",NOT(ISNUMBER($AU135))),"CHECK INPUTS",IF(OR($J135&lt;'Technical Premium'!$C$18,LEFT(IFERROR(INDEX('Driver Factors'!$D$6:$D$15,MATCH($R135,'Driver Factors'!$B$6:$B$15,0)),""),7)="DECLINE",LEFT(IFERROR(INDEX('Driver Factors'!$D$28:$D$36,MATCH($T135,'Driver Factors'!$B$28:$B$36,0)),""),7)="DECLINE",LEFT(IFERROR(INDEX('Claims History'!$D$6:$D$15,MATCH($U135,'Claims History'!$B$6:$B$15,0)),""),7)="DECLINE",LEFT(IFERROR(INDEX('Usage and Coverage'!$E$6:$E$20,MATCH($N135,'Usage and Coverage'!$C$6:$C$20,0)),""),7)="DECLINE"),"DECLINE",IF(OR($CD135&gt;2.5,$CD135&gt;='Technical Premium'!$C$17,$J135&gt;='Technical Premium'!$C$16,N($AQ135)&lt;'Technical Premium'!$C$19,N($AQ135)&gt;'Technical Premium'!$C$20,LEFT(IFERROR(INDEX('Driver Factors'!$D$6:$D$15,MATCH($R135,'Driver Factors'!$B$6:$B$15,0)),""),5)="Refer",LEFT(IFERROR(INDEX('Driver Factors'!$D$28:$D$36,MATCH($T135,'Driver Factors'!$B$28:$B$36,0)),""),5)="Refer",LEFT(IFERROR(INDEX('Claims History'!$D$6:$D$15,MATCH($U135,'Claims History'!$B$6:$B$15,0)),""),5)="Refer",LEFT(IFERROR(INDEX('Usage and Coverage'!$E$6:$E$20,MATCH($N135,'Usage and Coverage'!$C$6:$C$20,0)),""),5)="Refer"),"REFER","AUTO-BIND"))))</f>
        <v/>
      </c>
      <c r="CY135" s="106" t="str">
        <f t="shared" si="37"/>
        <v/>
      </c>
      <c r="CZ135" s="97" t="str">
        <f>IF($CY135="","",IF($CY135&lt;'Technical Premium'!$C$19,"BEYOND AUTHORITY",IF($CY135&gt;0.005,"Above technical",IF($CY135&lt;-0.005,"BELOW technical","At technical"))))</f>
        <v/>
      </c>
      <c r="DA135" s="97" t="str">
        <f>IF($A135="","",IF($CX135="AUTO-BIND","",TRIM(IF($J135&lt;'Technical Premium'!$C$18,"Below programme minimum agreed value. ","")&amp;IF(N($AQ135)&lt;'Technical Premium'!$C$19,"DISCOUNT AUTHORITY BREACH. ","")&amp;IF(N($AQ135)&gt;'Technical Premium'!$C$20,"Load authority breach. ","")&amp;IF($J135&gt;='Technical Premium'!$C$16,"Agreed value at or above auto-bind limit. ","")&amp;IF(AND(ISNUMBER($CD135),$CD135&gt;='Technical Premium'!$C$17),"Composite factor at cap. ","")&amp;IF(AND(ISNUMBER($CD135),$CD135&gt;2.5),"Composite factor above 2.50. ","")&amp;IF(LEFT(IFERROR(INDEX('Driver Factors'!$D$6:$D$15,MATCH($R135,'Driver Factors'!$B$6:$B$15,0)),""),7)="DECLINE","DECLINE - driver age. ",IF(LEFT(IFERROR(INDEX('Driver Factors'!$D$6:$D$15,MATCH($R135,'Driver Factors'!$B$6:$B$15,0)),""),5)="Refer","Driver age band. ",""))&amp;IF(LEFT(IFERROR(INDEX('Driver Factors'!$D$28:$D$36,MATCH($T135,'Driver Factors'!$B$28:$B$36,0)),""),7)="DECLINE","DECLINE - MVR. ",IF(LEFT(IFERROR(INDEX('Driver Factors'!$D$28:$D$36,MATCH($T135,'Driver Factors'!$B$28:$B$36,0)),""),5)="Refer","MVR record. ",""))&amp;IF(LEFT(IFERROR(INDEX('Claims History'!$D$6:$D$15,MATCH($U135,'Claims History'!$B$6:$B$15,0)),""),7)="DECLINE","DECLINE - claims. ",IF(LEFT(IFERROR(INDEX('Claims History'!$D$6:$D$15,MATCH($U135,'Claims History'!$B$6:$B$15,0)),""),5)="Refer","Claims history. ",""))&amp;IF(LEFT(IFERROR(INDEX('Usage and Coverage'!$E$6:$E$20,MATCH($N135,'Usage and Coverage'!$C$6:$C$20,0)),""),7)="DECLINE","DECLINE - usage class. ",IF(LEFT(IFERROR(INDEX('Usage and Coverage'!$E$6:$E$20,MATCH($N135,'Usage and Coverage'!$C$6:$C$20,0)),""),5)="Refer","Usage class. ",""))&amp;IF($CX135="CHECK INPUTS","Incomplete inputs. ",""))))</f>
        <v/>
      </c>
      <c r="DB135" s="92"/>
      <c r="DC135" s="92"/>
      <c r="DD135" s="93"/>
      <c r="DE135" s="92"/>
      <c r="DF135" s="92"/>
      <c r="DG135" s="97" t="str">
        <f t="shared" si="38"/>
        <v/>
      </c>
      <c r="DH135" s="97" t="str">
        <f>IF($A135="","",IF(OR($CX135="REFER",$CX135="DECLINE"),COUNTIF($CX$5:$CX135,"REFER")+COUNTIF($CX$5:$CX135,"DECLINE"),""))</f>
        <v/>
      </c>
      <c r="DI135" s="92"/>
    </row>
    <row r="136" spans="1:113" x14ac:dyDescent="0.25">
      <c r="A136" s="92"/>
      <c r="B136" s="92"/>
      <c r="C136" s="93"/>
      <c r="D136" s="93"/>
      <c r="E136" s="94"/>
      <c r="F136" s="92"/>
      <c r="G136" s="92"/>
      <c r="H136" s="92"/>
      <c r="I136" s="92"/>
      <c r="J136" s="95"/>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6"/>
      <c r="AR136" s="97" t="str">
        <f t="shared" si="26"/>
        <v/>
      </c>
      <c r="AS136" s="97" t="str">
        <f>IF($A136="","",IF($AP136&lt;&gt;"",$AP136,IFERROR(INDEX('Cat Zone by ZIP'!$D$6:$D$856,MATCH($AR136,'Cat Zone by ZIP'!$B$6:$B$856,0)),IFERROR(INDEX('Cat Zone by ZIP'!$C$860:$C$910,MATCH($K136,'Cat Zone by ZIP'!$B$860:$B$910,0)),"NOT FOUND"))))</f>
        <v/>
      </c>
      <c r="AT136" s="97" t="str">
        <f>IF($A136="","",IF($AP136&lt;&gt;"","Override",IF(ISNUMBER(MATCH($AR136,'Cat Zone by ZIP'!$B$6:$B$856,0)),"ZIP-3","State default")))</f>
        <v/>
      </c>
      <c r="AU136" s="98" t="str">
        <f>IF($A136="","",IFERROR(INDEX('Natural Catastrophe'!$D$6:$D$17,MATCH($AS136,'Natural Catastrophe'!$B$6:$B$17,0)),"?"))</f>
        <v/>
      </c>
      <c r="AV136" s="98" t="str">
        <f>IF($A136="","",IFERROR(INDEX('Natural Catastrophe'!$C$21:$C$26,MATCH($AA136,'Natural Catastrophe'!$B$21:$B$26,0)),"?"))</f>
        <v/>
      </c>
      <c r="AW136" s="97" t="str">
        <f>IF($A136="","",IFERROR(INDEX('Base Rates'!$C$4:$I$4,MATCH(MAX($J136,'Technical Premium'!$C$18),'Base Rates'!$C$3:$I$3,1)),"?"))</f>
        <v/>
      </c>
      <c r="AX136" s="99" t="str">
        <f>IF($A136="","",IFERROR(INDEX('Base Rates'!$C$5:$I$16,MATCH($I136,'Base Rates'!$B$5:$B$16,0),MATCH(MAX($J136,'Technical Premium'!$C$18),'Base Rates'!$C$3:$I$3,1)),"?"))</f>
        <v/>
      </c>
      <c r="AY136" s="100" t="str">
        <f t="shared" si="27"/>
        <v/>
      </c>
      <c r="AZ136" s="97" t="str">
        <f>IF($A136="","",IFERROR(INDEX('Make Factors'!$G$5:$G$69,MATCH($F136,'Make Factors'!$B$5:$B$69,0)),"?"))</f>
        <v/>
      </c>
      <c r="BA136" s="97" t="str">
        <f>IF($A136="","",IFERROR(INDEX('Driver Factors'!$C$6:$C$15,MATCH($R136,'Driver Factors'!$B$6:$B$15,0)),"?"))</f>
        <v/>
      </c>
      <c r="BB136" s="97" t="str">
        <f>IF($A136="","",IFERROR(INDEX('Driver Factors'!$C$19:$C$24,MATCH($S136,'Driver Factors'!$B$19:$B$24,0)),"?"))</f>
        <v/>
      </c>
      <c r="BC136" s="97" t="str">
        <f>IF($A136="","",IFERROR(INDEX('Driver Factors'!$C$28:$C$36,MATCH($T136,'Driver Factors'!$B$28:$B$36,0)),"?"))</f>
        <v/>
      </c>
      <c r="BD136" s="97" t="str">
        <f>IF($A136="","",IFERROR(INDEX('Claims History'!$C$6:$C$15,MATCH($U136,'Claims History'!$B$6:$B$15,0)),"?"))</f>
        <v/>
      </c>
      <c r="BE136" s="97" t="str">
        <f>IF($A136="","",IFERROR(INDEX('Territory Factors'!$E$6:$E$56,MATCH($K136,'Territory Factors'!$B$6:$B$56,0)),"?"))</f>
        <v/>
      </c>
      <c r="BF136" s="97" t="str">
        <f>IF($A136="","",IFERROR(INDEX('City Accident Ratings'!$G$6:$G$54,MATCH($Z136,'City Accident Ratings'!$B$6:$B$54,0)),"?"))</f>
        <v/>
      </c>
      <c r="BG136" s="97" t="str">
        <f>IF($A136="","",IFERROR(INDEX('Usage and Coverage'!$D$6:$D$20,MATCH($N136,'Usage and Coverage'!$C$6:$C$20,0)),"?"))</f>
        <v/>
      </c>
      <c r="BH136" s="97" t="str">
        <f>IF($A136="","",IFERROR(INDEX('Usage and Coverage'!$C$24:$C$30,MATCH($O136,'Usage and Coverage'!$B$24:$B$30,0)),"?"))</f>
        <v/>
      </c>
      <c r="BI136" s="97" t="str">
        <f>IF($A136="","",IFERROR(INDEX('Usage and Coverage'!$C$34:$C$40,MATCH($P136,'Usage and Coverage'!$B$34:$B$40,0)),"?"))</f>
        <v/>
      </c>
      <c r="BJ136" s="97" t="str">
        <f>IF($A136="","",IFERROR(INDEX('Usage and Coverage'!$C$44:$C$49,MATCH($Q136,'Usage and Coverage'!$B$44:$B$49,0)),"?"))</f>
        <v/>
      </c>
      <c r="BK136" s="97" t="str">
        <f>IF($A136="","",IFERROR(INDEX(Deductibles!$C$6:$I$15,MATCH($W136,Deductibles!$B$6:$B$15,0),MATCH(MAX($J136,'Technical Premium'!$C$18),'Base Rates'!$C$3:$I$3,1)),"?"))</f>
        <v/>
      </c>
      <c r="BL136" s="97" t="str">
        <f>IF($A136="","",IFERROR(INDEX('Usage and Coverage'!$C$63:$C$66,MATCH($X136,'Usage and Coverage'!$B$63:$B$66,0)),"?"))</f>
        <v/>
      </c>
      <c r="BM136" s="97" t="str">
        <f>IF($A136="","",IFERROR(INDEX('Usage and Coverage'!$C$70:$C$75,MATCH($V136,'Usage and Coverage'!$B$70:$B$75,0)),"?"))</f>
        <v/>
      </c>
      <c r="BN136" s="97" t="str">
        <f>IF($A136="","",IF($AB136="",1,IFERROR(INDEX(Deductibles!$C$48:$C$51,MATCH($AB136,Deductibles!$B$48:$B$51,0)),"?")))</f>
        <v/>
      </c>
      <c r="BO136" s="97" t="str">
        <f>IF($A136="","",IF($AC136="",1,IFERROR(INDEX(Deductibles!$C$55:$C$57,MATCH($AC136,Deductibles!$B$55:$B$57,0)),"?")))</f>
        <v/>
      </c>
      <c r="BP136" s="97" t="str">
        <f>IF($A136="","",IF($AD136="",1,IFERROR(INDEX(Deductibles!$C$61:$C$63,MATCH($AD136,Deductibles!$B$61:$B$63,0)),"?")))</f>
        <v/>
      </c>
      <c r="BQ136" s="97" t="str">
        <f>IF($A136="","",IF($AE136="",1,IFERROR(INDEX(Deductibles!$C$67:$C$69,MATCH($AE136,Deductibles!$B$67:$B$69,0)),"?")))</f>
        <v/>
      </c>
      <c r="BR136" s="97" t="str">
        <f>IF($A136="","",IF($AF136="",1,IFERROR(INDEX(Deductibles!$C$73:$C$74,MATCH($AF136,Deductibles!$B$73:$B$74,0)),"?")))</f>
        <v/>
      </c>
      <c r="BS136" s="97" t="str">
        <f>IF($A136="","",IF($AG136="",1,IFERROR(INDEX('Sublimits and Parts'!$C$49:$C$52,MATCH($AG136,'Sublimits and Parts'!$B$49:$B$52,0)),"?")))</f>
        <v/>
      </c>
      <c r="BT136" s="97" t="str">
        <f>IF($A136="","",IF($AH136="",1,IFERROR(INDEX('Sublimits and Parts'!$C$56:$C$60,MATCH($AH136,'Sublimits and Parts'!$B$56:$B$60,0)),"?")))</f>
        <v/>
      </c>
      <c r="BU136" s="97" t="str">
        <f>IF($A136="","",IF($AI136="",1,IFERROR(INDEX('Sublimits and Parts'!$C$64:$C$67,MATCH($AI136,'Sublimits and Parts'!$B$64:$B$67,0)),"?")))</f>
        <v/>
      </c>
      <c r="BV136" s="97" t="str">
        <f>IF($A136="","",IF($AJ136="",1,IFERROR(INDEX('Sublimits and Parts'!$C$71:$C$74,MATCH($AJ136,'Sublimits and Parts'!$B$71:$B$74,0)),"?")))</f>
        <v/>
      </c>
      <c r="BW136" s="97" t="str">
        <f>IF($A136="","",IF($AK136="",1,IFERROR(INDEX('Sublimits and Parts'!$C$78:$C$80,MATCH($AK136,'Sublimits and Parts'!$B$78:$B$80,0)),"?")))</f>
        <v/>
      </c>
      <c r="BX136" s="97" t="str">
        <f>IF($A136="","",IF($AL136="",1,IFERROR(INDEX('Sublimits and Parts'!$C$84:$C$87,MATCH($AL136,'Sublimits and Parts'!$B$84:$B$87,0)),"?")))</f>
        <v/>
      </c>
      <c r="BY136" s="97" t="str">
        <f>IF($A136="","",IF($AM136="",1,IFERROR(INDEX('Sublimits and Parts'!$C$91:$C$94,MATCH($AM136,'Sublimits and Parts'!$B$91:$B$94,0)),"?")))</f>
        <v/>
      </c>
      <c r="BZ136" s="97" t="str">
        <f>IF($A136="","",IF($AN136="",1,IFERROR(INDEX('Sublimits and Parts'!$C$98:$C$101,MATCH($AN136,'Sublimits and Parts'!$B$98:$B$101,0)),"?")))</f>
        <v/>
      </c>
      <c r="CA136" s="97" t="str">
        <f>IF($A136="","",IF($AO136="",1,IFERROR(INDEX('Sublimits and Parts'!$C$105:$C$109,MATCH($AO136,'Sublimits and Parts'!$B$105:$B$109,0)),"?")))</f>
        <v/>
      </c>
      <c r="CB136" s="98" t="str">
        <f t="shared" si="28"/>
        <v/>
      </c>
      <c r="CC136" s="98" t="str">
        <f t="shared" si="29"/>
        <v/>
      </c>
      <c r="CD136" s="101" t="str">
        <f>IF($A136="","",IF(OR($CB136="?",$CC136="?"),"?",MIN($CB136*$CC136,'Technical Premium'!$C$17)))</f>
        <v/>
      </c>
      <c r="CE136" s="100" t="str">
        <f t="shared" si="30"/>
        <v/>
      </c>
      <c r="CF136" s="100" t="str">
        <f>IF($A136="","",IFERROR(INDEX('Territory Factors'!$F$6:$F$56,MATCH($K136,'Territory Factors'!$B$6:$B$56,0)),"?"))</f>
        <v/>
      </c>
      <c r="CG136" s="98" t="str">
        <f>IF($A136="","",IFERROR(INDEX('Usage and Coverage'!$C$79:$C$84,MATCH($Y136,'Usage and Coverage'!$B$79:$B$84,0)),"?"))</f>
        <v/>
      </c>
      <c r="CH136" s="100" t="str">
        <f>IFERROR(IF(ISNUMBER($CD136),$CF136*$CG136*MIN($BG136*$BA136*$BC136*$BD136*$BH136*$BF136,'Technical Premium'!$C$17),""),"")</f>
        <v/>
      </c>
      <c r="CI136" s="100" t="str">
        <f t="shared" si="31"/>
        <v/>
      </c>
      <c r="CJ136" s="100" t="str">
        <f>IFERROR($CI136*(1+'Technical Premium'!$C$5)*(1+'Technical Premium'!$C$6),"")</f>
        <v/>
      </c>
      <c r="CK136" s="100" t="str">
        <f>IFERROR($CE136*INDEX('Territory Factors'!$G$6:$G$56,MATCH($K136,'Territory Factors'!$B$6:$B$56,0))*$AU136*$AV136,"")</f>
        <v/>
      </c>
      <c r="CL136" s="100" t="str">
        <f>IFERROR(($CJ136+$CK136)*(1+'Technical Premium'!$C$7),"")</f>
        <v/>
      </c>
      <c r="CM136" s="102" t="str">
        <f>IFERROR($CL136/'Technical Premium'!$C$13,"")</f>
        <v/>
      </c>
      <c r="CN136" s="103" t="str">
        <f t="shared" si="32"/>
        <v/>
      </c>
      <c r="CO136" s="102" t="str">
        <f t="shared" si="33"/>
        <v/>
      </c>
      <c r="CP136" s="103" t="str">
        <f t="shared" si="34"/>
        <v/>
      </c>
      <c r="CQ136" s="104" t="str">
        <f t="shared" si="35"/>
        <v/>
      </c>
      <c r="CR136" s="100" t="str">
        <f>IF(ISNUMBER($CM136),'Technical Premium'!$C$14+IF($J136&gt;=1000000,'Technical Premium'!$C$15,0),"")</f>
        <v/>
      </c>
      <c r="CS136" s="100" t="str">
        <f>IFERROR(($CO136+$CR136)*(INDEX('Territory Factors'!$K$6:$K$56,MATCH($K136,'Territory Factors'!$B$6:$B$56,0))+'Commission Structure'!$C$21),"")</f>
        <v/>
      </c>
      <c r="CT136" s="102" t="str">
        <f t="shared" si="36"/>
        <v/>
      </c>
      <c r="CU136" s="100" t="str">
        <f>IFERROR($CO136*('Commission Structure'!$C$6+'Commission Structure'!$C$7),"")</f>
        <v/>
      </c>
      <c r="CV136" s="100" t="str">
        <f>IFERROR($CO136*'Commission Structure'!$C$5-$CU136,"")</f>
        <v/>
      </c>
      <c r="CW136" s="100" t="str">
        <f>IFERROR($CO136*(1-'Commission Structure'!$C$5),"")</f>
        <v/>
      </c>
      <c r="CX136" s="105" t="str">
        <f>IF($A136="","",IF(OR($CB136="?",$CC136="?",NOT(ISNUMBER($AU136))),"CHECK INPUTS",IF(OR($J136&lt;'Technical Premium'!$C$18,LEFT(IFERROR(INDEX('Driver Factors'!$D$6:$D$15,MATCH($R136,'Driver Factors'!$B$6:$B$15,0)),""),7)="DECLINE",LEFT(IFERROR(INDEX('Driver Factors'!$D$28:$D$36,MATCH($T136,'Driver Factors'!$B$28:$B$36,0)),""),7)="DECLINE",LEFT(IFERROR(INDEX('Claims History'!$D$6:$D$15,MATCH($U136,'Claims History'!$B$6:$B$15,0)),""),7)="DECLINE",LEFT(IFERROR(INDEX('Usage and Coverage'!$E$6:$E$20,MATCH($N136,'Usage and Coverage'!$C$6:$C$20,0)),""),7)="DECLINE"),"DECLINE",IF(OR($CD136&gt;2.5,$CD136&gt;='Technical Premium'!$C$17,$J136&gt;='Technical Premium'!$C$16,N($AQ136)&lt;'Technical Premium'!$C$19,N($AQ136)&gt;'Technical Premium'!$C$20,LEFT(IFERROR(INDEX('Driver Factors'!$D$6:$D$15,MATCH($R136,'Driver Factors'!$B$6:$B$15,0)),""),5)="Refer",LEFT(IFERROR(INDEX('Driver Factors'!$D$28:$D$36,MATCH($T136,'Driver Factors'!$B$28:$B$36,0)),""),5)="Refer",LEFT(IFERROR(INDEX('Claims History'!$D$6:$D$15,MATCH($U136,'Claims History'!$B$6:$B$15,0)),""),5)="Refer",LEFT(IFERROR(INDEX('Usage and Coverage'!$E$6:$E$20,MATCH($N136,'Usage and Coverage'!$C$6:$C$20,0)),""),5)="Refer"),"REFER","AUTO-BIND"))))</f>
        <v/>
      </c>
      <c r="CY136" s="106" t="str">
        <f t="shared" si="37"/>
        <v/>
      </c>
      <c r="CZ136" s="97" t="str">
        <f>IF($CY136="","",IF($CY136&lt;'Technical Premium'!$C$19,"BEYOND AUTHORITY",IF($CY136&gt;0.005,"Above technical",IF($CY136&lt;-0.005,"BELOW technical","At technical"))))</f>
        <v/>
      </c>
      <c r="DA136" s="97" t="str">
        <f>IF($A136="","",IF($CX136="AUTO-BIND","",TRIM(IF($J136&lt;'Technical Premium'!$C$18,"Below programme minimum agreed value. ","")&amp;IF(N($AQ136)&lt;'Technical Premium'!$C$19,"DISCOUNT AUTHORITY BREACH. ","")&amp;IF(N($AQ136)&gt;'Technical Premium'!$C$20,"Load authority breach. ","")&amp;IF($J136&gt;='Technical Premium'!$C$16,"Agreed value at or above auto-bind limit. ","")&amp;IF(AND(ISNUMBER($CD136),$CD136&gt;='Technical Premium'!$C$17),"Composite factor at cap. ","")&amp;IF(AND(ISNUMBER($CD136),$CD136&gt;2.5),"Composite factor above 2.50. ","")&amp;IF(LEFT(IFERROR(INDEX('Driver Factors'!$D$6:$D$15,MATCH($R136,'Driver Factors'!$B$6:$B$15,0)),""),7)="DECLINE","DECLINE - driver age. ",IF(LEFT(IFERROR(INDEX('Driver Factors'!$D$6:$D$15,MATCH($R136,'Driver Factors'!$B$6:$B$15,0)),""),5)="Refer","Driver age band. ",""))&amp;IF(LEFT(IFERROR(INDEX('Driver Factors'!$D$28:$D$36,MATCH($T136,'Driver Factors'!$B$28:$B$36,0)),""),7)="DECLINE","DECLINE - MVR. ",IF(LEFT(IFERROR(INDEX('Driver Factors'!$D$28:$D$36,MATCH($T136,'Driver Factors'!$B$28:$B$36,0)),""),5)="Refer","MVR record. ",""))&amp;IF(LEFT(IFERROR(INDEX('Claims History'!$D$6:$D$15,MATCH($U136,'Claims History'!$B$6:$B$15,0)),""),7)="DECLINE","DECLINE - claims. ",IF(LEFT(IFERROR(INDEX('Claims History'!$D$6:$D$15,MATCH($U136,'Claims History'!$B$6:$B$15,0)),""),5)="Refer","Claims history. ",""))&amp;IF(LEFT(IFERROR(INDEX('Usage and Coverage'!$E$6:$E$20,MATCH($N136,'Usage and Coverage'!$C$6:$C$20,0)),""),7)="DECLINE","DECLINE - usage class. ",IF(LEFT(IFERROR(INDEX('Usage and Coverage'!$E$6:$E$20,MATCH($N136,'Usage and Coverage'!$C$6:$C$20,0)),""),5)="Refer","Usage class. ",""))&amp;IF($CX136="CHECK INPUTS","Incomplete inputs. ",""))))</f>
        <v/>
      </c>
      <c r="DB136" s="92"/>
      <c r="DC136" s="92"/>
      <c r="DD136" s="93"/>
      <c r="DE136" s="92"/>
      <c r="DF136" s="92"/>
      <c r="DG136" s="97" t="str">
        <f t="shared" si="38"/>
        <v/>
      </c>
      <c r="DH136" s="97" t="str">
        <f>IF($A136="","",IF(OR($CX136="REFER",$CX136="DECLINE"),COUNTIF($CX$5:$CX136,"REFER")+COUNTIF($CX$5:$CX136,"DECLINE"),""))</f>
        <v/>
      </c>
      <c r="DI136" s="92"/>
    </row>
    <row r="137" spans="1:113" x14ac:dyDescent="0.25">
      <c r="A137" s="92"/>
      <c r="B137" s="92"/>
      <c r="C137" s="93"/>
      <c r="D137" s="93"/>
      <c r="E137" s="94"/>
      <c r="F137" s="92"/>
      <c r="G137" s="92"/>
      <c r="H137" s="92"/>
      <c r="I137" s="92"/>
      <c r="J137" s="95"/>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6"/>
      <c r="AR137" s="97" t="str">
        <f t="shared" si="26"/>
        <v/>
      </c>
      <c r="AS137" s="97" t="str">
        <f>IF($A137="","",IF($AP137&lt;&gt;"",$AP137,IFERROR(INDEX('Cat Zone by ZIP'!$D$6:$D$856,MATCH($AR137,'Cat Zone by ZIP'!$B$6:$B$856,0)),IFERROR(INDEX('Cat Zone by ZIP'!$C$860:$C$910,MATCH($K137,'Cat Zone by ZIP'!$B$860:$B$910,0)),"NOT FOUND"))))</f>
        <v/>
      </c>
      <c r="AT137" s="97" t="str">
        <f>IF($A137="","",IF($AP137&lt;&gt;"","Override",IF(ISNUMBER(MATCH($AR137,'Cat Zone by ZIP'!$B$6:$B$856,0)),"ZIP-3","State default")))</f>
        <v/>
      </c>
      <c r="AU137" s="98" t="str">
        <f>IF($A137="","",IFERROR(INDEX('Natural Catastrophe'!$D$6:$D$17,MATCH($AS137,'Natural Catastrophe'!$B$6:$B$17,0)),"?"))</f>
        <v/>
      </c>
      <c r="AV137" s="98" t="str">
        <f>IF($A137="","",IFERROR(INDEX('Natural Catastrophe'!$C$21:$C$26,MATCH($AA137,'Natural Catastrophe'!$B$21:$B$26,0)),"?"))</f>
        <v/>
      </c>
      <c r="AW137" s="97" t="str">
        <f>IF($A137="","",IFERROR(INDEX('Base Rates'!$C$4:$I$4,MATCH(MAX($J137,'Technical Premium'!$C$18),'Base Rates'!$C$3:$I$3,1)),"?"))</f>
        <v/>
      </c>
      <c r="AX137" s="99" t="str">
        <f>IF($A137="","",IFERROR(INDEX('Base Rates'!$C$5:$I$16,MATCH($I137,'Base Rates'!$B$5:$B$16,0),MATCH(MAX($J137,'Technical Premium'!$C$18),'Base Rates'!$C$3:$I$3,1)),"?"))</f>
        <v/>
      </c>
      <c r="AY137" s="100" t="str">
        <f t="shared" si="27"/>
        <v/>
      </c>
      <c r="AZ137" s="97" t="str">
        <f>IF($A137="","",IFERROR(INDEX('Make Factors'!$G$5:$G$69,MATCH($F137,'Make Factors'!$B$5:$B$69,0)),"?"))</f>
        <v/>
      </c>
      <c r="BA137" s="97" t="str">
        <f>IF($A137="","",IFERROR(INDEX('Driver Factors'!$C$6:$C$15,MATCH($R137,'Driver Factors'!$B$6:$B$15,0)),"?"))</f>
        <v/>
      </c>
      <c r="BB137" s="97" t="str">
        <f>IF($A137="","",IFERROR(INDEX('Driver Factors'!$C$19:$C$24,MATCH($S137,'Driver Factors'!$B$19:$B$24,0)),"?"))</f>
        <v/>
      </c>
      <c r="BC137" s="97" t="str">
        <f>IF($A137="","",IFERROR(INDEX('Driver Factors'!$C$28:$C$36,MATCH($T137,'Driver Factors'!$B$28:$B$36,0)),"?"))</f>
        <v/>
      </c>
      <c r="BD137" s="97" t="str">
        <f>IF($A137="","",IFERROR(INDEX('Claims History'!$C$6:$C$15,MATCH($U137,'Claims History'!$B$6:$B$15,0)),"?"))</f>
        <v/>
      </c>
      <c r="BE137" s="97" t="str">
        <f>IF($A137="","",IFERROR(INDEX('Territory Factors'!$E$6:$E$56,MATCH($K137,'Territory Factors'!$B$6:$B$56,0)),"?"))</f>
        <v/>
      </c>
      <c r="BF137" s="97" t="str">
        <f>IF($A137="","",IFERROR(INDEX('City Accident Ratings'!$G$6:$G$54,MATCH($Z137,'City Accident Ratings'!$B$6:$B$54,0)),"?"))</f>
        <v/>
      </c>
      <c r="BG137" s="97" t="str">
        <f>IF($A137="","",IFERROR(INDEX('Usage and Coverage'!$D$6:$D$20,MATCH($N137,'Usage and Coverage'!$C$6:$C$20,0)),"?"))</f>
        <v/>
      </c>
      <c r="BH137" s="97" t="str">
        <f>IF($A137="","",IFERROR(INDEX('Usage and Coverage'!$C$24:$C$30,MATCH($O137,'Usage and Coverage'!$B$24:$B$30,0)),"?"))</f>
        <v/>
      </c>
      <c r="BI137" s="97" t="str">
        <f>IF($A137="","",IFERROR(INDEX('Usage and Coverage'!$C$34:$C$40,MATCH($P137,'Usage and Coverage'!$B$34:$B$40,0)),"?"))</f>
        <v/>
      </c>
      <c r="BJ137" s="97" t="str">
        <f>IF($A137="","",IFERROR(INDEX('Usage and Coverage'!$C$44:$C$49,MATCH($Q137,'Usage and Coverage'!$B$44:$B$49,0)),"?"))</f>
        <v/>
      </c>
      <c r="BK137" s="97" t="str">
        <f>IF($A137="","",IFERROR(INDEX(Deductibles!$C$6:$I$15,MATCH($W137,Deductibles!$B$6:$B$15,0),MATCH(MAX($J137,'Technical Premium'!$C$18),'Base Rates'!$C$3:$I$3,1)),"?"))</f>
        <v/>
      </c>
      <c r="BL137" s="97" t="str">
        <f>IF($A137="","",IFERROR(INDEX('Usage and Coverage'!$C$63:$C$66,MATCH($X137,'Usage and Coverage'!$B$63:$B$66,0)),"?"))</f>
        <v/>
      </c>
      <c r="BM137" s="97" t="str">
        <f>IF($A137="","",IFERROR(INDEX('Usage and Coverage'!$C$70:$C$75,MATCH($V137,'Usage and Coverage'!$B$70:$B$75,0)),"?"))</f>
        <v/>
      </c>
      <c r="BN137" s="97" t="str">
        <f>IF($A137="","",IF($AB137="",1,IFERROR(INDEX(Deductibles!$C$48:$C$51,MATCH($AB137,Deductibles!$B$48:$B$51,0)),"?")))</f>
        <v/>
      </c>
      <c r="BO137" s="97" t="str">
        <f>IF($A137="","",IF($AC137="",1,IFERROR(INDEX(Deductibles!$C$55:$C$57,MATCH($AC137,Deductibles!$B$55:$B$57,0)),"?")))</f>
        <v/>
      </c>
      <c r="BP137" s="97" t="str">
        <f>IF($A137="","",IF($AD137="",1,IFERROR(INDEX(Deductibles!$C$61:$C$63,MATCH($AD137,Deductibles!$B$61:$B$63,0)),"?")))</f>
        <v/>
      </c>
      <c r="BQ137" s="97" t="str">
        <f>IF($A137="","",IF($AE137="",1,IFERROR(INDEX(Deductibles!$C$67:$C$69,MATCH($AE137,Deductibles!$B$67:$B$69,0)),"?")))</f>
        <v/>
      </c>
      <c r="BR137" s="97" t="str">
        <f>IF($A137="","",IF($AF137="",1,IFERROR(INDEX(Deductibles!$C$73:$C$74,MATCH($AF137,Deductibles!$B$73:$B$74,0)),"?")))</f>
        <v/>
      </c>
      <c r="BS137" s="97" t="str">
        <f>IF($A137="","",IF($AG137="",1,IFERROR(INDEX('Sublimits and Parts'!$C$49:$C$52,MATCH($AG137,'Sublimits and Parts'!$B$49:$B$52,0)),"?")))</f>
        <v/>
      </c>
      <c r="BT137" s="97" t="str">
        <f>IF($A137="","",IF($AH137="",1,IFERROR(INDEX('Sublimits and Parts'!$C$56:$C$60,MATCH($AH137,'Sublimits and Parts'!$B$56:$B$60,0)),"?")))</f>
        <v/>
      </c>
      <c r="BU137" s="97" t="str">
        <f>IF($A137="","",IF($AI137="",1,IFERROR(INDEX('Sublimits and Parts'!$C$64:$C$67,MATCH($AI137,'Sublimits and Parts'!$B$64:$B$67,0)),"?")))</f>
        <v/>
      </c>
      <c r="BV137" s="97" t="str">
        <f>IF($A137="","",IF($AJ137="",1,IFERROR(INDEX('Sublimits and Parts'!$C$71:$C$74,MATCH($AJ137,'Sublimits and Parts'!$B$71:$B$74,0)),"?")))</f>
        <v/>
      </c>
      <c r="BW137" s="97" t="str">
        <f>IF($A137="","",IF($AK137="",1,IFERROR(INDEX('Sublimits and Parts'!$C$78:$C$80,MATCH($AK137,'Sublimits and Parts'!$B$78:$B$80,0)),"?")))</f>
        <v/>
      </c>
      <c r="BX137" s="97" t="str">
        <f>IF($A137="","",IF($AL137="",1,IFERROR(INDEX('Sublimits and Parts'!$C$84:$C$87,MATCH($AL137,'Sublimits and Parts'!$B$84:$B$87,0)),"?")))</f>
        <v/>
      </c>
      <c r="BY137" s="97" t="str">
        <f>IF($A137="","",IF($AM137="",1,IFERROR(INDEX('Sublimits and Parts'!$C$91:$C$94,MATCH($AM137,'Sublimits and Parts'!$B$91:$B$94,0)),"?")))</f>
        <v/>
      </c>
      <c r="BZ137" s="97" t="str">
        <f>IF($A137="","",IF($AN137="",1,IFERROR(INDEX('Sublimits and Parts'!$C$98:$C$101,MATCH($AN137,'Sublimits and Parts'!$B$98:$B$101,0)),"?")))</f>
        <v/>
      </c>
      <c r="CA137" s="97" t="str">
        <f>IF($A137="","",IF($AO137="",1,IFERROR(INDEX('Sublimits and Parts'!$C$105:$C$109,MATCH($AO137,'Sublimits and Parts'!$B$105:$B$109,0)),"?")))</f>
        <v/>
      </c>
      <c r="CB137" s="98" t="str">
        <f t="shared" si="28"/>
        <v/>
      </c>
      <c r="CC137" s="98" t="str">
        <f t="shared" si="29"/>
        <v/>
      </c>
      <c r="CD137" s="101" t="str">
        <f>IF($A137="","",IF(OR($CB137="?",$CC137="?"),"?",MIN($CB137*$CC137,'Technical Premium'!$C$17)))</f>
        <v/>
      </c>
      <c r="CE137" s="100" t="str">
        <f t="shared" si="30"/>
        <v/>
      </c>
      <c r="CF137" s="100" t="str">
        <f>IF($A137="","",IFERROR(INDEX('Territory Factors'!$F$6:$F$56,MATCH($K137,'Territory Factors'!$B$6:$B$56,0)),"?"))</f>
        <v/>
      </c>
      <c r="CG137" s="98" t="str">
        <f>IF($A137="","",IFERROR(INDEX('Usage and Coverage'!$C$79:$C$84,MATCH($Y137,'Usage and Coverage'!$B$79:$B$84,0)),"?"))</f>
        <v/>
      </c>
      <c r="CH137" s="100" t="str">
        <f>IFERROR(IF(ISNUMBER($CD137),$CF137*$CG137*MIN($BG137*$BA137*$BC137*$BD137*$BH137*$BF137,'Technical Premium'!$C$17),""),"")</f>
        <v/>
      </c>
      <c r="CI137" s="100" t="str">
        <f t="shared" si="31"/>
        <v/>
      </c>
      <c r="CJ137" s="100" t="str">
        <f>IFERROR($CI137*(1+'Technical Premium'!$C$5)*(1+'Technical Premium'!$C$6),"")</f>
        <v/>
      </c>
      <c r="CK137" s="100" t="str">
        <f>IFERROR($CE137*INDEX('Territory Factors'!$G$6:$G$56,MATCH($K137,'Territory Factors'!$B$6:$B$56,0))*$AU137*$AV137,"")</f>
        <v/>
      </c>
      <c r="CL137" s="100" t="str">
        <f>IFERROR(($CJ137+$CK137)*(1+'Technical Premium'!$C$7),"")</f>
        <v/>
      </c>
      <c r="CM137" s="102" t="str">
        <f>IFERROR($CL137/'Technical Premium'!$C$13,"")</f>
        <v/>
      </c>
      <c r="CN137" s="103" t="str">
        <f t="shared" si="32"/>
        <v/>
      </c>
      <c r="CO137" s="102" t="str">
        <f t="shared" si="33"/>
        <v/>
      </c>
      <c r="CP137" s="103" t="str">
        <f t="shared" si="34"/>
        <v/>
      </c>
      <c r="CQ137" s="104" t="str">
        <f t="shared" si="35"/>
        <v/>
      </c>
      <c r="CR137" s="100" t="str">
        <f>IF(ISNUMBER($CM137),'Technical Premium'!$C$14+IF($J137&gt;=1000000,'Technical Premium'!$C$15,0),"")</f>
        <v/>
      </c>
      <c r="CS137" s="100" t="str">
        <f>IFERROR(($CO137+$CR137)*(INDEX('Territory Factors'!$K$6:$K$56,MATCH($K137,'Territory Factors'!$B$6:$B$56,0))+'Commission Structure'!$C$21),"")</f>
        <v/>
      </c>
      <c r="CT137" s="102" t="str">
        <f t="shared" si="36"/>
        <v/>
      </c>
      <c r="CU137" s="100" t="str">
        <f>IFERROR($CO137*('Commission Structure'!$C$6+'Commission Structure'!$C$7),"")</f>
        <v/>
      </c>
      <c r="CV137" s="100" t="str">
        <f>IFERROR($CO137*'Commission Structure'!$C$5-$CU137,"")</f>
        <v/>
      </c>
      <c r="CW137" s="100" t="str">
        <f>IFERROR($CO137*(1-'Commission Structure'!$C$5),"")</f>
        <v/>
      </c>
      <c r="CX137" s="105" t="str">
        <f>IF($A137="","",IF(OR($CB137="?",$CC137="?",NOT(ISNUMBER($AU137))),"CHECK INPUTS",IF(OR($J137&lt;'Technical Premium'!$C$18,LEFT(IFERROR(INDEX('Driver Factors'!$D$6:$D$15,MATCH($R137,'Driver Factors'!$B$6:$B$15,0)),""),7)="DECLINE",LEFT(IFERROR(INDEX('Driver Factors'!$D$28:$D$36,MATCH($T137,'Driver Factors'!$B$28:$B$36,0)),""),7)="DECLINE",LEFT(IFERROR(INDEX('Claims History'!$D$6:$D$15,MATCH($U137,'Claims History'!$B$6:$B$15,0)),""),7)="DECLINE",LEFT(IFERROR(INDEX('Usage and Coverage'!$E$6:$E$20,MATCH($N137,'Usage and Coverage'!$C$6:$C$20,0)),""),7)="DECLINE"),"DECLINE",IF(OR($CD137&gt;2.5,$CD137&gt;='Technical Premium'!$C$17,$J137&gt;='Technical Premium'!$C$16,N($AQ137)&lt;'Technical Premium'!$C$19,N($AQ137)&gt;'Technical Premium'!$C$20,LEFT(IFERROR(INDEX('Driver Factors'!$D$6:$D$15,MATCH($R137,'Driver Factors'!$B$6:$B$15,0)),""),5)="Refer",LEFT(IFERROR(INDEX('Driver Factors'!$D$28:$D$36,MATCH($T137,'Driver Factors'!$B$28:$B$36,0)),""),5)="Refer",LEFT(IFERROR(INDEX('Claims History'!$D$6:$D$15,MATCH($U137,'Claims History'!$B$6:$B$15,0)),""),5)="Refer",LEFT(IFERROR(INDEX('Usage and Coverage'!$E$6:$E$20,MATCH($N137,'Usage and Coverage'!$C$6:$C$20,0)),""),5)="Refer"),"REFER","AUTO-BIND"))))</f>
        <v/>
      </c>
      <c r="CY137" s="106" t="str">
        <f t="shared" si="37"/>
        <v/>
      </c>
      <c r="CZ137" s="97" t="str">
        <f>IF($CY137="","",IF($CY137&lt;'Technical Premium'!$C$19,"BEYOND AUTHORITY",IF($CY137&gt;0.005,"Above technical",IF($CY137&lt;-0.005,"BELOW technical","At technical"))))</f>
        <v/>
      </c>
      <c r="DA137" s="97" t="str">
        <f>IF($A137="","",IF($CX137="AUTO-BIND","",TRIM(IF($J137&lt;'Technical Premium'!$C$18,"Below programme minimum agreed value. ","")&amp;IF(N($AQ137)&lt;'Technical Premium'!$C$19,"DISCOUNT AUTHORITY BREACH. ","")&amp;IF(N($AQ137)&gt;'Technical Premium'!$C$20,"Load authority breach. ","")&amp;IF($J137&gt;='Technical Premium'!$C$16,"Agreed value at or above auto-bind limit. ","")&amp;IF(AND(ISNUMBER($CD137),$CD137&gt;='Technical Premium'!$C$17),"Composite factor at cap. ","")&amp;IF(AND(ISNUMBER($CD137),$CD137&gt;2.5),"Composite factor above 2.50. ","")&amp;IF(LEFT(IFERROR(INDEX('Driver Factors'!$D$6:$D$15,MATCH($R137,'Driver Factors'!$B$6:$B$15,0)),""),7)="DECLINE","DECLINE - driver age. ",IF(LEFT(IFERROR(INDEX('Driver Factors'!$D$6:$D$15,MATCH($R137,'Driver Factors'!$B$6:$B$15,0)),""),5)="Refer","Driver age band. ",""))&amp;IF(LEFT(IFERROR(INDEX('Driver Factors'!$D$28:$D$36,MATCH($T137,'Driver Factors'!$B$28:$B$36,0)),""),7)="DECLINE","DECLINE - MVR. ",IF(LEFT(IFERROR(INDEX('Driver Factors'!$D$28:$D$36,MATCH($T137,'Driver Factors'!$B$28:$B$36,0)),""),5)="Refer","MVR record. ",""))&amp;IF(LEFT(IFERROR(INDEX('Claims History'!$D$6:$D$15,MATCH($U137,'Claims History'!$B$6:$B$15,0)),""),7)="DECLINE","DECLINE - claims. ",IF(LEFT(IFERROR(INDEX('Claims History'!$D$6:$D$15,MATCH($U137,'Claims History'!$B$6:$B$15,0)),""),5)="Refer","Claims history. ",""))&amp;IF(LEFT(IFERROR(INDEX('Usage and Coverage'!$E$6:$E$20,MATCH($N137,'Usage and Coverage'!$C$6:$C$20,0)),""),7)="DECLINE","DECLINE - usage class. ",IF(LEFT(IFERROR(INDEX('Usage and Coverage'!$E$6:$E$20,MATCH($N137,'Usage and Coverage'!$C$6:$C$20,0)),""),5)="Refer","Usage class. ",""))&amp;IF($CX137="CHECK INPUTS","Incomplete inputs. ",""))))</f>
        <v/>
      </c>
      <c r="DB137" s="92"/>
      <c r="DC137" s="92"/>
      <c r="DD137" s="93"/>
      <c r="DE137" s="92"/>
      <c r="DF137" s="92"/>
      <c r="DG137" s="97" t="str">
        <f t="shared" si="38"/>
        <v/>
      </c>
      <c r="DH137" s="97" t="str">
        <f>IF($A137="","",IF(OR($CX137="REFER",$CX137="DECLINE"),COUNTIF($CX$5:$CX137,"REFER")+COUNTIF($CX$5:$CX137,"DECLINE"),""))</f>
        <v/>
      </c>
      <c r="DI137" s="92"/>
    </row>
    <row r="138" spans="1:113" x14ac:dyDescent="0.25">
      <c r="A138" s="92"/>
      <c r="B138" s="92"/>
      <c r="C138" s="93"/>
      <c r="D138" s="93"/>
      <c r="E138" s="94"/>
      <c r="F138" s="92"/>
      <c r="G138" s="92"/>
      <c r="H138" s="92"/>
      <c r="I138" s="92"/>
      <c r="J138" s="95"/>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6"/>
      <c r="AR138" s="97" t="str">
        <f t="shared" si="26"/>
        <v/>
      </c>
      <c r="AS138" s="97" t="str">
        <f>IF($A138="","",IF($AP138&lt;&gt;"",$AP138,IFERROR(INDEX('Cat Zone by ZIP'!$D$6:$D$856,MATCH($AR138,'Cat Zone by ZIP'!$B$6:$B$856,0)),IFERROR(INDEX('Cat Zone by ZIP'!$C$860:$C$910,MATCH($K138,'Cat Zone by ZIP'!$B$860:$B$910,0)),"NOT FOUND"))))</f>
        <v/>
      </c>
      <c r="AT138" s="97" t="str">
        <f>IF($A138="","",IF($AP138&lt;&gt;"","Override",IF(ISNUMBER(MATCH($AR138,'Cat Zone by ZIP'!$B$6:$B$856,0)),"ZIP-3","State default")))</f>
        <v/>
      </c>
      <c r="AU138" s="98" t="str">
        <f>IF($A138="","",IFERROR(INDEX('Natural Catastrophe'!$D$6:$D$17,MATCH($AS138,'Natural Catastrophe'!$B$6:$B$17,0)),"?"))</f>
        <v/>
      </c>
      <c r="AV138" s="98" t="str">
        <f>IF($A138="","",IFERROR(INDEX('Natural Catastrophe'!$C$21:$C$26,MATCH($AA138,'Natural Catastrophe'!$B$21:$B$26,0)),"?"))</f>
        <v/>
      </c>
      <c r="AW138" s="97" t="str">
        <f>IF($A138="","",IFERROR(INDEX('Base Rates'!$C$4:$I$4,MATCH(MAX($J138,'Technical Premium'!$C$18),'Base Rates'!$C$3:$I$3,1)),"?"))</f>
        <v/>
      </c>
      <c r="AX138" s="99" t="str">
        <f>IF($A138="","",IFERROR(INDEX('Base Rates'!$C$5:$I$16,MATCH($I138,'Base Rates'!$B$5:$B$16,0),MATCH(MAX($J138,'Technical Premium'!$C$18),'Base Rates'!$C$3:$I$3,1)),"?"))</f>
        <v/>
      </c>
      <c r="AY138" s="100" t="str">
        <f t="shared" si="27"/>
        <v/>
      </c>
      <c r="AZ138" s="97" t="str">
        <f>IF($A138="","",IFERROR(INDEX('Make Factors'!$G$5:$G$69,MATCH($F138,'Make Factors'!$B$5:$B$69,0)),"?"))</f>
        <v/>
      </c>
      <c r="BA138" s="97" t="str">
        <f>IF($A138="","",IFERROR(INDEX('Driver Factors'!$C$6:$C$15,MATCH($R138,'Driver Factors'!$B$6:$B$15,0)),"?"))</f>
        <v/>
      </c>
      <c r="BB138" s="97" t="str">
        <f>IF($A138="","",IFERROR(INDEX('Driver Factors'!$C$19:$C$24,MATCH($S138,'Driver Factors'!$B$19:$B$24,0)),"?"))</f>
        <v/>
      </c>
      <c r="BC138" s="97" t="str">
        <f>IF($A138="","",IFERROR(INDEX('Driver Factors'!$C$28:$C$36,MATCH($T138,'Driver Factors'!$B$28:$B$36,0)),"?"))</f>
        <v/>
      </c>
      <c r="BD138" s="97" t="str">
        <f>IF($A138="","",IFERROR(INDEX('Claims History'!$C$6:$C$15,MATCH($U138,'Claims History'!$B$6:$B$15,0)),"?"))</f>
        <v/>
      </c>
      <c r="BE138" s="97" t="str">
        <f>IF($A138="","",IFERROR(INDEX('Territory Factors'!$E$6:$E$56,MATCH($K138,'Territory Factors'!$B$6:$B$56,0)),"?"))</f>
        <v/>
      </c>
      <c r="BF138" s="97" t="str">
        <f>IF($A138="","",IFERROR(INDEX('City Accident Ratings'!$G$6:$G$54,MATCH($Z138,'City Accident Ratings'!$B$6:$B$54,0)),"?"))</f>
        <v/>
      </c>
      <c r="BG138" s="97" t="str">
        <f>IF($A138="","",IFERROR(INDEX('Usage and Coverage'!$D$6:$D$20,MATCH($N138,'Usage and Coverage'!$C$6:$C$20,0)),"?"))</f>
        <v/>
      </c>
      <c r="BH138" s="97" t="str">
        <f>IF($A138="","",IFERROR(INDEX('Usage and Coverage'!$C$24:$C$30,MATCH($O138,'Usage and Coverage'!$B$24:$B$30,0)),"?"))</f>
        <v/>
      </c>
      <c r="BI138" s="97" t="str">
        <f>IF($A138="","",IFERROR(INDEX('Usage and Coverage'!$C$34:$C$40,MATCH($P138,'Usage and Coverage'!$B$34:$B$40,0)),"?"))</f>
        <v/>
      </c>
      <c r="BJ138" s="97" t="str">
        <f>IF($A138="","",IFERROR(INDEX('Usage and Coverage'!$C$44:$C$49,MATCH($Q138,'Usage and Coverage'!$B$44:$B$49,0)),"?"))</f>
        <v/>
      </c>
      <c r="BK138" s="97" t="str">
        <f>IF($A138="","",IFERROR(INDEX(Deductibles!$C$6:$I$15,MATCH($W138,Deductibles!$B$6:$B$15,0),MATCH(MAX($J138,'Technical Premium'!$C$18),'Base Rates'!$C$3:$I$3,1)),"?"))</f>
        <v/>
      </c>
      <c r="BL138" s="97" t="str">
        <f>IF($A138="","",IFERROR(INDEX('Usage and Coverage'!$C$63:$C$66,MATCH($X138,'Usage and Coverage'!$B$63:$B$66,0)),"?"))</f>
        <v/>
      </c>
      <c r="BM138" s="97" t="str">
        <f>IF($A138="","",IFERROR(INDEX('Usage and Coverage'!$C$70:$C$75,MATCH($V138,'Usage and Coverage'!$B$70:$B$75,0)),"?"))</f>
        <v/>
      </c>
      <c r="BN138" s="97" t="str">
        <f>IF($A138="","",IF($AB138="",1,IFERROR(INDEX(Deductibles!$C$48:$C$51,MATCH($AB138,Deductibles!$B$48:$B$51,0)),"?")))</f>
        <v/>
      </c>
      <c r="BO138" s="97" t="str">
        <f>IF($A138="","",IF($AC138="",1,IFERROR(INDEX(Deductibles!$C$55:$C$57,MATCH($AC138,Deductibles!$B$55:$B$57,0)),"?")))</f>
        <v/>
      </c>
      <c r="BP138" s="97" t="str">
        <f>IF($A138="","",IF($AD138="",1,IFERROR(INDEX(Deductibles!$C$61:$C$63,MATCH($AD138,Deductibles!$B$61:$B$63,0)),"?")))</f>
        <v/>
      </c>
      <c r="BQ138" s="97" t="str">
        <f>IF($A138="","",IF($AE138="",1,IFERROR(INDEX(Deductibles!$C$67:$C$69,MATCH($AE138,Deductibles!$B$67:$B$69,0)),"?")))</f>
        <v/>
      </c>
      <c r="BR138" s="97" t="str">
        <f>IF($A138="","",IF($AF138="",1,IFERROR(INDEX(Deductibles!$C$73:$C$74,MATCH($AF138,Deductibles!$B$73:$B$74,0)),"?")))</f>
        <v/>
      </c>
      <c r="BS138" s="97" t="str">
        <f>IF($A138="","",IF($AG138="",1,IFERROR(INDEX('Sublimits and Parts'!$C$49:$C$52,MATCH($AG138,'Sublimits and Parts'!$B$49:$B$52,0)),"?")))</f>
        <v/>
      </c>
      <c r="BT138" s="97" t="str">
        <f>IF($A138="","",IF($AH138="",1,IFERROR(INDEX('Sublimits and Parts'!$C$56:$C$60,MATCH($AH138,'Sublimits and Parts'!$B$56:$B$60,0)),"?")))</f>
        <v/>
      </c>
      <c r="BU138" s="97" t="str">
        <f>IF($A138="","",IF($AI138="",1,IFERROR(INDEX('Sublimits and Parts'!$C$64:$C$67,MATCH($AI138,'Sublimits and Parts'!$B$64:$B$67,0)),"?")))</f>
        <v/>
      </c>
      <c r="BV138" s="97" t="str">
        <f>IF($A138="","",IF($AJ138="",1,IFERROR(INDEX('Sublimits and Parts'!$C$71:$C$74,MATCH($AJ138,'Sublimits and Parts'!$B$71:$B$74,0)),"?")))</f>
        <v/>
      </c>
      <c r="BW138" s="97" t="str">
        <f>IF($A138="","",IF($AK138="",1,IFERROR(INDEX('Sublimits and Parts'!$C$78:$C$80,MATCH($AK138,'Sublimits and Parts'!$B$78:$B$80,0)),"?")))</f>
        <v/>
      </c>
      <c r="BX138" s="97" t="str">
        <f>IF($A138="","",IF($AL138="",1,IFERROR(INDEX('Sublimits and Parts'!$C$84:$C$87,MATCH($AL138,'Sublimits and Parts'!$B$84:$B$87,0)),"?")))</f>
        <v/>
      </c>
      <c r="BY138" s="97" t="str">
        <f>IF($A138="","",IF($AM138="",1,IFERROR(INDEX('Sublimits and Parts'!$C$91:$C$94,MATCH($AM138,'Sublimits and Parts'!$B$91:$B$94,0)),"?")))</f>
        <v/>
      </c>
      <c r="BZ138" s="97" t="str">
        <f>IF($A138="","",IF($AN138="",1,IFERROR(INDEX('Sublimits and Parts'!$C$98:$C$101,MATCH($AN138,'Sublimits and Parts'!$B$98:$B$101,0)),"?")))</f>
        <v/>
      </c>
      <c r="CA138" s="97" t="str">
        <f>IF($A138="","",IF($AO138="",1,IFERROR(INDEX('Sublimits and Parts'!$C$105:$C$109,MATCH($AO138,'Sublimits and Parts'!$B$105:$B$109,0)),"?")))</f>
        <v/>
      </c>
      <c r="CB138" s="98" t="str">
        <f t="shared" si="28"/>
        <v/>
      </c>
      <c r="CC138" s="98" t="str">
        <f t="shared" si="29"/>
        <v/>
      </c>
      <c r="CD138" s="101" t="str">
        <f>IF($A138="","",IF(OR($CB138="?",$CC138="?"),"?",MIN($CB138*$CC138,'Technical Premium'!$C$17)))</f>
        <v/>
      </c>
      <c r="CE138" s="100" t="str">
        <f t="shared" si="30"/>
        <v/>
      </c>
      <c r="CF138" s="100" t="str">
        <f>IF($A138="","",IFERROR(INDEX('Territory Factors'!$F$6:$F$56,MATCH($K138,'Territory Factors'!$B$6:$B$56,0)),"?"))</f>
        <v/>
      </c>
      <c r="CG138" s="98" t="str">
        <f>IF($A138="","",IFERROR(INDEX('Usage and Coverage'!$C$79:$C$84,MATCH($Y138,'Usage and Coverage'!$B$79:$B$84,0)),"?"))</f>
        <v/>
      </c>
      <c r="CH138" s="100" t="str">
        <f>IFERROR(IF(ISNUMBER($CD138),$CF138*$CG138*MIN($BG138*$BA138*$BC138*$BD138*$BH138*$BF138,'Technical Premium'!$C$17),""),"")</f>
        <v/>
      </c>
      <c r="CI138" s="100" t="str">
        <f t="shared" si="31"/>
        <v/>
      </c>
      <c r="CJ138" s="100" t="str">
        <f>IFERROR($CI138*(1+'Technical Premium'!$C$5)*(1+'Technical Premium'!$C$6),"")</f>
        <v/>
      </c>
      <c r="CK138" s="100" t="str">
        <f>IFERROR($CE138*INDEX('Territory Factors'!$G$6:$G$56,MATCH($K138,'Territory Factors'!$B$6:$B$56,0))*$AU138*$AV138,"")</f>
        <v/>
      </c>
      <c r="CL138" s="100" t="str">
        <f>IFERROR(($CJ138+$CK138)*(1+'Technical Premium'!$C$7),"")</f>
        <v/>
      </c>
      <c r="CM138" s="102" t="str">
        <f>IFERROR($CL138/'Technical Premium'!$C$13,"")</f>
        <v/>
      </c>
      <c r="CN138" s="103" t="str">
        <f t="shared" si="32"/>
        <v/>
      </c>
      <c r="CO138" s="102" t="str">
        <f t="shared" si="33"/>
        <v/>
      </c>
      <c r="CP138" s="103" t="str">
        <f t="shared" si="34"/>
        <v/>
      </c>
      <c r="CQ138" s="104" t="str">
        <f t="shared" si="35"/>
        <v/>
      </c>
      <c r="CR138" s="100" t="str">
        <f>IF(ISNUMBER($CM138),'Technical Premium'!$C$14+IF($J138&gt;=1000000,'Technical Premium'!$C$15,0),"")</f>
        <v/>
      </c>
      <c r="CS138" s="100" t="str">
        <f>IFERROR(($CO138+$CR138)*(INDEX('Territory Factors'!$K$6:$K$56,MATCH($K138,'Territory Factors'!$B$6:$B$56,0))+'Commission Structure'!$C$21),"")</f>
        <v/>
      </c>
      <c r="CT138" s="102" t="str">
        <f t="shared" si="36"/>
        <v/>
      </c>
      <c r="CU138" s="100" t="str">
        <f>IFERROR($CO138*('Commission Structure'!$C$6+'Commission Structure'!$C$7),"")</f>
        <v/>
      </c>
      <c r="CV138" s="100" t="str">
        <f>IFERROR($CO138*'Commission Structure'!$C$5-$CU138,"")</f>
        <v/>
      </c>
      <c r="CW138" s="100" t="str">
        <f>IFERROR($CO138*(1-'Commission Structure'!$C$5),"")</f>
        <v/>
      </c>
      <c r="CX138" s="105" t="str">
        <f>IF($A138="","",IF(OR($CB138="?",$CC138="?",NOT(ISNUMBER($AU138))),"CHECK INPUTS",IF(OR($J138&lt;'Technical Premium'!$C$18,LEFT(IFERROR(INDEX('Driver Factors'!$D$6:$D$15,MATCH($R138,'Driver Factors'!$B$6:$B$15,0)),""),7)="DECLINE",LEFT(IFERROR(INDEX('Driver Factors'!$D$28:$D$36,MATCH($T138,'Driver Factors'!$B$28:$B$36,0)),""),7)="DECLINE",LEFT(IFERROR(INDEX('Claims History'!$D$6:$D$15,MATCH($U138,'Claims History'!$B$6:$B$15,0)),""),7)="DECLINE",LEFT(IFERROR(INDEX('Usage and Coverage'!$E$6:$E$20,MATCH($N138,'Usage and Coverage'!$C$6:$C$20,0)),""),7)="DECLINE"),"DECLINE",IF(OR($CD138&gt;2.5,$CD138&gt;='Technical Premium'!$C$17,$J138&gt;='Technical Premium'!$C$16,N($AQ138)&lt;'Technical Premium'!$C$19,N($AQ138)&gt;'Technical Premium'!$C$20,LEFT(IFERROR(INDEX('Driver Factors'!$D$6:$D$15,MATCH($R138,'Driver Factors'!$B$6:$B$15,0)),""),5)="Refer",LEFT(IFERROR(INDEX('Driver Factors'!$D$28:$D$36,MATCH($T138,'Driver Factors'!$B$28:$B$36,0)),""),5)="Refer",LEFT(IFERROR(INDEX('Claims History'!$D$6:$D$15,MATCH($U138,'Claims History'!$B$6:$B$15,0)),""),5)="Refer",LEFT(IFERROR(INDEX('Usage and Coverage'!$E$6:$E$20,MATCH($N138,'Usage and Coverage'!$C$6:$C$20,0)),""),5)="Refer"),"REFER","AUTO-BIND"))))</f>
        <v/>
      </c>
      <c r="CY138" s="106" t="str">
        <f t="shared" si="37"/>
        <v/>
      </c>
      <c r="CZ138" s="97" t="str">
        <f>IF($CY138="","",IF($CY138&lt;'Technical Premium'!$C$19,"BEYOND AUTHORITY",IF($CY138&gt;0.005,"Above technical",IF($CY138&lt;-0.005,"BELOW technical","At technical"))))</f>
        <v/>
      </c>
      <c r="DA138" s="97" t="str">
        <f>IF($A138="","",IF($CX138="AUTO-BIND","",TRIM(IF($J138&lt;'Technical Premium'!$C$18,"Below programme minimum agreed value. ","")&amp;IF(N($AQ138)&lt;'Technical Premium'!$C$19,"DISCOUNT AUTHORITY BREACH. ","")&amp;IF(N($AQ138)&gt;'Technical Premium'!$C$20,"Load authority breach. ","")&amp;IF($J138&gt;='Technical Premium'!$C$16,"Agreed value at or above auto-bind limit. ","")&amp;IF(AND(ISNUMBER($CD138),$CD138&gt;='Technical Premium'!$C$17),"Composite factor at cap. ","")&amp;IF(AND(ISNUMBER($CD138),$CD138&gt;2.5),"Composite factor above 2.50. ","")&amp;IF(LEFT(IFERROR(INDEX('Driver Factors'!$D$6:$D$15,MATCH($R138,'Driver Factors'!$B$6:$B$15,0)),""),7)="DECLINE","DECLINE - driver age. ",IF(LEFT(IFERROR(INDEX('Driver Factors'!$D$6:$D$15,MATCH($R138,'Driver Factors'!$B$6:$B$15,0)),""),5)="Refer","Driver age band. ",""))&amp;IF(LEFT(IFERROR(INDEX('Driver Factors'!$D$28:$D$36,MATCH($T138,'Driver Factors'!$B$28:$B$36,0)),""),7)="DECLINE","DECLINE - MVR. ",IF(LEFT(IFERROR(INDEX('Driver Factors'!$D$28:$D$36,MATCH($T138,'Driver Factors'!$B$28:$B$36,0)),""),5)="Refer","MVR record. ",""))&amp;IF(LEFT(IFERROR(INDEX('Claims History'!$D$6:$D$15,MATCH($U138,'Claims History'!$B$6:$B$15,0)),""),7)="DECLINE","DECLINE - claims. ",IF(LEFT(IFERROR(INDEX('Claims History'!$D$6:$D$15,MATCH($U138,'Claims History'!$B$6:$B$15,0)),""),5)="Refer","Claims history. ",""))&amp;IF(LEFT(IFERROR(INDEX('Usage and Coverage'!$E$6:$E$20,MATCH($N138,'Usage and Coverage'!$C$6:$C$20,0)),""),7)="DECLINE","DECLINE - usage class. ",IF(LEFT(IFERROR(INDEX('Usage and Coverage'!$E$6:$E$20,MATCH($N138,'Usage and Coverage'!$C$6:$C$20,0)),""),5)="Refer","Usage class. ",""))&amp;IF($CX138="CHECK INPUTS","Incomplete inputs. ",""))))</f>
        <v/>
      </c>
      <c r="DB138" s="92"/>
      <c r="DC138" s="92"/>
      <c r="DD138" s="93"/>
      <c r="DE138" s="92"/>
      <c r="DF138" s="92"/>
      <c r="DG138" s="97" t="str">
        <f t="shared" si="38"/>
        <v/>
      </c>
      <c r="DH138" s="97" t="str">
        <f>IF($A138="","",IF(OR($CX138="REFER",$CX138="DECLINE"),COUNTIF($CX$5:$CX138,"REFER")+COUNTIF($CX$5:$CX138,"DECLINE"),""))</f>
        <v/>
      </c>
      <c r="DI138" s="92"/>
    </row>
    <row r="139" spans="1:113" x14ac:dyDescent="0.25">
      <c r="A139" s="92"/>
      <c r="B139" s="92"/>
      <c r="C139" s="93"/>
      <c r="D139" s="93"/>
      <c r="E139" s="94"/>
      <c r="F139" s="92"/>
      <c r="G139" s="92"/>
      <c r="H139" s="92"/>
      <c r="I139" s="92"/>
      <c r="J139" s="95"/>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6"/>
      <c r="AR139" s="97" t="str">
        <f t="shared" si="26"/>
        <v/>
      </c>
      <c r="AS139" s="97" t="str">
        <f>IF($A139="","",IF($AP139&lt;&gt;"",$AP139,IFERROR(INDEX('Cat Zone by ZIP'!$D$6:$D$856,MATCH($AR139,'Cat Zone by ZIP'!$B$6:$B$856,0)),IFERROR(INDEX('Cat Zone by ZIP'!$C$860:$C$910,MATCH($K139,'Cat Zone by ZIP'!$B$860:$B$910,0)),"NOT FOUND"))))</f>
        <v/>
      </c>
      <c r="AT139" s="97" t="str">
        <f>IF($A139="","",IF($AP139&lt;&gt;"","Override",IF(ISNUMBER(MATCH($AR139,'Cat Zone by ZIP'!$B$6:$B$856,0)),"ZIP-3","State default")))</f>
        <v/>
      </c>
      <c r="AU139" s="98" t="str">
        <f>IF($A139="","",IFERROR(INDEX('Natural Catastrophe'!$D$6:$D$17,MATCH($AS139,'Natural Catastrophe'!$B$6:$B$17,0)),"?"))</f>
        <v/>
      </c>
      <c r="AV139" s="98" t="str">
        <f>IF($A139="","",IFERROR(INDEX('Natural Catastrophe'!$C$21:$C$26,MATCH($AA139,'Natural Catastrophe'!$B$21:$B$26,0)),"?"))</f>
        <v/>
      </c>
      <c r="AW139" s="97" t="str">
        <f>IF($A139="","",IFERROR(INDEX('Base Rates'!$C$4:$I$4,MATCH(MAX($J139,'Technical Premium'!$C$18),'Base Rates'!$C$3:$I$3,1)),"?"))</f>
        <v/>
      </c>
      <c r="AX139" s="99" t="str">
        <f>IF($A139="","",IFERROR(INDEX('Base Rates'!$C$5:$I$16,MATCH($I139,'Base Rates'!$B$5:$B$16,0),MATCH(MAX($J139,'Technical Premium'!$C$18),'Base Rates'!$C$3:$I$3,1)),"?"))</f>
        <v/>
      </c>
      <c r="AY139" s="100" t="str">
        <f t="shared" si="27"/>
        <v/>
      </c>
      <c r="AZ139" s="97" t="str">
        <f>IF($A139="","",IFERROR(INDEX('Make Factors'!$G$5:$G$69,MATCH($F139,'Make Factors'!$B$5:$B$69,0)),"?"))</f>
        <v/>
      </c>
      <c r="BA139" s="97" t="str">
        <f>IF($A139="","",IFERROR(INDEX('Driver Factors'!$C$6:$C$15,MATCH($R139,'Driver Factors'!$B$6:$B$15,0)),"?"))</f>
        <v/>
      </c>
      <c r="BB139" s="97" t="str">
        <f>IF($A139="","",IFERROR(INDEX('Driver Factors'!$C$19:$C$24,MATCH($S139,'Driver Factors'!$B$19:$B$24,0)),"?"))</f>
        <v/>
      </c>
      <c r="BC139" s="97" t="str">
        <f>IF($A139="","",IFERROR(INDEX('Driver Factors'!$C$28:$C$36,MATCH($T139,'Driver Factors'!$B$28:$B$36,0)),"?"))</f>
        <v/>
      </c>
      <c r="BD139" s="97" t="str">
        <f>IF($A139="","",IFERROR(INDEX('Claims History'!$C$6:$C$15,MATCH($U139,'Claims History'!$B$6:$B$15,0)),"?"))</f>
        <v/>
      </c>
      <c r="BE139" s="97" t="str">
        <f>IF($A139="","",IFERROR(INDEX('Territory Factors'!$E$6:$E$56,MATCH($K139,'Territory Factors'!$B$6:$B$56,0)),"?"))</f>
        <v/>
      </c>
      <c r="BF139" s="97" t="str">
        <f>IF($A139="","",IFERROR(INDEX('City Accident Ratings'!$G$6:$G$54,MATCH($Z139,'City Accident Ratings'!$B$6:$B$54,0)),"?"))</f>
        <v/>
      </c>
      <c r="BG139" s="97" t="str">
        <f>IF($A139="","",IFERROR(INDEX('Usage and Coverage'!$D$6:$D$20,MATCH($N139,'Usage and Coverage'!$C$6:$C$20,0)),"?"))</f>
        <v/>
      </c>
      <c r="BH139" s="97" t="str">
        <f>IF($A139="","",IFERROR(INDEX('Usage and Coverage'!$C$24:$C$30,MATCH($O139,'Usage and Coverage'!$B$24:$B$30,0)),"?"))</f>
        <v/>
      </c>
      <c r="BI139" s="97" t="str">
        <f>IF($A139="","",IFERROR(INDEX('Usage and Coverage'!$C$34:$C$40,MATCH($P139,'Usage and Coverage'!$B$34:$B$40,0)),"?"))</f>
        <v/>
      </c>
      <c r="BJ139" s="97" t="str">
        <f>IF($A139="","",IFERROR(INDEX('Usage and Coverage'!$C$44:$C$49,MATCH($Q139,'Usage and Coverage'!$B$44:$B$49,0)),"?"))</f>
        <v/>
      </c>
      <c r="BK139" s="97" t="str">
        <f>IF($A139="","",IFERROR(INDEX(Deductibles!$C$6:$I$15,MATCH($W139,Deductibles!$B$6:$B$15,0),MATCH(MAX($J139,'Technical Premium'!$C$18),'Base Rates'!$C$3:$I$3,1)),"?"))</f>
        <v/>
      </c>
      <c r="BL139" s="97" t="str">
        <f>IF($A139="","",IFERROR(INDEX('Usage and Coverage'!$C$63:$C$66,MATCH($X139,'Usage and Coverage'!$B$63:$B$66,0)),"?"))</f>
        <v/>
      </c>
      <c r="BM139" s="97" t="str">
        <f>IF($A139="","",IFERROR(INDEX('Usage and Coverage'!$C$70:$C$75,MATCH($V139,'Usage and Coverage'!$B$70:$B$75,0)),"?"))</f>
        <v/>
      </c>
      <c r="BN139" s="97" t="str">
        <f>IF($A139="","",IF($AB139="",1,IFERROR(INDEX(Deductibles!$C$48:$C$51,MATCH($AB139,Deductibles!$B$48:$B$51,0)),"?")))</f>
        <v/>
      </c>
      <c r="BO139" s="97" t="str">
        <f>IF($A139="","",IF($AC139="",1,IFERROR(INDEX(Deductibles!$C$55:$C$57,MATCH($AC139,Deductibles!$B$55:$B$57,0)),"?")))</f>
        <v/>
      </c>
      <c r="BP139" s="97" t="str">
        <f>IF($A139="","",IF($AD139="",1,IFERROR(INDEX(Deductibles!$C$61:$C$63,MATCH($AD139,Deductibles!$B$61:$B$63,0)),"?")))</f>
        <v/>
      </c>
      <c r="BQ139" s="97" t="str">
        <f>IF($A139="","",IF($AE139="",1,IFERROR(INDEX(Deductibles!$C$67:$C$69,MATCH($AE139,Deductibles!$B$67:$B$69,0)),"?")))</f>
        <v/>
      </c>
      <c r="BR139" s="97" t="str">
        <f>IF($A139="","",IF($AF139="",1,IFERROR(INDEX(Deductibles!$C$73:$C$74,MATCH($AF139,Deductibles!$B$73:$B$74,0)),"?")))</f>
        <v/>
      </c>
      <c r="BS139" s="97" t="str">
        <f>IF($A139="","",IF($AG139="",1,IFERROR(INDEX('Sublimits and Parts'!$C$49:$C$52,MATCH($AG139,'Sublimits and Parts'!$B$49:$B$52,0)),"?")))</f>
        <v/>
      </c>
      <c r="BT139" s="97" t="str">
        <f>IF($A139="","",IF($AH139="",1,IFERROR(INDEX('Sublimits and Parts'!$C$56:$C$60,MATCH($AH139,'Sublimits and Parts'!$B$56:$B$60,0)),"?")))</f>
        <v/>
      </c>
      <c r="BU139" s="97" t="str">
        <f>IF($A139="","",IF($AI139="",1,IFERROR(INDEX('Sublimits and Parts'!$C$64:$C$67,MATCH($AI139,'Sublimits and Parts'!$B$64:$B$67,0)),"?")))</f>
        <v/>
      </c>
      <c r="BV139" s="97" t="str">
        <f>IF($A139="","",IF($AJ139="",1,IFERROR(INDEX('Sublimits and Parts'!$C$71:$C$74,MATCH($AJ139,'Sublimits and Parts'!$B$71:$B$74,0)),"?")))</f>
        <v/>
      </c>
      <c r="BW139" s="97" t="str">
        <f>IF($A139="","",IF($AK139="",1,IFERROR(INDEX('Sublimits and Parts'!$C$78:$C$80,MATCH($AK139,'Sublimits and Parts'!$B$78:$B$80,0)),"?")))</f>
        <v/>
      </c>
      <c r="BX139" s="97" t="str">
        <f>IF($A139="","",IF($AL139="",1,IFERROR(INDEX('Sublimits and Parts'!$C$84:$C$87,MATCH($AL139,'Sublimits and Parts'!$B$84:$B$87,0)),"?")))</f>
        <v/>
      </c>
      <c r="BY139" s="97" t="str">
        <f>IF($A139="","",IF($AM139="",1,IFERROR(INDEX('Sublimits and Parts'!$C$91:$C$94,MATCH($AM139,'Sublimits and Parts'!$B$91:$B$94,0)),"?")))</f>
        <v/>
      </c>
      <c r="BZ139" s="97" t="str">
        <f>IF($A139="","",IF($AN139="",1,IFERROR(INDEX('Sublimits and Parts'!$C$98:$C$101,MATCH($AN139,'Sublimits and Parts'!$B$98:$B$101,0)),"?")))</f>
        <v/>
      </c>
      <c r="CA139" s="97" t="str">
        <f>IF($A139="","",IF($AO139="",1,IFERROR(INDEX('Sublimits and Parts'!$C$105:$C$109,MATCH($AO139,'Sublimits and Parts'!$B$105:$B$109,0)),"?")))</f>
        <v/>
      </c>
      <c r="CB139" s="98" t="str">
        <f t="shared" si="28"/>
        <v/>
      </c>
      <c r="CC139" s="98" t="str">
        <f t="shared" si="29"/>
        <v/>
      </c>
      <c r="CD139" s="101" t="str">
        <f>IF($A139="","",IF(OR($CB139="?",$CC139="?"),"?",MIN($CB139*$CC139,'Technical Premium'!$C$17)))</f>
        <v/>
      </c>
      <c r="CE139" s="100" t="str">
        <f t="shared" si="30"/>
        <v/>
      </c>
      <c r="CF139" s="100" t="str">
        <f>IF($A139="","",IFERROR(INDEX('Territory Factors'!$F$6:$F$56,MATCH($K139,'Territory Factors'!$B$6:$B$56,0)),"?"))</f>
        <v/>
      </c>
      <c r="CG139" s="98" t="str">
        <f>IF($A139="","",IFERROR(INDEX('Usage and Coverage'!$C$79:$C$84,MATCH($Y139,'Usage and Coverage'!$B$79:$B$84,0)),"?"))</f>
        <v/>
      </c>
      <c r="CH139" s="100" t="str">
        <f>IFERROR(IF(ISNUMBER($CD139),$CF139*$CG139*MIN($BG139*$BA139*$BC139*$BD139*$BH139*$BF139,'Technical Premium'!$C$17),""),"")</f>
        <v/>
      </c>
      <c r="CI139" s="100" t="str">
        <f t="shared" si="31"/>
        <v/>
      </c>
      <c r="CJ139" s="100" t="str">
        <f>IFERROR($CI139*(1+'Technical Premium'!$C$5)*(1+'Technical Premium'!$C$6),"")</f>
        <v/>
      </c>
      <c r="CK139" s="100" t="str">
        <f>IFERROR($CE139*INDEX('Territory Factors'!$G$6:$G$56,MATCH($K139,'Territory Factors'!$B$6:$B$56,0))*$AU139*$AV139,"")</f>
        <v/>
      </c>
      <c r="CL139" s="100" t="str">
        <f>IFERROR(($CJ139+$CK139)*(1+'Technical Premium'!$C$7),"")</f>
        <v/>
      </c>
      <c r="CM139" s="102" t="str">
        <f>IFERROR($CL139/'Technical Premium'!$C$13,"")</f>
        <v/>
      </c>
      <c r="CN139" s="103" t="str">
        <f t="shared" si="32"/>
        <v/>
      </c>
      <c r="CO139" s="102" t="str">
        <f t="shared" si="33"/>
        <v/>
      </c>
      <c r="CP139" s="103" t="str">
        <f t="shared" si="34"/>
        <v/>
      </c>
      <c r="CQ139" s="104" t="str">
        <f t="shared" si="35"/>
        <v/>
      </c>
      <c r="CR139" s="100" t="str">
        <f>IF(ISNUMBER($CM139),'Technical Premium'!$C$14+IF($J139&gt;=1000000,'Technical Premium'!$C$15,0),"")</f>
        <v/>
      </c>
      <c r="CS139" s="100" t="str">
        <f>IFERROR(($CO139+$CR139)*(INDEX('Territory Factors'!$K$6:$K$56,MATCH($K139,'Territory Factors'!$B$6:$B$56,0))+'Commission Structure'!$C$21),"")</f>
        <v/>
      </c>
      <c r="CT139" s="102" t="str">
        <f t="shared" si="36"/>
        <v/>
      </c>
      <c r="CU139" s="100" t="str">
        <f>IFERROR($CO139*('Commission Structure'!$C$6+'Commission Structure'!$C$7),"")</f>
        <v/>
      </c>
      <c r="CV139" s="100" t="str">
        <f>IFERROR($CO139*'Commission Structure'!$C$5-$CU139,"")</f>
        <v/>
      </c>
      <c r="CW139" s="100" t="str">
        <f>IFERROR($CO139*(1-'Commission Structure'!$C$5),"")</f>
        <v/>
      </c>
      <c r="CX139" s="105" t="str">
        <f>IF($A139="","",IF(OR($CB139="?",$CC139="?",NOT(ISNUMBER($AU139))),"CHECK INPUTS",IF(OR($J139&lt;'Technical Premium'!$C$18,LEFT(IFERROR(INDEX('Driver Factors'!$D$6:$D$15,MATCH($R139,'Driver Factors'!$B$6:$B$15,0)),""),7)="DECLINE",LEFT(IFERROR(INDEX('Driver Factors'!$D$28:$D$36,MATCH($T139,'Driver Factors'!$B$28:$B$36,0)),""),7)="DECLINE",LEFT(IFERROR(INDEX('Claims History'!$D$6:$D$15,MATCH($U139,'Claims History'!$B$6:$B$15,0)),""),7)="DECLINE",LEFT(IFERROR(INDEX('Usage and Coverage'!$E$6:$E$20,MATCH($N139,'Usage and Coverage'!$C$6:$C$20,0)),""),7)="DECLINE"),"DECLINE",IF(OR($CD139&gt;2.5,$CD139&gt;='Technical Premium'!$C$17,$J139&gt;='Technical Premium'!$C$16,N($AQ139)&lt;'Technical Premium'!$C$19,N($AQ139)&gt;'Technical Premium'!$C$20,LEFT(IFERROR(INDEX('Driver Factors'!$D$6:$D$15,MATCH($R139,'Driver Factors'!$B$6:$B$15,0)),""),5)="Refer",LEFT(IFERROR(INDEX('Driver Factors'!$D$28:$D$36,MATCH($T139,'Driver Factors'!$B$28:$B$36,0)),""),5)="Refer",LEFT(IFERROR(INDEX('Claims History'!$D$6:$D$15,MATCH($U139,'Claims History'!$B$6:$B$15,0)),""),5)="Refer",LEFT(IFERROR(INDEX('Usage and Coverage'!$E$6:$E$20,MATCH($N139,'Usage and Coverage'!$C$6:$C$20,0)),""),5)="Refer"),"REFER","AUTO-BIND"))))</f>
        <v/>
      </c>
      <c r="CY139" s="106" t="str">
        <f t="shared" si="37"/>
        <v/>
      </c>
      <c r="CZ139" s="97" t="str">
        <f>IF($CY139="","",IF($CY139&lt;'Technical Premium'!$C$19,"BEYOND AUTHORITY",IF($CY139&gt;0.005,"Above technical",IF($CY139&lt;-0.005,"BELOW technical","At technical"))))</f>
        <v/>
      </c>
      <c r="DA139" s="97" t="str">
        <f>IF($A139="","",IF($CX139="AUTO-BIND","",TRIM(IF($J139&lt;'Technical Premium'!$C$18,"Below programme minimum agreed value. ","")&amp;IF(N($AQ139)&lt;'Technical Premium'!$C$19,"DISCOUNT AUTHORITY BREACH. ","")&amp;IF(N($AQ139)&gt;'Technical Premium'!$C$20,"Load authority breach. ","")&amp;IF($J139&gt;='Technical Premium'!$C$16,"Agreed value at or above auto-bind limit. ","")&amp;IF(AND(ISNUMBER($CD139),$CD139&gt;='Technical Premium'!$C$17),"Composite factor at cap. ","")&amp;IF(AND(ISNUMBER($CD139),$CD139&gt;2.5),"Composite factor above 2.50. ","")&amp;IF(LEFT(IFERROR(INDEX('Driver Factors'!$D$6:$D$15,MATCH($R139,'Driver Factors'!$B$6:$B$15,0)),""),7)="DECLINE","DECLINE - driver age. ",IF(LEFT(IFERROR(INDEX('Driver Factors'!$D$6:$D$15,MATCH($R139,'Driver Factors'!$B$6:$B$15,0)),""),5)="Refer","Driver age band. ",""))&amp;IF(LEFT(IFERROR(INDEX('Driver Factors'!$D$28:$D$36,MATCH($T139,'Driver Factors'!$B$28:$B$36,0)),""),7)="DECLINE","DECLINE - MVR. ",IF(LEFT(IFERROR(INDEX('Driver Factors'!$D$28:$D$36,MATCH($T139,'Driver Factors'!$B$28:$B$36,0)),""),5)="Refer","MVR record. ",""))&amp;IF(LEFT(IFERROR(INDEX('Claims History'!$D$6:$D$15,MATCH($U139,'Claims History'!$B$6:$B$15,0)),""),7)="DECLINE","DECLINE - claims. ",IF(LEFT(IFERROR(INDEX('Claims History'!$D$6:$D$15,MATCH($U139,'Claims History'!$B$6:$B$15,0)),""),5)="Refer","Claims history. ",""))&amp;IF(LEFT(IFERROR(INDEX('Usage and Coverage'!$E$6:$E$20,MATCH($N139,'Usage and Coverage'!$C$6:$C$20,0)),""),7)="DECLINE","DECLINE - usage class. ",IF(LEFT(IFERROR(INDEX('Usage and Coverage'!$E$6:$E$20,MATCH($N139,'Usage and Coverage'!$C$6:$C$20,0)),""),5)="Refer","Usage class. ",""))&amp;IF($CX139="CHECK INPUTS","Incomplete inputs. ",""))))</f>
        <v/>
      </c>
      <c r="DB139" s="92"/>
      <c r="DC139" s="92"/>
      <c r="DD139" s="93"/>
      <c r="DE139" s="92"/>
      <c r="DF139" s="92"/>
      <c r="DG139" s="97" t="str">
        <f t="shared" si="38"/>
        <v/>
      </c>
      <c r="DH139" s="97" t="str">
        <f>IF($A139="","",IF(OR($CX139="REFER",$CX139="DECLINE"),COUNTIF($CX$5:$CX139,"REFER")+COUNTIF($CX$5:$CX139,"DECLINE"),""))</f>
        <v/>
      </c>
      <c r="DI139" s="92"/>
    </row>
    <row r="140" spans="1:113" x14ac:dyDescent="0.25">
      <c r="A140" s="92"/>
      <c r="B140" s="92"/>
      <c r="C140" s="93"/>
      <c r="D140" s="93"/>
      <c r="E140" s="94"/>
      <c r="F140" s="92"/>
      <c r="G140" s="92"/>
      <c r="H140" s="92"/>
      <c r="I140" s="92"/>
      <c r="J140" s="95"/>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6"/>
      <c r="AR140" s="97" t="str">
        <f t="shared" si="26"/>
        <v/>
      </c>
      <c r="AS140" s="97" t="str">
        <f>IF($A140="","",IF($AP140&lt;&gt;"",$AP140,IFERROR(INDEX('Cat Zone by ZIP'!$D$6:$D$856,MATCH($AR140,'Cat Zone by ZIP'!$B$6:$B$856,0)),IFERROR(INDEX('Cat Zone by ZIP'!$C$860:$C$910,MATCH($K140,'Cat Zone by ZIP'!$B$860:$B$910,0)),"NOT FOUND"))))</f>
        <v/>
      </c>
      <c r="AT140" s="97" t="str">
        <f>IF($A140="","",IF($AP140&lt;&gt;"","Override",IF(ISNUMBER(MATCH($AR140,'Cat Zone by ZIP'!$B$6:$B$856,0)),"ZIP-3","State default")))</f>
        <v/>
      </c>
      <c r="AU140" s="98" t="str">
        <f>IF($A140="","",IFERROR(INDEX('Natural Catastrophe'!$D$6:$D$17,MATCH($AS140,'Natural Catastrophe'!$B$6:$B$17,0)),"?"))</f>
        <v/>
      </c>
      <c r="AV140" s="98" t="str">
        <f>IF($A140="","",IFERROR(INDEX('Natural Catastrophe'!$C$21:$C$26,MATCH($AA140,'Natural Catastrophe'!$B$21:$B$26,0)),"?"))</f>
        <v/>
      </c>
      <c r="AW140" s="97" t="str">
        <f>IF($A140="","",IFERROR(INDEX('Base Rates'!$C$4:$I$4,MATCH(MAX($J140,'Technical Premium'!$C$18),'Base Rates'!$C$3:$I$3,1)),"?"))</f>
        <v/>
      </c>
      <c r="AX140" s="99" t="str">
        <f>IF($A140="","",IFERROR(INDEX('Base Rates'!$C$5:$I$16,MATCH($I140,'Base Rates'!$B$5:$B$16,0),MATCH(MAX($J140,'Technical Premium'!$C$18),'Base Rates'!$C$3:$I$3,1)),"?"))</f>
        <v/>
      </c>
      <c r="AY140" s="100" t="str">
        <f t="shared" si="27"/>
        <v/>
      </c>
      <c r="AZ140" s="97" t="str">
        <f>IF($A140="","",IFERROR(INDEX('Make Factors'!$G$5:$G$69,MATCH($F140,'Make Factors'!$B$5:$B$69,0)),"?"))</f>
        <v/>
      </c>
      <c r="BA140" s="97" t="str">
        <f>IF($A140="","",IFERROR(INDEX('Driver Factors'!$C$6:$C$15,MATCH($R140,'Driver Factors'!$B$6:$B$15,0)),"?"))</f>
        <v/>
      </c>
      <c r="BB140" s="97" t="str">
        <f>IF($A140="","",IFERROR(INDEX('Driver Factors'!$C$19:$C$24,MATCH($S140,'Driver Factors'!$B$19:$B$24,0)),"?"))</f>
        <v/>
      </c>
      <c r="BC140" s="97" t="str">
        <f>IF($A140="","",IFERROR(INDEX('Driver Factors'!$C$28:$C$36,MATCH($T140,'Driver Factors'!$B$28:$B$36,0)),"?"))</f>
        <v/>
      </c>
      <c r="BD140" s="97" t="str">
        <f>IF($A140="","",IFERROR(INDEX('Claims History'!$C$6:$C$15,MATCH($U140,'Claims History'!$B$6:$B$15,0)),"?"))</f>
        <v/>
      </c>
      <c r="BE140" s="97" t="str">
        <f>IF($A140="","",IFERROR(INDEX('Territory Factors'!$E$6:$E$56,MATCH($K140,'Territory Factors'!$B$6:$B$56,0)),"?"))</f>
        <v/>
      </c>
      <c r="BF140" s="97" t="str">
        <f>IF($A140="","",IFERROR(INDEX('City Accident Ratings'!$G$6:$G$54,MATCH($Z140,'City Accident Ratings'!$B$6:$B$54,0)),"?"))</f>
        <v/>
      </c>
      <c r="BG140" s="97" t="str">
        <f>IF($A140="","",IFERROR(INDEX('Usage and Coverage'!$D$6:$D$20,MATCH($N140,'Usage and Coverage'!$C$6:$C$20,0)),"?"))</f>
        <v/>
      </c>
      <c r="BH140" s="97" t="str">
        <f>IF($A140="","",IFERROR(INDEX('Usage and Coverage'!$C$24:$C$30,MATCH($O140,'Usage and Coverage'!$B$24:$B$30,0)),"?"))</f>
        <v/>
      </c>
      <c r="BI140" s="97" t="str">
        <f>IF($A140="","",IFERROR(INDEX('Usage and Coverage'!$C$34:$C$40,MATCH($P140,'Usage and Coverage'!$B$34:$B$40,0)),"?"))</f>
        <v/>
      </c>
      <c r="BJ140" s="97" t="str">
        <f>IF($A140="","",IFERROR(INDEX('Usage and Coverage'!$C$44:$C$49,MATCH($Q140,'Usage and Coverage'!$B$44:$B$49,0)),"?"))</f>
        <v/>
      </c>
      <c r="BK140" s="97" t="str">
        <f>IF($A140="","",IFERROR(INDEX(Deductibles!$C$6:$I$15,MATCH($W140,Deductibles!$B$6:$B$15,0),MATCH(MAX($J140,'Technical Premium'!$C$18),'Base Rates'!$C$3:$I$3,1)),"?"))</f>
        <v/>
      </c>
      <c r="BL140" s="97" t="str">
        <f>IF($A140="","",IFERROR(INDEX('Usage and Coverage'!$C$63:$C$66,MATCH($X140,'Usage and Coverage'!$B$63:$B$66,0)),"?"))</f>
        <v/>
      </c>
      <c r="BM140" s="97" t="str">
        <f>IF($A140="","",IFERROR(INDEX('Usage and Coverage'!$C$70:$C$75,MATCH($V140,'Usage and Coverage'!$B$70:$B$75,0)),"?"))</f>
        <v/>
      </c>
      <c r="BN140" s="97" t="str">
        <f>IF($A140="","",IF($AB140="",1,IFERROR(INDEX(Deductibles!$C$48:$C$51,MATCH($AB140,Deductibles!$B$48:$B$51,0)),"?")))</f>
        <v/>
      </c>
      <c r="BO140" s="97" t="str">
        <f>IF($A140="","",IF($AC140="",1,IFERROR(INDEX(Deductibles!$C$55:$C$57,MATCH($AC140,Deductibles!$B$55:$B$57,0)),"?")))</f>
        <v/>
      </c>
      <c r="BP140" s="97" t="str">
        <f>IF($A140="","",IF($AD140="",1,IFERROR(INDEX(Deductibles!$C$61:$C$63,MATCH($AD140,Deductibles!$B$61:$B$63,0)),"?")))</f>
        <v/>
      </c>
      <c r="BQ140" s="97" t="str">
        <f>IF($A140="","",IF($AE140="",1,IFERROR(INDEX(Deductibles!$C$67:$C$69,MATCH($AE140,Deductibles!$B$67:$B$69,0)),"?")))</f>
        <v/>
      </c>
      <c r="BR140" s="97" t="str">
        <f>IF($A140="","",IF($AF140="",1,IFERROR(INDEX(Deductibles!$C$73:$C$74,MATCH($AF140,Deductibles!$B$73:$B$74,0)),"?")))</f>
        <v/>
      </c>
      <c r="BS140" s="97" t="str">
        <f>IF($A140="","",IF($AG140="",1,IFERROR(INDEX('Sublimits and Parts'!$C$49:$C$52,MATCH($AG140,'Sublimits and Parts'!$B$49:$B$52,0)),"?")))</f>
        <v/>
      </c>
      <c r="BT140" s="97" t="str">
        <f>IF($A140="","",IF($AH140="",1,IFERROR(INDEX('Sublimits and Parts'!$C$56:$C$60,MATCH($AH140,'Sublimits and Parts'!$B$56:$B$60,0)),"?")))</f>
        <v/>
      </c>
      <c r="BU140" s="97" t="str">
        <f>IF($A140="","",IF($AI140="",1,IFERROR(INDEX('Sublimits and Parts'!$C$64:$C$67,MATCH($AI140,'Sublimits and Parts'!$B$64:$B$67,0)),"?")))</f>
        <v/>
      </c>
      <c r="BV140" s="97" t="str">
        <f>IF($A140="","",IF($AJ140="",1,IFERROR(INDEX('Sublimits and Parts'!$C$71:$C$74,MATCH($AJ140,'Sublimits and Parts'!$B$71:$B$74,0)),"?")))</f>
        <v/>
      </c>
      <c r="BW140" s="97" t="str">
        <f>IF($A140="","",IF($AK140="",1,IFERROR(INDEX('Sublimits and Parts'!$C$78:$C$80,MATCH($AK140,'Sublimits and Parts'!$B$78:$B$80,0)),"?")))</f>
        <v/>
      </c>
      <c r="BX140" s="97" t="str">
        <f>IF($A140="","",IF($AL140="",1,IFERROR(INDEX('Sublimits and Parts'!$C$84:$C$87,MATCH($AL140,'Sublimits and Parts'!$B$84:$B$87,0)),"?")))</f>
        <v/>
      </c>
      <c r="BY140" s="97" t="str">
        <f>IF($A140="","",IF($AM140="",1,IFERROR(INDEX('Sublimits and Parts'!$C$91:$C$94,MATCH($AM140,'Sublimits and Parts'!$B$91:$B$94,0)),"?")))</f>
        <v/>
      </c>
      <c r="BZ140" s="97" t="str">
        <f>IF($A140="","",IF($AN140="",1,IFERROR(INDEX('Sublimits and Parts'!$C$98:$C$101,MATCH($AN140,'Sublimits and Parts'!$B$98:$B$101,0)),"?")))</f>
        <v/>
      </c>
      <c r="CA140" s="97" t="str">
        <f>IF($A140="","",IF($AO140="",1,IFERROR(INDEX('Sublimits and Parts'!$C$105:$C$109,MATCH($AO140,'Sublimits and Parts'!$B$105:$B$109,0)),"?")))</f>
        <v/>
      </c>
      <c r="CB140" s="98" t="str">
        <f t="shared" si="28"/>
        <v/>
      </c>
      <c r="CC140" s="98" t="str">
        <f t="shared" si="29"/>
        <v/>
      </c>
      <c r="CD140" s="101" t="str">
        <f>IF($A140="","",IF(OR($CB140="?",$CC140="?"),"?",MIN($CB140*$CC140,'Technical Premium'!$C$17)))</f>
        <v/>
      </c>
      <c r="CE140" s="100" t="str">
        <f t="shared" si="30"/>
        <v/>
      </c>
      <c r="CF140" s="100" t="str">
        <f>IF($A140="","",IFERROR(INDEX('Territory Factors'!$F$6:$F$56,MATCH($K140,'Territory Factors'!$B$6:$B$56,0)),"?"))</f>
        <v/>
      </c>
      <c r="CG140" s="98" t="str">
        <f>IF($A140="","",IFERROR(INDEX('Usage and Coverage'!$C$79:$C$84,MATCH($Y140,'Usage and Coverage'!$B$79:$B$84,0)),"?"))</f>
        <v/>
      </c>
      <c r="CH140" s="100" t="str">
        <f>IFERROR(IF(ISNUMBER($CD140),$CF140*$CG140*MIN($BG140*$BA140*$BC140*$BD140*$BH140*$BF140,'Technical Premium'!$C$17),""),"")</f>
        <v/>
      </c>
      <c r="CI140" s="100" t="str">
        <f t="shared" si="31"/>
        <v/>
      </c>
      <c r="CJ140" s="100" t="str">
        <f>IFERROR($CI140*(1+'Technical Premium'!$C$5)*(1+'Technical Premium'!$C$6),"")</f>
        <v/>
      </c>
      <c r="CK140" s="100" t="str">
        <f>IFERROR($CE140*INDEX('Territory Factors'!$G$6:$G$56,MATCH($K140,'Territory Factors'!$B$6:$B$56,0))*$AU140*$AV140,"")</f>
        <v/>
      </c>
      <c r="CL140" s="100" t="str">
        <f>IFERROR(($CJ140+$CK140)*(1+'Technical Premium'!$C$7),"")</f>
        <v/>
      </c>
      <c r="CM140" s="102" t="str">
        <f>IFERROR($CL140/'Technical Premium'!$C$13,"")</f>
        <v/>
      </c>
      <c r="CN140" s="103" t="str">
        <f t="shared" si="32"/>
        <v/>
      </c>
      <c r="CO140" s="102" t="str">
        <f t="shared" si="33"/>
        <v/>
      </c>
      <c r="CP140" s="103" t="str">
        <f t="shared" si="34"/>
        <v/>
      </c>
      <c r="CQ140" s="104" t="str">
        <f t="shared" si="35"/>
        <v/>
      </c>
      <c r="CR140" s="100" t="str">
        <f>IF(ISNUMBER($CM140),'Technical Premium'!$C$14+IF($J140&gt;=1000000,'Technical Premium'!$C$15,0),"")</f>
        <v/>
      </c>
      <c r="CS140" s="100" t="str">
        <f>IFERROR(($CO140+$CR140)*(INDEX('Territory Factors'!$K$6:$K$56,MATCH($K140,'Territory Factors'!$B$6:$B$56,0))+'Commission Structure'!$C$21),"")</f>
        <v/>
      </c>
      <c r="CT140" s="102" t="str">
        <f t="shared" si="36"/>
        <v/>
      </c>
      <c r="CU140" s="100" t="str">
        <f>IFERROR($CO140*('Commission Structure'!$C$6+'Commission Structure'!$C$7),"")</f>
        <v/>
      </c>
      <c r="CV140" s="100" t="str">
        <f>IFERROR($CO140*'Commission Structure'!$C$5-$CU140,"")</f>
        <v/>
      </c>
      <c r="CW140" s="100" t="str">
        <f>IFERROR($CO140*(1-'Commission Structure'!$C$5),"")</f>
        <v/>
      </c>
      <c r="CX140" s="105" t="str">
        <f>IF($A140="","",IF(OR($CB140="?",$CC140="?",NOT(ISNUMBER($AU140))),"CHECK INPUTS",IF(OR($J140&lt;'Technical Premium'!$C$18,LEFT(IFERROR(INDEX('Driver Factors'!$D$6:$D$15,MATCH($R140,'Driver Factors'!$B$6:$B$15,0)),""),7)="DECLINE",LEFT(IFERROR(INDEX('Driver Factors'!$D$28:$D$36,MATCH($T140,'Driver Factors'!$B$28:$B$36,0)),""),7)="DECLINE",LEFT(IFERROR(INDEX('Claims History'!$D$6:$D$15,MATCH($U140,'Claims History'!$B$6:$B$15,0)),""),7)="DECLINE",LEFT(IFERROR(INDEX('Usage and Coverage'!$E$6:$E$20,MATCH($N140,'Usage and Coverage'!$C$6:$C$20,0)),""),7)="DECLINE"),"DECLINE",IF(OR($CD140&gt;2.5,$CD140&gt;='Technical Premium'!$C$17,$J140&gt;='Technical Premium'!$C$16,N($AQ140)&lt;'Technical Premium'!$C$19,N($AQ140)&gt;'Technical Premium'!$C$20,LEFT(IFERROR(INDEX('Driver Factors'!$D$6:$D$15,MATCH($R140,'Driver Factors'!$B$6:$B$15,0)),""),5)="Refer",LEFT(IFERROR(INDEX('Driver Factors'!$D$28:$D$36,MATCH($T140,'Driver Factors'!$B$28:$B$36,0)),""),5)="Refer",LEFT(IFERROR(INDEX('Claims History'!$D$6:$D$15,MATCH($U140,'Claims History'!$B$6:$B$15,0)),""),5)="Refer",LEFT(IFERROR(INDEX('Usage and Coverage'!$E$6:$E$20,MATCH($N140,'Usage and Coverage'!$C$6:$C$20,0)),""),5)="Refer"),"REFER","AUTO-BIND"))))</f>
        <v/>
      </c>
      <c r="CY140" s="106" t="str">
        <f t="shared" si="37"/>
        <v/>
      </c>
      <c r="CZ140" s="97" t="str">
        <f>IF($CY140="","",IF($CY140&lt;'Technical Premium'!$C$19,"BEYOND AUTHORITY",IF($CY140&gt;0.005,"Above technical",IF($CY140&lt;-0.005,"BELOW technical","At technical"))))</f>
        <v/>
      </c>
      <c r="DA140" s="97" t="str">
        <f>IF($A140="","",IF($CX140="AUTO-BIND","",TRIM(IF($J140&lt;'Technical Premium'!$C$18,"Below programme minimum agreed value. ","")&amp;IF(N($AQ140)&lt;'Technical Premium'!$C$19,"DISCOUNT AUTHORITY BREACH. ","")&amp;IF(N($AQ140)&gt;'Technical Premium'!$C$20,"Load authority breach. ","")&amp;IF($J140&gt;='Technical Premium'!$C$16,"Agreed value at or above auto-bind limit. ","")&amp;IF(AND(ISNUMBER($CD140),$CD140&gt;='Technical Premium'!$C$17),"Composite factor at cap. ","")&amp;IF(AND(ISNUMBER($CD140),$CD140&gt;2.5),"Composite factor above 2.50. ","")&amp;IF(LEFT(IFERROR(INDEX('Driver Factors'!$D$6:$D$15,MATCH($R140,'Driver Factors'!$B$6:$B$15,0)),""),7)="DECLINE","DECLINE - driver age. ",IF(LEFT(IFERROR(INDEX('Driver Factors'!$D$6:$D$15,MATCH($R140,'Driver Factors'!$B$6:$B$15,0)),""),5)="Refer","Driver age band. ",""))&amp;IF(LEFT(IFERROR(INDEX('Driver Factors'!$D$28:$D$36,MATCH($T140,'Driver Factors'!$B$28:$B$36,0)),""),7)="DECLINE","DECLINE - MVR. ",IF(LEFT(IFERROR(INDEX('Driver Factors'!$D$28:$D$36,MATCH($T140,'Driver Factors'!$B$28:$B$36,0)),""),5)="Refer","MVR record. ",""))&amp;IF(LEFT(IFERROR(INDEX('Claims History'!$D$6:$D$15,MATCH($U140,'Claims History'!$B$6:$B$15,0)),""),7)="DECLINE","DECLINE - claims. ",IF(LEFT(IFERROR(INDEX('Claims History'!$D$6:$D$15,MATCH($U140,'Claims History'!$B$6:$B$15,0)),""),5)="Refer","Claims history. ",""))&amp;IF(LEFT(IFERROR(INDEX('Usage and Coverage'!$E$6:$E$20,MATCH($N140,'Usage and Coverage'!$C$6:$C$20,0)),""),7)="DECLINE","DECLINE - usage class. ",IF(LEFT(IFERROR(INDEX('Usage and Coverage'!$E$6:$E$20,MATCH($N140,'Usage and Coverage'!$C$6:$C$20,0)),""),5)="Refer","Usage class. ",""))&amp;IF($CX140="CHECK INPUTS","Incomplete inputs. ",""))))</f>
        <v/>
      </c>
      <c r="DB140" s="92"/>
      <c r="DC140" s="92"/>
      <c r="DD140" s="93"/>
      <c r="DE140" s="92"/>
      <c r="DF140" s="92"/>
      <c r="DG140" s="97" t="str">
        <f t="shared" si="38"/>
        <v/>
      </c>
      <c r="DH140" s="97" t="str">
        <f>IF($A140="","",IF(OR($CX140="REFER",$CX140="DECLINE"),COUNTIF($CX$5:$CX140,"REFER")+COUNTIF($CX$5:$CX140,"DECLINE"),""))</f>
        <v/>
      </c>
      <c r="DI140" s="92"/>
    </row>
    <row r="141" spans="1:113" x14ac:dyDescent="0.25">
      <c r="A141" s="92"/>
      <c r="B141" s="92"/>
      <c r="C141" s="93"/>
      <c r="D141" s="93"/>
      <c r="E141" s="94"/>
      <c r="F141" s="92"/>
      <c r="G141" s="92"/>
      <c r="H141" s="92"/>
      <c r="I141" s="92"/>
      <c r="J141" s="95"/>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6"/>
      <c r="AR141" s="97" t="str">
        <f t="shared" si="26"/>
        <v/>
      </c>
      <c r="AS141" s="97" t="str">
        <f>IF($A141="","",IF($AP141&lt;&gt;"",$AP141,IFERROR(INDEX('Cat Zone by ZIP'!$D$6:$D$856,MATCH($AR141,'Cat Zone by ZIP'!$B$6:$B$856,0)),IFERROR(INDEX('Cat Zone by ZIP'!$C$860:$C$910,MATCH($K141,'Cat Zone by ZIP'!$B$860:$B$910,0)),"NOT FOUND"))))</f>
        <v/>
      </c>
      <c r="AT141" s="97" t="str">
        <f>IF($A141="","",IF($AP141&lt;&gt;"","Override",IF(ISNUMBER(MATCH($AR141,'Cat Zone by ZIP'!$B$6:$B$856,0)),"ZIP-3","State default")))</f>
        <v/>
      </c>
      <c r="AU141" s="98" t="str">
        <f>IF($A141="","",IFERROR(INDEX('Natural Catastrophe'!$D$6:$D$17,MATCH($AS141,'Natural Catastrophe'!$B$6:$B$17,0)),"?"))</f>
        <v/>
      </c>
      <c r="AV141" s="98" t="str">
        <f>IF($A141="","",IFERROR(INDEX('Natural Catastrophe'!$C$21:$C$26,MATCH($AA141,'Natural Catastrophe'!$B$21:$B$26,0)),"?"))</f>
        <v/>
      </c>
      <c r="AW141" s="97" t="str">
        <f>IF($A141="","",IFERROR(INDEX('Base Rates'!$C$4:$I$4,MATCH(MAX($J141,'Technical Premium'!$C$18),'Base Rates'!$C$3:$I$3,1)),"?"))</f>
        <v/>
      </c>
      <c r="AX141" s="99" t="str">
        <f>IF($A141="","",IFERROR(INDEX('Base Rates'!$C$5:$I$16,MATCH($I141,'Base Rates'!$B$5:$B$16,0),MATCH(MAX($J141,'Technical Premium'!$C$18),'Base Rates'!$C$3:$I$3,1)),"?"))</f>
        <v/>
      </c>
      <c r="AY141" s="100" t="str">
        <f t="shared" si="27"/>
        <v/>
      </c>
      <c r="AZ141" s="97" t="str">
        <f>IF($A141="","",IFERROR(INDEX('Make Factors'!$G$5:$G$69,MATCH($F141,'Make Factors'!$B$5:$B$69,0)),"?"))</f>
        <v/>
      </c>
      <c r="BA141" s="97" t="str">
        <f>IF($A141="","",IFERROR(INDEX('Driver Factors'!$C$6:$C$15,MATCH($R141,'Driver Factors'!$B$6:$B$15,0)),"?"))</f>
        <v/>
      </c>
      <c r="BB141" s="97" t="str">
        <f>IF($A141="","",IFERROR(INDEX('Driver Factors'!$C$19:$C$24,MATCH($S141,'Driver Factors'!$B$19:$B$24,0)),"?"))</f>
        <v/>
      </c>
      <c r="BC141" s="97" t="str">
        <f>IF($A141="","",IFERROR(INDEX('Driver Factors'!$C$28:$C$36,MATCH($T141,'Driver Factors'!$B$28:$B$36,0)),"?"))</f>
        <v/>
      </c>
      <c r="BD141" s="97" t="str">
        <f>IF($A141="","",IFERROR(INDEX('Claims History'!$C$6:$C$15,MATCH($U141,'Claims History'!$B$6:$B$15,0)),"?"))</f>
        <v/>
      </c>
      <c r="BE141" s="97" t="str">
        <f>IF($A141="","",IFERROR(INDEX('Territory Factors'!$E$6:$E$56,MATCH($K141,'Territory Factors'!$B$6:$B$56,0)),"?"))</f>
        <v/>
      </c>
      <c r="BF141" s="97" t="str">
        <f>IF($A141="","",IFERROR(INDEX('City Accident Ratings'!$G$6:$G$54,MATCH($Z141,'City Accident Ratings'!$B$6:$B$54,0)),"?"))</f>
        <v/>
      </c>
      <c r="BG141" s="97" t="str">
        <f>IF($A141="","",IFERROR(INDEX('Usage and Coverage'!$D$6:$D$20,MATCH($N141,'Usage and Coverage'!$C$6:$C$20,0)),"?"))</f>
        <v/>
      </c>
      <c r="BH141" s="97" t="str">
        <f>IF($A141="","",IFERROR(INDEX('Usage and Coverage'!$C$24:$C$30,MATCH($O141,'Usage and Coverage'!$B$24:$B$30,0)),"?"))</f>
        <v/>
      </c>
      <c r="BI141" s="97" t="str">
        <f>IF($A141="","",IFERROR(INDEX('Usage and Coverage'!$C$34:$C$40,MATCH($P141,'Usage and Coverage'!$B$34:$B$40,0)),"?"))</f>
        <v/>
      </c>
      <c r="BJ141" s="97" t="str">
        <f>IF($A141="","",IFERROR(INDEX('Usage and Coverage'!$C$44:$C$49,MATCH($Q141,'Usage and Coverage'!$B$44:$B$49,0)),"?"))</f>
        <v/>
      </c>
      <c r="BK141" s="97" t="str">
        <f>IF($A141="","",IFERROR(INDEX(Deductibles!$C$6:$I$15,MATCH($W141,Deductibles!$B$6:$B$15,0),MATCH(MAX($J141,'Technical Premium'!$C$18),'Base Rates'!$C$3:$I$3,1)),"?"))</f>
        <v/>
      </c>
      <c r="BL141" s="97" t="str">
        <f>IF($A141="","",IFERROR(INDEX('Usage and Coverage'!$C$63:$C$66,MATCH($X141,'Usage and Coverage'!$B$63:$B$66,0)),"?"))</f>
        <v/>
      </c>
      <c r="BM141" s="97" t="str">
        <f>IF($A141="","",IFERROR(INDEX('Usage and Coverage'!$C$70:$C$75,MATCH($V141,'Usage and Coverage'!$B$70:$B$75,0)),"?"))</f>
        <v/>
      </c>
      <c r="BN141" s="97" t="str">
        <f>IF($A141="","",IF($AB141="",1,IFERROR(INDEX(Deductibles!$C$48:$C$51,MATCH($AB141,Deductibles!$B$48:$B$51,0)),"?")))</f>
        <v/>
      </c>
      <c r="BO141" s="97" t="str">
        <f>IF($A141="","",IF($AC141="",1,IFERROR(INDEX(Deductibles!$C$55:$C$57,MATCH($AC141,Deductibles!$B$55:$B$57,0)),"?")))</f>
        <v/>
      </c>
      <c r="BP141" s="97" t="str">
        <f>IF($A141="","",IF($AD141="",1,IFERROR(INDEX(Deductibles!$C$61:$C$63,MATCH($AD141,Deductibles!$B$61:$B$63,0)),"?")))</f>
        <v/>
      </c>
      <c r="BQ141" s="97" t="str">
        <f>IF($A141="","",IF($AE141="",1,IFERROR(INDEX(Deductibles!$C$67:$C$69,MATCH($AE141,Deductibles!$B$67:$B$69,0)),"?")))</f>
        <v/>
      </c>
      <c r="BR141" s="97" t="str">
        <f>IF($A141="","",IF($AF141="",1,IFERROR(INDEX(Deductibles!$C$73:$C$74,MATCH($AF141,Deductibles!$B$73:$B$74,0)),"?")))</f>
        <v/>
      </c>
      <c r="BS141" s="97" t="str">
        <f>IF($A141="","",IF($AG141="",1,IFERROR(INDEX('Sublimits and Parts'!$C$49:$C$52,MATCH($AG141,'Sublimits and Parts'!$B$49:$B$52,0)),"?")))</f>
        <v/>
      </c>
      <c r="BT141" s="97" t="str">
        <f>IF($A141="","",IF($AH141="",1,IFERROR(INDEX('Sublimits and Parts'!$C$56:$C$60,MATCH($AH141,'Sublimits and Parts'!$B$56:$B$60,0)),"?")))</f>
        <v/>
      </c>
      <c r="BU141" s="97" t="str">
        <f>IF($A141="","",IF($AI141="",1,IFERROR(INDEX('Sublimits and Parts'!$C$64:$C$67,MATCH($AI141,'Sublimits and Parts'!$B$64:$B$67,0)),"?")))</f>
        <v/>
      </c>
      <c r="BV141" s="97" t="str">
        <f>IF($A141="","",IF($AJ141="",1,IFERROR(INDEX('Sublimits and Parts'!$C$71:$C$74,MATCH($AJ141,'Sublimits and Parts'!$B$71:$B$74,0)),"?")))</f>
        <v/>
      </c>
      <c r="BW141" s="97" t="str">
        <f>IF($A141="","",IF($AK141="",1,IFERROR(INDEX('Sublimits and Parts'!$C$78:$C$80,MATCH($AK141,'Sublimits and Parts'!$B$78:$B$80,0)),"?")))</f>
        <v/>
      </c>
      <c r="BX141" s="97" t="str">
        <f>IF($A141="","",IF($AL141="",1,IFERROR(INDEX('Sublimits and Parts'!$C$84:$C$87,MATCH($AL141,'Sublimits and Parts'!$B$84:$B$87,0)),"?")))</f>
        <v/>
      </c>
      <c r="BY141" s="97" t="str">
        <f>IF($A141="","",IF($AM141="",1,IFERROR(INDEX('Sublimits and Parts'!$C$91:$C$94,MATCH($AM141,'Sublimits and Parts'!$B$91:$B$94,0)),"?")))</f>
        <v/>
      </c>
      <c r="BZ141" s="97" t="str">
        <f>IF($A141="","",IF($AN141="",1,IFERROR(INDEX('Sublimits and Parts'!$C$98:$C$101,MATCH($AN141,'Sublimits and Parts'!$B$98:$B$101,0)),"?")))</f>
        <v/>
      </c>
      <c r="CA141" s="97" t="str">
        <f>IF($A141="","",IF($AO141="",1,IFERROR(INDEX('Sublimits and Parts'!$C$105:$C$109,MATCH($AO141,'Sublimits and Parts'!$B$105:$B$109,0)),"?")))</f>
        <v/>
      </c>
      <c r="CB141" s="98" t="str">
        <f t="shared" si="28"/>
        <v/>
      </c>
      <c r="CC141" s="98" t="str">
        <f t="shared" si="29"/>
        <v/>
      </c>
      <c r="CD141" s="101" t="str">
        <f>IF($A141="","",IF(OR($CB141="?",$CC141="?"),"?",MIN($CB141*$CC141,'Technical Premium'!$C$17)))</f>
        <v/>
      </c>
      <c r="CE141" s="100" t="str">
        <f t="shared" si="30"/>
        <v/>
      </c>
      <c r="CF141" s="100" t="str">
        <f>IF($A141="","",IFERROR(INDEX('Territory Factors'!$F$6:$F$56,MATCH($K141,'Territory Factors'!$B$6:$B$56,0)),"?"))</f>
        <v/>
      </c>
      <c r="CG141" s="98" t="str">
        <f>IF($A141="","",IFERROR(INDEX('Usage and Coverage'!$C$79:$C$84,MATCH($Y141,'Usage and Coverage'!$B$79:$B$84,0)),"?"))</f>
        <v/>
      </c>
      <c r="CH141" s="100" t="str">
        <f>IFERROR(IF(ISNUMBER($CD141),$CF141*$CG141*MIN($BG141*$BA141*$BC141*$BD141*$BH141*$BF141,'Technical Premium'!$C$17),""),"")</f>
        <v/>
      </c>
      <c r="CI141" s="100" t="str">
        <f t="shared" si="31"/>
        <v/>
      </c>
      <c r="CJ141" s="100" t="str">
        <f>IFERROR($CI141*(1+'Technical Premium'!$C$5)*(1+'Technical Premium'!$C$6),"")</f>
        <v/>
      </c>
      <c r="CK141" s="100" t="str">
        <f>IFERROR($CE141*INDEX('Territory Factors'!$G$6:$G$56,MATCH($K141,'Territory Factors'!$B$6:$B$56,0))*$AU141*$AV141,"")</f>
        <v/>
      </c>
      <c r="CL141" s="100" t="str">
        <f>IFERROR(($CJ141+$CK141)*(1+'Technical Premium'!$C$7),"")</f>
        <v/>
      </c>
      <c r="CM141" s="102" t="str">
        <f>IFERROR($CL141/'Technical Premium'!$C$13,"")</f>
        <v/>
      </c>
      <c r="CN141" s="103" t="str">
        <f t="shared" si="32"/>
        <v/>
      </c>
      <c r="CO141" s="102" t="str">
        <f t="shared" si="33"/>
        <v/>
      </c>
      <c r="CP141" s="103" t="str">
        <f t="shared" si="34"/>
        <v/>
      </c>
      <c r="CQ141" s="104" t="str">
        <f t="shared" si="35"/>
        <v/>
      </c>
      <c r="CR141" s="100" t="str">
        <f>IF(ISNUMBER($CM141),'Technical Premium'!$C$14+IF($J141&gt;=1000000,'Technical Premium'!$C$15,0),"")</f>
        <v/>
      </c>
      <c r="CS141" s="100" t="str">
        <f>IFERROR(($CO141+$CR141)*(INDEX('Territory Factors'!$K$6:$K$56,MATCH($K141,'Territory Factors'!$B$6:$B$56,0))+'Commission Structure'!$C$21),"")</f>
        <v/>
      </c>
      <c r="CT141" s="102" t="str">
        <f t="shared" si="36"/>
        <v/>
      </c>
      <c r="CU141" s="100" t="str">
        <f>IFERROR($CO141*('Commission Structure'!$C$6+'Commission Structure'!$C$7),"")</f>
        <v/>
      </c>
      <c r="CV141" s="100" t="str">
        <f>IFERROR($CO141*'Commission Structure'!$C$5-$CU141,"")</f>
        <v/>
      </c>
      <c r="CW141" s="100" t="str">
        <f>IFERROR($CO141*(1-'Commission Structure'!$C$5),"")</f>
        <v/>
      </c>
      <c r="CX141" s="105" t="str">
        <f>IF($A141="","",IF(OR($CB141="?",$CC141="?",NOT(ISNUMBER($AU141))),"CHECK INPUTS",IF(OR($J141&lt;'Technical Premium'!$C$18,LEFT(IFERROR(INDEX('Driver Factors'!$D$6:$D$15,MATCH($R141,'Driver Factors'!$B$6:$B$15,0)),""),7)="DECLINE",LEFT(IFERROR(INDEX('Driver Factors'!$D$28:$D$36,MATCH($T141,'Driver Factors'!$B$28:$B$36,0)),""),7)="DECLINE",LEFT(IFERROR(INDEX('Claims History'!$D$6:$D$15,MATCH($U141,'Claims History'!$B$6:$B$15,0)),""),7)="DECLINE",LEFT(IFERROR(INDEX('Usage and Coverage'!$E$6:$E$20,MATCH($N141,'Usage and Coverage'!$C$6:$C$20,0)),""),7)="DECLINE"),"DECLINE",IF(OR($CD141&gt;2.5,$CD141&gt;='Technical Premium'!$C$17,$J141&gt;='Technical Premium'!$C$16,N($AQ141)&lt;'Technical Premium'!$C$19,N($AQ141)&gt;'Technical Premium'!$C$20,LEFT(IFERROR(INDEX('Driver Factors'!$D$6:$D$15,MATCH($R141,'Driver Factors'!$B$6:$B$15,0)),""),5)="Refer",LEFT(IFERROR(INDEX('Driver Factors'!$D$28:$D$36,MATCH($T141,'Driver Factors'!$B$28:$B$36,0)),""),5)="Refer",LEFT(IFERROR(INDEX('Claims History'!$D$6:$D$15,MATCH($U141,'Claims History'!$B$6:$B$15,0)),""),5)="Refer",LEFT(IFERROR(INDEX('Usage and Coverage'!$E$6:$E$20,MATCH($N141,'Usage and Coverage'!$C$6:$C$20,0)),""),5)="Refer"),"REFER","AUTO-BIND"))))</f>
        <v/>
      </c>
      <c r="CY141" s="106" t="str">
        <f t="shared" si="37"/>
        <v/>
      </c>
      <c r="CZ141" s="97" t="str">
        <f>IF($CY141="","",IF($CY141&lt;'Technical Premium'!$C$19,"BEYOND AUTHORITY",IF($CY141&gt;0.005,"Above technical",IF($CY141&lt;-0.005,"BELOW technical","At technical"))))</f>
        <v/>
      </c>
      <c r="DA141" s="97" t="str">
        <f>IF($A141="","",IF($CX141="AUTO-BIND","",TRIM(IF($J141&lt;'Technical Premium'!$C$18,"Below programme minimum agreed value. ","")&amp;IF(N($AQ141)&lt;'Technical Premium'!$C$19,"DISCOUNT AUTHORITY BREACH. ","")&amp;IF(N($AQ141)&gt;'Technical Premium'!$C$20,"Load authority breach. ","")&amp;IF($J141&gt;='Technical Premium'!$C$16,"Agreed value at or above auto-bind limit. ","")&amp;IF(AND(ISNUMBER($CD141),$CD141&gt;='Technical Premium'!$C$17),"Composite factor at cap. ","")&amp;IF(AND(ISNUMBER($CD141),$CD141&gt;2.5),"Composite factor above 2.50. ","")&amp;IF(LEFT(IFERROR(INDEX('Driver Factors'!$D$6:$D$15,MATCH($R141,'Driver Factors'!$B$6:$B$15,0)),""),7)="DECLINE","DECLINE - driver age. ",IF(LEFT(IFERROR(INDEX('Driver Factors'!$D$6:$D$15,MATCH($R141,'Driver Factors'!$B$6:$B$15,0)),""),5)="Refer","Driver age band. ",""))&amp;IF(LEFT(IFERROR(INDEX('Driver Factors'!$D$28:$D$36,MATCH($T141,'Driver Factors'!$B$28:$B$36,0)),""),7)="DECLINE","DECLINE - MVR. ",IF(LEFT(IFERROR(INDEX('Driver Factors'!$D$28:$D$36,MATCH($T141,'Driver Factors'!$B$28:$B$36,0)),""),5)="Refer","MVR record. ",""))&amp;IF(LEFT(IFERROR(INDEX('Claims History'!$D$6:$D$15,MATCH($U141,'Claims History'!$B$6:$B$15,0)),""),7)="DECLINE","DECLINE - claims. ",IF(LEFT(IFERROR(INDEX('Claims History'!$D$6:$D$15,MATCH($U141,'Claims History'!$B$6:$B$15,0)),""),5)="Refer","Claims history. ",""))&amp;IF(LEFT(IFERROR(INDEX('Usage and Coverage'!$E$6:$E$20,MATCH($N141,'Usage and Coverage'!$C$6:$C$20,0)),""),7)="DECLINE","DECLINE - usage class. ",IF(LEFT(IFERROR(INDEX('Usage and Coverage'!$E$6:$E$20,MATCH($N141,'Usage and Coverage'!$C$6:$C$20,0)),""),5)="Refer","Usage class. ",""))&amp;IF($CX141="CHECK INPUTS","Incomplete inputs. ",""))))</f>
        <v/>
      </c>
      <c r="DB141" s="92"/>
      <c r="DC141" s="92"/>
      <c r="DD141" s="93"/>
      <c r="DE141" s="92"/>
      <c r="DF141" s="92"/>
      <c r="DG141" s="97" t="str">
        <f t="shared" si="38"/>
        <v/>
      </c>
      <c r="DH141" s="97" t="str">
        <f>IF($A141="","",IF(OR($CX141="REFER",$CX141="DECLINE"),COUNTIF($CX$5:$CX141,"REFER")+COUNTIF($CX$5:$CX141,"DECLINE"),""))</f>
        <v/>
      </c>
      <c r="DI141" s="92"/>
    </row>
    <row r="142" spans="1:113" x14ac:dyDescent="0.25">
      <c r="A142" s="92"/>
      <c r="B142" s="92"/>
      <c r="C142" s="93"/>
      <c r="D142" s="93"/>
      <c r="E142" s="94"/>
      <c r="F142" s="92"/>
      <c r="G142" s="92"/>
      <c r="H142" s="92"/>
      <c r="I142" s="92"/>
      <c r="J142" s="95"/>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6"/>
      <c r="AR142" s="97" t="str">
        <f t="shared" si="26"/>
        <v/>
      </c>
      <c r="AS142" s="97" t="str">
        <f>IF($A142="","",IF($AP142&lt;&gt;"",$AP142,IFERROR(INDEX('Cat Zone by ZIP'!$D$6:$D$856,MATCH($AR142,'Cat Zone by ZIP'!$B$6:$B$856,0)),IFERROR(INDEX('Cat Zone by ZIP'!$C$860:$C$910,MATCH($K142,'Cat Zone by ZIP'!$B$860:$B$910,0)),"NOT FOUND"))))</f>
        <v/>
      </c>
      <c r="AT142" s="97" t="str">
        <f>IF($A142="","",IF($AP142&lt;&gt;"","Override",IF(ISNUMBER(MATCH($AR142,'Cat Zone by ZIP'!$B$6:$B$856,0)),"ZIP-3","State default")))</f>
        <v/>
      </c>
      <c r="AU142" s="98" t="str">
        <f>IF($A142="","",IFERROR(INDEX('Natural Catastrophe'!$D$6:$D$17,MATCH($AS142,'Natural Catastrophe'!$B$6:$B$17,0)),"?"))</f>
        <v/>
      </c>
      <c r="AV142" s="98" t="str">
        <f>IF($A142="","",IFERROR(INDEX('Natural Catastrophe'!$C$21:$C$26,MATCH($AA142,'Natural Catastrophe'!$B$21:$B$26,0)),"?"))</f>
        <v/>
      </c>
      <c r="AW142" s="97" t="str">
        <f>IF($A142="","",IFERROR(INDEX('Base Rates'!$C$4:$I$4,MATCH(MAX($J142,'Technical Premium'!$C$18),'Base Rates'!$C$3:$I$3,1)),"?"))</f>
        <v/>
      </c>
      <c r="AX142" s="99" t="str">
        <f>IF($A142="","",IFERROR(INDEX('Base Rates'!$C$5:$I$16,MATCH($I142,'Base Rates'!$B$5:$B$16,0),MATCH(MAX($J142,'Technical Premium'!$C$18),'Base Rates'!$C$3:$I$3,1)),"?"))</f>
        <v/>
      </c>
      <c r="AY142" s="100" t="str">
        <f t="shared" si="27"/>
        <v/>
      </c>
      <c r="AZ142" s="97" t="str">
        <f>IF($A142="","",IFERROR(INDEX('Make Factors'!$G$5:$G$69,MATCH($F142,'Make Factors'!$B$5:$B$69,0)),"?"))</f>
        <v/>
      </c>
      <c r="BA142" s="97" t="str">
        <f>IF($A142="","",IFERROR(INDEX('Driver Factors'!$C$6:$C$15,MATCH($R142,'Driver Factors'!$B$6:$B$15,0)),"?"))</f>
        <v/>
      </c>
      <c r="BB142" s="97" t="str">
        <f>IF($A142="","",IFERROR(INDEX('Driver Factors'!$C$19:$C$24,MATCH($S142,'Driver Factors'!$B$19:$B$24,0)),"?"))</f>
        <v/>
      </c>
      <c r="BC142" s="97" t="str">
        <f>IF($A142="","",IFERROR(INDEX('Driver Factors'!$C$28:$C$36,MATCH($T142,'Driver Factors'!$B$28:$B$36,0)),"?"))</f>
        <v/>
      </c>
      <c r="BD142" s="97" t="str">
        <f>IF($A142="","",IFERROR(INDEX('Claims History'!$C$6:$C$15,MATCH($U142,'Claims History'!$B$6:$B$15,0)),"?"))</f>
        <v/>
      </c>
      <c r="BE142" s="97" t="str">
        <f>IF($A142="","",IFERROR(INDEX('Territory Factors'!$E$6:$E$56,MATCH($K142,'Territory Factors'!$B$6:$B$56,0)),"?"))</f>
        <v/>
      </c>
      <c r="BF142" s="97" t="str">
        <f>IF($A142="","",IFERROR(INDEX('City Accident Ratings'!$G$6:$G$54,MATCH($Z142,'City Accident Ratings'!$B$6:$B$54,0)),"?"))</f>
        <v/>
      </c>
      <c r="BG142" s="97" t="str">
        <f>IF($A142="","",IFERROR(INDEX('Usage and Coverage'!$D$6:$D$20,MATCH($N142,'Usage and Coverage'!$C$6:$C$20,0)),"?"))</f>
        <v/>
      </c>
      <c r="BH142" s="97" t="str">
        <f>IF($A142="","",IFERROR(INDEX('Usage and Coverage'!$C$24:$C$30,MATCH($O142,'Usage and Coverage'!$B$24:$B$30,0)),"?"))</f>
        <v/>
      </c>
      <c r="BI142" s="97" t="str">
        <f>IF($A142="","",IFERROR(INDEX('Usage and Coverage'!$C$34:$C$40,MATCH($P142,'Usage and Coverage'!$B$34:$B$40,0)),"?"))</f>
        <v/>
      </c>
      <c r="BJ142" s="97" t="str">
        <f>IF($A142="","",IFERROR(INDEX('Usage and Coverage'!$C$44:$C$49,MATCH($Q142,'Usage and Coverage'!$B$44:$B$49,0)),"?"))</f>
        <v/>
      </c>
      <c r="BK142" s="97" t="str">
        <f>IF($A142="","",IFERROR(INDEX(Deductibles!$C$6:$I$15,MATCH($W142,Deductibles!$B$6:$B$15,0),MATCH(MAX($J142,'Technical Premium'!$C$18),'Base Rates'!$C$3:$I$3,1)),"?"))</f>
        <v/>
      </c>
      <c r="BL142" s="97" t="str">
        <f>IF($A142="","",IFERROR(INDEX('Usage and Coverage'!$C$63:$C$66,MATCH($X142,'Usage and Coverage'!$B$63:$B$66,0)),"?"))</f>
        <v/>
      </c>
      <c r="BM142" s="97" t="str">
        <f>IF($A142="","",IFERROR(INDEX('Usage and Coverage'!$C$70:$C$75,MATCH($V142,'Usage and Coverage'!$B$70:$B$75,0)),"?"))</f>
        <v/>
      </c>
      <c r="BN142" s="97" t="str">
        <f>IF($A142="","",IF($AB142="",1,IFERROR(INDEX(Deductibles!$C$48:$C$51,MATCH($AB142,Deductibles!$B$48:$B$51,0)),"?")))</f>
        <v/>
      </c>
      <c r="BO142" s="97" t="str">
        <f>IF($A142="","",IF($AC142="",1,IFERROR(INDEX(Deductibles!$C$55:$C$57,MATCH($AC142,Deductibles!$B$55:$B$57,0)),"?")))</f>
        <v/>
      </c>
      <c r="BP142" s="97" t="str">
        <f>IF($A142="","",IF($AD142="",1,IFERROR(INDEX(Deductibles!$C$61:$C$63,MATCH($AD142,Deductibles!$B$61:$B$63,0)),"?")))</f>
        <v/>
      </c>
      <c r="BQ142" s="97" t="str">
        <f>IF($A142="","",IF($AE142="",1,IFERROR(INDEX(Deductibles!$C$67:$C$69,MATCH($AE142,Deductibles!$B$67:$B$69,0)),"?")))</f>
        <v/>
      </c>
      <c r="BR142" s="97" t="str">
        <f>IF($A142="","",IF($AF142="",1,IFERROR(INDEX(Deductibles!$C$73:$C$74,MATCH($AF142,Deductibles!$B$73:$B$74,0)),"?")))</f>
        <v/>
      </c>
      <c r="BS142" s="97" t="str">
        <f>IF($A142="","",IF($AG142="",1,IFERROR(INDEX('Sublimits and Parts'!$C$49:$C$52,MATCH($AG142,'Sublimits and Parts'!$B$49:$B$52,0)),"?")))</f>
        <v/>
      </c>
      <c r="BT142" s="97" t="str">
        <f>IF($A142="","",IF($AH142="",1,IFERROR(INDEX('Sublimits and Parts'!$C$56:$C$60,MATCH($AH142,'Sublimits and Parts'!$B$56:$B$60,0)),"?")))</f>
        <v/>
      </c>
      <c r="BU142" s="97" t="str">
        <f>IF($A142="","",IF($AI142="",1,IFERROR(INDEX('Sublimits and Parts'!$C$64:$C$67,MATCH($AI142,'Sublimits and Parts'!$B$64:$B$67,0)),"?")))</f>
        <v/>
      </c>
      <c r="BV142" s="97" t="str">
        <f>IF($A142="","",IF($AJ142="",1,IFERROR(INDEX('Sublimits and Parts'!$C$71:$C$74,MATCH($AJ142,'Sublimits and Parts'!$B$71:$B$74,0)),"?")))</f>
        <v/>
      </c>
      <c r="BW142" s="97" t="str">
        <f>IF($A142="","",IF($AK142="",1,IFERROR(INDEX('Sublimits and Parts'!$C$78:$C$80,MATCH($AK142,'Sublimits and Parts'!$B$78:$B$80,0)),"?")))</f>
        <v/>
      </c>
      <c r="BX142" s="97" t="str">
        <f>IF($A142="","",IF($AL142="",1,IFERROR(INDEX('Sublimits and Parts'!$C$84:$C$87,MATCH($AL142,'Sublimits and Parts'!$B$84:$B$87,0)),"?")))</f>
        <v/>
      </c>
      <c r="BY142" s="97" t="str">
        <f>IF($A142="","",IF($AM142="",1,IFERROR(INDEX('Sublimits and Parts'!$C$91:$C$94,MATCH($AM142,'Sublimits and Parts'!$B$91:$B$94,0)),"?")))</f>
        <v/>
      </c>
      <c r="BZ142" s="97" t="str">
        <f>IF($A142="","",IF($AN142="",1,IFERROR(INDEX('Sublimits and Parts'!$C$98:$C$101,MATCH($AN142,'Sublimits and Parts'!$B$98:$B$101,0)),"?")))</f>
        <v/>
      </c>
      <c r="CA142" s="97" t="str">
        <f>IF($A142="","",IF($AO142="",1,IFERROR(INDEX('Sublimits and Parts'!$C$105:$C$109,MATCH($AO142,'Sublimits and Parts'!$B$105:$B$109,0)),"?")))</f>
        <v/>
      </c>
      <c r="CB142" s="98" t="str">
        <f t="shared" si="28"/>
        <v/>
      </c>
      <c r="CC142" s="98" t="str">
        <f t="shared" si="29"/>
        <v/>
      </c>
      <c r="CD142" s="101" t="str">
        <f>IF($A142="","",IF(OR($CB142="?",$CC142="?"),"?",MIN($CB142*$CC142,'Technical Premium'!$C$17)))</f>
        <v/>
      </c>
      <c r="CE142" s="100" t="str">
        <f t="shared" si="30"/>
        <v/>
      </c>
      <c r="CF142" s="100" t="str">
        <f>IF($A142="","",IFERROR(INDEX('Territory Factors'!$F$6:$F$56,MATCH($K142,'Territory Factors'!$B$6:$B$56,0)),"?"))</f>
        <v/>
      </c>
      <c r="CG142" s="98" t="str">
        <f>IF($A142="","",IFERROR(INDEX('Usage and Coverage'!$C$79:$C$84,MATCH($Y142,'Usage and Coverage'!$B$79:$B$84,0)),"?"))</f>
        <v/>
      </c>
      <c r="CH142" s="100" t="str">
        <f>IFERROR(IF(ISNUMBER($CD142),$CF142*$CG142*MIN($BG142*$BA142*$BC142*$BD142*$BH142*$BF142,'Technical Premium'!$C$17),""),"")</f>
        <v/>
      </c>
      <c r="CI142" s="100" t="str">
        <f t="shared" si="31"/>
        <v/>
      </c>
      <c r="CJ142" s="100" t="str">
        <f>IFERROR($CI142*(1+'Technical Premium'!$C$5)*(1+'Technical Premium'!$C$6),"")</f>
        <v/>
      </c>
      <c r="CK142" s="100" t="str">
        <f>IFERROR($CE142*INDEX('Territory Factors'!$G$6:$G$56,MATCH($K142,'Territory Factors'!$B$6:$B$56,0))*$AU142*$AV142,"")</f>
        <v/>
      </c>
      <c r="CL142" s="100" t="str">
        <f>IFERROR(($CJ142+$CK142)*(1+'Technical Premium'!$C$7),"")</f>
        <v/>
      </c>
      <c r="CM142" s="102" t="str">
        <f>IFERROR($CL142/'Technical Premium'!$C$13,"")</f>
        <v/>
      </c>
      <c r="CN142" s="103" t="str">
        <f t="shared" si="32"/>
        <v/>
      </c>
      <c r="CO142" s="102" t="str">
        <f t="shared" si="33"/>
        <v/>
      </c>
      <c r="CP142" s="103" t="str">
        <f t="shared" si="34"/>
        <v/>
      </c>
      <c r="CQ142" s="104" t="str">
        <f t="shared" si="35"/>
        <v/>
      </c>
      <c r="CR142" s="100" t="str">
        <f>IF(ISNUMBER($CM142),'Technical Premium'!$C$14+IF($J142&gt;=1000000,'Technical Premium'!$C$15,0),"")</f>
        <v/>
      </c>
      <c r="CS142" s="100" t="str">
        <f>IFERROR(($CO142+$CR142)*(INDEX('Territory Factors'!$K$6:$K$56,MATCH($K142,'Territory Factors'!$B$6:$B$56,0))+'Commission Structure'!$C$21),"")</f>
        <v/>
      </c>
      <c r="CT142" s="102" t="str">
        <f t="shared" si="36"/>
        <v/>
      </c>
      <c r="CU142" s="100" t="str">
        <f>IFERROR($CO142*('Commission Structure'!$C$6+'Commission Structure'!$C$7),"")</f>
        <v/>
      </c>
      <c r="CV142" s="100" t="str">
        <f>IFERROR($CO142*'Commission Structure'!$C$5-$CU142,"")</f>
        <v/>
      </c>
      <c r="CW142" s="100" t="str">
        <f>IFERROR($CO142*(1-'Commission Structure'!$C$5),"")</f>
        <v/>
      </c>
      <c r="CX142" s="105" t="str">
        <f>IF($A142="","",IF(OR($CB142="?",$CC142="?",NOT(ISNUMBER($AU142))),"CHECK INPUTS",IF(OR($J142&lt;'Technical Premium'!$C$18,LEFT(IFERROR(INDEX('Driver Factors'!$D$6:$D$15,MATCH($R142,'Driver Factors'!$B$6:$B$15,0)),""),7)="DECLINE",LEFT(IFERROR(INDEX('Driver Factors'!$D$28:$D$36,MATCH($T142,'Driver Factors'!$B$28:$B$36,0)),""),7)="DECLINE",LEFT(IFERROR(INDEX('Claims History'!$D$6:$D$15,MATCH($U142,'Claims History'!$B$6:$B$15,0)),""),7)="DECLINE",LEFT(IFERROR(INDEX('Usage and Coverage'!$E$6:$E$20,MATCH($N142,'Usage and Coverage'!$C$6:$C$20,0)),""),7)="DECLINE"),"DECLINE",IF(OR($CD142&gt;2.5,$CD142&gt;='Technical Premium'!$C$17,$J142&gt;='Technical Premium'!$C$16,N($AQ142)&lt;'Technical Premium'!$C$19,N($AQ142)&gt;'Technical Premium'!$C$20,LEFT(IFERROR(INDEX('Driver Factors'!$D$6:$D$15,MATCH($R142,'Driver Factors'!$B$6:$B$15,0)),""),5)="Refer",LEFT(IFERROR(INDEX('Driver Factors'!$D$28:$D$36,MATCH($T142,'Driver Factors'!$B$28:$B$36,0)),""),5)="Refer",LEFT(IFERROR(INDEX('Claims History'!$D$6:$D$15,MATCH($U142,'Claims History'!$B$6:$B$15,0)),""),5)="Refer",LEFT(IFERROR(INDEX('Usage and Coverage'!$E$6:$E$20,MATCH($N142,'Usage and Coverage'!$C$6:$C$20,0)),""),5)="Refer"),"REFER","AUTO-BIND"))))</f>
        <v/>
      </c>
      <c r="CY142" s="106" t="str">
        <f t="shared" si="37"/>
        <v/>
      </c>
      <c r="CZ142" s="97" t="str">
        <f>IF($CY142="","",IF($CY142&lt;'Technical Premium'!$C$19,"BEYOND AUTHORITY",IF($CY142&gt;0.005,"Above technical",IF($CY142&lt;-0.005,"BELOW technical","At technical"))))</f>
        <v/>
      </c>
      <c r="DA142" s="97" t="str">
        <f>IF($A142="","",IF($CX142="AUTO-BIND","",TRIM(IF($J142&lt;'Technical Premium'!$C$18,"Below programme minimum agreed value. ","")&amp;IF(N($AQ142)&lt;'Technical Premium'!$C$19,"DISCOUNT AUTHORITY BREACH. ","")&amp;IF(N($AQ142)&gt;'Technical Premium'!$C$20,"Load authority breach. ","")&amp;IF($J142&gt;='Technical Premium'!$C$16,"Agreed value at or above auto-bind limit. ","")&amp;IF(AND(ISNUMBER($CD142),$CD142&gt;='Technical Premium'!$C$17),"Composite factor at cap. ","")&amp;IF(AND(ISNUMBER($CD142),$CD142&gt;2.5),"Composite factor above 2.50. ","")&amp;IF(LEFT(IFERROR(INDEX('Driver Factors'!$D$6:$D$15,MATCH($R142,'Driver Factors'!$B$6:$B$15,0)),""),7)="DECLINE","DECLINE - driver age. ",IF(LEFT(IFERROR(INDEX('Driver Factors'!$D$6:$D$15,MATCH($R142,'Driver Factors'!$B$6:$B$15,0)),""),5)="Refer","Driver age band. ",""))&amp;IF(LEFT(IFERROR(INDEX('Driver Factors'!$D$28:$D$36,MATCH($T142,'Driver Factors'!$B$28:$B$36,0)),""),7)="DECLINE","DECLINE - MVR. ",IF(LEFT(IFERROR(INDEX('Driver Factors'!$D$28:$D$36,MATCH($T142,'Driver Factors'!$B$28:$B$36,0)),""),5)="Refer","MVR record. ",""))&amp;IF(LEFT(IFERROR(INDEX('Claims History'!$D$6:$D$15,MATCH($U142,'Claims History'!$B$6:$B$15,0)),""),7)="DECLINE","DECLINE - claims. ",IF(LEFT(IFERROR(INDEX('Claims History'!$D$6:$D$15,MATCH($U142,'Claims History'!$B$6:$B$15,0)),""),5)="Refer","Claims history. ",""))&amp;IF(LEFT(IFERROR(INDEX('Usage and Coverage'!$E$6:$E$20,MATCH($N142,'Usage and Coverage'!$C$6:$C$20,0)),""),7)="DECLINE","DECLINE - usage class. ",IF(LEFT(IFERROR(INDEX('Usage and Coverage'!$E$6:$E$20,MATCH($N142,'Usage and Coverage'!$C$6:$C$20,0)),""),5)="Refer","Usage class. ",""))&amp;IF($CX142="CHECK INPUTS","Incomplete inputs. ",""))))</f>
        <v/>
      </c>
      <c r="DB142" s="92"/>
      <c r="DC142" s="92"/>
      <c r="DD142" s="93"/>
      <c r="DE142" s="92"/>
      <c r="DF142" s="92"/>
      <c r="DG142" s="97" t="str">
        <f t="shared" si="38"/>
        <v/>
      </c>
      <c r="DH142" s="97" t="str">
        <f>IF($A142="","",IF(OR($CX142="REFER",$CX142="DECLINE"),COUNTIF($CX$5:$CX142,"REFER")+COUNTIF($CX$5:$CX142,"DECLINE"),""))</f>
        <v/>
      </c>
      <c r="DI142" s="92"/>
    </row>
    <row r="143" spans="1:113" x14ac:dyDescent="0.25">
      <c r="A143" s="92"/>
      <c r="B143" s="92"/>
      <c r="C143" s="93"/>
      <c r="D143" s="93"/>
      <c r="E143" s="94"/>
      <c r="F143" s="92"/>
      <c r="G143" s="92"/>
      <c r="H143" s="92"/>
      <c r="I143" s="92"/>
      <c r="J143" s="95"/>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6"/>
      <c r="AR143" s="97" t="str">
        <f t="shared" si="26"/>
        <v/>
      </c>
      <c r="AS143" s="97" t="str">
        <f>IF($A143="","",IF($AP143&lt;&gt;"",$AP143,IFERROR(INDEX('Cat Zone by ZIP'!$D$6:$D$856,MATCH($AR143,'Cat Zone by ZIP'!$B$6:$B$856,0)),IFERROR(INDEX('Cat Zone by ZIP'!$C$860:$C$910,MATCH($K143,'Cat Zone by ZIP'!$B$860:$B$910,0)),"NOT FOUND"))))</f>
        <v/>
      </c>
      <c r="AT143" s="97" t="str">
        <f>IF($A143="","",IF($AP143&lt;&gt;"","Override",IF(ISNUMBER(MATCH($AR143,'Cat Zone by ZIP'!$B$6:$B$856,0)),"ZIP-3","State default")))</f>
        <v/>
      </c>
      <c r="AU143" s="98" t="str">
        <f>IF($A143="","",IFERROR(INDEX('Natural Catastrophe'!$D$6:$D$17,MATCH($AS143,'Natural Catastrophe'!$B$6:$B$17,0)),"?"))</f>
        <v/>
      </c>
      <c r="AV143" s="98" t="str">
        <f>IF($A143="","",IFERROR(INDEX('Natural Catastrophe'!$C$21:$C$26,MATCH($AA143,'Natural Catastrophe'!$B$21:$B$26,0)),"?"))</f>
        <v/>
      </c>
      <c r="AW143" s="97" t="str">
        <f>IF($A143="","",IFERROR(INDEX('Base Rates'!$C$4:$I$4,MATCH(MAX($J143,'Technical Premium'!$C$18),'Base Rates'!$C$3:$I$3,1)),"?"))</f>
        <v/>
      </c>
      <c r="AX143" s="99" t="str">
        <f>IF($A143="","",IFERROR(INDEX('Base Rates'!$C$5:$I$16,MATCH($I143,'Base Rates'!$B$5:$B$16,0),MATCH(MAX($J143,'Technical Premium'!$C$18),'Base Rates'!$C$3:$I$3,1)),"?"))</f>
        <v/>
      </c>
      <c r="AY143" s="100" t="str">
        <f t="shared" si="27"/>
        <v/>
      </c>
      <c r="AZ143" s="97" t="str">
        <f>IF($A143="","",IFERROR(INDEX('Make Factors'!$G$5:$G$69,MATCH($F143,'Make Factors'!$B$5:$B$69,0)),"?"))</f>
        <v/>
      </c>
      <c r="BA143" s="97" t="str">
        <f>IF($A143="","",IFERROR(INDEX('Driver Factors'!$C$6:$C$15,MATCH($R143,'Driver Factors'!$B$6:$B$15,0)),"?"))</f>
        <v/>
      </c>
      <c r="BB143" s="97" t="str">
        <f>IF($A143="","",IFERROR(INDEX('Driver Factors'!$C$19:$C$24,MATCH($S143,'Driver Factors'!$B$19:$B$24,0)),"?"))</f>
        <v/>
      </c>
      <c r="BC143" s="97" t="str">
        <f>IF($A143="","",IFERROR(INDEX('Driver Factors'!$C$28:$C$36,MATCH($T143,'Driver Factors'!$B$28:$B$36,0)),"?"))</f>
        <v/>
      </c>
      <c r="BD143" s="97" t="str">
        <f>IF($A143="","",IFERROR(INDEX('Claims History'!$C$6:$C$15,MATCH($U143,'Claims History'!$B$6:$B$15,0)),"?"))</f>
        <v/>
      </c>
      <c r="BE143" s="97" t="str">
        <f>IF($A143="","",IFERROR(INDEX('Territory Factors'!$E$6:$E$56,MATCH($K143,'Territory Factors'!$B$6:$B$56,0)),"?"))</f>
        <v/>
      </c>
      <c r="BF143" s="97" t="str">
        <f>IF($A143="","",IFERROR(INDEX('City Accident Ratings'!$G$6:$G$54,MATCH($Z143,'City Accident Ratings'!$B$6:$B$54,0)),"?"))</f>
        <v/>
      </c>
      <c r="BG143" s="97" t="str">
        <f>IF($A143="","",IFERROR(INDEX('Usage and Coverage'!$D$6:$D$20,MATCH($N143,'Usage and Coverage'!$C$6:$C$20,0)),"?"))</f>
        <v/>
      </c>
      <c r="BH143" s="97" t="str">
        <f>IF($A143="","",IFERROR(INDEX('Usage and Coverage'!$C$24:$C$30,MATCH($O143,'Usage and Coverage'!$B$24:$B$30,0)),"?"))</f>
        <v/>
      </c>
      <c r="BI143" s="97" t="str">
        <f>IF($A143="","",IFERROR(INDEX('Usage and Coverage'!$C$34:$C$40,MATCH($P143,'Usage and Coverage'!$B$34:$B$40,0)),"?"))</f>
        <v/>
      </c>
      <c r="BJ143" s="97" t="str">
        <f>IF($A143="","",IFERROR(INDEX('Usage and Coverage'!$C$44:$C$49,MATCH($Q143,'Usage and Coverage'!$B$44:$B$49,0)),"?"))</f>
        <v/>
      </c>
      <c r="BK143" s="97" t="str">
        <f>IF($A143="","",IFERROR(INDEX(Deductibles!$C$6:$I$15,MATCH($W143,Deductibles!$B$6:$B$15,0),MATCH(MAX($J143,'Technical Premium'!$C$18),'Base Rates'!$C$3:$I$3,1)),"?"))</f>
        <v/>
      </c>
      <c r="BL143" s="97" t="str">
        <f>IF($A143="","",IFERROR(INDEX('Usage and Coverage'!$C$63:$C$66,MATCH($X143,'Usage and Coverage'!$B$63:$B$66,0)),"?"))</f>
        <v/>
      </c>
      <c r="BM143" s="97" t="str">
        <f>IF($A143="","",IFERROR(INDEX('Usage and Coverage'!$C$70:$C$75,MATCH($V143,'Usage and Coverage'!$B$70:$B$75,0)),"?"))</f>
        <v/>
      </c>
      <c r="BN143" s="97" t="str">
        <f>IF($A143="","",IF($AB143="",1,IFERROR(INDEX(Deductibles!$C$48:$C$51,MATCH($AB143,Deductibles!$B$48:$B$51,0)),"?")))</f>
        <v/>
      </c>
      <c r="BO143" s="97" t="str">
        <f>IF($A143="","",IF($AC143="",1,IFERROR(INDEX(Deductibles!$C$55:$C$57,MATCH($AC143,Deductibles!$B$55:$B$57,0)),"?")))</f>
        <v/>
      </c>
      <c r="BP143" s="97" t="str">
        <f>IF($A143="","",IF($AD143="",1,IFERROR(INDEX(Deductibles!$C$61:$C$63,MATCH($AD143,Deductibles!$B$61:$B$63,0)),"?")))</f>
        <v/>
      </c>
      <c r="BQ143" s="97" t="str">
        <f>IF($A143="","",IF($AE143="",1,IFERROR(INDEX(Deductibles!$C$67:$C$69,MATCH($AE143,Deductibles!$B$67:$B$69,0)),"?")))</f>
        <v/>
      </c>
      <c r="BR143" s="97" t="str">
        <f>IF($A143="","",IF($AF143="",1,IFERROR(INDEX(Deductibles!$C$73:$C$74,MATCH($AF143,Deductibles!$B$73:$B$74,0)),"?")))</f>
        <v/>
      </c>
      <c r="BS143" s="97" t="str">
        <f>IF($A143="","",IF($AG143="",1,IFERROR(INDEX('Sublimits and Parts'!$C$49:$C$52,MATCH($AG143,'Sublimits and Parts'!$B$49:$B$52,0)),"?")))</f>
        <v/>
      </c>
      <c r="BT143" s="97" t="str">
        <f>IF($A143="","",IF($AH143="",1,IFERROR(INDEX('Sublimits and Parts'!$C$56:$C$60,MATCH($AH143,'Sublimits and Parts'!$B$56:$B$60,0)),"?")))</f>
        <v/>
      </c>
      <c r="BU143" s="97" t="str">
        <f>IF($A143="","",IF($AI143="",1,IFERROR(INDEX('Sublimits and Parts'!$C$64:$C$67,MATCH($AI143,'Sublimits and Parts'!$B$64:$B$67,0)),"?")))</f>
        <v/>
      </c>
      <c r="BV143" s="97" t="str">
        <f>IF($A143="","",IF($AJ143="",1,IFERROR(INDEX('Sublimits and Parts'!$C$71:$C$74,MATCH($AJ143,'Sublimits and Parts'!$B$71:$B$74,0)),"?")))</f>
        <v/>
      </c>
      <c r="BW143" s="97" t="str">
        <f>IF($A143="","",IF($AK143="",1,IFERROR(INDEX('Sublimits and Parts'!$C$78:$C$80,MATCH($AK143,'Sublimits and Parts'!$B$78:$B$80,0)),"?")))</f>
        <v/>
      </c>
      <c r="BX143" s="97" t="str">
        <f>IF($A143="","",IF($AL143="",1,IFERROR(INDEX('Sublimits and Parts'!$C$84:$C$87,MATCH($AL143,'Sublimits and Parts'!$B$84:$B$87,0)),"?")))</f>
        <v/>
      </c>
      <c r="BY143" s="97" t="str">
        <f>IF($A143="","",IF($AM143="",1,IFERROR(INDEX('Sublimits and Parts'!$C$91:$C$94,MATCH($AM143,'Sublimits and Parts'!$B$91:$B$94,0)),"?")))</f>
        <v/>
      </c>
      <c r="BZ143" s="97" t="str">
        <f>IF($A143="","",IF($AN143="",1,IFERROR(INDEX('Sublimits and Parts'!$C$98:$C$101,MATCH($AN143,'Sublimits and Parts'!$B$98:$B$101,0)),"?")))</f>
        <v/>
      </c>
      <c r="CA143" s="97" t="str">
        <f>IF($A143="","",IF($AO143="",1,IFERROR(INDEX('Sublimits and Parts'!$C$105:$C$109,MATCH($AO143,'Sublimits and Parts'!$B$105:$B$109,0)),"?")))</f>
        <v/>
      </c>
      <c r="CB143" s="98" t="str">
        <f t="shared" si="28"/>
        <v/>
      </c>
      <c r="CC143" s="98" t="str">
        <f t="shared" si="29"/>
        <v/>
      </c>
      <c r="CD143" s="101" t="str">
        <f>IF($A143="","",IF(OR($CB143="?",$CC143="?"),"?",MIN($CB143*$CC143,'Technical Premium'!$C$17)))</f>
        <v/>
      </c>
      <c r="CE143" s="100" t="str">
        <f t="shared" si="30"/>
        <v/>
      </c>
      <c r="CF143" s="100" t="str">
        <f>IF($A143="","",IFERROR(INDEX('Territory Factors'!$F$6:$F$56,MATCH($K143,'Territory Factors'!$B$6:$B$56,0)),"?"))</f>
        <v/>
      </c>
      <c r="CG143" s="98" t="str">
        <f>IF($A143="","",IFERROR(INDEX('Usage and Coverage'!$C$79:$C$84,MATCH($Y143,'Usage and Coverage'!$B$79:$B$84,0)),"?"))</f>
        <v/>
      </c>
      <c r="CH143" s="100" t="str">
        <f>IFERROR(IF(ISNUMBER($CD143),$CF143*$CG143*MIN($BG143*$BA143*$BC143*$BD143*$BH143*$BF143,'Technical Premium'!$C$17),""),"")</f>
        <v/>
      </c>
      <c r="CI143" s="100" t="str">
        <f t="shared" si="31"/>
        <v/>
      </c>
      <c r="CJ143" s="100" t="str">
        <f>IFERROR($CI143*(1+'Technical Premium'!$C$5)*(1+'Technical Premium'!$C$6),"")</f>
        <v/>
      </c>
      <c r="CK143" s="100" t="str">
        <f>IFERROR($CE143*INDEX('Territory Factors'!$G$6:$G$56,MATCH($K143,'Territory Factors'!$B$6:$B$56,0))*$AU143*$AV143,"")</f>
        <v/>
      </c>
      <c r="CL143" s="100" t="str">
        <f>IFERROR(($CJ143+$CK143)*(1+'Technical Premium'!$C$7),"")</f>
        <v/>
      </c>
      <c r="CM143" s="102" t="str">
        <f>IFERROR($CL143/'Technical Premium'!$C$13,"")</f>
        <v/>
      </c>
      <c r="CN143" s="103" t="str">
        <f t="shared" si="32"/>
        <v/>
      </c>
      <c r="CO143" s="102" t="str">
        <f t="shared" si="33"/>
        <v/>
      </c>
      <c r="CP143" s="103" t="str">
        <f t="shared" si="34"/>
        <v/>
      </c>
      <c r="CQ143" s="104" t="str">
        <f t="shared" si="35"/>
        <v/>
      </c>
      <c r="CR143" s="100" t="str">
        <f>IF(ISNUMBER($CM143),'Technical Premium'!$C$14+IF($J143&gt;=1000000,'Technical Premium'!$C$15,0),"")</f>
        <v/>
      </c>
      <c r="CS143" s="100" t="str">
        <f>IFERROR(($CO143+$CR143)*(INDEX('Territory Factors'!$K$6:$K$56,MATCH($K143,'Territory Factors'!$B$6:$B$56,0))+'Commission Structure'!$C$21),"")</f>
        <v/>
      </c>
      <c r="CT143" s="102" t="str">
        <f t="shared" si="36"/>
        <v/>
      </c>
      <c r="CU143" s="100" t="str">
        <f>IFERROR($CO143*('Commission Structure'!$C$6+'Commission Structure'!$C$7),"")</f>
        <v/>
      </c>
      <c r="CV143" s="100" t="str">
        <f>IFERROR($CO143*'Commission Structure'!$C$5-$CU143,"")</f>
        <v/>
      </c>
      <c r="CW143" s="100" t="str">
        <f>IFERROR($CO143*(1-'Commission Structure'!$C$5),"")</f>
        <v/>
      </c>
      <c r="CX143" s="105" t="str">
        <f>IF($A143="","",IF(OR($CB143="?",$CC143="?",NOT(ISNUMBER($AU143))),"CHECK INPUTS",IF(OR($J143&lt;'Technical Premium'!$C$18,LEFT(IFERROR(INDEX('Driver Factors'!$D$6:$D$15,MATCH($R143,'Driver Factors'!$B$6:$B$15,0)),""),7)="DECLINE",LEFT(IFERROR(INDEX('Driver Factors'!$D$28:$D$36,MATCH($T143,'Driver Factors'!$B$28:$B$36,0)),""),7)="DECLINE",LEFT(IFERROR(INDEX('Claims History'!$D$6:$D$15,MATCH($U143,'Claims History'!$B$6:$B$15,0)),""),7)="DECLINE",LEFT(IFERROR(INDEX('Usage and Coverage'!$E$6:$E$20,MATCH($N143,'Usage and Coverage'!$C$6:$C$20,0)),""),7)="DECLINE"),"DECLINE",IF(OR($CD143&gt;2.5,$CD143&gt;='Technical Premium'!$C$17,$J143&gt;='Technical Premium'!$C$16,N($AQ143)&lt;'Technical Premium'!$C$19,N($AQ143)&gt;'Technical Premium'!$C$20,LEFT(IFERROR(INDEX('Driver Factors'!$D$6:$D$15,MATCH($R143,'Driver Factors'!$B$6:$B$15,0)),""),5)="Refer",LEFT(IFERROR(INDEX('Driver Factors'!$D$28:$D$36,MATCH($T143,'Driver Factors'!$B$28:$B$36,0)),""),5)="Refer",LEFT(IFERROR(INDEX('Claims History'!$D$6:$D$15,MATCH($U143,'Claims History'!$B$6:$B$15,0)),""),5)="Refer",LEFT(IFERROR(INDEX('Usage and Coverage'!$E$6:$E$20,MATCH($N143,'Usage and Coverage'!$C$6:$C$20,0)),""),5)="Refer"),"REFER","AUTO-BIND"))))</f>
        <v/>
      </c>
      <c r="CY143" s="106" t="str">
        <f t="shared" si="37"/>
        <v/>
      </c>
      <c r="CZ143" s="97" t="str">
        <f>IF($CY143="","",IF($CY143&lt;'Technical Premium'!$C$19,"BEYOND AUTHORITY",IF($CY143&gt;0.005,"Above technical",IF($CY143&lt;-0.005,"BELOW technical","At technical"))))</f>
        <v/>
      </c>
      <c r="DA143" s="97" t="str">
        <f>IF($A143="","",IF($CX143="AUTO-BIND","",TRIM(IF($J143&lt;'Technical Premium'!$C$18,"Below programme minimum agreed value. ","")&amp;IF(N($AQ143)&lt;'Technical Premium'!$C$19,"DISCOUNT AUTHORITY BREACH. ","")&amp;IF(N($AQ143)&gt;'Technical Premium'!$C$20,"Load authority breach. ","")&amp;IF($J143&gt;='Technical Premium'!$C$16,"Agreed value at or above auto-bind limit. ","")&amp;IF(AND(ISNUMBER($CD143),$CD143&gt;='Technical Premium'!$C$17),"Composite factor at cap. ","")&amp;IF(AND(ISNUMBER($CD143),$CD143&gt;2.5),"Composite factor above 2.50. ","")&amp;IF(LEFT(IFERROR(INDEX('Driver Factors'!$D$6:$D$15,MATCH($R143,'Driver Factors'!$B$6:$B$15,0)),""),7)="DECLINE","DECLINE - driver age. ",IF(LEFT(IFERROR(INDEX('Driver Factors'!$D$6:$D$15,MATCH($R143,'Driver Factors'!$B$6:$B$15,0)),""),5)="Refer","Driver age band. ",""))&amp;IF(LEFT(IFERROR(INDEX('Driver Factors'!$D$28:$D$36,MATCH($T143,'Driver Factors'!$B$28:$B$36,0)),""),7)="DECLINE","DECLINE - MVR. ",IF(LEFT(IFERROR(INDEX('Driver Factors'!$D$28:$D$36,MATCH($T143,'Driver Factors'!$B$28:$B$36,0)),""),5)="Refer","MVR record. ",""))&amp;IF(LEFT(IFERROR(INDEX('Claims History'!$D$6:$D$15,MATCH($U143,'Claims History'!$B$6:$B$15,0)),""),7)="DECLINE","DECLINE - claims. ",IF(LEFT(IFERROR(INDEX('Claims History'!$D$6:$D$15,MATCH($U143,'Claims History'!$B$6:$B$15,0)),""),5)="Refer","Claims history. ",""))&amp;IF(LEFT(IFERROR(INDEX('Usage and Coverage'!$E$6:$E$20,MATCH($N143,'Usage and Coverage'!$C$6:$C$20,0)),""),7)="DECLINE","DECLINE - usage class. ",IF(LEFT(IFERROR(INDEX('Usage and Coverage'!$E$6:$E$20,MATCH($N143,'Usage and Coverage'!$C$6:$C$20,0)),""),5)="Refer","Usage class. ",""))&amp;IF($CX143="CHECK INPUTS","Incomplete inputs. ",""))))</f>
        <v/>
      </c>
      <c r="DB143" s="92"/>
      <c r="DC143" s="92"/>
      <c r="DD143" s="93"/>
      <c r="DE143" s="92"/>
      <c r="DF143" s="92"/>
      <c r="DG143" s="97" t="str">
        <f t="shared" si="38"/>
        <v/>
      </c>
      <c r="DH143" s="97" t="str">
        <f>IF($A143="","",IF(OR($CX143="REFER",$CX143="DECLINE"),COUNTIF($CX$5:$CX143,"REFER")+COUNTIF($CX$5:$CX143,"DECLINE"),""))</f>
        <v/>
      </c>
      <c r="DI143" s="92"/>
    </row>
    <row r="144" spans="1:113" x14ac:dyDescent="0.25">
      <c r="A144" s="92"/>
      <c r="B144" s="92"/>
      <c r="C144" s="93"/>
      <c r="D144" s="93"/>
      <c r="E144" s="94"/>
      <c r="F144" s="92"/>
      <c r="G144" s="92"/>
      <c r="H144" s="92"/>
      <c r="I144" s="92"/>
      <c r="J144" s="95"/>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6"/>
      <c r="AR144" s="97" t="str">
        <f t="shared" si="26"/>
        <v/>
      </c>
      <c r="AS144" s="97" t="str">
        <f>IF($A144="","",IF($AP144&lt;&gt;"",$AP144,IFERROR(INDEX('Cat Zone by ZIP'!$D$6:$D$856,MATCH($AR144,'Cat Zone by ZIP'!$B$6:$B$856,0)),IFERROR(INDEX('Cat Zone by ZIP'!$C$860:$C$910,MATCH($K144,'Cat Zone by ZIP'!$B$860:$B$910,0)),"NOT FOUND"))))</f>
        <v/>
      </c>
      <c r="AT144" s="97" t="str">
        <f>IF($A144="","",IF($AP144&lt;&gt;"","Override",IF(ISNUMBER(MATCH($AR144,'Cat Zone by ZIP'!$B$6:$B$856,0)),"ZIP-3","State default")))</f>
        <v/>
      </c>
      <c r="AU144" s="98" t="str">
        <f>IF($A144="","",IFERROR(INDEX('Natural Catastrophe'!$D$6:$D$17,MATCH($AS144,'Natural Catastrophe'!$B$6:$B$17,0)),"?"))</f>
        <v/>
      </c>
      <c r="AV144" s="98" t="str">
        <f>IF($A144="","",IFERROR(INDEX('Natural Catastrophe'!$C$21:$C$26,MATCH($AA144,'Natural Catastrophe'!$B$21:$B$26,0)),"?"))</f>
        <v/>
      </c>
      <c r="AW144" s="97" t="str">
        <f>IF($A144="","",IFERROR(INDEX('Base Rates'!$C$4:$I$4,MATCH(MAX($J144,'Technical Premium'!$C$18),'Base Rates'!$C$3:$I$3,1)),"?"))</f>
        <v/>
      </c>
      <c r="AX144" s="99" t="str">
        <f>IF($A144="","",IFERROR(INDEX('Base Rates'!$C$5:$I$16,MATCH($I144,'Base Rates'!$B$5:$B$16,0),MATCH(MAX($J144,'Technical Premium'!$C$18),'Base Rates'!$C$3:$I$3,1)),"?"))</f>
        <v/>
      </c>
      <c r="AY144" s="100" t="str">
        <f t="shared" si="27"/>
        <v/>
      </c>
      <c r="AZ144" s="97" t="str">
        <f>IF($A144="","",IFERROR(INDEX('Make Factors'!$G$5:$G$69,MATCH($F144,'Make Factors'!$B$5:$B$69,0)),"?"))</f>
        <v/>
      </c>
      <c r="BA144" s="97" t="str">
        <f>IF($A144="","",IFERROR(INDEX('Driver Factors'!$C$6:$C$15,MATCH($R144,'Driver Factors'!$B$6:$B$15,0)),"?"))</f>
        <v/>
      </c>
      <c r="BB144" s="97" t="str">
        <f>IF($A144="","",IFERROR(INDEX('Driver Factors'!$C$19:$C$24,MATCH($S144,'Driver Factors'!$B$19:$B$24,0)),"?"))</f>
        <v/>
      </c>
      <c r="BC144" s="97" t="str">
        <f>IF($A144="","",IFERROR(INDEX('Driver Factors'!$C$28:$C$36,MATCH($T144,'Driver Factors'!$B$28:$B$36,0)),"?"))</f>
        <v/>
      </c>
      <c r="BD144" s="97" t="str">
        <f>IF($A144="","",IFERROR(INDEX('Claims History'!$C$6:$C$15,MATCH($U144,'Claims History'!$B$6:$B$15,0)),"?"))</f>
        <v/>
      </c>
      <c r="BE144" s="97" t="str">
        <f>IF($A144="","",IFERROR(INDEX('Territory Factors'!$E$6:$E$56,MATCH($K144,'Territory Factors'!$B$6:$B$56,0)),"?"))</f>
        <v/>
      </c>
      <c r="BF144" s="97" t="str">
        <f>IF($A144="","",IFERROR(INDEX('City Accident Ratings'!$G$6:$G$54,MATCH($Z144,'City Accident Ratings'!$B$6:$B$54,0)),"?"))</f>
        <v/>
      </c>
      <c r="BG144" s="97" t="str">
        <f>IF($A144="","",IFERROR(INDEX('Usage and Coverage'!$D$6:$D$20,MATCH($N144,'Usage and Coverage'!$C$6:$C$20,0)),"?"))</f>
        <v/>
      </c>
      <c r="BH144" s="97" t="str">
        <f>IF($A144="","",IFERROR(INDEX('Usage and Coverage'!$C$24:$C$30,MATCH($O144,'Usage and Coverage'!$B$24:$B$30,0)),"?"))</f>
        <v/>
      </c>
      <c r="BI144" s="97" t="str">
        <f>IF($A144="","",IFERROR(INDEX('Usage and Coverage'!$C$34:$C$40,MATCH($P144,'Usage and Coverage'!$B$34:$B$40,0)),"?"))</f>
        <v/>
      </c>
      <c r="BJ144" s="97" t="str">
        <f>IF($A144="","",IFERROR(INDEX('Usage and Coverage'!$C$44:$C$49,MATCH($Q144,'Usage and Coverage'!$B$44:$B$49,0)),"?"))</f>
        <v/>
      </c>
      <c r="BK144" s="97" t="str">
        <f>IF($A144="","",IFERROR(INDEX(Deductibles!$C$6:$I$15,MATCH($W144,Deductibles!$B$6:$B$15,0),MATCH(MAX($J144,'Technical Premium'!$C$18),'Base Rates'!$C$3:$I$3,1)),"?"))</f>
        <v/>
      </c>
      <c r="BL144" s="97" t="str">
        <f>IF($A144="","",IFERROR(INDEX('Usage and Coverage'!$C$63:$C$66,MATCH($X144,'Usage and Coverage'!$B$63:$B$66,0)),"?"))</f>
        <v/>
      </c>
      <c r="BM144" s="97" t="str">
        <f>IF($A144="","",IFERROR(INDEX('Usage and Coverage'!$C$70:$C$75,MATCH($V144,'Usage and Coverage'!$B$70:$B$75,0)),"?"))</f>
        <v/>
      </c>
      <c r="BN144" s="97" t="str">
        <f>IF($A144="","",IF($AB144="",1,IFERROR(INDEX(Deductibles!$C$48:$C$51,MATCH($AB144,Deductibles!$B$48:$B$51,0)),"?")))</f>
        <v/>
      </c>
      <c r="BO144" s="97" t="str">
        <f>IF($A144="","",IF($AC144="",1,IFERROR(INDEX(Deductibles!$C$55:$C$57,MATCH($AC144,Deductibles!$B$55:$B$57,0)),"?")))</f>
        <v/>
      </c>
      <c r="BP144" s="97" t="str">
        <f>IF($A144="","",IF($AD144="",1,IFERROR(INDEX(Deductibles!$C$61:$C$63,MATCH($AD144,Deductibles!$B$61:$B$63,0)),"?")))</f>
        <v/>
      </c>
      <c r="BQ144" s="97" t="str">
        <f>IF($A144="","",IF($AE144="",1,IFERROR(INDEX(Deductibles!$C$67:$C$69,MATCH($AE144,Deductibles!$B$67:$B$69,0)),"?")))</f>
        <v/>
      </c>
      <c r="BR144" s="97" t="str">
        <f>IF($A144="","",IF($AF144="",1,IFERROR(INDEX(Deductibles!$C$73:$C$74,MATCH($AF144,Deductibles!$B$73:$B$74,0)),"?")))</f>
        <v/>
      </c>
      <c r="BS144" s="97" t="str">
        <f>IF($A144="","",IF($AG144="",1,IFERROR(INDEX('Sublimits and Parts'!$C$49:$C$52,MATCH($AG144,'Sublimits and Parts'!$B$49:$B$52,0)),"?")))</f>
        <v/>
      </c>
      <c r="BT144" s="97" t="str">
        <f>IF($A144="","",IF($AH144="",1,IFERROR(INDEX('Sublimits and Parts'!$C$56:$C$60,MATCH($AH144,'Sublimits and Parts'!$B$56:$B$60,0)),"?")))</f>
        <v/>
      </c>
      <c r="BU144" s="97" t="str">
        <f>IF($A144="","",IF($AI144="",1,IFERROR(INDEX('Sublimits and Parts'!$C$64:$C$67,MATCH($AI144,'Sublimits and Parts'!$B$64:$B$67,0)),"?")))</f>
        <v/>
      </c>
      <c r="BV144" s="97" t="str">
        <f>IF($A144="","",IF($AJ144="",1,IFERROR(INDEX('Sublimits and Parts'!$C$71:$C$74,MATCH($AJ144,'Sublimits and Parts'!$B$71:$B$74,0)),"?")))</f>
        <v/>
      </c>
      <c r="BW144" s="97" t="str">
        <f>IF($A144="","",IF($AK144="",1,IFERROR(INDEX('Sublimits and Parts'!$C$78:$C$80,MATCH($AK144,'Sublimits and Parts'!$B$78:$B$80,0)),"?")))</f>
        <v/>
      </c>
      <c r="BX144" s="97" t="str">
        <f>IF($A144="","",IF($AL144="",1,IFERROR(INDEX('Sublimits and Parts'!$C$84:$C$87,MATCH($AL144,'Sublimits and Parts'!$B$84:$B$87,0)),"?")))</f>
        <v/>
      </c>
      <c r="BY144" s="97" t="str">
        <f>IF($A144="","",IF($AM144="",1,IFERROR(INDEX('Sublimits and Parts'!$C$91:$C$94,MATCH($AM144,'Sublimits and Parts'!$B$91:$B$94,0)),"?")))</f>
        <v/>
      </c>
      <c r="BZ144" s="97" t="str">
        <f>IF($A144="","",IF($AN144="",1,IFERROR(INDEX('Sublimits and Parts'!$C$98:$C$101,MATCH($AN144,'Sublimits and Parts'!$B$98:$B$101,0)),"?")))</f>
        <v/>
      </c>
      <c r="CA144" s="97" t="str">
        <f>IF($A144="","",IF($AO144="",1,IFERROR(INDEX('Sublimits and Parts'!$C$105:$C$109,MATCH($AO144,'Sublimits and Parts'!$B$105:$B$109,0)),"?")))</f>
        <v/>
      </c>
      <c r="CB144" s="98" t="str">
        <f t="shared" si="28"/>
        <v/>
      </c>
      <c r="CC144" s="98" t="str">
        <f t="shared" si="29"/>
        <v/>
      </c>
      <c r="CD144" s="101" t="str">
        <f>IF($A144="","",IF(OR($CB144="?",$CC144="?"),"?",MIN($CB144*$CC144,'Technical Premium'!$C$17)))</f>
        <v/>
      </c>
      <c r="CE144" s="100" t="str">
        <f t="shared" si="30"/>
        <v/>
      </c>
      <c r="CF144" s="100" t="str">
        <f>IF($A144="","",IFERROR(INDEX('Territory Factors'!$F$6:$F$56,MATCH($K144,'Territory Factors'!$B$6:$B$56,0)),"?"))</f>
        <v/>
      </c>
      <c r="CG144" s="98" t="str">
        <f>IF($A144="","",IFERROR(INDEX('Usage and Coverage'!$C$79:$C$84,MATCH($Y144,'Usage and Coverage'!$B$79:$B$84,0)),"?"))</f>
        <v/>
      </c>
      <c r="CH144" s="100" t="str">
        <f>IFERROR(IF(ISNUMBER($CD144),$CF144*$CG144*MIN($BG144*$BA144*$BC144*$BD144*$BH144*$BF144,'Technical Premium'!$C$17),""),"")</f>
        <v/>
      </c>
      <c r="CI144" s="100" t="str">
        <f t="shared" si="31"/>
        <v/>
      </c>
      <c r="CJ144" s="100" t="str">
        <f>IFERROR($CI144*(1+'Technical Premium'!$C$5)*(1+'Technical Premium'!$C$6),"")</f>
        <v/>
      </c>
      <c r="CK144" s="100" t="str">
        <f>IFERROR($CE144*INDEX('Territory Factors'!$G$6:$G$56,MATCH($K144,'Territory Factors'!$B$6:$B$56,0))*$AU144*$AV144,"")</f>
        <v/>
      </c>
      <c r="CL144" s="100" t="str">
        <f>IFERROR(($CJ144+$CK144)*(1+'Technical Premium'!$C$7),"")</f>
        <v/>
      </c>
      <c r="CM144" s="102" t="str">
        <f>IFERROR($CL144/'Technical Premium'!$C$13,"")</f>
        <v/>
      </c>
      <c r="CN144" s="103" t="str">
        <f t="shared" si="32"/>
        <v/>
      </c>
      <c r="CO144" s="102" t="str">
        <f t="shared" si="33"/>
        <v/>
      </c>
      <c r="CP144" s="103" t="str">
        <f t="shared" si="34"/>
        <v/>
      </c>
      <c r="CQ144" s="104" t="str">
        <f t="shared" si="35"/>
        <v/>
      </c>
      <c r="CR144" s="100" t="str">
        <f>IF(ISNUMBER($CM144),'Technical Premium'!$C$14+IF($J144&gt;=1000000,'Technical Premium'!$C$15,0),"")</f>
        <v/>
      </c>
      <c r="CS144" s="100" t="str">
        <f>IFERROR(($CO144+$CR144)*(INDEX('Territory Factors'!$K$6:$K$56,MATCH($K144,'Territory Factors'!$B$6:$B$56,0))+'Commission Structure'!$C$21),"")</f>
        <v/>
      </c>
      <c r="CT144" s="102" t="str">
        <f t="shared" si="36"/>
        <v/>
      </c>
      <c r="CU144" s="100" t="str">
        <f>IFERROR($CO144*('Commission Structure'!$C$6+'Commission Structure'!$C$7),"")</f>
        <v/>
      </c>
      <c r="CV144" s="100" t="str">
        <f>IFERROR($CO144*'Commission Structure'!$C$5-$CU144,"")</f>
        <v/>
      </c>
      <c r="CW144" s="100" t="str">
        <f>IFERROR($CO144*(1-'Commission Structure'!$C$5),"")</f>
        <v/>
      </c>
      <c r="CX144" s="105" t="str">
        <f>IF($A144="","",IF(OR($CB144="?",$CC144="?",NOT(ISNUMBER($AU144))),"CHECK INPUTS",IF(OR($J144&lt;'Technical Premium'!$C$18,LEFT(IFERROR(INDEX('Driver Factors'!$D$6:$D$15,MATCH($R144,'Driver Factors'!$B$6:$B$15,0)),""),7)="DECLINE",LEFT(IFERROR(INDEX('Driver Factors'!$D$28:$D$36,MATCH($T144,'Driver Factors'!$B$28:$B$36,0)),""),7)="DECLINE",LEFT(IFERROR(INDEX('Claims History'!$D$6:$D$15,MATCH($U144,'Claims History'!$B$6:$B$15,0)),""),7)="DECLINE",LEFT(IFERROR(INDEX('Usage and Coverage'!$E$6:$E$20,MATCH($N144,'Usage and Coverage'!$C$6:$C$20,0)),""),7)="DECLINE"),"DECLINE",IF(OR($CD144&gt;2.5,$CD144&gt;='Technical Premium'!$C$17,$J144&gt;='Technical Premium'!$C$16,N($AQ144)&lt;'Technical Premium'!$C$19,N($AQ144)&gt;'Technical Premium'!$C$20,LEFT(IFERROR(INDEX('Driver Factors'!$D$6:$D$15,MATCH($R144,'Driver Factors'!$B$6:$B$15,0)),""),5)="Refer",LEFT(IFERROR(INDEX('Driver Factors'!$D$28:$D$36,MATCH($T144,'Driver Factors'!$B$28:$B$36,0)),""),5)="Refer",LEFT(IFERROR(INDEX('Claims History'!$D$6:$D$15,MATCH($U144,'Claims History'!$B$6:$B$15,0)),""),5)="Refer",LEFT(IFERROR(INDEX('Usage and Coverage'!$E$6:$E$20,MATCH($N144,'Usage and Coverage'!$C$6:$C$20,0)),""),5)="Refer"),"REFER","AUTO-BIND"))))</f>
        <v/>
      </c>
      <c r="CY144" s="106" t="str">
        <f t="shared" si="37"/>
        <v/>
      </c>
      <c r="CZ144" s="97" t="str">
        <f>IF($CY144="","",IF($CY144&lt;'Technical Premium'!$C$19,"BEYOND AUTHORITY",IF($CY144&gt;0.005,"Above technical",IF($CY144&lt;-0.005,"BELOW technical","At technical"))))</f>
        <v/>
      </c>
      <c r="DA144" s="97" t="str">
        <f>IF($A144="","",IF($CX144="AUTO-BIND","",TRIM(IF($J144&lt;'Technical Premium'!$C$18,"Below programme minimum agreed value. ","")&amp;IF(N($AQ144)&lt;'Technical Premium'!$C$19,"DISCOUNT AUTHORITY BREACH. ","")&amp;IF(N($AQ144)&gt;'Technical Premium'!$C$20,"Load authority breach. ","")&amp;IF($J144&gt;='Technical Premium'!$C$16,"Agreed value at or above auto-bind limit. ","")&amp;IF(AND(ISNUMBER($CD144),$CD144&gt;='Technical Premium'!$C$17),"Composite factor at cap. ","")&amp;IF(AND(ISNUMBER($CD144),$CD144&gt;2.5),"Composite factor above 2.50. ","")&amp;IF(LEFT(IFERROR(INDEX('Driver Factors'!$D$6:$D$15,MATCH($R144,'Driver Factors'!$B$6:$B$15,0)),""),7)="DECLINE","DECLINE - driver age. ",IF(LEFT(IFERROR(INDEX('Driver Factors'!$D$6:$D$15,MATCH($R144,'Driver Factors'!$B$6:$B$15,0)),""),5)="Refer","Driver age band. ",""))&amp;IF(LEFT(IFERROR(INDEX('Driver Factors'!$D$28:$D$36,MATCH($T144,'Driver Factors'!$B$28:$B$36,0)),""),7)="DECLINE","DECLINE - MVR. ",IF(LEFT(IFERROR(INDEX('Driver Factors'!$D$28:$D$36,MATCH($T144,'Driver Factors'!$B$28:$B$36,0)),""),5)="Refer","MVR record. ",""))&amp;IF(LEFT(IFERROR(INDEX('Claims History'!$D$6:$D$15,MATCH($U144,'Claims History'!$B$6:$B$15,0)),""),7)="DECLINE","DECLINE - claims. ",IF(LEFT(IFERROR(INDEX('Claims History'!$D$6:$D$15,MATCH($U144,'Claims History'!$B$6:$B$15,0)),""),5)="Refer","Claims history. ",""))&amp;IF(LEFT(IFERROR(INDEX('Usage and Coverage'!$E$6:$E$20,MATCH($N144,'Usage and Coverage'!$C$6:$C$20,0)),""),7)="DECLINE","DECLINE - usage class. ",IF(LEFT(IFERROR(INDEX('Usage and Coverage'!$E$6:$E$20,MATCH($N144,'Usage and Coverage'!$C$6:$C$20,0)),""),5)="Refer","Usage class. ",""))&amp;IF($CX144="CHECK INPUTS","Incomplete inputs. ",""))))</f>
        <v/>
      </c>
      <c r="DB144" s="92"/>
      <c r="DC144" s="92"/>
      <c r="DD144" s="93"/>
      <c r="DE144" s="92"/>
      <c r="DF144" s="92"/>
      <c r="DG144" s="97" t="str">
        <f t="shared" si="38"/>
        <v/>
      </c>
      <c r="DH144" s="97" t="str">
        <f>IF($A144="","",IF(OR($CX144="REFER",$CX144="DECLINE"),COUNTIF($CX$5:$CX144,"REFER")+COUNTIF($CX$5:$CX144,"DECLINE"),""))</f>
        <v/>
      </c>
      <c r="DI144" s="92"/>
    </row>
    <row r="145" spans="1:113" x14ac:dyDescent="0.25">
      <c r="A145" s="92"/>
      <c r="B145" s="92"/>
      <c r="C145" s="93"/>
      <c r="D145" s="93"/>
      <c r="E145" s="94"/>
      <c r="F145" s="92"/>
      <c r="G145" s="92"/>
      <c r="H145" s="92"/>
      <c r="I145" s="92"/>
      <c r="J145" s="95"/>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6"/>
      <c r="AR145" s="97" t="str">
        <f t="shared" si="26"/>
        <v/>
      </c>
      <c r="AS145" s="97" t="str">
        <f>IF($A145="","",IF($AP145&lt;&gt;"",$AP145,IFERROR(INDEX('Cat Zone by ZIP'!$D$6:$D$856,MATCH($AR145,'Cat Zone by ZIP'!$B$6:$B$856,0)),IFERROR(INDEX('Cat Zone by ZIP'!$C$860:$C$910,MATCH($K145,'Cat Zone by ZIP'!$B$860:$B$910,0)),"NOT FOUND"))))</f>
        <v/>
      </c>
      <c r="AT145" s="97" t="str">
        <f>IF($A145="","",IF($AP145&lt;&gt;"","Override",IF(ISNUMBER(MATCH($AR145,'Cat Zone by ZIP'!$B$6:$B$856,0)),"ZIP-3","State default")))</f>
        <v/>
      </c>
      <c r="AU145" s="98" t="str">
        <f>IF($A145="","",IFERROR(INDEX('Natural Catastrophe'!$D$6:$D$17,MATCH($AS145,'Natural Catastrophe'!$B$6:$B$17,0)),"?"))</f>
        <v/>
      </c>
      <c r="AV145" s="98" t="str">
        <f>IF($A145="","",IFERROR(INDEX('Natural Catastrophe'!$C$21:$C$26,MATCH($AA145,'Natural Catastrophe'!$B$21:$B$26,0)),"?"))</f>
        <v/>
      </c>
      <c r="AW145" s="97" t="str">
        <f>IF($A145="","",IFERROR(INDEX('Base Rates'!$C$4:$I$4,MATCH(MAX($J145,'Technical Premium'!$C$18),'Base Rates'!$C$3:$I$3,1)),"?"))</f>
        <v/>
      </c>
      <c r="AX145" s="99" t="str">
        <f>IF($A145="","",IFERROR(INDEX('Base Rates'!$C$5:$I$16,MATCH($I145,'Base Rates'!$B$5:$B$16,0),MATCH(MAX($J145,'Technical Premium'!$C$18),'Base Rates'!$C$3:$I$3,1)),"?"))</f>
        <v/>
      </c>
      <c r="AY145" s="100" t="str">
        <f t="shared" si="27"/>
        <v/>
      </c>
      <c r="AZ145" s="97" t="str">
        <f>IF($A145="","",IFERROR(INDEX('Make Factors'!$G$5:$G$69,MATCH($F145,'Make Factors'!$B$5:$B$69,0)),"?"))</f>
        <v/>
      </c>
      <c r="BA145" s="97" t="str">
        <f>IF($A145="","",IFERROR(INDEX('Driver Factors'!$C$6:$C$15,MATCH($R145,'Driver Factors'!$B$6:$B$15,0)),"?"))</f>
        <v/>
      </c>
      <c r="BB145" s="97" t="str">
        <f>IF($A145="","",IFERROR(INDEX('Driver Factors'!$C$19:$C$24,MATCH($S145,'Driver Factors'!$B$19:$B$24,0)),"?"))</f>
        <v/>
      </c>
      <c r="BC145" s="97" t="str">
        <f>IF($A145="","",IFERROR(INDEX('Driver Factors'!$C$28:$C$36,MATCH($T145,'Driver Factors'!$B$28:$B$36,0)),"?"))</f>
        <v/>
      </c>
      <c r="BD145" s="97" t="str">
        <f>IF($A145="","",IFERROR(INDEX('Claims History'!$C$6:$C$15,MATCH($U145,'Claims History'!$B$6:$B$15,0)),"?"))</f>
        <v/>
      </c>
      <c r="BE145" s="97" t="str">
        <f>IF($A145="","",IFERROR(INDEX('Territory Factors'!$E$6:$E$56,MATCH($K145,'Territory Factors'!$B$6:$B$56,0)),"?"))</f>
        <v/>
      </c>
      <c r="BF145" s="97" t="str">
        <f>IF($A145="","",IFERROR(INDEX('City Accident Ratings'!$G$6:$G$54,MATCH($Z145,'City Accident Ratings'!$B$6:$B$54,0)),"?"))</f>
        <v/>
      </c>
      <c r="BG145" s="97" t="str">
        <f>IF($A145="","",IFERROR(INDEX('Usage and Coverage'!$D$6:$D$20,MATCH($N145,'Usage and Coverage'!$C$6:$C$20,0)),"?"))</f>
        <v/>
      </c>
      <c r="BH145" s="97" t="str">
        <f>IF($A145="","",IFERROR(INDEX('Usage and Coverage'!$C$24:$C$30,MATCH($O145,'Usage and Coverage'!$B$24:$B$30,0)),"?"))</f>
        <v/>
      </c>
      <c r="BI145" s="97" t="str">
        <f>IF($A145="","",IFERROR(INDEX('Usage and Coverage'!$C$34:$C$40,MATCH($P145,'Usage and Coverage'!$B$34:$B$40,0)),"?"))</f>
        <v/>
      </c>
      <c r="BJ145" s="97" t="str">
        <f>IF($A145="","",IFERROR(INDEX('Usage and Coverage'!$C$44:$C$49,MATCH($Q145,'Usage and Coverage'!$B$44:$B$49,0)),"?"))</f>
        <v/>
      </c>
      <c r="BK145" s="97" t="str">
        <f>IF($A145="","",IFERROR(INDEX(Deductibles!$C$6:$I$15,MATCH($W145,Deductibles!$B$6:$B$15,0),MATCH(MAX($J145,'Technical Premium'!$C$18),'Base Rates'!$C$3:$I$3,1)),"?"))</f>
        <v/>
      </c>
      <c r="BL145" s="97" t="str">
        <f>IF($A145="","",IFERROR(INDEX('Usage and Coverage'!$C$63:$C$66,MATCH($X145,'Usage and Coverage'!$B$63:$B$66,0)),"?"))</f>
        <v/>
      </c>
      <c r="BM145" s="97" t="str">
        <f>IF($A145="","",IFERROR(INDEX('Usage and Coverage'!$C$70:$C$75,MATCH($V145,'Usage and Coverage'!$B$70:$B$75,0)),"?"))</f>
        <v/>
      </c>
      <c r="BN145" s="97" t="str">
        <f>IF($A145="","",IF($AB145="",1,IFERROR(INDEX(Deductibles!$C$48:$C$51,MATCH($AB145,Deductibles!$B$48:$B$51,0)),"?")))</f>
        <v/>
      </c>
      <c r="BO145" s="97" t="str">
        <f>IF($A145="","",IF($AC145="",1,IFERROR(INDEX(Deductibles!$C$55:$C$57,MATCH($AC145,Deductibles!$B$55:$B$57,0)),"?")))</f>
        <v/>
      </c>
      <c r="BP145" s="97" t="str">
        <f>IF($A145="","",IF($AD145="",1,IFERROR(INDEX(Deductibles!$C$61:$C$63,MATCH($AD145,Deductibles!$B$61:$B$63,0)),"?")))</f>
        <v/>
      </c>
      <c r="BQ145" s="97" t="str">
        <f>IF($A145="","",IF($AE145="",1,IFERROR(INDEX(Deductibles!$C$67:$C$69,MATCH($AE145,Deductibles!$B$67:$B$69,0)),"?")))</f>
        <v/>
      </c>
      <c r="BR145" s="97" t="str">
        <f>IF($A145="","",IF($AF145="",1,IFERROR(INDEX(Deductibles!$C$73:$C$74,MATCH($AF145,Deductibles!$B$73:$B$74,0)),"?")))</f>
        <v/>
      </c>
      <c r="BS145" s="97" t="str">
        <f>IF($A145="","",IF($AG145="",1,IFERROR(INDEX('Sublimits and Parts'!$C$49:$C$52,MATCH($AG145,'Sublimits and Parts'!$B$49:$B$52,0)),"?")))</f>
        <v/>
      </c>
      <c r="BT145" s="97" t="str">
        <f>IF($A145="","",IF($AH145="",1,IFERROR(INDEX('Sublimits and Parts'!$C$56:$C$60,MATCH($AH145,'Sublimits and Parts'!$B$56:$B$60,0)),"?")))</f>
        <v/>
      </c>
      <c r="BU145" s="97" t="str">
        <f>IF($A145="","",IF($AI145="",1,IFERROR(INDEX('Sublimits and Parts'!$C$64:$C$67,MATCH($AI145,'Sublimits and Parts'!$B$64:$B$67,0)),"?")))</f>
        <v/>
      </c>
      <c r="BV145" s="97" t="str">
        <f>IF($A145="","",IF($AJ145="",1,IFERROR(INDEX('Sublimits and Parts'!$C$71:$C$74,MATCH($AJ145,'Sublimits and Parts'!$B$71:$B$74,0)),"?")))</f>
        <v/>
      </c>
      <c r="BW145" s="97" t="str">
        <f>IF($A145="","",IF($AK145="",1,IFERROR(INDEX('Sublimits and Parts'!$C$78:$C$80,MATCH($AK145,'Sublimits and Parts'!$B$78:$B$80,0)),"?")))</f>
        <v/>
      </c>
      <c r="BX145" s="97" t="str">
        <f>IF($A145="","",IF($AL145="",1,IFERROR(INDEX('Sublimits and Parts'!$C$84:$C$87,MATCH($AL145,'Sublimits and Parts'!$B$84:$B$87,0)),"?")))</f>
        <v/>
      </c>
      <c r="BY145" s="97" t="str">
        <f>IF($A145="","",IF($AM145="",1,IFERROR(INDEX('Sublimits and Parts'!$C$91:$C$94,MATCH($AM145,'Sublimits and Parts'!$B$91:$B$94,0)),"?")))</f>
        <v/>
      </c>
      <c r="BZ145" s="97" t="str">
        <f>IF($A145="","",IF($AN145="",1,IFERROR(INDEX('Sublimits and Parts'!$C$98:$C$101,MATCH($AN145,'Sublimits and Parts'!$B$98:$B$101,0)),"?")))</f>
        <v/>
      </c>
      <c r="CA145" s="97" t="str">
        <f>IF($A145="","",IF($AO145="",1,IFERROR(INDEX('Sublimits and Parts'!$C$105:$C$109,MATCH($AO145,'Sublimits and Parts'!$B$105:$B$109,0)),"?")))</f>
        <v/>
      </c>
      <c r="CB145" s="98" t="str">
        <f t="shared" si="28"/>
        <v/>
      </c>
      <c r="CC145" s="98" t="str">
        <f t="shared" si="29"/>
        <v/>
      </c>
      <c r="CD145" s="101" t="str">
        <f>IF($A145="","",IF(OR($CB145="?",$CC145="?"),"?",MIN($CB145*$CC145,'Technical Premium'!$C$17)))</f>
        <v/>
      </c>
      <c r="CE145" s="100" t="str">
        <f t="shared" si="30"/>
        <v/>
      </c>
      <c r="CF145" s="100" t="str">
        <f>IF($A145="","",IFERROR(INDEX('Territory Factors'!$F$6:$F$56,MATCH($K145,'Territory Factors'!$B$6:$B$56,0)),"?"))</f>
        <v/>
      </c>
      <c r="CG145" s="98" t="str">
        <f>IF($A145="","",IFERROR(INDEX('Usage and Coverage'!$C$79:$C$84,MATCH($Y145,'Usage and Coverage'!$B$79:$B$84,0)),"?"))</f>
        <v/>
      </c>
      <c r="CH145" s="100" t="str">
        <f>IFERROR(IF(ISNUMBER($CD145),$CF145*$CG145*MIN($BG145*$BA145*$BC145*$BD145*$BH145*$BF145,'Technical Premium'!$C$17),""),"")</f>
        <v/>
      </c>
      <c r="CI145" s="100" t="str">
        <f t="shared" si="31"/>
        <v/>
      </c>
      <c r="CJ145" s="100" t="str">
        <f>IFERROR($CI145*(1+'Technical Premium'!$C$5)*(1+'Technical Premium'!$C$6),"")</f>
        <v/>
      </c>
      <c r="CK145" s="100" t="str">
        <f>IFERROR($CE145*INDEX('Territory Factors'!$G$6:$G$56,MATCH($K145,'Territory Factors'!$B$6:$B$56,0))*$AU145*$AV145,"")</f>
        <v/>
      </c>
      <c r="CL145" s="100" t="str">
        <f>IFERROR(($CJ145+$CK145)*(1+'Technical Premium'!$C$7),"")</f>
        <v/>
      </c>
      <c r="CM145" s="102" t="str">
        <f>IFERROR($CL145/'Technical Premium'!$C$13,"")</f>
        <v/>
      </c>
      <c r="CN145" s="103" t="str">
        <f t="shared" si="32"/>
        <v/>
      </c>
      <c r="CO145" s="102" t="str">
        <f t="shared" si="33"/>
        <v/>
      </c>
      <c r="CP145" s="103" t="str">
        <f t="shared" si="34"/>
        <v/>
      </c>
      <c r="CQ145" s="104" t="str">
        <f t="shared" si="35"/>
        <v/>
      </c>
      <c r="CR145" s="100" t="str">
        <f>IF(ISNUMBER($CM145),'Technical Premium'!$C$14+IF($J145&gt;=1000000,'Technical Premium'!$C$15,0),"")</f>
        <v/>
      </c>
      <c r="CS145" s="100" t="str">
        <f>IFERROR(($CO145+$CR145)*(INDEX('Territory Factors'!$K$6:$K$56,MATCH($K145,'Territory Factors'!$B$6:$B$56,0))+'Commission Structure'!$C$21),"")</f>
        <v/>
      </c>
      <c r="CT145" s="102" t="str">
        <f t="shared" si="36"/>
        <v/>
      </c>
      <c r="CU145" s="100" t="str">
        <f>IFERROR($CO145*('Commission Structure'!$C$6+'Commission Structure'!$C$7),"")</f>
        <v/>
      </c>
      <c r="CV145" s="100" t="str">
        <f>IFERROR($CO145*'Commission Structure'!$C$5-$CU145,"")</f>
        <v/>
      </c>
      <c r="CW145" s="100" t="str">
        <f>IFERROR($CO145*(1-'Commission Structure'!$C$5),"")</f>
        <v/>
      </c>
      <c r="CX145" s="105" t="str">
        <f>IF($A145="","",IF(OR($CB145="?",$CC145="?",NOT(ISNUMBER($AU145))),"CHECK INPUTS",IF(OR($J145&lt;'Technical Premium'!$C$18,LEFT(IFERROR(INDEX('Driver Factors'!$D$6:$D$15,MATCH($R145,'Driver Factors'!$B$6:$B$15,0)),""),7)="DECLINE",LEFT(IFERROR(INDEX('Driver Factors'!$D$28:$D$36,MATCH($T145,'Driver Factors'!$B$28:$B$36,0)),""),7)="DECLINE",LEFT(IFERROR(INDEX('Claims History'!$D$6:$D$15,MATCH($U145,'Claims History'!$B$6:$B$15,0)),""),7)="DECLINE",LEFT(IFERROR(INDEX('Usage and Coverage'!$E$6:$E$20,MATCH($N145,'Usage and Coverage'!$C$6:$C$20,0)),""),7)="DECLINE"),"DECLINE",IF(OR($CD145&gt;2.5,$CD145&gt;='Technical Premium'!$C$17,$J145&gt;='Technical Premium'!$C$16,N($AQ145)&lt;'Technical Premium'!$C$19,N($AQ145)&gt;'Technical Premium'!$C$20,LEFT(IFERROR(INDEX('Driver Factors'!$D$6:$D$15,MATCH($R145,'Driver Factors'!$B$6:$B$15,0)),""),5)="Refer",LEFT(IFERROR(INDEX('Driver Factors'!$D$28:$D$36,MATCH($T145,'Driver Factors'!$B$28:$B$36,0)),""),5)="Refer",LEFT(IFERROR(INDEX('Claims History'!$D$6:$D$15,MATCH($U145,'Claims History'!$B$6:$B$15,0)),""),5)="Refer",LEFT(IFERROR(INDEX('Usage and Coverage'!$E$6:$E$20,MATCH($N145,'Usage and Coverage'!$C$6:$C$20,0)),""),5)="Refer"),"REFER","AUTO-BIND"))))</f>
        <v/>
      </c>
      <c r="CY145" s="106" t="str">
        <f t="shared" si="37"/>
        <v/>
      </c>
      <c r="CZ145" s="97" t="str">
        <f>IF($CY145="","",IF($CY145&lt;'Technical Premium'!$C$19,"BEYOND AUTHORITY",IF($CY145&gt;0.005,"Above technical",IF($CY145&lt;-0.005,"BELOW technical","At technical"))))</f>
        <v/>
      </c>
      <c r="DA145" s="97" t="str">
        <f>IF($A145="","",IF($CX145="AUTO-BIND","",TRIM(IF($J145&lt;'Technical Premium'!$C$18,"Below programme minimum agreed value. ","")&amp;IF(N($AQ145)&lt;'Technical Premium'!$C$19,"DISCOUNT AUTHORITY BREACH. ","")&amp;IF(N($AQ145)&gt;'Technical Premium'!$C$20,"Load authority breach. ","")&amp;IF($J145&gt;='Technical Premium'!$C$16,"Agreed value at or above auto-bind limit. ","")&amp;IF(AND(ISNUMBER($CD145),$CD145&gt;='Technical Premium'!$C$17),"Composite factor at cap. ","")&amp;IF(AND(ISNUMBER($CD145),$CD145&gt;2.5),"Composite factor above 2.50. ","")&amp;IF(LEFT(IFERROR(INDEX('Driver Factors'!$D$6:$D$15,MATCH($R145,'Driver Factors'!$B$6:$B$15,0)),""),7)="DECLINE","DECLINE - driver age. ",IF(LEFT(IFERROR(INDEX('Driver Factors'!$D$6:$D$15,MATCH($R145,'Driver Factors'!$B$6:$B$15,0)),""),5)="Refer","Driver age band. ",""))&amp;IF(LEFT(IFERROR(INDEX('Driver Factors'!$D$28:$D$36,MATCH($T145,'Driver Factors'!$B$28:$B$36,0)),""),7)="DECLINE","DECLINE - MVR. ",IF(LEFT(IFERROR(INDEX('Driver Factors'!$D$28:$D$36,MATCH($T145,'Driver Factors'!$B$28:$B$36,0)),""),5)="Refer","MVR record. ",""))&amp;IF(LEFT(IFERROR(INDEX('Claims History'!$D$6:$D$15,MATCH($U145,'Claims History'!$B$6:$B$15,0)),""),7)="DECLINE","DECLINE - claims. ",IF(LEFT(IFERROR(INDEX('Claims History'!$D$6:$D$15,MATCH($U145,'Claims History'!$B$6:$B$15,0)),""),5)="Refer","Claims history. ",""))&amp;IF(LEFT(IFERROR(INDEX('Usage and Coverage'!$E$6:$E$20,MATCH($N145,'Usage and Coverage'!$C$6:$C$20,0)),""),7)="DECLINE","DECLINE - usage class. ",IF(LEFT(IFERROR(INDEX('Usage and Coverage'!$E$6:$E$20,MATCH($N145,'Usage and Coverage'!$C$6:$C$20,0)),""),5)="Refer","Usage class. ",""))&amp;IF($CX145="CHECK INPUTS","Incomplete inputs. ",""))))</f>
        <v/>
      </c>
      <c r="DB145" s="92"/>
      <c r="DC145" s="92"/>
      <c r="DD145" s="93"/>
      <c r="DE145" s="92"/>
      <c r="DF145" s="92"/>
      <c r="DG145" s="97" t="str">
        <f t="shared" si="38"/>
        <v/>
      </c>
      <c r="DH145" s="97" t="str">
        <f>IF($A145="","",IF(OR($CX145="REFER",$CX145="DECLINE"),COUNTIF($CX$5:$CX145,"REFER")+COUNTIF($CX$5:$CX145,"DECLINE"),""))</f>
        <v/>
      </c>
      <c r="DI145" s="92"/>
    </row>
    <row r="146" spans="1:113" x14ac:dyDescent="0.25">
      <c r="A146" s="92"/>
      <c r="B146" s="92"/>
      <c r="C146" s="93"/>
      <c r="D146" s="93"/>
      <c r="E146" s="94"/>
      <c r="F146" s="92"/>
      <c r="G146" s="92"/>
      <c r="H146" s="92"/>
      <c r="I146" s="92"/>
      <c r="J146" s="95"/>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6"/>
      <c r="AR146" s="97" t="str">
        <f t="shared" si="26"/>
        <v/>
      </c>
      <c r="AS146" s="97" t="str">
        <f>IF($A146="","",IF($AP146&lt;&gt;"",$AP146,IFERROR(INDEX('Cat Zone by ZIP'!$D$6:$D$856,MATCH($AR146,'Cat Zone by ZIP'!$B$6:$B$856,0)),IFERROR(INDEX('Cat Zone by ZIP'!$C$860:$C$910,MATCH($K146,'Cat Zone by ZIP'!$B$860:$B$910,0)),"NOT FOUND"))))</f>
        <v/>
      </c>
      <c r="AT146" s="97" t="str">
        <f>IF($A146="","",IF($AP146&lt;&gt;"","Override",IF(ISNUMBER(MATCH($AR146,'Cat Zone by ZIP'!$B$6:$B$856,0)),"ZIP-3","State default")))</f>
        <v/>
      </c>
      <c r="AU146" s="98" t="str">
        <f>IF($A146="","",IFERROR(INDEX('Natural Catastrophe'!$D$6:$D$17,MATCH($AS146,'Natural Catastrophe'!$B$6:$B$17,0)),"?"))</f>
        <v/>
      </c>
      <c r="AV146" s="98" t="str">
        <f>IF($A146="","",IFERROR(INDEX('Natural Catastrophe'!$C$21:$C$26,MATCH($AA146,'Natural Catastrophe'!$B$21:$B$26,0)),"?"))</f>
        <v/>
      </c>
      <c r="AW146" s="97" t="str">
        <f>IF($A146="","",IFERROR(INDEX('Base Rates'!$C$4:$I$4,MATCH(MAX($J146,'Technical Premium'!$C$18),'Base Rates'!$C$3:$I$3,1)),"?"))</f>
        <v/>
      </c>
      <c r="AX146" s="99" t="str">
        <f>IF($A146="","",IFERROR(INDEX('Base Rates'!$C$5:$I$16,MATCH($I146,'Base Rates'!$B$5:$B$16,0),MATCH(MAX($J146,'Technical Premium'!$C$18),'Base Rates'!$C$3:$I$3,1)),"?"))</f>
        <v/>
      </c>
      <c r="AY146" s="100" t="str">
        <f t="shared" si="27"/>
        <v/>
      </c>
      <c r="AZ146" s="97" t="str">
        <f>IF($A146="","",IFERROR(INDEX('Make Factors'!$G$5:$G$69,MATCH($F146,'Make Factors'!$B$5:$B$69,0)),"?"))</f>
        <v/>
      </c>
      <c r="BA146" s="97" t="str">
        <f>IF($A146="","",IFERROR(INDEX('Driver Factors'!$C$6:$C$15,MATCH($R146,'Driver Factors'!$B$6:$B$15,0)),"?"))</f>
        <v/>
      </c>
      <c r="BB146" s="97" t="str">
        <f>IF($A146="","",IFERROR(INDEX('Driver Factors'!$C$19:$C$24,MATCH($S146,'Driver Factors'!$B$19:$B$24,0)),"?"))</f>
        <v/>
      </c>
      <c r="BC146" s="97" t="str">
        <f>IF($A146="","",IFERROR(INDEX('Driver Factors'!$C$28:$C$36,MATCH($T146,'Driver Factors'!$B$28:$B$36,0)),"?"))</f>
        <v/>
      </c>
      <c r="BD146" s="97" t="str">
        <f>IF($A146="","",IFERROR(INDEX('Claims History'!$C$6:$C$15,MATCH($U146,'Claims History'!$B$6:$B$15,0)),"?"))</f>
        <v/>
      </c>
      <c r="BE146" s="97" t="str">
        <f>IF($A146="","",IFERROR(INDEX('Territory Factors'!$E$6:$E$56,MATCH($K146,'Territory Factors'!$B$6:$B$56,0)),"?"))</f>
        <v/>
      </c>
      <c r="BF146" s="97" t="str">
        <f>IF($A146="","",IFERROR(INDEX('City Accident Ratings'!$G$6:$G$54,MATCH($Z146,'City Accident Ratings'!$B$6:$B$54,0)),"?"))</f>
        <v/>
      </c>
      <c r="BG146" s="97" t="str">
        <f>IF($A146="","",IFERROR(INDEX('Usage and Coverage'!$D$6:$D$20,MATCH($N146,'Usage and Coverage'!$C$6:$C$20,0)),"?"))</f>
        <v/>
      </c>
      <c r="BH146" s="97" t="str">
        <f>IF($A146="","",IFERROR(INDEX('Usage and Coverage'!$C$24:$C$30,MATCH($O146,'Usage and Coverage'!$B$24:$B$30,0)),"?"))</f>
        <v/>
      </c>
      <c r="BI146" s="97" t="str">
        <f>IF($A146="","",IFERROR(INDEX('Usage and Coverage'!$C$34:$C$40,MATCH($P146,'Usage and Coverage'!$B$34:$B$40,0)),"?"))</f>
        <v/>
      </c>
      <c r="BJ146" s="97" t="str">
        <f>IF($A146="","",IFERROR(INDEX('Usage and Coverage'!$C$44:$C$49,MATCH($Q146,'Usage and Coverage'!$B$44:$B$49,0)),"?"))</f>
        <v/>
      </c>
      <c r="BK146" s="97" t="str">
        <f>IF($A146="","",IFERROR(INDEX(Deductibles!$C$6:$I$15,MATCH($W146,Deductibles!$B$6:$B$15,0),MATCH(MAX($J146,'Technical Premium'!$C$18),'Base Rates'!$C$3:$I$3,1)),"?"))</f>
        <v/>
      </c>
      <c r="BL146" s="97" t="str">
        <f>IF($A146="","",IFERROR(INDEX('Usage and Coverage'!$C$63:$C$66,MATCH($X146,'Usage and Coverage'!$B$63:$B$66,0)),"?"))</f>
        <v/>
      </c>
      <c r="BM146" s="97" t="str">
        <f>IF($A146="","",IFERROR(INDEX('Usage and Coverage'!$C$70:$C$75,MATCH($V146,'Usage and Coverage'!$B$70:$B$75,0)),"?"))</f>
        <v/>
      </c>
      <c r="BN146" s="97" t="str">
        <f>IF($A146="","",IF($AB146="",1,IFERROR(INDEX(Deductibles!$C$48:$C$51,MATCH($AB146,Deductibles!$B$48:$B$51,0)),"?")))</f>
        <v/>
      </c>
      <c r="BO146" s="97" t="str">
        <f>IF($A146="","",IF($AC146="",1,IFERROR(INDEX(Deductibles!$C$55:$C$57,MATCH($AC146,Deductibles!$B$55:$B$57,0)),"?")))</f>
        <v/>
      </c>
      <c r="BP146" s="97" t="str">
        <f>IF($A146="","",IF($AD146="",1,IFERROR(INDEX(Deductibles!$C$61:$C$63,MATCH($AD146,Deductibles!$B$61:$B$63,0)),"?")))</f>
        <v/>
      </c>
      <c r="BQ146" s="97" t="str">
        <f>IF($A146="","",IF($AE146="",1,IFERROR(INDEX(Deductibles!$C$67:$C$69,MATCH($AE146,Deductibles!$B$67:$B$69,0)),"?")))</f>
        <v/>
      </c>
      <c r="BR146" s="97" t="str">
        <f>IF($A146="","",IF($AF146="",1,IFERROR(INDEX(Deductibles!$C$73:$C$74,MATCH($AF146,Deductibles!$B$73:$B$74,0)),"?")))</f>
        <v/>
      </c>
      <c r="BS146" s="97" t="str">
        <f>IF($A146="","",IF($AG146="",1,IFERROR(INDEX('Sublimits and Parts'!$C$49:$C$52,MATCH($AG146,'Sublimits and Parts'!$B$49:$B$52,0)),"?")))</f>
        <v/>
      </c>
      <c r="BT146" s="97" t="str">
        <f>IF($A146="","",IF($AH146="",1,IFERROR(INDEX('Sublimits and Parts'!$C$56:$C$60,MATCH($AH146,'Sublimits and Parts'!$B$56:$B$60,0)),"?")))</f>
        <v/>
      </c>
      <c r="BU146" s="97" t="str">
        <f>IF($A146="","",IF($AI146="",1,IFERROR(INDEX('Sublimits and Parts'!$C$64:$C$67,MATCH($AI146,'Sublimits and Parts'!$B$64:$B$67,0)),"?")))</f>
        <v/>
      </c>
      <c r="BV146" s="97" t="str">
        <f>IF($A146="","",IF($AJ146="",1,IFERROR(INDEX('Sublimits and Parts'!$C$71:$C$74,MATCH($AJ146,'Sublimits and Parts'!$B$71:$B$74,0)),"?")))</f>
        <v/>
      </c>
      <c r="BW146" s="97" t="str">
        <f>IF($A146="","",IF($AK146="",1,IFERROR(INDEX('Sublimits and Parts'!$C$78:$C$80,MATCH($AK146,'Sublimits and Parts'!$B$78:$B$80,0)),"?")))</f>
        <v/>
      </c>
      <c r="BX146" s="97" t="str">
        <f>IF($A146="","",IF($AL146="",1,IFERROR(INDEX('Sublimits and Parts'!$C$84:$C$87,MATCH($AL146,'Sublimits and Parts'!$B$84:$B$87,0)),"?")))</f>
        <v/>
      </c>
      <c r="BY146" s="97" t="str">
        <f>IF($A146="","",IF($AM146="",1,IFERROR(INDEX('Sublimits and Parts'!$C$91:$C$94,MATCH($AM146,'Sublimits and Parts'!$B$91:$B$94,0)),"?")))</f>
        <v/>
      </c>
      <c r="BZ146" s="97" t="str">
        <f>IF($A146="","",IF($AN146="",1,IFERROR(INDEX('Sublimits and Parts'!$C$98:$C$101,MATCH($AN146,'Sublimits and Parts'!$B$98:$B$101,0)),"?")))</f>
        <v/>
      </c>
      <c r="CA146" s="97" t="str">
        <f>IF($A146="","",IF($AO146="",1,IFERROR(INDEX('Sublimits and Parts'!$C$105:$C$109,MATCH($AO146,'Sublimits and Parts'!$B$105:$B$109,0)),"?")))</f>
        <v/>
      </c>
      <c r="CB146" s="98" t="str">
        <f t="shared" si="28"/>
        <v/>
      </c>
      <c r="CC146" s="98" t="str">
        <f t="shared" si="29"/>
        <v/>
      </c>
      <c r="CD146" s="101" t="str">
        <f>IF($A146="","",IF(OR($CB146="?",$CC146="?"),"?",MIN($CB146*$CC146,'Technical Premium'!$C$17)))</f>
        <v/>
      </c>
      <c r="CE146" s="100" t="str">
        <f t="shared" si="30"/>
        <v/>
      </c>
      <c r="CF146" s="100" t="str">
        <f>IF($A146="","",IFERROR(INDEX('Territory Factors'!$F$6:$F$56,MATCH($K146,'Territory Factors'!$B$6:$B$56,0)),"?"))</f>
        <v/>
      </c>
      <c r="CG146" s="98" t="str">
        <f>IF($A146="","",IFERROR(INDEX('Usage and Coverage'!$C$79:$C$84,MATCH($Y146,'Usage and Coverage'!$B$79:$B$84,0)),"?"))</f>
        <v/>
      </c>
      <c r="CH146" s="100" t="str">
        <f>IFERROR(IF(ISNUMBER($CD146),$CF146*$CG146*MIN($BG146*$BA146*$BC146*$BD146*$BH146*$BF146,'Technical Premium'!$C$17),""),"")</f>
        <v/>
      </c>
      <c r="CI146" s="100" t="str">
        <f t="shared" si="31"/>
        <v/>
      </c>
      <c r="CJ146" s="100" t="str">
        <f>IFERROR($CI146*(1+'Technical Premium'!$C$5)*(1+'Technical Premium'!$C$6),"")</f>
        <v/>
      </c>
      <c r="CK146" s="100" t="str">
        <f>IFERROR($CE146*INDEX('Territory Factors'!$G$6:$G$56,MATCH($K146,'Territory Factors'!$B$6:$B$56,0))*$AU146*$AV146,"")</f>
        <v/>
      </c>
      <c r="CL146" s="100" t="str">
        <f>IFERROR(($CJ146+$CK146)*(1+'Technical Premium'!$C$7),"")</f>
        <v/>
      </c>
      <c r="CM146" s="102" t="str">
        <f>IFERROR($CL146/'Technical Premium'!$C$13,"")</f>
        <v/>
      </c>
      <c r="CN146" s="103" t="str">
        <f t="shared" si="32"/>
        <v/>
      </c>
      <c r="CO146" s="102" t="str">
        <f t="shared" si="33"/>
        <v/>
      </c>
      <c r="CP146" s="103" t="str">
        <f t="shared" si="34"/>
        <v/>
      </c>
      <c r="CQ146" s="104" t="str">
        <f t="shared" si="35"/>
        <v/>
      </c>
      <c r="CR146" s="100" t="str">
        <f>IF(ISNUMBER($CM146),'Technical Premium'!$C$14+IF($J146&gt;=1000000,'Technical Premium'!$C$15,0),"")</f>
        <v/>
      </c>
      <c r="CS146" s="100" t="str">
        <f>IFERROR(($CO146+$CR146)*(INDEX('Territory Factors'!$K$6:$K$56,MATCH($K146,'Territory Factors'!$B$6:$B$56,0))+'Commission Structure'!$C$21),"")</f>
        <v/>
      </c>
      <c r="CT146" s="102" t="str">
        <f t="shared" si="36"/>
        <v/>
      </c>
      <c r="CU146" s="100" t="str">
        <f>IFERROR($CO146*('Commission Structure'!$C$6+'Commission Structure'!$C$7),"")</f>
        <v/>
      </c>
      <c r="CV146" s="100" t="str">
        <f>IFERROR($CO146*'Commission Structure'!$C$5-$CU146,"")</f>
        <v/>
      </c>
      <c r="CW146" s="100" t="str">
        <f>IFERROR($CO146*(1-'Commission Structure'!$C$5),"")</f>
        <v/>
      </c>
      <c r="CX146" s="105" t="str">
        <f>IF($A146="","",IF(OR($CB146="?",$CC146="?",NOT(ISNUMBER($AU146))),"CHECK INPUTS",IF(OR($J146&lt;'Technical Premium'!$C$18,LEFT(IFERROR(INDEX('Driver Factors'!$D$6:$D$15,MATCH($R146,'Driver Factors'!$B$6:$B$15,0)),""),7)="DECLINE",LEFT(IFERROR(INDEX('Driver Factors'!$D$28:$D$36,MATCH($T146,'Driver Factors'!$B$28:$B$36,0)),""),7)="DECLINE",LEFT(IFERROR(INDEX('Claims History'!$D$6:$D$15,MATCH($U146,'Claims History'!$B$6:$B$15,0)),""),7)="DECLINE",LEFT(IFERROR(INDEX('Usage and Coverage'!$E$6:$E$20,MATCH($N146,'Usage and Coverage'!$C$6:$C$20,0)),""),7)="DECLINE"),"DECLINE",IF(OR($CD146&gt;2.5,$CD146&gt;='Technical Premium'!$C$17,$J146&gt;='Technical Premium'!$C$16,N($AQ146)&lt;'Technical Premium'!$C$19,N($AQ146)&gt;'Technical Premium'!$C$20,LEFT(IFERROR(INDEX('Driver Factors'!$D$6:$D$15,MATCH($R146,'Driver Factors'!$B$6:$B$15,0)),""),5)="Refer",LEFT(IFERROR(INDEX('Driver Factors'!$D$28:$D$36,MATCH($T146,'Driver Factors'!$B$28:$B$36,0)),""),5)="Refer",LEFT(IFERROR(INDEX('Claims History'!$D$6:$D$15,MATCH($U146,'Claims History'!$B$6:$B$15,0)),""),5)="Refer",LEFT(IFERROR(INDEX('Usage and Coverage'!$E$6:$E$20,MATCH($N146,'Usage and Coverage'!$C$6:$C$20,0)),""),5)="Refer"),"REFER","AUTO-BIND"))))</f>
        <v/>
      </c>
      <c r="CY146" s="106" t="str">
        <f t="shared" si="37"/>
        <v/>
      </c>
      <c r="CZ146" s="97" t="str">
        <f>IF($CY146="","",IF($CY146&lt;'Technical Premium'!$C$19,"BEYOND AUTHORITY",IF($CY146&gt;0.005,"Above technical",IF($CY146&lt;-0.005,"BELOW technical","At technical"))))</f>
        <v/>
      </c>
      <c r="DA146" s="97" t="str">
        <f>IF($A146="","",IF($CX146="AUTO-BIND","",TRIM(IF($J146&lt;'Technical Premium'!$C$18,"Below programme minimum agreed value. ","")&amp;IF(N($AQ146)&lt;'Technical Premium'!$C$19,"DISCOUNT AUTHORITY BREACH. ","")&amp;IF(N($AQ146)&gt;'Technical Premium'!$C$20,"Load authority breach. ","")&amp;IF($J146&gt;='Technical Premium'!$C$16,"Agreed value at or above auto-bind limit. ","")&amp;IF(AND(ISNUMBER($CD146),$CD146&gt;='Technical Premium'!$C$17),"Composite factor at cap. ","")&amp;IF(AND(ISNUMBER($CD146),$CD146&gt;2.5),"Composite factor above 2.50. ","")&amp;IF(LEFT(IFERROR(INDEX('Driver Factors'!$D$6:$D$15,MATCH($R146,'Driver Factors'!$B$6:$B$15,0)),""),7)="DECLINE","DECLINE - driver age. ",IF(LEFT(IFERROR(INDEX('Driver Factors'!$D$6:$D$15,MATCH($R146,'Driver Factors'!$B$6:$B$15,0)),""),5)="Refer","Driver age band. ",""))&amp;IF(LEFT(IFERROR(INDEX('Driver Factors'!$D$28:$D$36,MATCH($T146,'Driver Factors'!$B$28:$B$36,0)),""),7)="DECLINE","DECLINE - MVR. ",IF(LEFT(IFERROR(INDEX('Driver Factors'!$D$28:$D$36,MATCH($T146,'Driver Factors'!$B$28:$B$36,0)),""),5)="Refer","MVR record. ",""))&amp;IF(LEFT(IFERROR(INDEX('Claims History'!$D$6:$D$15,MATCH($U146,'Claims History'!$B$6:$B$15,0)),""),7)="DECLINE","DECLINE - claims. ",IF(LEFT(IFERROR(INDEX('Claims History'!$D$6:$D$15,MATCH($U146,'Claims History'!$B$6:$B$15,0)),""),5)="Refer","Claims history. ",""))&amp;IF(LEFT(IFERROR(INDEX('Usage and Coverage'!$E$6:$E$20,MATCH($N146,'Usage and Coverage'!$C$6:$C$20,0)),""),7)="DECLINE","DECLINE - usage class. ",IF(LEFT(IFERROR(INDEX('Usage and Coverage'!$E$6:$E$20,MATCH($N146,'Usage and Coverage'!$C$6:$C$20,0)),""),5)="Refer","Usage class. ",""))&amp;IF($CX146="CHECK INPUTS","Incomplete inputs. ",""))))</f>
        <v/>
      </c>
      <c r="DB146" s="92"/>
      <c r="DC146" s="92"/>
      <c r="DD146" s="93"/>
      <c r="DE146" s="92"/>
      <c r="DF146" s="92"/>
      <c r="DG146" s="97" t="str">
        <f t="shared" si="38"/>
        <v/>
      </c>
      <c r="DH146" s="97" t="str">
        <f>IF($A146="","",IF(OR($CX146="REFER",$CX146="DECLINE"),COUNTIF($CX$5:$CX146,"REFER")+COUNTIF($CX$5:$CX146,"DECLINE"),""))</f>
        <v/>
      </c>
      <c r="DI146" s="92"/>
    </row>
    <row r="147" spans="1:113" x14ac:dyDescent="0.25">
      <c r="A147" s="92"/>
      <c r="B147" s="92"/>
      <c r="C147" s="93"/>
      <c r="D147" s="93"/>
      <c r="E147" s="94"/>
      <c r="F147" s="92"/>
      <c r="G147" s="92"/>
      <c r="H147" s="92"/>
      <c r="I147" s="92"/>
      <c r="J147" s="95"/>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6"/>
      <c r="AR147" s="97" t="str">
        <f t="shared" si="26"/>
        <v/>
      </c>
      <c r="AS147" s="97" t="str">
        <f>IF($A147="","",IF($AP147&lt;&gt;"",$AP147,IFERROR(INDEX('Cat Zone by ZIP'!$D$6:$D$856,MATCH($AR147,'Cat Zone by ZIP'!$B$6:$B$856,0)),IFERROR(INDEX('Cat Zone by ZIP'!$C$860:$C$910,MATCH($K147,'Cat Zone by ZIP'!$B$860:$B$910,0)),"NOT FOUND"))))</f>
        <v/>
      </c>
      <c r="AT147" s="97" t="str">
        <f>IF($A147="","",IF($AP147&lt;&gt;"","Override",IF(ISNUMBER(MATCH($AR147,'Cat Zone by ZIP'!$B$6:$B$856,0)),"ZIP-3","State default")))</f>
        <v/>
      </c>
      <c r="AU147" s="98" t="str">
        <f>IF($A147="","",IFERROR(INDEX('Natural Catastrophe'!$D$6:$D$17,MATCH($AS147,'Natural Catastrophe'!$B$6:$B$17,0)),"?"))</f>
        <v/>
      </c>
      <c r="AV147" s="98" t="str">
        <f>IF($A147="","",IFERROR(INDEX('Natural Catastrophe'!$C$21:$C$26,MATCH($AA147,'Natural Catastrophe'!$B$21:$B$26,0)),"?"))</f>
        <v/>
      </c>
      <c r="AW147" s="97" t="str">
        <f>IF($A147="","",IFERROR(INDEX('Base Rates'!$C$4:$I$4,MATCH(MAX($J147,'Technical Premium'!$C$18),'Base Rates'!$C$3:$I$3,1)),"?"))</f>
        <v/>
      </c>
      <c r="AX147" s="99" t="str">
        <f>IF($A147="","",IFERROR(INDEX('Base Rates'!$C$5:$I$16,MATCH($I147,'Base Rates'!$B$5:$B$16,0),MATCH(MAX($J147,'Technical Premium'!$C$18),'Base Rates'!$C$3:$I$3,1)),"?"))</f>
        <v/>
      </c>
      <c r="AY147" s="100" t="str">
        <f t="shared" si="27"/>
        <v/>
      </c>
      <c r="AZ147" s="97" t="str">
        <f>IF($A147="","",IFERROR(INDEX('Make Factors'!$G$5:$G$69,MATCH($F147,'Make Factors'!$B$5:$B$69,0)),"?"))</f>
        <v/>
      </c>
      <c r="BA147" s="97" t="str">
        <f>IF($A147="","",IFERROR(INDEX('Driver Factors'!$C$6:$C$15,MATCH($R147,'Driver Factors'!$B$6:$B$15,0)),"?"))</f>
        <v/>
      </c>
      <c r="BB147" s="97" t="str">
        <f>IF($A147="","",IFERROR(INDEX('Driver Factors'!$C$19:$C$24,MATCH($S147,'Driver Factors'!$B$19:$B$24,0)),"?"))</f>
        <v/>
      </c>
      <c r="BC147" s="97" t="str">
        <f>IF($A147="","",IFERROR(INDEX('Driver Factors'!$C$28:$C$36,MATCH($T147,'Driver Factors'!$B$28:$B$36,0)),"?"))</f>
        <v/>
      </c>
      <c r="BD147" s="97" t="str">
        <f>IF($A147="","",IFERROR(INDEX('Claims History'!$C$6:$C$15,MATCH($U147,'Claims History'!$B$6:$B$15,0)),"?"))</f>
        <v/>
      </c>
      <c r="BE147" s="97" t="str">
        <f>IF($A147="","",IFERROR(INDEX('Territory Factors'!$E$6:$E$56,MATCH($K147,'Territory Factors'!$B$6:$B$56,0)),"?"))</f>
        <v/>
      </c>
      <c r="BF147" s="97" t="str">
        <f>IF($A147="","",IFERROR(INDEX('City Accident Ratings'!$G$6:$G$54,MATCH($Z147,'City Accident Ratings'!$B$6:$B$54,0)),"?"))</f>
        <v/>
      </c>
      <c r="BG147" s="97" t="str">
        <f>IF($A147="","",IFERROR(INDEX('Usage and Coverage'!$D$6:$D$20,MATCH($N147,'Usage and Coverage'!$C$6:$C$20,0)),"?"))</f>
        <v/>
      </c>
      <c r="BH147" s="97" t="str">
        <f>IF($A147="","",IFERROR(INDEX('Usage and Coverage'!$C$24:$C$30,MATCH($O147,'Usage and Coverage'!$B$24:$B$30,0)),"?"))</f>
        <v/>
      </c>
      <c r="BI147" s="97" t="str">
        <f>IF($A147="","",IFERROR(INDEX('Usage and Coverage'!$C$34:$C$40,MATCH($P147,'Usage and Coverage'!$B$34:$B$40,0)),"?"))</f>
        <v/>
      </c>
      <c r="BJ147" s="97" t="str">
        <f>IF($A147="","",IFERROR(INDEX('Usage and Coverage'!$C$44:$C$49,MATCH($Q147,'Usage and Coverage'!$B$44:$B$49,0)),"?"))</f>
        <v/>
      </c>
      <c r="BK147" s="97" t="str">
        <f>IF($A147="","",IFERROR(INDEX(Deductibles!$C$6:$I$15,MATCH($W147,Deductibles!$B$6:$B$15,0),MATCH(MAX($J147,'Technical Premium'!$C$18),'Base Rates'!$C$3:$I$3,1)),"?"))</f>
        <v/>
      </c>
      <c r="BL147" s="97" t="str">
        <f>IF($A147="","",IFERROR(INDEX('Usage and Coverage'!$C$63:$C$66,MATCH($X147,'Usage and Coverage'!$B$63:$B$66,0)),"?"))</f>
        <v/>
      </c>
      <c r="BM147" s="97" t="str">
        <f>IF($A147="","",IFERROR(INDEX('Usage and Coverage'!$C$70:$C$75,MATCH($V147,'Usage and Coverage'!$B$70:$B$75,0)),"?"))</f>
        <v/>
      </c>
      <c r="BN147" s="97" t="str">
        <f>IF($A147="","",IF($AB147="",1,IFERROR(INDEX(Deductibles!$C$48:$C$51,MATCH($AB147,Deductibles!$B$48:$B$51,0)),"?")))</f>
        <v/>
      </c>
      <c r="BO147" s="97" t="str">
        <f>IF($A147="","",IF($AC147="",1,IFERROR(INDEX(Deductibles!$C$55:$C$57,MATCH($AC147,Deductibles!$B$55:$B$57,0)),"?")))</f>
        <v/>
      </c>
      <c r="BP147" s="97" t="str">
        <f>IF($A147="","",IF($AD147="",1,IFERROR(INDEX(Deductibles!$C$61:$C$63,MATCH($AD147,Deductibles!$B$61:$B$63,0)),"?")))</f>
        <v/>
      </c>
      <c r="BQ147" s="97" t="str">
        <f>IF($A147="","",IF($AE147="",1,IFERROR(INDEX(Deductibles!$C$67:$C$69,MATCH($AE147,Deductibles!$B$67:$B$69,0)),"?")))</f>
        <v/>
      </c>
      <c r="BR147" s="97" t="str">
        <f>IF($A147="","",IF($AF147="",1,IFERROR(INDEX(Deductibles!$C$73:$C$74,MATCH($AF147,Deductibles!$B$73:$B$74,0)),"?")))</f>
        <v/>
      </c>
      <c r="BS147" s="97" t="str">
        <f>IF($A147="","",IF($AG147="",1,IFERROR(INDEX('Sublimits and Parts'!$C$49:$C$52,MATCH($AG147,'Sublimits and Parts'!$B$49:$B$52,0)),"?")))</f>
        <v/>
      </c>
      <c r="BT147" s="97" t="str">
        <f>IF($A147="","",IF($AH147="",1,IFERROR(INDEX('Sublimits and Parts'!$C$56:$C$60,MATCH($AH147,'Sublimits and Parts'!$B$56:$B$60,0)),"?")))</f>
        <v/>
      </c>
      <c r="BU147" s="97" t="str">
        <f>IF($A147="","",IF($AI147="",1,IFERROR(INDEX('Sublimits and Parts'!$C$64:$C$67,MATCH($AI147,'Sublimits and Parts'!$B$64:$B$67,0)),"?")))</f>
        <v/>
      </c>
      <c r="BV147" s="97" t="str">
        <f>IF($A147="","",IF($AJ147="",1,IFERROR(INDEX('Sublimits and Parts'!$C$71:$C$74,MATCH($AJ147,'Sublimits and Parts'!$B$71:$B$74,0)),"?")))</f>
        <v/>
      </c>
      <c r="BW147" s="97" t="str">
        <f>IF($A147="","",IF($AK147="",1,IFERROR(INDEX('Sublimits and Parts'!$C$78:$C$80,MATCH($AK147,'Sublimits and Parts'!$B$78:$B$80,0)),"?")))</f>
        <v/>
      </c>
      <c r="BX147" s="97" t="str">
        <f>IF($A147="","",IF($AL147="",1,IFERROR(INDEX('Sublimits and Parts'!$C$84:$C$87,MATCH($AL147,'Sublimits and Parts'!$B$84:$B$87,0)),"?")))</f>
        <v/>
      </c>
      <c r="BY147" s="97" t="str">
        <f>IF($A147="","",IF($AM147="",1,IFERROR(INDEX('Sublimits and Parts'!$C$91:$C$94,MATCH($AM147,'Sublimits and Parts'!$B$91:$B$94,0)),"?")))</f>
        <v/>
      </c>
      <c r="BZ147" s="97" t="str">
        <f>IF($A147="","",IF($AN147="",1,IFERROR(INDEX('Sublimits and Parts'!$C$98:$C$101,MATCH($AN147,'Sublimits and Parts'!$B$98:$B$101,0)),"?")))</f>
        <v/>
      </c>
      <c r="CA147" s="97" t="str">
        <f>IF($A147="","",IF($AO147="",1,IFERROR(INDEX('Sublimits and Parts'!$C$105:$C$109,MATCH($AO147,'Sublimits and Parts'!$B$105:$B$109,0)),"?")))</f>
        <v/>
      </c>
      <c r="CB147" s="98" t="str">
        <f t="shared" si="28"/>
        <v/>
      </c>
      <c r="CC147" s="98" t="str">
        <f t="shared" si="29"/>
        <v/>
      </c>
      <c r="CD147" s="101" t="str">
        <f>IF($A147="","",IF(OR($CB147="?",$CC147="?"),"?",MIN($CB147*$CC147,'Technical Premium'!$C$17)))</f>
        <v/>
      </c>
      <c r="CE147" s="100" t="str">
        <f t="shared" si="30"/>
        <v/>
      </c>
      <c r="CF147" s="100" t="str">
        <f>IF($A147="","",IFERROR(INDEX('Territory Factors'!$F$6:$F$56,MATCH($K147,'Territory Factors'!$B$6:$B$56,0)),"?"))</f>
        <v/>
      </c>
      <c r="CG147" s="98" t="str">
        <f>IF($A147="","",IFERROR(INDEX('Usage and Coverage'!$C$79:$C$84,MATCH($Y147,'Usage and Coverage'!$B$79:$B$84,0)),"?"))</f>
        <v/>
      </c>
      <c r="CH147" s="100" t="str">
        <f>IFERROR(IF(ISNUMBER($CD147),$CF147*$CG147*MIN($BG147*$BA147*$BC147*$BD147*$BH147*$BF147,'Technical Premium'!$C$17),""),"")</f>
        <v/>
      </c>
      <c r="CI147" s="100" t="str">
        <f t="shared" si="31"/>
        <v/>
      </c>
      <c r="CJ147" s="100" t="str">
        <f>IFERROR($CI147*(1+'Technical Premium'!$C$5)*(1+'Technical Premium'!$C$6),"")</f>
        <v/>
      </c>
      <c r="CK147" s="100" t="str">
        <f>IFERROR($CE147*INDEX('Territory Factors'!$G$6:$G$56,MATCH($K147,'Territory Factors'!$B$6:$B$56,0))*$AU147*$AV147,"")</f>
        <v/>
      </c>
      <c r="CL147" s="100" t="str">
        <f>IFERROR(($CJ147+$CK147)*(1+'Technical Premium'!$C$7),"")</f>
        <v/>
      </c>
      <c r="CM147" s="102" t="str">
        <f>IFERROR($CL147/'Technical Premium'!$C$13,"")</f>
        <v/>
      </c>
      <c r="CN147" s="103" t="str">
        <f t="shared" si="32"/>
        <v/>
      </c>
      <c r="CO147" s="102" t="str">
        <f t="shared" si="33"/>
        <v/>
      </c>
      <c r="CP147" s="103" t="str">
        <f t="shared" si="34"/>
        <v/>
      </c>
      <c r="CQ147" s="104" t="str">
        <f t="shared" si="35"/>
        <v/>
      </c>
      <c r="CR147" s="100" t="str">
        <f>IF(ISNUMBER($CM147),'Technical Premium'!$C$14+IF($J147&gt;=1000000,'Technical Premium'!$C$15,0),"")</f>
        <v/>
      </c>
      <c r="CS147" s="100" t="str">
        <f>IFERROR(($CO147+$CR147)*(INDEX('Territory Factors'!$K$6:$K$56,MATCH($K147,'Territory Factors'!$B$6:$B$56,0))+'Commission Structure'!$C$21),"")</f>
        <v/>
      </c>
      <c r="CT147" s="102" t="str">
        <f t="shared" si="36"/>
        <v/>
      </c>
      <c r="CU147" s="100" t="str">
        <f>IFERROR($CO147*('Commission Structure'!$C$6+'Commission Structure'!$C$7),"")</f>
        <v/>
      </c>
      <c r="CV147" s="100" t="str">
        <f>IFERROR($CO147*'Commission Structure'!$C$5-$CU147,"")</f>
        <v/>
      </c>
      <c r="CW147" s="100" t="str">
        <f>IFERROR($CO147*(1-'Commission Structure'!$C$5),"")</f>
        <v/>
      </c>
      <c r="CX147" s="105" t="str">
        <f>IF($A147="","",IF(OR($CB147="?",$CC147="?",NOT(ISNUMBER($AU147))),"CHECK INPUTS",IF(OR($J147&lt;'Technical Premium'!$C$18,LEFT(IFERROR(INDEX('Driver Factors'!$D$6:$D$15,MATCH($R147,'Driver Factors'!$B$6:$B$15,0)),""),7)="DECLINE",LEFT(IFERROR(INDEX('Driver Factors'!$D$28:$D$36,MATCH($T147,'Driver Factors'!$B$28:$B$36,0)),""),7)="DECLINE",LEFT(IFERROR(INDEX('Claims History'!$D$6:$D$15,MATCH($U147,'Claims History'!$B$6:$B$15,0)),""),7)="DECLINE",LEFT(IFERROR(INDEX('Usage and Coverage'!$E$6:$E$20,MATCH($N147,'Usage and Coverage'!$C$6:$C$20,0)),""),7)="DECLINE"),"DECLINE",IF(OR($CD147&gt;2.5,$CD147&gt;='Technical Premium'!$C$17,$J147&gt;='Technical Premium'!$C$16,N($AQ147)&lt;'Technical Premium'!$C$19,N($AQ147)&gt;'Technical Premium'!$C$20,LEFT(IFERROR(INDEX('Driver Factors'!$D$6:$D$15,MATCH($R147,'Driver Factors'!$B$6:$B$15,0)),""),5)="Refer",LEFT(IFERROR(INDEX('Driver Factors'!$D$28:$D$36,MATCH($T147,'Driver Factors'!$B$28:$B$36,0)),""),5)="Refer",LEFT(IFERROR(INDEX('Claims History'!$D$6:$D$15,MATCH($U147,'Claims History'!$B$6:$B$15,0)),""),5)="Refer",LEFT(IFERROR(INDEX('Usage and Coverage'!$E$6:$E$20,MATCH($N147,'Usage and Coverage'!$C$6:$C$20,0)),""),5)="Refer"),"REFER","AUTO-BIND"))))</f>
        <v/>
      </c>
      <c r="CY147" s="106" t="str">
        <f t="shared" si="37"/>
        <v/>
      </c>
      <c r="CZ147" s="97" t="str">
        <f>IF($CY147="","",IF($CY147&lt;'Technical Premium'!$C$19,"BEYOND AUTHORITY",IF($CY147&gt;0.005,"Above technical",IF($CY147&lt;-0.005,"BELOW technical","At technical"))))</f>
        <v/>
      </c>
      <c r="DA147" s="97" t="str">
        <f>IF($A147="","",IF($CX147="AUTO-BIND","",TRIM(IF($J147&lt;'Technical Premium'!$C$18,"Below programme minimum agreed value. ","")&amp;IF(N($AQ147)&lt;'Technical Premium'!$C$19,"DISCOUNT AUTHORITY BREACH. ","")&amp;IF(N($AQ147)&gt;'Technical Premium'!$C$20,"Load authority breach. ","")&amp;IF($J147&gt;='Technical Premium'!$C$16,"Agreed value at or above auto-bind limit. ","")&amp;IF(AND(ISNUMBER($CD147),$CD147&gt;='Technical Premium'!$C$17),"Composite factor at cap. ","")&amp;IF(AND(ISNUMBER($CD147),$CD147&gt;2.5),"Composite factor above 2.50. ","")&amp;IF(LEFT(IFERROR(INDEX('Driver Factors'!$D$6:$D$15,MATCH($R147,'Driver Factors'!$B$6:$B$15,0)),""),7)="DECLINE","DECLINE - driver age. ",IF(LEFT(IFERROR(INDEX('Driver Factors'!$D$6:$D$15,MATCH($R147,'Driver Factors'!$B$6:$B$15,0)),""),5)="Refer","Driver age band. ",""))&amp;IF(LEFT(IFERROR(INDEX('Driver Factors'!$D$28:$D$36,MATCH($T147,'Driver Factors'!$B$28:$B$36,0)),""),7)="DECLINE","DECLINE - MVR. ",IF(LEFT(IFERROR(INDEX('Driver Factors'!$D$28:$D$36,MATCH($T147,'Driver Factors'!$B$28:$B$36,0)),""),5)="Refer","MVR record. ",""))&amp;IF(LEFT(IFERROR(INDEX('Claims History'!$D$6:$D$15,MATCH($U147,'Claims History'!$B$6:$B$15,0)),""),7)="DECLINE","DECLINE - claims. ",IF(LEFT(IFERROR(INDEX('Claims History'!$D$6:$D$15,MATCH($U147,'Claims History'!$B$6:$B$15,0)),""),5)="Refer","Claims history. ",""))&amp;IF(LEFT(IFERROR(INDEX('Usage and Coverage'!$E$6:$E$20,MATCH($N147,'Usage and Coverage'!$C$6:$C$20,0)),""),7)="DECLINE","DECLINE - usage class. ",IF(LEFT(IFERROR(INDEX('Usage and Coverage'!$E$6:$E$20,MATCH($N147,'Usage and Coverage'!$C$6:$C$20,0)),""),5)="Refer","Usage class. ",""))&amp;IF($CX147="CHECK INPUTS","Incomplete inputs. ",""))))</f>
        <v/>
      </c>
      <c r="DB147" s="92"/>
      <c r="DC147" s="92"/>
      <c r="DD147" s="93"/>
      <c r="DE147" s="92"/>
      <c r="DF147" s="92"/>
      <c r="DG147" s="97" t="str">
        <f t="shared" si="38"/>
        <v/>
      </c>
      <c r="DH147" s="97" t="str">
        <f>IF($A147="","",IF(OR($CX147="REFER",$CX147="DECLINE"),COUNTIF($CX$5:$CX147,"REFER")+COUNTIF($CX$5:$CX147,"DECLINE"),""))</f>
        <v/>
      </c>
      <c r="DI147" s="92"/>
    </row>
    <row r="148" spans="1:113" x14ac:dyDescent="0.25">
      <c r="A148" s="92"/>
      <c r="B148" s="92"/>
      <c r="C148" s="93"/>
      <c r="D148" s="93"/>
      <c r="E148" s="94"/>
      <c r="F148" s="92"/>
      <c r="G148" s="92"/>
      <c r="H148" s="92"/>
      <c r="I148" s="92"/>
      <c r="J148" s="95"/>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6"/>
      <c r="AR148" s="97" t="str">
        <f t="shared" si="26"/>
        <v/>
      </c>
      <c r="AS148" s="97" t="str">
        <f>IF($A148="","",IF($AP148&lt;&gt;"",$AP148,IFERROR(INDEX('Cat Zone by ZIP'!$D$6:$D$856,MATCH($AR148,'Cat Zone by ZIP'!$B$6:$B$856,0)),IFERROR(INDEX('Cat Zone by ZIP'!$C$860:$C$910,MATCH($K148,'Cat Zone by ZIP'!$B$860:$B$910,0)),"NOT FOUND"))))</f>
        <v/>
      </c>
      <c r="AT148" s="97" t="str">
        <f>IF($A148="","",IF($AP148&lt;&gt;"","Override",IF(ISNUMBER(MATCH($AR148,'Cat Zone by ZIP'!$B$6:$B$856,0)),"ZIP-3","State default")))</f>
        <v/>
      </c>
      <c r="AU148" s="98" t="str">
        <f>IF($A148="","",IFERROR(INDEX('Natural Catastrophe'!$D$6:$D$17,MATCH($AS148,'Natural Catastrophe'!$B$6:$B$17,0)),"?"))</f>
        <v/>
      </c>
      <c r="AV148" s="98" t="str">
        <f>IF($A148="","",IFERROR(INDEX('Natural Catastrophe'!$C$21:$C$26,MATCH($AA148,'Natural Catastrophe'!$B$21:$B$26,0)),"?"))</f>
        <v/>
      </c>
      <c r="AW148" s="97" t="str">
        <f>IF($A148="","",IFERROR(INDEX('Base Rates'!$C$4:$I$4,MATCH(MAX($J148,'Technical Premium'!$C$18),'Base Rates'!$C$3:$I$3,1)),"?"))</f>
        <v/>
      </c>
      <c r="AX148" s="99" t="str">
        <f>IF($A148="","",IFERROR(INDEX('Base Rates'!$C$5:$I$16,MATCH($I148,'Base Rates'!$B$5:$B$16,0),MATCH(MAX($J148,'Technical Premium'!$C$18),'Base Rates'!$C$3:$I$3,1)),"?"))</f>
        <v/>
      </c>
      <c r="AY148" s="100" t="str">
        <f t="shared" si="27"/>
        <v/>
      </c>
      <c r="AZ148" s="97" t="str">
        <f>IF($A148="","",IFERROR(INDEX('Make Factors'!$G$5:$G$69,MATCH($F148,'Make Factors'!$B$5:$B$69,0)),"?"))</f>
        <v/>
      </c>
      <c r="BA148" s="97" t="str">
        <f>IF($A148="","",IFERROR(INDEX('Driver Factors'!$C$6:$C$15,MATCH($R148,'Driver Factors'!$B$6:$B$15,0)),"?"))</f>
        <v/>
      </c>
      <c r="BB148" s="97" t="str">
        <f>IF($A148="","",IFERROR(INDEX('Driver Factors'!$C$19:$C$24,MATCH($S148,'Driver Factors'!$B$19:$B$24,0)),"?"))</f>
        <v/>
      </c>
      <c r="BC148" s="97" t="str">
        <f>IF($A148="","",IFERROR(INDEX('Driver Factors'!$C$28:$C$36,MATCH($T148,'Driver Factors'!$B$28:$B$36,0)),"?"))</f>
        <v/>
      </c>
      <c r="BD148" s="97" t="str">
        <f>IF($A148="","",IFERROR(INDEX('Claims History'!$C$6:$C$15,MATCH($U148,'Claims History'!$B$6:$B$15,0)),"?"))</f>
        <v/>
      </c>
      <c r="BE148" s="97" t="str">
        <f>IF($A148="","",IFERROR(INDEX('Territory Factors'!$E$6:$E$56,MATCH($K148,'Territory Factors'!$B$6:$B$56,0)),"?"))</f>
        <v/>
      </c>
      <c r="BF148" s="97" t="str">
        <f>IF($A148="","",IFERROR(INDEX('City Accident Ratings'!$G$6:$G$54,MATCH($Z148,'City Accident Ratings'!$B$6:$B$54,0)),"?"))</f>
        <v/>
      </c>
      <c r="BG148" s="97" t="str">
        <f>IF($A148="","",IFERROR(INDEX('Usage and Coverage'!$D$6:$D$20,MATCH($N148,'Usage and Coverage'!$C$6:$C$20,0)),"?"))</f>
        <v/>
      </c>
      <c r="BH148" s="97" t="str">
        <f>IF($A148="","",IFERROR(INDEX('Usage and Coverage'!$C$24:$C$30,MATCH($O148,'Usage and Coverage'!$B$24:$B$30,0)),"?"))</f>
        <v/>
      </c>
      <c r="BI148" s="97" t="str">
        <f>IF($A148="","",IFERROR(INDEX('Usage and Coverage'!$C$34:$C$40,MATCH($P148,'Usage and Coverage'!$B$34:$B$40,0)),"?"))</f>
        <v/>
      </c>
      <c r="BJ148" s="97" t="str">
        <f>IF($A148="","",IFERROR(INDEX('Usage and Coverage'!$C$44:$C$49,MATCH($Q148,'Usage and Coverage'!$B$44:$B$49,0)),"?"))</f>
        <v/>
      </c>
      <c r="BK148" s="97" t="str">
        <f>IF($A148="","",IFERROR(INDEX(Deductibles!$C$6:$I$15,MATCH($W148,Deductibles!$B$6:$B$15,0),MATCH(MAX($J148,'Technical Premium'!$C$18),'Base Rates'!$C$3:$I$3,1)),"?"))</f>
        <v/>
      </c>
      <c r="BL148" s="97" t="str">
        <f>IF($A148="","",IFERROR(INDEX('Usage and Coverage'!$C$63:$C$66,MATCH($X148,'Usage and Coverage'!$B$63:$B$66,0)),"?"))</f>
        <v/>
      </c>
      <c r="BM148" s="97" t="str">
        <f>IF($A148="","",IFERROR(INDEX('Usage and Coverage'!$C$70:$C$75,MATCH($V148,'Usage and Coverage'!$B$70:$B$75,0)),"?"))</f>
        <v/>
      </c>
      <c r="BN148" s="97" t="str">
        <f>IF($A148="","",IF($AB148="",1,IFERROR(INDEX(Deductibles!$C$48:$C$51,MATCH($AB148,Deductibles!$B$48:$B$51,0)),"?")))</f>
        <v/>
      </c>
      <c r="BO148" s="97" t="str">
        <f>IF($A148="","",IF($AC148="",1,IFERROR(INDEX(Deductibles!$C$55:$C$57,MATCH($AC148,Deductibles!$B$55:$B$57,0)),"?")))</f>
        <v/>
      </c>
      <c r="BP148" s="97" t="str">
        <f>IF($A148="","",IF($AD148="",1,IFERROR(INDEX(Deductibles!$C$61:$C$63,MATCH($AD148,Deductibles!$B$61:$B$63,0)),"?")))</f>
        <v/>
      </c>
      <c r="BQ148" s="97" t="str">
        <f>IF($A148="","",IF($AE148="",1,IFERROR(INDEX(Deductibles!$C$67:$C$69,MATCH($AE148,Deductibles!$B$67:$B$69,0)),"?")))</f>
        <v/>
      </c>
      <c r="BR148" s="97" t="str">
        <f>IF($A148="","",IF($AF148="",1,IFERROR(INDEX(Deductibles!$C$73:$C$74,MATCH($AF148,Deductibles!$B$73:$B$74,0)),"?")))</f>
        <v/>
      </c>
      <c r="BS148" s="97" t="str">
        <f>IF($A148="","",IF($AG148="",1,IFERROR(INDEX('Sublimits and Parts'!$C$49:$C$52,MATCH($AG148,'Sublimits and Parts'!$B$49:$B$52,0)),"?")))</f>
        <v/>
      </c>
      <c r="BT148" s="97" t="str">
        <f>IF($A148="","",IF($AH148="",1,IFERROR(INDEX('Sublimits and Parts'!$C$56:$C$60,MATCH($AH148,'Sublimits and Parts'!$B$56:$B$60,0)),"?")))</f>
        <v/>
      </c>
      <c r="BU148" s="97" t="str">
        <f>IF($A148="","",IF($AI148="",1,IFERROR(INDEX('Sublimits and Parts'!$C$64:$C$67,MATCH($AI148,'Sublimits and Parts'!$B$64:$B$67,0)),"?")))</f>
        <v/>
      </c>
      <c r="BV148" s="97" t="str">
        <f>IF($A148="","",IF($AJ148="",1,IFERROR(INDEX('Sublimits and Parts'!$C$71:$C$74,MATCH($AJ148,'Sublimits and Parts'!$B$71:$B$74,0)),"?")))</f>
        <v/>
      </c>
      <c r="BW148" s="97" t="str">
        <f>IF($A148="","",IF($AK148="",1,IFERROR(INDEX('Sublimits and Parts'!$C$78:$C$80,MATCH($AK148,'Sublimits and Parts'!$B$78:$B$80,0)),"?")))</f>
        <v/>
      </c>
      <c r="BX148" s="97" t="str">
        <f>IF($A148="","",IF($AL148="",1,IFERROR(INDEX('Sublimits and Parts'!$C$84:$C$87,MATCH($AL148,'Sublimits and Parts'!$B$84:$B$87,0)),"?")))</f>
        <v/>
      </c>
      <c r="BY148" s="97" t="str">
        <f>IF($A148="","",IF($AM148="",1,IFERROR(INDEX('Sublimits and Parts'!$C$91:$C$94,MATCH($AM148,'Sublimits and Parts'!$B$91:$B$94,0)),"?")))</f>
        <v/>
      </c>
      <c r="BZ148" s="97" t="str">
        <f>IF($A148="","",IF($AN148="",1,IFERROR(INDEX('Sublimits and Parts'!$C$98:$C$101,MATCH($AN148,'Sublimits and Parts'!$B$98:$B$101,0)),"?")))</f>
        <v/>
      </c>
      <c r="CA148" s="97" t="str">
        <f>IF($A148="","",IF($AO148="",1,IFERROR(INDEX('Sublimits and Parts'!$C$105:$C$109,MATCH($AO148,'Sublimits and Parts'!$B$105:$B$109,0)),"?")))</f>
        <v/>
      </c>
      <c r="CB148" s="98" t="str">
        <f t="shared" si="28"/>
        <v/>
      </c>
      <c r="CC148" s="98" t="str">
        <f t="shared" si="29"/>
        <v/>
      </c>
      <c r="CD148" s="101" t="str">
        <f>IF($A148="","",IF(OR($CB148="?",$CC148="?"),"?",MIN($CB148*$CC148,'Technical Premium'!$C$17)))</f>
        <v/>
      </c>
      <c r="CE148" s="100" t="str">
        <f t="shared" si="30"/>
        <v/>
      </c>
      <c r="CF148" s="100" t="str">
        <f>IF($A148="","",IFERROR(INDEX('Territory Factors'!$F$6:$F$56,MATCH($K148,'Territory Factors'!$B$6:$B$56,0)),"?"))</f>
        <v/>
      </c>
      <c r="CG148" s="98" t="str">
        <f>IF($A148="","",IFERROR(INDEX('Usage and Coverage'!$C$79:$C$84,MATCH($Y148,'Usage and Coverage'!$B$79:$B$84,0)),"?"))</f>
        <v/>
      </c>
      <c r="CH148" s="100" t="str">
        <f>IFERROR(IF(ISNUMBER($CD148),$CF148*$CG148*MIN($BG148*$BA148*$BC148*$BD148*$BH148*$BF148,'Technical Premium'!$C$17),""),"")</f>
        <v/>
      </c>
      <c r="CI148" s="100" t="str">
        <f t="shared" si="31"/>
        <v/>
      </c>
      <c r="CJ148" s="100" t="str">
        <f>IFERROR($CI148*(1+'Technical Premium'!$C$5)*(1+'Technical Premium'!$C$6),"")</f>
        <v/>
      </c>
      <c r="CK148" s="100" t="str">
        <f>IFERROR($CE148*INDEX('Territory Factors'!$G$6:$G$56,MATCH($K148,'Territory Factors'!$B$6:$B$56,0))*$AU148*$AV148,"")</f>
        <v/>
      </c>
      <c r="CL148" s="100" t="str">
        <f>IFERROR(($CJ148+$CK148)*(1+'Technical Premium'!$C$7),"")</f>
        <v/>
      </c>
      <c r="CM148" s="102" t="str">
        <f>IFERROR($CL148/'Technical Premium'!$C$13,"")</f>
        <v/>
      </c>
      <c r="CN148" s="103" t="str">
        <f t="shared" si="32"/>
        <v/>
      </c>
      <c r="CO148" s="102" t="str">
        <f t="shared" si="33"/>
        <v/>
      </c>
      <c r="CP148" s="103" t="str">
        <f t="shared" si="34"/>
        <v/>
      </c>
      <c r="CQ148" s="104" t="str">
        <f t="shared" si="35"/>
        <v/>
      </c>
      <c r="CR148" s="100" t="str">
        <f>IF(ISNUMBER($CM148),'Technical Premium'!$C$14+IF($J148&gt;=1000000,'Technical Premium'!$C$15,0),"")</f>
        <v/>
      </c>
      <c r="CS148" s="100" t="str">
        <f>IFERROR(($CO148+$CR148)*(INDEX('Territory Factors'!$K$6:$K$56,MATCH($K148,'Territory Factors'!$B$6:$B$56,0))+'Commission Structure'!$C$21),"")</f>
        <v/>
      </c>
      <c r="CT148" s="102" t="str">
        <f t="shared" si="36"/>
        <v/>
      </c>
      <c r="CU148" s="100" t="str">
        <f>IFERROR($CO148*('Commission Structure'!$C$6+'Commission Structure'!$C$7),"")</f>
        <v/>
      </c>
      <c r="CV148" s="100" t="str">
        <f>IFERROR($CO148*'Commission Structure'!$C$5-$CU148,"")</f>
        <v/>
      </c>
      <c r="CW148" s="100" t="str">
        <f>IFERROR($CO148*(1-'Commission Structure'!$C$5),"")</f>
        <v/>
      </c>
      <c r="CX148" s="105" t="str">
        <f>IF($A148="","",IF(OR($CB148="?",$CC148="?",NOT(ISNUMBER($AU148))),"CHECK INPUTS",IF(OR($J148&lt;'Technical Premium'!$C$18,LEFT(IFERROR(INDEX('Driver Factors'!$D$6:$D$15,MATCH($R148,'Driver Factors'!$B$6:$B$15,0)),""),7)="DECLINE",LEFT(IFERROR(INDEX('Driver Factors'!$D$28:$D$36,MATCH($T148,'Driver Factors'!$B$28:$B$36,0)),""),7)="DECLINE",LEFT(IFERROR(INDEX('Claims History'!$D$6:$D$15,MATCH($U148,'Claims History'!$B$6:$B$15,0)),""),7)="DECLINE",LEFT(IFERROR(INDEX('Usage and Coverage'!$E$6:$E$20,MATCH($N148,'Usage and Coverage'!$C$6:$C$20,0)),""),7)="DECLINE"),"DECLINE",IF(OR($CD148&gt;2.5,$CD148&gt;='Technical Premium'!$C$17,$J148&gt;='Technical Premium'!$C$16,N($AQ148)&lt;'Technical Premium'!$C$19,N($AQ148)&gt;'Technical Premium'!$C$20,LEFT(IFERROR(INDEX('Driver Factors'!$D$6:$D$15,MATCH($R148,'Driver Factors'!$B$6:$B$15,0)),""),5)="Refer",LEFT(IFERROR(INDEX('Driver Factors'!$D$28:$D$36,MATCH($T148,'Driver Factors'!$B$28:$B$36,0)),""),5)="Refer",LEFT(IFERROR(INDEX('Claims History'!$D$6:$D$15,MATCH($U148,'Claims History'!$B$6:$B$15,0)),""),5)="Refer",LEFT(IFERROR(INDEX('Usage and Coverage'!$E$6:$E$20,MATCH($N148,'Usage and Coverage'!$C$6:$C$20,0)),""),5)="Refer"),"REFER","AUTO-BIND"))))</f>
        <v/>
      </c>
      <c r="CY148" s="106" t="str">
        <f t="shared" si="37"/>
        <v/>
      </c>
      <c r="CZ148" s="97" t="str">
        <f>IF($CY148="","",IF($CY148&lt;'Technical Premium'!$C$19,"BEYOND AUTHORITY",IF($CY148&gt;0.005,"Above technical",IF($CY148&lt;-0.005,"BELOW technical","At technical"))))</f>
        <v/>
      </c>
      <c r="DA148" s="97" t="str">
        <f>IF($A148="","",IF($CX148="AUTO-BIND","",TRIM(IF($J148&lt;'Technical Premium'!$C$18,"Below programme minimum agreed value. ","")&amp;IF(N($AQ148)&lt;'Technical Premium'!$C$19,"DISCOUNT AUTHORITY BREACH. ","")&amp;IF(N($AQ148)&gt;'Technical Premium'!$C$20,"Load authority breach. ","")&amp;IF($J148&gt;='Technical Premium'!$C$16,"Agreed value at or above auto-bind limit. ","")&amp;IF(AND(ISNUMBER($CD148),$CD148&gt;='Technical Premium'!$C$17),"Composite factor at cap. ","")&amp;IF(AND(ISNUMBER($CD148),$CD148&gt;2.5),"Composite factor above 2.50. ","")&amp;IF(LEFT(IFERROR(INDEX('Driver Factors'!$D$6:$D$15,MATCH($R148,'Driver Factors'!$B$6:$B$15,0)),""),7)="DECLINE","DECLINE - driver age. ",IF(LEFT(IFERROR(INDEX('Driver Factors'!$D$6:$D$15,MATCH($R148,'Driver Factors'!$B$6:$B$15,0)),""),5)="Refer","Driver age band. ",""))&amp;IF(LEFT(IFERROR(INDEX('Driver Factors'!$D$28:$D$36,MATCH($T148,'Driver Factors'!$B$28:$B$36,0)),""),7)="DECLINE","DECLINE - MVR. ",IF(LEFT(IFERROR(INDEX('Driver Factors'!$D$28:$D$36,MATCH($T148,'Driver Factors'!$B$28:$B$36,0)),""),5)="Refer","MVR record. ",""))&amp;IF(LEFT(IFERROR(INDEX('Claims History'!$D$6:$D$15,MATCH($U148,'Claims History'!$B$6:$B$15,0)),""),7)="DECLINE","DECLINE - claims. ",IF(LEFT(IFERROR(INDEX('Claims History'!$D$6:$D$15,MATCH($U148,'Claims History'!$B$6:$B$15,0)),""),5)="Refer","Claims history. ",""))&amp;IF(LEFT(IFERROR(INDEX('Usage and Coverage'!$E$6:$E$20,MATCH($N148,'Usage and Coverage'!$C$6:$C$20,0)),""),7)="DECLINE","DECLINE - usage class. ",IF(LEFT(IFERROR(INDEX('Usage and Coverage'!$E$6:$E$20,MATCH($N148,'Usage and Coverage'!$C$6:$C$20,0)),""),5)="Refer","Usage class. ",""))&amp;IF($CX148="CHECK INPUTS","Incomplete inputs. ",""))))</f>
        <v/>
      </c>
      <c r="DB148" s="92"/>
      <c r="DC148" s="92"/>
      <c r="DD148" s="93"/>
      <c r="DE148" s="92"/>
      <c r="DF148" s="92"/>
      <c r="DG148" s="97" t="str">
        <f t="shared" si="38"/>
        <v/>
      </c>
      <c r="DH148" s="97" t="str">
        <f>IF($A148="","",IF(OR($CX148="REFER",$CX148="DECLINE"),COUNTIF($CX$5:$CX148,"REFER")+COUNTIF($CX$5:$CX148,"DECLINE"),""))</f>
        <v/>
      </c>
      <c r="DI148" s="92"/>
    </row>
    <row r="149" spans="1:113" x14ac:dyDescent="0.25">
      <c r="A149" s="92"/>
      <c r="B149" s="92"/>
      <c r="C149" s="93"/>
      <c r="D149" s="93"/>
      <c r="E149" s="94"/>
      <c r="F149" s="92"/>
      <c r="G149" s="92"/>
      <c r="H149" s="92"/>
      <c r="I149" s="92"/>
      <c r="J149" s="95"/>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6"/>
      <c r="AR149" s="97" t="str">
        <f t="shared" si="26"/>
        <v/>
      </c>
      <c r="AS149" s="97" t="str">
        <f>IF($A149="","",IF($AP149&lt;&gt;"",$AP149,IFERROR(INDEX('Cat Zone by ZIP'!$D$6:$D$856,MATCH($AR149,'Cat Zone by ZIP'!$B$6:$B$856,0)),IFERROR(INDEX('Cat Zone by ZIP'!$C$860:$C$910,MATCH($K149,'Cat Zone by ZIP'!$B$860:$B$910,0)),"NOT FOUND"))))</f>
        <v/>
      </c>
      <c r="AT149" s="97" t="str">
        <f>IF($A149="","",IF($AP149&lt;&gt;"","Override",IF(ISNUMBER(MATCH($AR149,'Cat Zone by ZIP'!$B$6:$B$856,0)),"ZIP-3","State default")))</f>
        <v/>
      </c>
      <c r="AU149" s="98" t="str">
        <f>IF($A149="","",IFERROR(INDEX('Natural Catastrophe'!$D$6:$D$17,MATCH($AS149,'Natural Catastrophe'!$B$6:$B$17,0)),"?"))</f>
        <v/>
      </c>
      <c r="AV149" s="98" t="str">
        <f>IF($A149="","",IFERROR(INDEX('Natural Catastrophe'!$C$21:$C$26,MATCH($AA149,'Natural Catastrophe'!$B$21:$B$26,0)),"?"))</f>
        <v/>
      </c>
      <c r="AW149" s="97" t="str">
        <f>IF($A149="","",IFERROR(INDEX('Base Rates'!$C$4:$I$4,MATCH(MAX($J149,'Technical Premium'!$C$18),'Base Rates'!$C$3:$I$3,1)),"?"))</f>
        <v/>
      </c>
      <c r="AX149" s="99" t="str">
        <f>IF($A149="","",IFERROR(INDEX('Base Rates'!$C$5:$I$16,MATCH($I149,'Base Rates'!$B$5:$B$16,0),MATCH(MAX($J149,'Technical Premium'!$C$18),'Base Rates'!$C$3:$I$3,1)),"?"))</f>
        <v/>
      </c>
      <c r="AY149" s="100" t="str">
        <f t="shared" si="27"/>
        <v/>
      </c>
      <c r="AZ149" s="97" t="str">
        <f>IF($A149="","",IFERROR(INDEX('Make Factors'!$G$5:$G$69,MATCH($F149,'Make Factors'!$B$5:$B$69,0)),"?"))</f>
        <v/>
      </c>
      <c r="BA149" s="97" t="str">
        <f>IF($A149="","",IFERROR(INDEX('Driver Factors'!$C$6:$C$15,MATCH($R149,'Driver Factors'!$B$6:$B$15,0)),"?"))</f>
        <v/>
      </c>
      <c r="BB149" s="97" t="str">
        <f>IF($A149="","",IFERROR(INDEX('Driver Factors'!$C$19:$C$24,MATCH($S149,'Driver Factors'!$B$19:$B$24,0)),"?"))</f>
        <v/>
      </c>
      <c r="BC149" s="97" t="str">
        <f>IF($A149="","",IFERROR(INDEX('Driver Factors'!$C$28:$C$36,MATCH($T149,'Driver Factors'!$B$28:$B$36,0)),"?"))</f>
        <v/>
      </c>
      <c r="BD149" s="97" t="str">
        <f>IF($A149="","",IFERROR(INDEX('Claims History'!$C$6:$C$15,MATCH($U149,'Claims History'!$B$6:$B$15,0)),"?"))</f>
        <v/>
      </c>
      <c r="BE149" s="97" t="str">
        <f>IF($A149="","",IFERROR(INDEX('Territory Factors'!$E$6:$E$56,MATCH($K149,'Territory Factors'!$B$6:$B$56,0)),"?"))</f>
        <v/>
      </c>
      <c r="BF149" s="97" t="str">
        <f>IF($A149="","",IFERROR(INDEX('City Accident Ratings'!$G$6:$G$54,MATCH($Z149,'City Accident Ratings'!$B$6:$B$54,0)),"?"))</f>
        <v/>
      </c>
      <c r="BG149" s="97" t="str">
        <f>IF($A149="","",IFERROR(INDEX('Usage and Coverage'!$D$6:$D$20,MATCH($N149,'Usage and Coverage'!$C$6:$C$20,0)),"?"))</f>
        <v/>
      </c>
      <c r="BH149" s="97" t="str">
        <f>IF($A149="","",IFERROR(INDEX('Usage and Coverage'!$C$24:$C$30,MATCH($O149,'Usage and Coverage'!$B$24:$B$30,0)),"?"))</f>
        <v/>
      </c>
      <c r="BI149" s="97" t="str">
        <f>IF($A149="","",IFERROR(INDEX('Usage and Coverage'!$C$34:$C$40,MATCH($P149,'Usage and Coverage'!$B$34:$B$40,0)),"?"))</f>
        <v/>
      </c>
      <c r="BJ149" s="97" t="str">
        <f>IF($A149="","",IFERROR(INDEX('Usage and Coverage'!$C$44:$C$49,MATCH($Q149,'Usage and Coverage'!$B$44:$B$49,0)),"?"))</f>
        <v/>
      </c>
      <c r="BK149" s="97" t="str">
        <f>IF($A149="","",IFERROR(INDEX(Deductibles!$C$6:$I$15,MATCH($W149,Deductibles!$B$6:$B$15,0),MATCH(MAX($J149,'Technical Premium'!$C$18),'Base Rates'!$C$3:$I$3,1)),"?"))</f>
        <v/>
      </c>
      <c r="BL149" s="97" t="str">
        <f>IF($A149="","",IFERROR(INDEX('Usage and Coverage'!$C$63:$C$66,MATCH($X149,'Usage and Coverage'!$B$63:$B$66,0)),"?"))</f>
        <v/>
      </c>
      <c r="BM149" s="97" t="str">
        <f>IF($A149="","",IFERROR(INDEX('Usage and Coverage'!$C$70:$C$75,MATCH($V149,'Usage and Coverage'!$B$70:$B$75,0)),"?"))</f>
        <v/>
      </c>
      <c r="BN149" s="97" t="str">
        <f>IF($A149="","",IF($AB149="",1,IFERROR(INDEX(Deductibles!$C$48:$C$51,MATCH($AB149,Deductibles!$B$48:$B$51,0)),"?")))</f>
        <v/>
      </c>
      <c r="BO149" s="97" t="str">
        <f>IF($A149="","",IF($AC149="",1,IFERROR(INDEX(Deductibles!$C$55:$C$57,MATCH($AC149,Deductibles!$B$55:$B$57,0)),"?")))</f>
        <v/>
      </c>
      <c r="BP149" s="97" t="str">
        <f>IF($A149="","",IF($AD149="",1,IFERROR(INDEX(Deductibles!$C$61:$C$63,MATCH($AD149,Deductibles!$B$61:$B$63,0)),"?")))</f>
        <v/>
      </c>
      <c r="BQ149" s="97" t="str">
        <f>IF($A149="","",IF($AE149="",1,IFERROR(INDEX(Deductibles!$C$67:$C$69,MATCH($AE149,Deductibles!$B$67:$B$69,0)),"?")))</f>
        <v/>
      </c>
      <c r="BR149" s="97" t="str">
        <f>IF($A149="","",IF($AF149="",1,IFERROR(INDEX(Deductibles!$C$73:$C$74,MATCH($AF149,Deductibles!$B$73:$B$74,0)),"?")))</f>
        <v/>
      </c>
      <c r="BS149" s="97" t="str">
        <f>IF($A149="","",IF($AG149="",1,IFERROR(INDEX('Sublimits and Parts'!$C$49:$C$52,MATCH($AG149,'Sublimits and Parts'!$B$49:$B$52,0)),"?")))</f>
        <v/>
      </c>
      <c r="BT149" s="97" t="str">
        <f>IF($A149="","",IF($AH149="",1,IFERROR(INDEX('Sublimits and Parts'!$C$56:$C$60,MATCH($AH149,'Sublimits and Parts'!$B$56:$B$60,0)),"?")))</f>
        <v/>
      </c>
      <c r="BU149" s="97" t="str">
        <f>IF($A149="","",IF($AI149="",1,IFERROR(INDEX('Sublimits and Parts'!$C$64:$C$67,MATCH($AI149,'Sublimits and Parts'!$B$64:$B$67,0)),"?")))</f>
        <v/>
      </c>
      <c r="BV149" s="97" t="str">
        <f>IF($A149="","",IF($AJ149="",1,IFERROR(INDEX('Sublimits and Parts'!$C$71:$C$74,MATCH($AJ149,'Sublimits and Parts'!$B$71:$B$74,0)),"?")))</f>
        <v/>
      </c>
      <c r="BW149" s="97" t="str">
        <f>IF($A149="","",IF($AK149="",1,IFERROR(INDEX('Sublimits and Parts'!$C$78:$C$80,MATCH($AK149,'Sublimits and Parts'!$B$78:$B$80,0)),"?")))</f>
        <v/>
      </c>
      <c r="BX149" s="97" t="str">
        <f>IF($A149="","",IF($AL149="",1,IFERROR(INDEX('Sublimits and Parts'!$C$84:$C$87,MATCH($AL149,'Sublimits and Parts'!$B$84:$B$87,0)),"?")))</f>
        <v/>
      </c>
      <c r="BY149" s="97" t="str">
        <f>IF($A149="","",IF($AM149="",1,IFERROR(INDEX('Sublimits and Parts'!$C$91:$C$94,MATCH($AM149,'Sublimits and Parts'!$B$91:$B$94,0)),"?")))</f>
        <v/>
      </c>
      <c r="BZ149" s="97" t="str">
        <f>IF($A149="","",IF($AN149="",1,IFERROR(INDEX('Sublimits and Parts'!$C$98:$C$101,MATCH($AN149,'Sublimits and Parts'!$B$98:$B$101,0)),"?")))</f>
        <v/>
      </c>
      <c r="CA149" s="97" t="str">
        <f>IF($A149="","",IF($AO149="",1,IFERROR(INDEX('Sublimits and Parts'!$C$105:$C$109,MATCH($AO149,'Sublimits and Parts'!$B$105:$B$109,0)),"?")))</f>
        <v/>
      </c>
      <c r="CB149" s="98" t="str">
        <f t="shared" si="28"/>
        <v/>
      </c>
      <c r="CC149" s="98" t="str">
        <f t="shared" si="29"/>
        <v/>
      </c>
      <c r="CD149" s="101" t="str">
        <f>IF($A149="","",IF(OR($CB149="?",$CC149="?"),"?",MIN($CB149*$CC149,'Technical Premium'!$C$17)))</f>
        <v/>
      </c>
      <c r="CE149" s="100" t="str">
        <f t="shared" si="30"/>
        <v/>
      </c>
      <c r="CF149" s="100" t="str">
        <f>IF($A149="","",IFERROR(INDEX('Territory Factors'!$F$6:$F$56,MATCH($K149,'Territory Factors'!$B$6:$B$56,0)),"?"))</f>
        <v/>
      </c>
      <c r="CG149" s="98" t="str">
        <f>IF($A149="","",IFERROR(INDEX('Usage and Coverage'!$C$79:$C$84,MATCH($Y149,'Usage and Coverage'!$B$79:$B$84,0)),"?"))</f>
        <v/>
      </c>
      <c r="CH149" s="100" t="str">
        <f>IFERROR(IF(ISNUMBER($CD149),$CF149*$CG149*MIN($BG149*$BA149*$BC149*$BD149*$BH149*$BF149,'Technical Premium'!$C$17),""),"")</f>
        <v/>
      </c>
      <c r="CI149" s="100" t="str">
        <f t="shared" si="31"/>
        <v/>
      </c>
      <c r="CJ149" s="100" t="str">
        <f>IFERROR($CI149*(1+'Technical Premium'!$C$5)*(1+'Technical Premium'!$C$6),"")</f>
        <v/>
      </c>
      <c r="CK149" s="100" t="str">
        <f>IFERROR($CE149*INDEX('Territory Factors'!$G$6:$G$56,MATCH($K149,'Territory Factors'!$B$6:$B$56,0))*$AU149*$AV149,"")</f>
        <v/>
      </c>
      <c r="CL149" s="100" t="str">
        <f>IFERROR(($CJ149+$CK149)*(1+'Technical Premium'!$C$7),"")</f>
        <v/>
      </c>
      <c r="CM149" s="102" t="str">
        <f>IFERROR($CL149/'Technical Premium'!$C$13,"")</f>
        <v/>
      </c>
      <c r="CN149" s="103" t="str">
        <f t="shared" si="32"/>
        <v/>
      </c>
      <c r="CO149" s="102" t="str">
        <f t="shared" si="33"/>
        <v/>
      </c>
      <c r="CP149" s="103" t="str">
        <f t="shared" si="34"/>
        <v/>
      </c>
      <c r="CQ149" s="104" t="str">
        <f t="shared" si="35"/>
        <v/>
      </c>
      <c r="CR149" s="100" t="str">
        <f>IF(ISNUMBER($CM149),'Technical Premium'!$C$14+IF($J149&gt;=1000000,'Technical Premium'!$C$15,0),"")</f>
        <v/>
      </c>
      <c r="CS149" s="100" t="str">
        <f>IFERROR(($CO149+$CR149)*(INDEX('Territory Factors'!$K$6:$K$56,MATCH($K149,'Territory Factors'!$B$6:$B$56,0))+'Commission Structure'!$C$21),"")</f>
        <v/>
      </c>
      <c r="CT149" s="102" t="str">
        <f t="shared" si="36"/>
        <v/>
      </c>
      <c r="CU149" s="100" t="str">
        <f>IFERROR($CO149*('Commission Structure'!$C$6+'Commission Structure'!$C$7),"")</f>
        <v/>
      </c>
      <c r="CV149" s="100" t="str">
        <f>IFERROR($CO149*'Commission Structure'!$C$5-$CU149,"")</f>
        <v/>
      </c>
      <c r="CW149" s="100" t="str">
        <f>IFERROR($CO149*(1-'Commission Structure'!$C$5),"")</f>
        <v/>
      </c>
      <c r="CX149" s="105" t="str">
        <f>IF($A149="","",IF(OR($CB149="?",$CC149="?",NOT(ISNUMBER($AU149))),"CHECK INPUTS",IF(OR($J149&lt;'Technical Premium'!$C$18,LEFT(IFERROR(INDEX('Driver Factors'!$D$6:$D$15,MATCH($R149,'Driver Factors'!$B$6:$B$15,0)),""),7)="DECLINE",LEFT(IFERROR(INDEX('Driver Factors'!$D$28:$D$36,MATCH($T149,'Driver Factors'!$B$28:$B$36,0)),""),7)="DECLINE",LEFT(IFERROR(INDEX('Claims History'!$D$6:$D$15,MATCH($U149,'Claims History'!$B$6:$B$15,0)),""),7)="DECLINE",LEFT(IFERROR(INDEX('Usage and Coverage'!$E$6:$E$20,MATCH($N149,'Usage and Coverage'!$C$6:$C$20,0)),""),7)="DECLINE"),"DECLINE",IF(OR($CD149&gt;2.5,$CD149&gt;='Technical Premium'!$C$17,$J149&gt;='Technical Premium'!$C$16,N($AQ149)&lt;'Technical Premium'!$C$19,N($AQ149)&gt;'Technical Premium'!$C$20,LEFT(IFERROR(INDEX('Driver Factors'!$D$6:$D$15,MATCH($R149,'Driver Factors'!$B$6:$B$15,0)),""),5)="Refer",LEFT(IFERROR(INDEX('Driver Factors'!$D$28:$D$36,MATCH($T149,'Driver Factors'!$B$28:$B$36,0)),""),5)="Refer",LEFT(IFERROR(INDEX('Claims History'!$D$6:$D$15,MATCH($U149,'Claims History'!$B$6:$B$15,0)),""),5)="Refer",LEFT(IFERROR(INDEX('Usage and Coverage'!$E$6:$E$20,MATCH($N149,'Usage and Coverage'!$C$6:$C$20,0)),""),5)="Refer"),"REFER","AUTO-BIND"))))</f>
        <v/>
      </c>
      <c r="CY149" s="106" t="str">
        <f t="shared" si="37"/>
        <v/>
      </c>
      <c r="CZ149" s="97" t="str">
        <f>IF($CY149="","",IF($CY149&lt;'Technical Premium'!$C$19,"BEYOND AUTHORITY",IF($CY149&gt;0.005,"Above technical",IF($CY149&lt;-0.005,"BELOW technical","At technical"))))</f>
        <v/>
      </c>
      <c r="DA149" s="97" t="str">
        <f>IF($A149="","",IF($CX149="AUTO-BIND","",TRIM(IF($J149&lt;'Technical Premium'!$C$18,"Below programme minimum agreed value. ","")&amp;IF(N($AQ149)&lt;'Technical Premium'!$C$19,"DISCOUNT AUTHORITY BREACH. ","")&amp;IF(N($AQ149)&gt;'Technical Premium'!$C$20,"Load authority breach. ","")&amp;IF($J149&gt;='Technical Premium'!$C$16,"Agreed value at or above auto-bind limit. ","")&amp;IF(AND(ISNUMBER($CD149),$CD149&gt;='Technical Premium'!$C$17),"Composite factor at cap. ","")&amp;IF(AND(ISNUMBER($CD149),$CD149&gt;2.5),"Composite factor above 2.50. ","")&amp;IF(LEFT(IFERROR(INDEX('Driver Factors'!$D$6:$D$15,MATCH($R149,'Driver Factors'!$B$6:$B$15,0)),""),7)="DECLINE","DECLINE - driver age. ",IF(LEFT(IFERROR(INDEX('Driver Factors'!$D$6:$D$15,MATCH($R149,'Driver Factors'!$B$6:$B$15,0)),""),5)="Refer","Driver age band. ",""))&amp;IF(LEFT(IFERROR(INDEX('Driver Factors'!$D$28:$D$36,MATCH($T149,'Driver Factors'!$B$28:$B$36,0)),""),7)="DECLINE","DECLINE - MVR. ",IF(LEFT(IFERROR(INDEX('Driver Factors'!$D$28:$D$36,MATCH($T149,'Driver Factors'!$B$28:$B$36,0)),""),5)="Refer","MVR record. ",""))&amp;IF(LEFT(IFERROR(INDEX('Claims History'!$D$6:$D$15,MATCH($U149,'Claims History'!$B$6:$B$15,0)),""),7)="DECLINE","DECLINE - claims. ",IF(LEFT(IFERROR(INDEX('Claims History'!$D$6:$D$15,MATCH($U149,'Claims History'!$B$6:$B$15,0)),""),5)="Refer","Claims history. ",""))&amp;IF(LEFT(IFERROR(INDEX('Usage and Coverage'!$E$6:$E$20,MATCH($N149,'Usage and Coverage'!$C$6:$C$20,0)),""),7)="DECLINE","DECLINE - usage class. ",IF(LEFT(IFERROR(INDEX('Usage and Coverage'!$E$6:$E$20,MATCH($N149,'Usage and Coverage'!$C$6:$C$20,0)),""),5)="Refer","Usage class. ",""))&amp;IF($CX149="CHECK INPUTS","Incomplete inputs. ",""))))</f>
        <v/>
      </c>
      <c r="DB149" s="92"/>
      <c r="DC149" s="92"/>
      <c r="DD149" s="93"/>
      <c r="DE149" s="92"/>
      <c r="DF149" s="92"/>
      <c r="DG149" s="97" t="str">
        <f t="shared" si="38"/>
        <v/>
      </c>
      <c r="DH149" s="97" t="str">
        <f>IF($A149="","",IF(OR($CX149="REFER",$CX149="DECLINE"),COUNTIF($CX$5:$CX149,"REFER")+COUNTIF($CX$5:$CX149,"DECLINE"),""))</f>
        <v/>
      </c>
      <c r="DI149" s="92"/>
    </row>
    <row r="150" spans="1:113" x14ac:dyDescent="0.25">
      <c r="A150" s="92"/>
      <c r="B150" s="92"/>
      <c r="C150" s="93"/>
      <c r="D150" s="93"/>
      <c r="E150" s="94"/>
      <c r="F150" s="92"/>
      <c r="G150" s="92"/>
      <c r="H150" s="92"/>
      <c r="I150" s="92"/>
      <c r="J150" s="95"/>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6"/>
      <c r="AR150" s="97" t="str">
        <f t="shared" si="26"/>
        <v/>
      </c>
      <c r="AS150" s="97" t="str">
        <f>IF($A150="","",IF($AP150&lt;&gt;"",$AP150,IFERROR(INDEX('Cat Zone by ZIP'!$D$6:$D$856,MATCH($AR150,'Cat Zone by ZIP'!$B$6:$B$856,0)),IFERROR(INDEX('Cat Zone by ZIP'!$C$860:$C$910,MATCH($K150,'Cat Zone by ZIP'!$B$860:$B$910,0)),"NOT FOUND"))))</f>
        <v/>
      </c>
      <c r="AT150" s="97" t="str">
        <f>IF($A150="","",IF($AP150&lt;&gt;"","Override",IF(ISNUMBER(MATCH($AR150,'Cat Zone by ZIP'!$B$6:$B$856,0)),"ZIP-3","State default")))</f>
        <v/>
      </c>
      <c r="AU150" s="98" t="str">
        <f>IF($A150="","",IFERROR(INDEX('Natural Catastrophe'!$D$6:$D$17,MATCH($AS150,'Natural Catastrophe'!$B$6:$B$17,0)),"?"))</f>
        <v/>
      </c>
      <c r="AV150" s="98" t="str">
        <f>IF($A150="","",IFERROR(INDEX('Natural Catastrophe'!$C$21:$C$26,MATCH($AA150,'Natural Catastrophe'!$B$21:$B$26,0)),"?"))</f>
        <v/>
      </c>
      <c r="AW150" s="97" t="str">
        <f>IF($A150="","",IFERROR(INDEX('Base Rates'!$C$4:$I$4,MATCH(MAX($J150,'Technical Premium'!$C$18),'Base Rates'!$C$3:$I$3,1)),"?"))</f>
        <v/>
      </c>
      <c r="AX150" s="99" t="str">
        <f>IF($A150="","",IFERROR(INDEX('Base Rates'!$C$5:$I$16,MATCH($I150,'Base Rates'!$B$5:$B$16,0),MATCH(MAX($J150,'Technical Premium'!$C$18),'Base Rates'!$C$3:$I$3,1)),"?"))</f>
        <v/>
      </c>
      <c r="AY150" s="100" t="str">
        <f t="shared" si="27"/>
        <v/>
      </c>
      <c r="AZ150" s="97" t="str">
        <f>IF($A150="","",IFERROR(INDEX('Make Factors'!$G$5:$G$69,MATCH($F150,'Make Factors'!$B$5:$B$69,0)),"?"))</f>
        <v/>
      </c>
      <c r="BA150" s="97" t="str">
        <f>IF($A150="","",IFERROR(INDEX('Driver Factors'!$C$6:$C$15,MATCH($R150,'Driver Factors'!$B$6:$B$15,0)),"?"))</f>
        <v/>
      </c>
      <c r="BB150" s="97" t="str">
        <f>IF($A150="","",IFERROR(INDEX('Driver Factors'!$C$19:$C$24,MATCH($S150,'Driver Factors'!$B$19:$B$24,0)),"?"))</f>
        <v/>
      </c>
      <c r="BC150" s="97" t="str">
        <f>IF($A150="","",IFERROR(INDEX('Driver Factors'!$C$28:$C$36,MATCH($T150,'Driver Factors'!$B$28:$B$36,0)),"?"))</f>
        <v/>
      </c>
      <c r="BD150" s="97" t="str">
        <f>IF($A150="","",IFERROR(INDEX('Claims History'!$C$6:$C$15,MATCH($U150,'Claims History'!$B$6:$B$15,0)),"?"))</f>
        <v/>
      </c>
      <c r="BE150" s="97" t="str">
        <f>IF($A150="","",IFERROR(INDEX('Territory Factors'!$E$6:$E$56,MATCH($K150,'Territory Factors'!$B$6:$B$56,0)),"?"))</f>
        <v/>
      </c>
      <c r="BF150" s="97" t="str">
        <f>IF($A150="","",IFERROR(INDEX('City Accident Ratings'!$G$6:$G$54,MATCH($Z150,'City Accident Ratings'!$B$6:$B$54,0)),"?"))</f>
        <v/>
      </c>
      <c r="BG150" s="97" t="str">
        <f>IF($A150="","",IFERROR(INDEX('Usage and Coverage'!$D$6:$D$20,MATCH($N150,'Usage and Coverage'!$C$6:$C$20,0)),"?"))</f>
        <v/>
      </c>
      <c r="BH150" s="97" t="str">
        <f>IF($A150="","",IFERROR(INDEX('Usage and Coverage'!$C$24:$C$30,MATCH($O150,'Usage and Coverage'!$B$24:$B$30,0)),"?"))</f>
        <v/>
      </c>
      <c r="BI150" s="97" t="str">
        <f>IF($A150="","",IFERROR(INDEX('Usage and Coverage'!$C$34:$C$40,MATCH($P150,'Usage and Coverage'!$B$34:$B$40,0)),"?"))</f>
        <v/>
      </c>
      <c r="BJ150" s="97" t="str">
        <f>IF($A150="","",IFERROR(INDEX('Usage and Coverage'!$C$44:$C$49,MATCH($Q150,'Usage and Coverage'!$B$44:$B$49,0)),"?"))</f>
        <v/>
      </c>
      <c r="BK150" s="97" t="str">
        <f>IF($A150="","",IFERROR(INDEX(Deductibles!$C$6:$I$15,MATCH($W150,Deductibles!$B$6:$B$15,0),MATCH(MAX($J150,'Technical Premium'!$C$18),'Base Rates'!$C$3:$I$3,1)),"?"))</f>
        <v/>
      </c>
      <c r="BL150" s="97" t="str">
        <f>IF($A150="","",IFERROR(INDEX('Usage and Coverage'!$C$63:$C$66,MATCH($X150,'Usage and Coverage'!$B$63:$B$66,0)),"?"))</f>
        <v/>
      </c>
      <c r="BM150" s="97" t="str">
        <f>IF($A150="","",IFERROR(INDEX('Usage and Coverage'!$C$70:$C$75,MATCH($V150,'Usage and Coverage'!$B$70:$B$75,0)),"?"))</f>
        <v/>
      </c>
      <c r="BN150" s="97" t="str">
        <f>IF($A150="","",IF($AB150="",1,IFERROR(INDEX(Deductibles!$C$48:$C$51,MATCH($AB150,Deductibles!$B$48:$B$51,0)),"?")))</f>
        <v/>
      </c>
      <c r="BO150" s="97" t="str">
        <f>IF($A150="","",IF($AC150="",1,IFERROR(INDEX(Deductibles!$C$55:$C$57,MATCH($AC150,Deductibles!$B$55:$B$57,0)),"?")))</f>
        <v/>
      </c>
      <c r="BP150" s="97" t="str">
        <f>IF($A150="","",IF($AD150="",1,IFERROR(INDEX(Deductibles!$C$61:$C$63,MATCH($AD150,Deductibles!$B$61:$B$63,0)),"?")))</f>
        <v/>
      </c>
      <c r="BQ150" s="97" t="str">
        <f>IF($A150="","",IF($AE150="",1,IFERROR(INDEX(Deductibles!$C$67:$C$69,MATCH($AE150,Deductibles!$B$67:$B$69,0)),"?")))</f>
        <v/>
      </c>
      <c r="BR150" s="97" t="str">
        <f>IF($A150="","",IF($AF150="",1,IFERROR(INDEX(Deductibles!$C$73:$C$74,MATCH($AF150,Deductibles!$B$73:$B$74,0)),"?")))</f>
        <v/>
      </c>
      <c r="BS150" s="97" t="str">
        <f>IF($A150="","",IF($AG150="",1,IFERROR(INDEX('Sublimits and Parts'!$C$49:$C$52,MATCH($AG150,'Sublimits and Parts'!$B$49:$B$52,0)),"?")))</f>
        <v/>
      </c>
      <c r="BT150" s="97" t="str">
        <f>IF($A150="","",IF($AH150="",1,IFERROR(INDEX('Sublimits and Parts'!$C$56:$C$60,MATCH($AH150,'Sublimits and Parts'!$B$56:$B$60,0)),"?")))</f>
        <v/>
      </c>
      <c r="BU150" s="97" t="str">
        <f>IF($A150="","",IF($AI150="",1,IFERROR(INDEX('Sublimits and Parts'!$C$64:$C$67,MATCH($AI150,'Sublimits and Parts'!$B$64:$B$67,0)),"?")))</f>
        <v/>
      </c>
      <c r="BV150" s="97" t="str">
        <f>IF($A150="","",IF($AJ150="",1,IFERROR(INDEX('Sublimits and Parts'!$C$71:$C$74,MATCH($AJ150,'Sublimits and Parts'!$B$71:$B$74,0)),"?")))</f>
        <v/>
      </c>
      <c r="BW150" s="97" t="str">
        <f>IF($A150="","",IF($AK150="",1,IFERROR(INDEX('Sublimits and Parts'!$C$78:$C$80,MATCH($AK150,'Sublimits and Parts'!$B$78:$B$80,0)),"?")))</f>
        <v/>
      </c>
      <c r="BX150" s="97" t="str">
        <f>IF($A150="","",IF($AL150="",1,IFERROR(INDEX('Sublimits and Parts'!$C$84:$C$87,MATCH($AL150,'Sublimits and Parts'!$B$84:$B$87,0)),"?")))</f>
        <v/>
      </c>
      <c r="BY150" s="97" t="str">
        <f>IF($A150="","",IF($AM150="",1,IFERROR(INDEX('Sublimits and Parts'!$C$91:$C$94,MATCH($AM150,'Sublimits and Parts'!$B$91:$B$94,0)),"?")))</f>
        <v/>
      </c>
      <c r="BZ150" s="97" t="str">
        <f>IF($A150="","",IF($AN150="",1,IFERROR(INDEX('Sublimits and Parts'!$C$98:$C$101,MATCH($AN150,'Sublimits and Parts'!$B$98:$B$101,0)),"?")))</f>
        <v/>
      </c>
      <c r="CA150" s="97" t="str">
        <f>IF($A150="","",IF($AO150="",1,IFERROR(INDEX('Sublimits and Parts'!$C$105:$C$109,MATCH($AO150,'Sublimits and Parts'!$B$105:$B$109,0)),"?")))</f>
        <v/>
      </c>
      <c r="CB150" s="98" t="str">
        <f t="shared" si="28"/>
        <v/>
      </c>
      <c r="CC150" s="98" t="str">
        <f t="shared" si="29"/>
        <v/>
      </c>
      <c r="CD150" s="101" t="str">
        <f>IF($A150="","",IF(OR($CB150="?",$CC150="?"),"?",MIN($CB150*$CC150,'Technical Premium'!$C$17)))</f>
        <v/>
      </c>
      <c r="CE150" s="100" t="str">
        <f t="shared" si="30"/>
        <v/>
      </c>
      <c r="CF150" s="100" t="str">
        <f>IF($A150="","",IFERROR(INDEX('Territory Factors'!$F$6:$F$56,MATCH($K150,'Territory Factors'!$B$6:$B$56,0)),"?"))</f>
        <v/>
      </c>
      <c r="CG150" s="98" t="str">
        <f>IF($A150="","",IFERROR(INDEX('Usage and Coverage'!$C$79:$C$84,MATCH($Y150,'Usage and Coverage'!$B$79:$B$84,0)),"?"))</f>
        <v/>
      </c>
      <c r="CH150" s="100" t="str">
        <f>IFERROR(IF(ISNUMBER($CD150),$CF150*$CG150*MIN($BG150*$BA150*$BC150*$BD150*$BH150*$BF150,'Technical Premium'!$C$17),""),"")</f>
        <v/>
      </c>
      <c r="CI150" s="100" t="str">
        <f t="shared" si="31"/>
        <v/>
      </c>
      <c r="CJ150" s="100" t="str">
        <f>IFERROR($CI150*(1+'Technical Premium'!$C$5)*(1+'Technical Premium'!$C$6),"")</f>
        <v/>
      </c>
      <c r="CK150" s="100" t="str">
        <f>IFERROR($CE150*INDEX('Territory Factors'!$G$6:$G$56,MATCH($K150,'Territory Factors'!$B$6:$B$56,0))*$AU150*$AV150,"")</f>
        <v/>
      </c>
      <c r="CL150" s="100" t="str">
        <f>IFERROR(($CJ150+$CK150)*(1+'Technical Premium'!$C$7),"")</f>
        <v/>
      </c>
      <c r="CM150" s="102" t="str">
        <f>IFERROR($CL150/'Technical Premium'!$C$13,"")</f>
        <v/>
      </c>
      <c r="CN150" s="103" t="str">
        <f t="shared" si="32"/>
        <v/>
      </c>
      <c r="CO150" s="102" t="str">
        <f t="shared" si="33"/>
        <v/>
      </c>
      <c r="CP150" s="103" t="str">
        <f t="shared" si="34"/>
        <v/>
      </c>
      <c r="CQ150" s="104" t="str">
        <f t="shared" si="35"/>
        <v/>
      </c>
      <c r="CR150" s="100" t="str">
        <f>IF(ISNUMBER($CM150),'Technical Premium'!$C$14+IF($J150&gt;=1000000,'Technical Premium'!$C$15,0),"")</f>
        <v/>
      </c>
      <c r="CS150" s="100" t="str">
        <f>IFERROR(($CO150+$CR150)*(INDEX('Territory Factors'!$K$6:$K$56,MATCH($K150,'Territory Factors'!$B$6:$B$56,0))+'Commission Structure'!$C$21),"")</f>
        <v/>
      </c>
      <c r="CT150" s="102" t="str">
        <f t="shared" si="36"/>
        <v/>
      </c>
      <c r="CU150" s="100" t="str">
        <f>IFERROR($CO150*('Commission Structure'!$C$6+'Commission Structure'!$C$7),"")</f>
        <v/>
      </c>
      <c r="CV150" s="100" t="str">
        <f>IFERROR($CO150*'Commission Structure'!$C$5-$CU150,"")</f>
        <v/>
      </c>
      <c r="CW150" s="100" t="str">
        <f>IFERROR($CO150*(1-'Commission Structure'!$C$5),"")</f>
        <v/>
      </c>
      <c r="CX150" s="105" t="str">
        <f>IF($A150="","",IF(OR($CB150="?",$CC150="?",NOT(ISNUMBER($AU150))),"CHECK INPUTS",IF(OR($J150&lt;'Technical Premium'!$C$18,LEFT(IFERROR(INDEX('Driver Factors'!$D$6:$D$15,MATCH($R150,'Driver Factors'!$B$6:$B$15,0)),""),7)="DECLINE",LEFT(IFERROR(INDEX('Driver Factors'!$D$28:$D$36,MATCH($T150,'Driver Factors'!$B$28:$B$36,0)),""),7)="DECLINE",LEFT(IFERROR(INDEX('Claims History'!$D$6:$D$15,MATCH($U150,'Claims History'!$B$6:$B$15,0)),""),7)="DECLINE",LEFT(IFERROR(INDEX('Usage and Coverage'!$E$6:$E$20,MATCH($N150,'Usage and Coverage'!$C$6:$C$20,0)),""),7)="DECLINE"),"DECLINE",IF(OR($CD150&gt;2.5,$CD150&gt;='Technical Premium'!$C$17,$J150&gt;='Technical Premium'!$C$16,N($AQ150)&lt;'Technical Premium'!$C$19,N($AQ150)&gt;'Technical Premium'!$C$20,LEFT(IFERROR(INDEX('Driver Factors'!$D$6:$D$15,MATCH($R150,'Driver Factors'!$B$6:$B$15,0)),""),5)="Refer",LEFT(IFERROR(INDEX('Driver Factors'!$D$28:$D$36,MATCH($T150,'Driver Factors'!$B$28:$B$36,0)),""),5)="Refer",LEFT(IFERROR(INDEX('Claims History'!$D$6:$D$15,MATCH($U150,'Claims History'!$B$6:$B$15,0)),""),5)="Refer",LEFT(IFERROR(INDEX('Usage and Coverage'!$E$6:$E$20,MATCH($N150,'Usage and Coverage'!$C$6:$C$20,0)),""),5)="Refer"),"REFER","AUTO-BIND"))))</f>
        <v/>
      </c>
      <c r="CY150" s="106" t="str">
        <f t="shared" si="37"/>
        <v/>
      </c>
      <c r="CZ150" s="97" t="str">
        <f>IF($CY150="","",IF($CY150&lt;'Technical Premium'!$C$19,"BEYOND AUTHORITY",IF($CY150&gt;0.005,"Above technical",IF($CY150&lt;-0.005,"BELOW technical","At technical"))))</f>
        <v/>
      </c>
      <c r="DA150" s="97" t="str">
        <f>IF($A150="","",IF($CX150="AUTO-BIND","",TRIM(IF($J150&lt;'Technical Premium'!$C$18,"Below programme minimum agreed value. ","")&amp;IF(N($AQ150)&lt;'Technical Premium'!$C$19,"DISCOUNT AUTHORITY BREACH. ","")&amp;IF(N($AQ150)&gt;'Technical Premium'!$C$20,"Load authority breach. ","")&amp;IF($J150&gt;='Technical Premium'!$C$16,"Agreed value at or above auto-bind limit. ","")&amp;IF(AND(ISNUMBER($CD150),$CD150&gt;='Technical Premium'!$C$17),"Composite factor at cap. ","")&amp;IF(AND(ISNUMBER($CD150),$CD150&gt;2.5),"Composite factor above 2.50. ","")&amp;IF(LEFT(IFERROR(INDEX('Driver Factors'!$D$6:$D$15,MATCH($R150,'Driver Factors'!$B$6:$B$15,0)),""),7)="DECLINE","DECLINE - driver age. ",IF(LEFT(IFERROR(INDEX('Driver Factors'!$D$6:$D$15,MATCH($R150,'Driver Factors'!$B$6:$B$15,0)),""),5)="Refer","Driver age band. ",""))&amp;IF(LEFT(IFERROR(INDEX('Driver Factors'!$D$28:$D$36,MATCH($T150,'Driver Factors'!$B$28:$B$36,0)),""),7)="DECLINE","DECLINE - MVR. ",IF(LEFT(IFERROR(INDEX('Driver Factors'!$D$28:$D$36,MATCH($T150,'Driver Factors'!$B$28:$B$36,0)),""),5)="Refer","MVR record. ",""))&amp;IF(LEFT(IFERROR(INDEX('Claims History'!$D$6:$D$15,MATCH($U150,'Claims History'!$B$6:$B$15,0)),""),7)="DECLINE","DECLINE - claims. ",IF(LEFT(IFERROR(INDEX('Claims History'!$D$6:$D$15,MATCH($U150,'Claims History'!$B$6:$B$15,0)),""),5)="Refer","Claims history. ",""))&amp;IF(LEFT(IFERROR(INDEX('Usage and Coverage'!$E$6:$E$20,MATCH($N150,'Usage and Coverage'!$C$6:$C$20,0)),""),7)="DECLINE","DECLINE - usage class. ",IF(LEFT(IFERROR(INDEX('Usage and Coverage'!$E$6:$E$20,MATCH($N150,'Usage and Coverage'!$C$6:$C$20,0)),""),5)="Refer","Usage class. ",""))&amp;IF($CX150="CHECK INPUTS","Incomplete inputs. ",""))))</f>
        <v/>
      </c>
      <c r="DB150" s="92"/>
      <c r="DC150" s="92"/>
      <c r="DD150" s="93"/>
      <c r="DE150" s="92"/>
      <c r="DF150" s="92"/>
      <c r="DG150" s="97" t="str">
        <f t="shared" si="38"/>
        <v/>
      </c>
      <c r="DH150" s="97" t="str">
        <f>IF($A150="","",IF(OR($CX150="REFER",$CX150="DECLINE"),COUNTIF($CX$5:$CX150,"REFER")+COUNTIF($CX$5:$CX150,"DECLINE"),""))</f>
        <v/>
      </c>
      <c r="DI150" s="92"/>
    </row>
    <row r="151" spans="1:113" x14ac:dyDescent="0.25">
      <c r="A151" s="92"/>
      <c r="B151" s="92"/>
      <c r="C151" s="93"/>
      <c r="D151" s="93"/>
      <c r="E151" s="94"/>
      <c r="F151" s="92"/>
      <c r="G151" s="92"/>
      <c r="H151" s="92"/>
      <c r="I151" s="92"/>
      <c r="J151" s="95"/>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6"/>
      <c r="AR151" s="97" t="str">
        <f t="shared" si="26"/>
        <v/>
      </c>
      <c r="AS151" s="97" t="str">
        <f>IF($A151="","",IF($AP151&lt;&gt;"",$AP151,IFERROR(INDEX('Cat Zone by ZIP'!$D$6:$D$856,MATCH($AR151,'Cat Zone by ZIP'!$B$6:$B$856,0)),IFERROR(INDEX('Cat Zone by ZIP'!$C$860:$C$910,MATCH($K151,'Cat Zone by ZIP'!$B$860:$B$910,0)),"NOT FOUND"))))</f>
        <v/>
      </c>
      <c r="AT151" s="97" t="str">
        <f>IF($A151="","",IF($AP151&lt;&gt;"","Override",IF(ISNUMBER(MATCH($AR151,'Cat Zone by ZIP'!$B$6:$B$856,0)),"ZIP-3","State default")))</f>
        <v/>
      </c>
      <c r="AU151" s="98" t="str">
        <f>IF($A151="","",IFERROR(INDEX('Natural Catastrophe'!$D$6:$D$17,MATCH($AS151,'Natural Catastrophe'!$B$6:$B$17,0)),"?"))</f>
        <v/>
      </c>
      <c r="AV151" s="98" t="str">
        <f>IF($A151="","",IFERROR(INDEX('Natural Catastrophe'!$C$21:$C$26,MATCH($AA151,'Natural Catastrophe'!$B$21:$B$26,0)),"?"))</f>
        <v/>
      </c>
      <c r="AW151" s="97" t="str">
        <f>IF($A151="","",IFERROR(INDEX('Base Rates'!$C$4:$I$4,MATCH(MAX($J151,'Technical Premium'!$C$18),'Base Rates'!$C$3:$I$3,1)),"?"))</f>
        <v/>
      </c>
      <c r="AX151" s="99" t="str">
        <f>IF($A151="","",IFERROR(INDEX('Base Rates'!$C$5:$I$16,MATCH($I151,'Base Rates'!$B$5:$B$16,0),MATCH(MAX($J151,'Technical Premium'!$C$18),'Base Rates'!$C$3:$I$3,1)),"?"))</f>
        <v/>
      </c>
      <c r="AY151" s="100" t="str">
        <f t="shared" si="27"/>
        <v/>
      </c>
      <c r="AZ151" s="97" t="str">
        <f>IF($A151="","",IFERROR(INDEX('Make Factors'!$G$5:$G$69,MATCH($F151,'Make Factors'!$B$5:$B$69,0)),"?"))</f>
        <v/>
      </c>
      <c r="BA151" s="97" t="str">
        <f>IF($A151="","",IFERROR(INDEX('Driver Factors'!$C$6:$C$15,MATCH($R151,'Driver Factors'!$B$6:$B$15,0)),"?"))</f>
        <v/>
      </c>
      <c r="BB151" s="97" t="str">
        <f>IF($A151="","",IFERROR(INDEX('Driver Factors'!$C$19:$C$24,MATCH($S151,'Driver Factors'!$B$19:$B$24,0)),"?"))</f>
        <v/>
      </c>
      <c r="BC151" s="97" t="str">
        <f>IF($A151="","",IFERROR(INDEX('Driver Factors'!$C$28:$C$36,MATCH($T151,'Driver Factors'!$B$28:$B$36,0)),"?"))</f>
        <v/>
      </c>
      <c r="BD151" s="97" t="str">
        <f>IF($A151="","",IFERROR(INDEX('Claims History'!$C$6:$C$15,MATCH($U151,'Claims History'!$B$6:$B$15,0)),"?"))</f>
        <v/>
      </c>
      <c r="BE151" s="97" t="str">
        <f>IF($A151="","",IFERROR(INDEX('Territory Factors'!$E$6:$E$56,MATCH($K151,'Territory Factors'!$B$6:$B$56,0)),"?"))</f>
        <v/>
      </c>
      <c r="BF151" s="97" t="str">
        <f>IF($A151="","",IFERROR(INDEX('City Accident Ratings'!$G$6:$G$54,MATCH($Z151,'City Accident Ratings'!$B$6:$B$54,0)),"?"))</f>
        <v/>
      </c>
      <c r="BG151" s="97" t="str">
        <f>IF($A151="","",IFERROR(INDEX('Usage and Coverage'!$D$6:$D$20,MATCH($N151,'Usage and Coverage'!$C$6:$C$20,0)),"?"))</f>
        <v/>
      </c>
      <c r="BH151" s="97" t="str">
        <f>IF($A151="","",IFERROR(INDEX('Usage and Coverage'!$C$24:$C$30,MATCH($O151,'Usage and Coverage'!$B$24:$B$30,0)),"?"))</f>
        <v/>
      </c>
      <c r="BI151" s="97" t="str">
        <f>IF($A151="","",IFERROR(INDEX('Usage and Coverage'!$C$34:$C$40,MATCH($P151,'Usage and Coverage'!$B$34:$B$40,0)),"?"))</f>
        <v/>
      </c>
      <c r="BJ151" s="97" t="str">
        <f>IF($A151="","",IFERROR(INDEX('Usage and Coverage'!$C$44:$C$49,MATCH($Q151,'Usage and Coverage'!$B$44:$B$49,0)),"?"))</f>
        <v/>
      </c>
      <c r="BK151" s="97" t="str">
        <f>IF($A151="","",IFERROR(INDEX(Deductibles!$C$6:$I$15,MATCH($W151,Deductibles!$B$6:$B$15,0),MATCH(MAX($J151,'Technical Premium'!$C$18),'Base Rates'!$C$3:$I$3,1)),"?"))</f>
        <v/>
      </c>
      <c r="BL151" s="97" t="str">
        <f>IF($A151="","",IFERROR(INDEX('Usage and Coverage'!$C$63:$C$66,MATCH($X151,'Usage and Coverage'!$B$63:$B$66,0)),"?"))</f>
        <v/>
      </c>
      <c r="BM151" s="97" t="str">
        <f>IF($A151="","",IFERROR(INDEX('Usage and Coverage'!$C$70:$C$75,MATCH($V151,'Usage and Coverage'!$B$70:$B$75,0)),"?"))</f>
        <v/>
      </c>
      <c r="BN151" s="97" t="str">
        <f>IF($A151="","",IF($AB151="",1,IFERROR(INDEX(Deductibles!$C$48:$C$51,MATCH($AB151,Deductibles!$B$48:$B$51,0)),"?")))</f>
        <v/>
      </c>
      <c r="BO151" s="97" t="str">
        <f>IF($A151="","",IF($AC151="",1,IFERROR(INDEX(Deductibles!$C$55:$C$57,MATCH($AC151,Deductibles!$B$55:$B$57,0)),"?")))</f>
        <v/>
      </c>
      <c r="BP151" s="97" t="str">
        <f>IF($A151="","",IF($AD151="",1,IFERROR(INDEX(Deductibles!$C$61:$C$63,MATCH($AD151,Deductibles!$B$61:$B$63,0)),"?")))</f>
        <v/>
      </c>
      <c r="BQ151" s="97" t="str">
        <f>IF($A151="","",IF($AE151="",1,IFERROR(INDEX(Deductibles!$C$67:$C$69,MATCH($AE151,Deductibles!$B$67:$B$69,0)),"?")))</f>
        <v/>
      </c>
      <c r="BR151" s="97" t="str">
        <f>IF($A151="","",IF($AF151="",1,IFERROR(INDEX(Deductibles!$C$73:$C$74,MATCH($AF151,Deductibles!$B$73:$B$74,0)),"?")))</f>
        <v/>
      </c>
      <c r="BS151" s="97" t="str">
        <f>IF($A151="","",IF($AG151="",1,IFERROR(INDEX('Sublimits and Parts'!$C$49:$C$52,MATCH($AG151,'Sublimits and Parts'!$B$49:$B$52,0)),"?")))</f>
        <v/>
      </c>
      <c r="BT151" s="97" t="str">
        <f>IF($A151="","",IF($AH151="",1,IFERROR(INDEX('Sublimits and Parts'!$C$56:$C$60,MATCH($AH151,'Sublimits and Parts'!$B$56:$B$60,0)),"?")))</f>
        <v/>
      </c>
      <c r="BU151" s="97" t="str">
        <f>IF($A151="","",IF($AI151="",1,IFERROR(INDEX('Sublimits and Parts'!$C$64:$C$67,MATCH($AI151,'Sublimits and Parts'!$B$64:$B$67,0)),"?")))</f>
        <v/>
      </c>
      <c r="BV151" s="97" t="str">
        <f>IF($A151="","",IF($AJ151="",1,IFERROR(INDEX('Sublimits and Parts'!$C$71:$C$74,MATCH($AJ151,'Sublimits and Parts'!$B$71:$B$74,0)),"?")))</f>
        <v/>
      </c>
      <c r="BW151" s="97" t="str">
        <f>IF($A151="","",IF($AK151="",1,IFERROR(INDEX('Sublimits and Parts'!$C$78:$C$80,MATCH($AK151,'Sublimits and Parts'!$B$78:$B$80,0)),"?")))</f>
        <v/>
      </c>
      <c r="BX151" s="97" t="str">
        <f>IF($A151="","",IF($AL151="",1,IFERROR(INDEX('Sublimits and Parts'!$C$84:$C$87,MATCH($AL151,'Sublimits and Parts'!$B$84:$B$87,0)),"?")))</f>
        <v/>
      </c>
      <c r="BY151" s="97" t="str">
        <f>IF($A151="","",IF($AM151="",1,IFERROR(INDEX('Sublimits and Parts'!$C$91:$C$94,MATCH($AM151,'Sublimits and Parts'!$B$91:$B$94,0)),"?")))</f>
        <v/>
      </c>
      <c r="BZ151" s="97" t="str">
        <f>IF($A151="","",IF($AN151="",1,IFERROR(INDEX('Sublimits and Parts'!$C$98:$C$101,MATCH($AN151,'Sublimits and Parts'!$B$98:$B$101,0)),"?")))</f>
        <v/>
      </c>
      <c r="CA151" s="97" t="str">
        <f>IF($A151="","",IF($AO151="",1,IFERROR(INDEX('Sublimits and Parts'!$C$105:$C$109,MATCH($AO151,'Sublimits and Parts'!$B$105:$B$109,0)),"?")))</f>
        <v/>
      </c>
      <c r="CB151" s="98" t="str">
        <f t="shared" si="28"/>
        <v/>
      </c>
      <c r="CC151" s="98" t="str">
        <f t="shared" si="29"/>
        <v/>
      </c>
      <c r="CD151" s="101" t="str">
        <f>IF($A151="","",IF(OR($CB151="?",$CC151="?"),"?",MIN($CB151*$CC151,'Technical Premium'!$C$17)))</f>
        <v/>
      </c>
      <c r="CE151" s="100" t="str">
        <f t="shared" si="30"/>
        <v/>
      </c>
      <c r="CF151" s="100" t="str">
        <f>IF($A151="","",IFERROR(INDEX('Territory Factors'!$F$6:$F$56,MATCH($K151,'Territory Factors'!$B$6:$B$56,0)),"?"))</f>
        <v/>
      </c>
      <c r="CG151" s="98" t="str">
        <f>IF($A151="","",IFERROR(INDEX('Usage and Coverage'!$C$79:$C$84,MATCH($Y151,'Usage and Coverage'!$B$79:$B$84,0)),"?"))</f>
        <v/>
      </c>
      <c r="CH151" s="100" t="str">
        <f>IFERROR(IF(ISNUMBER($CD151),$CF151*$CG151*MIN($BG151*$BA151*$BC151*$BD151*$BH151*$BF151,'Technical Premium'!$C$17),""),"")</f>
        <v/>
      </c>
      <c r="CI151" s="100" t="str">
        <f t="shared" si="31"/>
        <v/>
      </c>
      <c r="CJ151" s="100" t="str">
        <f>IFERROR($CI151*(1+'Technical Premium'!$C$5)*(1+'Technical Premium'!$C$6),"")</f>
        <v/>
      </c>
      <c r="CK151" s="100" t="str">
        <f>IFERROR($CE151*INDEX('Territory Factors'!$G$6:$G$56,MATCH($K151,'Territory Factors'!$B$6:$B$56,0))*$AU151*$AV151,"")</f>
        <v/>
      </c>
      <c r="CL151" s="100" t="str">
        <f>IFERROR(($CJ151+$CK151)*(1+'Technical Premium'!$C$7),"")</f>
        <v/>
      </c>
      <c r="CM151" s="102" t="str">
        <f>IFERROR($CL151/'Technical Premium'!$C$13,"")</f>
        <v/>
      </c>
      <c r="CN151" s="103" t="str">
        <f t="shared" si="32"/>
        <v/>
      </c>
      <c r="CO151" s="102" t="str">
        <f t="shared" si="33"/>
        <v/>
      </c>
      <c r="CP151" s="103" t="str">
        <f t="shared" si="34"/>
        <v/>
      </c>
      <c r="CQ151" s="104" t="str">
        <f t="shared" si="35"/>
        <v/>
      </c>
      <c r="CR151" s="100" t="str">
        <f>IF(ISNUMBER($CM151),'Technical Premium'!$C$14+IF($J151&gt;=1000000,'Technical Premium'!$C$15,0),"")</f>
        <v/>
      </c>
      <c r="CS151" s="100" t="str">
        <f>IFERROR(($CO151+$CR151)*(INDEX('Territory Factors'!$K$6:$K$56,MATCH($K151,'Territory Factors'!$B$6:$B$56,0))+'Commission Structure'!$C$21),"")</f>
        <v/>
      </c>
      <c r="CT151" s="102" t="str">
        <f t="shared" si="36"/>
        <v/>
      </c>
      <c r="CU151" s="100" t="str">
        <f>IFERROR($CO151*('Commission Structure'!$C$6+'Commission Structure'!$C$7),"")</f>
        <v/>
      </c>
      <c r="CV151" s="100" t="str">
        <f>IFERROR($CO151*'Commission Structure'!$C$5-$CU151,"")</f>
        <v/>
      </c>
      <c r="CW151" s="100" t="str">
        <f>IFERROR($CO151*(1-'Commission Structure'!$C$5),"")</f>
        <v/>
      </c>
      <c r="CX151" s="105" t="str">
        <f>IF($A151="","",IF(OR($CB151="?",$CC151="?",NOT(ISNUMBER($AU151))),"CHECK INPUTS",IF(OR($J151&lt;'Technical Premium'!$C$18,LEFT(IFERROR(INDEX('Driver Factors'!$D$6:$D$15,MATCH($R151,'Driver Factors'!$B$6:$B$15,0)),""),7)="DECLINE",LEFT(IFERROR(INDEX('Driver Factors'!$D$28:$D$36,MATCH($T151,'Driver Factors'!$B$28:$B$36,0)),""),7)="DECLINE",LEFT(IFERROR(INDEX('Claims History'!$D$6:$D$15,MATCH($U151,'Claims History'!$B$6:$B$15,0)),""),7)="DECLINE",LEFT(IFERROR(INDEX('Usage and Coverage'!$E$6:$E$20,MATCH($N151,'Usage and Coverage'!$C$6:$C$20,0)),""),7)="DECLINE"),"DECLINE",IF(OR($CD151&gt;2.5,$CD151&gt;='Technical Premium'!$C$17,$J151&gt;='Technical Premium'!$C$16,N($AQ151)&lt;'Technical Premium'!$C$19,N($AQ151)&gt;'Technical Premium'!$C$20,LEFT(IFERROR(INDEX('Driver Factors'!$D$6:$D$15,MATCH($R151,'Driver Factors'!$B$6:$B$15,0)),""),5)="Refer",LEFT(IFERROR(INDEX('Driver Factors'!$D$28:$D$36,MATCH($T151,'Driver Factors'!$B$28:$B$36,0)),""),5)="Refer",LEFT(IFERROR(INDEX('Claims History'!$D$6:$D$15,MATCH($U151,'Claims History'!$B$6:$B$15,0)),""),5)="Refer",LEFT(IFERROR(INDEX('Usage and Coverage'!$E$6:$E$20,MATCH($N151,'Usage and Coverage'!$C$6:$C$20,0)),""),5)="Refer"),"REFER","AUTO-BIND"))))</f>
        <v/>
      </c>
      <c r="CY151" s="106" t="str">
        <f t="shared" si="37"/>
        <v/>
      </c>
      <c r="CZ151" s="97" t="str">
        <f>IF($CY151="","",IF($CY151&lt;'Technical Premium'!$C$19,"BEYOND AUTHORITY",IF($CY151&gt;0.005,"Above technical",IF($CY151&lt;-0.005,"BELOW technical","At technical"))))</f>
        <v/>
      </c>
      <c r="DA151" s="97" t="str">
        <f>IF($A151="","",IF($CX151="AUTO-BIND","",TRIM(IF($J151&lt;'Technical Premium'!$C$18,"Below programme minimum agreed value. ","")&amp;IF(N($AQ151)&lt;'Technical Premium'!$C$19,"DISCOUNT AUTHORITY BREACH. ","")&amp;IF(N($AQ151)&gt;'Technical Premium'!$C$20,"Load authority breach. ","")&amp;IF($J151&gt;='Technical Premium'!$C$16,"Agreed value at or above auto-bind limit. ","")&amp;IF(AND(ISNUMBER($CD151),$CD151&gt;='Technical Premium'!$C$17),"Composite factor at cap. ","")&amp;IF(AND(ISNUMBER($CD151),$CD151&gt;2.5),"Composite factor above 2.50. ","")&amp;IF(LEFT(IFERROR(INDEX('Driver Factors'!$D$6:$D$15,MATCH($R151,'Driver Factors'!$B$6:$B$15,0)),""),7)="DECLINE","DECLINE - driver age. ",IF(LEFT(IFERROR(INDEX('Driver Factors'!$D$6:$D$15,MATCH($R151,'Driver Factors'!$B$6:$B$15,0)),""),5)="Refer","Driver age band. ",""))&amp;IF(LEFT(IFERROR(INDEX('Driver Factors'!$D$28:$D$36,MATCH($T151,'Driver Factors'!$B$28:$B$36,0)),""),7)="DECLINE","DECLINE - MVR. ",IF(LEFT(IFERROR(INDEX('Driver Factors'!$D$28:$D$36,MATCH($T151,'Driver Factors'!$B$28:$B$36,0)),""),5)="Refer","MVR record. ",""))&amp;IF(LEFT(IFERROR(INDEX('Claims History'!$D$6:$D$15,MATCH($U151,'Claims History'!$B$6:$B$15,0)),""),7)="DECLINE","DECLINE - claims. ",IF(LEFT(IFERROR(INDEX('Claims History'!$D$6:$D$15,MATCH($U151,'Claims History'!$B$6:$B$15,0)),""),5)="Refer","Claims history. ",""))&amp;IF(LEFT(IFERROR(INDEX('Usage and Coverage'!$E$6:$E$20,MATCH($N151,'Usage and Coverage'!$C$6:$C$20,0)),""),7)="DECLINE","DECLINE - usage class. ",IF(LEFT(IFERROR(INDEX('Usage and Coverage'!$E$6:$E$20,MATCH($N151,'Usage and Coverage'!$C$6:$C$20,0)),""),5)="Refer","Usage class. ",""))&amp;IF($CX151="CHECK INPUTS","Incomplete inputs. ",""))))</f>
        <v/>
      </c>
      <c r="DB151" s="92"/>
      <c r="DC151" s="92"/>
      <c r="DD151" s="93"/>
      <c r="DE151" s="92"/>
      <c r="DF151" s="92"/>
      <c r="DG151" s="97" t="str">
        <f t="shared" si="38"/>
        <v/>
      </c>
      <c r="DH151" s="97" t="str">
        <f>IF($A151="","",IF(OR($CX151="REFER",$CX151="DECLINE"),COUNTIF($CX$5:$CX151,"REFER")+COUNTIF($CX$5:$CX151,"DECLINE"),""))</f>
        <v/>
      </c>
      <c r="DI151" s="92"/>
    </row>
    <row r="152" spans="1:113" x14ac:dyDescent="0.25">
      <c r="A152" s="92"/>
      <c r="B152" s="92"/>
      <c r="C152" s="93"/>
      <c r="D152" s="93"/>
      <c r="E152" s="94"/>
      <c r="F152" s="92"/>
      <c r="G152" s="92"/>
      <c r="H152" s="92"/>
      <c r="I152" s="92"/>
      <c r="J152" s="95"/>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6"/>
      <c r="AR152" s="97" t="str">
        <f t="shared" si="26"/>
        <v/>
      </c>
      <c r="AS152" s="97" t="str">
        <f>IF($A152="","",IF($AP152&lt;&gt;"",$AP152,IFERROR(INDEX('Cat Zone by ZIP'!$D$6:$D$856,MATCH($AR152,'Cat Zone by ZIP'!$B$6:$B$856,0)),IFERROR(INDEX('Cat Zone by ZIP'!$C$860:$C$910,MATCH($K152,'Cat Zone by ZIP'!$B$860:$B$910,0)),"NOT FOUND"))))</f>
        <v/>
      </c>
      <c r="AT152" s="97" t="str">
        <f>IF($A152="","",IF($AP152&lt;&gt;"","Override",IF(ISNUMBER(MATCH($AR152,'Cat Zone by ZIP'!$B$6:$B$856,0)),"ZIP-3","State default")))</f>
        <v/>
      </c>
      <c r="AU152" s="98" t="str">
        <f>IF($A152="","",IFERROR(INDEX('Natural Catastrophe'!$D$6:$D$17,MATCH($AS152,'Natural Catastrophe'!$B$6:$B$17,0)),"?"))</f>
        <v/>
      </c>
      <c r="AV152" s="98" t="str">
        <f>IF($A152="","",IFERROR(INDEX('Natural Catastrophe'!$C$21:$C$26,MATCH($AA152,'Natural Catastrophe'!$B$21:$B$26,0)),"?"))</f>
        <v/>
      </c>
      <c r="AW152" s="97" t="str">
        <f>IF($A152="","",IFERROR(INDEX('Base Rates'!$C$4:$I$4,MATCH(MAX($J152,'Technical Premium'!$C$18),'Base Rates'!$C$3:$I$3,1)),"?"))</f>
        <v/>
      </c>
      <c r="AX152" s="99" t="str">
        <f>IF($A152="","",IFERROR(INDEX('Base Rates'!$C$5:$I$16,MATCH($I152,'Base Rates'!$B$5:$B$16,0),MATCH(MAX($J152,'Technical Premium'!$C$18),'Base Rates'!$C$3:$I$3,1)),"?"))</f>
        <v/>
      </c>
      <c r="AY152" s="100" t="str">
        <f t="shared" si="27"/>
        <v/>
      </c>
      <c r="AZ152" s="97" t="str">
        <f>IF($A152="","",IFERROR(INDEX('Make Factors'!$G$5:$G$69,MATCH($F152,'Make Factors'!$B$5:$B$69,0)),"?"))</f>
        <v/>
      </c>
      <c r="BA152" s="97" t="str">
        <f>IF($A152="","",IFERROR(INDEX('Driver Factors'!$C$6:$C$15,MATCH($R152,'Driver Factors'!$B$6:$B$15,0)),"?"))</f>
        <v/>
      </c>
      <c r="BB152" s="97" t="str">
        <f>IF($A152="","",IFERROR(INDEX('Driver Factors'!$C$19:$C$24,MATCH($S152,'Driver Factors'!$B$19:$B$24,0)),"?"))</f>
        <v/>
      </c>
      <c r="BC152" s="97" t="str">
        <f>IF($A152="","",IFERROR(INDEX('Driver Factors'!$C$28:$C$36,MATCH($T152,'Driver Factors'!$B$28:$B$36,0)),"?"))</f>
        <v/>
      </c>
      <c r="BD152" s="97" t="str">
        <f>IF($A152="","",IFERROR(INDEX('Claims History'!$C$6:$C$15,MATCH($U152,'Claims History'!$B$6:$B$15,0)),"?"))</f>
        <v/>
      </c>
      <c r="BE152" s="97" t="str">
        <f>IF($A152="","",IFERROR(INDEX('Territory Factors'!$E$6:$E$56,MATCH($K152,'Territory Factors'!$B$6:$B$56,0)),"?"))</f>
        <v/>
      </c>
      <c r="BF152" s="97" t="str">
        <f>IF($A152="","",IFERROR(INDEX('City Accident Ratings'!$G$6:$G$54,MATCH($Z152,'City Accident Ratings'!$B$6:$B$54,0)),"?"))</f>
        <v/>
      </c>
      <c r="BG152" s="97" t="str">
        <f>IF($A152="","",IFERROR(INDEX('Usage and Coverage'!$D$6:$D$20,MATCH($N152,'Usage and Coverage'!$C$6:$C$20,0)),"?"))</f>
        <v/>
      </c>
      <c r="BH152" s="97" t="str">
        <f>IF($A152="","",IFERROR(INDEX('Usage and Coverage'!$C$24:$C$30,MATCH($O152,'Usage and Coverage'!$B$24:$B$30,0)),"?"))</f>
        <v/>
      </c>
      <c r="BI152" s="97" t="str">
        <f>IF($A152="","",IFERROR(INDEX('Usage and Coverage'!$C$34:$C$40,MATCH($P152,'Usage and Coverage'!$B$34:$B$40,0)),"?"))</f>
        <v/>
      </c>
      <c r="BJ152" s="97" t="str">
        <f>IF($A152="","",IFERROR(INDEX('Usage and Coverage'!$C$44:$C$49,MATCH($Q152,'Usage and Coverage'!$B$44:$B$49,0)),"?"))</f>
        <v/>
      </c>
      <c r="BK152" s="97" t="str">
        <f>IF($A152="","",IFERROR(INDEX(Deductibles!$C$6:$I$15,MATCH($W152,Deductibles!$B$6:$B$15,0),MATCH(MAX($J152,'Technical Premium'!$C$18),'Base Rates'!$C$3:$I$3,1)),"?"))</f>
        <v/>
      </c>
      <c r="BL152" s="97" t="str">
        <f>IF($A152="","",IFERROR(INDEX('Usage and Coverage'!$C$63:$C$66,MATCH($X152,'Usage and Coverage'!$B$63:$B$66,0)),"?"))</f>
        <v/>
      </c>
      <c r="BM152" s="97" t="str">
        <f>IF($A152="","",IFERROR(INDEX('Usage and Coverage'!$C$70:$C$75,MATCH($V152,'Usage and Coverage'!$B$70:$B$75,0)),"?"))</f>
        <v/>
      </c>
      <c r="BN152" s="97" t="str">
        <f>IF($A152="","",IF($AB152="",1,IFERROR(INDEX(Deductibles!$C$48:$C$51,MATCH($AB152,Deductibles!$B$48:$B$51,0)),"?")))</f>
        <v/>
      </c>
      <c r="BO152" s="97" t="str">
        <f>IF($A152="","",IF($AC152="",1,IFERROR(INDEX(Deductibles!$C$55:$C$57,MATCH($AC152,Deductibles!$B$55:$B$57,0)),"?")))</f>
        <v/>
      </c>
      <c r="BP152" s="97" t="str">
        <f>IF($A152="","",IF($AD152="",1,IFERROR(INDEX(Deductibles!$C$61:$C$63,MATCH($AD152,Deductibles!$B$61:$B$63,0)),"?")))</f>
        <v/>
      </c>
      <c r="BQ152" s="97" t="str">
        <f>IF($A152="","",IF($AE152="",1,IFERROR(INDEX(Deductibles!$C$67:$C$69,MATCH($AE152,Deductibles!$B$67:$B$69,0)),"?")))</f>
        <v/>
      </c>
      <c r="BR152" s="97" t="str">
        <f>IF($A152="","",IF($AF152="",1,IFERROR(INDEX(Deductibles!$C$73:$C$74,MATCH($AF152,Deductibles!$B$73:$B$74,0)),"?")))</f>
        <v/>
      </c>
      <c r="BS152" s="97" t="str">
        <f>IF($A152="","",IF($AG152="",1,IFERROR(INDEX('Sublimits and Parts'!$C$49:$C$52,MATCH($AG152,'Sublimits and Parts'!$B$49:$B$52,0)),"?")))</f>
        <v/>
      </c>
      <c r="BT152" s="97" t="str">
        <f>IF($A152="","",IF($AH152="",1,IFERROR(INDEX('Sublimits and Parts'!$C$56:$C$60,MATCH($AH152,'Sublimits and Parts'!$B$56:$B$60,0)),"?")))</f>
        <v/>
      </c>
      <c r="BU152" s="97" t="str">
        <f>IF($A152="","",IF($AI152="",1,IFERROR(INDEX('Sublimits and Parts'!$C$64:$C$67,MATCH($AI152,'Sublimits and Parts'!$B$64:$B$67,0)),"?")))</f>
        <v/>
      </c>
      <c r="BV152" s="97" t="str">
        <f>IF($A152="","",IF($AJ152="",1,IFERROR(INDEX('Sublimits and Parts'!$C$71:$C$74,MATCH($AJ152,'Sublimits and Parts'!$B$71:$B$74,0)),"?")))</f>
        <v/>
      </c>
      <c r="BW152" s="97" t="str">
        <f>IF($A152="","",IF($AK152="",1,IFERROR(INDEX('Sublimits and Parts'!$C$78:$C$80,MATCH($AK152,'Sublimits and Parts'!$B$78:$B$80,0)),"?")))</f>
        <v/>
      </c>
      <c r="BX152" s="97" t="str">
        <f>IF($A152="","",IF($AL152="",1,IFERROR(INDEX('Sublimits and Parts'!$C$84:$C$87,MATCH($AL152,'Sublimits and Parts'!$B$84:$B$87,0)),"?")))</f>
        <v/>
      </c>
      <c r="BY152" s="97" t="str">
        <f>IF($A152="","",IF($AM152="",1,IFERROR(INDEX('Sublimits and Parts'!$C$91:$C$94,MATCH($AM152,'Sublimits and Parts'!$B$91:$B$94,0)),"?")))</f>
        <v/>
      </c>
      <c r="BZ152" s="97" t="str">
        <f>IF($A152="","",IF($AN152="",1,IFERROR(INDEX('Sublimits and Parts'!$C$98:$C$101,MATCH($AN152,'Sublimits and Parts'!$B$98:$B$101,0)),"?")))</f>
        <v/>
      </c>
      <c r="CA152" s="97" t="str">
        <f>IF($A152="","",IF($AO152="",1,IFERROR(INDEX('Sublimits and Parts'!$C$105:$C$109,MATCH($AO152,'Sublimits and Parts'!$B$105:$B$109,0)),"?")))</f>
        <v/>
      </c>
      <c r="CB152" s="98" t="str">
        <f t="shared" si="28"/>
        <v/>
      </c>
      <c r="CC152" s="98" t="str">
        <f t="shared" si="29"/>
        <v/>
      </c>
      <c r="CD152" s="101" t="str">
        <f>IF($A152="","",IF(OR($CB152="?",$CC152="?"),"?",MIN($CB152*$CC152,'Technical Premium'!$C$17)))</f>
        <v/>
      </c>
      <c r="CE152" s="100" t="str">
        <f t="shared" si="30"/>
        <v/>
      </c>
      <c r="CF152" s="100" t="str">
        <f>IF($A152="","",IFERROR(INDEX('Territory Factors'!$F$6:$F$56,MATCH($K152,'Territory Factors'!$B$6:$B$56,0)),"?"))</f>
        <v/>
      </c>
      <c r="CG152" s="98" t="str">
        <f>IF($A152="","",IFERROR(INDEX('Usage and Coverage'!$C$79:$C$84,MATCH($Y152,'Usage and Coverage'!$B$79:$B$84,0)),"?"))</f>
        <v/>
      </c>
      <c r="CH152" s="100" t="str">
        <f>IFERROR(IF(ISNUMBER($CD152),$CF152*$CG152*MIN($BG152*$BA152*$BC152*$BD152*$BH152*$BF152,'Technical Premium'!$C$17),""),"")</f>
        <v/>
      </c>
      <c r="CI152" s="100" t="str">
        <f t="shared" si="31"/>
        <v/>
      </c>
      <c r="CJ152" s="100" t="str">
        <f>IFERROR($CI152*(1+'Technical Premium'!$C$5)*(1+'Technical Premium'!$C$6),"")</f>
        <v/>
      </c>
      <c r="CK152" s="100" t="str">
        <f>IFERROR($CE152*INDEX('Territory Factors'!$G$6:$G$56,MATCH($K152,'Territory Factors'!$B$6:$B$56,0))*$AU152*$AV152,"")</f>
        <v/>
      </c>
      <c r="CL152" s="100" t="str">
        <f>IFERROR(($CJ152+$CK152)*(1+'Technical Premium'!$C$7),"")</f>
        <v/>
      </c>
      <c r="CM152" s="102" t="str">
        <f>IFERROR($CL152/'Technical Premium'!$C$13,"")</f>
        <v/>
      </c>
      <c r="CN152" s="103" t="str">
        <f t="shared" si="32"/>
        <v/>
      </c>
      <c r="CO152" s="102" t="str">
        <f t="shared" si="33"/>
        <v/>
      </c>
      <c r="CP152" s="103" t="str">
        <f t="shared" si="34"/>
        <v/>
      </c>
      <c r="CQ152" s="104" t="str">
        <f t="shared" si="35"/>
        <v/>
      </c>
      <c r="CR152" s="100" t="str">
        <f>IF(ISNUMBER($CM152),'Technical Premium'!$C$14+IF($J152&gt;=1000000,'Technical Premium'!$C$15,0),"")</f>
        <v/>
      </c>
      <c r="CS152" s="100" t="str">
        <f>IFERROR(($CO152+$CR152)*(INDEX('Territory Factors'!$K$6:$K$56,MATCH($K152,'Territory Factors'!$B$6:$B$56,0))+'Commission Structure'!$C$21),"")</f>
        <v/>
      </c>
      <c r="CT152" s="102" t="str">
        <f t="shared" si="36"/>
        <v/>
      </c>
      <c r="CU152" s="100" t="str">
        <f>IFERROR($CO152*('Commission Structure'!$C$6+'Commission Structure'!$C$7),"")</f>
        <v/>
      </c>
      <c r="CV152" s="100" t="str">
        <f>IFERROR($CO152*'Commission Structure'!$C$5-$CU152,"")</f>
        <v/>
      </c>
      <c r="CW152" s="100" t="str">
        <f>IFERROR($CO152*(1-'Commission Structure'!$C$5),"")</f>
        <v/>
      </c>
      <c r="CX152" s="105" t="str">
        <f>IF($A152="","",IF(OR($CB152="?",$CC152="?",NOT(ISNUMBER($AU152))),"CHECK INPUTS",IF(OR($J152&lt;'Technical Premium'!$C$18,LEFT(IFERROR(INDEX('Driver Factors'!$D$6:$D$15,MATCH($R152,'Driver Factors'!$B$6:$B$15,0)),""),7)="DECLINE",LEFT(IFERROR(INDEX('Driver Factors'!$D$28:$D$36,MATCH($T152,'Driver Factors'!$B$28:$B$36,0)),""),7)="DECLINE",LEFT(IFERROR(INDEX('Claims History'!$D$6:$D$15,MATCH($U152,'Claims History'!$B$6:$B$15,0)),""),7)="DECLINE",LEFT(IFERROR(INDEX('Usage and Coverage'!$E$6:$E$20,MATCH($N152,'Usage and Coverage'!$C$6:$C$20,0)),""),7)="DECLINE"),"DECLINE",IF(OR($CD152&gt;2.5,$CD152&gt;='Technical Premium'!$C$17,$J152&gt;='Technical Premium'!$C$16,N($AQ152)&lt;'Technical Premium'!$C$19,N($AQ152)&gt;'Technical Premium'!$C$20,LEFT(IFERROR(INDEX('Driver Factors'!$D$6:$D$15,MATCH($R152,'Driver Factors'!$B$6:$B$15,0)),""),5)="Refer",LEFT(IFERROR(INDEX('Driver Factors'!$D$28:$D$36,MATCH($T152,'Driver Factors'!$B$28:$B$36,0)),""),5)="Refer",LEFT(IFERROR(INDEX('Claims History'!$D$6:$D$15,MATCH($U152,'Claims History'!$B$6:$B$15,0)),""),5)="Refer",LEFT(IFERROR(INDEX('Usage and Coverage'!$E$6:$E$20,MATCH($N152,'Usage and Coverage'!$C$6:$C$20,0)),""),5)="Refer"),"REFER","AUTO-BIND"))))</f>
        <v/>
      </c>
      <c r="CY152" s="106" t="str">
        <f t="shared" si="37"/>
        <v/>
      </c>
      <c r="CZ152" s="97" t="str">
        <f>IF($CY152="","",IF($CY152&lt;'Technical Premium'!$C$19,"BEYOND AUTHORITY",IF($CY152&gt;0.005,"Above technical",IF($CY152&lt;-0.005,"BELOW technical","At technical"))))</f>
        <v/>
      </c>
      <c r="DA152" s="97" t="str">
        <f>IF($A152="","",IF($CX152="AUTO-BIND","",TRIM(IF($J152&lt;'Technical Premium'!$C$18,"Below programme minimum agreed value. ","")&amp;IF(N($AQ152)&lt;'Technical Premium'!$C$19,"DISCOUNT AUTHORITY BREACH. ","")&amp;IF(N($AQ152)&gt;'Technical Premium'!$C$20,"Load authority breach. ","")&amp;IF($J152&gt;='Technical Premium'!$C$16,"Agreed value at or above auto-bind limit. ","")&amp;IF(AND(ISNUMBER($CD152),$CD152&gt;='Technical Premium'!$C$17),"Composite factor at cap. ","")&amp;IF(AND(ISNUMBER($CD152),$CD152&gt;2.5),"Composite factor above 2.50. ","")&amp;IF(LEFT(IFERROR(INDEX('Driver Factors'!$D$6:$D$15,MATCH($R152,'Driver Factors'!$B$6:$B$15,0)),""),7)="DECLINE","DECLINE - driver age. ",IF(LEFT(IFERROR(INDEX('Driver Factors'!$D$6:$D$15,MATCH($R152,'Driver Factors'!$B$6:$B$15,0)),""),5)="Refer","Driver age band. ",""))&amp;IF(LEFT(IFERROR(INDEX('Driver Factors'!$D$28:$D$36,MATCH($T152,'Driver Factors'!$B$28:$B$36,0)),""),7)="DECLINE","DECLINE - MVR. ",IF(LEFT(IFERROR(INDEX('Driver Factors'!$D$28:$D$36,MATCH($T152,'Driver Factors'!$B$28:$B$36,0)),""),5)="Refer","MVR record. ",""))&amp;IF(LEFT(IFERROR(INDEX('Claims History'!$D$6:$D$15,MATCH($U152,'Claims History'!$B$6:$B$15,0)),""),7)="DECLINE","DECLINE - claims. ",IF(LEFT(IFERROR(INDEX('Claims History'!$D$6:$D$15,MATCH($U152,'Claims History'!$B$6:$B$15,0)),""),5)="Refer","Claims history. ",""))&amp;IF(LEFT(IFERROR(INDEX('Usage and Coverage'!$E$6:$E$20,MATCH($N152,'Usage and Coverage'!$C$6:$C$20,0)),""),7)="DECLINE","DECLINE - usage class. ",IF(LEFT(IFERROR(INDEX('Usage and Coverage'!$E$6:$E$20,MATCH($N152,'Usage and Coverage'!$C$6:$C$20,0)),""),5)="Refer","Usage class. ",""))&amp;IF($CX152="CHECK INPUTS","Incomplete inputs. ",""))))</f>
        <v/>
      </c>
      <c r="DB152" s="92"/>
      <c r="DC152" s="92"/>
      <c r="DD152" s="93"/>
      <c r="DE152" s="92"/>
      <c r="DF152" s="92"/>
      <c r="DG152" s="97" t="str">
        <f t="shared" si="38"/>
        <v/>
      </c>
      <c r="DH152" s="97" t="str">
        <f>IF($A152="","",IF(OR($CX152="REFER",$CX152="DECLINE"),COUNTIF($CX$5:$CX152,"REFER")+COUNTIF($CX$5:$CX152,"DECLINE"),""))</f>
        <v/>
      </c>
      <c r="DI152" s="92"/>
    </row>
    <row r="153" spans="1:113" x14ac:dyDescent="0.25">
      <c r="A153" s="92"/>
      <c r="B153" s="92"/>
      <c r="C153" s="93"/>
      <c r="D153" s="93"/>
      <c r="E153" s="94"/>
      <c r="F153" s="92"/>
      <c r="G153" s="92"/>
      <c r="H153" s="92"/>
      <c r="I153" s="92"/>
      <c r="J153" s="95"/>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6"/>
      <c r="AR153" s="97" t="str">
        <f t="shared" si="26"/>
        <v/>
      </c>
      <c r="AS153" s="97" t="str">
        <f>IF($A153="","",IF($AP153&lt;&gt;"",$AP153,IFERROR(INDEX('Cat Zone by ZIP'!$D$6:$D$856,MATCH($AR153,'Cat Zone by ZIP'!$B$6:$B$856,0)),IFERROR(INDEX('Cat Zone by ZIP'!$C$860:$C$910,MATCH($K153,'Cat Zone by ZIP'!$B$860:$B$910,0)),"NOT FOUND"))))</f>
        <v/>
      </c>
      <c r="AT153" s="97" t="str">
        <f>IF($A153="","",IF($AP153&lt;&gt;"","Override",IF(ISNUMBER(MATCH($AR153,'Cat Zone by ZIP'!$B$6:$B$856,0)),"ZIP-3","State default")))</f>
        <v/>
      </c>
      <c r="AU153" s="98" t="str">
        <f>IF($A153="","",IFERROR(INDEX('Natural Catastrophe'!$D$6:$D$17,MATCH($AS153,'Natural Catastrophe'!$B$6:$B$17,0)),"?"))</f>
        <v/>
      </c>
      <c r="AV153" s="98" t="str">
        <f>IF($A153="","",IFERROR(INDEX('Natural Catastrophe'!$C$21:$C$26,MATCH($AA153,'Natural Catastrophe'!$B$21:$B$26,0)),"?"))</f>
        <v/>
      </c>
      <c r="AW153" s="97" t="str">
        <f>IF($A153="","",IFERROR(INDEX('Base Rates'!$C$4:$I$4,MATCH(MAX($J153,'Technical Premium'!$C$18),'Base Rates'!$C$3:$I$3,1)),"?"))</f>
        <v/>
      </c>
      <c r="AX153" s="99" t="str">
        <f>IF($A153="","",IFERROR(INDEX('Base Rates'!$C$5:$I$16,MATCH($I153,'Base Rates'!$B$5:$B$16,0),MATCH(MAX($J153,'Technical Premium'!$C$18),'Base Rates'!$C$3:$I$3,1)),"?"))</f>
        <v/>
      </c>
      <c r="AY153" s="100" t="str">
        <f t="shared" si="27"/>
        <v/>
      </c>
      <c r="AZ153" s="97" t="str">
        <f>IF($A153="","",IFERROR(INDEX('Make Factors'!$G$5:$G$69,MATCH($F153,'Make Factors'!$B$5:$B$69,0)),"?"))</f>
        <v/>
      </c>
      <c r="BA153" s="97" t="str">
        <f>IF($A153="","",IFERROR(INDEX('Driver Factors'!$C$6:$C$15,MATCH($R153,'Driver Factors'!$B$6:$B$15,0)),"?"))</f>
        <v/>
      </c>
      <c r="BB153" s="97" t="str">
        <f>IF($A153="","",IFERROR(INDEX('Driver Factors'!$C$19:$C$24,MATCH($S153,'Driver Factors'!$B$19:$B$24,0)),"?"))</f>
        <v/>
      </c>
      <c r="BC153" s="97" t="str">
        <f>IF($A153="","",IFERROR(INDEX('Driver Factors'!$C$28:$C$36,MATCH($T153,'Driver Factors'!$B$28:$B$36,0)),"?"))</f>
        <v/>
      </c>
      <c r="BD153" s="97" t="str">
        <f>IF($A153="","",IFERROR(INDEX('Claims History'!$C$6:$C$15,MATCH($U153,'Claims History'!$B$6:$B$15,0)),"?"))</f>
        <v/>
      </c>
      <c r="BE153" s="97" t="str">
        <f>IF($A153="","",IFERROR(INDEX('Territory Factors'!$E$6:$E$56,MATCH($K153,'Territory Factors'!$B$6:$B$56,0)),"?"))</f>
        <v/>
      </c>
      <c r="BF153" s="97" t="str">
        <f>IF($A153="","",IFERROR(INDEX('City Accident Ratings'!$G$6:$G$54,MATCH($Z153,'City Accident Ratings'!$B$6:$B$54,0)),"?"))</f>
        <v/>
      </c>
      <c r="BG153" s="97" t="str">
        <f>IF($A153="","",IFERROR(INDEX('Usage and Coverage'!$D$6:$D$20,MATCH($N153,'Usage and Coverage'!$C$6:$C$20,0)),"?"))</f>
        <v/>
      </c>
      <c r="BH153" s="97" t="str">
        <f>IF($A153="","",IFERROR(INDEX('Usage and Coverage'!$C$24:$C$30,MATCH($O153,'Usage and Coverage'!$B$24:$B$30,0)),"?"))</f>
        <v/>
      </c>
      <c r="BI153" s="97" t="str">
        <f>IF($A153="","",IFERROR(INDEX('Usage and Coverage'!$C$34:$C$40,MATCH($P153,'Usage and Coverage'!$B$34:$B$40,0)),"?"))</f>
        <v/>
      </c>
      <c r="BJ153" s="97" t="str">
        <f>IF($A153="","",IFERROR(INDEX('Usage and Coverage'!$C$44:$C$49,MATCH($Q153,'Usage and Coverage'!$B$44:$B$49,0)),"?"))</f>
        <v/>
      </c>
      <c r="BK153" s="97" t="str">
        <f>IF($A153="","",IFERROR(INDEX(Deductibles!$C$6:$I$15,MATCH($W153,Deductibles!$B$6:$B$15,0),MATCH(MAX($J153,'Technical Premium'!$C$18),'Base Rates'!$C$3:$I$3,1)),"?"))</f>
        <v/>
      </c>
      <c r="BL153" s="97" t="str">
        <f>IF($A153="","",IFERROR(INDEX('Usage and Coverage'!$C$63:$C$66,MATCH($X153,'Usage and Coverage'!$B$63:$B$66,0)),"?"))</f>
        <v/>
      </c>
      <c r="BM153" s="97" t="str">
        <f>IF($A153="","",IFERROR(INDEX('Usage and Coverage'!$C$70:$C$75,MATCH($V153,'Usage and Coverage'!$B$70:$B$75,0)),"?"))</f>
        <v/>
      </c>
      <c r="BN153" s="97" t="str">
        <f>IF($A153="","",IF($AB153="",1,IFERROR(INDEX(Deductibles!$C$48:$C$51,MATCH($AB153,Deductibles!$B$48:$B$51,0)),"?")))</f>
        <v/>
      </c>
      <c r="BO153" s="97" t="str">
        <f>IF($A153="","",IF($AC153="",1,IFERROR(INDEX(Deductibles!$C$55:$C$57,MATCH($AC153,Deductibles!$B$55:$B$57,0)),"?")))</f>
        <v/>
      </c>
      <c r="BP153" s="97" t="str">
        <f>IF($A153="","",IF($AD153="",1,IFERROR(INDEX(Deductibles!$C$61:$C$63,MATCH($AD153,Deductibles!$B$61:$B$63,0)),"?")))</f>
        <v/>
      </c>
      <c r="BQ153" s="97" t="str">
        <f>IF($A153="","",IF($AE153="",1,IFERROR(INDEX(Deductibles!$C$67:$C$69,MATCH($AE153,Deductibles!$B$67:$B$69,0)),"?")))</f>
        <v/>
      </c>
      <c r="BR153" s="97" t="str">
        <f>IF($A153="","",IF($AF153="",1,IFERROR(INDEX(Deductibles!$C$73:$C$74,MATCH($AF153,Deductibles!$B$73:$B$74,0)),"?")))</f>
        <v/>
      </c>
      <c r="BS153" s="97" t="str">
        <f>IF($A153="","",IF($AG153="",1,IFERROR(INDEX('Sublimits and Parts'!$C$49:$C$52,MATCH($AG153,'Sublimits and Parts'!$B$49:$B$52,0)),"?")))</f>
        <v/>
      </c>
      <c r="BT153" s="97" t="str">
        <f>IF($A153="","",IF($AH153="",1,IFERROR(INDEX('Sublimits and Parts'!$C$56:$C$60,MATCH($AH153,'Sublimits and Parts'!$B$56:$B$60,0)),"?")))</f>
        <v/>
      </c>
      <c r="BU153" s="97" t="str">
        <f>IF($A153="","",IF($AI153="",1,IFERROR(INDEX('Sublimits and Parts'!$C$64:$C$67,MATCH($AI153,'Sublimits and Parts'!$B$64:$B$67,0)),"?")))</f>
        <v/>
      </c>
      <c r="BV153" s="97" t="str">
        <f>IF($A153="","",IF($AJ153="",1,IFERROR(INDEX('Sublimits and Parts'!$C$71:$C$74,MATCH($AJ153,'Sublimits and Parts'!$B$71:$B$74,0)),"?")))</f>
        <v/>
      </c>
      <c r="BW153" s="97" t="str">
        <f>IF($A153="","",IF($AK153="",1,IFERROR(INDEX('Sublimits and Parts'!$C$78:$C$80,MATCH($AK153,'Sublimits and Parts'!$B$78:$B$80,0)),"?")))</f>
        <v/>
      </c>
      <c r="BX153" s="97" t="str">
        <f>IF($A153="","",IF($AL153="",1,IFERROR(INDEX('Sublimits and Parts'!$C$84:$C$87,MATCH($AL153,'Sublimits and Parts'!$B$84:$B$87,0)),"?")))</f>
        <v/>
      </c>
      <c r="BY153" s="97" t="str">
        <f>IF($A153="","",IF($AM153="",1,IFERROR(INDEX('Sublimits and Parts'!$C$91:$C$94,MATCH($AM153,'Sublimits and Parts'!$B$91:$B$94,0)),"?")))</f>
        <v/>
      </c>
      <c r="BZ153" s="97" t="str">
        <f>IF($A153="","",IF($AN153="",1,IFERROR(INDEX('Sublimits and Parts'!$C$98:$C$101,MATCH($AN153,'Sublimits and Parts'!$B$98:$B$101,0)),"?")))</f>
        <v/>
      </c>
      <c r="CA153" s="97" t="str">
        <f>IF($A153="","",IF($AO153="",1,IFERROR(INDEX('Sublimits and Parts'!$C$105:$C$109,MATCH($AO153,'Sublimits and Parts'!$B$105:$B$109,0)),"?")))</f>
        <v/>
      </c>
      <c r="CB153" s="98" t="str">
        <f t="shared" si="28"/>
        <v/>
      </c>
      <c r="CC153" s="98" t="str">
        <f t="shared" si="29"/>
        <v/>
      </c>
      <c r="CD153" s="101" t="str">
        <f>IF($A153="","",IF(OR($CB153="?",$CC153="?"),"?",MIN($CB153*$CC153,'Technical Premium'!$C$17)))</f>
        <v/>
      </c>
      <c r="CE153" s="100" t="str">
        <f t="shared" si="30"/>
        <v/>
      </c>
      <c r="CF153" s="100" t="str">
        <f>IF($A153="","",IFERROR(INDEX('Territory Factors'!$F$6:$F$56,MATCH($K153,'Territory Factors'!$B$6:$B$56,0)),"?"))</f>
        <v/>
      </c>
      <c r="CG153" s="98" t="str">
        <f>IF($A153="","",IFERROR(INDEX('Usage and Coverage'!$C$79:$C$84,MATCH($Y153,'Usage and Coverage'!$B$79:$B$84,0)),"?"))</f>
        <v/>
      </c>
      <c r="CH153" s="100" t="str">
        <f>IFERROR(IF(ISNUMBER($CD153),$CF153*$CG153*MIN($BG153*$BA153*$BC153*$BD153*$BH153*$BF153,'Technical Premium'!$C$17),""),"")</f>
        <v/>
      </c>
      <c r="CI153" s="100" t="str">
        <f t="shared" si="31"/>
        <v/>
      </c>
      <c r="CJ153" s="100" t="str">
        <f>IFERROR($CI153*(1+'Technical Premium'!$C$5)*(1+'Technical Premium'!$C$6),"")</f>
        <v/>
      </c>
      <c r="CK153" s="100" t="str">
        <f>IFERROR($CE153*INDEX('Territory Factors'!$G$6:$G$56,MATCH($K153,'Territory Factors'!$B$6:$B$56,0))*$AU153*$AV153,"")</f>
        <v/>
      </c>
      <c r="CL153" s="100" t="str">
        <f>IFERROR(($CJ153+$CK153)*(1+'Technical Premium'!$C$7),"")</f>
        <v/>
      </c>
      <c r="CM153" s="102" t="str">
        <f>IFERROR($CL153/'Technical Premium'!$C$13,"")</f>
        <v/>
      </c>
      <c r="CN153" s="103" t="str">
        <f t="shared" si="32"/>
        <v/>
      </c>
      <c r="CO153" s="102" t="str">
        <f t="shared" si="33"/>
        <v/>
      </c>
      <c r="CP153" s="103" t="str">
        <f t="shared" si="34"/>
        <v/>
      </c>
      <c r="CQ153" s="104" t="str">
        <f t="shared" si="35"/>
        <v/>
      </c>
      <c r="CR153" s="100" t="str">
        <f>IF(ISNUMBER($CM153),'Technical Premium'!$C$14+IF($J153&gt;=1000000,'Technical Premium'!$C$15,0),"")</f>
        <v/>
      </c>
      <c r="CS153" s="100" t="str">
        <f>IFERROR(($CO153+$CR153)*(INDEX('Territory Factors'!$K$6:$K$56,MATCH($K153,'Territory Factors'!$B$6:$B$56,0))+'Commission Structure'!$C$21),"")</f>
        <v/>
      </c>
      <c r="CT153" s="102" t="str">
        <f t="shared" si="36"/>
        <v/>
      </c>
      <c r="CU153" s="100" t="str">
        <f>IFERROR($CO153*('Commission Structure'!$C$6+'Commission Structure'!$C$7),"")</f>
        <v/>
      </c>
      <c r="CV153" s="100" t="str">
        <f>IFERROR($CO153*'Commission Structure'!$C$5-$CU153,"")</f>
        <v/>
      </c>
      <c r="CW153" s="100" t="str">
        <f>IFERROR($CO153*(1-'Commission Structure'!$C$5),"")</f>
        <v/>
      </c>
      <c r="CX153" s="105" t="str">
        <f>IF($A153="","",IF(OR($CB153="?",$CC153="?",NOT(ISNUMBER($AU153))),"CHECK INPUTS",IF(OR($J153&lt;'Technical Premium'!$C$18,LEFT(IFERROR(INDEX('Driver Factors'!$D$6:$D$15,MATCH($R153,'Driver Factors'!$B$6:$B$15,0)),""),7)="DECLINE",LEFT(IFERROR(INDEX('Driver Factors'!$D$28:$D$36,MATCH($T153,'Driver Factors'!$B$28:$B$36,0)),""),7)="DECLINE",LEFT(IFERROR(INDEX('Claims History'!$D$6:$D$15,MATCH($U153,'Claims History'!$B$6:$B$15,0)),""),7)="DECLINE",LEFT(IFERROR(INDEX('Usage and Coverage'!$E$6:$E$20,MATCH($N153,'Usage and Coverage'!$C$6:$C$20,0)),""),7)="DECLINE"),"DECLINE",IF(OR($CD153&gt;2.5,$CD153&gt;='Technical Premium'!$C$17,$J153&gt;='Technical Premium'!$C$16,N($AQ153)&lt;'Technical Premium'!$C$19,N($AQ153)&gt;'Technical Premium'!$C$20,LEFT(IFERROR(INDEX('Driver Factors'!$D$6:$D$15,MATCH($R153,'Driver Factors'!$B$6:$B$15,0)),""),5)="Refer",LEFT(IFERROR(INDEX('Driver Factors'!$D$28:$D$36,MATCH($T153,'Driver Factors'!$B$28:$B$36,0)),""),5)="Refer",LEFT(IFERROR(INDEX('Claims History'!$D$6:$D$15,MATCH($U153,'Claims History'!$B$6:$B$15,0)),""),5)="Refer",LEFT(IFERROR(INDEX('Usage and Coverage'!$E$6:$E$20,MATCH($N153,'Usage and Coverage'!$C$6:$C$20,0)),""),5)="Refer"),"REFER","AUTO-BIND"))))</f>
        <v/>
      </c>
      <c r="CY153" s="106" t="str">
        <f t="shared" si="37"/>
        <v/>
      </c>
      <c r="CZ153" s="97" t="str">
        <f>IF($CY153="","",IF($CY153&lt;'Technical Premium'!$C$19,"BEYOND AUTHORITY",IF($CY153&gt;0.005,"Above technical",IF($CY153&lt;-0.005,"BELOW technical","At technical"))))</f>
        <v/>
      </c>
      <c r="DA153" s="97" t="str">
        <f>IF($A153="","",IF($CX153="AUTO-BIND","",TRIM(IF($J153&lt;'Technical Premium'!$C$18,"Below programme minimum agreed value. ","")&amp;IF(N($AQ153)&lt;'Technical Premium'!$C$19,"DISCOUNT AUTHORITY BREACH. ","")&amp;IF(N($AQ153)&gt;'Technical Premium'!$C$20,"Load authority breach. ","")&amp;IF($J153&gt;='Technical Premium'!$C$16,"Agreed value at or above auto-bind limit. ","")&amp;IF(AND(ISNUMBER($CD153),$CD153&gt;='Technical Premium'!$C$17),"Composite factor at cap. ","")&amp;IF(AND(ISNUMBER($CD153),$CD153&gt;2.5),"Composite factor above 2.50. ","")&amp;IF(LEFT(IFERROR(INDEX('Driver Factors'!$D$6:$D$15,MATCH($R153,'Driver Factors'!$B$6:$B$15,0)),""),7)="DECLINE","DECLINE - driver age. ",IF(LEFT(IFERROR(INDEX('Driver Factors'!$D$6:$D$15,MATCH($R153,'Driver Factors'!$B$6:$B$15,0)),""),5)="Refer","Driver age band. ",""))&amp;IF(LEFT(IFERROR(INDEX('Driver Factors'!$D$28:$D$36,MATCH($T153,'Driver Factors'!$B$28:$B$36,0)),""),7)="DECLINE","DECLINE - MVR. ",IF(LEFT(IFERROR(INDEX('Driver Factors'!$D$28:$D$36,MATCH($T153,'Driver Factors'!$B$28:$B$36,0)),""),5)="Refer","MVR record. ",""))&amp;IF(LEFT(IFERROR(INDEX('Claims History'!$D$6:$D$15,MATCH($U153,'Claims History'!$B$6:$B$15,0)),""),7)="DECLINE","DECLINE - claims. ",IF(LEFT(IFERROR(INDEX('Claims History'!$D$6:$D$15,MATCH($U153,'Claims History'!$B$6:$B$15,0)),""),5)="Refer","Claims history. ",""))&amp;IF(LEFT(IFERROR(INDEX('Usage and Coverage'!$E$6:$E$20,MATCH($N153,'Usage and Coverage'!$C$6:$C$20,0)),""),7)="DECLINE","DECLINE - usage class. ",IF(LEFT(IFERROR(INDEX('Usage and Coverage'!$E$6:$E$20,MATCH($N153,'Usage and Coverage'!$C$6:$C$20,0)),""),5)="Refer","Usage class. ",""))&amp;IF($CX153="CHECK INPUTS","Incomplete inputs. ",""))))</f>
        <v/>
      </c>
      <c r="DB153" s="92"/>
      <c r="DC153" s="92"/>
      <c r="DD153" s="93"/>
      <c r="DE153" s="92"/>
      <c r="DF153" s="92"/>
      <c r="DG153" s="97" t="str">
        <f t="shared" si="38"/>
        <v/>
      </c>
      <c r="DH153" s="97" t="str">
        <f>IF($A153="","",IF(OR($CX153="REFER",$CX153="DECLINE"),COUNTIF($CX$5:$CX153,"REFER")+COUNTIF($CX$5:$CX153,"DECLINE"),""))</f>
        <v/>
      </c>
      <c r="DI153" s="92"/>
    </row>
    <row r="154" spans="1:113" x14ac:dyDescent="0.25">
      <c r="A154" s="92"/>
      <c r="B154" s="92"/>
      <c r="C154" s="93"/>
      <c r="D154" s="93"/>
      <c r="E154" s="94"/>
      <c r="F154" s="92"/>
      <c r="G154" s="92"/>
      <c r="H154" s="92"/>
      <c r="I154" s="92"/>
      <c r="J154" s="95"/>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6"/>
      <c r="AR154" s="97" t="str">
        <f t="shared" si="26"/>
        <v/>
      </c>
      <c r="AS154" s="97" t="str">
        <f>IF($A154="","",IF($AP154&lt;&gt;"",$AP154,IFERROR(INDEX('Cat Zone by ZIP'!$D$6:$D$856,MATCH($AR154,'Cat Zone by ZIP'!$B$6:$B$856,0)),IFERROR(INDEX('Cat Zone by ZIP'!$C$860:$C$910,MATCH($K154,'Cat Zone by ZIP'!$B$860:$B$910,0)),"NOT FOUND"))))</f>
        <v/>
      </c>
      <c r="AT154" s="97" t="str">
        <f>IF($A154="","",IF($AP154&lt;&gt;"","Override",IF(ISNUMBER(MATCH($AR154,'Cat Zone by ZIP'!$B$6:$B$856,0)),"ZIP-3","State default")))</f>
        <v/>
      </c>
      <c r="AU154" s="98" t="str">
        <f>IF($A154="","",IFERROR(INDEX('Natural Catastrophe'!$D$6:$D$17,MATCH($AS154,'Natural Catastrophe'!$B$6:$B$17,0)),"?"))</f>
        <v/>
      </c>
      <c r="AV154" s="98" t="str">
        <f>IF($A154="","",IFERROR(INDEX('Natural Catastrophe'!$C$21:$C$26,MATCH($AA154,'Natural Catastrophe'!$B$21:$B$26,0)),"?"))</f>
        <v/>
      </c>
      <c r="AW154" s="97" t="str">
        <f>IF($A154="","",IFERROR(INDEX('Base Rates'!$C$4:$I$4,MATCH(MAX($J154,'Technical Premium'!$C$18),'Base Rates'!$C$3:$I$3,1)),"?"))</f>
        <v/>
      </c>
      <c r="AX154" s="99" t="str">
        <f>IF($A154="","",IFERROR(INDEX('Base Rates'!$C$5:$I$16,MATCH($I154,'Base Rates'!$B$5:$B$16,0),MATCH(MAX($J154,'Technical Premium'!$C$18),'Base Rates'!$C$3:$I$3,1)),"?"))</f>
        <v/>
      </c>
      <c r="AY154" s="100" t="str">
        <f t="shared" si="27"/>
        <v/>
      </c>
      <c r="AZ154" s="97" t="str">
        <f>IF($A154="","",IFERROR(INDEX('Make Factors'!$G$5:$G$69,MATCH($F154,'Make Factors'!$B$5:$B$69,0)),"?"))</f>
        <v/>
      </c>
      <c r="BA154" s="97" t="str">
        <f>IF($A154="","",IFERROR(INDEX('Driver Factors'!$C$6:$C$15,MATCH($R154,'Driver Factors'!$B$6:$B$15,0)),"?"))</f>
        <v/>
      </c>
      <c r="BB154" s="97" t="str">
        <f>IF($A154="","",IFERROR(INDEX('Driver Factors'!$C$19:$C$24,MATCH($S154,'Driver Factors'!$B$19:$B$24,0)),"?"))</f>
        <v/>
      </c>
      <c r="BC154" s="97" t="str">
        <f>IF($A154="","",IFERROR(INDEX('Driver Factors'!$C$28:$C$36,MATCH($T154,'Driver Factors'!$B$28:$B$36,0)),"?"))</f>
        <v/>
      </c>
      <c r="BD154" s="97" t="str">
        <f>IF($A154="","",IFERROR(INDEX('Claims History'!$C$6:$C$15,MATCH($U154,'Claims History'!$B$6:$B$15,0)),"?"))</f>
        <v/>
      </c>
      <c r="BE154" s="97" t="str">
        <f>IF($A154="","",IFERROR(INDEX('Territory Factors'!$E$6:$E$56,MATCH($K154,'Territory Factors'!$B$6:$B$56,0)),"?"))</f>
        <v/>
      </c>
      <c r="BF154" s="97" t="str">
        <f>IF($A154="","",IFERROR(INDEX('City Accident Ratings'!$G$6:$G$54,MATCH($Z154,'City Accident Ratings'!$B$6:$B$54,0)),"?"))</f>
        <v/>
      </c>
      <c r="BG154" s="97" t="str">
        <f>IF($A154="","",IFERROR(INDEX('Usage and Coverage'!$D$6:$D$20,MATCH($N154,'Usage and Coverage'!$C$6:$C$20,0)),"?"))</f>
        <v/>
      </c>
      <c r="BH154" s="97" t="str">
        <f>IF($A154="","",IFERROR(INDEX('Usage and Coverage'!$C$24:$C$30,MATCH($O154,'Usage and Coverage'!$B$24:$B$30,0)),"?"))</f>
        <v/>
      </c>
      <c r="BI154" s="97" t="str">
        <f>IF($A154="","",IFERROR(INDEX('Usage and Coverage'!$C$34:$C$40,MATCH($P154,'Usage and Coverage'!$B$34:$B$40,0)),"?"))</f>
        <v/>
      </c>
      <c r="BJ154" s="97" t="str">
        <f>IF($A154="","",IFERROR(INDEX('Usage and Coverage'!$C$44:$C$49,MATCH($Q154,'Usage and Coverage'!$B$44:$B$49,0)),"?"))</f>
        <v/>
      </c>
      <c r="BK154" s="97" t="str">
        <f>IF($A154="","",IFERROR(INDEX(Deductibles!$C$6:$I$15,MATCH($W154,Deductibles!$B$6:$B$15,0),MATCH(MAX($J154,'Technical Premium'!$C$18),'Base Rates'!$C$3:$I$3,1)),"?"))</f>
        <v/>
      </c>
      <c r="BL154" s="97" t="str">
        <f>IF($A154="","",IFERROR(INDEX('Usage and Coverage'!$C$63:$C$66,MATCH($X154,'Usage and Coverage'!$B$63:$B$66,0)),"?"))</f>
        <v/>
      </c>
      <c r="BM154" s="97" t="str">
        <f>IF($A154="","",IFERROR(INDEX('Usage and Coverage'!$C$70:$C$75,MATCH($V154,'Usage and Coverage'!$B$70:$B$75,0)),"?"))</f>
        <v/>
      </c>
      <c r="BN154" s="97" t="str">
        <f>IF($A154="","",IF($AB154="",1,IFERROR(INDEX(Deductibles!$C$48:$C$51,MATCH($AB154,Deductibles!$B$48:$B$51,0)),"?")))</f>
        <v/>
      </c>
      <c r="BO154" s="97" t="str">
        <f>IF($A154="","",IF($AC154="",1,IFERROR(INDEX(Deductibles!$C$55:$C$57,MATCH($AC154,Deductibles!$B$55:$B$57,0)),"?")))</f>
        <v/>
      </c>
      <c r="BP154" s="97" t="str">
        <f>IF($A154="","",IF($AD154="",1,IFERROR(INDEX(Deductibles!$C$61:$C$63,MATCH($AD154,Deductibles!$B$61:$B$63,0)),"?")))</f>
        <v/>
      </c>
      <c r="BQ154" s="97" t="str">
        <f>IF($A154="","",IF($AE154="",1,IFERROR(INDEX(Deductibles!$C$67:$C$69,MATCH($AE154,Deductibles!$B$67:$B$69,0)),"?")))</f>
        <v/>
      </c>
      <c r="BR154" s="97" t="str">
        <f>IF($A154="","",IF($AF154="",1,IFERROR(INDEX(Deductibles!$C$73:$C$74,MATCH($AF154,Deductibles!$B$73:$B$74,0)),"?")))</f>
        <v/>
      </c>
      <c r="BS154" s="97" t="str">
        <f>IF($A154="","",IF($AG154="",1,IFERROR(INDEX('Sublimits and Parts'!$C$49:$C$52,MATCH($AG154,'Sublimits and Parts'!$B$49:$B$52,0)),"?")))</f>
        <v/>
      </c>
      <c r="BT154" s="97" t="str">
        <f>IF($A154="","",IF($AH154="",1,IFERROR(INDEX('Sublimits and Parts'!$C$56:$C$60,MATCH($AH154,'Sublimits and Parts'!$B$56:$B$60,0)),"?")))</f>
        <v/>
      </c>
      <c r="BU154" s="97" t="str">
        <f>IF($A154="","",IF($AI154="",1,IFERROR(INDEX('Sublimits and Parts'!$C$64:$C$67,MATCH($AI154,'Sublimits and Parts'!$B$64:$B$67,0)),"?")))</f>
        <v/>
      </c>
      <c r="BV154" s="97" t="str">
        <f>IF($A154="","",IF($AJ154="",1,IFERROR(INDEX('Sublimits and Parts'!$C$71:$C$74,MATCH($AJ154,'Sublimits and Parts'!$B$71:$B$74,0)),"?")))</f>
        <v/>
      </c>
      <c r="BW154" s="97" t="str">
        <f>IF($A154="","",IF($AK154="",1,IFERROR(INDEX('Sublimits and Parts'!$C$78:$C$80,MATCH($AK154,'Sublimits and Parts'!$B$78:$B$80,0)),"?")))</f>
        <v/>
      </c>
      <c r="BX154" s="97" t="str">
        <f>IF($A154="","",IF($AL154="",1,IFERROR(INDEX('Sublimits and Parts'!$C$84:$C$87,MATCH($AL154,'Sublimits and Parts'!$B$84:$B$87,0)),"?")))</f>
        <v/>
      </c>
      <c r="BY154" s="97" t="str">
        <f>IF($A154="","",IF($AM154="",1,IFERROR(INDEX('Sublimits and Parts'!$C$91:$C$94,MATCH($AM154,'Sublimits and Parts'!$B$91:$B$94,0)),"?")))</f>
        <v/>
      </c>
      <c r="BZ154" s="97" t="str">
        <f>IF($A154="","",IF($AN154="",1,IFERROR(INDEX('Sublimits and Parts'!$C$98:$C$101,MATCH($AN154,'Sublimits and Parts'!$B$98:$B$101,0)),"?")))</f>
        <v/>
      </c>
      <c r="CA154" s="97" t="str">
        <f>IF($A154="","",IF($AO154="",1,IFERROR(INDEX('Sublimits and Parts'!$C$105:$C$109,MATCH($AO154,'Sublimits and Parts'!$B$105:$B$109,0)),"?")))</f>
        <v/>
      </c>
      <c r="CB154" s="98" t="str">
        <f t="shared" si="28"/>
        <v/>
      </c>
      <c r="CC154" s="98" t="str">
        <f t="shared" si="29"/>
        <v/>
      </c>
      <c r="CD154" s="101" t="str">
        <f>IF($A154="","",IF(OR($CB154="?",$CC154="?"),"?",MIN($CB154*$CC154,'Technical Premium'!$C$17)))</f>
        <v/>
      </c>
      <c r="CE154" s="100" t="str">
        <f t="shared" si="30"/>
        <v/>
      </c>
      <c r="CF154" s="100" t="str">
        <f>IF($A154="","",IFERROR(INDEX('Territory Factors'!$F$6:$F$56,MATCH($K154,'Territory Factors'!$B$6:$B$56,0)),"?"))</f>
        <v/>
      </c>
      <c r="CG154" s="98" t="str">
        <f>IF($A154="","",IFERROR(INDEX('Usage and Coverage'!$C$79:$C$84,MATCH($Y154,'Usage and Coverage'!$B$79:$B$84,0)),"?"))</f>
        <v/>
      </c>
      <c r="CH154" s="100" t="str">
        <f>IFERROR(IF(ISNUMBER($CD154),$CF154*$CG154*MIN($BG154*$BA154*$BC154*$BD154*$BH154*$BF154,'Technical Premium'!$C$17),""),"")</f>
        <v/>
      </c>
      <c r="CI154" s="100" t="str">
        <f t="shared" si="31"/>
        <v/>
      </c>
      <c r="CJ154" s="100" t="str">
        <f>IFERROR($CI154*(1+'Technical Premium'!$C$5)*(1+'Technical Premium'!$C$6),"")</f>
        <v/>
      </c>
      <c r="CK154" s="100" t="str">
        <f>IFERROR($CE154*INDEX('Territory Factors'!$G$6:$G$56,MATCH($K154,'Territory Factors'!$B$6:$B$56,0))*$AU154*$AV154,"")</f>
        <v/>
      </c>
      <c r="CL154" s="100" t="str">
        <f>IFERROR(($CJ154+$CK154)*(1+'Technical Premium'!$C$7),"")</f>
        <v/>
      </c>
      <c r="CM154" s="102" t="str">
        <f>IFERROR($CL154/'Technical Premium'!$C$13,"")</f>
        <v/>
      </c>
      <c r="CN154" s="103" t="str">
        <f t="shared" si="32"/>
        <v/>
      </c>
      <c r="CO154" s="102" t="str">
        <f t="shared" si="33"/>
        <v/>
      </c>
      <c r="CP154" s="103" t="str">
        <f t="shared" si="34"/>
        <v/>
      </c>
      <c r="CQ154" s="104" t="str">
        <f t="shared" si="35"/>
        <v/>
      </c>
      <c r="CR154" s="100" t="str">
        <f>IF(ISNUMBER($CM154),'Technical Premium'!$C$14+IF($J154&gt;=1000000,'Technical Premium'!$C$15,0),"")</f>
        <v/>
      </c>
      <c r="CS154" s="100" t="str">
        <f>IFERROR(($CO154+$CR154)*(INDEX('Territory Factors'!$K$6:$K$56,MATCH($K154,'Territory Factors'!$B$6:$B$56,0))+'Commission Structure'!$C$21),"")</f>
        <v/>
      </c>
      <c r="CT154" s="102" t="str">
        <f t="shared" si="36"/>
        <v/>
      </c>
      <c r="CU154" s="100" t="str">
        <f>IFERROR($CO154*('Commission Structure'!$C$6+'Commission Structure'!$C$7),"")</f>
        <v/>
      </c>
      <c r="CV154" s="100" t="str">
        <f>IFERROR($CO154*'Commission Structure'!$C$5-$CU154,"")</f>
        <v/>
      </c>
      <c r="CW154" s="100" t="str">
        <f>IFERROR($CO154*(1-'Commission Structure'!$C$5),"")</f>
        <v/>
      </c>
      <c r="CX154" s="105" t="str">
        <f>IF($A154="","",IF(OR($CB154="?",$CC154="?",NOT(ISNUMBER($AU154))),"CHECK INPUTS",IF(OR($J154&lt;'Technical Premium'!$C$18,LEFT(IFERROR(INDEX('Driver Factors'!$D$6:$D$15,MATCH($R154,'Driver Factors'!$B$6:$B$15,0)),""),7)="DECLINE",LEFT(IFERROR(INDEX('Driver Factors'!$D$28:$D$36,MATCH($T154,'Driver Factors'!$B$28:$B$36,0)),""),7)="DECLINE",LEFT(IFERROR(INDEX('Claims History'!$D$6:$D$15,MATCH($U154,'Claims History'!$B$6:$B$15,0)),""),7)="DECLINE",LEFT(IFERROR(INDEX('Usage and Coverage'!$E$6:$E$20,MATCH($N154,'Usage and Coverage'!$C$6:$C$20,0)),""),7)="DECLINE"),"DECLINE",IF(OR($CD154&gt;2.5,$CD154&gt;='Technical Premium'!$C$17,$J154&gt;='Technical Premium'!$C$16,N($AQ154)&lt;'Technical Premium'!$C$19,N($AQ154)&gt;'Technical Premium'!$C$20,LEFT(IFERROR(INDEX('Driver Factors'!$D$6:$D$15,MATCH($R154,'Driver Factors'!$B$6:$B$15,0)),""),5)="Refer",LEFT(IFERROR(INDEX('Driver Factors'!$D$28:$D$36,MATCH($T154,'Driver Factors'!$B$28:$B$36,0)),""),5)="Refer",LEFT(IFERROR(INDEX('Claims History'!$D$6:$D$15,MATCH($U154,'Claims History'!$B$6:$B$15,0)),""),5)="Refer",LEFT(IFERROR(INDEX('Usage and Coverage'!$E$6:$E$20,MATCH($N154,'Usage and Coverage'!$C$6:$C$20,0)),""),5)="Refer"),"REFER","AUTO-BIND"))))</f>
        <v/>
      </c>
      <c r="CY154" s="106" t="str">
        <f t="shared" si="37"/>
        <v/>
      </c>
      <c r="CZ154" s="97" t="str">
        <f>IF($CY154="","",IF($CY154&lt;'Technical Premium'!$C$19,"BEYOND AUTHORITY",IF($CY154&gt;0.005,"Above technical",IF($CY154&lt;-0.005,"BELOW technical","At technical"))))</f>
        <v/>
      </c>
      <c r="DA154" s="97" t="str">
        <f>IF($A154="","",IF($CX154="AUTO-BIND","",TRIM(IF($J154&lt;'Technical Premium'!$C$18,"Below programme minimum agreed value. ","")&amp;IF(N($AQ154)&lt;'Technical Premium'!$C$19,"DISCOUNT AUTHORITY BREACH. ","")&amp;IF(N($AQ154)&gt;'Technical Premium'!$C$20,"Load authority breach. ","")&amp;IF($J154&gt;='Technical Premium'!$C$16,"Agreed value at or above auto-bind limit. ","")&amp;IF(AND(ISNUMBER($CD154),$CD154&gt;='Technical Premium'!$C$17),"Composite factor at cap. ","")&amp;IF(AND(ISNUMBER($CD154),$CD154&gt;2.5),"Composite factor above 2.50. ","")&amp;IF(LEFT(IFERROR(INDEX('Driver Factors'!$D$6:$D$15,MATCH($R154,'Driver Factors'!$B$6:$B$15,0)),""),7)="DECLINE","DECLINE - driver age. ",IF(LEFT(IFERROR(INDEX('Driver Factors'!$D$6:$D$15,MATCH($R154,'Driver Factors'!$B$6:$B$15,0)),""),5)="Refer","Driver age band. ",""))&amp;IF(LEFT(IFERROR(INDEX('Driver Factors'!$D$28:$D$36,MATCH($T154,'Driver Factors'!$B$28:$B$36,0)),""),7)="DECLINE","DECLINE - MVR. ",IF(LEFT(IFERROR(INDEX('Driver Factors'!$D$28:$D$36,MATCH($T154,'Driver Factors'!$B$28:$B$36,0)),""),5)="Refer","MVR record. ",""))&amp;IF(LEFT(IFERROR(INDEX('Claims History'!$D$6:$D$15,MATCH($U154,'Claims History'!$B$6:$B$15,0)),""),7)="DECLINE","DECLINE - claims. ",IF(LEFT(IFERROR(INDEX('Claims History'!$D$6:$D$15,MATCH($U154,'Claims History'!$B$6:$B$15,0)),""),5)="Refer","Claims history. ",""))&amp;IF(LEFT(IFERROR(INDEX('Usage and Coverage'!$E$6:$E$20,MATCH($N154,'Usage and Coverage'!$C$6:$C$20,0)),""),7)="DECLINE","DECLINE - usage class. ",IF(LEFT(IFERROR(INDEX('Usage and Coverage'!$E$6:$E$20,MATCH($N154,'Usage and Coverage'!$C$6:$C$20,0)),""),5)="Refer","Usage class. ",""))&amp;IF($CX154="CHECK INPUTS","Incomplete inputs. ",""))))</f>
        <v/>
      </c>
      <c r="DB154" s="92"/>
      <c r="DC154" s="92"/>
      <c r="DD154" s="93"/>
      <c r="DE154" s="92"/>
      <c r="DF154" s="92"/>
      <c r="DG154" s="97" t="str">
        <f t="shared" si="38"/>
        <v/>
      </c>
      <c r="DH154" s="97" t="str">
        <f>IF($A154="","",IF(OR($CX154="REFER",$CX154="DECLINE"),COUNTIF($CX$5:$CX154,"REFER")+COUNTIF($CX$5:$CX154,"DECLINE"),""))</f>
        <v/>
      </c>
      <c r="DI154" s="92"/>
    </row>
    <row r="155" spans="1:113" x14ac:dyDescent="0.25">
      <c r="A155" s="92"/>
      <c r="B155" s="92"/>
      <c r="C155" s="93"/>
      <c r="D155" s="93"/>
      <c r="E155" s="94"/>
      <c r="F155" s="92"/>
      <c r="G155" s="92"/>
      <c r="H155" s="92"/>
      <c r="I155" s="92"/>
      <c r="J155" s="95"/>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6"/>
      <c r="AR155" s="97" t="str">
        <f t="shared" si="26"/>
        <v/>
      </c>
      <c r="AS155" s="97" t="str">
        <f>IF($A155="","",IF($AP155&lt;&gt;"",$AP155,IFERROR(INDEX('Cat Zone by ZIP'!$D$6:$D$856,MATCH($AR155,'Cat Zone by ZIP'!$B$6:$B$856,0)),IFERROR(INDEX('Cat Zone by ZIP'!$C$860:$C$910,MATCH($K155,'Cat Zone by ZIP'!$B$860:$B$910,0)),"NOT FOUND"))))</f>
        <v/>
      </c>
      <c r="AT155" s="97" t="str">
        <f>IF($A155="","",IF($AP155&lt;&gt;"","Override",IF(ISNUMBER(MATCH($AR155,'Cat Zone by ZIP'!$B$6:$B$856,0)),"ZIP-3","State default")))</f>
        <v/>
      </c>
      <c r="AU155" s="98" t="str">
        <f>IF($A155="","",IFERROR(INDEX('Natural Catastrophe'!$D$6:$D$17,MATCH($AS155,'Natural Catastrophe'!$B$6:$B$17,0)),"?"))</f>
        <v/>
      </c>
      <c r="AV155" s="98" t="str">
        <f>IF($A155="","",IFERROR(INDEX('Natural Catastrophe'!$C$21:$C$26,MATCH($AA155,'Natural Catastrophe'!$B$21:$B$26,0)),"?"))</f>
        <v/>
      </c>
      <c r="AW155" s="97" t="str">
        <f>IF($A155="","",IFERROR(INDEX('Base Rates'!$C$4:$I$4,MATCH(MAX($J155,'Technical Premium'!$C$18),'Base Rates'!$C$3:$I$3,1)),"?"))</f>
        <v/>
      </c>
      <c r="AX155" s="99" t="str">
        <f>IF($A155="","",IFERROR(INDEX('Base Rates'!$C$5:$I$16,MATCH($I155,'Base Rates'!$B$5:$B$16,0),MATCH(MAX($J155,'Technical Premium'!$C$18),'Base Rates'!$C$3:$I$3,1)),"?"))</f>
        <v/>
      </c>
      <c r="AY155" s="100" t="str">
        <f t="shared" si="27"/>
        <v/>
      </c>
      <c r="AZ155" s="97" t="str">
        <f>IF($A155="","",IFERROR(INDEX('Make Factors'!$G$5:$G$69,MATCH($F155,'Make Factors'!$B$5:$B$69,0)),"?"))</f>
        <v/>
      </c>
      <c r="BA155" s="97" t="str">
        <f>IF($A155="","",IFERROR(INDEX('Driver Factors'!$C$6:$C$15,MATCH($R155,'Driver Factors'!$B$6:$B$15,0)),"?"))</f>
        <v/>
      </c>
      <c r="BB155" s="97" t="str">
        <f>IF($A155="","",IFERROR(INDEX('Driver Factors'!$C$19:$C$24,MATCH($S155,'Driver Factors'!$B$19:$B$24,0)),"?"))</f>
        <v/>
      </c>
      <c r="BC155" s="97" t="str">
        <f>IF($A155="","",IFERROR(INDEX('Driver Factors'!$C$28:$C$36,MATCH($T155,'Driver Factors'!$B$28:$B$36,0)),"?"))</f>
        <v/>
      </c>
      <c r="BD155" s="97" t="str">
        <f>IF($A155="","",IFERROR(INDEX('Claims History'!$C$6:$C$15,MATCH($U155,'Claims History'!$B$6:$B$15,0)),"?"))</f>
        <v/>
      </c>
      <c r="BE155" s="97" t="str">
        <f>IF($A155="","",IFERROR(INDEX('Territory Factors'!$E$6:$E$56,MATCH($K155,'Territory Factors'!$B$6:$B$56,0)),"?"))</f>
        <v/>
      </c>
      <c r="BF155" s="97" t="str">
        <f>IF($A155="","",IFERROR(INDEX('City Accident Ratings'!$G$6:$G$54,MATCH($Z155,'City Accident Ratings'!$B$6:$B$54,0)),"?"))</f>
        <v/>
      </c>
      <c r="BG155" s="97" t="str">
        <f>IF($A155="","",IFERROR(INDEX('Usage and Coverage'!$D$6:$D$20,MATCH($N155,'Usage and Coverage'!$C$6:$C$20,0)),"?"))</f>
        <v/>
      </c>
      <c r="BH155" s="97" t="str">
        <f>IF($A155="","",IFERROR(INDEX('Usage and Coverage'!$C$24:$C$30,MATCH($O155,'Usage and Coverage'!$B$24:$B$30,0)),"?"))</f>
        <v/>
      </c>
      <c r="BI155" s="97" t="str">
        <f>IF($A155="","",IFERROR(INDEX('Usage and Coverage'!$C$34:$C$40,MATCH($P155,'Usage and Coverage'!$B$34:$B$40,0)),"?"))</f>
        <v/>
      </c>
      <c r="BJ155" s="97" t="str">
        <f>IF($A155="","",IFERROR(INDEX('Usage and Coverage'!$C$44:$C$49,MATCH($Q155,'Usage and Coverage'!$B$44:$B$49,0)),"?"))</f>
        <v/>
      </c>
      <c r="BK155" s="97" t="str">
        <f>IF($A155="","",IFERROR(INDEX(Deductibles!$C$6:$I$15,MATCH($W155,Deductibles!$B$6:$B$15,0),MATCH(MAX($J155,'Technical Premium'!$C$18),'Base Rates'!$C$3:$I$3,1)),"?"))</f>
        <v/>
      </c>
      <c r="BL155" s="97" t="str">
        <f>IF($A155="","",IFERROR(INDEX('Usage and Coverage'!$C$63:$C$66,MATCH($X155,'Usage and Coverage'!$B$63:$B$66,0)),"?"))</f>
        <v/>
      </c>
      <c r="BM155" s="97" t="str">
        <f>IF($A155="","",IFERROR(INDEX('Usage and Coverage'!$C$70:$C$75,MATCH($V155,'Usage and Coverage'!$B$70:$B$75,0)),"?"))</f>
        <v/>
      </c>
      <c r="BN155" s="97" t="str">
        <f>IF($A155="","",IF($AB155="",1,IFERROR(INDEX(Deductibles!$C$48:$C$51,MATCH($AB155,Deductibles!$B$48:$B$51,0)),"?")))</f>
        <v/>
      </c>
      <c r="BO155" s="97" t="str">
        <f>IF($A155="","",IF($AC155="",1,IFERROR(INDEX(Deductibles!$C$55:$C$57,MATCH($AC155,Deductibles!$B$55:$B$57,0)),"?")))</f>
        <v/>
      </c>
      <c r="BP155" s="97" t="str">
        <f>IF($A155="","",IF($AD155="",1,IFERROR(INDEX(Deductibles!$C$61:$C$63,MATCH($AD155,Deductibles!$B$61:$B$63,0)),"?")))</f>
        <v/>
      </c>
      <c r="BQ155" s="97" t="str">
        <f>IF($A155="","",IF($AE155="",1,IFERROR(INDEX(Deductibles!$C$67:$C$69,MATCH($AE155,Deductibles!$B$67:$B$69,0)),"?")))</f>
        <v/>
      </c>
      <c r="BR155" s="97" t="str">
        <f>IF($A155="","",IF($AF155="",1,IFERROR(INDEX(Deductibles!$C$73:$C$74,MATCH($AF155,Deductibles!$B$73:$B$74,0)),"?")))</f>
        <v/>
      </c>
      <c r="BS155" s="97" t="str">
        <f>IF($A155="","",IF($AG155="",1,IFERROR(INDEX('Sublimits and Parts'!$C$49:$C$52,MATCH($AG155,'Sublimits and Parts'!$B$49:$B$52,0)),"?")))</f>
        <v/>
      </c>
      <c r="BT155" s="97" t="str">
        <f>IF($A155="","",IF($AH155="",1,IFERROR(INDEX('Sublimits and Parts'!$C$56:$C$60,MATCH($AH155,'Sublimits and Parts'!$B$56:$B$60,0)),"?")))</f>
        <v/>
      </c>
      <c r="BU155" s="97" t="str">
        <f>IF($A155="","",IF($AI155="",1,IFERROR(INDEX('Sublimits and Parts'!$C$64:$C$67,MATCH($AI155,'Sublimits and Parts'!$B$64:$B$67,0)),"?")))</f>
        <v/>
      </c>
      <c r="BV155" s="97" t="str">
        <f>IF($A155="","",IF($AJ155="",1,IFERROR(INDEX('Sublimits and Parts'!$C$71:$C$74,MATCH($AJ155,'Sublimits and Parts'!$B$71:$B$74,0)),"?")))</f>
        <v/>
      </c>
      <c r="BW155" s="97" t="str">
        <f>IF($A155="","",IF($AK155="",1,IFERROR(INDEX('Sublimits and Parts'!$C$78:$C$80,MATCH($AK155,'Sublimits and Parts'!$B$78:$B$80,0)),"?")))</f>
        <v/>
      </c>
      <c r="BX155" s="97" t="str">
        <f>IF($A155="","",IF($AL155="",1,IFERROR(INDEX('Sublimits and Parts'!$C$84:$C$87,MATCH($AL155,'Sublimits and Parts'!$B$84:$B$87,0)),"?")))</f>
        <v/>
      </c>
      <c r="BY155" s="97" t="str">
        <f>IF($A155="","",IF($AM155="",1,IFERROR(INDEX('Sublimits and Parts'!$C$91:$C$94,MATCH($AM155,'Sublimits and Parts'!$B$91:$B$94,0)),"?")))</f>
        <v/>
      </c>
      <c r="BZ155" s="97" t="str">
        <f>IF($A155="","",IF($AN155="",1,IFERROR(INDEX('Sublimits and Parts'!$C$98:$C$101,MATCH($AN155,'Sublimits and Parts'!$B$98:$B$101,0)),"?")))</f>
        <v/>
      </c>
      <c r="CA155" s="97" t="str">
        <f>IF($A155="","",IF($AO155="",1,IFERROR(INDEX('Sublimits and Parts'!$C$105:$C$109,MATCH($AO155,'Sublimits and Parts'!$B$105:$B$109,0)),"?")))</f>
        <v/>
      </c>
      <c r="CB155" s="98" t="str">
        <f t="shared" si="28"/>
        <v/>
      </c>
      <c r="CC155" s="98" t="str">
        <f t="shared" si="29"/>
        <v/>
      </c>
      <c r="CD155" s="101" t="str">
        <f>IF($A155="","",IF(OR($CB155="?",$CC155="?"),"?",MIN($CB155*$CC155,'Technical Premium'!$C$17)))</f>
        <v/>
      </c>
      <c r="CE155" s="100" t="str">
        <f t="shared" si="30"/>
        <v/>
      </c>
      <c r="CF155" s="100" t="str">
        <f>IF($A155="","",IFERROR(INDEX('Territory Factors'!$F$6:$F$56,MATCH($K155,'Territory Factors'!$B$6:$B$56,0)),"?"))</f>
        <v/>
      </c>
      <c r="CG155" s="98" t="str">
        <f>IF($A155="","",IFERROR(INDEX('Usage and Coverage'!$C$79:$C$84,MATCH($Y155,'Usage and Coverage'!$B$79:$B$84,0)),"?"))</f>
        <v/>
      </c>
      <c r="CH155" s="100" t="str">
        <f>IFERROR(IF(ISNUMBER($CD155),$CF155*$CG155*MIN($BG155*$BA155*$BC155*$BD155*$BH155*$BF155,'Technical Premium'!$C$17),""),"")</f>
        <v/>
      </c>
      <c r="CI155" s="100" t="str">
        <f t="shared" si="31"/>
        <v/>
      </c>
      <c r="CJ155" s="100" t="str">
        <f>IFERROR($CI155*(1+'Technical Premium'!$C$5)*(1+'Technical Premium'!$C$6),"")</f>
        <v/>
      </c>
      <c r="CK155" s="100" t="str">
        <f>IFERROR($CE155*INDEX('Territory Factors'!$G$6:$G$56,MATCH($K155,'Territory Factors'!$B$6:$B$56,0))*$AU155*$AV155,"")</f>
        <v/>
      </c>
      <c r="CL155" s="100" t="str">
        <f>IFERROR(($CJ155+$CK155)*(1+'Technical Premium'!$C$7),"")</f>
        <v/>
      </c>
      <c r="CM155" s="102" t="str">
        <f>IFERROR($CL155/'Technical Premium'!$C$13,"")</f>
        <v/>
      </c>
      <c r="CN155" s="103" t="str">
        <f t="shared" si="32"/>
        <v/>
      </c>
      <c r="CO155" s="102" t="str">
        <f t="shared" si="33"/>
        <v/>
      </c>
      <c r="CP155" s="103" t="str">
        <f t="shared" si="34"/>
        <v/>
      </c>
      <c r="CQ155" s="104" t="str">
        <f t="shared" si="35"/>
        <v/>
      </c>
      <c r="CR155" s="100" t="str">
        <f>IF(ISNUMBER($CM155),'Technical Premium'!$C$14+IF($J155&gt;=1000000,'Technical Premium'!$C$15,0),"")</f>
        <v/>
      </c>
      <c r="CS155" s="100" t="str">
        <f>IFERROR(($CO155+$CR155)*(INDEX('Territory Factors'!$K$6:$K$56,MATCH($K155,'Territory Factors'!$B$6:$B$56,0))+'Commission Structure'!$C$21),"")</f>
        <v/>
      </c>
      <c r="CT155" s="102" t="str">
        <f t="shared" si="36"/>
        <v/>
      </c>
      <c r="CU155" s="100" t="str">
        <f>IFERROR($CO155*('Commission Structure'!$C$6+'Commission Structure'!$C$7),"")</f>
        <v/>
      </c>
      <c r="CV155" s="100" t="str">
        <f>IFERROR($CO155*'Commission Structure'!$C$5-$CU155,"")</f>
        <v/>
      </c>
      <c r="CW155" s="100" t="str">
        <f>IFERROR($CO155*(1-'Commission Structure'!$C$5),"")</f>
        <v/>
      </c>
      <c r="CX155" s="105" t="str">
        <f>IF($A155="","",IF(OR($CB155="?",$CC155="?",NOT(ISNUMBER($AU155))),"CHECK INPUTS",IF(OR($J155&lt;'Technical Premium'!$C$18,LEFT(IFERROR(INDEX('Driver Factors'!$D$6:$D$15,MATCH($R155,'Driver Factors'!$B$6:$B$15,0)),""),7)="DECLINE",LEFT(IFERROR(INDEX('Driver Factors'!$D$28:$D$36,MATCH($T155,'Driver Factors'!$B$28:$B$36,0)),""),7)="DECLINE",LEFT(IFERROR(INDEX('Claims History'!$D$6:$D$15,MATCH($U155,'Claims History'!$B$6:$B$15,0)),""),7)="DECLINE",LEFT(IFERROR(INDEX('Usage and Coverage'!$E$6:$E$20,MATCH($N155,'Usage and Coverage'!$C$6:$C$20,0)),""),7)="DECLINE"),"DECLINE",IF(OR($CD155&gt;2.5,$CD155&gt;='Technical Premium'!$C$17,$J155&gt;='Technical Premium'!$C$16,N($AQ155)&lt;'Technical Premium'!$C$19,N($AQ155)&gt;'Technical Premium'!$C$20,LEFT(IFERROR(INDEX('Driver Factors'!$D$6:$D$15,MATCH($R155,'Driver Factors'!$B$6:$B$15,0)),""),5)="Refer",LEFT(IFERROR(INDEX('Driver Factors'!$D$28:$D$36,MATCH($T155,'Driver Factors'!$B$28:$B$36,0)),""),5)="Refer",LEFT(IFERROR(INDEX('Claims History'!$D$6:$D$15,MATCH($U155,'Claims History'!$B$6:$B$15,0)),""),5)="Refer",LEFT(IFERROR(INDEX('Usage and Coverage'!$E$6:$E$20,MATCH($N155,'Usage and Coverage'!$C$6:$C$20,0)),""),5)="Refer"),"REFER","AUTO-BIND"))))</f>
        <v/>
      </c>
      <c r="CY155" s="106" t="str">
        <f t="shared" si="37"/>
        <v/>
      </c>
      <c r="CZ155" s="97" t="str">
        <f>IF($CY155="","",IF($CY155&lt;'Technical Premium'!$C$19,"BEYOND AUTHORITY",IF($CY155&gt;0.005,"Above technical",IF($CY155&lt;-0.005,"BELOW technical","At technical"))))</f>
        <v/>
      </c>
      <c r="DA155" s="97" t="str">
        <f>IF($A155="","",IF($CX155="AUTO-BIND","",TRIM(IF($J155&lt;'Technical Premium'!$C$18,"Below programme minimum agreed value. ","")&amp;IF(N($AQ155)&lt;'Technical Premium'!$C$19,"DISCOUNT AUTHORITY BREACH. ","")&amp;IF(N($AQ155)&gt;'Technical Premium'!$C$20,"Load authority breach. ","")&amp;IF($J155&gt;='Technical Premium'!$C$16,"Agreed value at or above auto-bind limit. ","")&amp;IF(AND(ISNUMBER($CD155),$CD155&gt;='Technical Premium'!$C$17),"Composite factor at cap. ","")&amp;IF(AND(ISNUMBER($CD155),$CD155&gt;2.5),"Composite factor above 2.50. ","")&amp;IF(LEFT(IFERROR(INDEX('Driver Factors'!$D$6:$D$15,MATCH($R155,'Driver Factors'!$B$6:$B$15,0)),""),7)="DECLINE","DECLINE - driver age. ",IF(LEFT(IFERROR(INDEX('Driver Factors'!$D$6:$D$15,MATCH($R155,'Driver Factors'!$B$6:$B$15,0)),""),5)="Refer","Driver age band. ",""))&amp;IF(LEFT(IFERROR(INDEX('Driver Factors'!$D$28:$D$36,MATCH($T155,'Driver Factors'!$B$28:$B$36,0)),""),7)="DECLINE","DECLINE - MVR. ",IF(LEFT(IFERROR(INDEX('Driver Factors'!$D$28:$D$36,MATCH($T155,'Driver Factors'!$B$28:$B$36,0)),""),5)="Refer","MVR record. ",""))&amp;IF(LEFT(IFERROR(INDEX('Claims History'!$D$6:$D$15,MATCH($U155,'Claims History'!$B$6:$B$15,0)),""),7)="DECLINE","DECLINE - claims. ",IF(LEFT(IFERROR(INDEX('Claims History'!$D$6:$D$15,MATCH($U155,'Claims History'!$B$6:$B$15,0)),""),5)="Refer","Claims history. ",""))&amp;IF(LEFT(IFERROR(INDEX('Usage and Coverage'!$E$6:$E$20,MATCH($N155,'Usage and Coverage'!$C$6:$C$20,0)),""),7)="DECLINE","DECLINE - usage class. ",IF(LEFT(IFERROR(INDEX('Usage and Coverage'!$E$6:$E$20,MATCH($N155,'Usage and Coverage'!$C$6:$C$20,0)),""),5)="Refer","Usage class. ",""))&amp;IF($CX155="CHECK INPUTS","Incomplete inputs. ",""))))</f>
        <v/>
      </c>
      <c r="DB155" s="92"/>
      <c r="DC155" s="92"/>
      <c r="DD155" s="93"/>
      <c r="DE155" s="92"/>
      <c r="DF155" s="92"/>
      <c r="DG155" s="97" t="str">
        <f t="shared" si="38"/>
        <v/>
      </c>
      <c r="DH155" s="97" t="str">
        <f>IF($A155="","",IF(OR($CX155="REFER",$CX155="DECLINE"),COUNTIF($CX$5:$CX155,"REFER")+COUNTIF($CX$5:$CX155,"DECLINE"),""))</f>
        <v/>
      </c>
      <c r="DI155" s="92"/>
    </row>
    <row r="156" spans="1:113" x14ac:dyDescent="0.25">
      <c r="A156" s="92"/>
      <c r="B156" s="92"/>
      <c r="C156" s="93"/>
      <c r="D156" s="93"/>
      <c r="E156" s="94"/>
      <c r="F156" s="92"/>
      <c r="G156" s="92"/>
      <c r="H156" s="92"/>
      <c r="I156" s="92"/>
      <c r="J156" s="95"/>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6"/>
      <c r="AR156" s="97" t="str">
        <f t="shared" si="26"/>
        <v/>
      </c>
      <c r="AS156" s="97" t="str">
        <f>IF($A156="","",IF($AP156&lt;&gt;"",$AP156,IFERROR(INDEX('Cat Zone by ZIP'!$D$6:$D$856,MATCH($AR156,'Cat Zone by ZIP'!$B$6:$B$856,0)),IFERROR(INDEX('Cat Zone by ZIP'!$C$860:$C$910,MATCH($K156,'Cat Zone by ZIP'!$B$860:$B$910,0)),"NOT FOUND"))))</f>
        <v/>
      </c>
      <c r="AT156" s="97" t="str">
        <f>IF($A156="","",IF($AP156&lt;&gt;"","Override",IF(ISNUMBER(MATCH($AR156,'Cat Zone by ZIP'!$B$6:$B$856,0)),"ZIP-3","State default")))</f>
        <v/>
      </c>
      <c r="AU156" s="98" t="str">
        <f>IF($A156="","",IFERROR(INDEX('Natural Catastrophe'!$D$6:$D$17,MATCH($AS156,'Natural Catastrophe'!$B$6:$B$17,0)),"?"))</f>
        <v/>
      </c>
      <c r="AV156" s="98" t="str">
        <f>IF($A156="","",IFERROR(INDEX('Natural Catastrophe'!$C$21:$C$26,MATCH($AA156,'Natural Catastrophe'!$B$21:$B$26,0)),"?"))</f>
        <v/>
      </c>
      <c r="AW156" s="97" t="str">
        <f>IF($A156="","",IFERROR(INDEX('Base Rates'!$C$4:$I$4,MATCH(MAX($J156,'Technical Premium'!$C$18),'Base Rates'!$C$3:$I$3,1)),"?"))</f>
        <v/>
      </c>
      <c r="AX156" s="99" t="str">
        <f>IF($A156="","",IFERROR(INDEX('Base Rates'!$C$5:$I$16,MATCH($I156,'Base Rates'!$B$5:$B$16,0),MATCH(MAX($J156,'Technical Premium'!$C$18),'Base Rates'!$C$3:$I$3,1)),"?"))</f>
        <v/>
      </c>
      <c r="AY156" s="100" t="str">
        <f t="shared" si="27"/>
        <v/>
      </c>
      <c r="AZ156" s="97" t="str">
        <f>IF($A156="","",IFERROR(INDEX('Make Factors'!$G$5:$G$69,MATCH($F156,'Make Factors'!$B$5:$B$69,0)),"?"))</f>
        <v/>
      </c>
      <c r="BA156" s="97" t="str">
        <f>IF($A156="","",IFERROR(INDEX('Driver Factors'!$C$6:$C$15,MATCH($R156,'Driver Factors'!$B$6:$B$15,0)),"?"))</f>
        <v/>
      </c>
      <c r="BB156" s="97" t="str">
        <f>IF($A156="","",IFERROR(INDEX('Driver Factors'!$C$19:$C$24,MATCH($S156,'Driver Factors'!$B$19:$B$24,0)),"?"))</f>
        <v/>
      </c>
      <c r="BC156" s="97" t="str">
        <f>IF($A156="","",IFERROR(INDEX('Driver Factors'!$C$28:$C$36,MATCH($T156,'Driver Factors'!$B$28:$B$36,0)),"?"))</f>
        <v/>
      </c>
      <c r="BD156" s="97" t="str">
        <f>IF($A156="","",IFERROR(INDEX('Claims History'!$C$6:$C$15,MATCH($U156,'Claims History'!$B$6:$B$15,0)),"?"))</f>
        <v/>
      </c>
      <c r="BE156" s="97" t="str">
        <f>IF($A156="","",IFERROR(INDEX('Territory Factors'!$E$6:$E$56,MATCH($K156,'Territory Factors'!$B$6:$B$56,0)),"?"))</f>
        <v/>
      </c>
      <c r="BF156" s="97" t="str">
        <f>IF($A156="","",IFERROR(INDEX('City Accident Ratings'!$G$6:$G$54,MATCH($Z156,'City Accident Ratings'!$B$6:$B$54,0)),"?"))</f>
        <v/>
      </c>
      <c r="BG156" s="97" t="str">
        <f>IF($A156="","",IFERROR(INDEX('Usage and Coverage'!$D$6:$D$20,MATCH($N156,'Usage and Coverage'!$C$6:$C$20,0)),"?"))</f>
        <v/>
      </c>
      <c r="BH156" s="97" t="str">
        <f>IF($A156="","",IFERROR(INDEX('Usage and Coverage'!$C$24:$C$30,MATCH($O156,'Usage and Coverage'!$B$24:$B$30,0)),"?"))</f>
        <v/>
      </c>
      <c r="BI156" s="97" t="str">
        <f>IF($A156="","",IFERROR(INDEX('Usage and Coverage'!$C$34:$C$40,MATCH($P156,'Usage and Coverage'!$B$34:$B$40,0)),"?"))</f>
        <v/>
      </c>
      <c r="BJ156" s="97" t="str">
        <f>IF($A156="","",IFERROR(INDEX('Usage and Coverage'!$C$44:$C$49,MATCH($Q156,'Usage and Coverage'!$B$44:$B$49,0)),"?"))</f>
        <v/>
      </c>
      <c r="BK156" s="97" t="str">
        <f>IF($A156="","",IFERROR(INDEX(Deductibles!$C$6:$I$15,MATCH($W156,Deductibles!$B$6:$B$15,0),MATCH(MAX($J156,'Technical Premium'!$C$18),'Base Rates'!$C$3:$I$3,1)),"?"))</f>
        <v/>
      </c>
      <c r="BL156" s="97" t="str">
        <f>IF($A156="","",IFERROR(INDEX('Usage and Coverage'!$C$63:$C$66,MATCH($X156,'Usage and Coverage'!$B$63:$B$66,0)),"?"))</f>
        <v/>
      </c>
      <c r="BM156" s="97" t="str">
        <f>IF($A156="","",IFERROR(INDEX('Usage and Coverage'!$C$70:$C$75,MATCH($V156,'Usage and Coverage'!$B$70:$B$75,0)),"?"))</f>
        <v/>
      </c>
      <c r="BN156" s="97" t="str">
        <f>IF($A156="","",IF($AB156="",1,IFERROR(INDEX(Deductibles!$C$48:$C$51,MATCH($AB156,Deductibles!$B$48:$B$51,0)),"?")))</f>
        <v/>
      </c>
      <c r="BO156" s="97" t="str">
        <f>IF($A156="","",IF($AC156="",1,IFERROR(INDEX(Deductibles!$C$55:$C$57,MATCH($AC156,Deductibles!$B$55:$B$57,0)),"?")))</f>
        <v/>
      </c>
      <c r="BP156" s="97" t="str">
        <f>IF($A156="","",IF($AD156="",1,IFERROR(INDEX(Deductibles!$C$61:$C$63,MATCH($AD156,Deductibles!$B$61:$B$63,0)),"?")))</f>
        <v/>
      </c>
      <c r="BQ156" s="97" t="str">
        <f>IF($A156="","",IF($AE156="",1,IFERROR(INDEX(Deductibles!$C$67:$C$69,MATCH($AE156,Deductibles!$B$67:$B$69,0)),"?")))</f>
        <v/>
      </c>
      <c r="BR156" s="97" t="str">
        <f>IF($A156="","",IF($AF156="",1,IFERROR(INDEX(Deductibles!$C$73:$C$74,MATCH($AF156,Deductibles!$B$73:$B$74,0)),"?")))</f>
        <v/>
      </c>
      <c r="BS156" s="97" t="str">
        <f>IF($A156="","",IF($AG156="",1,IFERROR(INDEX('Sublimits and Parts'!$C$49:$C$52,MATCH($AG156,'Sublimits and Parts'!$B$49:$B$52,0)),"?")))</f>
        <v/>
      </c>
      <c r="BT156" s="97" t="str">
        <f>IF($A156="","",IF($AH156="",1,IFERROR(INDEX('Sublimits and Parts'!$C$56:$C$60,MATCH($AH156,'Sublimits and Parts'!$B$56:$B$60,0)),"?")))</f>
        <v/>
      </c>
      <c r="BU156" s="97" t="str">
        <f>IF($A156="","",IF($AI156="",1,IFERROR(INDEX('Sublimits and Parts'!$C$64:$C$67,MATCH($AI156,'Sublimits and Parts'!$B$64:$B$67,0)),"?")))</f>
        <v/>
      </c>
      <c r="BV156" s="97" t="str">
        <f>IF($A156="","",IF($AJ156="",1,IFERROR(INDEX('Sublimits and Parts'!$C$71:$C$74,MATCH($AJ156,'Sublimits and Parts'!$B$71:$B$74,0)),"?")))</f>
        <v/>
      </c>
      <c r="BW156" s="97" t="str">
        <f>IF($A156="","",IF($AK156="",1,IFERROR(INDEX('Sublimits and Parts'!$C$78:$C$80,MATCH($AK156,'Sublimits and Parts'!$B$78:$B$80,0)),"?")))</f>
        <v/>
      </c>
      <c r="BX156" s="97" t="str">
        <f>IF($A156="","",IF($AL156="",1,IFERROR(INDEX('Sublimits and Parts'!$C$84:$C$87,MATCH($AL156,'Sublimits and Parts'!$B$84:$B$87,0)),"?")))</f>
        <v/>
      </c>
      <c r="BY156" s="97" t="str">
        <f>IF($A156="","",IF($AM156="",1,IFERROR(INDEX('Sublimits and Parts'!$C$91:$C$94,MATCH($AM156,'Sublimits and Parts'!$B$91:$B$94,0)),"?")))</f>
        <v/>
      </c>
      <c r="BZ156" s="97" t="str">
        <f>IF($A156="","",IF($AN156="",1,IFERROR(INDEX('Sublimits and Parts'!$C$98:$C$101,MATCH($AN156,'Sublimits and Parts'!$B$98:$B$101,0)),"?")))</f>
        <v/>
      </c>
      <c r="CA156" s="97" t="str">
        <f>IF($A156="","",IF($AO156="",1,IFERROR(INDEX('Sublimits and Parts'!$C$105:$C$109,MATCH($AO156,'Sublimits and Parts'!$B$105:$B$109,0)),"?")))</f>
        <v/>
      </c>
      <c r="CB156" s="98" t="str">
        <f t="shared" si="28"/>
        <v/>
      </c>
      <c r="CC156" s="98" t="str">
        <f t="shared" si="29"/>
        <v/>
      </c>
      <c r="CD156" s="101" t="str">
        <f>IF($A156="","",IF(OR($CB156="?",$CC156="?"),"?",MIN($CB156*$CC156,'Technical Premium'!$C$17)))</f>
        <v/>
      </c>
      <c r="CE156" s="100" t="str">
        <f t="shared" si="30"/>
        <v/>
      </c>
      <c r="CF156" s="100" t="str">
        <f>IF($A156="","",IFERROR(INDEX('Territory Factors'!$F$6:$F$56,MATCH($K156,'Territory Factors'!$B$6:$B$56,0)),"?"))</f>
        <v/>
      </c>
      <c r="CG156" s="98" t="str">
        <f>IF($A156="","",IFERROR(INDEX('Usage and Coverage'!$C$79:$C$84,MATCH($Y156,'Usage and Coverage'!$B$79:$B$84,0)),"?"))</f>
        <v/>
      </c>
      <c r="CH156" s="100" t="str">
        <f>IFERROR(IF(ISNUMBER($CD156),$CF156*$CG156*MIN($BG156*$BA156*$BC156*$BD156*$BH156*$BF156,'Technical Premium'!$C$17),""),"")</f>
        <v/>
      </c>
      <c r="CI156" s="100" t="str">
        <f t="shared" si="31"/>
        <v/>
      </c>
      <c r="CJ156" s="100" t="str">
        <f>IFERROR($CI156*(1+'Technical Premium'!$C$5)*(1+'Technical Premium'!$C$6),"")</f>
        <v/>
      </c>
      <c r="CK156" s="100" t="str">
        <f>IFERROR($CE156*INDEX('Territory Factors'!$G$6:$G$56,MATCH($K156,'Territory Factors'!$B$6:$B$56,0))*$AU156*$AV156,"")</f>
        <v/>
      </c>
      <c r="CL156" s="100" t="str">
        <f>IFERROR(($CJ156+$CK156)*(1+'Technical Premium'!$C$7),"")</f>
        <v/>
      </c>
      <c r="CM156" s="102" t="str">
        <f>IFERROR($CL156/'Technical Premium'!$C$13,"")</f>
        <v/>
      </c>
      <c r="CN156" s="103" t="str">
        <f t="shared" si="32"/>
        <v/>
      </c>
      <c r="CO156" s="102" t="str">
        <f t="shared" si="33"/>
        <v/>
      </c>
      <c r="CP156" s="103" t="str">
        <f t="shared" si="34"/>
        <v/>
      </c>
      <c r="CQ156" s="104" t="str">
        <f t="shared" si="35"/>
        <v/>
      </c>
      <c r="CR156" s="100" t="str">
        <f>IF(ISNUMBER($CM156),'Technical Premium'!$C$14+IF($J156&gt;=1000000,'Technical Premium'!$C$15,0),"")</f>
        <v/>
      </c>
      <c r="CS156" s="100" t="str">
        <f>IFERROR(($CO156+$CR156)*(INDEX('Territory Factors'!$K$6:$K$56,MATCH($K156,'Territory Factors'!$B$6:$B$56,0))+'Commission Structure'!$C$21),"")</f>
        <v/>
      </c>
      <c r="CT156" s="102" t="str">
        <f t="shared" si="36"/>
        <v/>
      </c>
      <c r="CU156" s="100" t="str">
        <f>IFERROR($CO156*('Commission Structure'!$C$6+'Commission Structure'!$C$7),"")</f>
        <v/>
      </c>
      <c r="CV156" s="100" t="str">
        <f>IFERROR($CO156*'Commission Structure'!$C$5-$CU156,"")</f>
        <v/>
      </c>
      <c r="CW156" s="100" t="str">
        <f>IFERROR($CO156*(1-'Commission Structure'!$C$5),"")</f>
        <v/>
      </c>
      <c r="CX156" s="105" t="str">
        <f>IF($A156="","",IF(OR($CB156="?",$CC156="?",NOT(ISNUMBER($AU156))),"CHECK INPUTS",IF(OR($J156&lt;'Technical Premium'!$C$18,LEFT(IFERROR(INDEX('Driver Factors'!$D$6:$D$15,MATCH($R156,'Driver Factors'!$B$6:$B$15,0)),""),7)="DECLINE",LEFT(IFERROR(INDEX('Driver Factors'!$D$28:$D$36,MATCH($T156,'Driver Factors'!$B$28:$B$36,0)),""),7)="DECLINE",LEFT(IFERROR(INDEX('Claims History'!$D$6:$D$15,MATCH($U156,'Claims History'!$B$6:$B$15,0)),""),7)="DECLINE",LEFT(IFERROR(INDEX('Usage and Coverage'!$E$6:$E$20,MATCH($N156,'Usage and Coverage'!$C$6:$C$20,0)),""),7)="DECLINE"),"DECLINE",IF(OR($CD156&gt;2.5,$CD156&gt;='Technical Premium'!$C$17,$J156&gt;='Technical Premium'!$C$16,N($AQ156)&lt;'Technical Premium'!$C$19,N($AQ156)&gt;'Technical Premium'!$C$20,LEFT(IFERROR(INDEX('Driver Factors'!$D$6:$D$15,MATCH($R156,'Driver Factors'!$B$6:$B$15,0)),""),5)="Refer",LEFT(IFERROR(INDEX('Driver Factors'!$D$28:$D$36,MATCH($T156,'Driver Factors'!$B$28:$B$36,0)),""),5)="Refer",LEFT(IFERROR(INDEX('Claims History'!$D$6:$D$15,MATCH($U156,'Claims History'!$B$6:$B$15,0)),""),5)="Refer",LEFT(IFERROR(INDEX('Usage and Coverage'!$E$6:$E$20,MATCH($N156,'Usage and Coverage'!$C$6:$C$20,0)),""),5)="Refer"),"REFER","AUTO-BIND"))))</f>
        <v/>
      </c>
      <c r="CY156" s="106" t="str">
        <f t="shared" si="37"/>
        <v/>
      </c>
      <c r="CZ156" s="97" t="str">
        <f>IF($CY156="","",IF($CY156&lt;'Technical Premium'!$C$19,"BEYOND AUTHORITY",IF($CY156&gt;0.005,"Above technical",IF($CY156&lt;-0.005,"BELOW technical","At technical"))))</f>
        <v/>
      </c>
      <c r="DA156" s="97" t="str">
        <f>IF($A156="","",IF($CX156="AUTO-BIND","",TRIM(IF($J156&lt;'Technical Premium'!$C$18,"Below programme minimum agreed value. ","")&amp;IF(N($AQ156)&lt;'Technical Premium'!$C$19,"DISCOUNT AUTHORITY BREACH. ","")&amp;IF(N($AQ156)&gt;'Technical Premium'!$C$20,"Load authority breach. ","")&amp;IF($J156&gt;='Technical Premium'!$C$16,"Agreed value at or above auto-bind limit. ","")&amp;IF(AND(ISNUMBER($CD156),$CD156&gt;='Technical Premium'!$C$17),"Composite factor at cap. ","")&amp;IF(AND(ISNUMBER($CD156),$CD156&gt;2.5),"Composite factor above 2.50. ","")&amp;IF(LEFT(IFERROR(INDEX('Driver Factors'!$D$6:$D$15,MATCH($R156,'Driver Factors'!$B$6:$B$15,0)),""),7)="DECLINE","DECLINE - driver age. ",IF(LEFT(IFERROR(INDEX('Driver Factors'!$D$6:$D$15,MATCH($R156,'Driver Factors'!$B$6:$B$15,0)),""),5)="Refer","Driver age band. ",""))&amp;IF(LEFT(IFERROR(INDEX('Driver Factors'!$D$28:$D$36,MATCH($T156,'Driver Factors'!$B$28:$B$36,0)),""),7)="DECLINE","DECLINE - MVR. ",IF(LEFT(IFERROR(INDEX('Driver Factors'!$D$28:$D$36,MATCH($T156,'Driver Factors'!$B$28:$B$36,0)),""),5)="Refer","MVR record. ",""))&amp;IF(LEFT(IFERROR(INDEX('Claims History'!$D$6:$D$15,MATCH($U156,'Claims History'!$B$6:$B$15,0)),""),7)="DECLINE","DECLINE - claims. ",IF(LEFT(IFERROR(INDEX('Claims History'!$D$6:$D$15,MATCH($U156,'Claims History'!$B$6:$B$15,0)),""),5)="Refer","Claims history. ",""))&amp;IF(LEFT(IFERROR(INDEX('Usage and Coverage'!$E$6:$E$20,MATCH($N156,'Usage and Coverage'!$C$6:$C$20,0)),""),7)="DECLINE","DECLINE - usage class. ",IF(LEFT(IFERROR(INDEX('Usage and Coverage'!$E$6:$E$20,MATCH($N156,'Usage and Coverage'!$C$6:$C$20,0)),""),5)="Refer","Usage class. ",""))&amp;IF($CX156="CHECK INPUTS","Incomplete inputs. ",""))))</f>
        <v/>
      </c>
      <c r="DB156" s="92"/>
      <c r="DC156" s="92"/>
      <c r="DD156" s="93"/>
      <c r="DE156" s="92"/>
      <c r="DF156" s="92"/>
      <c r="DG156" s="97" t="str">
        <f t="shared" si="38"/>
        <v/>
      </c>
      <c r="DH156" s="97" t="str">
        <f>IF($A156="","",IF(OR($CX156="REFER",$CX156="DECLINE"),COUNTIF($CX$5:$CX156,"REFER")+COUNTIF($CX$5:$CX156,"DECLINE"),""))</f>
        <v/>
      </c>
      <c r="DI156" s="92"/>
    </row>
    <row r="157" spans="1:113" x14ac:dyDescent="0.25">
      <c r="A157" s="92"/>
      <c r="B157" s="92"/>
      <c r="C157" s="93"/>
      <c r="D157" s="93"/>
      <c r="E157" s="94"/>
      <c r="F157" s="92"/>
      <c r="G157" s="92"/>
      <c r="H157" s="92"/>
      <c r="I157" s="92"/>
      <c r="J157" s="95"/>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6"/>
      <c r="AR157" s="97" t="str">
        <f t="shared" si="26"/>
        <v/>
      </c>
      <c r="AS157" s="97" t="str">
        <f>IF($A157="","",IF($AP157&lt;&gt;"",$AP157,IFERROR(INDEX('Cat Zone by ZIP'!$D$6:$D$856,MATCH($AR157,'Cat Zone by ZIP'!$B$6:$B$856,0)),IFERROR(INDEX('Cat Zone by ZIP'!$C$860:$C$910,MATCH($K157,'Cat Zone by ZIP'!$B$860:$B$910,0)),"NOT FOUND"))))</f>
        <v/>
      </c>
      <c r="AT157" s="97" t="str">
        <f>IF($A157="","",IF($AP157&lt;&gt;"","Override",IF(ISNUMBER(MATCH($AR157,'Cat Zone by ZIP'!$B$6:$B$856,0)),"ZIP-3","State default")))</f>
        <v/>
      </c>
      <c r="AU157" s="98" t="str">
        <f>IF($A157="","",IFERROR(INDEX('Natural Catastrophe'!$D$6:$D$17,MATCH($AS157,'Natural Catastrophe'!$B$6:$B$17,0)),"?"))</f>
        <v/>
      </c>
      <c r="AV157" s="98" t="str">
        <f>IF($A157="","",IFERROR(INDEX('Natural Catastrophe'!$C$21:$C$26,MATCH($AA157,'Natural Catastrophe'!$B$21:$B$26,0)),"?"))</f>
        <v/>
      </c>
      <c r="AW157" s="97" t="str">
        <f>IF($A157="","",IFERROR(INDEX('Base Rates'!$C$4:$I$4,MATCH(MAX($J157,'Technical Premium'!$C$18),'Base Rates'!$C$3:$I$3,1)),"?"))</f>
        <v/>
      </c>
      <c r="AX157" s="99" t="str">
        <f>IF($A157="","",IFERROR(INDEX('Base Rates'!$C$5:$I$16,MATCH($I157,'Base Rates'!$B$5:$B$16,0),MATCH(MAX($J157,'Technical Premium'!$C$18),'Base Rates'!$C$3:$I$3,1)),"?"))</f>
        <v/>
      </c>
      <c r="AY157" s="100" t="str">
        <f t="shared" si="27"/>
        <v/>
      </c>
      <c r="AZ157" s="97" t="str">
        <f>IF($A157="","",IFERROR(INDEX('Make Factors'!$G$5:$G$69,MATCH($F157,'Make Factors'!$B$5:$B$69,0)),"?"))</f>
        <v/>
      </c>
      <c r="BA157" s="97" t="str">
        <f>IF($A157="","",IFERROR(INDEX('Driver Factors'!$C$6:$C$15,MATCH($R157,'Driver Factors'!$B$6:$B$15,0)),"?"))</f>
        <v/>
      </c>
      <c r="BB157" s="97" t="str">
        <f>IF($A157="","",IFERROR(INDEX('Driver Factors'!$C$19:$C$24,MATCH($S157,'Driver Factors'!$B$19:$B$24,0)),"?"))</f>
        <v/>
      </c>
      <c r="BC157" s="97" t="str">
        <f>IF($A157="","",IFERROR(INDEX('Driver Factors'!$C$28:$C$36,MATCH($T157,'Driver Factors'!$B$28:$B$36,0)),"?"))</f>
        <v/>
      </c>
      <c r="BD157" s="97" t="str">
        <f>IF($A157="","",IFERROR(INDEX('Claims History'!$C$6:$C$15,MATCH($U157,'Claims History'!$B$6:$B$15,0)),"?"))</f>
        <v/>
      </c>
      <c r="BE157" s="97" t="str">
        <f>IF($A157="","",IFERROR(INDEX('Territory Factors'!$E$6:$E$56,MATCH($K157,'Territory Factors'!$B$6:$B$56,0)),"?"))</f>
        <v/>
      </c>
      <c r="BF157" s="97" t="str">
        <f>IF($A157="","",IFERROR(INDEX('City Accident Ratings'!$G$6:$G$54,MATCH($Z157,'City Accident Ratings'!$B$6:$B$54,0)),"?"))</f>
        <v/>
      </c>
      <c r="BG157" s="97" t="str">
        <f>IF($A157="","",IFERROR(INDEX('Usage and Coverage'!$D$6:$D$20,MATCH($N157,'Usage and Coverage'!$C$6:$C$20,0)),"?"))</f>
        <v/>
      </c>
      <c r="BH157" s="97" t="str">
        <f>IF($A157="","",IFERROR(INDEX('Usage and Coverage'!$C$24:$C$30,MATCH($O157,'Usage and Coverage'!$B$24:$B$30,0)),"?"))</f>
        <v/>
      </c>
      <c r="BI157" s="97" t="str">
        <f>IF($A157="","",IFERROR(INDEX('Usage and Coverage'!$C$34:$C$40,MATCH($P157,'Usage and Coverage'!$B$34:$B$40,0)),"?"))</f>
        <v/>
      </c>
      <c r="BJ157" s="97" t="str">
        <f>IF($A157="","",IFERROR(INDEX('Usage and Coverage'!$C$44:$C$49,MATCH($Q157,'Usage and Coverage'!$B$44:$B$49,0)),"?"))</f>
        <v/>
      </c>
      <c r="BK157" s="97" t="str">
        <f>IF($A157="","",IFERROR(INDEX(Deductibles!$C$6:$I$15,MATCH($W157,Deductibles!$B$6:$B$15,0),MATCH(MAX($J157,'Technical Premium'!$C$18),'Base Rates'!$C$3:$I$3,1)),"?"))</f>
        <v/>
      </c>
      <c r="BL157" s="97" t="str">
        <f>IF($A157="","",IFERROR(INDEX('Usage and Coverage'!$C$63:$C$66,MATCH($X157,'Usage and Coverage'!$B$63:$B$66,0)),"?"))</f>
        <v/>
      </c>
      <c r="BM157" s="97" t="str">
        <f>IF($A157="","",IFERROR(INDEX('Usage and Coverage'!$C$70:$C$75,MATCH($V157,'Usage and Coverage'!$B$70:$B$75,0)),"?"))</f>
        <v/>
      </c>
      <c r="BN157" s="97" t="str">
        <f>IF($A157="","",IF($AB157="",1,IFERROR(INDEX(Deductibles!$C$48:$C$51,MATCH($AB157,Deductibles!$B$48:$B$51,0)),"?")))</f>
        <v/>
      </c>
      <c r="BO157" s="97" t="str">
        <f>IF($A157="","",IF($AC157="",1,IFERROR(INDEX(Deductibles!$C$55:$C$57,MATCH($AC157,Deductibles!$B$55:$B$57,0)),"?")))</f>
        <v/>
      </c>
      <c r="BP157" s="97" t="str">
        <f>IF($A157="","",IF($AD157="",1,IFERROR(INDEX(Deductibles!$C$61:$C$63,MATCH($AD157,Deductibles!$B$61:$B$63,0)),"?")))</f>
        <v/>
      </c>
      <c r="BQ157" s="97" t="str">
        <f>IF($A157="","",IF($AE157="",1,IFERROR(INDEX(Deductibles!$C$67:$C$69,MATCH($AE157,Deductibles!$B$67:$B$69,0)),"?")))</f>
        <v/>
      </c>
      <c r="BR157" s="97" t="str">
        <f>IF($A157="","",IF($AF157="",1,IFERROR(INDEX(Deductibles!$C$73:$C$74,MATCH($AF157,Deductibles!$B$73:$B$74,0)),"?")))</f>
        <v/>
      </c>
      <c r="BS157" s="97" t="str">
        <f>IF($A157="","",IF($AG157="",1,IFERROR(INDEX('Sublimits and Parts'!$C$49:$C$52,MATCH($AG157,'Sublimits and Parts'!$B$49:$B$52,0)),"?")))</f>
        <v/>
      </c>
      <c r="BT157" s="97" t="str">
        <f>IF($A157="","",IF($AH157="",1,IFERROR(INDEX('Sublimits and Parts'!$C$56:$C$60,MATCH($AH157,'Sublimits and Parts'!$B$56:$B$60,0)),"?")))</f>
        <v/>
      </c>
      <c r="BU157" s="97" t="str">
        <f>IF($A157="","",IF($AI157="",1,IFERROR(INDEX('Sublimits and Parts'!$C$64:$C$67,MATCH($AI157,'Sublimits and Parts'!$B$64:$B$67,0)),"?")))</f>
        <v/>
      </c>
      <c r="BV157" s="97" t="str">
        <f>IF($A157="","",IF($AJ157="",1,IFERROR(INDEX('Sublimits and Parts'!$C$71:$C$74,MATCH($AJ157,'Sublimits and Parts'!$B$71:$B$74,0)),"?")))</f>
        <v/>
      </c>
      <c r="BW157" s="97" t="str">
        <f>IF($A157="","",IF($AK157="",1,IFERROR(INDEX('Sublimits and Parts'!$C$78:$C$80,MATCH($AK157,'Sublimits and Parts'!$B$78:$B$80,0)),"?")))</f>
        <v/>
      </c>
      <c r="BX157" s="97" t="str">
        <f>IF($A157="","",IF($AL157="",1,IFERROR(INDEX('Sublimits and Parts'!$C$84:$C$87,MATCH($AL157,'Sublimits and Parts'!$B$84:$B$87,0)),"?")))</f>
        <v/>
      </c>
      <c r="BY157" s="97" t="str">
        <f>IF($A157="","",IF($AM157="",1,IFERROR(INDEX('Sublimits and Parts'!$C$91:$C$94,MATCH($AM157,'Sublimits and Parts'!$B$91:$B$94,0)),"?")))</f>
        <v/>
      </c>
      <c r="BZ157" s="97" t="str">
        <f>IF($A157="","",IF($AN157="",1,IFERROR(INDEX('Sublimits and Parts'!$C$98:$C$101,MATCH($AN157,'Sublimits and Parts'!$B$98:$B$101,0)),"?")))</f>
        <v/>
      </c>
      <c r="CA157" s="97" t="str">
        <f>IF($A157="","",IF($AO157="",1,IFERROR(INDEX('Sublimits and Parts'!$C$105:$C$109,MATCH($AO157,'Sublimits and Parts'!$B$105:$B$109,0)),"?")))</f>
        <v/>
      </c>
      <c r="CB157" s="98" t="str">
        <f t="shared" si="28"/>
        <v/>
      </c>
      <c r="CC157" s="98" t="str">
        <f t="shared" si="29"/>
        <v/>
      </c>
      <c r="CD157" s="101" t="str">
        <f>IF($A157="","",IF(OR($CB157="?",$CC157="?"),"?",MIN($CB157*$CC157,'Technical Premium'!$C$17)))</f>
        <v/>
      </c>
      <c r="CE157" s="100" t="str">
        <f t="shared" si="30"/>
        <v/>
      </c>
      <c r="CF157" s="100" t="str">
        <f>IF($A157="","",IFERROR(INDEX('Territory Factors'!$F$6:$F$56,MATCH($K157,'Territory Factors'!$B$6:$B$56,0)),"?"))</f>
        <v/>
      </c>
      <c r="CG157" s="98" t="str">
        <f>IF($A157="","",IFERROR(INDEX('Usage and Coverage'!$C$79:$C$84,MATCH($Y157,'Usage and Coverage'!$B$79:$B$84,0)),"?"))</f>
        <v/>
      </c>
      <c r="CH157" s="100" t="str">
        <f>IFERROR(IF(ISNUMBER($CD157),$CF157*$CG157*MIN($BG157*$BA157*$BC157*$BD157*$BH157*$BF157,'Technical Premium'!$C$17),""),"")</f>
        <v/>
      </c>
      <c r="CI157" s="100" t="str">
        <f t="shared" si="31"/>
        <v/>
      </c>
      <c r="CJ157" s="100" t="str">
        <f>IFERROR($CI157*(1+'Technical Premium'!$C$5)*(1+'Technical Premium'!$C$6),"")</f>
        <v/>
      </c>
      <c r="CK157" s="100" t="str">
        <f>IFERROR($CE157*INDEX('Territory Factors'!$G$6:$G$56,MATCH($K157,'Territory Factors'!$B$6:$B$56,0))*$AU157*$AV157,"")</f>
        <v/>
      </c>
      <c r="CL157" s="100" t="str">
        <f>IFERROR(($CJ157+$CK157)*(1+'Technical Premium'!$C$7),"")</f>
        <v/>
      </c>
      <c r="CM157" s="102" t="str">
        <f>IFERROR($CL157/'Technical Premium'!$C$13,"")</f>
        <v/>
      </c>
      <c r="CN157" s="103" t="str">
        <f t="shared" si="32"/>
        <v/>
      </c>
      <c r="CO157" s="102" t="str">
        <f t="shared" si="33"/>
        <v/>
      </c>
      <c r="CP157" s="103" t="str">
        <f t="shared" si="34"/>
        <v/>
      </c>
      <c r="CQ157" s="104" t="str">
        <f t="shared" si="35"/>
        <v/>
      </c>
      <c r="CR157" s="100" t="str">
        <f>IF(ISNUMBER($CM157),'Technical Premium'!$C$14+IF($J157&gt;=1000000,'Technical Premium'!$C$15,0),"")</f>
        <v/>
      </c>
      <c r="CS157" s="100" t="str">
        <f>IFERROR(($CO157+$CR157)*(INDEX('Territory Factors'!$K$6:$K$56,MATCH($K157,'Territory Factors'!$B$6:$B$56,0))+'Commission Structure'!$C$21),"")</f>
        <v/>
      </c>
      <c r="CT157" s="102" t="str">
        <f t="shared" si="36"/>
        <v/>
      </c>
      <c r="CU157" s="100" t="str">
        <f>IFERROR($CO157*('Commission Structure'!$C$6+'Commission Structure'!$C$7),"")</f>
        <v/>
      </c>
      <c r="CV157" s="100" t="str">
        <f>IFERROR($CO157*'Commission Structure'!$C$5-$CU157,"")</f>
        <v/>
      </c>
      <c r="CW157" s="100" t="str">
        <f>IFERROR($CO157*(1-'Commission Structure'!$C$5),"")</f>
        <v/>
      </c>
      <c r="CX157" s="105" t="str">
        <f>IF($A157="","",IF(OR($CB157="?",$CC157="?",NOT(ISNUMBER($AU157))),"CHECK INPUTS",IF(OR($J157&lt;'Technical Premium'!$C$18,LEFT(IFERROR(INDEX('Driver Factors'!$D$6:$D$15,MATCH($R157,'Driver Factors'!$B$6:$B$15,0)),""),7)="DECLINE",LEFT(IFERROR(INDEX('Driver Factors'!$D$28:$D$36,MATCH($T157,'Driver Factors'!$B$28:$B$36,0)),""),7)="DECLINE",LEFT(IFERROR(INDEX('Claims History'!$D$6:$D$15,MATCH($U157,'Claims History'!$B$6:$B$15,0)),""),7)="DECLINE",LEFT(IFERROR(INDEX('Usage and Coverage'!$E$6:$E$20,MATCH($N157,'Usage and Coverage'!$C$6:$C$20,0)),""),7)="DECLINE"),"DECLINE",IF(OR($CD157&gt;2.5,$CD157&gt;='Technical Premium'!$C$17,$J157&gt;='Technical Premium'!$C$16,N($AQ157)&lt;'Technical Premium'!$C$19,N($AQ157)&gt;'Technical Premium'!$C$20,LEFT(IFERROR(INDEX('Driver Factors'!$D$6:$D$15,MATCH($R157,'Driver Factors'!$B$6:$B$15,0)),""),5)="Refer",LEFT(IFERROR(INDEX('Driver Factors'!$D$28:$D$36,MATCH($T157,'Driver Factors'!$B$28:$B$36,0)),""),5)="Refer",LEFT(IFERROR(INDEX('Claims History'!$D$6:$D$15,MATCH($U157,'Claims History'!$B$6:$B$15,0)),""),5)="Refer",LEFT(IFERROR(INDEX('Usage and Coverage'!$E$6:$E$20,MATCH($N157,'Usage and Coverage'!$C$6:$C$20,0)),""),5)="Refer"),"REFER","AUTO-BIND"))))</f>
        <v/>
      </c>
      <c r="CY157" s="106" t="str">
        <f t="shared" si="37"/>
        <v/>
      </c>
      <c r="CZ157" s="97" t="str">
        <f>IF($CY157="","",IF($CY157&lt;'Technical Premium'!$C$19,"BEYOND AUTHORITY",IF($CY157&gt;0.005,"Above technical",IF($CY157&lt;-0.005,"BELOW technical","At technical"))))</f>
        <v/>
      </c>
      <c r="DA157" s="97" t="str">
        <f>IF($A157="","",IF($CX157="AUTO-BIND","",TRIM(IF($J157&lt;'Technical Premium'!$C$18,"Below programme minimum agreed value. ","")&amp;IF(N($AQ157)&lt;'Technical Premium'!$C$19,"DISCOUNT AUTHORITY BREACH. ","")&amp;IF(N($AQ157)&gt;'Technical Premium'!$C$20,"Load authority breach. ","")&amp;IF($J157&gt;='Technical Premium'!$C$16,"Agreed value at or above auto-bind limit. ","")&amp;IF(AND(ISNUMBER($CD157),$CD157&gt;='Technical Premium'!$C$17),"Composite factor at cap. ","")&amp;IF(AND(ISNUMBER($CD157),$CD157&gt;2.5),"Composite factor above 2.50. ","")&amp;IF(LEFT(IFERROR(INDEX('Driver Factors'!$D$6:$D$15,MATCH($R157,'Driver Factors'!$B$6:$B$15,0)),""),7)="DECLINE","DECLINE - driver age. ",IF(LEFT(IFERROR(INDEX('Driver Factors'!$D$6:$D$15,MATCH($R157,'Driver Factors'!$B$6:$B$15,0)),""),5)="Refer","Driver age band. ",""))&amp;IF(LEFT(IFERROR(INDEX('Driver Factors'!$D$28:$D$36,MATCH($T157,'Driver Factors'!$B$28:$B$36,0)),""),7)="DECLINE","DECLINE - MVR. ",IF(LEFT(IFERROR(INDEX('Driver Factors'!$D$28:$D$36,MATCH($T157,'Driver Factors'!$B$28:$B$36,0)),""),5)="Refer","MVR record. ",""))&amp;IF(LEFT(IFERROR(INDEX('Claims History'!$D$6:$D$15,MATCH($U157,'Claims History'!$B$6:$B$15,0)),""),7)="DECLINE","DECLINE - claims. ",IF(LEFT(IFERROR(INDEX('Claims History'!$D$6:$D$15,MATCH($U157,'Claims History'!$B$6:$B$15,0)),""),5)="Refer","Claims history. ",""))&amp;IF(LEFT(IFERROR(INDEX('Usage and Coverage'!$E$6:$E$20,MATCH($N157,'Usage and Coverage'!$C$6:$C$20,0)),""),7)="DECLINE","DECLINE - usage class. ",IF(LEFT(IFERROR(INDEX('Usage and Coverage'!$E$6:$E$20,MATCH($N157,'Usage and Coverage'!$C$6:$C$20,0)),""),5)="Refer","Usage class. ",""))&amp;IF($CX157="CHECK INPUTS","Incomplete inputs. ",""))))</f>
        <v/>
      </c>
      <c r="DB157" s="92"/>
      <c r="DC157" s="92"/>
      <c r="DD157" s="93"/>
      <c r="DE157" s="92"/>
      <c r="DF157" s="92"/>
      <c r="DG157" s="97" t="str">
        <f t="shared" si="38"/>
        <v/>
      </c>
      <c r="DH157" s="97" t="str">
        <f>IF($A157="","",IF(OR($CX157="REFER",$CX157="DECLINE"),COUNTIF($CX$5:$CX157,"REFER")+COUNTIF($CX$5:$CX157,"DECLINE"),""))</f>
        <v/>
      </c>
      <c r="DI157" s="92"/>
    </row>
    <row r="158" spans="1:113" x14ac:dyDescent="0.25">
      <c r="A158" s="92"/>
      <c r="B158" s="92"/>
      <c r="C158" s="93"/>
      <c r="D158" s="93"/>
      <c r="E158" s="94"/>
      <c r="F158" s="92"/>
      <c r="G158" s="92"/>
      <c r="H158" s="92"/>
      <c r="I158" s="92"/>
      <c r="J158" s="95"/>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6"/>
      <c r="AR158" s="97" t="str">
        <f t="shared" si="26"/>
        <v/>
      </c>
      <c r="AS158" s="97" t="str">
        <f>IF($A158="","",IF($AP158&lt;&gt;"",$AP158,IFERROR(INDEX('Cat Zone by ZIP'!$D$6:$D$856,MATCH($AR158,'Cat Zone by ZIP'!$B$6:$B$856,0)),IFERROR(INDEX('Cat Zone by ZIP'!$C$860:$C$910,MATCH($K158,'Cat Zone by ZIP'!$B$860:$B$910,0)),"NOT FOUND"))))</f>
        <v/>
      </c>
      <c r="AT158" s="97" t="str">
        <f>IF($A158="","",IF($AP158&lt;&gt;"","Override",IF(ISNUMBER(MATCH($AR158,'Cat Zone by ZIP'!$B$6:$B$856,0)),"ZIP-3","State default")))</f>
        <v/>
      </c>
      <c r="AU158" s="98" t="str">
        <f>IF($A158="","",IFERROR(INDEX('Natural Catastrophe'!$D$6:$D$17,MATCH($AS158,'Natural Catastrophe'!$B$6:$B$17,0)),"?"))</f>
        <v/>
      </c>
      <c r="AV158" s="98" t="str">
        <f>IF($A158="","",IFERROR(INDEX('Natural Catastrophe'!$C$21:$C$26,MATCH($AA158,'Natural Catastrophe'!$B$21:$B$26,0)),"?"))</f>
        <v/>
      </c>
      <c r="AW158" s="97" t="str">
        <f>IF($A158="","",IFERROR(INDEX('Base Rates'!$C$4:$I$4,MATCH(MAX($J158,'Technical Premium'!$C$18),'Base Rates'!$C$3:$I$3,1)),"?"))</f>
        <v/>
      </c>
      <c r="AX158" s="99" t="str">
        <f>IF($A158="","",IFERROR(INDEX('Base Rates'!$C$5:$I$16,MATCH($I158,'Base Rates'!$B$5:$B$16,0),MATCH(MAX($J158,'Technical Premium'!$C$18),'Base Rates'!$C$3:$I$3,1)),"?"))</f>
        <v/>
      </c>
      <c r="AY158" s="100" t="str">
        <f t="shared" si="27"/>
        <v/>
      </c>
      <c r="AZ158" s="97" t="str">
        <f>IF($A158="","",IFERROR(INDEX('Make Factors'!$G$5:$G$69,MATCH($F158,'Make Factors'!$B$5:$B$69,0)),"?"))</f>
        <v/>
      </c>
      <c r="BA158" s="97" t="str">
        <f>IF($A158="","",IFERROR(INDEX('Driver Factors'!$C$6:$C$15,MATCH($R158,'Driver Factors'!$B$6:$B$15,0)),"?"))</f>
        <v/>
      </c>
      <c r="BB158" s="97" t="str">
        <f>IF($A158="","",IFERROR(INDEX('Driver Factors'!$C$19:$C$24,MATCH($S158,'Driver Factors'!$B$19:$B$24,0)),"?"))</f>
        <v/>
      </c>
      <c r="BC158" s="97" t="str">
        <f>IF($A158="","",IFERROR(INDEX('Driver Factors'!$C$28:$C$36,MATCH($T158,'Driver Factors'!$B$28:$B$36,0)),"?"))</f>
        <v/>
      </c>
      <c r="BD158" s="97" t="str">
        <f>IF($A158="","",IFERROR(INDEX('Claims History'!$C$6:$C$15,MATCH($U158,'Claims History'!$B$6:$B$15,0)),"?"))</f>
        <v/>
      </c>
      <c r="BE158" s="97" t="str">
        <f>IF($A158="","",IFERROR(INDEX('Territory Factors'!$E$6:$E$56,MATCH($K158,'Territory Factors'!$B$6:$B$56,0)),"?"))</f>
        <v/>
      </c>
      <c r="BF158" s="97" t="str">
        <f>IF($A158="","",IFERROR(INDEX('City Accident Ratings'!$G$6:$G$54,MATCH($Z158,'City Accident Ratings'!$B$6:$B$54,0)),"?"))</f>
        <v/>
      </c>
      <c r="BG158" s="97" t="str">
        <f>IF($A158="","",IFERROR(INDEX('Usage and Coverage'!$D$6:$D$20,MATCH($N158,'Usage and Coverage'!$C$6:$C$20,0)),"?"))</f>
        <v/>
      </c>
      <c r="BH158" s="97" t="str">
        <f>IF($A158="","",IFERROR(INDEX('Usage and Coverage'!$C$24:$C$30,MATCH($O158,'Usage and Coverage'!$B$24:$B$30,0)),"?"))</f>
        <v/>
      </c>
      <c r="BI158" s="97" t="str">
        <f>IF($A158="","",IFERROR(INDEX('Usage and Coverage'!$C$34:$C$40,MATCH($P158,'Usage and Coverage'!$B$34:$B$40,0)),"?"))</f>
        <v/>
      </c>
      <c r="BJ158" s="97" t="str">
        <f>IF($A158="","",IFERROR(INDEX('Usage and Coverage'!$C$44:$C$49,MATCH($Q158,'Usage and Coverage'!$B$44:$B$49,0)),"?"))</f>
        <v/>
      </c>
      <c r="BK158" s="97" t="str">
        <f>IF($A158="","",IFERROR(INDEX(Deductibles!$C$6:$I$15,MATCH($W158,Deductibles!$B$6:$B$15,0),MATCH(MAX($J158,'Technical Premium'!$C$18),'Base Rates'!$C$3:$I$3,1)),"?"))</f>
        <v/>
      </c>
      <c r="BL158" s="97" t="str">
        <f>IF($A158="","",IFERROR(INDEX('Usage and Coverage'!$C$63:$C$66,MATCH($X158,'Usage and Coverage'!$B$63:$B$66,0)),"?"))</f>
        <v/>
      </c>
      <c r="BM158" s="97" t="str">
        <f>IF($A158="","",IFERROR(INDEX('Usage and Coverage'!$C$70:$C$75,MATCH($V158,'Usage and Coverage'!$B$70:$B$75,0)),"?"))</f>
        <v/>
      </c>
      <c r="BN158" s="97" t="str">
        <f>IF($A158="","",IF($AB158="",1,IFERROR(INDEX(Deductibles!$C$48:$C$51,MATCH($AB158,Deductibles!$B$48:$B$51,0)),"?")))</f>
        <v/>
      </c>
      <c r="BO158" s="97" t="str">
        <f>IF($A158="","",IF($AC158="",1,IFERROR(INDEX(Deductibles!$C$55:$C$57,MATCH($AC158,Deductibles!$B$55:$B$57,0)),"?")))</f>
        <v/>
      </c>
      <c r="BP158" s="97" t="str">
        <f>IF($A158="","",IF($AD158="",1,IFERROR(INDEX(Deductibles!$C$61:$C$63,MATCH($AD158,Deductibles!$B$61:$B$63,0)),"?")))</f>
        <v/>
      </c>
      <c r="BQ158" s="97" t="str">
        <f>IF($A158="","",IF($AE158="",1,IFERROR(INDEX(Deductibles!$C$67:$C$69,MATCH($AE158,Deductibles!$B$67:$B$69,0)),"?")))</f>
        <v/>
      </c>
      <c r="BR158" s="97" t="str">
        <f>IF($A158="","",IF($AF158="",1,IFERROR(INDEX(Deductibles!$C$73:$C$74,MATCH($AF158,Deductibles!$B$73:$B$74,0)),"?")))</f>
        <v/>
      </c>
      <c r="BS158" s="97" t="str">
        <f>IF($A158="","",IF($AG158="",1,IFERROR(INDEX('Sublimits and Parts'!$C$49:$C$52,MATCH($AG158,'Sublimits and Parts'!$B$49:$B$52,0)),"?")))</f>
        <v/>
      </c>
      <c r="BT158" s="97" t="str">
        <f>IF($A158="","",IF($AH158="",1,IFERROR(INDEX('Sublimits and Parts'!$C$56:$C$60,MATCH($AH158,'Sublimits and Parts'!$B$56:$B$60,0)),"?")))</f>
        <v/>
      </c>
      <c r="BU158" s="97" t="str">
        <f>IF($A158="","",IF($AI158="",1,IFERROR(INDEX('Sublimits and Parts'!$C$64:$C$67,MATCH($AI158,'Sublimits and Parts'!$B$64:$B$67,0)),"?")))</f>
        <v/>
      </c>
      <c r="BV158" s="97" t="str">
        <f>IF($A158="","",IF($AJ158="",1,IFERROR(INDEX('Sublimits and Parts'!$C$71:$C$74,MATCH($AJ158,'Sublimits and Parts'!$B$71:$B$74,0)),"?")))</f>
        <v/>
      </c>
      <c r="BW158" s="97" t="str">
        <f>IF($A158="","",IF($AK158="",1,IFERROR(INDEX('Sublimits and Parts'!$C$78:$C$80,MATCH($AK158,'Sublimits and Parts'!$B$78:$B$80,0)),"?")))</f>
        <v/>
      </c>
      <c r="BX158" s="97" t="str">
        <f>IF($A158="","",IF($AL158="",1,IFERROR(INDEX('Sublimits and Parts'!$C$84:$C$87,MATCH($AL158,'Sublimits and Parts'!$B$84:$B$87,0)),"?")))</f>
        <v/>
      </c>
      <c r="BY158" s="97" t="str">
        <f>IF($A158="","",IF($AM158="",1,IFERROR(INDEX('Sublimits and Parts'!$C$91:$C$94,MATCH($AM158,'Sublimits and Parts'!$B$91:$B$94,0)),"?")))</f>
        <v/>
      </c>
      <c r="BZ158" s="97" t="str">
        <f>IF($A158="","",IF($AN158="",1,IFERROR(INDEX('Sublimits and Parts'!$C$98:$C$101,MATCH($AN158,'Sublimits and Parts'!$B$98:$B$101,0)),"?")))</f>
        <v/>
      </c>
      <c r="CA158" s="97" t="str">
        <f>IF($A158="","",IF($AO158="",1,IFERROR(INDEX('Sublimits and Parts'!$C$105:$C$109,MATCH($AO158,'Sublimits and Parts'!$B$105:$B$109,0)),"?")))</f>
        <v/>
      </c>
      <c r="CB158" s="98" t="str">
        <f t="shared" si="28"/>
        <v/>
      </c>
      <c r="CC158" s="98" t="str">
        <f t="shared" si="29"/>
        <v/>
      </c>
      <c r="CD158" s="101" t="str">
        <f>IF($A158="","",IF(OR($CB158="?",$CC158="?"),"?",MIN($CB158*$CC158,'Technical Premium'!$C$17)))</f>
        <v/>
      </c>
      <c r="CE158" s="100" t="str">
        <f t="shared" si="30"/>
        <v/>
      </c>
      <c r="CF158" s="100" t="str">
        <f>IF($A158="","",IFERROR(INDEX('Territory Factors'!$F$6:$F$56,MATCH($K158,'Territory Factors'!$B$6:$B$56,0)),"?"))</f>
        <v/>
      </c>
      <c r="CG158" s="98" t="str">
        <f>IF($A158="","",IFERROR(INDEX('Usage and Coverage'!$C$79:$C$84,MATCH($Y158,'Usage and Coverage'!$B$79:$B$84,0)),"?"))</f>
        <v/>
      </c>
      <c r="CH158" s="100" t="str">
        <f>IFERROR(IF(ISNUMBER($CD158),$CF158*$CG158*MIN($BG158*$BA158*$BC158*$BD158*$BH158*$BF158,'Technical Premium'!$C$17),""),"")</f>
        <v/>
      </c>
      <c r="CI158" s="100" t="str">
        <f t="shared" si="31"/>
        <v/>
      </c>
      <c r="CJ158" s="100" t="str">
        <f>IFERROR($CI158*(1+'Technical Premium'!$C$5)*(1+'Technical Premium'!$C$6),"")</f>
        <v/>
      </c>
      <c r="CK158" s="100" t="str">
        <f>IFERROR($CE158*INDEX('Territory Factors'!$G$6:$G$56,MATCH($K158,'Territory Factors'!$B$6:$B$56,0))*$AU158*$AV158,"")</f>
        <v/>
      </c>
      <c r="CL158" s="100" t="str">
        <f>IFERROR(($CJ158+$CK158)*(1+'Technical Premium'!$C$7),"")</f>
        <v/>
      </c>
      <c r="CM158" s="102" t="str">
        <f>IFERROR($CL158/'Technical Premium'!$C$13,"")</f>
        <v/>
      </c>
      <c r="CN158" s="103" t="str">
        <f t="shared" si="32"/>
        <v/>
      </c>
      <c r="CO158" s="102" t="str">
        <f t="shared" si="33"/>
        <v/>
      </c>
      <c r="CP158" s="103" t="str">
        <f t="shared" si="34"/>
        <v/>
      </c>
      <c r="CQ158" s="104" t="str">
        <f t="shared" si="35"/>
        <v/>
      </c>
      <c r="CR158" s="100" t="str">
        <f>IF(ISNUMBER($CM158),'Technical Premium'!$C$14+IF($J158&gt;=1000000,'Technical Premium'!$C$15,0),"")</f>
        <v/>
      </c>
      <c r="CS158" s="100" t="str">
        <f>IFERROR(($CO158+$CR158)*(INDEX('Territory Factors'!$K$6:$K$56,MATCH($K158,'Territory Factors'!$B$6:$B$56,0))+'Commission Structure'!$C$21),"")</f>
        <v/>
      </c>
      <c r="CT158" s="102" t="str">
        <f t="shared" si="36"/>
        <v/>
      </c>
      <c r="CU158" s="100" t="str">
        <f>IFERROR($CO158*('Commission Structure'!$C$6+'Commission Structure'!$C$7),"")</f>
        <v/>
      </c>
      <c r="CV158" s="100" t="str">
        <f>IFERROR($CO158*'Commission Structure'!$C$5-$CU158,"")</f>
        <v/>
      </c>
      <c r="CW158" s="100" t="str">
        <f>IFERROR($CO158*(1-'Commission Structure'!$C$5),"")</f>
        <v/>
      </c>
      <c r="CX158" s="105" t="str">
        <f>IF($A158="","",IF(OR($CB158="?",$CC158="?",NOT(ISNUMBER($AU158))),"CHECK INPUTS",IF(OR($J158&lt;'Technical Premium'!$C$18,LEFT(IFERROR(INDEX('Driver Factors'!$D$6:$D$15,MATCH($R158,'Driver Factors'!$B$6:$B$15,0)),""),7)="DECLINE",LEFT(IFERROR(INDEX('Driver Factors'!$D$28:$D$36,MATCH($T158,'Driver Factors'!$B$28:$B$36,0)),""),7)="DECLINE",LEFT(IFERROR(INDEX('Claims History'!$D$6:$D$15,MATCH($U158,'Claims History'!$B$6:$B$15,0)),""),7)="DECLINE",LEFT(IFERROR(INDEX('Usage and Coverage'!$E$6:$E$20,MATCH($N158,'Usage and Coverage'!$C$6:$C$20,0)),""),7)="DECLINE"),"DECLINE",IF(OR($CD158&gt;2.5,$CD158&gt;='Technical Premium'!$C$17,$J158&gt;='Technical Premium'!$C$16,N($AQ158)&lt;'Technical Premium'!$C$19,N($AQ158)&gt;'Technical Premium'!$C$20,LEFT(IFERROR(INDEX('Driver Factors'!$D$6:$D$15,MATCH($R158,'Driver Factors'!$B$6:$B$15,0)),""),5)="Refer",LEFT(IFERROR(INDEX('Driver Factors'!$D$28:$D$36,MATCH($T158,'Driver Factors'!$B$28:$B$36,0)),""),5)="Refer",LEFT(IFERROR(INDEX('Claims History'!$D$6:$D$15,MATCH($U158,'Claims History'!$B$6:$B$15,0)),""),5)="Refer",LEFT(IFERROR(INDEX('Usage and Coverage'!$E$6:$E$20,MATCH($N158,'Usage and Coverage'!$C$6:$C$20,0)),""),5)="Refer"),"REFER","AUTO-BIND"))))</f>
        <v/>
      </c>
      <c r="CY158" s="106" t="str">
        <f t="shared" si="37"/>
        <v/>
      </c>
      <c r="CZ158" s="97" t="str">
        <f>IF($CY158="","",IF($CY158&lt;'Technical Premium'!$C$19,"BEYOND AUTHORITY",IF($CY158&gt;0.005,"Above technical",IF($CY158&lt;-0.005,"BELOW technical","At technical"))))</f>
        <v/>
      </c>
      <c r="DA158" s="97" t="str">
        <f>IF($A158="","",IF($CX158="AUTO-BIND","",TRIM(IF($J158&lt;'Technical Premium'!$C$18,"Below programme minimum agreed value. ","")&amp;IF(N($AQ158)&lt;'Technical Premium'!$C$19,"DISCOUNT AUTHORITY BREACH. ","")&amp;IF(N($AQ158)&gt;'Technical Premium'!$C$20,"Load authority breach. ","")&amp;IF($J158&gt;='Technical Premium'!$C$16,"Agreed value at or above auto-bind limit. ","")&amp;IF(AND(ISNUMBER($CD158),$CD158&gt;='Technical Premium'!$C$17),"Composite factor at cap. ","")&amp;IF(AND(ISNUMBER($CD158),$CD158&gt;2.5),"Composite factor above 2.50. ","")&amp;IF(LEFT(IFERROR(INDEX('Driver Factors'!$D$6:$D$15,MATCH($R158,'Driver Factors'!$B$6:$B$15,0)),""),7)="DECLINE","DECLINE - driver age. ",IF(LEFT(IFERROR(INDEX('Driver Factors'!$D$6:$D$15,MATCH($R158,'Driver Factors'!$B$6:$B$15,0)),""),5)="Refer","Driver age band. ",""))&amp;IF(LEFT(IFERROR(INDEX('Driver Factors'!$D$28:$D$36,MATCH($T158,'Driver Factors'!$B$28:$B$36,0)),""),7)="DECLINE","DECLINE - MVR. ",IF(LEFT(IFERROR(INDEX('Driver Factors'!$D$28:$D$36,MATCH($T158,'Driver Factors'!$B$28:$B$36,0)),""),5)="Refer","MVR record. ",""))&amp;IF(LEFT(IFERROR(INDEX('Claims History'!$D$6:$D$15,MATCH($U158,'Claims History'!$B$6:$B$15,0)),""),7)="DECLINE","DECLINE - claims. ",IF(LEFT(IFERROR(INDEX('Claims History'!$D$6:$D$15,MATCH($U158,'Claims History'!$B$6:$B$15,0)),""),5)="Refer","Claims history. ",""))&amp;IF(LEFT(IFERROR(INDEX('Usage and Coverage'!$E$6:$E$20,MATCH($N158,'Usage and Coverage'!$C$6:$C$20,0)),""),7)="DECLINE","DECLINE - usage class. ",IF(LEFT(IFERROR(INDEX('Usage and Coverage'!$E$6:$E$20,MATCH($N158,'Usage and Coverage'!$C$6:$C$20,0)),""),5)="Refer","Usage class. ",""))&amp;IF($CX158="CHECK INPUTS","Incomplete inputs. ",""))))</f>
        <v/>
      </c>
      <c r="DB158" s="92"/>
      <c r="DC158" s="92"/>
      <c r="DD158" s="93"/>
      <c r="DE158" s="92"/>
      <c r="DF158" s="92"/>
      <c r="DG158" s="97" t="str">
        <f t="shared" si="38"/>
        <v/>
      </c>
      <c r="DH158" s="97" t="str">
        <f>IF($A158="","",IF(OR($CX158="REFER",$CX158="DECLINE"),COUNTIF($CX$5:$CX158,"REFER")+COUNTIF($CX$5:$CX158,"DECLINE"),""))</f>
        <v/>
      </c>
      <c r="DI158" s="92"/>
    </row>
    <row r="159" spans="1:113" x14ac:dyDescent="0.25">
      <c r="A159" s="92"/>
      <c r="B159" s="92"/>
      <c r="C159" s="93"/>
      <c r="D159" s="93"/>
      <c r="E159" s="94"/>
      <c r="F159" s="92"/>
      <c r="G159" s="92"/>
      <c r="H159" s="92"/>
      <c r="I159" s="92"/>
      <c r="J159" s="95"/>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6"/>
      <c r="AR159" s="97" t="str">
        <f t="shared" si="26"/>
        <v/>
      </c>
      <c r="AS159" s="97" t="str">
        <f>IF($A159="","",IF($AP159&lt;&gt;"",$AP159,IFERROR(INDEX('Cat Zone by ZIP'!$D$6:$D$856,MATCH($AR159,'Cat Zone by ZIP'!$B$6:$B$856,0)),IFERROR(INDEX('Cat Zone by ZIP'!$C$860:$C$910,MATCH($K159,'Cat Zone by ZIP'!$B$860:$B$910,0)),"NOT FOUND"))))</f>
        <v/>
      </c>
      <c r="AT159" s="97" t="str">
        <f>IF($A159="","",IF($AP159&lt;&gt;"","Override",IF(ISNUMBER(MATCH($AR159,'Cat Zone by ZIP'!$B$6:$B$856,0)),"ZIP-3","State default")))</f>
        <v/>
      </c>
      <c r="AU159" s="98" t="str">
        <f>IF($A159="","",IFERROR(INDEX('Natural Catastrophe'!$D$6:$D$17,MATCH($AS159,'Natural Catastrophe'!$B$6:$B$17,0)),"?"))</f>
        <v/>
      </c>
      <c r="AV159" s="98" t="str">
        <f>IF($A159="","",IFERROR(INDEX('Natural Catastrophe'!$C$21:$C$26,MATCH($AA159,'Natural Catastrophe'!$B$21:$B$26,0)),"?"))</f>
        <v/>
      </c>
      <c r="AW159" s="97" t="str">
        <f>IF($A159="","",IFERROR(INDEX('Base Rates'!$C$4:$I$4,MATCH(MAX($J159,'Technical Premium'!$C$18),'Base Rates'!$C$3:$I$3,1)),"?"))</f>
        <v/>
      </c>
      <c r="AX159" s="99" t="str">
        <f>IF($A159="","",IFERROR(INDEX('Base Rates'!$C$5:$I$16,MATCH($I159,'Base Rates'!$B$5:$B$16,0),MATCH(MAX($J159,'Technical Premium'!$C$18),'Base Rates'!$C$3:$I$3,1)),"?"))</f>
        <v/>
      </c>
      <c r="AY159" s="100" t="str">
        <f t="shared" si="27"/>
        <v/>
      </c>
      <c r="AZ159" s="97" t="str">
        <f>IF($A159="","",IFERROR(INDEX('Make Factors'!$G$5:$G$69,MATCH($F159,'Make Factors'!$B$5:$B$69,0)),"?"))</f>
        <v/>
      </c>
      <c r="BA159" s="97" t="str">
        <f>IF($A159="","",IFERROR(INDEX('Driver Factors'!$C$6:$C$15,MATCH($R159,'Driver Factors'!$B$6:$B$15,0)),"?"))</f>
        <v/>
      </c>
      <c r="BB159" s="97" t="str">
        <f>IF($A159="","",IFERROR(INDEX('Driver Factors'!$C$19:$C$24,MATCH($S159,'Driver Factors'!$B$19:$B$24,0)),"?"))</f>
        <v/>
      </c>
      <c r="BC159" s="97" t="str">
        <f>IF($A159="","",IFERROR(INDEX('Driver Factors'!$C$28:$C$36,MATCH($T159,'Driver Factors'!$B$28:$B$36,0)),"?"))</f>
        <v/>
      </c>
      <c r="BD159" s="97" t="str">
        <f>IF($A159="","",IFERROR(INDEX('Claims History'!$C$6:$C$15,MATCH($U159,'Claims History'!$B$6:$B$15,0)),"?"))</f>
        <v/>
      </c>
      <c r="BE159" s="97" t="str">
        <f>IF($A159="","",IFERROR(INDEX('Territory Factors'!$E$6:$E$56,MATCH($K159,'Territory Factors'!$B$6:$B$56,0)),"?"))</f>
        <v/>
      </c>
      <c r="BF159" s="97" t="str">
        <f>IF($A159="","",IFERROR(INDEX('City Accident Ratings'!$G$6:$G$54,MATCH($Z159,'City Accident Ratings'!$B$6:$B$54,0)),"?"))</f>
        <v/>
      </c>
      <c r="BG159" s="97" t="str">
        <f>IF($A159="","",IFERROR(INDEX('Usage and Coverage'!$D$6:$D$20,MATCH($N159,'Usage and Coverage'!$C$6:$C$20,0)),"?"))</f>
        <v/>
      </c>
      <c r="BH159" s="97" t="str">
        <f>IF($A159="","",IFERROR(INDEX('Usage and Coverage'!$C$24:$C$30,MATCH($O159,'Usage and Coverage'!$B$24:$B$30,0)),"?"))</f>
        <v/>
      </c>
      <c r="BI159" s="97" t="str">
        <f>IF($A159="","",IFERROR(INDEX('Usage and Coverage'!$C$34:$C$40,MATCH($P159,'Usage and Coverage'!$B$34:$B$40,0)),"?"))</f>
        <v/>
      </c>
      <c r="BJ159" s="97" t="str">
        <f>IF($A159="","",IFERROR(INDEX('Usage and Coverage'!$C$44:$C$49,MATCH($Q159,'Usage and Coverage'!$B$44:$B$49,0)),"?"))</f>
        <v/>
      </c>
      <c r="BK159" s="97" t="str">
        <f>IF($A159="","",IFERROR(INDEX(Deductibles!$C$6:$I$15,MATCH($W159,Deductibles!$B$6:$B$15,0),MATCH(MAX($J159,'Technical Premium'!$C$18),'Base Rates'!$C$3:$I$3,1)),"?"))</f>
        <v/>
      </c>
      <c r="BL159" s="97" t="str">
        <f>IF($A159="","",IFERROR(INDEX('Usage and Coverage'!$C$63:$C$66,MATCH($X159,'Usage and Coverage'!$B$63:$B$66,0)),"?"))</f>
        <v/>
      </c>
      <c r="BM159" s="97" t="str">
        <f>IF($A159="","",IFERROR(INDEX('Usage and Coverage'!$C$70:$C$75,MATCH($V159,'Usage and Coverage'!$B$70:$B$75,0)),"?"))</f>
        <v/>
      </c>
      <c r="BN159" s="97" t="str">
        <f>IF($A159="","",IF($AB159="",1,IFERROR(INDEX(Deductibles!$C$48:$C$51,MATCH($AB159,Deductibles!$B$48:$B$51,0)),"?")))</f>
        <v/>
      </c>
      <c r="BO159" s="97" t="str">
        <f>IF($A159="","",IF($AC159="",1,IFERROR(INDEX(Deductibles!$C$55:$C$57,MATCH($AC159,Deductibles!$B$55:$B$57,0)),"?")))</f>
        <v/>
      </c>
      <c r="BP159" s="97" t="str">
        <f>IF($A159="","",IF($AD159="",1,IFERROR(INDEX(Deductibles!$C$61:$C$63,MATCH($AD159,Deductibles!$B$61:$B$63,0)),"?")))</f>
        <v/>
      </c>
      <c r="BQ159" s="97" t="str">
        <f>IF($A159="","",IF($AE159="",1,IFERROR(INDEX(Deductibles!$C$67:$C$69,MATCH($AE159,Deductibles!$B$67:$B$69,0)),"?")))</f>
        <v/>
      </c>
      <c r="BR159" s="97" t="str">
        <f>IF($A159="","",IF($AF159="",1,IFERROR(INDEX(Deductibles!$C$73:$C$74,MATCH($AF159,Deductibles!$B$73:$B$74,0)),"?")))</f>
        <v/>
      </c>
      <c r="BS159" s="97" t="str">
        <f>IF($A159="","",IF($AG159="",1,IFERROR(INDEX('Sublimits and Parts'!$C$49:$C$52,MATCH($AG159,'Sublimits and Parts'!$B$49:$B$52,0)),"?")))</f>
        <v/>
      </c>
      <c r="BT159" s="97" t="str">
        <f>IF($A159="","",IF($AH159="",1,IFERROR(INDEX('Sublimits and Parts'!$C$56:$C$60,MATCH($AH159,'Sublimits and Parts'!$B$56:$B$60,0)),"?")))</f>
        <v/>
      </c>
      <c r="BU159" s="97" t="str">
        <f>IF($A159="","",IF($AI159="",1,IFERROR(INDEX('Sublimits and Parts'!$C$64:$C$67,MATCH($AI159,'Sublimits and Parts'!$B$64:$B$67,0)),"?")))</f>
        <v/>
      </c>
      <c r="BV159" s="97" t="str">
        <f>IF($A159="","",IF($AJ159="",1,IFERROR(INDEX('Sublimits and Parts'!$C$71:$C$74,MATCH($AJ159,'Sublimits and Parts'!$B$71:$B$74,0)),"?")))</f>
        <v/>
      </c>
      <c r="BW159" s="97" t="str">
        <f>IF($A159="","",IF($AK159="",1,IFERROR(INDEX('Sublimits and Parts'!$C$78:$C$80,MATCH($AK159,'Sublimits and Parts'!$B$78:$B$80,0)),"?")))</f>
        <v/>
      </c>
      <c r="BX159" s="97" t="str">
        <f>IF($A159="","",IF($AL159="",1,IFERROR(INDEX('Sublimits and Parts'!$C$84:$C$87,MATCH($AL159,'Sublimits and Parts'!$B$84:$B$87,0)),"?")))</f>
        <v/>
      </c>
      <c r="BY159" s="97" t="str">
        <f>IF($A159="","",IF($AM159="",1,IFERROR(INDEX('Sublimits and Parts'!$C$91:$C$94,MATCH($AM159,'Sublimits and Parts'!$B$91:$B$94,0)),"?")))</f>
        <v/>
      </c>
      <c r="BZ159" s="97" t="str">
        <f>IF($A159="","",IF($AN159="",1,IFERROR(INDEX('Sublimits and Parts'!$C$98:$C$101,MATCH($AN159,'Sublimits and Parts'!$B$98:$B$101,0)),"?")))</f>
        <v/>
      </c>
      <c r="CA159" s="97" t="str">
        <f>IF($A159="","",IF($AO159="",1,IFERROR(INDEX('Sublimits and Parts'!$C$105:$C$109,MATCH($AO159,'Sublimits and Parts'!$B$105:$B$109,0)),"?")))</f>
        <v/>
      </c>
      <c r="CB159" s="98" t="str">
        <f t="shared" si="28"/>
        <v/>
      </c>
      <c r="CC159" s="98" t="str">
        <f t="shared" si="29"/>
        <v/>
      </c>
      <c r="CD159" s="101" t="str">
        <f>IF($A159="","",IF(OR($CB159="?",$CC159="?"),"?",MIN($CB159*$CC159,'Technical Premium'!$C$17)))</f>
        <v/>
      </c>
      <c r="CE159" s="100" t="str">
        <f t="shared" si="30"/>
        <v/>
      </c>
      <c r="CF159" s="100" t="str">
        <f>IF($A159="","",IFERROR(INDEX('Territory Factors'!$F$6:$F$56,MATCH($K159,'Territory Factors'!$B$6:$B$56,0)),"?"))</f>
        <v/>
      </c>
      <c r="CG159" s="98" t="str">
        <f>IF($A159="","",IFERROR(INDEX('Usage and Coverage'!$C$79:$C$84,MATCH($Y159,'Usage and Coverage'!$B$79:$B$84,0)),"?"))</f>
        <v/>
      </c>
      <c r="CH159" s="100" t="str">
        <f>IFERROR(IF(ISNUMBER($CD159),$CF159*$CG159*MIN($BG159*$BA159*$BC159*$BD159*$BH159*$BF159,'Technical Premium'!$C$17),""),"")</f>
        <v/>
      </c>
      <c r="CI159" s="100" t="str">
        <f t="shared" si="31"/>
        <v/>
      </c>
      <c r="CJ159" s="100" t="str">
        <f>IFERROR($CI159*(1+'Technical Premium'!$C$5)*(1+'Technical Premium'!$C$6),"")</f>
        <v/>
      </c>
      <c r="CK159" s="100" t="str">
        <f>IFERROR($CE159*INDEX('Territory Factors'!$G$6:$G$56,MATCH($K159,'Territory Factors'!$B$6:$B$56,0))*$AU159*$AV159,"")</f>
        <v/>
      </c>
      <c r="CL159" s="100" t="str">
        <f>IFERROR(($CJ159+$CK159)*(1+'Technical Premium'!$C$7),"")</f>
        <v/>
      </c>
      <c r="CM159" s="102" t="str">
        <f>IFERROR($CL159/'Technical Premium'!$C$13,"")</f>
        <v/>
      </c>
      <c r="CN159" s="103" t="str">
        <f t="shared" si="32"/>
        <v/>
      </c>
      <c r="CO159" s="102" t="str">
        <f t="shared" si="33"/>
        <v/>
      </c>
      <c r="CP159" s="103" t="str">
        <f t="shared" si="34"/>
        <v/>
      </c>
      <c r="CQ159" s="104" t="str">
        <f t="shared" si="35"/>
        <v/>
      </c>
      <c r="CR159" s="100" t="str">
        <f>IF(ISNUMBER($CM159),'Technical Premium'!$C$14+IF($J159&gt;=1000000,'Technical Premium'!$C$15,0),"")</f>
        <v/>
      </c>
      <c r="CS159" s="100" t="str">
        <f>IFERROR(($CO159+$CR159)*(INDEX('Territory Factors'!$K$6:$K$56,MATCH($K159,'Territory Factors'!$B$6:$B$56,0))+'Commission Structure'!$C$21),"")</f>
        <v/>
      </c>
      <c r="CT159" s="102" t="str">
        <f t="shared" si="36"/>
        <v/>
      </c>
      <c r="CU159" s="100" t="str">
        <f>IFERROR($CO159*('Commission Structure'!$C$6+'Commission Structure'!$C$7),"")</f>
        <v/>
      </c>
      <c r="CV159" s="100" t="str">
        <f>IFERROR($CO159*'Commission Structure'!$C$5-$CU159,"")</f>
        <v/>
      </c>
      <c r="CW159" s="100" t="str">
        <f>IFERROR($CO159*(1-'Commission Structure'!$C$5),"")</f>
        <v/>
      </c>
      <c r="CX159" s="105" t="str">
        <f>IF($A159="","",IF(OR($CB159="?",$CC159="?",NOT(ISNUMBER($AU159))),"CHECK INPUTS",IF(OR($J159&lt;'Technical Premium'!$C$18,LEFT(IFERROR(INDEX('Driver Factors'!$D$6:$D$15,MATCH($R159,'Driver Factors'!$B$6:$B$15,0)),""),7)="DECLINE",LEFT(IFERROR(INDEX('Driver Factors'!$D$28:$D$36,MATCH($T159,'Driver Factors'!$B$28:$B$36,0)),""),7)="DECLINE",LEFT(IFERROR(INDEX('Claims History'!$D$6:$D$15,MATCH($U159,'Claims History'!$B$6:$B$15,0)),""),7)="DECLINE",LEFT(IFERROR(INDEX('Usage and Coverage'!$E$6:$E$20,MATCH($N159,'Usage and Coverage'!$C$6:$C$20,0)),""),7)="DECLINE"),"DECLINE",IF(OR($CD159&gt;2.5,$CD159&gt;='Technical Premium'!$C$17,$J159&gt;='Technical Premium'!$C$16,N($AQ159)&lt;'Technical Premium'!$C$19,N($AQ159)&gt;'Technical Premium'!$C$20,LEFT(IFERROR(INDEX('Driver Factors'!$D$6:$D$15,MATCH($R159,'Driver Factors'!$B$6:$B$15,0)),""),5)="Refer",LEFT(IFERROR(INDEX('Driver Factors'!$D$28:$D$36,MATCH($T159,'Driver Factors'!$B$28:$B$36,0)),""),5)="Refer",LEFT(IFERROR(INDEX('Claims History'!$D$6:$D$15,MATCH($U159,'Claims History'!$B$6:$B$15,0)),""),5)="Refer",LEFT(IFERROR(INDEX('Usage and Coverage'!$E$6:$E$20,MATCH($N159,'Usage and Coverage'!$C$6:$C$20,0)),""),5)="Refer"),"REFER","AUTO-BIND"))))</f>
        <v/>
      </c>
      <c r="CY159" s="106" t="str">
        <f t="shared" si="37"/>
        <v/>
      </c>
      <c r="CZ159" s="97" t="str">
        <f>IF($CY159="","",IF($CY159&lt;'Technical Premium'!$C$19,"BEYOND AUTHORITY",IF($CY159&gt;0.005,"Above technical",IF($CY159&lt;-0.005,"BELOW technical","At technical"))))</f>
        <v/>
      </c>
      <c r="DA159" s="97" t="str">
        <f>IF($A159="","",IF($CX159="AUTO-BIND","",TRIM(IF($J159&lt;'Technical Premium'!$C$18,"Below programme minimum agreed value. ","")&amp;IF(N($AQ159)&lt;'Technical Premium'!$C$19,"DISCOUNT AUTHORITY BREACH. ","")&amp;IF(N($AQ159)&gt;'Technical Premium'!$C$20,"Load authority breach. ","")&amp;IF($J159&gt;='Technical Premium'!$C$16,"Agreed value at or above auto-bind limit. ","")&amp;IF(AND(ISNUMBER($CD159),$CD159&gt;='Technical Premium'!$C$17),"Composite factor at cap. ","")&amp;IF(AND(ISNUMBER($CD159),$CD159&gt;2.5),"Composite factor above 2.50. ","")&amp;IF(LEFT(IFERROR(INDEX('Driver Factors'!$D$6:$D$15,MATCH($R159,'Driver Factors'!$B$6:$B$15,0)),""),7)="DECLINE","DECLINE - driver age. ",IF(LEFT(IFERROR(INDEX('Driver Factors'!$D$6:$D$15,MATCH($R159,'Driver Factors'!$B$6:$B$15,0)),""),5)="Refer","Driver age band. ",""))&amp;IF(LEFT(IFERROR(INDEX('Driver Factors'!$D$28:$D$36,MATCH($T159,'Driver Factors'!$B$28:$B$36,0)),""),7)="DECLINE","DECLINE - MVR. ",IF(LEFT(IFERROR(INDEX('Driver Factors'!$D$28:$D$36,MATCH($T159,'Driver Factors'!$B$28:$B$36,0)),""),5)="Refer","MVR record. ",""))&amp;IF(LEFT(IFERROR(INDEX('Claims History'!$D$6:$D$15,MATCH($U159,'Claims History'!$B$6:$B$15,0)),""),7)="DECLINE","DECLINE - claims. ",IF(LEFT(IFERROR(INDEX('Claims History'!$D$6:$D$15,MATCH($U159,'Claims History'!$B$6:$B$15,0)),""),5)="Refer","Claims history. ",""))&amp;IF(LEFT(IFERROR(INDEX('Usage and Coverage'!$E$6:$E$20,MATCH($N159,'Usage and Coverage'!$C$6:$C$20,0)),""),7)="DECLINE","DECLINE - usage class. ",IF(LEFT(IFERROR(INDEX('Usage and Coverage'!$E$6:$E$20,MATCH($N159,'Usage and Coverage'!$C$6:$C$20,0)),""),5)="Refer","Usage class. ",""))&amp;IF($CX159="CHECK INPUTS","Incomplete inputs. ",""))))</f>
        <v/>
      </c>
      <c r="DB159" s="92"/>
      <c r="DC159" s="92"/>
      <c r="DD159" s="93"/>
      <c r="DE159" s="92"/>
      <c r="DF159" s="92"/>
      <c r="DG159" s="97" t="str">
        <f t="shared" si="38"/>
        <v/>
      </c>
      <c r="DH159" s="97" t="str">
        <f>IF($A159="","",IF(OR($CX159="REFER",$CX159="DECLINE"),COUNTIF($CX$5:$CX159,"REFER")+COUNTIF($CX$5:$CX159,"DECLINE"),""))</f>
        <v/>
      </c>
      <c r="DI159" s="92"/>
    </row>
    <row r="160" spans="1:113" x14ac:dyDescent="0.25">
      <c r="A160" s="92"/>
      <c r="B160" s="92"/>
      <c r="C160" s="93"/>
      <c r="D160" s="93"/>
      <c r="E160" s="94"/>
      <c r="F160" s="92"/>
      <c r="G160" s="92"/>
      <c r="H160" s="92"/>
      <c r="I160" s="92"/>
      <c r="J160" s="95"/>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6"/>
      <c r="AR160" s="97" t="str">
        <f t="shared" si="26"/>
        <v/>
      </c>
      <c r="AS160" s="97" t="str">
        <f>IF($A160="","",IF($AP160&lt;&gt;"",$AP160,IFERROR(INDEX('Cat Zone by ZIP'!$D$6:$D$856,MATCH($AR160,'Cat Zone by ZIP'!$B$6:$B$856,0)),IFERROR(INDEX('Cat Zone by ZIP'!$C$860:$C$910,MATCH($K160,'Cat Zone by ZIP'!$B$860:$B$910,0)),"NOT FOUND"))))</f>
        <v/>
      </c>
      <c r="AT160" s="97" t="str">
        <f>IF($A160="","",IF($AP160&lt;&gt;"","Override",IF(ISNUMBER(MATCH($AR160,'Cat Zone by ZIP'!$B$6:$B$856,0)),"ZIP-3","State default")))</f>
        <v/>
      </c>
      <c r="AU160" s="98" t="str">
        <f>IF($A160="","",IFERROR(INDEX('Natural Catastrophe'!$D$6:$D$17,MATCH($AS160,'Natural Catastrophe'!$B$6:$B$17,0)),"?"))</f>
        <v/>
      </c>
      <c r="AV160" s="98" t="str">
        <f>IF($A160="","",IFERROR(INDEX('Natural Catastrophe'!$C$21:$C$26,MATCH($AA160,'Natural Catastrophe'!$B$21:$B$26,0)),"?"))</f>
        <v/>
      </c>
      <c r="AW160" s="97" t="str">
        <f>IF($A160="","",IFERROR(INDEX('Base Rates'!$C$4:$I$4,MATCH(MAX($J160,'Technical Premium'!$C$18),'Base Rates'!$C$3:$I$3,1)),"?"))</f>
        <v/>
      </c>
      <c r="AX160" s="99" t="str">
        <f>IF($A160="","",IFERROR(INDEX('Base Rates'!$C$5:$I$16,MATCH($I160,'Base Rates'!$B$5:$B$16,0),MATCH(MAX($J160,'Technical Premium'!$C$18),'Base Rates'!$C$3:$I$3,1)),"?"))</f>
        <v/>
      </c>
      <c r="AY160" s="100" t="str">
        <f t="shared" si="27"/>
        <v/>
      </c>
      <c r="AZ160" s="97" t="str">
        <f>IF($A160="","",IFERROR(INDEX('Make Factors'!$G$5:$G$69,MATCH($F160,'Make Factors'!$B$5:$B$69,0)),"?"))</f>
        <v/>
      </c>
      <c r="BA160" s="97" t="str">
        <f>IF($A160="","",IFERROR(INDEX('Driver Factors'!$C$6:$C$15,MATCH($R160,'Driver Factors'!$B$6:$B$15,0)),"?"))</f>
        <v/>
      </c>
      <c r="BB160" s="97" t="str">
        <f>IF($A160="","",IFERROR(INDEX('Driver Factors'!$C$19:$C$24,MATCH($S160,'Driver Factors'!$B$19:$B$24,0)),"?"))</f>
        <v/>
      </c>
      <c r="BC160" s="97" t="str">
        <f>IF($A160="","",IFERROR(INDEX('Driver Factors'!$C$28:$C$36,MATCH($T160,'Driver Factors'!$B$28:$B$36,0)),"?"))</f>
        <v/>
      </c>
      <c r="BD160" s="97" t="str">
        <f>IF($A160="","",IFERROR(INDEX('Claims History'!$C$6:$C$15,MATCH($U160,'Claims History'!$B$6:$B$15,0)),"?"))</f>
        <v/>
      </c>
      <c r="BE160" s="97" t="str">
        <f>IF($A160="","",IFERROR(INDEX('Territory Factors'!$E$6:$E$56,MATCH($K160,'Territory Factors'!$B$6:$B$56,0)),"?"))</f>
        <v/>
      </c>
      <c r="BF160" s="97" t="str">
        <f>IF($A160="","",IFERROR(INDEX('City Accident Ratings'!$G$6:$G$54,MATCH($Z160,'City Accident Ratings'!$B$6:$B$54,0)),"?"))</f>
        <v/>
      </c>
      <c r="BG160" s="97" t="str">
        <f>IF($A160="","",IFERROR(INDEX('Usage and Coverage'!$D$6:$D$20,MATCH($N160,'Usage and Coverage'!$C$6:$C$20,0)),"?"))</f>
        <v/>
      </c>
      <c r="BH160" s="97" t="str">
        <f>IF($A160="","",IFERROR(INDEX('Usage and Coverage'!$C$24:$C$30,MATCH($O160,'Usage and Coverage'!$B$24:$B$30,0)),"?"))</f>
        <v/>
      </c>
      <c r="BI160" s="97" t="str">
        <f>IF($A160="","",IFERROR(INDEX('Usage and Coverage'!$C$34:$C$40,MATCH($P160,'Usage and Coverage'!$B$34:$B$40,0)),"?"))</f>
        <v/>
      </c>
      <c r="BJ160" s="97" t="str">
        <f>IF($A160="","",IFERROR(INDEX('Usage and Coverage'!$C$44:$C$49,MATCH($Q160,'Usage and Coverage'!$B$44:$B$49,0)),"?"))</f>
        <v/>
      </c>
      <c r="BK160" s="97" t="str">
        <f>IF($A160="","",IFERROR(INDEX(Deductibles!$C$6:$I$15,MATCH($W160,Deductibles!$B$6:$B$15,0),MATCH(MAX($J160,'Technical Premium'!$C$18),'Base Rates'!$C$3:$I$3,1)),"?"))</f>
        <v/>
      </c>
      <c r="BL160" s="97" t="str">
        <f>IF($A160="","",IFERROR(INDEX('Usage and Coverage'!$C$63:$C$66,MATCH($X160,'Usage and Coverage'!$B$63:$B$66,0)),"?"))</f>
        <v/>
      </c>
      <c r="BM160" s="97" t="str">
        <f>IF($A160="","",IFERROR(INDEX('Usage and Coverage'!$C$70:$C$75,MATCH($V160,'Usage and Coverage'!$B$70:$B$75,0)),"?"))</f>
        <v/>
      </c>
      <c r="BN160" s="97" t="str">
        <f>IF($A160="","",IF($AB160="",1,IFERROR(INDEX(Deductibles!$C$48:$C$51,MATCH($AB160,Deductibles!$B$48:$B$51,0)),"?")))</f>
        <v/>
      </c>
      <c r="BO160" s="97" t="str">
        <f>IF($A160="","",IF($AC160="",1,IFERROR(INDEX(Deductibles!$C$55:$C$57,MATCH($AC160,Deductibles!$B$55:$B$57,0)),"?")))</f>
        <v/>
      </c>
      <c r="BP160" s="97" t="str">
        <f>IF($A160="","",IF($AD160="",1,IFERROR(INDEX(Deductibles!$C$61:$C$63,MATCH($AD160,Deductibles!$B$61:$B$63,0)),"?")))</f>
        <v/>
      </c>
      <c r="BQ160" s="97" t="str">
        <f>IF($A160="","",IF($AE160="",1,IFERROR(INDEX(Deductibles!$C$67:$C$69,MATCH($AE160,Deductibles!$B$67:$B$69,0)),"?")))</f>
        <v/>
      </c>
      <c r="BR160" s="97" t="str">
        <f>IF($A160="","",IF($AF160="",1,IFERROR(INDEX(Deductibles!$C$73:$C$74,MATCH($AF160,Deductibles!$B$73:$B$74,0)),"?")))</f>
        <v/>
      </c>
      <c r="BS160" s="97" t="str">
        <f>IF($A160="","",IF($AG160="",1,IFERROR(INDEX('Sublimits and Parts'!$C$49:$C$52,MATCH($AG160,'Sublimits and Parts'!$B$49:$B$52,0)),"?")))</f>
        <v/>
      </c>
      <c r="BT160" s="97" t="str">
        <f>IF($A160="","",IF($AH160="",1,IFERROR(INDEX('Sublimits and Parts'!$C$56:$C$60,MATCH($AH160,'Sublimits and Parts'!$B$56:$B$60,0)),"?")))</f>
        <v/>
      </c>
      <c r="BU160" s="97" t="str">
        <f>IF($A160="","",IF($AI160="",1,IFERROR(INDEX('Sublimits and Parts'!$C$64:$C$67,MATCH($AI160,'Sublimits and Parts'!$B$64:$B$67,0)),"?")))</f>
        <v/>
      </c>
      <c r="BV160" s="97" t="str">
        <f>IF($A160="","",IF($AJ160="",1,IFERROR(INDEX('Sublimits and Parts'!$C$71:$C$74,MATCH($AJ160,'Sublimits and Parts'!$B$71:$B$74,0)),"?")))</f>
        <v/>
      </c>
      <c r="BW160" s="97" t="str">
        <f>IF($A160="","",IF($AK160="",1,IFERROR(INDEX('Sublimits and Parts'!$C$78:$C$80,MATCH($AK160,'Sublimits and Parts'!$B$78:$B$80,0)),"?")))</f>
        <v/>
      </c>
      <c r="BX160" s="97" t="str">
        <f>IF($A160="","",IF($AL160="",1,IFERROR(INDEX('Sublimits and Parts'!$C$84:$C$87,MATCH($AL160,'Sublimits and Parts'!$B$84:$B$87,0)),"?")))</f>
        <v/>
      </c>
      <c r="BY160" s="97" t="str">
        <f>IF($A160="","",IF($AM160="",1,IFERROR(INDEX('Sublimits and Parts'!$C$91:$C$94,MATCH($AM160,'Sublimits and Parts'!$B$91:$B$94,0)),"?")))</f>
        <v/>
      </c>
      <c r="BZ160" s="97" t="str">
        <f>IF($A160="","",IF($AN160="",1,IFERROR(INDEX('Sublimits and Parts'!$C$98:$C$101,MATCH($AN160,'Sublimits and Parts'!$B$98:$B$101,0)),"?")))</f>
        <v/>
      </c>
      <c r="CA160" s="97" t="str">
        <f>IF($A160="","",IF($AO160="",1,IFERROR(INDEX('Sublimits and Parts'!$C$105:$C$109,MATCH($AO160,'Sublimits and Parts'!$B$105:$B$109,0)),"?")))</f>
        <v/>
      </c>
      <c r="CB160" s="98" t="str">
        <f t="shared" si="28"/>
        <v/>
      </c>
      <c r="CC160" s="98" t="str">
        <f t="shared" si="29"/>
        <v/>
      </c>
      <c r="CD160" s="101" t="str">
        <f>IF($A160="","",IF(OR($CB160="?",$CC160="?"),"?",MIN($CB160*$CC160,'Technical Premium'!$C$17)))</f>
        <v/>
      </c>
      <c r="CE160" s="100" t="str">
        <f t="shared" si="30"/>
        <v/>
      </c>
      <c r="CF160" s="100" t="str">
        <f>IF($A160="","",IFERROR(INDEX('Territory Factors'!$F$6:$F$56,MATCH($K160,'Territory Factors'!$B$6:$B$56,0)),"?"))</f>
        <v/>
      </c>
      <c r="CG160" s="98" t="str">
        <f>IF($A160="","",IFERROR(INDEX('Usage and Coverage'!$C$79:$C$84,MATCH($Y160,'Usage and Coverage'!$B$79:$B$84,0)),"?"))</f>
        <v/>
      </c>
      <c r="CH160" s="100" t="str">
        <f>IFERROR(IF(ISNUMBER($CD160),$CF160*$CG160*MIN($BG160*$BA160*$BC160*$BD160*$BH160*$BF160,'Technical Premium'!$C$17),""),"")</f>
        <v/>
      </c>
      <c r="CI160" s="100" t="str">
        <f t="shared" si="31"/>
        <v/>
      </c>
      <c r="CJ160" s="100" t="str">
        <f>IFERROR($CI160*(1+'Technical Premium'!$C$5)*(1+'Technical Premium'!$C$6),"")</f>
        <v/>
      </c>
      <c r="CK160" s="100" t="str">
        <f>IFERROR($CE160*INDEX('Territory Factors'!$G$6:$G$56,MATCH($K160,'Territory Factors'!$B$6:$B$56,0))*$AU160*$AV160,"")</f>
        <v/>
      </c>
      <c r="CL160" s="100" t="str">
        <f>IFERROR(($CJ160+$CK160)*(1+'Technical Premium'!$C$7),"")</f>
        <v/>
      </c>
      <c r="CM160" s="102" t="str">
        <f>IFERROR($CL160/'Technical Premium'!$C$13,"")</f>
        <v/>
      </c>
      <c r="CN160" s="103" t="str">
        <f t="shared" si="32"/>
        <v/>
      </c>
      <c r="CO160" s="102" t="str">
        <f t="shared" si="33"/>
        <v/>
      </c>
      <c r="CP160" s="103" t="str">
        <f t="shared" si="34"/>
        <v/>
      </c>
      <c r="CQ160" s="104" t="str">
        <f t="shared" si="35"/>
        <v/>
      </c>
      <c r="CR160" s="100" t="str">
        <f>IF(ISNUMBER($CM160),'Technical Premium'!$C$14+IF($J160&gt;=1000000,'Technical Premium'!$C$15,0),"")</f>
        <v/>
      </c>
      <c r="CS160" s="100" t="str">
        <f>IFERROR(($CO160+$CR160)*(INDEX('Territory Factors'!$K$6:$K$56,MATCH($K160,'Territory Factors'!$B$6:$B$56,0))+'Commission Structure'!$C$21),"")</f>
        <v/>
      </c>
      <c r="CT160" s="102" t="str">
        <f t="shared" si="36"/>
        <v/>
      </c>
      <c r="CU160" s="100" t="str">
        <f>IFERROR($CO160*('Commission Structure'!$C$6+'Commission Structure'!$C$7),"")</f>
        <v/>
      </c>
      <c r="CV160" s="100" t="str">
        <f>IFERROR($CO160*'Commission Structure'!$C$5-$CU160,"")</f>
        <v/>
      </c>
      <c r="CW160" s="100" t="str">
        <f>IFERROR($CO160*(1-'Commission Structure'!$C$5),"")</f>
        <v/>
      </c>
      <c r="CX160" s="105" t="str">
        <f>IF($A160="","",IF(OR($CB160="?",$CC160="?",NOT(ISNUMBER($AU160))),"CHECK INPUTS",IF(OR($J160&lt;'Technical Premium'!$C$18,LEFT(IFERROR(INDEX('Driver Factors'!$D$6:$D$15,MATCH($R160,'Driver Factors'!$B$6:$B$15,0)),""),7)="DECLINE",LEFT(IFERROR(INDEX('Driver Factors'!$D$28:$D$36,MATCH($T160,'Driver Factors'!$B$28:$B$36,0)),""),7)="DECLINE",LEFT(IFERROR(INDEX('Claims History'!$D$6:$D$15,MATCH($U160,'Claims History'!$B$6:$B$15,0)),""),7)="DECLINE",LEFT(IFERROR(INDEX('Usage and Coverage'!$E$6:$E$20,MATCH($N160,'Usage and Coverage'!$C$6:$C$20,0)),""),7)="DECLINE"),"DECLINE",IF(OR($CD160&gt;2.5,$CD160&gt;='Technical Premium'!$C$17,$J160&gt;='Technical Premium'!$C$16,N($AQ160)&lt;'Technical Premium'!$C$19,N($AQ160)&gt;'Technical Premium'!$C$20,LEFT(IFERROR(INDEX('Driver Factors'!$D$6:$D$15,MATCH($R160,'Driver Factors'!$B$6:$B$15,0)),""),5)="Refer",LEFT(IFERROR(INDEX('Driver Factors'!$D$28:$D$36,MATCH($T160,'Driver Factors'!$B$28:$B$36,0)),""),5)="Refer",LEFT(IFERROR(INDEX('Claims History'!$D$6:$D$15,MATCH($U160,'Claims History'!$B$6:$B$15,0)),""),5)="Refer",LEFT(IFERROR(INDEX('Usage and Coverage'!$E$6:$E$20,MATCH($N160,'Usage and Coverage'!$C$6:$C$20,0)),""),5)="Refer"),"REFER","AUTO-BIND"))))</f>
        <v/>
      </c>
      <c r="CY160" s="106" t="str">
        <f t="shared" si="37"/>
        <v/>
      </c>
      <c r="CZ160" s="97" t="str">
        <f>IF($CY160="","",IF($CY160&lt;'Technical Premium'!$C$19,"BEYOND AUTHORITY",IF($CY160&gt;0.005,"Above technical",IF($CY160&lt;-0.005,"BELOW technical","At technical"))))</f>
        <v/>
      </c>
      <c r="DA160" s="97" t="str">
        <f>IF($A160="","",IF($CX160="AUTO-BIND","",TRIM(IF($J160&lt;'Technical Premium'!$C$18,"Below programme minimum agreed value. ","")&amp;IF(N($AQ160)&lt;'Technical Premium'!$C$19,"DISCOUNT AUTHORITY BREACH. ","")&amp;IF(N($AQ160)&gt;'Technical Premium'!$C$20,"Load authority breach. ","")&amp;IF($J160&gt;='Technical Premium'!$C$16,"Agreed value at or above auto-bind limit. ","")&amp;IF(AND(ISNUMBER($CD160),$CD160&gt;='Technical Premium'!$C$17),"Composite factor at cap. ","")&amp;IF(AND(ISNUMBER($CD160),$CD160&gt;2.5),"Composite factor above 2.50. ","")&amp;IF(LEFT(IFERROR(INDEX('Driver Factors'!$D$6:$D$15,MATCH($R160,'Driver Factors'!$B$6:$B$15,0)),""),7)="DECLINE","DECLINE - driver age. ",IF(LEFT(IFERROR(INDEX('Driver Factors'!$D$6:$D$15,MATCH($R160,'Driver Factors'!$B$6:$B$15,0)),""),5)="Refer","Driver age band. ",""))&amp;IF(LEFT(IFERROR(INDEX('Driver Factors'!$D$28:$D$36,MATCH($T160,'Driver Factors'!$B$28:$B$36,0)),""),7)="DECLINE","DECLINE - MVR. ",IF(LEFT(IFERROR(INDEX('Driver Factors'!$D$28:$D$36,MATCH($T160,'Driver Factors'!$B$28:$B$36,0)),""),5)="Refer","MVR record. ",""))&amp;IF(LEFT(IFERROR(INDEX('Claims History'!$D$6:$D$15,MATCH($U160,'Claims History'!$B$6:$B$15,0)),""),7)="DECLINE","DECLINE - claims. ",IF(LEFT(IFERROR(INDEX('Claims History'!$D$6:$D$15,MATCH($U160,'Claims History'!$B$6:$B$15,0)),""),5)="Refer","Claims history. ",""))&amp;IF(LEFT(IFERROR(INDEX('Usage and Coverage'!$E$6:$E$20,MATCH($N160,'Usage and Coverage'!$C$6:$C$20,0)),""),7)="DECLINE","DECLINE - usage class. ",IF(LEFT(IFERROR(INDEX('Usage and Coverage'!$E$6:$E$20,MATCH($N160,'Usage and Coverage'!$C$6:$C$20,0)),""),5)="Refer","Usage class. ",""))&amp;IF($CX160="CHECK INPUTS","Incomplete inputs. ",""))))</f>
        <v/>
      </c>
      <c r="DB160" s="92"/>
      <c r="DC160" s="92"/>
      <c r="DD160" s="93"/>
      <c r="DE160" s="92"/>
      <c r="DF160" s="92"/>
      <c r="DG160" s="97" t="str">
        <f t="shared" si="38"/>
        <v/>
      </c>
      <c r="DH160" s="97" t="str">
        <f>IF($A160="","",IF(OR($CX160="REFER",$CX160="DECLINE"),COUNTIF($CX$5:$CX160,"REFER")+COUNTIF($CX$5:$CX160,"DECLINE"),""))</f>
        <v/>
      </c>
      <c r="DI160" s="92"/>
    </row>
    <row r="161" spans="1:113" x14ac:dyDescent="0.25">
      <c r="A161" s="92"/>
      <c r="B161" s="92"/>
      <c r="C161" s="93"/>
      <c r="D161" s="93"/>
      <c r="E161" s="94"/>
      <c r="F161" s="92"/>
      <c r="G161" s="92"/>
      <c r="H161" s="92"/>
      <c r="I161" s="92"/>
      <c r="J161" s="95"/>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6"/>
      <c r="AR161" s="97" t="str">
        <f t="shared" si="26"/>
        <v/>
      </c>
      <c r="AS161" s="97" t="str">
        <f>IF($A161="","",IF($AP161&lt;&gt;"",$AP161,IFERROR(INDEX('Cat Zone by ZIP'!$D$6:$D$856,MATCH($AR161,'Cat Zone by ZIP'!$B$6:$B$856,0)),IFERROR(INDEX('Cat Zone by ZIP'!$C$860:$C$910,MATCH($K161,'Cat Zone by ZIP'!$B$860:$B$910,0)),"NOT FOUND"))))</f>
        <v/>
      </c>
      <c r="AT161" s="97" t="str">
        <f>IF($A161="","",IF($AP161&lt;&gt;"","Override",IF(ISNUMBER(MATCH($AR161,'Cat Zone by ZIP'!$B$6:$B$856,0)),"ZIP-3","State default")))</f>
        <v/>
      </c>
      <c r="AU161" s="98" t="str">
        <f>IF($A161="","",IFERROR(INDEX('Natural Catastrophe'!$D$6:$D$17,MATCH($AS161,'Natural Catastrophe'!$B$6:$B$17,0)),"?"))</f>
        <v/>
      </c>
      <c r="AV161" s="98" t="str">
        <f>IF($A161="","",IFERROR(INDEX('Natural Catastrophe'!$C$21:$C$26,MATCH($AA161,'Natural Catastrophe'!$B$21:$B$26,0)),"?"))</f>
        <v/>
      </c>
      <c r="AW161" s="97" t="str">
        <f>IF($A161="","",IFERROR(INDEX('Base Rates'!$C$4:$I$4,MATCH(MAX($J161,'Technical Premium'!$C$18),'Base Rates'!$C$3:$I$3,1)),"?"))</f>
        <v/>
      </c>
      <c r="AX161" s="99" t="str">
        <f>IF($A161="","",IFERROR(INDEX('Base Rates'!$C$5:$I$16,MATCH($I161,'Base Rates'!$B$5:$B$16,0),MATCH(MAX($J161,'Technical Premium'!$C$18),'Base Rates'!$C$3:$I$3,1)),"?"))</f>
        <v/>
      </c>
      <c r="AY161" s="100" t="str">
        <f t="shared" si="27"/>
        <v/>
      </c>
      <c r="AZ161" s="97" t="str">
        <f>IF($A161="","",IFERROR(INDEX('Make Factors'!$G$5:$G$69,MATCH($F161,'Make Factors'!$B$5:$B$69,0)),"?"))</f>
        <v/>
      </c>
      <c r="BA161" s="97" t="str">
        <f>IF($A161="","",IFERROR(INDEX('Driver Factors'!$C$6:$C$15,MATCH($R161,'Driver Factors'!$B$6:$B$15,0)),"?"))</f>
        <v/>
      </c>
      <c r="BB161" s="97" t="str">
        <f>IF($A161="","",IFERROR(INDEX('Driver Factors'!$C$19:$C$24,MATCH($S161,'Driver Factors'!$B$19:$B$24,0)),"?"))</f>
        <v/>
      </c>
      <c r="BC161" s="97" t="str">
        <f>IF($A161="","",IFERROR(INDEX('Driver Factors'!$C$28:$C$36,MATCH($T161,'Driver Factors'!$B$28:$B$36,0)),"?"))</f>
        <v/>
      </c>
      <c r="BD161" s="97" t="str">
        <f>IF($A161="","",IFERROR(INDEX('Claims History'!$C$6:$C$15,MATCH($U161,'Claims History'!$B$6:$B$15,0)),"?"))</f>
        <v/>
      </c>
      <c r="BE161" s="97" t="str">
        <f>IF($A161="","",IFERROR(INDEX('Territory Factors'!$E$6:$E$56,MATCH($K161,'Territory Factors'!$B$6:$B$56,0)),"?"))</f>
        <v/>
      </c>
      <c r="BF161" s="97" t="str">
        <f>IF($A161="","",IFERROR(INDEX('City Accident Ratings'!$G$6:$G$54,MATCH($Z161,'City Accident Ratings'!$B$6:$B$54,0)),"?"))</f>
        <v/>
      </c>
      <c r="BG161" s="97" t="str">
        <f>IF($A161="","",IFERROR(INDEX('Usage and Coverage'!$D$6:$D$20,MATCH($N161,'Usage and Coverage'!$C$6:$C$20,0)),"?"))</f>
        <v/>
      </c>
      <c r="BH161" s="97" t="str">
        <f>IF($A161="","",IFERROR(INDEX('Usage and Coverage'!$C$24:$C$30,MATCH($O161,'Usage and Coverage'!$B$24:$B$30,0)),"?"))</f>
        <v/>
      </c>
      <c r="BI161" s="97" t="str">
        <f>IF($A161="","",IFERROR(INDEX('Usage and Coverage'!$C$34:$C$40,MATCH($P161,'Usage and Coverage'!$B$34:$B$40,0)),"?"))</f>
        <v/>
      </c>
      <c r="BJ161" s="97" t="str">
        <f>IF($A161="","",IFERROR(INDEX('Usage and Coverage'!$C$44:$C$49,MATCH($Q161,'Usage and Coverage'!$B$44:$B$49,0)),"?"))</f>
        <v/>
      </c>
      <c r="BK161" s="97" t="str">
        <f>IF($A161="","",IFERROR(INDEX(Deductibles!$C$6:$I$15,MATCH($W161,Deductibles!$B$6:$B$15,0),MATCH(MAX($J161,'Technical Premium'!$C$18),'Base Rates'!$C$3:$I$3,1)),"?"))</f>
        <v/>
      </c>
      <c r="BL161" s="97" t="str">
        <f>IF($A161="","",IFERROR(INDEX('Usage and Coverage'!$C$63:$C$66,MATCH($X161,'Usage and Coverage'!$B$63:$B$66,0)),"?"))</f>
        <v/>
      </c>
      <c r="BM161" s="97" t="str">
        <f>IF($A161="","",IFERROR(INDEX('Usage and Coverage'!$C$70:$C$75,MATCH($V161,'Usage and Coverage'!$B$70:$B$75,0)),"?"))</f>
        <v/>
      </c>
      <c r="BN161" s="97" t="str">
        <f>IF($A161="","",IF($AB161="",1,IFERROR(INDEX(Deductibles!$C$48:$C$51,MATCH($AB161,Deductibles!$B$48:$B$51,0)),"?")))</f>
        <v/>
      </c>
      <c r="BO161" s="97" t="str">
        <f>IF($A161="","",IF($AC161="",1,IFERROR(INDEX(Deductibles!$C$55:$C$57,MATCH($AC161,Deductibles!$B$55:$B$57,0)),"?")))</f>
        <v/>
      </c>
      <c r="BP161" s="97" t="str">
        <f>IF($A161="","",IF($AD161="",1,IFERROR(INDEX(Deductibles!$C$61:$C$63,MATCH($AD161,Deductibles!$B$61:$B$63,0)),"?")))</f>
        <v/>
      </c>
      <c r="BQ161" s="97" t="str">
        <f>IF($A161="","",IF($AE161="",1,IFERROR(INDEX(Deductibles!$C$67:$C$69,MATCH($AE161,Deductibles!$B$67:$B$69,0)),"?")))</f>
        <v/>
      </c>
      <c r="BR161" s="97" t="str">
        <f>IF($A161="","",IF($AF161="",1,IFERROR(INDEX(Deductibles!$C$73:$C$74,MATCH($AF161,Deductibles!$B$73:$B$74,0)),"?")))</f>
        <v/>
      </c>
      <c r="BS161" s="97" t="str">
        <f>IF($A161="","",IF($AG161="",1,IFERROR(INDEX('Sublimits and Parts'!$C$49:$C$52,MATCH($AG161,'Sublimits and Parts'!$B$49:$B$52,0)),"?")))</f>
        <v/>
      </c>
      <c r="BT161" s="97" t="str">
        <f>IF($A161="","",IF($AH161="",1,IFERROR(INDEX('Sublimits and Parts'!$C$56:$C$60,MATCH($AH161,'Sublimits and Parts'!$B$56:$B$60,0)),"?")))</f>
        <v/>
      </c>
      <c r="BU161" s="97" t="str">
        <f>IF($A161="","",IF($AI161="",1,IFERROR(INDEX('Sublimits and Parts'!$C$64:$C$67,MATCH($AI161,'Sublimits and Parts'!$B$64:$B$67,0)),"?")))</f>
        <v/>
      </c>
      <c r="BV161" s="97" t="str">
        <f>IF($A161="","",IF($AJ161="",1,IFERROR(INDEX('Sublimits and Parts'!$C$71:$C$74,MATCH($AJ161,'Sublimits and Parts'!$B$71:$B$74,0)),"?")))</f>
        <v/>
      </c>
      <c r="BW161" s="97" t="str">
        <f>IF($A161="","",IF($AK161="",1,IFERROR(INDEX('Sublimits and Parts'!$C$78:$C$80,MATCH($AK161,'Sublimits and Parts'!$B$78:$B$80,0)),"?")))</f>
        <v/>
      </c>
      <c r="BX161" s="97" t="str">
        <f>IF($A161="","",IF($AL161="",1,IFERROR(INDEX('Sublimits and Parts'!$C$84:$C$87,MATCH($AL161,'Sublimits and Parts'!$B$84:$B$87,0)),"?")))</f>
        <v/>
      </c>
      <c r="BY161" s="97" t="str">
        <f>IF($A161="","",IF($AM161="",1,IFERROR(INDEX('Sublimits and Parts'!$C$91:$C$94,MATCH($AM161,'Sublimits and Parts'!$B$91:$B$94,0)),"?")))</f>
        <v/>
      </c>
      <c r="BZ161" s="97" t="str">
        <f>IF($A161="","",IF($AN161="",1,IFERROR(INDEX('Sublimits and Parts'!$C$98:$C$101,MATCH($AN161,'Sublimits and Parts'!$B$98:$B$101,0)),"?")))</f>
        <v/>
      </c>
      <c r="CA161" s="97" t="str">
        <f>IF($A161="","",IF($AO161="",1,IFERROR(INDEX('Sublimits and Parts'!$C$105:$C$109,MATCH($AO161,'Sublimits and Parts'!$B$105:$B$109,0)),"?")))</f>
        <v/>
      </c>
      <c r="CB161" s="98" t="str">
        <f t="shared" si="28"/>
        <v/>
      </c>
      <c r="CC161" s="98" t="str">
        <f t="shared" si="29"/>
        <v/>
      </c>
      <c r="CD161" s="101" t="str">
        <f>IF($A161="","",IF(OR($CB161="?",$CC161="?"),"?",MIN($CB161*$CC161,'Technical Premium'!$C$17)))</f>
        <v/>
      </c>
      <c r="CE161" s="100" t="str">
        <f t="shared" si="30"/>
        <v/>
      </c>
      <c r="CF161" s="100" t="str">
        <f>IF($A161="","",IFERROR(INDEX('Territory Factors'!$F$6:$F$56,MATCH($K161,'Territory Factors'!$B$6:$B$56,0)),"?"))</f>
        <v/>
      </c>
      <c r="CG161" s="98" t="str">
        <f>IF($A161="","",IFERROR(INDEX('Usage and Coverage'!$C$79:$C$84,MATCH($Y161,'Usage and Coverage'!$B$79:$B$84,0)),"?"))</f>
        <v/>
      </c>
      <c r="CH161" s="100" t="str">
        <f>IFERROR(IF(ISNUMBER($CD161),$CF161*$CG161*MIN($BG161*$BA161*$BC161*$BD161*$BH161*$BF161,'Technical Premium'!$C$17),""),"")</f>
        <v/>
      </c>
      <c r="CI161" s="100" t="str">
        <f t="shared" si="31"/>
        <v/>
      </c>
      <c r="CJ161" s="100" t="str">
        <f>IFERROR($CI161*(1+'Technical Premium'!$C$5)*(1+'Technical Premium'!$C$6),"")</f>
        <v/>
      </c>
      <c r="CK161" s="100" t="str">
        <f>IFERROR($CE161*INDEX('Territory Factors'!$G$6:$G$56,MATCH($K161,'Territory Factors'!$B$6:$B$56,0))*$AU161*$AV161,"")</f>
        <v/>
      </c>
      <c r="CL161" s="100" t="str">
        <f>IFERROR(($CJ161+$CK161)*(1+'Technical Premium'!$C$7),"")</f>
        <v/>
      </c>
      <c r="CM161" s="102" t="str">
        <f>IFERROR($CL161/'Technical Premium'!$C$13,"")</f>
        <v/>
      </c>
      <c r="CN161" s="103" t="str">
        <f t="shared" si="32"/>
        <v/>
      </c>
      <c r="CO161" s="102" t="str">
        <f t="shared" si="33"/>
        <v/>
      </c>
      <c r="CP161" s="103" t="str">
        <f t="shared" si="34"/>
        <v/>
      </c>
      <c r="CQ161" s="104" t="str">
        <f t="shared" si="35"/>
        <v/>
      </c>
      <c r="CR161" s="100" t="str">
        <f>IF(ISNUMBER($CM161),'Technical Premium'!$C$14+IF($J161&gt;=1000000,'Technical Premium'!$C$15,0),"")</f>
        <v/>
      </c>
      <c r="CS161" s="100" t="str">
        <f>IFERROR(($CO161+$CR161)*(INDEX('Territory Factors'!$K$6:$K$56,MATCH($K161,'Territory Factors'!$B$6:$B$56,0))+'Commission Structure'!$C$21),"")</f>
        <v/>
      </c>
      <c r="CT161" s="102" t="str">
        <f t="shared" si="36"/>
        <v/>
      </c>
      <c r="CU161" s="100" t="str">
        <f>IFERROR($CO161*('Commission Structure'!$C$6+'Commission Structure'!$C$7),"")</f>
        <v/>
      </c>
      <c r="CV161" s="100" t="str">
        <f>IFERROR($CO161*'Commission Structure'!$C$5-$CU161,"")</f>
        <v/>
      </c>
      <c r="CW161" s="100" t="str">
        <f>IFERROR($CO161*(1-'Commission Structure'!$C$5),"")</f>
        <v/>
      </c>
      <c r="CX161" s="105" t="str">
        <f>IF($A161="","",IF(OR($CB161="?",$CC161="?",NOT(ISNUMBER($AU161))),"CHECK INPUTS",IF(OR($J161&lt;'Technical Premium'!$C$18,LEFT(IFERROR(INDEX('Driver Factors'!$D$6:$D$15,MATCH($R161,'Driver Factors'!$B$6:$B$15,0)),""),7)="DECLINE",LEFT(IFERROR(INDEX('Driver Factors'!$D$28:$D$36,MATCH($T161,'Driver Factors'!$B$28:$B$36,0)),""),7)="DECLINE",LEFT(IFERROR(INDEX('Claims History'!$D$6:$D$15,MATCH($U161,'Claims History'!$B$6:$B$15,0)),""),7)="DECLINE",LEFT(IFERROR(INDEX('Usage and Coverage'!$E$6:$E$20,MATCH($N161,'Usage and Coverage'!$C$6:$C$20,0)),""),7)="DECLINE"),"DECLINE",IF(OR($CD161&gt;2.5,$CD161&gt;='Technical Premium'!$C$17,$J161&gt;='Technical Premium'!$C$16,N($AQ161)&lt;'Technical Premium'!$C$19,N($AQ161)&gt;'Technical Premium'!$C$20,LEFT(IFERROR(INDEX('Driver Factors'!$D$6:$D$15,MATCH($R161,'Driver Factors'!$B$6:$B$15,0)),""),5)="Refer",LEFT(IFERROR(INDEX('Driver Factors'!$D$28:$D$36,MATCH($T161,'Driver Factors'!$B$28:$B$36,0)),""),5)="Refer",LEFT(IFERROR(INDEX('Claims History'!$D$6:$D$15,MATCH($U161,'Claims History'!$B$6:$B$15,0)),""),5)="Refer",LEFT(IFERROR(INDEX('Usage and Coverage'!$E$6:$E$20,MATCH($N161,'Usage and Coverage'!$C$6:$C$20,0)),""),5)="Refer"),"REFER","AUTO-BIND"))))</f>
        <v/>
      </c>
      <c r="CY161" s="106" t="str">
        <f t="shared" si="37"/>
        <v/>
      </c>
      <c r="CZ161" s="97" t="str">
        <f>IF($CY161="","",IF($CY161&lt;'Technical Premium'!$C$19,"BEYOND AUTHORITY",IF($CY161&gt;0.005,"Above technical",IF($CY161&lt;-0.005,"BELOW technical","At technical"))))</f>
        <v/>
      </c>
      <c r="DA161" s="97" t="str">
        <f>IF($A161="","",IF($CX161="AUTO-BIND","",TRIM(IF($J161&lt;'Technical Premium'!$C$18,"Below programme minimum agreed value. ","")&amp;IF(N($AQ161)&lt;'Technical Premium'!$C$19,"DISCOUNT AUTHORITY BREACH. ","")&amp;IF(N($AQ161)&gt;'Technical Premium'!$C$20,"Load authority breach. ","")&amp;IF($J161&gt;='Technical Premium'!$C$16,"Agreed value at or above auto-bind limit. ","")&amp;IF(AND(ISNUMBER($CD161),$CD161&gt;='Technical Premium'!$C$17),"Composite factor at cap. ","")&amp;IF(AND(ISNUMBER($CD161),$CD161&gt;2.5),"Composite factor above 2.50. ","")&amp;IF(LEFT(IFERROR(INDEX('Driver Factors'!$D$6:$D$15,MATCH($R161,'Driver Factors'!$B$6:$B$15,0)),""),7)="DECLINE","DECLINE - driver age. ",IF(LEFT(IFERROR(INDEX('Driver Factors'!$D$6:$D$15,MATCH($R161,'Driver Factors'!$B$6:$B$15,0)),""),5)="Refer","Driver age band. ",""))&amp;IF(LEFT(IFERROR(INDEX('Driver Factors'!$D$28:$D$36,MATCH($T161,'Driver Factors'!$B$28:$B$36,0)),""),7)="DECLINE","DECLINE - MVR. ",IF(LEFT(IFERROR(INDEX('Driver Factors'!$D$28:$D$36,MATCH($T161,'Driver Factors'!$B$28:$B$36,0)),""),5)="Refer","MVR record. ",""))&amp;IF(LEFT(IFERROR(INDEX('Claims History'!$D$6:$D$15,MATCH($U161,'Claims History'!$B$6:$B$15,0)),""),7)="DECLINE","DECLINE - claims. ",IF(LEFT(IFERROR(INDEX('Claims History'!$D$6:$D$15,MATCH($U161,'Claims History'!$B$6:$B$15,0)),""),5)="Refer","Claims history. ",""))&amp;IF(LEFT(IFERROR(INDEX('Usage and Coverage'!$E$6:$E$20,MATCH($N161,'Usage and Coverage'!$C$6:$C$20,0)),""),7)="DECLINE","DECLINE - usage class. ",IF(LEFT(IFERROR(INDEX('Usage and Coverage'!$E$6:$E$20,MATCH($N161,'Usage and Coverage'!$C$6:$C$20,0)),""),5)="Refer","Usage class. ",""))&amp;IF($CX161="CHECK INPUTS","Incomplete inputs. ",""))))</f>
        <v/>
      </c>
      <c r="DB161" s="92"/>
      <c r="DC161" s="92"/>
      <c r="DD161" s="93"/>
      <c r="DE161" s="92"/>
      <c r="DF161" s="92"/>
      <c r="DG161" s="97" t="str">
        <f t="shared" si="38"/>
        <v/>
      </c>
      <c r="DH161" s="97" t="str">
        <f>IF($A161="","",IF(OR($CX161="REFER",$CX161="DECLINE"),COUNTIF($CX$5:$CX161,"REFER")+COUNTIF($CX$5:$CX161,"DECLINE"),""))</f>
        <v/>
      </c>
      <c r="DI161" s="92"/>
    </row>
    <row r="162" spans="1:113" x14ac:dyDescent="0.25">
      <c r="A162" s="92"/>
      <c r="B162" s="92"/>
      <c r="C162" s="93"/>
      <c r="D162" s="93"/>
      <c r="E162" s="94"/>
      <c r="F162" s="92"/>
      <c r="G162" s="92"/>
      <c r="H162" s="92"/>
      <c r="I162" s="92"/>
      <c r="J162" s="95"/>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6"/>
      <c r="AR162" s="97" t="str">
        <f t="shared" si="26"/>
        <v/>
      </c>
      <c r="AS162" s="97" t="str">
        <f>IF($A162="","",IF($AP162&lt;&gt;"",$AP162,IFERROR(INDEX('Cat Zone by ZIP'!$D$6:$D$856,MATCH($AR162,'Cat Zone by ZIP'!$B$6:$B$856,0)),IFERROR(INDEX('Cat Zone by ZIP'!$C$860:$C$910,MATCH($K162,'Cat Zone by ZIP'!$B$860:$B$910,0)),"NOT FOUND"))))</f>
        <v/>
      </c>
      <c r="AT162" s="97" t="str">
        <f>IF($A162="","",IF($AP162&lt;&gt;"","Override",IF(ISNUMBER(MATCH($AR162,'Cat Zone by ZIP'!$B$6:$B$856,0)),"ZIP-3","State default")))</f>
        <v/>
      </c>
      <c r="AU162" s="98" t="str">
        <f>IF($A162="","",IFERROR(INDEX('Natural Catastrophe'!$D$6:$D$17,MATCH($AS162,'Natural Catastrophe'!$B$6:$B$17,0)),"?"))</f>
        <v/>
      </c>
      <c r="AV162" s="98" t="str">
        <f>IF($A162="","",IFERROR(INDEX('Natural Catastrophe'!$C$21:$C$26,MATCH($AA162,'Natural Catastrophe'!$B$21:$B$26,0)),"?"))</f>
        <v/>
      </c>
      <c r="AW162" s="97" t="str">
        <f>IF($A162="","",IFERROR(INDEX('Base Rates'!$C$4:$I$4,MATCH(MAX($J162,'Technical Premium'!$C$18),'Base Rates'!$C$3:$I$3,1)),"?"))</f>
        <v/>
      </c>
      <c r="AX162" s="99" t="str">
        <f>IF($A162="","",IFERROR(INDEX('Base Rates'!$C$5:$I$16,MATCH($I162,'Base Rates'!$B$5:$B$16,0),MATCH(MAX($J162,'Technical Premium'!$C$18),'Base Rates'!$C$3:$I$3,1)),"?"))</f>
        <v/>
      </c>
      <c r="AY162" s="100" t="str">
        <f t="shared" si="27"/>
        <v/>
      </c>
      <c r="AZ162" s="97" t="str">
        <f>IF($A162="","",IFERROR(INDEX('Make Factors'!$G$5:$G$69,MATCH($F162,'Make Factors'!$B$5:$B$69,0)),"?"))</f>
        <v/>
      </c>
      <c r="BA162" s="97" t="str">
        <f>IF($A162="","",IFERROR(INDEX('Driver Factors'!$C$6:$C$15,MATCH($R162,'Driver Factors'!$B$6:$B$15,0)),"?"))</f>
        <v/>
      </c>
      <c r="BB162" s="97" t="str">
        <f>IF($A162="","",IFERROR(INDEX('Driver Factors'!$C$19:$C$24,MATCH($S162,'Driver Factors'!$B$19:$B$24,0)),"?"))</f>
        <v/>
      </c>
      <c r="BC162" s="97" t="str">
        <f>IF($A162="","",IFERROR(INDEX('Driver Factors'!$C$28:$C$36,MATCH($T162,'Driver Factors'!$B$28:$B$36,0)),"?"))</f>
        <v/>
      </c>
      <c r="BD162" s="97" t="str">
        <f>IF($A162="","",IFERROR(INDEX('Claims History'!$C$6:$C$15,MATCH($U162,'Claims History'!$B$6:$B$15,0)),"?"))</f>
        <v/>
      </c>
      <c r="BE162" s="97" t="str">
        <f>IF($A162="","",IFERROR(INDEX('Territory Factors'!$E$6:$E$56,MATCH($K162,'Territory Factors'!$B$6:$B$56,0)),"?"))</f>
        <v/>
      </c>
      <c r="BF162" s="97" t="str">
        <f>IF($A162="","",IFERROR(INDEX('City Accident Ratings'!$G$6:$G$54,MATCH($Z162,'City Accident Ratings'!$B$6:$B$54,0)),"?"))</f>
        <v/>
      </c>
      <c r="BG162" s="97" t="str">
        <f>IF($A162="","",IFERROR(INDEX('Usage and Coverage'!$D$6:$D$20,MATCH($N162,'Usage and Coverage'!$C$6:$C$20,0)),"?"))</f>
        <v/>
      </c>
      <c r="BH162" s="97" t="str">
        <f>IF($A162="","",IFERROR(INDEX('Usage and Coverage'!$C$24:$C$30,MATCH($O162,'Usage and Coverage'!$B$24:$B$30,0)),"?"))</f>
        <v/>
      </c>
      <c r="BI162" s="97" t="str">
        <f>IF($A162="","",IFERROR(INDEX('Usage and Coverage'!$C$34:$C$40,MATCH($P162,'Usage and Coverage'!$B$34:$B$40,0)),"?"))</f>
        <v/>
      </c>
      <c r="BJ162" s="97" t="str">
        <f>IF($A162="","",IFERROR(INDEX('Usage and Coverage'!$C$44:$C$49,MATCH($Q162,'Usage and Coverage'!$B$44:$B$49,0)),"?"))</f>
        <v/>
      </c>
      <c r="BK162" s="97" t="str">
        <f>IF($A162="","",IFERROR(INDEX(Deductibles!$C$6:$I$15,MATCH($W162,Deductibles!$B$6:$B$15,0),MATCH(MAX($J162,'Technical Premium'!$C$18),'Base Rates'!$C$3:$I$3,1)),"?"))</f>
        <v/>
      </c>
      <c r="BL162" s="97" t="str">
        <f>IF($A162="","",IFERROR(INDEX('Usage and Coverage'!$C$63:$C$66,MATCH($X162,'Usage and Coverage'!$B$63:$B$66,0)),"?"))</f>
        <v/>
      </c>
      <c r="BM162" s="97" t="str">
        <f>IF($A162="","",IFERROR(INDEX('Usage and Coverage'!$C$70:$C$75,MATCH($V162,'Usage and Coverage'!$B$70:$B$75,0)),"?"))</f>
        <v/>
      </c>
      <c r="BN162" s="97" t="str">
        <f>IF($A162="","",IF($AB162="",1,IFERROR(INDEX(Deductibles!$C$48:$C$51,MATCH($AB162,Deductibles!$B$48:$B$51,0)),"?")))</f>
        <v/>
      </c>
      <c r="BO162" s="97" t="str">
        <f>IF($A162="","",IF($AC162="",1,IFERROR(INDEX(Deductibles!$C$55:$C$57,MATCH($AC162,Deductibles!$B$55:$B$57,0)),"?")))</f>
        <v/>
      </c>
      <c r="BP162" s="97" t="str">
        <f>IF($A162="","",IF($AD162="",1,IFERROR(INDEX(Deductibles!$C$61:$C$63,MATCH($AD162,Deductibles!$B$61:$B$63,0)),"?")))</f>
        <v/>
      </c>
      <c r="BQ162" s="97" t="str">
        <f>IF($A162="","",IF($AE162="",1,IFERROR(INDEX(Deductibles!$C$67:$C$69,MATCH($AE162,Deductibles!$B$67:$B$69,0)),"?")))</f>
        <v/>
      </c>
      <c r="BR162" s="97" t="str">
        <f>IF($A162="","",IF($AF162="",1,IFERROR(INDEX(Deductibles!$C$73:$C$74,MATCH($AF162,Deductibles!$B$73:$B$74,0)),"?")))</f>
        <v/>
      </c>
      <c r="BS162" s="97" t="str">
        <f>IF($A162="","",IF($AG162="",1,IFERROR(INDEX('Sublimits and Parts'!$C$49:$C$52,MATCH($AG162,'Sublimits and Parts'!$B$49:$B$52,0)),"?")))</f>
        <v/>
      </c>
      <c r="BT162" s="97" t="str">
        <f>IF($A162="","",IF($AH162="",1,IFERROR(INDEX('Sublimits and Parts'!$C$56:$C$60,MATCH($AH162,'Sublimits and Parts'!$B$56:$B$60,0)),"?")))</f>
        <v/>
      </c>
      <c r="BU162" s="97" t="str">
        <f>IF($A162="","",IF($AI162="",1,IFERROR(INDEX('Sublimits and Parts'!$C$64:$C$67,MATCH($AI162,'Sublimits and Parts'!$B$64:$B$67,0)),"?")))</f>
        <v/>
      </c>
      <c r="BV162" s="97" t="str">
        <f>IF($A162="","",IF($AJ162="",1,IFERROR(INDEX('Sublimits and Parts'!$C$71:$C$74,MATCH($AJ162,'Sublimits and Parts'!$B$71:$B$74,0)),"?")))</f>
        <v/>
      </c>
      <c r="BW162" s="97" t="str">
        <f>IF($A162="","",IF($AK162="",1,IFERROR(INDEX('Sublimits and Parts'!$C$78:$C$80,MATCH($AK162,'Sublimits and Parts'!$B$78:$B$80,0)),"?")))</f>
        <v/>
      </c>
      <c r="BX162" s="97" t="str">
        <f>IF($A162="","",IF($AL162="",1,IFERROR(INDEX('Sublimits and Parts'!$C$84:$C$87,MATCH($AL162,'Sublimits and Parts'!$B$84:$B$87,0)),"?")))</f>
        <v/>
      </c>
      <c r="BY162" s="97" t="str">
        <f>IF($A162="","",IF($AM162="",1,IFERROR(INDEX('Sublimits and Parts'!$C$91:$C$94,MATCH($AM162,'Sublimits and Parts'!$B$91:$B$94,0)),"?")))</f>
        <v/>
      </c>
      <c r="BZ162" s="97" t="str">
        <f>IF($A162="","",IF($AN162="",1,IFERROR(INDEX('Sublimits and Parts'!$C$98:$C$101,MATCH($AN162,'Sublimits and Parts'!$B$98:$B$101,0)),"?")))</f>
        <v/>
      </c>
      <c r="CA162" s="97" t="str">
        <f>IF($A162="","",IF($AO162="",1,IFERROR(INDEX('Sublimits and Parts'!$C$105:$C$109,MATCH($AO162,'Sublimits and Parts'!$B$105:$B$109,0)),"?")))</f>
        <v/>
      </c>
      <c r="CB162" s="98" t="str">
        <f t="shared" si="28"/>
        <v/>
      </c>
      <c r="CC162" s="98" t="str">
        <f t="shared" si="29"/>
        <v/>
      </c>
      <c r="CD162" s="101" t="str">
        <f>IF($A162="","",IF(OR($CB162="?",$CC162="?"),"?",MIN($CB162*$CC162,'Technical Premium'!$C$17)))</f>
        <v/>
      </c>
      <c r="CE162" s="100" t="str">
        <f t="shared" si="30"/>
        <v/>
      </c>
      <c r="CF162" s="100" t="str">
        <f>IF($A162="","",IFERROR(INDEX('Territory Factors'!$F$6:$F$56,MATCH($K162,'Territory Factors'!$B$6:$B$56,0)),"?"))</f>
        <v/>
      </c>
      <c r="CG162" s="98" t="str">
        <f>IF($A162="","",IFERROR(INDEX('Usage and Coverage'!$C$79:$C$84,MATCH($Y162,'Usage and Coverage'!$B$79:$B$84,0)),"?"))</f>
        <v/>
      </c>
      <c r="CH162" s="100" t="str">
        <f>IFERROR(IF(ISNUMBER($CD162),$CF162*$CG162*MIN($BG162*$BA162*$BC162*$BD162*$BH162*$BF162,'Technical Premium'!$C$17),""),"")</f>
        <v/>
      </c>
      <c r="CI162" s="100" t="str">
        <f t="shared" si="31"/>
        <v/>
      </c>
      <c r="CJ162" s="100" t="str">
        <f>IFERROR($CI162*(1+'Technical Premium'!$C$5)*(1+'Technical Premium'!$C$6),"")</f>
        <v/>
      </c>
      <c r="CK162" s="100" t="str">
        <f>IFERROR($CE162*INDEX('Territory Factors'!$G$6:$G$56,MATCH($K162,'Territory Factors'!$B$6:$B$56,0))*$AU162*$AV162,"")</f>
        <v/>
      </c>
      <c r="CL162" s="100" t="str">
        <f>IFERROR(($CJ162+$CK162)*(1+'Technical Premium'!$C$7),"")</f>
        <v/>
      </c>
      <c r="CM162" s="102" t="str">
        <f>IFERROR($CL162/'Technical Premium'!$C$13,"")</f>
        <v/>
      </c>
      <c r="CN162" s="103" t="str">
        <f t="shared" si="32"/>
        <v/>
      </c>
      <c r="CO162" s="102" t="str">
        <f t="shared" si="33"/>
        <v/>
      </c>
      <c r="CP162" s="103" t="str">
        <f t="shared" si="34"/>
        <v/>
      </c>
      <c r="CQ162" s="104" t="str">
        <f t="shared" si="35"/>
        <v/>
      </c>
      <c r="CR162" s="100" t="str">
        <f>IF(ISNUMBER($CM162),'Technical Premium'!$C$14+IF($J162&gt;=1000000,'Technical Premium'!$C$15,0),"")</f>
        <v/>
      </c>
      <c r="CS162" s="100" t="str">
        <f>IFERROR(($CO162+$CR162)*(INDEX('Territory Factors'!$K$6:$K$56,MATCH($K162,'Territory Factors'!$B$6:$B$56,0))+'Commission Structure'!$C$21),"")</f>
        <v/>
      </c>
      <c r="CT162" s="102" t="str">
        <f t="shared" si="36"/>
        <v/>
      </c>
      <c r="CU162" s="100" t="str">
        <f>IFERROR($CO162*('Commission Structure'!$C$6+'Commission Structure'!$C$7),"")</f>
        <v/>
      </c>
      <c r="CV162" s="100" t="str">
        <f>IFERROR($CO162*'Commission Structure'!$C$5-$CU162,"")</f>
        <v/>
      </c>
      <c r="CW162" s="100" t="str">
        <f>IFERROR($CO162*(1-'Commission Structure'!$C$5),"")</f>
        <v/>
      </c>
      <c r="CX162" s="105" t="str">
        <f>IF($A162="","",IF(OR($CB162="?",$CC162="?",NOT(ISNUMBER($AU162))),"CHECK INPUTS",IF(OR($J162&lt;'Technical Premium'!$C$18,LEFT(IFERROR(INDEX('Driver Factors'!$D$6:$D$15,MATCH($R162,'Driver Factors'!$B$6:$B$15,0)),""),7)="DECLINE",LEFT(IFERROR(INDEX('Driver Factors'!$D$28:$D$36,MATCH($T162,'Driver Factors'!$B$28:$B$36,0)),""),7)="DECLINE",LEFT(IFERROR(INDEX('Claims History'!$D$6:$D$15,MATCH($U162,'Claims History'!$B$6:$B$15,0)),""),7)="DECLINE",LEFT(IFERROR(INDEX('Usage and Coverage'!$E$6:$E$20,MATCH($N162,'Usage and Coverage'!$C$6:$C$20,0)),""),7)="DECLINE"),"DECLINE",IF(OR($CD162&gt;2.5,$CD162&gt;='Technical Premium'!$C$17,$J162&gt;='Technical Premium'!$C$16,N($AQ162)&lt;'Technical Premium'!$C$19,N($AQ162)&gt;'Technical Premium'!$C$20,LEFT(IFERROR(INDEX('Driver Factors'!$D$6:$D$15,MATCH($R162,'Driver Factors'!$B$6:$B$15,0)),""),5)="Refer",LEFT(IFERROR(INDEX('Driver Factors'!$D$28:$D$36,MATCH($T162,'Driver Factors'!$B$28:$B$36,0)),""),5)="Refer",LEFT(IFERROR(INDEX('Claims History'!$D$6:$D$15,MATCH($U162,'Claims History'!$B$6:$B$15,0)),""),5)="Refer",LEFT(IFERROR(INDEX('Usage and Coverage'!$E$6:$E$20,MATCH($N162,'Usage and Coverage'!$C$6:$C$20,0)),""),5)="Refer"),"REFER","AUTO-BIND"))))</f>
        <v/>
      </c>
      <c r="CY162" s="106" t="str">
        <f t="shared" si="37"/>
        <v/>
      </c>
      <c r="CZ162" s="97" t="str">
        <f>IF($CY162="","",IF($CY162&lt;'Technical Premium'!$C$19,"BEYOND AUTHORITY",IF($CY162&gt;0.005,"Above technical",IF($CY162&lt;-0.005,"BELOW technical","At technical"))))</f>
        <v/>
      </c>
      <c r="DA162" s="97" t="str">
        <f>IF($A162="","",IF($CX162="AUTO-BIND","",TRIM(IF($J162&lt;'Technical Premium'!$C$18,"Below programme minimum agreed value. ","")&amp;IF(N($AQ162)&lt;'Technical Premium'!$C$19,"DISCOUNT AUTHORITY BREACH. ","")&amp;IF(N($AQ162)&gt;'Technical Premium'!$C$20,"Load authority breach. ","")&amp;IF($J162&gt;='Technical Premium'!$C$16,"Agreed value at or above auto-bind limit. ","")&amp;IF(AND(ISNUMBER($CD162),$CD162&gt;='Technical Premium'!$C$17),"Composite factor at cap. ","")&amp;IF(AND(ISNUMBER($CD162),$CD162&gt;2.5),"Composite factor above 2.50. ","")&amp;IF(LEFT(IFERROR(INDEX('Driver Factors'!$D$6:$D$15,MATCH($R162,'Driver Factors'!$B$6:$B$15,0)),""),7)="DECLINE","DECLINE - driver age. ",IF(LEFT(IFERROR(INDEX('Driver Factors'!$D$6:$D$15,MATCH($R162,'Driver Factors'!$B$6:$B$15,0)),""),5)="Refer","Driver age band. ",""))&amp;IF(LEFT(IFERROR(INDEX('Driver Factors'!$D$28:$D$36,MATCH($T162,'Driver Factors'!$B$28:$B$36,0)),""),7)="DECLINE","DECLINE - MVR. ",IF(LEFT(IFERROR(INDEX('Driver Factors'!$D$28:$D$36,MATCH($T162,'Driver Factors'!$B$28:$B$36,0)),""),5)="Refer","MVR record. ",""))&amp;IF(LEFT(IFERROR(INDEX('Claims History'!$D$6:$D$15,MATCH($U162,'Claims History'!$B$6:$B$15,0)),""),7)="DECLINE","DECLINE - claims. ",IF(LEFT(IFERROR(INDEX('Claims History'!$D$6:$D$15,MATCH($U162,'Claims History'!$B$6:$B$15,0)),""),5)="Refer","Claims history. ",""))&amp;IF(LEFT(IFERROR(INDEX('Usage and Coverage'!$E$6:$E$20,MATCH($N162,'Usage and Coverage'!$C$6:$C$20,0)),""),7)="DECLINE","DECLINE - usage class. ",IF(LEFT(IFERROR(INDEX('Usage and Coverage'!$E$6:$E$20,MATCH($N162,'Usage and Coverage'!$C$6:$C$20,0)),""),5)="Refer","Usage class. ",""))&amp;IF($CX162="CHECK INPUTS","Incomplete inputs. ",""))))</f>
        <v/>
      </c>
      <c r="DB162" s="92"/>
      <c r="DC162" s="92"/>
      <c r="DD162" s="93"/>
      <c r="DE162" s="92"/>
      <c r="DF162" s="92"/>
      <c r="DG162" s="97" t="str">
        <f t="shared" si="38"/>
        <v/>
      </c>
      <c r="DH162" s="97" t="str">
        <f>IF($A162="","",IF(OR($CX162="REFER",$CX162="DECLINE"),COUNTIF($CX$5:$CX162,"REFER")+COUNTIF($CX$5:$CX162,"DECLINE"),""))</f>
        <v/>
      </c>
      <c r="DI162" s="92"/>
    </row>
    <row r="163" spans="1:113" x14ac:dyDescent="0.25">
      <c r="A163" s="92"/>
      <c r="B163" s="92"/>
      <c r="C163" s="93"/>
      <c r="D163" s="93"/>
      <c r="E163" s="94"/>
      <c r="F163" s="92"/>
      <c r="G163" s="92"/>
      <c r="H163" s="92"/>
      <c r="I163" s="92"/>
      <c r="J163" s="95"/>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6"/>
      <c r="AR163" s="97" t="str">
        <f t="shared" si="26"/>
        <v/>
      </c>
      <c r="AS163" s="97" t="str">
        <f>IF($A163="","",IF($AP163&lt;&gt;"",$AP163,IFERROR(INDEX('Cat Zone by ZIP'!$D$6:$D$856,MATCH($AR163,'Cat Zone by ZIP'!$B$6:$B$856,0)),IFERROR(INDEX('Cat Zone by ZIP'!$C$860:$C$910,MATCH($K163,'Cat Zone by ZIP'!$B$860:$B$910,0)),"NOT FOUND"))))</f>
        <v/>
      </c>
      <c r="AT163" s="97" t="str">
        <f>IF($A163="","",IF($AP163&lt;&gt;"","Override",IF(ISNUMBER(MATCH($AR163,'Cat Zone by ZIP'!$B$6:$B$856,0)),"ZIP-3","State default")))</f>
        <v/>
      </c>
      <c r="AU163" s="98" t="str">
        <f>IF($A163="","",IFERROR(INDEX('Natural Catastrophe'!$D$6:$D$17,MATCH($AS163,'Natural Catastrophe'!$B$6:$B$17,0)),"?"))</f>
        <v/>
      </c>
      <c r="AV163" s="98" t="str">
        <f>IF($A163="","",IFERROR(INDEX('Natural Catastrophe'!$C$21:$C$26,MATCH($AA163,'Natural Catastrophe'!$B$21:$B$26,0)),"?"))</f>
        <v/>
      </c>
      <c r="AW163" s="97" t="str">
        <f>IF($A163="","",IFERROR(INDEX('Base Rates'!$C$4:$I$4,MATCH(MAX($J163,'Technical Premium'!$C$18),'Base Rates'!$C$3:$I$3,1)),"?"))</f>
        <v/>
      </c>
      <c r="AX163" s="99" t="str">
        <f>IF($A163="","",IFERROR(INDEX('Base Rates'!$C$5:$I$16,MATCH($I163,'Base Rates'!$B$5:$B$16,0),MATCH(MAX($J163,'Technical Premium'!$C$18),'Base Rates'!$C$3:$I$3,1)),"?"))</f>
        <v/>
      </c>
      <c r="AY163" s="100" t="str">
        <f t="shared" si="27"/>
        <v/>
      </c>
      <c r="AZ163" s="97" t="str">
        <f>IF($A163="","",IFERROR(INDEX('Make Factors'!$G$5:$G$69,MATCH($F163,'Make Factors'!$B$5:$B$69,0)),"?"))</f>
        <v/>
      </c>
      <c r="BA163" s="97" t="str">
        <f>IF($A163="","",IFERROR(INDEX('Driver Factors'!$C$6:$C$15,MATCH($R163,'Driver Factors'!$B$6:$B$15,0)),"?"))</f>
        <v/>
      </c>
      <c r="BB163" s="97" t="str">
        <f>IF($A163="","",IFERROR(INDEX('Driver Factors'!$C$19:$C$24,MATCH($S163,'Driver Factors'!$B$19:$B$24,0)),"?"))</f>
        <v/>
      </c>
      <c r="BC163" s="97" t="str">
        <f>IF($A163="","",IFERROR(INDEX('Driver Factors'!$C$28:$C$36,MATCH($T163,'Driver Factors'!$B$28:$B$36,0)),"?"))</f>
        <v/>
      </c>
      <c r="BD163" s="97" t="str">
        <f>IF($A163="","",IFERROR(INDEX('Claims History'!$C$6:$C$15,MATCH($U163,'Claims History'!$B$6:$B$15,0)),"?"))</f>
        <v/>
      </c>
      <c r="BE163" s="97" t="str">
        <f>IF($A163="","",IFERROR(INDEX('Territory Factors'!$E$6:$E$56,MATCH($K163,'Territory Factors'!$B$6:$B$56,0)),"?"))</f>
        <v/>
      </c>
      <c r="BF163" s="97" t="str">
        <f>IF($A163="","",IFERROR(INDEX('City Accident Ratings'!$G$6:$G$54,MATCH($Z163,'City Accident Ratings'!$B$6:$B$54,0)),"?"))</f>
        <v/>
      </c>
      <c r="BG163" s="97" t="str">
        <f>IF($A163="","",IFERROR(INDEX('Usage and Coverage'!$D$6:$D$20,MATCH($N163,'Usage and Coverage'!$C$6:$C$20,0)),"?"))</f>
        <v/>
      </c>
      <c r="BH163" s="97" t="str">
        <f>IF($A163="","",IFERROR(INDEX('Usage and Coverage'!$C$24:$C$30,MATCH($O163,'Usage and Coverage'!$B$24:$B$30,0)),"?"))</f>
        <v/>
      </c>
      <c r="BI163" s="97" t="str">
        <f>IF($A163="","",IFERROR(INDEX('Usage and Coverage'!$C$34:$C$40,MATCH($P163,'Usage and Coverage'!$B$34:$B$40,0)),"?"))</f>
        <v/>
      </c>
      <c r="BJ163" s="97" t="str">
        <f>IF($A163="","",IFERROR(INDEX('Usage and Coverage'!$C$44:$C$49,MATCH($Q163,'Usage and Coverage'!$B$44:$B$49,0)),"?"))</f>
        <v/>
      </c>
      <c r="BK163" s="97" t="str">
        <f>IF($A163="","",IFERROR(INDEX(Deductibles!$C$6:$I$15,MATCH($W163,Deductibles!$B$6:$B$15,0),MATCH(MAX($J163,'Technical Premium'!$C$18),'Base Rates'!$C$3:$I$3,1)),"?"))</f>
        <v/>
      </c>
      <c r="BL163" s="97" t="str">
        <f>IF($A163="","",IFERROR(INDEX('Usage and Coverage'!$C$63:$C$66,MATCH($X163,'Usage and Coverage'!$B$63:$B$66,0)),"?"))</f>
        <v/>
      </c>
      <c r="BM163" s="97" t="str">
        <f>IF($A163="","",IFERROR(INDEX('Usage and Coverage'!$C$70:$C$75,MATCH($V163,'Usage and Coverage'!$B$70:$B$75,0)),"?"))</f>
        <v/>
      </c>
      <c r="BN163" s="97" t="str">
        <f>IF($A163="","",IF($AB163="",1,IFERROR(INDEX(Deductibles!$C$48:$C$51,MATCH($AB163,Deductibles!$B$48:$B$51,0)),"?")))</f>
        <v/>
      </c>
      <c r="BO163" s="97" t="str">
        <f>IF($A163="","",IF($AC163="",1,IFERROR(INDEX(Deductibles!$C$55:$C$57,MATCH($AC163,Deductibles!$B$55:$B$57,0)),"?")))</f>
        <v/>
      </c>
      <c r="BP163" s="97" t="str">
        <f>IF($A163="","",IF($AD163="",1,IFERROR(INDEX(Deductibles!$C$61:$C$63,MATCH($AD163,Deductibles!$B$61:$B$63,0)),"?")))</f>
        <v/>
      </c>
      <c r="BQ163" s="97" t="str">
        <f>IF($A163="","",IF($AE163="",1,IFERROR(INDEX(Deductibles!$C$67:$C$69,MATCH($AE163,Deductibles!$B$67:$B$69,0)),"?")))</f>
        <v/>
      </c>
      <c r="BR163" s="97" t="str">
        <f>IF($A163="","",IF($AF163="",1,IFERROR(INDEX(Deductibles!$C$73:$C$74,MATCH($AF163,Deductibles!$B$73:$B$74,0)),"?")))</f>
        <v/>
      </c>
      <c r="BS163" s="97" t="str">
        <f>IF($A163="","",IF($AG163="",1,IFERROR(INDEX('Sublimits and Parts'!$C$49:$C$52,MATCH($AG163,'Sublimits and Parts'!$B$49:$B$52,0)),"?")))</f>
        <v/>
      </c>
      <c r="BT163" s="97" t="str">
        <f>IF($A163="","",IF($AH163="",1,IFERROR(INDEX('Sublimits and Parts'!$C$56:$C$60,MATCH($AH163,'Sublimits and Parts'!$B$56:$B$60,0)),"?")))</f>
        <v/>
      </c>
      <c r="BU163" s="97" t="str">
        <f>IF($A163="","",IF($AI163="",1,IFERROR(INDEX('Sublimits and Parts'!$C$64:$C$67,MATCH($AI163,'Sublimits and Parts'!$B$64:$B$67,0)),"?")))</f>
        <v/>
      </c>
      <c r="BV163" s="97" t="str">
        <f>IF($A163="","",IF($AJ163="",1,IFERROR(INDEX('Sublimits and Parts'!$C$71:$C$74,MATCH($AJ163,'Sublimits and Parts'!$B$71:$B$74,0)),"?")))</f>
        <v/>
      </c>
      <c r="BW163" s="97" t="str">
        <f>IF($A163="","",IF($AK163="",1,IFERROR(INDEX('Sublimits and Parts'!$C$78:$C$80,MATCH($AK163,'Sublimits and Parts'!$B$78:$B$80,0)),"?")))</f>
        <v/>
      </c>
      <c r="BX163" s="97" t="str">
        <f>IF($A163="","",IF($AL163="",1,IFERROR(INDEX('Sublimits and Parts'!$C$84:$C$87,MATCH($AL163,'Sublimits and Parts'!$B$84:$B$87,0)),"?")))</f>
        <v/>
      </c>
      <c r="BY163" s="97" t="str">
        <f>IF($A163="","",IF($AM163="",1,IFERROR(INDEX('Sublimits and Parts'!$C$91:$C$94,MATCH($AM163,'Sublimits and Parts'!$B$91:$B$94,0)),"?")))</f>
        <v/>
      </c>
      <c r="BZ163" s="97" t="str">
        <f>IF($A163="","",IF($AN163="",1,IFERROR(INDEX('Sublimits and Parts'!$C$98:$C$101,MATCH($AN163,'Sublimits and Parts'!$B$98:$B$101,0)),"?")))</f>
        <v/>
      </c>
      <c r="CA163" s="97" t="str">
        <f>IF($A163="","",IF($AO163="",1,IFERROR(INDEX('Sublimits and Parts'!$C$105:$C$109,MATCH($AO163,'Sublimits and Parts'!$B$105:$B$109,0)),"?")))</f>
        <v/>
      </c>
      <c r="CB163" s="98" t="str">
        <f t="shared" si="28"/>
        <v/>
      </c>
      <c r="CC163" s="98" t="str">
        <f t="shared" si="29"/>
        <v/>
      </c>
      <c r="CD163" s="101" t="str">
        <f>IF($A163="","",IF(OR($CB163="?",$CC163="?"),"?",MIN($CB163*$CC163,'Technical Premium'!$C$17)))</f>
        <v/>
      </c>
      <c r="CE163" s="100" t="str">
        <f t="shared" si="30"/>
        <v/>
      </c>
      <c r="CF163" s="100" t="str">
        <f>IF($A163="","",IFERROR(INDEX('Territory Factors'!$F$6:$F$56,MATCH($K163,'Territory Factors'!$B$6:$B$56,0)),"?"))</f>
        <v/>
      </c>
      <c r="CG163" s="98" t="str">
        <f>IF($A163="","",IFERROR(INDEX('Usage and Coverage'!$C$79:$C$84,MATCH($Y163,'Usage and Coverage'!$B$79:$B$84,0)),"?"))</f>
        <v/>
      </c>
      <c r="CH163" s="100" t="str">
        <f>IFERROR(IF(ISNUMBER($CD163),$CF163*$CG163*MIN($BG163*$BA163*$BC163*$BD163*$BH163*$BF163,'Technical Premium'!$C$17),""),"")</f>
        <v/>
      </c>
      <c r="CI163" s="100" t="str">
        <f t="shared" si="31"/>
        <v/>
      </c>
      <c r="CJ163" s="100" t="str">
        <f>IFERROR($CI163*(1+'Technical Premium'!$C$5)*(1+'Technical Premium'!$C$6),"")</f>
        <v/>
      </c>
      <c r="CK163" s="100" t="str">
        <f>IFERROR($CE163*INDEX('Territory Factors'!$G$6:$G$56,MATCH($K163,'Territory Factors'!$B$6:$B$56,0))*$AU163*$AV163,"")</f>
        <v/>
      </c>
      <c r="CL163" s="100" t="str">
        <f>IFERROR(($CJ163+$CK163)*(1+'Technical Premium'!$C$7),"")</f>
        <v/>
      </c>
      <c r="CM163" s="102" t="str">
        <f>IFERROR($CL163/'Technical Premium'!$C$13,"")</f>
        <v/>
      </c>
      <c r="CN163" s="103" t="str">
        <f t="shared" si="32"/>
        <v/>
      </c>
      <c r="CO163" s="102" t="str">
        <f t="shared" si="33"/>
        <v/>
      </c>
      <c r="CP163" s="103" t="str">
        <f t="shared" si="34"/>
        <v/>
      </c>
      <c r="CQ163" s="104" t="str">
        <f t="shared" si="35"/>
        <v/>
      </c>
      <c r="CR163" s="100" t="str">
        <f>IF(ISNUMBER($CM163),'Technical Premium'!$C$14+IF($J163&gt;=1000000,'Technical Premium'!$C$15,0),"")</f>
        <v/>
      </c>
      <c r="CS163" s="100" t="str">
        <f>IFERROR(($CO163+$CR163)*(INDEX('Territory Factors'!$K$6:$K$56,MATCH($K163,'Territory Factors'!$B$6:$B$56,0))+'Commission Structure'!$C$21),"")</f>
        <v/>
      </c>
      <c r="CT163" s="102" t="str">
        <f t="shared" si="36"/>
        <v/>
      </c>
      <c r="CU163" s="100" t="str">
        <f>IFERROR($CO163*('Commission Structure'!$C$6+'Commission Structure'!$C$7),"")</f>
        <v/>
      </c>
      <c r="CV163" s="100" t="str">
        <f>IFERROR($CO163*'Commission Structure'!$C$5-$CU163,"")</f>
        <v/>
      </c>
      <c r="CW163" s="100" t="str">
        <f>IFERROR($CO163*(1-'Commission Structure'!$C$5),"")</f>
        <v/>
      </c>
      <c r="CX163" s="105" t="str">
        <f>IF($A163="","",IF(OR($CB163="?",$CC163="?",NOT(ISNUMBER($AU163))),"CHECK INPUTS",IF(OR($J163&lt;'Technical Premium'!$C$18,LEFT(IFERROR(INDEX('Driver Factors'!$D$6:$D$15,MATCH($R163,'Driver Factors'!$B$6:$B$15,0)),""),7)="DECLINE",LEFT(IFERROR(INDEX('Driver Factors'!$D$28:$D$36,MATCH($T163,'Driver Factors'!$B$28:$B$36,0)),""),7)="DECLINE",LEFT(IFERROR(INDEX('Claims History'!$D$6:$D$15,MATCH($U163,'Claims History'!$B$6:$B$15,0)),""),7)="DECLINE",LEFT(IFERROR(INDEX('Usage and Coverage'!$E$6:$E$20,MATCH($N163,'Usage and Coverage'!$C$6:$C$20,0)),""),7)="DECLINE"),"DECLINE",IF(OR($CD163&gt;2.5,$CD163&gt;='Technical Premium'!$C$17,$J163&gt;='Technical Premium'!$C$16,N($AQ163)&lt;'Technical Premium'!$C$19,N($AQ163)&gt;'Technical Premium'!$C$20,LEFT(IFERROR(INDEX('Driver Factors'!$D$6:$D$15,MATCH($R163,'Driver Factors'!$B$6:$B$15,0)),""),5)="Refer",LEFT(IFERROR(INDEX('Driver Factors'!$D$28:$D$36,MATCH($T163,'Driver Factors'!$B$28:$B$36,0)),""),5)="Refer",LEFT(IFERROR(INDEX('Claims History'!$D$6:$D$15,MATCH($U163,'Claims History'!$B$6:$B$15,0)),""),5)="Refer",LEFT(IFERROR(INDEX('Usage and Coverage'!$E$6:$E$20,MATCH($N163,'Usage and Coverage'!$C$6:$C$20,0)),""),5)="Refer"),"REFER","AUTO-BIND"))))</f>
        <v/>
      </c>
      <c r="CY163" s="106" t="str">
        <f t="shared" si="37"/>
        <v/>
      </c>
      <c r="CZ163" s="97" t="str">
        <f>IF($CY163="","",IF($CY163&lt;'Technical Premium'!$C$19,"BEYOND AUTHORITY",IF($CY163&gt;0.005,"Above technical",IF($CY163&lt;-0.005,"BELOW technical","At technical"))))</f>
        <v/>
      </c>
      <c r="DA163" s="97" t="str">
        <f>IF($A163="","",IF($CX163="AUTO-BIND","",TRIM(IF($J163&lt;'Technical Premium'!$C$18,"Below programme minimum agreed value. ","")&amp;IF(N($AQ163)&lt;'Technical Premium'!$C$19,"DISCOUNT AUTHORITY BREACH. ","")&amp;IF(N($AQ163)&gt;'Technical Premium'!$C$20,"Load authority breach. ","")&amp;IF($J163&gt;='Technical Premium'!$C$16,"Agreed value at or above auto-bind limit. ","")&amp;IF(AND(ISNUMBER($CD163),$CD163&gt;='Technical Premium'!$C$17),"Composite factor at cap. ","")&amp;IF(AND(ISNUMBER($CD163),$CD163&gt;2.5),"Composite factor above 2.50. ","")&amp;IF(LEFT(IFERROR(INDEX('Driver Factors'!$D$6:$D$15,MATCH($R163,'Driver Factors'!$B$6:$B$15,0)),""),7)="DECLINE","DECLINE - driver age. ",IF(LEFT(IFERROR(INDEX('Driver Factors'!$D$6:$D$15,MATCH($R163,'Driver Factors'!$B$6:$B$15,0)),""),5)="Refer","Driver age band. ",""))&amp;IF(LEFT(IFERROR(INDEX('Driver Factors'!$D$28:$D$36,MATCH($T163,'Driver Factors'!$B$28:$B$36,0)),""),7)="DECLINE","DECLINE - MVR. ",IF(LEFT(IFERROR(INDEX('Driver Factors'!$D$28:$D$36,MATCH($T163,'Driver Factors'!$B$28:$B$36,0)),""),5)="Refer","MVR record. ",""))&amp;IF(LEFT(IFERROR(INDEX('Claims History'!$D$6:$D$15,MATCH($U163,'Claims History'!$B$6:$B$15,0)),""),7)="DECLINE","DECLINE - claims. ",IF(LEFT(IFERROR(INDEX('Claims History'!$D$6:$D$15,MATCH($U163,'Claims History'!$B$6:$B$15,0)),""),5)="Refer","Claims history. ",""))&amp;IF(LEFT(IFERROR(INDEX('Usage and Coverage'!$E$6:$E$20,MATCH($N163,'Usage and Coverage'!$C$6:$C$20,0)),""),7)="DECLINE","DECLINE - usage class. ",IF(LEFT(IFERROR(INDEX('Usage and Coverage'!$E$6:$E$20,MATCH($N163,'Usage and Coverage'!$C$6:$C$20,0)),""),5)="Refer","Usage class. ",""))&amp;IF($CX163="CHECK INPUTS","Incomplete inputs. ",""))))</f>
        <v/>
      </c>
      <c r="DB163" s="92"/>
      <c r="DC163" s="92"/>
      <c r="DD163" s="93"/>
      <c r="DE163" s="92"/>
      <c r="DF163" s="92"/>
      <c r="DG163" s="97" t="str">
        <f t="shared" si="38"/>
        <v/>
      </c>
      <c r="DH163" s="97" t="str">
        <f>IF($A163="","",IF(OR($CX163="REFER",$CX163="DECLINE"),COUNTIF($CX$5:$CX163,"REFER")+COUNTIF($CX$5:$CX163,"DECLINE"),""))</f>
        <v/>
      </c>
      <c r="DI163" s="92"/>
    </row>
    <row r="164" spans="1:113" x14ac:dyDescent="0.25">
      <c r="A164" s="92"/>
      <c r="B164" s="92"/>
      <c r="C164" s="93"/>
      <c r="D164" s="93"/>
      <c r="E164" s="94"/>
      <c r="F164" s="92"/>
      <c r="G164" s="92"/>
      <c r="H164" s="92"/>
      <c r="I164" s="92"/>
      <c r="J164" s="95"/>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6"/>
      <c r="AR164" s="97" t="str">
        <f t="shared" si="26"/>
        <v/>
      </c>
      <c r="AS164" s="97" t="str">
        <f>IF($A164="","",IF($AP164&lt;&gt;"",$AP164,IFERROR(INDEX('Cat Zone by ZIP'!$D$6:$D$856,MATCH($AR164,'Cat Zone by ZIP'!$B$6:$B$856,0)),IFERROR(INDEX('Cat Zone by ZIP'!$C$860:$C$910,MATCH($K164,'Cat Zone by ZIP'!$B$860:$B$910,0)),"NOT FOUND"))))</f>
        <v/>
      </c>
      <c r="AT164" s="97" t="str">
        <f>IF($A164="","",IF($AP164&lt;&gt;"","Override",IF(ISNUMBER(MATCH($AR164,'Cat Zone by ZIP'!$B$6:$B$856,0)),"ZIP-3","State default")))</f>
        <v/>
      </c>
      <c r="AU164" s="98" t="str">
        <f>IF($A164="","",IFERROR(INDEX('Natural Catastrophe'!$D$6:$D$17,MATCH($AS164,'Natural Catastrophe'!$B$6:$B$17,0)),"?"))</f>
        <v/>
      </c>
      <c r="AV164" s="98" t="str">
        <f>IF($A164="","",IFERROR(INDEX('Natural Catastrophe'!$C$21:$C$26,MATCH($AA164,'Natural Catastrophe'!$B$21:$B$26,0)),"?"))</f>
        <v/>
      </c>
      <c r="AW164" s="97" t="str">
        <f>IF($A164="","",IFERROR(INDEX('Base Rates'!$C$4:$I$4,MATCH(MAX($J164,'Technical Premium'!$C$18),'Base Rates'!$C$3:$I$3,1)),"?"))</f>
        <v/>
      </c>
      <c r="AX164" s="99" t="str">
        <f>IF($A164="","",IFERROR(INDEX('Base Rates'!$C$5:$I$16,MATCH($I164,'Base Rates'!$B$5:$B$16,0),MATCH(MAX($J164,'Technical Premium'!$C$18),'Base Rates'!$C$3:$I$3,1)),"?"))</f>
        <v/>
      </c>
      <c r="AY164" s="100" t="str">
        <f t="shared" si="27"/>
        <v/>
      </c>
      <c r="AZ164" s="97" t="str">
        <f>IF($A164="","",IFERROR(INDEX('Make Factors'!$G$5:$G$69,MATCH($F164,'Make Factors'!$B$5:$B$69,0)),"?"))</f>
        <v/>
      </c>
      <c r="BA164" s="97" t="str">
        <f>IF($A164="","",IFERROR(INDEX('Driver Factors'!$C$6:$C$15,MATCH($R164,'Driver Factors'!$B$6:$B$15,0)),"?"))</f>
        <v/>
      </c>
      <c r="BB164" s="97" t="str">
        <f>IF($A164="","",IFERROR(INDEX('Driver Factors'!$C$19:$C$24,MATCH($S164,'Driver Factors'!$B$19:$B$24,0)),"?"))</f>
        <v/>
      </c>
      <c r="BC164" s="97" t="str">
        <f>IF($A164="","",IFERROR(INDEX('Driver Factors'!$C$28:$C$36,MATCH($T164,'Driver Factors'!$B$28:$B$36,0)),"?"))</f>
        <v/>
      </c>
      <c r="BD164" s="97" t="str">
        <f>IF($A164="","",IFERROR(INDEX('Claims History'!$C$6:$C$15,MATCH($U164,'Claims History'!$B$6:$B$15,0)),"?"))</f>
        <v/>
      </c>
      <c r="BE164" s="97" t="str">
        <f>IF($A164="","",IFERROR(INDEX('Territory Factors'!$E$6:$E$56,MATCH($K164,'Territory Factors'!$B$6:$B$56,0)),"?"))</f>
        <v/>
      </c>
      <c r="BF164" s="97" t="str">
        <f>IF($A164="","",IFERROR(INDEX('City Accident Ratings'!$G$6:$G$54,MATCH($Z164,'City Accident Ratings'!$B$6:$B$54,0)),"?"))</f>
        <v/>
      </c>
      <c r="BG164" s="97" t="str">
        <f>IF($A164="","",IFERROR(INDEX('Usage and Coverage'!$D$6:$D$20,MATCH($N164,'Usage and Coverage'!$C$6:$C$20,0)),"?"))</f>
        <v/>
      </c>
      <c r="BH164" s="97" t="str">
        <f>IF($A164="","",IFERROR(INDEX('Usage and Coverage'!$C$24:$C$30,MATCH($O164,'Usage and Coverage'!$B$24:$B$30,0)),"?"))</f>
        <v/>
      </c>
      <c r="BI164" s="97" t="str">
        <f>IF($A164="","",IFERROR(INDEX('Usage and Coverage'!$C$34:$C$40,MATCH($P164,'Usage and Coverage'!$B$34:$B$40,0)),"?"))</f>
        <v/>
      </c>
      <c r="BJ164" s="97" t="str">
        <f>IF($A164="","",IFERROR(INDEX('Usage and Coverage'!$C$44:$C$49,MATCH($Q164,'Usage and Coverage'!$B$44:$B$49,0)),"?"))</f>
        <v/>
      </c>
      <c r="BK164" s="97" t="str">
        <f>IF($A164="","",IFERROR(INDEX(Deductibles!$C$6:$I$15,MATCH($W164,Deductibles!$B$6:$B$15,0),MATCH(MAX($J164,'Technical Premium'!$C$18),'Base Rates'!$C$3:$I$3,1)),"?"))</f>
        <v/>
      </c>
      <c r="BL164" s="97" t="str">
        <f>IF($A164="","",IFERROR(INDEX('Usage and Coverage'!$C$63:$C$66,MATCH($X164,'Usage and Coverage'!$B$63:$B$66,0)),"?"))</f>
        <v/>
      </c>
      <c r="BM164" s="97" t="str">
        <f>IF($A164="","",IFERROR(INDEX('Usage and Coverage'!$C$70:$C$75,MATCH($V164,'Usage and Coverage'!$B$70:$B$75,0)),"?"))</f>
        <v/>
      </c>
      <c r="BN164" s="97" t="str">
        <f>IF($A164="","",IF($AB164="",1,IFERROR(INDEX(Deductibles!$C$48:$C$51,MATCH($AB164,Deductibles!$B$48:$B$51,0)),"?")))</f>
        <v/>
      </c>
      <c r="BO164" s="97" t="str">
        <f>IF($A164="","",IF($AC164="",1,IFERROR(INDEX(Deductibles!$C$55:$C$57,MATCH($AC164,Deductibles!$B$55:$B$57,0)),"?")))</f>
        <v/>
      </c>
      <c r="BP164" s="97" t="str">
        <f>IF($A164="","",IF($AD164="",1,IFERROR(INDEX(Deductibles!$C$61:$C$63,MATCH($AD164,Deductibles!$B$61:$B$63,0)),"?")))</f>
        <v/>
      </c>
      <c r="BQ164" s="97" t="str">
        <f>IF($A164="","",IF($AE164="",1,IFERROR(INDEX(Deductibles!$C$67:$C$69,MATCH($AE164,Deductibles!$B$67:$B$69,0)),"?")))</f>
        <v/>
      </c>
      <c r="BR164" s="97" t="str">
        <f>IF($A164="","",IF($AF164="",1,IFERROR(INDEX(Deductibles!$C$73:$C$74,MATCH($AF164,Deductibles!$B$73:$B$74,0)),"?")))</f>
        <v/>
      </c>
      <c r="BS164" s="97" t="str">
        <f>IF($A164="","",IF($AG164="",1,IFERROR(INDEX('Sublimits and Parts'!$C$49:$C$52,MATCH($AG164,'Sublimits and Parts'!$B$49:$B$52,0)),"?")))</f>
        <v/>
      </c>
      <c r="BT164" s="97" t="str">
        <f>IF($A164="","",IF($AH164="",1,IFERROR(INDEX('Sublimits and Parts'!$C$56:$C$60,MATCH($AH164,'Sublimits and Parts'!$B$56:$B$60,0)),"?")))</f>
        <v/>
      </c>
      <c r="BU164" s="97" t="str">
        <f>IF($A164="","",IF($AI164="",1,IFERROR(INDEX('Sublimits and Parts'!$C$64:$C$67,MATCH($AI164,'Sublimits and Parts'!$B$64:$B$67,0)),"?")))</f>
        <v/>
      </c>
      <c r="BV164" s="97" t="str">
        <f>IF($A164="","",IF($AJ164="",1,IFERROR(INDEX('Sublimits and Parts'!$C$71:$C$74,MATCH($AJ164,'Sublimits and Parts'!$B$71:$B$74,0)),"?")))</f>
        <v/>
      </c>
      <c r="BW164" s="97" t="str">
        <f>IF($A164="","",IF($AK164="",1,IFERROR(INDEX('Sublimits and Parts'!$C$78:$C$80,MATCH($AK164,'Sublimits and Parts'!$B$78:$B$80,0)),"?")))</f>
        <v/>
      </c>
      <c r="BX164" s="97" t="str">
        <f>IF($A164="","",IF($AL164="",1,IFERROR(INDEX('Sublimits and Parts'!$C$84:$C$87,MATCH($AL164,'Sublimits and Parts'!$B$84:$B$87,0)),"?")))</f>
        <v/>
      </c>
      <c r="BY164" s="97" t="str">
        <f>IF($A164="","",IF($AM164="",1,IFERROR(INDEX('Sublimits and Parts'!$C$91:$C$94,MATCH($AM164,'Sublimits and Parts'!$B$91:$B$94,0)),"?")))</f>
        <v/>
      </c>
      <c r="BZ164" s="97" t="str">
        <f>IF($A164="","",IF($AN164="",1,IFERROR(INDEX('Sublimits and Parts'!$C$98:$C$101,MATCH($AN164,'Sublimits and Parts'!$B$98:$B$101,0)),"?")))</f>
        <v/>
      </c>
      <c r="CA164" s="97" t="str">
        <f>IF($A164="","",IF($AO164="",1,IFERROR(INDEX('Sublimits and Parts'!$C$105:$C$109,MATCH($AO164,'Sublimits and Parts'!$B$105:$B$109,0)),"?")))</f>
        <v/>
      </c>
      <c r="CB164" s="98" t="str">
        <f t="shared" si="28"/>
        <v/>
      </c>
      <c r="CC164" s="98" t="str">
        <f t="shared" si="29"/>
        <v/>
      </c>
      <c r="CD164" s="101" t="str">
        <f>IF($A164="","",IF(OR($CB164="?",$CC164="?"),"?",MIN($CB164*$CC164,'Technical Premium'!$C$17)))</f>
        <v/>
      </c>
      <c r="CE164" s="100" t="str">
        <f t="shared" si="30"/>
        <v/>
      </c>
      <c r="CF164" s="100" t="str">
        <f>IF($A164="","",IFERROR(INDEX('Territory Factors'!$F$6:$F$56,MATCH($K164,'Territory Factors'!$B$6:$B$56,0)),"?"))</f>
        <v/>
      </c>
      <c r="CG164" s="98" t="str">
        <f>IF($A164="","",IFERROR(INDEX('Usage and Coverage'!$C$79:$C$84,MATCH($Y164,'Usage and Coverage'!$B$79:$B$84,0)),"?"))</f>
        <v/>
      </c>
      <c r="CH164" s="100" t="str">
        <f>IFERROR(IF(ISNUMBER($CD164),$CF164*$CG164*MIN($BG164*$BA164*$BC164*$BD164*$BH164*$BF164,'Technical Premium'!$C$17),""),"")</f>
        <v/>
      </c>
      <c r="CI164" s="100" t="str">
        <f t="shared" si="31"/>
        <v/>
      </c>
      <c r="CJ164" s="100" t="str">
        <f>IFERROR($CI164*(1+'Technical Premium'!$C$5)*(1+'Technical Premium'!$C$6),"")</f>
        <v/>
      </c>
      <c r="CK164" s="100" t="str">
        <f>IFERROR($CE164*INDEX('Territory Factors'!$G$6:$G$56,MATCH($K164,'Territory Factors'!$B$6:$B$56,0))*$AU164*$AV164,"")</f>
        <v/>
      </c>
      <c r="CL164" s="100" t="str">
        <f>IFERROR(($CJ164+$CK164)*(1+'Technical Premium'!$C$7),"")</f>
        <v/>
      </c>
      <c r="CM164" s="102" t="str">
        <f>IFERROR($CL164/'Technical Premium'!$C$13,"")</f>
        <v/>
      </c>
      <c r="CN164" s="103" t="str">
        <f t="shared" si="32"/>
        <v/>
      </c>
      <c r="CO164" s="102" t="str">
        <f t="shared" si="33"/>
        <v/>
      </c>
      <c r="CP164" s="103" t="str">
        <f t="shared" si="34"/>
        <v/>
      </c>
      <c r="CQ164" s="104" t="str">
        <f t="shared" si="35"/>
        <v/>
      </c>
      <c r="CR164" s="100" t="str">
        <f>IF(ISNUMBER($CM164),'Technical Premium'!$C$14+IF($J164&gt;=1000000,'Technical Premium'!$C$15,0),"")</f>
        <v/>
      </c>
      <c r="CS164" s="100" t="str">
        <f>IFERROR(($CO164+$CR164)*(INDEX('Territory Factors'!$K$6:$K$56,MATCH($K164,'Territory Factors'!$B$6:$B$56,0))+'Commission Structure'!$C$21),"")</f>
        <v/>
      </c>
      <c r="CT164" s="102" t="str">
        <f t="shared" si="36"/>
        <v/>
      </c>
      <c r="CU164" s="100" t="str">
        <f>IFERROR($CO164*('Commission Structure'!$C$6+'Commission Structure'!$C$7),"")</f>
        <v/>
      </c>
      <c r="CV164" s="100" t="str">
        <f>IFERROR($CO164*'Commission Structure'!$C$5-$CU164,"")</f>
        <v/>
      </c>
      <c r="CW164" s="100" t="str">
        <f>IFERROR($CO164*(1-'Commission Structure'!$C$5),"")</f>
        <v/>
      </c>
      <c r="CX164" s="105" t="str">
        <f>IF($A164="","",IF(OR($CB164="?",$CC164="?",NOT(ISNUMBER($AU164))),"CHECK INPUTS",IF(OR($J164&lt;'Technical Premium'!$C$18,LEFT(IFERROR(INDEX('Driver Factors'!$D$6:$D$15,MATCH($R164,'Driver Factors'!$B$6:$B$15,0)),""),7)="DECLINE",LEFT(IFERROR(INDEX('Driver Factors'!$D$28:$D$36,MATCH($T164,'Driver Factors'!$B$28:$B$36,0)),""),7)="DECLINE",LEFT(IFERROR(INDEX('Claims History'!$D$6:$D$15,MATCH($U164,'Claims History'!$B$6:$B$15,0)),""),7)="DECLINE",LEFT(IFERROR(INDEX('Usage and Coverage'!$E$6:$E$20,MATCH($N164,'Usage and Coverage'!$C$6:$C$20,0)),""),7)="DECLINE"),"DECLINE",IF(OR($CD164&gt;2.5,$CD164&gt;='Technical Premium'!$C$17,$J164&gt;='Technical Premium'!$C$16,N($AQ164)&lt;'Technical Premium'!$C$19,N($AQ164)&gt;'Technical Premium'!$C$20,LEFT(IFERROR(INDEX('Driver Factors'!$D$6:$D$15,MATCH($R164,'Driver Factors'!$B$6:$B$15,0)),""),5)="Refer",LEFT(IFERROR(INDEX('Driver Factors'!$D$28:$D$36,MATCH($T164,'Driver Factors'!$B$28:$B$36,0)),""),5)="Refer",LEFT(IFERROR(INDEX('Claims History'!$D$6:$D$15,MATCH($U164,'Claims History'!$B$6:$B$15,0)),""),5)="Refer",LEFT(IFERROR(INDEX('Usage and Coverage'!$E$6:$E$20,MATCH($N164,'Usage and Coverage'!$C$6:$C$20,0)),""),5)="Refer"),"REFER","AUTO-BIND"))))</f>
        <v/>
      </c>
      <c r="CY164" s="106" t="str">
        <f t="shared" si="37"/>
        <v/>
      </c>
      <c r="CZ164" s="97" t="str">
        <f>IF($CY164="","",IF($CY164&lt;'Technical Premium'!$C$19,"BEYOND AUTHORITY",IF($CY164&gt;0.005,"Above technical",IF($CY164&lt;-0.005,"BELOW technical","At technical"))))</f>
        <v/>
      </c>
      <c r="DA164" s="97" t="str">
        <f>IF($A164="","",IF($CX164="AUTO-BIND","",TRIM(IF($J164&lt;'Technical Premium'!$C$18,"Below programme minimum agreed value. ","")&amp;IF(N($AQ164)&lt;'Technical Premium'!$C$19,"DISCOUNT AUTHORITY BREACH. ","")&amp;IF(N($AQ164)&gt;'Technical Premium'!$C$20,"Load authority breach. ","")&amp;IF($J164&gt;='Technical Premium'!$C$16,"Agreed value at or above auto-bind limit. ","")&amp;IF(AND(ISNUMBER($CD164),$CD164&gt;='Technical Premium'!$C$17),"Composite factor at cap. ","")&amp;IF(AND(ISNUMBER($CD164),$CD164&gt;2.5),"Composite factor above 2.50. ","")&amp;IF(LEFT(IFERROR(INDEX('Driver Factors'!$D$6:$D$15,MATCH($R164,'Driver Factors'!$B$6:$B$15,0)),""),7)="DECLINE","DECLINE - driver age. ",IF(LEFT(IFERROR(INDEX('Driver Factors'!$D$6:$D$15,MATCH($R164,'Driver Factors'!$B$6:$B$15,0)),""),5)="Refer","Driver age band. ",""))&amp;IF(LEFT(IFERROR(INDEX('Driver Factors'!$D$28:$D$36,MATCH($T164,'Driver Factors'!$B$28:$B$36,0)),""),7)="DECLINE","DECLINE - MVR. ",IF(LEFT(IFERROR(INDEX('Driver Factors'!$D$28:$D$36,MATCH($T164,'Driver Factors'!$B$28:$B$36,0)),""),5)="Refer","MVR record. ",""))&amp;IF(LEFT(IFERROR(INDEX('Claims History'!$D$6:$D$15,MATCH($U164,'Claims History'!$B$6:$B$15,0)),""),7)="DECLINE","DECLINE - claims. ",IF(LEFT(IFERROR(INDEX('Claims History'!$D$6:$D$15,MATCH($U164,'Claims History'!$B$6:$B$15,0)),""),5)="Refer","Claims history. ",""))&amp;IF(LEFT(IFERROR(INDEX('Usage and Coverage'!$E$6:$E$20,MATCH($N164,'Usage and Coverage'!$C$6:$C$20,0)),""),7)="DECLINE","DECLINE - usage class. ",IF(LEFT(IFERROR(INDEX('Usage and Coverage'!$E$6:$E$20,MATCH($N164,'Usage and Coverage'!$C$6:$C$20,0)),""),5)="Refer","Usage class. ",""))&amp;IF($CX164="CHECK INPUTS","Incomplete inputs. ",""))))</f>
        <v/>
      </c>
      <c r="DB164" s="92"/>
      <c r="DC164" s="92"/>
      <c r="DD164" s="93"/>
      <c r="DE164" s="92"/>
      <c r="DF164" s="92"/>
      <c r="DG164" s="97" t="str">
        <f t="shared" si="38"/>
        <v/>
      </c>
      <c r="DH164" s="97" t="str">
        <f>IF($A164="","",IF(OR($CX164="REFER",$CX164="DECLINE"),COUNTIF($CX$5:$CX164,"REFER")+COUNTIF($CX$5:$CX164,"DECLINE"),""))</f>
        <v/>
      </c>
      <c r="DI164" s="92"/>
    </row>
    <row r="165" spans="1:113" x14ac:dyDescent="0.25">
      <c r="A165" s="92"/>
      <c r="B165" s="92"/>
      <c r="C165" s="93"/>
      <c r="D165" s="93"/>
      <c r="E165" s="94"/>
      <c r="F165" s="92"/>
      <c r="G165" s="92"/>
      <c r="H165" s="92"/>
      <c r="I165" s="92"/>
      <c r="J165" s="95"/>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6"/>
      <c r="AR165" s="97" t="str">
        <f t="shared" si="26"/>
        <v/>
      </c>
      <c r="AS165" s="97" t="str">
        <f>IF($A165="","",IF($AP165&lt;&gt;"",$AP165,IFERROR(INDEX('Cat Zone by ZIP'!$D$6:$D$856,MATCH($AR165,'Cat Zone by ZIP'!$B$6:$B$856,0)),IFERROR(INDEX('Cat Zone by ZIP'!$C$860:$C$910,MATCH($K165,'Cat Zone by ZIP'!$B$860:$B$910,0)),"NOT FOUND"))))</f>
        <v/>
      </c>
      <c r="AT165" s="97" t="str">
        <f>IF($A165="","",IF($AP165&lt;&gt;"","Override",IF(ISNUMBER(MATCH($AR165,'Cat Zone by ZIP'!$B$6:$B$856,0)),"ZIP-3","State default")))</f>
        <v/>
      </c>
      <c r="AU165" s="98" t="str">
        <f>IF($A165="","",IFERROR(INDEX('Natural Catastrophe'!$D$6:$D$17,MATCH($AS165,'Natural Catastrophe'!$B$6:$B$17,0)),"?"))</f>
        <v/>
      </c>
      <c r="AV165" s="98" t="str">
        <f>IF($A165="","",IFERROR(INDEX('Natural Catastrophe'!$C$21:$C$26,MATCH($AA165,'Natural Catastrophe'!$B$21:$B$26,0)),"?"))</f>
        <v/>
      </c>
      <c r="AW165" s="97" t="str">
        <f>IF($A165="","",IFERROR(INDEX('Base Rates'!$C$4:$I$4,MATCH(MAX($J165,'Technical Premium'!$C$18),'Base Rates'!$C$3:$I$3,1)),"?"))</f>
        <v/>
      </c>
      <c r="AX165" s="99" t="str">
        <f>IF($A165="","",IFERROR(INDEX('Base Rates'!$C$5:$I$16,MATCH($I165,'Base Rates'!$B$5:$B$16,0),MATCH(MAX($J165,'Technical Premium'!$C$18),'Base Rates'!$C$3:$I$3,1)),"?"))</f>
        <v/>
      </c>
      <c r="AY165" s="100" t="str">
        <f t="shared" si="27"/>
        <v/>
      </c>
      <c r="AZ165" s="97" t="str">
        <f>IF($A165="","",IFERROR(INDEX('Make Factors'!$G$5:$G$69,MATCH($F165,'Make Factors'!$B$5:$B$69,0)),"?"))</f>
        <v/>
      </c>
      <c r="BA165" s="97" t="str">
        <f>IF($A165="","",IFERROR(INDEX('Driver Factors'!$C$6:$C$15,MATCH($R165,'Driver Factors'!$B$6:$B$15,0)),"?"))</f>
        <v/>
      </c>
      <c r="BB165" s="97" t="str">
        <f>IF($A165="","",IFERROR(INDEX('Driver Factors'!$C$19:$C$24,MATCH($S165,'Driver Factors'!$B$19:$B$24,0)),"?"))</f>
        <v/>
      </c>
      <c r="BC165" s="97" t="str">
        <f>IF($A165="","",IFERROR(INDEX('Driver Factors'!$C$28:$C$36,MATCH($T165,'Driver Factors'!$B$28:$B$36,0)),"?"))</f>
        <v/>
      </c>
      <c r="BD165" s="97" t="str">
        <f>IF($A165="","",IFERROR(INDEX('Claims History'!$C$6:$C$15,MATCH($U165,'Claims History'!$B$6:$B$15,0)),"?"))</f>
        <v/>
      </c>
      <c r="BE165" s="97" t="str">
        <f>IF($A165="","",IFERROR(INDEX('Territory Factors'!$E$6:$E$56,MATCH($K165,'Territory Factors'!$B$6:$B$56,0)),"?"))</f>
        <v/>
      </c>
      <c r="BF165" s="97" t="str">
        <f>IF($A165="","",IFERROR(INDEX('City Accident Ratings'!$G$6:$G$54,MATCH($Z165,'City Accident Ratings'!$B$6:$B$54,0)),"?"))</f>
        <v/>
      </c>
      <c r="BG165" s="97" t="str">
        <f>IF($A165="","",IFERROR(INDEX('Usage and Coverage'!$D$6:$D$20,MATCH($N165,'Usage and Coverage'!$C$6:$C$20,0)),"?"))</f>
        <v/>
      </c>
      <c r="BH165" s="97" t="str">
        <f>IF($A165="","",IFERROR(INDEX('Usage and Coverage'!$C$24:$C$30,MATCH($O165,'Usage and Coverage'!$B$24:$B$30,0)),"?"))</f>
        <v/>
      </c>
      <c r="BI165" s="97" t="str">
        <f>IF($A165="","",IFERROR(INDEX('Usage and Coverage'!$C$34:$C$40,MATCH($P165,'Usage and Coverage'!$B$34:$B$40,0)),"?"))</f>
        <v/>
      </c>
      <c r="BJ165" s="97" t="str">
        <f>IF($A165="","",IFERROR(INDEX('Usage and Coverage'!$C$44:$C$49,MATCH($Q165,'Usage and Coverage'!$B$44:$B$49,0)),"?"))</f>
        <v/>
      </c>
      <c r="BK165" s="97" t="str">
        <f>IF($A165="","",IFERROR(INDEX(Deductibles!$C$6:$I$15,MATCH($W165,Deductibles!$B$6:$B$15,0),MATCH(MAX($J165,'Technical Premium'!$C$18),'Base Rates'!$C$3:$I$3,1)),"?"))</f>
        <v/>
      </c>
      <c r="BL165" s="97" t="str">
        <f>IF($A165="","",IFERROR(INDEX('Usage and Coverage'!$C$63:$C$66,MATCH($X165,'Usage and Coverage'!$B$63:$B$66,0)),"?"))</f>
        <v/>
      </c>
      <c r="BM165" s="97" t="str">
        <f>IF($A165="","",IFERROR(INDEX('Usage and Coverage'!$C$70:$C$75,MATCH($V165,'Usage and Coverage'!$B$70:$B$75,0)),"?"))</f>
        <v/>
      </c>
      <c r="BN165" s="97" t="str">
        <f>IF($A165="","",IF($AB165="",1,IFERROR(INDEX(Deductibles!$C$48:$C$51,MATCH($AB165,Deductibles!$B$48:$B$51,0)),"?")))</f>
        <v/>
      </c>
      <c r="BO165" s="97" t="str">
        <f>IF($A165="","",IF($AC165="",1,IFERROR(INDEX(Deductibles!$C$55:$C$57,MATCH($AC165,Deductibles!$B$55:$B$57,0)),"?")))</f>
        <v/>
      </c>
      <c r="BP165" s="97" t="str">
        <f>IF($A165="","",IF($AD165="",1,IFERROR(INDEX(Deductibles!$C$61:$C$63,MATCH($AD165,Deductibles!$B$61:$B$63,0)),"?")))</f>
        <v/>
      </c>
      <c r="BQ165" s="97" t="str">
        <f>IF($A165="","",IF($AE165="",1,IFERROR(INDEX(Deductibles!$C$67:$C$69,MATCH($AE165,Deductibles!$B$67:$B$69,0)),"?")))</f>
        <v/>
      </c>
      <c r="BR165" s="97" t="str">
        <f>IF($A165="","",IF($AF165="",1,IFERROR(INDEX(Deductibles!$C$73:$C$74,MATCH($AF165,Deductibles!$B$73:$B$74,0)),"?")))</f>
        <v/>
      </c>
      <c r="BS165" s="97" t="str">
        <f>IF($A165="","",IF($AG165="",1,IFERROR(INDEX('Sublimits and Parts'!$C$49:$C$52,MATCH($AG165,'Sublimits and Parts'!$B$49:$B$52,0)),"?")))</f>
        <v/>
      </c>
      <c r="BT165" s="97" t="str">
        <f>IF($A165="","",IF($AH165="",1,IFERROR(INDEX('Sublimits and Parts'!$C$56:$C$60,MATCH($AH165,'Sublimits and Parts'!$B$56:$B$60,0)),"?")))</f>
        <v/>
      </c>
      <c r="BU165" s="97" t="str">
        <f>IF($A165="","",IF($AI165="",1,IFERROR(INDEX('Sublimits and Parts'!$C$64:$C$67,MATCH($AI165,'Sublimits and Parts'!$B$64:$B$67,0)),"?")))</f>
        <v/>
      </c>
      <c r="BV165" s="97" t="str">
        <f>IF($A165="","",IF($AJ165="",1,IFERROR(INDEX('Sublimits and Parts'!$C$71:$C$74,MATCH($AJ165,'Sublimits and Parts'!$B$71:$B$74,0)),"?")))</f>
        <v/>
      </c>
      <c r="BW165" s="97" t="str">
        <f>IF($A165="","",IF($AK165="",1,IFERROR(INDEX('Sublimits and Parts'!$C$78:$C$80,MATCH($AK165,'Sublimits and Parts'!$B$78:$B$80,0)),"?")))</f>
        <v/>
      </c>
      <c r="BX165" s="97" t="str">
        <f>IF($A165="","",IF($AL165="",1,IFERROR(INDEX('Sublimits and Parts'!$C$84:$C$87,MATCH($AL165,'Sublimits and Parts'!$B$84:$B$87,0)),"?")))</f>
        <v/>
      </c>
      <c r="BY165" s="97" t="str">
        <f>IF($A165="","",IF($AM165="",1,IFERROR(INDEX('Sublimits and Parts'!$C$91:$C$94,MATCH($AM165,'Sublimits and Parts'!$B$91:$B$94,0)),"?")))</f>
        <v/>
      </c>
      <c r="BZ165" s="97" t="str">
        <f>IF($A165="","",IF($AN165="",1,IFERROR(INDEX('Sublimits and Parts'!$C$98:$C$101,MATCH($AN165,'Sublimits and Parts'!$B$98:$B$101,0)),"?")))</f>
        <v/>
      </c>
      <c r="CA165" s="97" t="str">
        <f>IF($A165="","",IF($AO165="",1,IFERROR(INDEX('Sublimits and Parts'!$C$105:$C$109,MATCH($AO165,'Sublimits and Parts'!$B$105:$B$109,0)),"?")))</f>
        <v/>
      </c>
      <c r="CB165" s="98" t="str">
        <f t="shared" si="28"/>
        <v/>
      </c>
      <c r="CC165" s="98" t="str">
        <f t="shared" si="29"/>
        <v/>
      </c>
      <c r="CD165" s="101" t="str">
        <f>IF($A165="","",IF(OR($CB165="?",$CC165="?"),"?",MIN($CB165*$CC165,'Technical Premium'!$C$17)))</f>
        <v/>
      </c>
      <c r="CE165" s="100" t="str">
        <f t="shared" si="30"/>
        <v/>
      </c>
      <c r="CF165" s="100" t="str">
        <f>IF($A165="","",IFERROR(INDEX('Territory Factors'!$F$6:$F$56,MATCH($K165,'Territory Factors'!$B$6:$B$56,0)),"?"))</f>
        <v/>
      </c>
      <c r="CG165" s="98" t="str">
        <f>IF($A165="","",IFERROR(INDEX('Usage and Coverage'!$C$79:$C$84,MATCH($Y165,'Usage and Coverage'!$B$79:$B$84,0)),"?"))</f>
        <v/>
      </c>
      <c r="CH165" s="100" t="str">
        <f>IFERROR(IF(ISNUMBER($CD165),$CF165*$CG165*MIN($BG165*$BA165*$BC165*$BD165*$BH165*$BF165,'Technical Premium'!$C$17),""),"")</f>
        <v/>
      </c>
      <c r="CI165" s="100" t="str">
        <f t="shared" si="31"/>
        <v/>
      </c>
      <c r="CJ165" s="100" t="str">
        <f>IFERROR($CI165*(1+'Technical Premium'!$C$5)*(1+'Technical Premium'!$C$6),"")</f>
        <v/>
      </c>
      <c r="CK165" s="100" t="str">
        <f>IFERROR($CE165*INDEX('Territory Factors'!$G$6:$G$56,MATCH($K165,'Territory Factors'!$B$6:$B$56,0))*$AU165*$AV165,"")</f>
        <v/>
      </c>
      <c r="CL165" s="100" t="str">
        <f>IFERROR(($CJ165+$CK165)*(1+'Technical Premium'!$C$7),"")</f>
        <v/>
      </c>
      <c r="CM165" s="102" t="str">
        <f>IFERROR($CL165/'Technical Premium'!$C$13,"")</f>
        <v/>
      </c>
      <c r="CN165" s="103" t="str">
        <f t="shared" si="32"/>
        <v/>
      </c>
      <c r="CO165" s="102" t="str">
        <f t="shared" si="33"/>
        <v/>
      </c>
      <c r="CP165" s="103" t="str">
        <f t="shared" si="34"/>
        <v/>
      </c>
      <c r="CQ165" s="104" t="str">
        <f t="shared" si="35"/>
        <v/>
      </c>
      <c r="CR165" s="100" t="str">
        <f>IF(ISNUMBER($CM165),'Technical Premium'!$C$14+IF($J165&gt;=1000000,'Technical Premium'!$C$15,0),"")</f>
        <v/>
      </c>
      <c r="CS165" s="100" t="str">
        <f>IFERROR(($CO165+$CR165)*(INDEX('Territory Factors'!$K$6:$K$56,MATCH($K165,'Territory Factors'!$B$6:$B$56,0))+'Commission Structure'!$C$21),"")</f>
        <v/>
      </c>
      <c r="CT165" s="102" t="str">
        <f t="shared" si="36"/>
        <v/>
      </c>
      <c r="CU165" s="100" t="str">
        <f>IFERROR($CO165*('Commission Structure'!$C$6+'Commission Structure'!$C$7),"")</f>
        <v/>
      </c>
      <c r="CV165" s="100" t="str">
        <f>IFERROR($CO165*'Commission Structure'!$C$5-$CU165,"")</f>
        <v/>
      </c>
      <c r="CW165" s="100" t="str">
        <f>IFERROR($CO165*(1-'Commission Structure'!$C$5),"")</f>
        <v/>
      </c>
      <c r="CX165" s="105" t="str">
        <f>IF($A165="","",IF(OR($CB165="?",$CC165="?",NOT(ISNUMBER($AU165))),"CHECK INPUTS",IF(OR($J165&lt;'Technical Premium'!$C$18,LEFT(IFERROR(INDEX('Driver Factors'!$D$6:$D$15,MATCH($R165,'Driver Factors'!$B$6:$B$15,0)),""),7)="DECLINE",LEFT(IFERROR(INDEX('Driver Factors'!$D$28:$D$36,MATCH($T165,'Driver Factors'!$B$28:$B$36,0)),""),7)="DECLINE",LEFT(IFERROR(INDEX('Claims History'!$D$6:$D$15,MATCH($U165,'Claims History'!$B$6:$B$15,0)),""),7)="DECLINE",LEFT(IFERROR(INDEX('Usage and Coverage'!$E$6:$E$20,MATCH($N165,'Usage and Coverage'!$C$6:$C$20,0)),""),7)="DECLINE"),"DECLINE",IF(OR($CD165&gt;2.5,$CD165&gt;='Technical Premium'!$C$17,$J165&gt;='Technical Premium'!$C$16,N($AQ165)&lt;'Technical Premium'!$C$19,N($AQ165)&gt;'Technical Premium'!$C$20,LEFT(IFERROR(INDEX('Driver Factors'!$D$6:$D$15,MATCH($R165,'Driver Factors'!$B$6:$B$15,0)),""),5)="Refer",LEFT(IFERROR(INDEX('Driver Factors'!$D$28:$D$36,MATCH($T165,'Driver Factors'!$B$28:$B$36,0)),""),5)="Refer",LEFT(IFERROR(INDEX('Claims History'!$D$6:$D$15,MATCH($U165,'Claims History'!$B$6:$B$15,0)),""),5)="Refer",LEFT(IFERROR(INDEX('Usage and Coverage'!$E$6:$E$20,MATCH($N165,'Usage and Coverage'!$C$6:$C$20,0)),""),5)="Refer"),"REFER","AUTO-BIND"))))</f>
        <v/>
      </c>
      <c r="CY165" s="106" t="str">
        <f t="shared" si="37"/>
        <v/>
      </c>
      <c r="CZ165" s="97" t="str">
        <f>IF($CY165="","",IF($CY165&lt;'Technical Premium'!$C$19,"BEYOND AUTHORITY",IF($CY165&gt;0.005,"Above technical",IF($CY165&lt;-0.005,"BELOW technical","At technical"))))</f>
        <v/>
      </c>
      <c r="DA165" s="97" t="str">
        <f>IF($A165="","",IF($CX165="AUTO-BIND","",TRIM(IF($J165&lt;'Technical Premium'!$C$18,"Below programme minimum agreed value. ","")&amp;IF(N($AQ165)&lt;'Technical Premium'!$C$19,"DISCOUNT AUTHORITY BREACH. ","")&amp;IF(N($AQ165)&gt;'Technical Premium'!$C$20,"Load authority breach. ","")&amp;IF($J165&gt;='Technical Premium'!$C$16,"Agreed value at or above auto-bind limit. ","")&amp;IF(AND(ISNUMBER($CD165),$CD165&gt;='Technical Premium'!$C$17),"Composite factor at cap. ","")&amp;IF(AND(ISNUMBER($CD165),$CD165&gt;2.5),"Composite factor above 2.50. ","")&amp;IF(LEFT(IFERROR(INDEX('Driver Factors'!$D$6:$D$15,MATCH($R165,'Driver Factors'!$B$6:$B$15,0)),""),7)="DECLINE","DECLINE - driver age. ",IF(LEFT(IFERROR(INDEX('Driver Factors'!$D$6:$D$15,MATCH($R165,'Driver Factors'!$B$6:$B$15,0)),""),5)="Refer","Driver age band. ",""))&amp;IF(LEFT(IFERROR(INDEX('Driver Factors'!$D$28:$D$36,MATCH($T165,'Driver Factors'!$B$28:$B$36,0)),""),7)="DECLINE","DECLINE - MVR. ",IF(LEFT(IFERROR(INDEX('Driver Factors'!$D$28:$D$36,MATCH($T165,'Driver Factors'!$B$28:$B$36,0)),""),5)="Refer","MVR record. ",""))&amp;IF(LEFT(IFERROR(INDEX('Claims History'!$D$6:$D$15,MATCH($U165,'Claims History'!$B$6:$B$15,0)),""),7)="DECLINE","DECLINE - claims. ",IF(LEFT(IFERROR(INDEX('Claims History'!$D$6:$D$15,MATCH($U165,'Claims History'!$B$6:$B$15,0)),""),5)="Refer","Claims history. ",""))&amp;IF(LEFT(IFERROR(INDEX('Usage and Coverage'!$E$6:$E$20,MATCH($N165,'Usage and Coverage'!$C$6:$C$20,0)),""),7)="DECLINE","DECLINE - usage class. ",IF(LEFT(IFERROR(INDEX('Usage and Coverage'!$E$6:$E$20,MATCH($N165,'Usage and Coverage'!$C$6:$C$20,0)),""),5)="Refer","Usage class. ",""))&amp;IF($CX165="CHECK INPUTS","Incomplete inputs. ",""))))</f>
        <v/>
      </c>
      <c r="DB165" s="92"/>
      <c r="DC165" s="92"/>
      <c r="DD165" s="93"/>
      <c r="DE165" s="92"/>
      <c r="DF165" s="92"/>
      <c r="DG165" s="97" t="str">
        <f t="shared" si="38"/>
        <v/>
      </c>
      <c r="DH165" s="97" t="str">
        <f>IF($A165="","",IF(OR($CX165="REFER",$CX165="DECLINE"),COUNTIF($CX$5:$CX165,"REFER")+COUNTIF($CX$5:$CX165,"DECLINE"),""))</f>
        <v/>
      </c>
      <c r="DI165" s="92"/>
    </row>
    <row r="166" spans="1:113" x14ac:dyDescent="0.25">
      <c r="A166" s="92"/>
      <c r="B166" s="92"/>
      <c r="C166" s="93"/>
      <c r="D166" s="93"/>
      <c r="E166" s="94"/>
      <c r="F166" s="92"/>
      <c r="G166" s="92"/>
      <c r="H166" s="92"/>
      <c r="I166" s="92"/>
      <c r="J166" s="95"/>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6"/>
      <c r="AR166" s="97" t="str">
        <f t="shared" si="26"/>
        <v/>
      </c>
      <c r="AS166" s="97" t="str">
        <f>IF($A166="","",IF($AP166&lt;&gt;"",$AP166,IFERROR(INDEX('Cat Zone by ZIP'!$D$6:$D$856,MATCH($AR166,'Cat Zone by ZIP'!$B$6:$B$856,0)),IFERROR(INDEX('Cat Zone by ZIP'!$C$860:$C$910,MATCH($K166,'Cat Zone by ZIP'!$B$860:$B$910,0)),"NOT FOUND"))))</f>
        <v/>
      </c>
      <c r="AT166" s="97" t="str">
        <f>IF($A166="","",IF($AP166&lt;&gt;"","Override",IF(ISNUMBER(MATCH($AR166,'Cat Zone by ZIP'!$B$6:$B$856,0)),"ZIP-3","State default")))</f>
        <v/>
      </c>
      <c r="AU166" s="98" t="str">
        <f>IF($A166="","",IFERROR(INDEX('Natural Catastrophe'!$D$6:$D$17,MATCH($AS166,'Natural Catastrophe'!$B$6:$B$17,0)),"?"))</f>
        <v/>
      </c>
      <c r="AV166" s="98" t="str">
        <f>IF($A166="","",IFERROR(INDEX('Natural Catastrophe'!$C$21:$C$26,MATCH($AA166,'Natural Catastrophe'!$B$21:$B$26,0)),"?"))</f>
        <v/>
      </c>
      <c r="AW166" s="97" t="str">
        <f>IF($A166="","",IFERROR(INDEX('Base Rates'!$C$4:$I$4,MATCH(MAX($J166,'Technical Premium'!$C$18),'Base Rates'!$C$3:$I$3,1)),"?"))</f>
        <v/>
      </c>
      <c r="AX166" s="99" t="str">
        <f>IF($A166="","",IFERROR(INDEX('Base Rates'!$C$5:$I$16,MATCH($I166,'Base Rates'!$B$5:$B$16,0),MATCH(MAX($J166,'Technical Premium'!$C$18),'Base Rates'!$C$3:$I$3,1)),"?"))</f>
        <v/>
      </c>
      <c r="AY166" s="100" t="str">
        <f t="shared" si="27"/>
        <v/>
      </c>
      <c r="AZ166" s="97" t="str">
        <f>IF($A166="","",IFERROR(INDEX('Make Factors'!$G$5:$G$69,MATCH($F166,'Make Factors'!$B$5:$B$69,0)),"?"))</f>
        <v/>
      </c>
      <c r="BA166" s="97" t="str">
        <f>IF($A166="","",IFERROR(INDEX('Driver Factors'!$C$6:$C$15,MATCH($R166,'Driver Factors'!$B$6:$B$15,0)),"?"))</f>
        <v/>
      </c>
      <c r="BB166" s="97" t="str">
        <f>IF($A166="","",IFERROR(INDEX('Driver Factors'!$C$19:$C$24,MATCH($S166,'Driver Factors'!$B$19:$B$24,0)),"?"))</f>
        <v/>
      </c>
      <c r="BC166" s="97" t="str">
        <f>IF($A166="","",IFERROR(INDEX('Driver Factors'!$C$28:$C$36,MATCH($T166,'Driver Factors'!$B$28:$B$36,0)),"?"))</f>
        <v/>
      </c>
      <c r="BD166" s="97" t="str">
        <f>IF($A166="","",IFERROR(INDEX('Claims History'!$C$6:$C$15,MATCH($U166,'Claims History'!$B$6:$B$15,0)),"?"))</f>
        <v/>
      </c>
      <c r="BE166" s="97" t="str">
        <f>IF($A166="","",IFERROR(INDEX('Territory Factors'!$E$6:$E$56,MATCH($K166,'Territory Factors'!$B$6:$B$56,0)),"?"))</f>
        <v/>
      </c>
      <c r="BF166" s="97" t="str">
        <f>IF($A166="","",IFERROR(INDEX('City Accident Ratings'!$G$6:$G$54,MATCH($Z166,'City Accident Ratings'!$B$6:$B$54,0)),"?"))</f>
        <v/>
      </c>
      <c r="BG166" s="97" t="str">
        <f>IF($A166="","",IFERROR(INDEX('Usage and Coverage'!$D$6:$D$20,MATCH($N166,'Usage and Coverage'!$C$6:$C$20,0)),"?"))</f>
        <v/>
      </c>
      <c r="BH166" s="97" t="str">
        <f>IF($A166="","",IFERROR(INDEX('Usage and Coverage'!$C$24:$C$30,MATCH($O166,'Usage and Coverage'!$B$24:$B$30,0)),"?"))</f>
        <v/>
      </c>
      <c r="BI166" s="97" t="str">
        <f>IF($A166="","",IFERROR(INDEX('Usage and Coverage'!$C$34:$C$40,MATCH($P166,'Usage and Coverage'!$B$34:$B$40,0)),"?"))</f>
        <v/>
      </c>
      <c r="BJ166" s="97" t="str">
        <f>IF($A166="","",IFERROR(INDEX('Usage and Coverage'!$C$44:$C$49,MATCH($Q166,'Usage and Coverage'!$B$44:$B$49,0)),"?"))</f>
        <v/>
      </c>
      <c r="BK166" s="97" t="str">
        <f>IF($A166="","",IFERROR(INDEX(Deductibles!$C$6:$I$15,MATCH($W166,Deductibles!$B$6:$B$15,0),MATCH(MAX($J166,'Technical Premium'!$C$18),'Base Rates'!$C$3:$I$3,1)),"?"))</f>
        <v/>
      </c>
      <c r="BL166" s="97" t="str">
        <f>IF($A166="","",IFERROR(INDEX('Usage and Coverage'!$C$63:$C$66,MATCH($X166,'Usage and Coverage'!$B$63:$B$66,0)),"?"))</f>
        <v/>
      </c>
      <c r="BM166" s="97" t="str">
        <f>IF($A166="","",IFERROR(INDEX('Usage and Coverage'!$C$70:$C$75,MATCH($V166,'Usage and Coverage'!$B$70:$B$75,0)),"?"))</f>
        <v/>
      </c>
      <c r="BN166" s="97" t="str">
        <f>IF($A166="","",IF($AB166="",1,IFERROR(INDEX(Deductibles!$C$48:$C$51,MATCH($AB166,Deductibles!$B$48:$B$51,0)),"?")))</f>
        <v/>
      </c>
      <c r="BO166" s="97" t="str">
        <f>IF($A166="","",IF($AC166="",1,IFERROR(INDEX(Deductibles!$C$55:$C$57,MATCH($AC166,Deductibles!$B$55:$B$57,0)),"?")))</f>
        <v/>
      </c>
      <c r="BP166" s="97" t="str">
        <f>IF($A166="","",IF($AD166="",1,IFERROR(INDEX(Deductibles!$C$61:$C$63,MATCH($AD166,Deductibles!$B$61:$B$63,0)),"?")))</f>
        <v/>
      </c>
      <c r="BQ166" s="97" t="str">
        <f>IF($A166="","",IF($AE166="",1,IFERROR(INDEX(Deductibles!$C$67:$C$69,MATCH($AE166,Deductibles!$B$67:$B$69,0)),"?")))</f>
        <v/>
      </c>
      <c r="BR166" s="97" t="str">
        <f>IF($A166="","",IF($AF166="",1,IFERROR(INDEX(Deductibles!$C$73:$C$74,MATCH($AF166,Deductibles!$B$73:$B$74,0)),"?")))</f>
        <v/>
      </c>
      <c r="BS166" s="97" t="str">
        <f>IF($A166="","",IF($AG166="",1,IFERROR(INDEX('Sublimits and Parts'!$C$49:$C$52,MATCH($AG166,'Sublimits and Parts'!$B$49:$B$52,0)),"?")))</f>
        <v/>
      </c>
      <c r="BT166" s="97" t="str">
        <f>IF($A166="","",IF($AH166="",1,IFERROR(INDEX('Sublimits and Parts'!$C$56:$C$60,MATCH($AH166,'Sublimits and Parts'!$B$56:$B$60,0)),"?")))</f>
        <v/>
      </c>
      <c r="BU166" s="97" t="str">
        <f>IF($A166="","",IF($AI166="",1,IFERROR(INDEX('Sublimits and Parts'!$C$64:$C$67,MATCH($AI166,'Sublimits and Parts'!$B$64:$B$67,0)),"?")))</f>
        <v/>
      </c>
      <c r="BV166" s="97" t="str">
        <f>IF($A166="","",IF($AJ166="",1,IFERROR(INDEX('Sublimits and Parts'!$C$71:$C$74,MATCH($AJ166,'Sublimits and Parts'!$B$71:$B$74,0)),"?")))</f>
        <v/>
      </c>
      <c r="BW166" s="97" t="str">
        <f>IF($A166="","",IF($AK166="",1,IFERROR(INDEX('Sublimits and Parts'!$C$78:$C$80,MATCH($AK166,'Sublimits and Parts'!$B$78:$B$80,0)),"?")))</f>
        <v/>
      </c>
      <c r="BX166" s="97" t="str">
        <f>IF($A166="","",IF($AL166="",1,IFERROR(INDEX('Sublimits and Parts'!$C$84:$C$87,MATCH($AL166,'Sublimits and Parts'!$B$84:$B$87,0)),"?")))</f>
        <v/>
      </c>
      <c r="BY166" s="97" t="str">
        <f>IF($A166="","",IF($AM166="",1,IFERROR(INDEX('Sublimits and Parts'!$C$91:$C$94,MATCH($AM166,'Sublimits and Parts'!$B$91:$B$94,0)),"?")))</f>
        <v/>
      </c>
      <c r="BZ166" s="97" t="str">
        <f>IF($A166="","",IF($AN166="",1,IFERROR(INDEX('Sublimits and Parts'!$C$98:$C$101,MATCH($AN166,'Sublimits and Parts'!$B$98:$B$101,0)),"?")))</f>
        <v/>
      </c>
      <c r="CA166" s="97" t="str">
        <f>IF($A166="","",IF($AO166="",1,IFERROR(INDEX('Sublimits and Parts'!$C$105:$C$109,MATCH($AO166,'Sublimits and Parts'!$B$105:$B$109,0)),"?")))</f>
        <v/>
      </c>
      <c r="CB166" s="98" t="str">
        <f t="shared" si="28"/>
        <v/>
      </c>
      <c r="CC166" s="98" t="str">
        <f t="shared" si="29"/>
        <v/>
      </c>
      <c r="CD166" s="101" t="str">
        <f>IF($A166="","",IF(OR($CB166="?",$CC166="?"),"?",MIN($CB166*$CC166,'Technical Premium'!$C$17)))</f>
        <v/>
      </c>
      <c r="CE166" s="100" t="str">
        <f t="shared" si="30"/>
        <v/>
      </c>
      <c r="CF166" s="100" t="str">
        <f>IF($A166="","",IFERROR(INDEX('Territory Factors'!$F$6:$F$56,MATCH($K166,'Territory Factors'!$B$6:$B$56,0)),"?"))</f>
        <v/>
      </c>
      <c r="CG166" s="98" t="str">
        <f>IF($A166="","",IFERROR(INDEX('Usage and Coverage'!$C$79:$C$84,MATCH($Y166,'Usage and Coverage'!$B$79:$B$84,0)),"?"))</f>
        <v/>
      </c>
      <c r="CH166" s="100" t="str">
        <f>IFERROR(IF(ISNUMBER($CD166),$CF166*$CG166*MIN($BG166*$BA166*$BC166*$BD166*$BH166*$BF166,'Technical Premium'!$C$17),""),"")</f>
        <v/>
      </c>
      <c r="CI166" s="100" t="str">
        <f t="shared" si="31"/>
        <v/>
      </c>
      <c r="CJ166" s="100" t="str">
        <f>IFERROR($CI166*(1+'Technical Premium'!$C$5)*(1+'Technical Premium'!$C$6),"")</f>
        <v/>
      </c>
      <c r="CK166" s="100" t="str">
        <f>IFERROR($CE166*INDEX('Territory Factors'!$G$6:$G$56,MATCH($K166,'Territory Factors'!$B$6:$B$56,0))*$AU166*$AV166,"")</f>
        <v/>
      </c>
      <c r="CL166" s="100" t="str">
        <f>IFERROR(($CJ166+$CK166)*(1+'Technical Premium'!$C$7),"")</f>
        <v/>
      </c>
      <c r="CM166" s="102" t="str">
        <f>IFERROR($CL166/'Technical Premium'!$C$13,"")</f>
        <v/>
      </c>
      <c r="CN166" s="103" t="str">
        <f t="shared" si="32"/>
        <v/>
      </c>
      <c r="CO166" s="102" t="str">
        <f t="shared" si="33"/>
        <v/>
      </c>
      <c r="CP166" s="103" t="str">
        <f t="shared" si="34"/>
        <v/>
      </c>
      <c r="CQ166" s="104" t="str">
        <f t="shared" si="35"/>
        <v/>
      </c>
      <c r="CR166" s="100" t="str">
        <f>IF(ISNUMBER($CM166),'Technical Premium'!$C$14+IF($J166&gt;=1000000,'Technical Premium'!$C$15,0),"")</f>
        <v/>
      </c>
      <c r="CS166" s="100" t="str">
        <f>IFERROR(($CO166+$CR166)*(INDEX('Territory Factors'!$K$6:$K$56,MATCH($K166,'Territory Factors'!$B$6:$B$56,0))+'Commission Structure'!$C$21),"")</f>
        <v/>
      </c>
      <c r="CT166" s="102" t="str">
        <f t="shared" si="36"/>
        <v/>
      </c>
      <c r="CU166" s="100" t="str">
        <f>IFERROR($CO166*('Commission Structure'!$C$6+'Commission Structure'!$C$7),"")</f>
        <v/>
      </c>
      <c r="CV166" s="100" t="str">
        <f>IFERROR($CO166*'Commission Structure'!$C$5-$CU166,"")</f>
        <v/>
      </c>
      <c r="CW166" s="100" t="str">
        <f>IFERROR($CO166*(1-'Commission Structure'!$C$5),"")</f>
        <v/>
      </c>
      <c r="CX166" s="105" t="str">
        <f>IF($A166="","",IF(OR($CB166="?",$CC166="?",NOT(ISNUMBER($AU166))),"CHECK INPUTS",IF(OR($J166&lt;'Technical Premium'!$C$18,LEFT(IFERROR(INDEX('Driver Factors'!$D$6:$D$15,MATCH($R166,'Driver Factors'!$B$6:$B$15,0)),""),7)="DECLINE",LEFT(IFERROR(INDEX('Driver Factors'!$D$28:$D$36,MATCH($T166,'Driver Factors'!$B$28:$B$36,0)),""),7)="DECLINE",LEFT(IFERROR(INDEX('Claims History'!$D$6:$D$15,MATCH($U166,'Claims History'!$B$6:$B$15,0)),""),7)="DECLINE",LEFT(IFERROR(INDEX('Usage and Coverage'!$E$6:$E$20,MATCH($N166,'Usage and Coverage'!$C$6:$C$20,0)),""),7)="DECLINE"),"DECLINE",IF(OR($CD166&gt;2.5,$CD166&gt;='Technical Premium'!$C$17,$J166&gt;='Technical Premium'!$C$16,N($AQ166)&lt;'Technical Premium'!$C$19,N($AQ166)&gt;'Technical Premium'!$C$20,LEFT(IFERROR(INDEX('Driver Factors'!$D$6:$D$15,MATCH($R166,'Driver Factors'!$B$6:$B$15,0)),""),5)="Refer",LEFT(IFERROR(INDEX('Driver Factors'!$D$28:$D$36,MATCH($T166,'Driver Factors'!$B$28:$B$36,0)),""),5)="Refer",LEFT(IFERROR(INDEX('Claims History'!$D$6:$D$15,MATCH($U166,'Claims History'!$B$6:$B$15,0)),""),5)="Refer",LEFT(IFERROR(INDEX('Usage and Coverage'!$E$6:$E$20,MATCH($N166,'Usage and Coverage'!$C$6:$C$20,0)),""),5)="Refer"),"REFER","AUTO-BIND"))))</f>
        <v/>
      </c>
      <c r="CY166" s="106" t="str">
        <f t="shared" si="37"/>
        <v/>
      </c>
      <c r="CZ166" s="97" t="str">
        <f>IF($CY166="","",IF($CY166&lt;'Technical Premium'!$C$19,"BEYOND AUTHORITY",IF($CY166&gt;0.005,"Above technical",IF($CY166&lt;-0.005,"BELOW technical","At technical"))))</f>
        <v/>
      </c>
      <c r="DA166" s="97" t="str">
        <f>IF($A166="","",IF($CX166="AUTO-BIND","",TRIM(IF($J166&lt;'Technical Premium'!$C$18,"Below programme minimum agreed value. ","")&amp;IF(N($AQ166)&lt;'Technical Premium'!$C$19,"DISCOUNT AUTHORITY BREACH. ","")&amp;IF(N($AQ166)&gt;'Technical Premium'!$C$20,"Load authority breach. ","")&amp;IF($J166&gt;='Technical Premium'!$C$16,"Agreed value at or above auto-bind limit. ","")&amp;IF(AND(ISNUMBER($CD166),$CD166&gt;='Technical Premium'!$C$17),"Composite factor at cap. ","")&amp;IF(AND(ISNUMBER($CD166),$CD166&gt;2.5),"Composite factor above 2.50. ","")&amp;IF(LEFT(IFERROR(INDEX('Driver Factors'!$D$6:$D$15,MATCH($R166,'Driver Factors'!$B$6:$B$15,0)),""),7)="DECLINE","DECLINE - driver age. ",IF(LEFT(IFERROR(INDEX('Driver Factors'!$D$6:$D$15,MATCH($R166,'Driver Factors'!$B$6:$B$15,0)),""),5)="Refer","Driver age band. ",""))&amp;IF(LEFT(IFERROR(INDEX('Driver Factors'!$D$28:$D$36,MATCH($T166,'Driver Factors'!$B$28:$B$36,0)),""),7)="DECLINE","DECLINE - MVR. ",IF(LEFT(IFERROR(INDEX('Driver Factors'!$D$28:$D$36,MATCH($T166,'Driver Factors'!$B$28:$B$36,0)),""),5)="Refer","MVR record. ",""))&amp;IF(LEFT(IFERROR(INDEX('Claims History'!$D$6:$D$15,MATCH($U166,'Claims History'!$B$6:$B$15,0)),""),7)="DECLINE","DECLINE - claims. ",IF(LEFT(IFERROR(INDEX('Claims History'!$D$6:$D$15,MATCH($U166,'Claims History'!$B$6:$B$15,0)),""),5)="Refer","Claims history. ",""))&amp;IF(LEFT(IFERROR(INDEX('Usage and Coverage'!$E$6:$E$20,MATCH($N166,'Usage and Coverage'!$C$6:$C$20,0)),""),7)="DECLINE","DECLINE - usage class. ",IF(LEFT(IFERROR(INDEX('Usage and Coverage'!$E$6:$E$20,MATCH($N166,'Usage and Coverage'!$C$6:$C$20,0)),""),5)="Refer","Usage class. ",""))&amp;IF($CX166="CHECK INPUTS","Incomplete inputs. ",""))))</f>
        <v/>
      </c>
      <c r="DB166" s="92"/>
      <c r="DC166" s="92"/>
      <c r="DD166" s="93"/>
      <c r="DE166" s="92"/>
      <c r="DF166" s="92"/>
      <c r="DG166" s="97" t="str">
        <f t="shared" si="38"/>
        <v/>
      </c>
      <c r="DH166" s="97" t="str">
        <f>IF($A166="","",IF(OR($CX166="REFER",$CX166="DECLINE"),COUNTIF($CX$5:$CX166,"REFER")+COUNTIF($CX$5:$CX166,"DECLINE"),""))</f>
        <v/>
      </c>
      <c r="DI166" s="92"/>
    </row>
    <row r="167" spans="1:113" x14ac:dyDescent="0.25">
      <c r="A167" s="92"/>
      <c r="B167" s="92"/>
      <c r="C167" s="93"/>
      <c r="D167" s="93"/>
      <c r="E167" s="94"/>
      <c r="F167" s="92"/>
      <c r="G167" s="92"/>
      <c r="H167" s="92"/>
      <c r="I167" s="92"/>
      <c r="J167" s="95"/>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6"/>
      <c r="AR167" s="97" t="str">
        <f t="shared" si="26"/>
        <v/>
      </c>
      <c r="AS167" s="97" t="str">
        <f>IF($A167="","",IF($AP167&lt;&gt;"",$AP167,IFERROR(INDEX('Cat Zone by ZIP'!$D$6:$D$856,MATCH($AR167,'Cat Zone by ZIP'!$B$6:$B$856,0)),IFERROR(INDEX('Cat Zone by ZIP'!$C$860:$C$910,MATCH($K167,'Cat Zone by ZIP'!$B$860:$B$910,0)),"NOT FOUND"))))</f>
        <v/>
      </c>
      <c r="AT167" s="97" t="str">
        <f>IF($A167="","",IF($AP167&lt;&gt;"","Override",IF(ISNUMBER(MATCH($AR167,'Cat Zone by ZIP'!$B$6:$B$856,0)),"ZIP-3","State default")))</f>
        <v/>
      </c>
      <c r="AU167" s="98" t="str">
        <f>IF($A167="","",IFERROR(INDEX('Natural Catastrophe'!$D$6:$D$17,MATCH($AS167,'Natural Catastrophe'!$B$6:$B$17,0)),"?"))</f>
        <v/>
      </c>
      <c r="AV167" s="98" t="str">
        <f>IF($A167="","",IFERROR(INDEX('Natural Catastrophe'!$C$21:$C$26,MATCH($AA167,'Natural Catastrophe'!$B$21:$B$26,0)),"?"))</f>
        <v/>
      </c>
      <c r="AW167" s="97" t="str">
        <f>IF($A167="","",IFERROR(INDEX('Base Rates'!$C$4:$I$4,MATCH(MAX($J167,'Technical Premium'!$C$18),'Base Rates'!$C$3:$I$3,1)),"?"))</f>
        <v/>
      </c>
      <c r="AX167" s="99" t="str">
        <f>IF($A167="","",IFERROR(INDEX('Base Rates'!$C$5:$I$16,MATCH($I167,'Base Rates'!$B$5:$B$16,0),MATCH(MAX($J167,'Technical Premium'!$C$18),'Base Rates'!$C$3:$I$3,1)),"?"))</f>
        <v/>
      </c>
      <c r="AY167" s="100" t="str">
        <f t="shared" si="27"/>
        <v/>
      </c>
      <c r="AZ167" s="97" t="str">
        <f>IF($A167="","",IFERROR(INDEX('Make Factors'!$G$5:$G$69,MATCH($F167,'Make Factors'!$B$5:$B$69,0)),"?"))</f>
        <v/>
      </c>
      <c r="BA167" s="97" t="str">
        <f>IF($A167="","",IFERROR(INDEX('Driver Factors'!$C$6:$C$15,MATCH($R167,'Driver Factors'!$B$6:$B$15,0)),"?"))</f>
        <v/>
      </c>
      <c r="BB167" s="97" t="str">
        <f>IF($A167="","",IFERROR(INDEX('Driver Factors'!$C$19:$C$24,MATCH($S167,'Driver Factors'!$B$19:$B$24,0)),"?"))</f>
        <v/>
      </c>
      <c r="BC167" s="97" t="str">
        <f>IF($A167="","",IFERROR(INDEX('Driver Factors'!$C$28:$C$36,MATCH($T167,'Driver Factors'!$B$28:$B$36,0)),"?"))</f>
        <v/>
      </c>
      <c r="BD167" s="97" t="str">
        <f>IF($A167="","",IFERROR(INDEX('Claims History'!$C$6:$C$15,MATCH($U167,'Claims History'!$B$6:$B$15,0)),"?"))</f>
        <v/>
      </c>
      <c r="BE167" s="97" t="str">
        <f>IF($A167="","",IFERROR(INDEX('Territory Factors'!$E$6:$E$56,MATCH($K167,'Territory Factors'!$B$6:$B$56,0)),"?"))</f>
        <v/>
      </c>
      <c r="BF167" s="97" t="str">
        <f>IF($A167="","",IFERROR(INDEX('City Accident Ratings'!$G$6:$G$54,MATCH($Z167,'City Accident Ratings'!$B$6:$B$54,0)),"?"))</f>
        <v/>
      </c>
      <c r="BG167" s="97" t="str">
        <f>IF($A167="","",IFERROR(INDEX('Usage and Coverage'!$D$6:$D$20,MATCH($N167,'Usage and Coverage'!$C$6:$C$20,0)),"?"))</f>
        <v/>
      </c>
      <c r="BH167" s="97" t="str">
        <f>IF($A167="","",IFERROR(INDEX('Usage and Coverage'!$C$24:$C$30,MATCH($O167,'Usage and Coverage'!$B$24:$B$30,0)),"?"))</f>
        <v/>
      </c>
      <c r="BI167" s="97" t="str">
        <f>IF($A167="","",IFERROR(INDEX('Usage and Coverage'!$C$34:$C$40,MATCH($P167,'Usage and Coverage'!$B$34:$B$40,0)),"?"))</f>
        <v/>
      </c>
      <c r="BJ167" s="97" t="str">
        <f>IF($A167="","",IFERROR(INDEX('Usage and Coverage'!$C$44:$C$49,MATCH($Q167,'Usage and Coverage'!$B$44:$B$49,0)),"?"))</f>
        <v/>
      </c>
      <c r="BK167" s="97" t="str">
        <f>IF($A167="","",IFERROR(INDEX(Deductibles!$C$6:$I$15,MATCH($W167,Deductibles!$B$6:$B$15,0),MATCH(MAX($J167,'Technical Premium'!$C$18),'Base Rates'!$C$3:$I$3,1)),"?"))</f>
        <v/>
      </c>
      <c r="BL167" s="97" t="str">
        <f>IF($A167="","",IFERROR(INDEX('Usage and Coverage'!$C$63:$C$66,MATCH($X167,'Usage and Coverage'!$B$63:$B$66,0)),"?"))</f>
        <v/>
      </c>
      <c r="BM167" s="97" t="str">
        <f>IF($A167="","",IFERROR(INDEX('Usage and Coverage'!$C$70:$C$75,MATCH($V167,'Usage and Coverage'!$B$70:$B$75,0)),"?"))</f>
        <v/>
      </c>
      <c r="BN167" s="97" t="str">
        <f>IF($A167="","",IF($AB167="",1,IFERROR(INDEX(Deductibles!$C$48:$C$51,MATCH($AB167,Deductibles!$B$48:$B$51,0)),"?")))</f>
        <v/>
      </c>
      <c r="BO167" s="97" t="str">
        <f>IF($A167="","",IF($AC167="",1,IFERROR(INDEX(Deductibles!$C$55:$C$57,MATCH($AC167,Deductibles!$B$55:$B$57,0)),"?")))</f>
        <v/>
      </c>
      <c r="BP167" s="97" t="str">
        <f>IF($A167="","",IF($AD167="",1,IFERROR(INDEX(Deductibles!$C$61:$C$63,MATCH($AD167,Deductibles!$B$61:$B$63,0)),"?")))</f>
        <v/>
      </c>
      <c r="BQ167" s="97" t="str">
        <f>IF($A167="","",IF($AE167="",1,IFERROR(INDEX(Deductibles!$C$67:$C$69,MATCH($AE167,Deductibles!$B$67:$B$69,0)),"?")))</f>
        <v/>
      </c>
      <c r="BR167" s="97" t="str">
        <f>IF($A167="","",IF($AF167="",1,IFERROR(INDEX(Deductibles!$C$73:$C$74,MATCH($AF167,Deductibles!$B$73:$B$74,0)),"?")))</f>
        <v/>
      </c>
      <c r="BS167" s="97" t="str">
        <f>IF($A167="","",IF($AG167="",1,IFERROR(INDEX('Sublimits and Parts'!$C$49:$C$52,MATCH($AG167,'Sublimits and Parts'!$B$49:$B$52,0)),"?")))</f>
        <v/>
      </c>
      <c r="BT167" s="97" t="str">
        <f>IF($A167="","",IF($AH167="",1,IFERROR(INDEX('Sublimits and Parts'!$C$56:$C$60,MATCH($AH167,'Sublimits and Parts'!$B$56:$B$60,0)),"?")))</f>
        <v/>
      </c>
      <c r="BU167" s="97" t="str">
        <f>IF($A167="","",IF($AI167="",1,IFERROR(INDEX('Sublimits and Parts'!$C$64:$C$67,MATCH($AI167,'Sublimits and Parts'!$B$64:$B$67,0)),"?")))</f>
        <v/>
      </c>
      <c r="BV167" s="97" t="str">
        <f>IF($A167="","",IF($AJ167="",1,IFERROR(INDEX('Sublimits and Parts'!$C$71:$C$74,MATCH($AJ167,'Sublimits and Parts'!$B$71:$B$74,0)),"?")))</f>
        <v/>
      </c>
      <c r="BW167" s="97" t="str">
        <f>IF($A167="","",IF($AK167="",1,IFERROR(INDEX('Sublimits and Parts'!$C$78:$C$80,MATCH($AK167,'Sublimits and Parts'!$B$78:$B$80,0)),"?")))</f>
        <v/>
      </c>
      <c r="BX167" s="97" t="str">
        <f>IF($A167="","",IF($AL167="",1,IFERROR(INDEX('Sublimits and Parts'!$C$84:$C$87,MATCH($AL167,'Sublimits and Parts'!$B$84:$B$87,0)),"?")))</f>
        <v/>
      </c>
      <c r="BY167" s="97" t="str">
        <f>IF($A167="","",IF($AM167="",1,IFERROR(INDEX('Sublimits and Parts'!$C$91:$C$94,MATCH($AM167,'Sublimits and Parts'!$B$91:$B$94,0)),"?")))</f>
        <v/>
      </c>
      <c r="BZ167" s="97" t="str">
        <f>IF($A167="","",IF($AN167="",1,IFERROR(INDEX('Sublimits and Parts'!$C$98:$C$101,MATCH($AN167,'Sublimits and Parts'!$B$98:$B$101,0)),"?")))</f>
        <v/>
      </c>
      <c r="CA167" s="97" t="str">
        <f>IF($A167="","",IF($AO167="",1,IFERROR(INDEX('Sublimits and Parts'!$C$105:$C$109,MATCH($AO167,'Sublimits and Parts'!$B$105:$B$109,0)),"?")))</f>
        <v/>
      </c>
      <c r="CB167" s="98" t="str">
        <f t="shared" si="28"/>
        <v/>
      </c>
      <c r="CC167" s="98" t="str">
        <f t="shared" si="29"/>
        <v/>
      </c>
      <c r="CD167" s="101" t="str">
        <f>IF($A167="","",IF(OR($CB167="?",$CC167="?"),"?",MIN($CB167*$CC167,'Technical Premium'!$C$17)))</f>
        <v/>
      </c>
      <c r="CE167" s="100" t="str">
        <f t="shared" si="30"/>
        <v/>
      </c>
      <c r="CF167" s="100" t="str">
        <f>IF($A167="","",IFERROR(INDEX('Territory Factors'!$F$6:$F$56,MATCH($K167,'Territory Factors'!$B$6:$B$56,0)),"?"))</f>
        <v/>
      </c>
      <c r="CG167" s="98" t="str">
        <f>IF($A167="","",IFERROR(INDEX('Usage and Coverage'!$C$79:$C$84,MATCH($Y167,'Usage and Coverage'!$B$79:$B$84,0)),"?"))</f>
        <v/>
      </c>
      <c r="CH167" s="100" t="str">
        <f>IFERROR(IF(ISNUMBER($CD167),$CF167*$CG167*MIN($BG167*$BA167*$BC167*$BD167*$BH167*$BF167,'Technical Premium'!$C$17),""),"")</f>
        <v/>
      </c>
      <c r="CI167" s="100" t="str">
        <f t="shared" si="31"/>
        <v/>
      </c>
      <c r="CJ167" s="100" t="str">
        <f>IFERROR($CI167*(1+'Technical Premium'!$C$5)*(1+'Technical Premium'!$C$6),"")</f>
        <v/>
      </c>
      <c r="CK167" s="100" t="str">
        <f>IFERROR($CE167*INDEX('Territory Factors'!$G$6:$G$56,MATCH($K167,'Territory Factors'!$B$6:$B$56,0))*$AU167*$AV167,"")</f>
        <v/>
      </c>
      <c r="CL167" s="100" t="str">
        <f>IFERROR(($CJ167+$CK167)*(1+'Technical Premium'!$C$7),"")</f>
        <v/>
      </c>
      <c r="CM167" s="102" t="str">
        <f>IFERROR($CL167/'Technical Premium'!$C$13,"")</f>
        <v/>
      </c>
      <c r="CN167" s="103" t="str">
        <f t="shared" si="32"/>
        <v/>
      </c>
      <c r="CO167" s="102" t="str">
        <f t="shared" si="33"/>
        <v/>
      </c>
      <c r="CP167" s="103" t="str">
        <f t="shared" si="34"/>
        <v/>
      </c>
      <c r="CQ167" s="104" t="str">
        <f t="shared" si="35"/>
        <v/>
      </c>
      <c r="CR167" s="100" t="str">
        <f>IF(ISNUMBER($CM167),'Technical Premium'!$C$14+IF($J167&gt;=1000000,'Technical Premium'!$C$15,0),"")</f>
        <v/>
      </c>
      <c r="CS167" s="100" t="str">
        <f>IFERROR(($CO167+$CR167)*(INDEX('Territory Factors'!$K$6:$K$56,MATCH($K167,'Territory Factors'!$B$6:$B$56,0))+'Commission Structure'!$C$21),"")</f>
        <v/>
      </c>
      <c r="CT167" s="102" t="str">
        <f t="shared" si="36"/>
        <v/>
      </c>
      <c r="CU167" s="100" t="str">
        <f>IFERROR($CO167*('Commission Structure'!$C$6+'Commission Structure'!$C$7),"")</f>
        <v/>
      </c>
      <c r="CV167" s="100" t="str">
        <f>IFERROR($CO167*'Commission Structure'!$C$5-$CU167,"")</f>
        <v/>
      </c>
      <c r="CW167" s="100" t="str">
        <f>IFERROR($CO167*(1-'Commission Structure'!$C$5),"")</f>
        <v/>
      </c>
      <c r="CX167" s="105" t="str">
        <f>IF($A167="","",IF(OR($CB167="?",$CC167="?",NOT(ISNUMBER($AU167))),"CHECK INPUTS",IF(OR($J167&lt;'Technical Premium'!$C$18,LEFT(IFERROR(INDEX('Driver Factors'!$D$6:$D$15,MATCH($R167,'Driver Factors'!$B$6:$B$15,0)),""),7)="DECLINE",LEFT(IFERROR(INDEX('Driver Factors'!$D$28:$D$36,MATCH($T167,'Driver Factors'!$B$28:$B$36,0)),""),7)="DECLINE",LEFT(IFERROR(INDEX('Claims History'!$D$6:$D$15,MATCH($U167,'Claims History'!$B$6:$B$15,0)),""),7)="DECLINE",LEFT(IFERROR(INDEX('Usage and Coverage'!$E$6:$E$20,MATCH($N167,'Usage and Coverage'!$C$6:$C$20,0)),""),7)="DECLINE"),"DECLINE",IF(OR($CD167&gt;2.5,$CD167&gt;='Technical Premium'!$C$17,$J167&gt;='Technical Premium'!$C$16,N($AQ167)&lt;'Technical Premium'!$C$19,N($AQ167)&gt;'Technical Premium'!$C$20,LEFT(IFERROR(INDEX('Driver Factors'!$D$6:$D$15,MATCH($R167,'Driver Factors'!$B$6:$B$15,0)),""),5)="Refer",LEFT(IFERROR(INDEX('Driver Factors'!$D$28:$D$36,MATCH($T167,'Driver Factors'!$B$28:$B$36,0)),""),5)="Refer",LEFT(IFERROR(INDEX('Claims History'!$D$6:$D$15,MATCH($U167,'Claims History'!$B$6:$B$15,0)),""),5)="Refer",LEFT(IFERROR(INDEX('Usage and Coverage'!$E$6:$E$20,MATCH($N167,'Usage and Coverage'!$C$6:$C$20,0)),""),5)="Refer"),"REFER","AUTO-BIND"))))</f>
        <v/>
      </c>
      <c r="CY167" s="106" t="str">
        <f t="shared" si="37"/>
        <v/>
      </c>
      <c r="CZ167" s="97" t="str">
        <f>IF($CY167="","",IF($CY167&lt;'Technical Premium'!$C$19,"BEYOND AUTHORITY",IF($CY167&gt;0.005,"Above technical",IF($CY167&lt;-0.005,"BELOW technical","At technical"))))</f>
        <v/>
      </c>
      <c r="DA167" s="97" t="str">
        <f>IF($A167="","",IF($CX167="AUTO-BIND","",TRIM(IF($J167&lt;'Technical Premium'!$C$18,"Below programme minimum agreed value. ","")&amp;IF(N($AQ167)&lt;'Technical Premium'!$C$19,"DISCOUNT AUTHORITY BREACH. ","")&amp;IF(N($AQ167)&gt;'Technical Premium'!$C$20,"Load authority breach. ","")&amp;IF($J167&gt;='Technical Premium'!$C$16,"Agreed value at or above auto-bind limit. ","")&amp;IF(AND(ISNUMBER($CD167),$CD167&gt;='Technical Premium'!$C$17),"Composite factor at cap. ","")&amp;IF(AND(ISNUMBER($CD167),$CD167&gt;2.5),"Composite factor above 2.50. ","")&amp;IF(LEFT(IFERROR(INDEX('Driver Factors'!$D$6:$D$15,MATCH($R167,'Driver Factors'!$B$6:$B$15,0)),""),7)="DECLINE","DECLINE - driver age. ",IF(LEFT(IFERROR(INDEX('Driver Factors'!$D$6:$D$15,MATCH($R167,'Driver Factors'!$B$6:$B$15,0)),""),5)="Refer","Driver age band. ",""))&amp;IF(LEFT(IFERROR(INDEX('Driver Factors'!$D$28:$D$36,MATCH($T167,'Driver Factors'!$B$28:$B$36,0)),""),7)="DECLINE","DECLINE - MVR. ",IF(LEFT(IFERROR(INDEX('Driver Factors'!$D$28:$D$36,MATCH($T167,'Driver Factors'!$B$28:$B$36,0)),""),5)="Refer","MVR record. ",""))&amp;IF(LEFT(IFERROR(INDEX('Claims History'!$D$6:$D$15,MATCH($U167,'Claims History'!$B$6:$B$15,0)),""),7)="DECLINE","DECLINE - claims. ",IF(LEFT(IFERROR(INDEX('Claims History'!$D$6:$D$15,MATCH($U167,'Claims History'!$B$6:$B$15,0)),""),5)="Refer","Claims history. ",""))&amp;IF(LEFT(IFERROR(INDEX('Usage and Coverage'!$E$6:$E$20,MATCH($N167,'Usage and Coverage'!$C$6:$C$20,0)),""),7)="DECLINE","DECLINE - usage class. ",IF(LEFT(IFERROR(INDEX('Usage and Coverage'!$E$6:$E$20,MATCH($N167,'Usage and Coverage'!$C$6:$C$20,0)),""),5)="Refer","Usage class. ",""))&amp;IF($CX167="CHECK INPUTS","Incomplete inputs. ",""))))</f>
        <v/>
      </c>
      <c r="DB167" s="92"/>
      <c r="DC167" s="92"/>
      <c r="DD167" s="93"/>
      <c r="DE167" s="92"/>
      <c r="DF167" s="92"/>
      <c r="DG167" s="97" t="str">
        <f t="shared" si="38"/>
        <v/>
      </c>
      <c r="DH167" s="97" t="str">
        <f>IF($A167="","",IF(OR($CX167="REFER",$CX167="DECLINE"),COUNTIF($CX$5:$CX167,"REFER")+COUNTIF($CX$5:$CX167,"DECLINE"),""))</f>
        <v/>
      </c>
      <c r="DI167" s="92"/>
    </row>
    <row r="168" spans="1:113" x14ac:dyDescent="0.25">
      <c r="A168" s="92"/>
      <c r="B168" s="92"/>
      <c r="C168" s="93"/>
      <c r="D168" s="93"/>
      <c r="E168" s="94"/>
      <c r="F168" s="92"/>
      <c r="G168" s="92"/>
      <c r="H168" s="92"/>
      <c r="I168" s="92"/>
      <c r="J168" s="95"/>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6"/>
      <c r="AR168" s="97" t="str">
        <f t="shared" si="26"/>
        <v/>
      </c>
      <c r="AS168" s="97" t="str">
        <f>IF($A168="","",IF($AP168&lt;&gt;"",$AP168,IFERROR(INDEX('Cat Zone by ZIP'!$D$6:$D$856,MATCH($AR168,'Cat Zone by ZIP'!$B$6:$B$856,0)),IFERROR(INDEX('Cat Zone by ZIP'!$C$860:$C$910,MATCH($K168,'Cat Zone by ZIP'!$B$860:$B$910,0)),"NOT FOUND"))))</f>
        <v/>
      </c>
      <c r="AT168" s="97" t="str">
        <f>IF($A168="","",IF($AP168&lt;&gt;"","Override",IF(ISNUMBER(MATCH($AR168,'Cat Zone by ZIP'!$B$6:$B$856,0)),"ZIP-3","State default")))</f>
        <v/>
      </c>
      <c r="AU168" s="98" t="str">
        <f>IF($A168="","",IFERROR(INDEX('Natural Catastrophe'!$D$6:$D$17,MATCH($AS168,'Natural Catastrophe'!$B$6:$B$17,0)),"?"))</f>
        <v/>
      </c>
      <c r="AV168" s="98" t="str">
        <f>IF($A168="","",IFERROR(INDEX('Natural Catastrophe'!$C$21:$C$26,MATCH($AA168,'Natural Catastrophe'!$B$21:$B$26,0)),"?"))</f>
        <v/>
      </c>
      <c r="AW168" s="97" t="str">
        <f>IF($A168="","",IFERROR(INDEX('Base Rates'!$C$4:$I$4,MATCH(MAX($J168,'Technical Premium'!$C$18),'Base Rates'!$C$3:$I$3,1)),"?"))</f>
        <v/>
      </c>
      <c r="AX168" s="99" t="str">
        <f>IF($A168="","",IFERROR(INDEX('Base Rates'!$C$5:$I$16,MATCH($I168,'Base Rates'!$B$5:$B$16,0),MATCH(MAX($J168,'Technical Premium'!$C$18),'Base Rates'!$C$3:$I$3,1)),"?"))</f>
        <v/>
      </c>
      <c r="AY168" s="100" t="str">
        <f t="shared" si="27"/>
        <v/>
      </c>
      <c r="AZ168" s="97" t="str">
        <f>IF($A168="","",IFERROR(INDEX('Make Factors'!$G$5:$G$69,MATCH($F168,'Make Factors'!$B$5:$B$69,0)),"?"))</f>
        <v/>
      </c>
      <c r="BA168" s="97" t="str">
        <f>IF($A168="","",IFERROR(INDEX('Driver Factors'!$C$6:$C$15,MATCH($R168,'Driver Factors'!$B$6:$B$15,0)),"?"))</f>
        <v/>
      </c>
      <c r="BB168" s="97" t="str">
        <f>IF($A168="","",IFERROR(INDEX('Driver Factors'!$C$19:$C$24,MATCH($S168,'Driver Factors'!$B$19:$B$24,0)),"?"))</f>
        <v/>
      </c>
      <c r="BC168" s="97" t="str">
        <f>IF($A168="","",IFERROR(INDEX('Driver Factors'!$C$28:$C$36,MATCH($T168,'Driver Factors'!$B$28:$B$36,0)),"?"))</f>
        <v/>
      </c>
      <c r="BD168" s="97" t="str">
        <f>IF($A168="","",IFERROR(INDEX('Claims History'!$C$6:$C$15,MATCH($U168,'Claims History'!$B$6:$B$15,0)),"?"))</f>
        <v/>
      </c>
      <c r="BE168" s="97" t="str">
        <f>IF($A168="","",IFERROR(INDEX('Territory Factors'!$E$6:$E$56,MATCH($K168,'Territory Factors'!$B$6:$B$56,0)),"?"))</f>
        <v/>
      </c>
      <c r="BF168" s="97" t="str">
        <f>IF($A168="","",IFERROR(INDEX('City Accident Ratings'!$G$6:$G$54,MATCH($Z168,'City Accident Ratings'!$B$6:$B$54,0)),"?"))</f>
        <v/>
      </c>
      <c r="BG168" s="97" t="str">
        <f>IF($A168="","",IFERROR(INDEX('Usage and Coverage'!$D$6:$D$20,MATCH($N168,'Usage and Coverage'!$C$6:$C$20,0)),"?"))</f>
        <v/>
      </c>
      <c r="BH168" s="97" t="str">
        <f>IF($A168="","",IFERROR(INDEX('Usage and Coverage'!$C$24:$C$30,MATCH($O168,'Usage and Coverage'!$B$24:$B$30,0)),"?"))</f>
        <v/>
      </c>
      <c r="BI168" s="97" t="str">
        <f>IF($A168="","",IFERROR(INDEX('Usage and Coverage'!$C$34:$C$40,MATCH($P168,'Usage and Coverage'!$B$34:$B$40,0)),"?"))</f>
        <v/>
      </c>
      <c r="BJ168" s="97" t="str">
        <f>IF($A168="","",IFERROR(INDEX('Usage and Coverage'!$C$44:$C$49,MATCH($Q168,'Usage and Coverage'!$B$44:$B$49,0)),"?"))</f>
        <v/>
      </c>
      <c r="BK168" s="97" t="str">
        <f>IF($A168="","",IFERROR(INDEX(Deductibles!$C$6:$I$15,MATCH($W168,Deductibles!$B$6:$B$15,0),MATCH(MAX($J168,'Technical Premium'!$C$18),'Base Rates'!$C$3:$I$3,1)),"?"))</f>
        <v/>
      </c>
      <c r="BL168" s="97" t="str">
        <f>IF($A168="","",IFERROR(INDEX('Usage and Coverage'!$C$63:$C$66,MATCH($X168,'Usage and Coverage'!$B$63:$B$66,0)),"?"))</f>
        <v/>
      </c>
      <c r="BM168" s="97" t="str">
        <f>IF($A168="","",IFERROR(INDEX('Usage and Coverage'!$C$70:$C$75,MATCH($V168,'Usage and Coverage'!$B$70:$B$75,0)),"?"))</f>
        <v/>
      </c>
      <c r="BN168" s="97" t="str">
        <f>IF($A168="","",IF($AB168="",1,IFERROR(INDEX(Deductibles!$C$48:$C$51,MATCH($AB168,Deductibles!$B$48:$B$51,0)),"?")))</f>
        <v/>
      </c>
      <c r="BO168" s="97" t="str">
        <f>IF($A168="","",IF($AC168="",1,IFERROR(INDEX(Deductibles!$C$55:$C$57,MATCH($AC168,Deductibles!$B$55:$B$57,0)),"?")))</f>
        <v/>
      </c>
      <c r="BP168" s="97" t="str">
        <f>IF($A168="","",IF($AD168="",1,IFERROR(INDEX(Deductibles!$C$61:$C$63,MATCH($AD168,Deductibles!$B$61:$B$63,0)),"?")))</f>
        <v/>
      </c>
      <c r="BQ168" s="97" t="str">
        <f>IF($A168="","",IF($AE168="",1,IFERROR(INDEX(Deductibles!$C$67:$C$69,MATCH($AE168,Deductibles!$B$67:$B$69,0)),"?")))</f>
        <v/>
      </c>
      <c r="BR168" s="97" t="str">
        <f>IF($A168="","",IF($AF168="",1,IFERROR(INDEX(Deductibles!$C$73:$C$74,MATCH($AF168,Deductibles!$B$73:$B$74,0)),"?")))</f>
        <v/>
      </c>
      <c r="BS168" s="97" t="str">
        <f>IF($A168="","",IF($AG168="",1,IFERROR(INDEX('Sublimits and Parts'!$C$49:$C$52,MATCH($AG168,'Sublimits and Parts'!$B$49:$B$52,0)),"?")))</f>
        <v/>
      </c>
      <c r="BT168" s="97" t="str">
        <f>IF($A168="","",IF($AH168="",1,IFERROR(INDEX('Sublimits and Parts'!$C$56:$C$60,MATCH($AH168,'Sublimits and Parts'!$B$56:$B$60,0)),"?")))</f>
        <v/>
      </c>
      <c r="BU168" s="97" t="str">
        <f>IF($A168="","",IF($AI168="",1,IFERROR(INDEX('Sublimits and Parts'!$C$64:$C$67,MATCH($AI168,'Sublimits and Parts'!$B$64:$B$67,0)),"?")))</f>
        <v/>
      </c>
      <c r="BV168" s="97" t="str">
        <f>IF($A168="","",IF($AJ168="",1,IFERROR(INDEX('Sublimits and Parts'!$C$71:$C$74,MATCH($AJ168,'Sublimits and Parts'!$B$71:$B$74,0)),"?")))</f>
        <v/>
      </c>
      <c r="BW168" s="97" t="str">
        <f>IF($A168="","",IF($AK168="",1,IFERROR(INDEX('Sublimits and Parts'!$C$78:$C$80,MATCH($AK168,'Sublimits and Parts'!$B$78:$B$80,0)),"?")))</f>
        <v/>
      </c>
      <c r="BX168" s="97" t="str">
        <f>IF($A168="","",IF($AL168="",1,IFERROR(INDEX('Sublimits and Parts'!$C$84:$C$87,MATCH($AL168,'Sublimits and Parts'!$B$84:$B$87,0)),"?")))</f>
        <v/>
      </c>
      <c r="BY168" s="97" t="str">
        <f>IF($A168="","",IF($AM168="",1,IFERROR(INDEX('Sublimits and Parts'!$C$91:$C$94,MATCH($AM168,'Sublimits and Parts'!$B$91:$B$94,0)),"?")))</f>
        <v/>
      </c>
      <c r="BZ168" s="97" t="str">
        <f>IF($A168="","",IF($AN168="",1,IFERROR(INDEX('Sublimits and Parts'!$C$98:$C$101,MATCH($AN168,'Sublimits and Parts'!$B$98:$B$101,0)),"?")))</f>
        <v/>
      </c>
      <c r="CA168" s="97" t="str">
        <f>IF($A168="","",IF($AO168="",1,IFERROR(INDEX('Sublimits and Parts'!$C$105:$C$109,MATCH($AO168,'Sublimits and Parts'!$B$105:$B$109,0)),"?")))</f>
        <v/>
      </c>
      <c r="CB168" s="98" t="str">
        <f t="shared" si="28"/>
        <v/>
      </c>
      <c r="CC168" s="98" t="str">
        <f t="shared" si="29"/>
        <v/>
      </c>
      <c r="CD168" s="101" t="str">
        <f>IF($A168="","",IF(OR($CB168="?",$CC168="?"),"?",MIN($CB168*$CC168,'Technical Premium'!$C$17)))</f>
        <v/>
      </c>
      <c r="CE168" s="100" t="str">
        <f t="shared" si="30"/>
        <v/>
      </c>
      <c r="CF168" s="100" t="str">
        <f>IF($A168="","",IFERROR(INDEX('Territory Factors'!$F$6:$F$56,MATCH($K168,'Territory Factors'!$B$6:$B$56,0)),"?"))</f>
        <v/>
      </c>
      <c r="CG168" s="98" t="str">
        <f>IF($A168="","",IFERROR(INDEX('Usage and Coverage'!$C$79:$C$84,MATCH($Y168,'Usage and Coverage'!$B$79:$B$84,0)),"?"))</f>
        <v/>
      </c>
      <c r="CH168" s="100" t="str">
        <f>IFERROR(IF(ISNUMBER($CD168),$CF168*$CG168*MIN($BG168*$BA168*$BC168*$BD168*$BH168*$BF168,'Technical Premium'!$C$17),""),"")</f>
        <v/>
      </c>
      <c r="CI168" s="100" t="str">
        <f t="shared" si="31"/>
        <v/>
      </c>
      <c r="CJ168" s="100" t="str">
        <f>IFERROR($CI168*(1+'Technical Premium'!$C$5)*(1+'Technical Premium'!$C$6),"")</f>
        <v/>
      </c>
      <c r="CK168" s="100" t="str">
        <f>IFERROR($CE168*INDEX('Territory Factors'!$G$6:$G$56,MATCH($K168,'Territory Factors'!$B$6:$B$56,0))*$AU168*$AV168,"")</f>
        <v/>
      </c>
      <c r="CL168" s="100" t="str">
        <f>IFERROR(($CJ168+$CK168)*(1+'Technical Premium'!$C$7),"")</f>
        <v/>
      </c>
      <c r="CM168" s="102" t="str">
        <f>IFERROR($CL168/'Technical Premium'!$C$13,"")</f>
        <v/>
      </c>
      <c r="CN168" s="103" t="str">
        <f t="shared" si="32"/>
        <v/>
      </c>
      <c r="CO168" s="102" t="str">
        <f t="shared" si="33"/>
        <v/>
      </c>
      <c r="CP168" s="103" t="str">
        <f t="shared" si="34"/>
        <v/>
      </c>
      <c r="CQ168" s="104" t="str">
        <f t="shared" si="35"/>
        <v/>
      </c>
      <c r="CR168" s="100" t="str">
        <f>IF(ISNUMBER($CM168),'Technical Premium'!$C$14+IF($J168&gt;=1000000,'Technical Premium'!$C$15,0),"")</f>
        <v/>
      </c>
      <c r="CS168" s="100" t="str">
        <f>IFERROR(($CO168+$CR168)*(INDEX('Territory Factors'!$K$6:$K$56,MATCH($K168,'Territory Factors'!$B$6:$B$56,0))+'Commission Structure'!$C$21),"")</f>
        <v/>
      </c>
      <c r="CT168" s="102" t="str">
        <f t="shared" si="36"/>
        <v/>
      </c>
      <c r="CU168" s="100" t="str">
        <f>IFERROR($CO168*('Commission Structure'!$C$6+'Commission Structure'!$C$7),"")</f>
        <v/>
      </c>
      <c r="CV168" s="100" t="str">
        <f>IFERROR($CO168*'Commission Structure'!$C$5-$CU168,"")</f>
        <v/>
      </c>
      <c r="CW168" s="100" t="str">
        <f>IFERROR($CO168*(1-'Commission Structure'!$C$5),"")</f>
        <v/>
      </c>
      <c r="CX168" s="105" t="str">
        <f>IF($A168="","",IF(OR($CB168="?",$CC168="?",NOT(ISNUMBER($AU168))),"CHECK INPUTS",IF(OR($J168&lt;'Technical Premium'!$C$18,LEFT(IFERROR(INDEX('Driver Factors'!$D$6:$D$15,MATCH($R168,'Driver Factors'!$B$6:$B$15,0)),""),7)="DECLINE",LEFT(IFERROR(INDEX('Driver Factors'!$D$28:$D$36,MATCH($T168,'Driver Factors'!$B$28:$B$36,0)),""),7)="DECLINE",LEFT(IFERROR(INDEX('Claims History'!$D$6:$D$15,MATCH($U168,'Claims History'!$B$6:$B$15,0)),""),7)="DECLINE",LEFT(IFERROR(INDEX('Usage and Coverage'!$E$6:$E$20,MATCH($N168,'Usage and Coverage'!$C$6:$C$20,0)),""),7)="DECLINE"),"DECLINE",IF(OR($CD168&gt;2.5,$CD168&gt;='Technical Premium'!$C$17,$J168&gt;='Technical Premium'!$C$16,N($AQ168)&lt;'Technical Premium'!$C$19,N($AQ168)&gt;'Technical Premium'!$C$20,LEFT(IFERROR(INDEX('Driver Factors'!$D$6:$D$15,MATCH($R168,'Driver Factors'!$B$6:$B$15,0)),""),5)="Refer",LEFT(IFERROR(INDEX('Driver Factors'!$D$28:$D$36,MATCH($T168,'Driver Factors'!$B$28:$B$36,0)),""),5)="Refer",LEFT(IFERROR(INDEX('Claims History'!$D$6:$D$15,MATCH($U168,'Claims History'!$B$6:$B$15,0)),""),5)="Refer",LEFT(IFERROR(INDEX('Usage and Coverage'!$E$6:$E$20,MATCH($N168,'Usage and Coverage'!$C$6:$C$20,0)),""),5)="Refer"),"REFER","AUTO-BIND"))))</f>
        <v/>
      </c>
      <c r="CY168" s="106" t="str">
        <f t="shared" si="37"/>
        <v/>
      </c>
      <c r="CZ168" s="97" t="str">
        <f>IF($CY168="","",IF($CY168&lt;'Technical Premium'!$C$19,"BEYOND AUTHORITY",IF($CY168&gt;0.005,"Above technical",IF($CY168&lt;-0.005,"BELOW technical","At technical"))))</f>
        <v/>
      </c>
      <c r="DA168" s="97" t="str">
        <f>IF($A168="","",IF($CX168="AUTO-BIND","",TRIM(IF($J168&lt;'Technical Premium'!$C$18,"Below programme minimum agreed value. ","")&amp;IF(N($AQ168)&lt;'Technical Premium'!$C$19,"DISCOUNT AUTHORITY BREACH. ","")&amp;IF(N($AQ168)&gt;'Technical Premium'!$C$20,"Load authority breach. ","")&amp;IF($J168&gt;='Technical Premium'!$C$16,"Agreed value at or above auto-bind limit. ","")&amp;IF(AND(ISNUMBER($CD168),$CD168&gt;='Technical Premium'!$C$17),"Composite factor at cap. ","")&amp;IF(AND(ISNUMBER($CD168),$CD168&gt;2.5),"Composite factor above 2.50. ","")&amp;IF(LEFT(IFERROR(INDEX('Driver Factors'!$D$6:$D$15,MATCH($R168,'Driver Factors'!$B$6:$B$15,0)),""),7)="DECLINE","DECLINE - driver age. ",IF(LEFT(IFERROR(INDEX('Driver Factors'!$D$6:$D$15,MATCH($R168,'Driver Factors'!$B$6:$B$15,0)),""),5)="Refer","Driver age band. ",""))&amp;IF(LEFT(IFERROR(INDEX('Driver Factors'!$D$28:$D$36,MATCH($T168,'Driver Factors'!$B$28:$B$36,0)),""),7)="DECLINE","DECLINE - MVR. ",IF(LEFT(IFERROR(INDEX('Driver Factors'!$D$28:$D$36,MATCH($T168,'Driver Factors'!$B$28:$B$36,0)),""),5)="Refer","MVR record. ",""))&amp;IF(LEFT(IFERROR(INDEX('Claims History'!$D$6:$D$15,MATCH($U168,'Claims History'!$B$6:$B$15,0)),""),7)="DECLINE","DECLINE - claims. ",IF(LEFT(IFERROR(INDEX('Claims History'!$D$6:$D$15,MATCH($U168,'Claims History'!$B$6:$B$15,0)),""),5)="Refer","Claims history. ",""))&amp;IF(LEFT(IFERROR(INDEX('Usage and Coverage'!$E$6:$E$20,MATCH($N168,'Usage and Coverage'!$C$6:$C$20,0)),""),7)="DECLINE","DECLINE - usage class. ",IF(LEFT(IFERROR(INDEX('Usage and Coverage'!$E$6:$E$20,MATCH($N168,'Usage and Coverage'!$C$6:$C$20,0)),""),5)="Refer","Usage class. ",""))&amp;IF($CX168="CHECK INPUTS","Incomplete inputs. ",""))))</f>
        <v/>
      </c>
      <c r="DB168" s="92"/>
      <c r="DC168" s="92"/>
      <c r="DD168" s="93"/>
      <c r="DE168" s="92"/>
      <c r="DF168" s="92"/>
      <c r="DG168" s="97" t="str">
        <f t="shared" si="38"/>
        <v/>
      </c>
      <c r="DH168" s="97" t="str">
        <f>IF($A168="","",IF(OR($CX168="REFER",$CX168="DECLINE"),COUNTIF($CX$5:$CX168,"REFER")+COUNTIF($CX$5:$CX168,"DECLINE"),""))</f>
        <v/>
      </c>
      <c r="DI168" s="92"/>
    </row>
    <row r="169" spans="1:113" x14ac:dyDescent="0.25">
      <c r="A169" s="92"/>
      <c r="B169" s="92"/>
      <c r="C169" s="93"/>
      <c r="D169" s="93"/>
      <c r="E169" s="94"/>
      <c r="F169" s="92"/>
      <c r="G169" s="92"/>
      <c r="H169" s="92"/>
      <c r="I169" s="92"/>
      <c r="J169" s="95"/>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6"/>
      <c r="AR169" s="97" t="str">
        <f t="shared" si="26"/>
        <v/>
      </c>
      <c r="AS169" s="97" t="str">
        <f>IF($A169="","",IF($AP169&lt;&gt;"",$AP169,IFERROR(INDEX('Cat Zone by ZIP'!$D$6:$D$856,MATCH($AR169,'Cat Zone by ZIP'!$B$6:$B$856,0)),IFERROR(INDEX('Cat Zone by ZIP'!$C$860:$C$910,MATCH($K169,'Cat Zone by ZIP'!$B$860:$B$910,0)),"NOT FOUND"))))</f>
        <v/>
      </c>
      <c r="AT169" s="97" t="str">
        <f>IF($A169="","",IF($AP169&lt;&gt;"","Override",IF(ISNUMBER(MATCH($AR169,'Cat Zone by ZIP'!$B$6:$B$856,0)),"ZIP-3","State default")))</f>
        <v/>
      </c>
      <c r="AU169" s="98" t="str">
        <f>IF($A169="","",IFERROR(INDEX('Natural Catastrophe'!$D$6:$D$17,MATCH($AS169,'Natural Catastrophe'!$B$6:$B$17,0)),"?"))</f>
        <v/>
      </c>
      <c r="AV169" s="98" t="str">
        <f>IF($A169="","",IFERROR(INDEX('Natural Catastrophe'!$C$21:$C$26,MATCH($AA169,'Natural Catastrophe'!$B$21:$B$26,0)),"?"))</f>
        <v/>
      </c>
      <c r="AW169" s="97" t="str">
        <f>IF($A169="","",IFERROR(INDEX('Base Rates'!$C$4:$I$4,MATCH(MAX($J169,'Technical Premium'!$C$18),'Base Rates'!$C$3:$I$3,1)),"?"))</f>
        <v/>
      </c>
      <c r="AX169" s="99" t="str">
        <f>IF($A169="","",IFERROR(INDEX('Base Rates'!$C$5:$I$16,MATCH($I169,'Base Rates'!$B$5:$B$16,0),MATCH(MAX($J169,'Technical Premium'!$C$18),'Base Rates'!$C$3:$I$3,1)),"?"))</f>
        <v/>
      </c>
      <c r="AY169" s="100" t="str">
        <f t="shared" si="27"/>
        <v/>
      </c>
      <c r="AZ169" s="97" t="str">
        <f>IF($A169="","",IFERROR(INDEX('Make Factors'!$G$5:$G$69,MATCH($F169,'Make Factors'!$B$5:$B$69,0)),"?"))</f>
        <v/>
      </c>
      <c r="BA169" s="97" t="str">
        <f>IF($A169="","",IFERROR(INDEX('Driver Factors'!$C$6:$C$15,MATCH($R169,'Driver Factors'!$B$6:$B$15,0)),"?"))</f>
        <v/>
      </c>
      <c r="BB169" s="97" t="str">
        <f>IF($A169="","",IFERROR(INDEX('Driver Factors'!$C$19:$C$24,MATCH($S169,'Driver Factors'!$B$19:$B$24,0)),"?"))</f>
        <v/>
      </c>
      <c r="BC169" s="97" t="str">
        <f>IF($A169="","",IFERROR(INDEX('Driver Factors'!$C$28:$C$36,MATCH($T169,'Driver Factors'!$B$28:$B$36,0)),"?"))</f>
        <v/>
      </c>
      <c r="BD169" s="97" t="str">
        <f>IF($A169="","",IFERROR(INDEX('Claims History'!$C$6:$C$15,MATCH($U169,'Claims History'!$B$6:$B$15,0)),"?"))</f>
        <v/>
      </c>
      <c r="BE169" s="97" t="str">
        <f>IF($A169="","",IFERROR(INDEX('Territory Factors'!$E$6:$E$56,MATCH($K169,'Territory Factors'!$B$6:$B$56,0)),"?"))</f>
        <v/>
      </c>
      <c r="BF169" s="97" t="str">
        <f>IF($A169="","",IFERROR(INDEX('City Accident Ratings'!$G$6:$G$54,MATCH($Z169,'City Accident Ratings'!$B$6:$B$54,0)),"?"))</f>
        <v/>
      </c>
      <c r="BG169" s="97" t="str">
        <f>IF($A169="","",IFERROR(INDEX('Usage and Coverage'!$D$6:$D$20,MATCH($N169,'Usage and Coverage'!$C$6:$C$20,0)),"?"))</f>
        <v/>
      </c>
      <c r="BH169" s="97" t="str">
        <f>IF($A169="","",IFERROR(INDEX('Usage and Coverage'!$C$24:$C$30,MATCH($O169,'Usage and Coverage'!$B$24:$B$30,0)),"?"))</f>
        <v/>
      </c>
      <c r="BI169" s="97" t="str">
        <f>IF($A169="","",IFERROR(INDEX('Usage and Coverage'!$C$34:$C$40,MATCH($P169,'Usage and Coverage'!$B$34:$B$40,0)),"?"))</f>
        <v/>
      </c>
      <c r="BJ169" s="97" t="str">
        <f>IF($A169="","",IFERROR(INDEX('Usage and Coverage'!$C$44:$C$49,MATCH($Q169,'Usage and Coverage'!$B$44:$B$49,0)),"?"))</f>
        <v/>
      </c>
      <c r="BK169" s="97" t="str">
        <f>IF($A169="","",IFERROR(INDEX(Deductibles!$C$6:$I$15,MATCH($W169,Deductibles!$B$6:$B$15,0),MATCH(MAX($J169,'Technical Premium'!$C$18),'Base Rates'!$C$3:$I$3,1)),"?"))</f>
        <v/>
      </c>
      <c r="BL169" s="97" t="str">
        <f>IF($A169="","",IFERROR(INDEX('Usage and Coverage'!$C$63:$C$66,MATCH($X169,'Usage and Coverage'!$B$63:$B$66,0)),"?"))</f>
        <v/>
      </c>
      <c r="BM169" s="97" t="str">
        <f>IF($A169="","",IFERROR(INDEX('Usage and Coverage'!$C$70:$C$75,MATCH($V169,'Usage and Coverage'!$B$70:$B$75,0)),"?"))</f>
        <v/>
      </c>
      <c r="BN169" s="97" t="str">
        <f>IF($A169="","",IF($AB169="",1,IFERROR(INDEX(Deductibles!$C$48:$C$51,MATCH($AB169,Deductibles!$B$48:$B$51,0)),"?")))</f>
        <v/>
      </c>
      <c r="BO169" s="97" t="str">
        <f>IF($A169="","",IF($AC169="",1,IFERROR(INDEX(Deductibles!$C$55:$C$57,MATCH($AC169,Deductibles!$B$55:$B$57,0)),"?")))</f>
        <v/>
      </c>
      <c r="BP169" s="97" t="str">
        <f>IF($A169="","",IF($AD169="",1,IFERROR(INDEX(Deductibles!$C$61:$C$63,MATCH($AD169,Deductibles!$B$61:$B$63,0)),"?")))</f>
        <v/>
      </c>
      <c r="BQ169" s="97" t="str">
        <f>IF($A169="","",IF($AE169="",1,IFERROR(INDEX(Deductibles!$C$67:$C$69,MATCH($AE169,Deductibles!$B$67:$B$69,0)),"?")))</f>
        <v/>
      </c>
      <c r="BR169" s="97" t="str">
        <f>IF($A169="","",IF($AF169="",1,IFERROR(INDEX(Deductibles!$C$73:$C$74,MATCH($AF169,Deductibles!$B$73:$B$74,0)),"?")))</f>
        <v/>
      </c>
      <c r="BS169" s="97" t="str">
        <f>IF($A169="","",IF($AG169="",1,IFERROR(INDEX('Sublimits and Parts'!$C$49:$C$52,MATCH($AG169,'Sublimits and Parts'!$B$49:$B$52,0)),"?")))</f>
        <v/>
      </c>
      <c r="BT169" s="97" t="str">
        <f>IF($A169="","",IF($AH169="",1,IFERROR(INDEX('Sublimits and Parts'!$C$56:$C$60,MATCH($AH169,'Sublimits and Parts'!$B$56:$B$60,0)),"?")))</f>
        <v/>
      </c>
      <c r="BU169" s="97" t="str">
        <f>IF($A169="","",IF($AI169="",1,IFERROR(INDEX('Sublimits and Parts'!$C$64:$C$67,MATCH($AI169,'Sublimits and Parts'!$B$64:$B$67,0)),"?")))</f>
        <v/>
      </c>
      <c r="BV169" s="97" t="str">
        <f>IF($A169="","",IF($AJ169="",1,IFERROR(INDEX('Sublimits and Parts'!$C$71:$C$74,MATCH($AJ169,'Sublimits and Parts'!$B$71:$B$74,0)),"?")))</f>
        <v/>
      </c>
      <c r="BW169" s="97" t="str">
        <f>IF($A169="","",IF($AK169="",1,IFERROR(INDEX('Sublimits and Parts'!$C$78:$C$80,MATCH($AK169,'Sublimits and Parts'!$B$78:$B$80,0)),"?")))</f>
        <v/>
      </c>
      <c r="BX169" s="97" t="str">
        <f>IF($A169="","",IF($AL169="",1,IFERROR(INDEX('Sublimits and Parts'!$C$84:$C$87,MATCH($AL169,'Sublimits and Parts'!$B$84:$B$87,0)),"?")))</f>
        <v/>
      </c>
      <c r="BY169" s="97" t="str">
        <f>IF($A169="","",IF($AM169="",1,IFERROR(INDEX('Sublimits and Parts'!$C$91:$C$94,MATCH($AM169,'Sublimits and Parts'!$B$91:$B$94,0)),"?")))</f>
        <v/>
      </c>
      <c r="BZ169" s="97" t="str">
        <f>IF($A169="","",IF($AN169="",1,IFERROR(INDEX('Sublimits and Parts'!$C$98:$C$101,MATCH($AN169,'Sublimits and Parts'!$B$98:$B$101,0)),"?")))</f>
        <v/>
      </c>
      <c r="CA169" s="97" t="str">
        <f>IF($A169="","",IF($AO169="",1,IFERROR(INDEX('Sublimits and Parts'!$C$105:$C$109,MATCH($AO169,'Sublimits and Parts'!$B$105:$B$109,0)),"?")))</f>
        <v/>
      </c>
      <c r="CB169" s="98" t="str">
        <f t="shared" si="28"/>
        <v/>
      </c>
      <c r="CC169" s="98" t="str">
        <f t="shared" si="29"/>
        <v/>
      </c>
      <c r="CD169" s="101" t="str">
        <f>IF($A169="","",IF(OR($CB169="?",$CC169="?"),"?",MIN($CB169*$CC169,'Technical Premium'!$C$17)))</f>
        <v/>
      </c>
      <c r="CE169" s="100" t="str">
        <f t="shared" si="30"/>
        <v/>
      </c>
      <c r="CF169" s="100" t="str">
        <f>IF($A169="","",IFERROR(INDEX('Territory Factors'!$F$6:$F$56,MATCH($K169,'Territory Factors'!$B$6:$B$56,0)),"?"))</f>
        <v/>
      </c>
      <c r="CG169" s="98" t="str">
        <f>IF($A169="","",IFERROR(INDEX('Usage and Coverage'!$C$79:$C$84,MATCH($Y169,'Usage and Coverage'!$B$79:$B$84,0)),"?"))</f>
        <v/>
      </c>
      <c r="CH169" s="100" t="str">
        <f>IFERROR(IF(ISNUMBER($CD169),$CF169*$CG169*MIN($BG169*$BA169*$BC169*$BD169*$BH169*$BF169,'Technical Premium'!$C$17),""),"")</f>
        <v/>
      </c>
      <c r="CI169" s="100" t="str">
        <f t="shared" si="31"/>
        <v/>
      </c>
      <c r="CJ169" s="100" t="str">
        <f>IFERROR($CI169*(1+'Technical Premium'!$C$5)*(1+'Technical Premium'!$C$6),"")</f>
        <v/>
      </c>
      <c r="CK169" s="100" t="str">
        <f>IFERROR($CE169*INDEX('Territory Factors'!$G$6:$G$56,MATCH($K169,'Territory Factors'!$B$6:$B$56,0))*$AU169*$AV169,"")</f>
        <v/>
      </c>
      <c r="CL169" s="100" t="str">
        <f>IFERROR(($CJ169+$CK169)*(1+'Technical Premium'!$C$7),"")</f>
        <v/>
      </c>
      <c r="CM169" s="102" t="str">
        <f>IFERROR($CL169/'Technical Premium'!$C$13,"")</f>
        <v/>
      </c>
      <c r="CN169" s="103" t="str">
        <f t="shared" si="32"/>
        <v/>
      </c>
      <c r="CO169" s="102" t="str">
        <f t="shared" si="33"/>
        <v/>
      </c>
      <c r="CP169" s="103" t="str">
        <f t="shared" si="34"/>
        <v/>
      </c>
      <c r="CQ169" s="104" t="str">
        <f t="shared" si="35"/>
        <v/>
      </c>
      <c r="CR169" s="100" t="str">
        <f>IF(ISNUMBER($CM169),'Technical Premium'!$C$14+IF($J169&gt;=1000000,'Technical Premium'!$C$15,0),"")</f>
        <v/>
      </c>
      <c r="CS169" s="100" t="str">
        <f>IFERROR(($CO169+$CR169)*(INDEX('Territory Factors'!$K$6:$K$56,MATCH($K169,'Territory Factors'!$B$6:$B$56,0))+'Commission Structure'!$C$21),"")</f>
        <v/>
      </c>
      <c r="CT169" s="102" t="str">
        <f t="shared" si="36"/>
        <v/>
      </c>
      <c r="CU169" s="100" t="str">
        <f>IFERROR($CO169*('Commission Structure'!$C$6+'Commission Structure'!$C$7),"")</f>
        <v/>
      </c>
      <c r="CV169" s="100" t="str">
        <f>IFERROR($CO169*'Commission Structure'!$C$5-$CU169,"")</f>
        <v/>
      </c>
      <c r="CW169" s="100" t="str">
        <f>IFERROR($CO169*(1-'Commission Structure'!$C$5),"")</f>
        <v/>
      </c>
      <c r="CX169" s="105" t="str">
        <f>IF($A169="","",IF(OR($CB169="?",$CC169="?",NOT(ISNUMBER($AU169))),"CHECK INPUTS",IF(OR($J169&lt;'Technical Premium'!$C$18,LEFT(IFERROR(INDEX('Driver Factors'!$D$6:$D$15,MATCH($R169,'Driver Factors'!$B$6:$B$15,0)),""),7)="DECLINE",LEFT(IFERROR(INDEX('Driver Factors'!$D$28:$D$36,MATCH($T169,'Driver Factors'!$B$28:$B$36,0)),""),7)="DECLINE",LEFT(IFERROR(INDEX('Claims History'!$D$6:$D$15,MATCH($U169,'Claims History'!$B$6:$B$15,0)),""),7)="DECLINE",LEFT(IFERROR(INDEX('Usage and Coverage'!$E$6:$E$20,MATCH($N169,'Usage and Coverage'!$C$6:$C$20,0)),""),7)="DECLINE"),"DECLINE",IF(OR($CD169&gt;2.5,$CD169&gt;='Technical Premium'!$C$17,$J169&gt;='Technical Premium'!$C$16,N($AQ169)&lt;'Technical Premium'!$C$19,N($AQ169)&gt;'Technical Premium'!$C$20,LEFT(IFERROR(INDEX('Driver Factors'!$D$6:$D$15,MATCH($R169,'Driver Factors'!$B$6:$B$15,0)),""),5)="Refer",LEFT(IFERROR(INDEX('Driver Factors'!$D$28:$D$36,MATCH($T169,'Driver Factors'!$B$28:$B$36,0)),""),5)="Refer",LEFT(IFERROR(INDEX('Claims History'!$D$6:$D$15,MATCH($U169,'Claims History'!$B$6:$B$15,0)),""),5)="Refer",LEFT(IFERROR(INDEX('Usage and Coverage'!$E$6:$E$20,MATCH($N169,'Usage and Coverage'!$C$6:$C$20,0)),""),5)="Refer"),"REFER","AUTO-BIND"))))</f>
        <v/>
      </c>
      <c r="CY169" s="106" t="str">
        <f t="shared" si="37"/>
        <v/>
      </c>
      <c r="CZ169" s="97" t="str">
        <f>IF($CY169="","",IF($CY169&lt;'Technical Premium'!$C$19,"BEYOND AUTHORITY",IF($CY169&gt;0.005,"Above technical",IF($CY169&lt;-0.005,"BELOW technical","At technical"))))</f>
        <v/>
      </c>
      <c r="DA169" s="97" t="str">
        <f>IF($A169="","",IF($CX169="AUTO-BIND","",TRIM(IF($J169&lt;'Technical Premium'!$C$18,"Below programme minimum agreed value. ","")&amp;IF(N($AQ169)&lt;'Technical Premium'!$C$19,"DISCOUNT AUTHORITY BREACH. ","")&amp;IF(N($AQ169)&gt;'Technical Premium'!$C$20,"Load authority breach. ","")&amp;IF($J169&gt;='Technical Premium'!$C$16,"Agreed value at or above auto-bind limit. ","")&amp;IF(AND(ISNUMBER($CD169),$CD169&gt;='Technical Premium'!$C$17),"Composite factor at cap. ","")&amp;IF(AND(ISNUMBER($CD169),$CD169&gt;2.5),"Composite factor above 2.50. ","")&amp;IF(LEFT(IFERROR(INDEX('Driver Factors'!$D$6:$D$15,MATCH($R169,'Driver Factors'!$B$6:$B$15,0)),""),7)="DECLINE","DECLINE - driver age. ",IF(LEFT(IFERROR(INDEX('Driver Factors'!$D$6:$D$15,MATCH($R169,'Driver Factors'!$B$6:$B$15,0)),""),5)="Refer","Driver age band. ",""))&amp;IF(LEFT(IFERROR(INDEX('Driver Factors'!$D$28:$D$36,MATCH($T169,'Driver Factors'!$B$28:$B$36,0)),""),7)="DECLINE","DECLINE - MVR. ",IF(LEFT(IFERROR(INDEX('Driver Factors'!$D$28:$D$36,MATCH($T169,'Driver Factors'!$B$28:$B$36,0)),""),5)="Refer","MVR record. ",""))&amp;IF(LEFT(IFERROR(INDEX('Claims History'!$D$6:$D$15,MATCH($U169,'Claims History'!$B$6:$B$15,0)),""),7)="DECLINE","DECLINE - claims. ",IF(LEFT(IFERROR(INDEX('Claims History'!$D$6:$D$15,MATCH($U169,'Claims History'!$B$6:$B$15,0)),""),5)="Refer","Claims history. ",""))&amp;IF(LEFT(IFERROR(INDEX('Usage and Coverage'!$E$6:$E$20,MATCH($N169,'Usage and Coverage'!$C$6:$C$20,0)),""),7)="DECLINE","DECLINE - usage class. ",IF(LEFT(IFERROR(INDEX('Usage and Coverage'!$E$6:$E$20,MATCH($N169,'Usage and Coverage'!$C$6:$C$20,0)),""),5)="Refer","Usage class. ",""))&amp;IF($CX169="CHECK INPUTS","Incomplete inputs. ",""))))</f>
        <v/>
      </c>
      <c r="DB169" s="92"/>
      <c r="DC169" s="92"/>
      <c r="DD169" s="93"/>
      <c r="DE169" s="92"/>
      <c r="DF169" s="92"/>
      <c r="DG169" s="97" t="str">
        <f t="shared" si="38"/>
        <v/>
      </c>
      <c r="DH169" s="97" t="str">
        <f>IF($A169="","",IF(OR($CX169="REFER",$CX169="DECLINE"),COUNTIF($CX$5:$CX169,"REFER")+COUNTIF($CX$5:$CX169,"DECLINE"),""))</f>
        <v/>
      </c>
      <c r="DI169" s="92"/>
    </row>
    <row r="170" spans="1:113" x14ac:dyDescent="0.25">
      <c r="A170" s="92"/>
      <c r="B170" s="92"/>
      <c r="C170" s="93"/>
      <c r="D170" s="93"/>
      <c r="E170" s="94"/>
      <c r="F170" s="92"/>
      <c r="G170" s="92"/>
      <c r="H170" s="92"/>
      <c r="I170" s="92"/>
      <c r="J170" s="95"/>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6"/>
      <c r="AR170" s="97" t="str">
        <f t="shared" si="26"/>
        <v/>
      </c>
      <c r="AS170" s="97" t="str">
        <f>IF($A170="","",IF($AP170&lt;&gt;"",$AP170,IFERROR(INDEX('Cat Zone by ZIP'!$D$6:$D$856,MATCH($AR170,'Cat Zone by ZIP'!$B$6:$B$856,0)),IFERROR(INDEX('Cat Zone by ZIP'!$C$860:$C$910,MATCH($K170,'Cat Zone by ZIP'!$B$860:$B$910,0)),"NOT FOUND"))))</f>
        <v/>
      </c>
      <c r="AT170" s="97" t="str">
        <f>IF($A170="","",IF($AP170&lt;&gt;"","Override",IF(ISNUMBER(MATCH($AR170,'Cat Zone by ZIP'!$B$6:$B$856,0)),"ZIP-3","State default")))</f>
        <v/>
      </c>
      <c r="AU170" s="98" t="str">
        <f>IF($A170="","",IFERROR(INDEX('Natural Catastrophe'!$D$6:$D$17,MATCH($AS170,'Natural Catastrophe'!$B$6:$B$17,0)),"?"))</f>
        <v/>
      </c>
      <c r="AV170" s="98" t="str">
        <f>IF($A170="","",IFERROR(INDEX('Natural Catastrophe'!$C$21:$C$26,MATCH($AA170,'Natural Catastrophe'!$B$21:$B$26,0)),"?"))</f>
        <v/>
      </c>
      <c r="AW170" s="97" t="str">
        <f>IF($A170="","",IFERROR(INDEX('Base Rates'!$C$4:$I$4,MATCH(MAX($J170,'Technical Premium'!$C$18),'Base Rates'!$C$3:$I$3,1)),"?"))</f>
        <v/>
      </c>
      <c r="AX170" s="99" t="str">
        <f>IF($A170="","",IFERROR(INDEX('Base Rates'!$C$5:$I$16,MATCH($I170,'Base Rates'!$B$5:$B$16,0),MATCH(MAX($J170,'Technical Premium'!$C$18),'Base Rates'!$C$3:$I$3,1)),"?"))</f>
        <v/>
      </c>
      <c r="AY170" s="100" t="str">
        <f t="shared" si="27"/>
        <v/>
      </c>
      <c r="AZ170" s="97" t="str">
        <f>IF($A170="","",IFERROR(INDEX('Make Factors'!$G$5:$G$69,MATCH($F170,'Make Factors'!$B$5:$B$69,0)),"?"))</f>
        <v/>
      </c>
      <c r="BA170" s="97" t="str">
        <f>IF($A170="","",IFERROR(INDEX('Driver Factors'!$C$6:$C$15,MATCH($R170,'Driver Factors'!$B$6:$B$15,0)),"?"))</f>
        <v/>
      </c>
      <c r="BB170" s="97" t="str">
        <f>IF($A170="","",IFERROR(INDEX('Driver Factors'!$C$19:$C$24,MATCH($S170,'Driver Factors'!$B$19:$B$24,0)),"?"))</f>
        <v/>
      </c>
      <c r="BC170" s="97" t="str">
        <f>IF($A170="","",IFERROR(INDEX('Driver Factors'!$C$28:$C$36,MATCH($T170,'Driver Factors'!$B$28:$B$36,0)),"?"))</f>
        <v/>
      </c>
      <c r="BD170" s="97" t="str">
        <f>IF($A170="","",IFERROR(INDEX('Claims History'!$C$6:$C$15,MATCH($U170,'Claims History'!$B$6:$B$15,0)),"?"))</f>
        <v/>
      </c>
      <c r="BE170" s="97" t="str">
        <f>IF($A170="","",IFERROR(INDEX('Territory Factors'!$E$6:$E$56,MATCH($K170,'Territory Factors'!$B$6:$B$56,0)),"?"))</f>
        <v/>
      </c>
      <c r="BF170" s="97" t="str">
        <f>IF($A170="","",IFERROR(INDEX('City Accident Ratings'!$G$6:$G$54,MATCH($Z170,'City Accident Ratings'!$B$6:$B$54,0)),"?"))</f>
        <v/>
      </c>
      <c r="BG170" s="97" t="str">
        <f>IF($A170="","",IFERROR(INDEX('Usage and Coverage'!$D$6:$D$20,MATCH($N170,'Usage and Coverage'!$C$6:$C$20,0)),"?"))</f>
        <v/>
      </c>
      <c r="BH170" s="97" t="str">
        <f>IF($A170="","",IFERROR(INDEX('Usage and Coverage'!$C$24:$C$30,MATCH($O170,'Usage and Coverage'!$B$24:$B$30,0)),"?"))</f>
        <v/>
      </c>
      <c r="BI170" s="97" t="str">
        <f>IF($A170="","",IFERROR(INDEX('Usage and Coverage'!$C$34:$C$40,MATCH($P170,'Usage and Coverage'!$B$34:$B$40,0)),"?"))</f>
        <v/>
      </c>
      <c r="BJ170" s="97" t="str">
        <f>IF($A170="","",IFERROR(INDEX('Usage and Coverage'!$C$44:$C$49,MATCH($Q170,'Usage and Coverage'!$B$44:$B$49,0)),"?"))</f>
        <v/>
      </c>
      <c r="BK170" s="97" t="str">
        <f>IF($A170="","",IFERROR(INDEX(Deductibles!$C$6:$I$15,MATCH($W170,Deductibles!$B$6:$B$15,0),MATCH(MAX($J170,'Technical Premium'!$C$18),'Base Rates'!$C$3:$I$3,1)),"?"))</f>
        <v/>
      </c>
      <c r="BL170" s="97" t="str">
        <f>IF($A170="","",IFERROR(INDEX('Usage and Coverage'!$C$63:$C$66,MATCH($X170,'Usage and Coverage'!$B$63:$B$66,0)),"?"))</f>
        <v/>
      </c>
      <c r="BM170" s="97" t="str">
        <f>IF($A170="","",IFERROR(INDEX('Usage and Coverage'!$C$70:$C$75,MATCH($V170,'Usage and Coverage'!$B$70:$B$75,0)),"?"))</f>
        <v/>
      </c>
      <c r="BN170" s="97" t="str">
        <f>IF($A170="","",IF($AB170="",1,IFERROR(INDEX(Deductibles!$C$48:$C$51,MATCH($AB170,Deductibles!$B$48:$B$51,0)),"?")))</f>
        <v/>
      </c>
      <c r="BO170" s="97" t="str">
        <f>IF($A170="","",IF($AC170="",1,IFERROR(INDEX(Deductibles!$C$55:$C$57,MATCH($AC170,Deductibles!$B$55:$B$57,0)),"?")))</f>
        <v/>
      </c>
      <c r="BP170" s="97" t="str">
        <f>IF($A170="","",IF($AD170="",1,IFERROR(INDEX(Deductibles!$C$61:$C$63,MATCH($AD170,Deductibles!$B$61:$B$63,0)),"?")))</f>
        <v/>
      </c>
      <c r="BQ170" s="97" t="str">
        <f>IF($A170="","",IF($AE170="",1,IFERROR(INDEX(Deductibles!$C$67:$C$69,MATCH($AE170,Deductibles!$B$67:$B$69,0)),"?")))</f>
        <v/>
      </c>
      <c r="BR170" s="97" t="str">
        <f>IF($A170="","",IF($AF170="",1,IFERROR(INDEX(Deductibles!$C$73:$C$74,MATCH($AF170,Deductibles!$B$73:$B$74,0)),"?")))</f>
        <v/>
      </c>
      <c r="BS170" s="97" t="str">
        <f>IF($A170="","",IF($AG170="",1,IFERROR(INDEX('Sublimits and Parts'!$C$49:$C$52,MATCH($AG170,'Sublimits and Parts'!$B$49:$B$52,0)),"?")))</f>
        <v/>
      </c>
      <c r="BT170" s="97" t="str">
        <f>IF($A170="","",IF($AH170="",1,IFERROR(INDEX('Sublimits and Parts'!$C$56:$C$60,MATCH($AH170,'Sublimits and Parts'!$B$56:$B$60,0)),"?")))</f>
        <v/>
      </c>
      <c r="BU170" s="97" t="str">
        <f>IF($A170="","",IF($AI170="",1,IFERROR(INDEX('Sublimits and Parts'!$C$64:$C$67,MATCH($AI170,'Sublimits and Parts'!$B$64:$B$67,0)),"?")))</f>
        <v/>
      </c>
      <c r="BV170" s="97" t="str">
        <f>IF($A170="","",IF($AJ170="",1,IFERROR(INDEX('Sublimits and Parts'!$C$71:$C$74,MATCH($AJ170,'Sublimits and Parts'!$B$71:$B$74,0)),"?")))</f>
        <v/>
      </c>
      <c r="BW170" s="97" t="str">
        <f>IF($A170="","",IF($AK170="",1,IFERROR(INDEX('Sublimits and Parts'!$C$78:$C$80,MATCH($AK170,'Sublimits and Parts'!$B$78:$B$80,0)),"?")))</f>
        <v/>
      </c>
      <c r="BX170" s="97" t="str">
        <f>IF($A170="","",IF($AL170="",1,IFERROR(INDEX('Sublimits and Parts'!$C$84:$C$87,MATCH($AL170,'Sublimits and Parts'!$B$84:$B$87,0)),"?")))</f>
        <v/>
      </c>
      <c r="BY170" s="97" t="str">
        <f>IF($A170="","",IF($AM170="",1,IFERROR(INDEX('Sublimits and Parts'!$C$91:$C$94,MATCH($AM170,'Sublimits and Parts'!$B$91:$B$94,0)),"?")))</f>
        <v/>
      </c>
      <c r="BZ170" s="97" t="str">
        <f>IF($A170="","",IF($AN170="",1,IFERROR(INDEX('Sublimits and Parts'!$C$98:$C$101,MATCH($AN170,'Sublimits and Parts'!$B$98:$B$101,0)),"?")))</f>
        <v/>
      </c>
      <c r="CA170" s="97" t="str">
        <f>IF($A170="","",IF($AO170="",1,IFERROR(INDEX('Sublimits and Parts'!$C$105:$C$109,MATCH($AO170,'Sublimits and Parts'!$B$105:$B$109,0)),"?")))</f>
        <v/>
      </c>
      <c r="CB170" s="98" t="str">
        <f t="shared" si="28"/>
        <v/>
      </c>
      <c r="CC170" s="98" t="str">
        <f t="shared" si="29"/>
        <v/>
      </c>
      <c r="CD170" s="101" t="str">
        <f>IF($A170="","",IF(OR($CB170="?",$CC170="?"),"?",MIN($CB170*$CC170,'Technical Premium'!$C$17)))</f>
        <v/>
      </c>
      <c r="CE170" s="100" t="str">
        <f t="shared" si="30"/>
        <v/>
      </c>
      <c r="CF170" s="100" t="str">
        <f>IF($A170="","",IFERROR(INDEX('Territory Factors'!$F$6:$F$56,MATCH($K170,'Territory Factors'!$B$6:$B$56,0)),"?"))</f>
        <v/>
      </c>
      <c r="CG170" s="98" t="str">
        <f>IF($A170="","",IFERROR(INDEX('Usage and Coverage'!$C$79:$C$84,MATCH($Y170,'Usage and Coverage'!$B$79:$B$84,0)),"?"))</f>
        <v/>
      </c>
      <c r="CH170" s="100" t="str">
        <f>IFERROR(IF(ISNUMBER($CD170),$CF170*$CG170*MIN($BG170*$BA170*$BC170*$BD170*$BH170*$BF170,'Technical Premium'!$C$17),""),"")</f>
        <v/>
      </c>
      <c r="CI170" s="100" t="str">
        <f t="shared" si="31"/>
        <v/>
      </c>
      <c r="CJ170" s="100" t="str">
        <f>IFERROR($CI170*(1+'Technical Premium'!$C$5)*(1+'Technical Premium'!$C$6),"")</f>
        <v/>
      </c>
      <c r="CK170" s="100" t="str">
        <f>IFERROR($CE170*INDEX('Territory Factors'!$G$6:$G$56,MATCH($K170,'Territory Factors'!$B$6:$B$56,0))*$AU170*$AV170,"")</f>
        <v/>
      </c>
      <c r="CL170" s="100" t="str">
        <f>IFERROR(($CJ170+$CK170)*(1+'Technical Premium'!$C$7),"")</f>
        <v/>
      </c>
      <c r="CM170" s="102" t="str">
        <f>IFERROR($CL170/'Technical Premium'!$C$13,"")</f>
        <v/>
      </c>
      <c r="CN170" s="103" t="str">
        <f t="shared" si="32"/>
        <v/>
      </c>
      <c r="CO170" s="102" t="str">
        <f t="shared" si="33"/>
        <v/>
      </c>
      <c r="CP170" s="103" t="str">
        <f t="shared" si="34"/>
        <v/>
      </c>
      <c r="CQ170" s="104" t="str">
        <f t="shared" si="35"/>
        <v/>
      </c>
      <c r="CR170" s="100" t="str">
        <f>IF(ISNUMBER($CM170),'Technical Premium'!$C$14+IF($J170&gt;=1000000,'Technical Premium'!$C$15,0),"")</f>
        <v/>
      </c>
      <c r="CS170" s="100" t="str">
        <f>IFERROR(($CO170+$CR170)*(INDEX('Territory Factors'!$K$6:$K$56,MATCH($K170,'Territory Factors'!$B$6:$B$56,0))+'Commission Structure'!$C$21),"")</f>
        <v/>
      </c>
      <c r="CT170" s="102" t="str">
        <f t="shared" si="36"/>
        <v/>
      </c>
      <c r="CU170" s="100" t="str">
        <f>IFERROR($CO170*('Commission Structure'!$C$6+'Commission Structure'!$C$7),"")</f>
        <v/>
      </c>
      <c r="CV170" s="100" t="str">
        <f>IFERROR($CO170*'Commission Structure'!$C$5-$CU170,"")</f>
        <v/>
      </c>
      <c r="CW170" s="100" t="str">
        <f>IFERROR($CO170*(1-'Commission Structure'!$C$5),"")</f>
        <v/>
      </c>
      <c r="CX170" s="105" t="str">
        <f>IF($A170="","",IF(OR($CB170="?",$CC170="?",NOT(ISNUMBER($AU170))),"CHECK INPUTS",IF(OR($J170&lt;'Technical Premium'!$C$18,LEFT(IFERROR(INDEX('Driver Factors'!$D$6:$D$15,MATCH($R170,'Driver Factors'!$B$6:$B$15,0)),""),7)="DECLINE",LEFT(IFERROR(INDEX('Driver Factors'!$D$28:$D$36,MATCH($T170,'Driver Factors'!$B$28:$B$36,0)),""),7)="DECLINE",LEFT(IFERROR(INDEX('Claims History'!$D$6:$D$15,MATCH($U170,'Claims History'!$B$6:$B$15,0)),""),7)="DECLINE",LEFT(IFERROR(INDEX('Usage and Coverage'!$E$6:$E$20,MATCH($N170,'Usage and Coverage'!$C$6:$C$20,0)),""),7)="DECLINE"),"DECLINE",IF(OR($CD170&gt;2.5,$CD170&gt;='Technical Premium'!$C$17,$J170&gt;='Technical Premium'!$C$16,N($AQ170)&lt;'Technical Premium'!$C$19,N($AQ170)&gt;'Technical Premium'!$C$20,LEFT(IFERROR(INDEX('Driver Factors'!$D$6:$D$15,MATCH($R170,'Driver Factors'!$B$6:$B$15,0)),""),5)="Refer",LEFT(IFERROR(INDEX('Driver Factors'!$D$28:$D$36,MATCH($T170,'Driver Factors'!$B$28:$B$36,0)),""),5)="Refer",LEFT(IFERROR(INDEX('Claims History'!$D$6:$D$15,MATCH($U170,'Claims History'!$B$6:$B$15,0)),""),5)="Refer",LEFT(IFERROR(INDEX('Usage and Coverage'!$E$6:$E$20,MATCH($N170,'Usage and Coverage'!$C$6:$C$20,0)),""),5)="Refer"),"REFER","AUTO-BIND"))))</f>
        <v/>
      </c>
      <c r="CY170" s="106" t="str">
        <f t="shared" si="37"/>
        <v/>
      </c>
      <c r="CZ170" s="97" t="str">
        <f>IF($CY170="","",IF($CY170&lt;'Technical Premium'!$C$19,"BEYOND AUTHORITY",IF($CY170&gt;0.005,"Above technical",IF($CY170&lt;-0.005,"BELOW technical","At technical"))))</f>
        <v/>
      </c>
      <c r="DA170" s="97" t="str">
        <f>IF($A170="","",IF($CX170="AUTO-BIND","",TRIM(IF($J170&lt;'Technical Premium'!$C$18,"Below programme minimum agreed value. ","")&amp;IF(N($AQ170)&lt;'Technical Premium'!$C$19,"DISCOUNT AUTHORITY BREACH. ","")&amp;IF(N($AQ170)&gt;'Technical Premium'!$C$20,"Load authority breach. ","")&amp;IF($J170&gt;='Technical Premium'!$C$16,"Agreed value at or above auto-bind limit. ","")&amp;IF(AND(ISNUMBER($CD170),$CD170&gt;='Technical Premium'!$C$17),"Composite factor at cap. ","")&amp;IF(AND(ISNUMBER($CD170),$CD170&gt;2.5),"Composite factor above 2.50. ","")&amp;IF(LEFT(IFERROR(INDEX('Driver Factors'!$D$6:$D$15,MATCH($R170,'Driver Factors'!$B$6:$B$15,0)),""),7)="DECLINE","DECLINE - driver age. ",IF(LEFT(IFERROR(INDEX('Driver Factors'!$D$6:$D$15,MATCH($R170,'Driver Factors'!$B$6:$B$15,0)),""),5)="Refer","Driver age band. ",""))&amp;IF(LEFT(IFERROR(INDEX('Driver Factors'!$D$28:$D$36,MATCH($T170,'Driver Factors'!$B$28:$B$36,0)),""),7)="DECLINE","DECLINE - MVR. ",IF(LEFT(IFERROR(INDEX('Driver Factors'!$D$28:$D$36,MATCH($T170,'Driver Factors'!$B$28:$B$36,0)),""),5)="Refer","MVR record. ",""))&amp;IF(LEFT(IFERROR(INDEX('Claims History'!$D$6:$D$15,MATCH($U170,'Claims History'!$B$6:$B$15,0)),""),7)="DECLINE","DECLINE - claims. ",IF(LEFT(IFERROR(INDEX('Claims History'!$D$6:$D$15,MATCH($U170,'Claims History'!$B$6:$B$15,0)),""),5)="Refer","Claims history. ",""))&amp;IF(LEFT(IFERROR(INDEX('Usage and Coverage'!$E$6:$E$20,MATCH($N170,'Usage and Coverage'!$C$6:$C$20,0)),""),7)="DECLINE","DECLINE - usage class. ",IF(LEFT(IFERROR(INDEX('Usage and Coverage'!$E$6:$E$20,MATCH($N170,'Usage and Coverage'!$C$6:$C$20,0)),""),5)="Refer","Usage class. ",""))&amp;IF($CX170="CHECK INPUTS","Incomplete inputs. ",""))))</f>
        <v/>
      </c>
      <c r="DB170" s="92"/>
      <c r="DC170" s="92"/>
      <c r="DD170" s="93"/>
      <c r="DE170" s="92"/>
      <c r="DF170" s="92"/>
      <c r="DG170" s="97" t="str">
        <f t="shared" si="38"/>
        <v/>
      </c>
      <c r="DH170" s="97" t="str">
        <f>IF($A170="","",IF(OR($CX170="REFER",$CX170="DECLINE"),COUNTIF($CX$5:$CX170,"REFER")+COUNTIF($CX$5:$CX170,"DECLINE"),""))</f>
        <v/>
      </c>
      <c r="DI170" s="92"/>
    </row>
    <row r="171" spans="1:113" x14ac:dyDescent="0.25">
      <c r="A171" s="92"/>
      <c r="B171" s="92"/>
      <c r="C171" s="93"/>
      <c r="D171" s="93"/>
      <c r="E171" s="94"/>
      <c r="F171" s="92"/>
      <c r="G171" s="92"/>
      <c r="H171" s="92"/>
      <c r="I171" s="92"/>
      <c r="J171" s="95"/>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6"/>
      <c r="AR171" s="97" t="str">
        <f t="shared" si="26"/>
        <v/>
      </c>
      <c r="AS171" s="97" t="str">
        <f>IF($A171="","",IF($AP171&lt;&gt;"",$AP171,IFERROR(INDEX('Cat Zone by ZIP'!$D$6:$D$856,MATCH($AR171,'Cat Zone by ZIP'!$B$6:$B$856,0)),IFERROR(INDEX('Cat Zone by ZIP'!$C$860:$C$910,MATCH($K171,'Cat Zone by ZIP'!$B$860:$B$910,0)),"NOT FOUND"))))</f>
        <v/>
      </c>
      <c r="AT171" s="97" t="str">
        <f>IF($A171="","",IF($AP171&lt;&gt;"","Override",IF(ISNUMBER(MATCH($AR171,'Cat Zone by ZIP'!$B$6:$B$856,0)),"ZIP-3","State default")))</f>
        <v/>
      </c>
      <c r="AU171" s="98" t="str">
        <f>IF($A171="","",IFERROR(INDEX('Natural Catastrophe'!$D$6:$D$17,MATCH($AS171,'Natural Catastrophe'!$B$6:$B$17,0)),"?"))</f>
        <v/>
      </c>
      <c r="AV171" s="98" t="str">
        <f>IF($A171="","",IFERROR(INDEX('Natural Catastrophe'!$C$21:$C$26,MATCH($AA171,'Natural Catastrophe'!$B$21:$B$26,0)),"?"))</f>
        <v/>
      </c>
      <c r="AW171" s="97" t="str">
        <f>IF($A171="","",IFERROR(INDEX('Base Rates'!$C$4:$I$4,MATCH(MAX($J171,'Technical Premium'!$C$18),'Base Rates'!$C$3:$I$3,1)),"?"))</f>
        <v/>
      </c>
      <c r="AX171" s="99" t="str">
        <f>IF($A171="","",IFERROR(INDEX('Base Rates'!$C$5:$I$16,MATCH($I171,'Base Rates'!$B$5:$B$16,0),MATCH(MAX($J171,'Technical Premium'!$C$18),'Base Rates'!$C$3:$I$3,1)),"?"))</f>
        <v/>
      </c>
      <c r="AY171" s="100" t="str">
        <f t="shared" si="27"/>
        <v/>
      </c>
      <c r="AZ171" s="97" t="str">
        <f>IF($A171="","",IFERROR(INDEX('Make Factors'!$G$5:$G$69,MATCH($F171,'Make Factors'!$B$5:$B$69,0)),"?"))</f>
        <v/>
      </c>
      <c r="BA171" s="97" t="str">
        <f>IF($A171="","",IFERROR(INDEX('Driver Factors'!$C$6:$C$15,MATCH($R171,'Driver Factors'!$B$6:$B$15,0)),"?"))</f>
        <v/>
      </c>
      <c r="BB171" s="97" t="str">
        <f>IF($A171="","",IFERROR(INDEX('Driver Factors'!$C$19:$C$24,MATCH($S171,'Driver Factors'!$B$19:$B$24,0)),"?"))</f>
        <v/>
      </c>
      <c r="BC171" s="97" t="str">
        <f>IF($A171="","",IFERROR(INDEX('Driver Factors'!$C$28:$C$36,MATCH($T171,'Driver Factors'!$B$28:$B$36,0)),"?"))</f>
        <v/>
      </c>
      <c r="BD171" s="97" t="str">
        <f>IF($A171="","",IFERROR(INDEX('Claims History'!$C$6:$C$15,MATCH($U171,'Claims History'!$B$6:$B$15,0)),"?"))</f>
        <v/>
      </c>
      <c r="BE171" s="97" t="str">
        <f>IF($A171="","",IFERROR(INDEX('Territory Factors'!$E$6:$E$56,MATCH($K171,'Territory Factors'!$B$6:$B$56,0)),"?"))</f>
        <v/>
      </c>
      <c r="BF171" s="97" t="str">
        <f>IF($A171="","",IFERROR(INDEX('City Accident Ratings'!$G$6:$G$54,MATCH($Z171,'City Accident Ratings'!$B$6:$B$54,0)),"?"))</f>
        <v/>
      </c>
      <c r="BG171" s="97" t="str">
        <f>IF($A171="","",IFERROR(INDEX('Usage and Coverage'!$D$6:$D$20,MATCH($N171,'Usage and Coverage'!$C$6:$C$20,0)),"?"))</f>
        <v/>
      </c>
      <c r="BH171" s="97" t="str">
        <f>IF($A171="","",IFERROR(INDEX('Usage and Coverage'!$C$24:$C$30,MATCH($O171,'Usage and Coverage'!$B$24:$B$30,0)),"?"))</f>
        <v/>
      </c>
      <c r="BI171" s="97" t="str">
        <f>IF($A171="","",IFERROR(INDEX('Usage and Coverage'!$C$34:$C$40,MATCH($P171,'Usage and Coverage'!$B$34:$B$40,0)),"?"))</f>
        <v/>
      </c>
      <c r="BJ171" s="97" t="str">
        <f>IF($A171="","",IFERROR(INDEX('Usage and Coverage'!$C$44:$C$49,MATCH($Q171,'Usage and Coverage'!$B$44:$B$49,0)),"?"))</f>
        <v/>
      </c>
      <c r="BK171" s="97" t="str">
        <f>IF($A171="","",IFERROR(INDEX(Deductibles!$C$6:$I$15,MATCH($W171,Deductibles!$B$6:$B$15,0),MATCH(MAX($J171,'Technical Premium'!$C$18),'Base Rates'!$C$3:$I$3,1)),"?"))</f>
        <v/>
      </c>
      <c r="BL171" s="97" t="str">
        <f>IF($A171="","",IFERROR(INDEX('Usage and Coverage'!$C$63:$C$66,MATCH($X171,'Usage and Coverage'!$B$63:$B$66,0)),"?"))</f>
        <v/>
      </c>
      <c r="BM171" s="97" t="str">
        <f>IF($A171="","",IFERROR(INDEX('Usage and Coverage'!$C$70:$C$75,MATCH($V171,'Usage and Coverage'!$B$70:$B$75,0)),"?"))</f>
        <v/>
      </c>
      <c r="BN171" s="97" t="str">
        <f>IF($A171="","",IF($AB171="",1,IFERROR(INDEX(Deductibles!$C$48:$C$51,MATCH($AB171,Deductibles!$B$48:$B$51,0)),"?")))</f>
        <v/>
      </c>
      <c r="BO171" s="97" t="str">
        <f>IF($A171="","",IF($AC171="",1,IFERROR(INDEX(Deductibles!$C$55:$C$57,MATCH($AC171,Deductibles!$B$55:$B$57,0)),"?")))</f>
        <v/>
      </c>
      <c r="BP171" s="97" t="str">
        <f>IF($A171="","",IF($AD171="",1,IFERROR(INDEX(Deductibles!$C$61:$C$63,MATCH($AD171,Deductibles!$B$61:$B$63,0)),"?")))</f>
        <v/>
      </c>
      <c r="BQ171" s="97" t="str">
        <f>IF($A171="","",IF($AE171="",1,IFERROR(INDEX(Deductibles!$C$67:$C$69,MATCH($AE171,Deductibles!$B$67:$B$69,0)),"?")))</f>
        <v/>
      </c>
      <c r="BR171" s="97" t="str">
        <f>IF($A171="","",IF($AF171="",1,IFERROR(INDEX(Deductibles!$C$73:$C$74,MATCH($AF171,Deductibles!$B$73:$B$74,0)),"?")))</f>
        <v/>
      </c>
      <c r="BS171" s="97" t="str">
        <f>IF($A171="","",IF($AG171="",1,IFERROR(INDEX('Sublimits and Parts'!$C$49:$C$52,MATCH($AG171,'Sublimits and Parts'!$B$49:$B$52,0)),"?")))</f>
        <v/>
      </c>
      <c r="BT171" s="97" t="str">
        <f>IF($A171="","",IF($AH171="",1,IFERROR(INDEX('Sublimits and Parts'!$C$56:$C$60,MATCH($AH171,'Sublimits and Parts'!$B$56:$B$60,0)),"?")))</f>
        <v/>
      </c>
      <c r="BU171" s="97" t="str">
        <f>IF($A171="","",IF($AI171="",1,IFERROR(INDEX('Sublimits and Parts'!$C$64:$C$67,MATCH($AI171,'Sublimits and Parts'!$B$64:$B$67,0)),"?")))</f>
        <v/>
      </c>
      <c r="BV171" s="97" t="str">
        <f>IF($A171="","",IF($AJ171="",1,IFERROR(INDEX('Sublimits and Parts'!$C$71:$C$74,MATCH($AJ171,'Sublimits and Parts'!$B$71:$B$74,0)),"?")))</f>
        <v/>
      </c>
      <c r="BW171" s="97" t="str">
        <f>IF($A171="","",IF($AK171="",1,IFERROR(INDEX('Sublimits and Parts'!$C$78:$C$80,MATCH($AK171,'Sublimits and Parts'!$B$78:$B$80,0)),"?")))</f>
        <v/>
      </c>
      <c r="BX171" s="97" t="str">
        <f>IF($A171="","",IF($AL171="",1,IFERROR(INDEX('Sublimits and Parts'!$C$84:$C$87,MATCH($AL171,'Sublimits and Parts'!$B$84:$B$87,0)),"?")))</f>
        <v/>
      </c>
      <c r="BY171" s="97" t="str">
        <f>IF($A171="","",IF($AM171="",1,IFERROR(INDEX('Sublimits and Parts'!$C$91:$C$94,MATCH($AM171,'Sublimits and Parts'!$B$91:$B$94,0)),"?")))</f>
        <v/>
      </c>
      <c r="BZ171" s="97" t="str">
        <f>IF($A171="","",IF($AN171="",1,IFERROR(INDEX('Sublimits and Parts'!$C$98:$C$101,MATCH($AN171,'Sublimits and Parts'!$B$98:$B$101,0)),"?")))</f>
        <v/>
      </c>
      <c r="CA171" s="97" t="str">
        <f>IF($A171="","",IF($AO171="",1,IFERROR(INDEX('Sublimits and Parts'!$C$105:$C$109,MATCH($AO171,'Sublimits and Parts'!$B$105:$B$109,0)),"?")))</f>
        <v/>
      </c>
      <c r="CB171" s="98" t="str">
        <f t="shared" si="28"/>
        <v/>
      </c>
      <c r="CC171" s="98" t="str">
        <f t="shared" si="29"/>
        <v/>
      </c>
      <c r="CD171" s="101" t="str">
        <f>IF($A171="","",IF(OR($CB171="?",$CC171="?"),"?",MIN($CB171*$CC171,'Technical Premium'!$C$17)))</f>
        <v/>
      </c>
      <c r="CE171" s="100" t="str">
        <f t="shared" si="30"/>
        <v/>
      </c>
      <c r="CF171" s="100" t="str">
        <f>IF($A171="","",IFERROR(INDEX('Territory Factors'!$F$6:$F$56,MATCH($K171,'Territory Factors'!$B$6:$B$56,0)),"?"))</f>
        <v/>
      </c>
      <c r="CG171" s="98" t="str">
        <f>IF($A171="","",IFERROR(INDEX('Usage and Coverage'!$C$79:$C$84,MATCH($Y171,'Usage and Coverage'!$B$79:$B$84,0)),"?"))</f>
        <v/>
      </c>
      <c r="CH171" s="100" t="str">
        <f>IFERROR(IF(ISNUMBER($CD171),$CF171*$CG171*MIN($BG171*$BA171*$BC171*$BD171*$BH171*$BF171,'Technical Premium'!$C$17),""),"")</f>
        <v/>
      </c>
      <c r="CI171" s="100" t="str">
        <f t="shared" si="31"/>
        <v/>
      </c>
      <c r="CJ171" s="100" t="str">
        <f>IFERROR($CI171*(1+'Technical Premium'!$C$5)*(1+'Technical Premium'!$C$6),"")</f>
        <v/>
      </c>
      <c r="CK171" s="100" t="str">
        <f>IFERROR($CE171*INDEX('Territory Factors'!$G$6:$G$56,MATCH($K171,'Territory Factors'!$B$6:$B$56,0))*$AU171*$AV171,"")</f>
        <v/>
      </c>
      <c r="CL171" s="100" t="str">
        <f>IFERROR(($CJ171+$CK171)*(1+'Technical Premium'!$C$7),"")</f>
        <v/>
      </c>
      <c r="CM171" s="102" t="str">
        <f>IFERROR($CL171/'Technical Premium'!$C$13,"")</f>
        <v/>
      </c>
      <c r="CN171" s="103" t="str">
        <f t="shared" si="32"/>
        <v/>
      </c>
      <c r="CO171" s="102" t="str">
        <f t="shared" si="33"/>
        <v/>
      </c>
      <c r="CP171" s="103" t="str">
        <f t="shared" si="34"/>
        <v/>
      </c>
      <c r="CQ171" s="104" t="str">
        <f t="shared" si="35"/>
        <v/>
      </c>
      <c r="CR171" s="100" t="str">
        <f>IF(ISNUMBER($CM171),'Technical Premium'!$C$14+IF($J171&gt;=1000000,'Technical Premium'!$C$15,0),"")</f>
        <v/>
      </c>
      <c r="CS171" s="100" t="str">
        <f>IFERROR(($CO171+$CR171)*(INDEX('Territory Factors'!$K$6:$K$56,MATCH($K171,'Territory Factors'!$B$6:$B$56,0))+'Commission Structure'!$C$21),"")</f>
        <v/>
      </c>
      <c r="CT171" s="102" t="str">
        <f t="shared" si="36"/>
        <v/>
      </c>
      <c r="CU171" s="100" t="str">
        <f>IFERROR($CO171*('Commission Structure'!$C$6+'Commission Structure'!$C$7),"")</f>
        <v/>
      </c>
      <c r="CV171" s="100" t="str">
        <f>IFERROR($CO171*'Commission Structure'!$C$5-$CU171,"")</f>
        <v/>
      </c>
      <c r="CW171" s="100" t="str">
        <f>IFERROR($CO171*(1-'Commission Structure'!$C$5),"")</f>
        <v/>
      </c>
      <c r="CX171" s="105" t="str">
        <f>IF($A171="","",IF(OR($CB171="?",$CC171="?",NOT(ISNUMBER($AU171))),"CHECK INPUTS",IF(OR($J171&lt;'Technical Premium'!$C$18,LEFT(IFERROR(INDEX('Driver Factors'!$D$6:$D$15,MATCH($R171,'Driver Factors'!$B$6:$B$15,0)),""),7)="DECLINE",LEFT(IFERROR(INDEX('Driver Factors'!$D$28:$D$36,MATCH($T171,'Driver Factors'!$B$28:$B$36,0)),""),7)="DECLINE",LEFT(IFERROR(INDEX('Claims History'!$D$6:$D$15,MATCH($U171,'Claims History'!$B$6:$B$15,0)),""),7)="DECLINE",LEFT(IFERROR(INDEX('Usage and Coverage'!$E$6:$E$20,MATCH($N171,'Usage and Coverage'!$C$6:$C$20,0)),""),7)="DECLINE"),"DECLINE",IF(OR($CD171&gt;2.5,$CD171&gt;='Technical Premium'!$C$17,$J171&gt;='Technical Premium'!$C$16,N($AQ171)&lt;'Technical Premium'!$C$19,N($AQ171)&gt;'Technical Premium'!$C$20,LEFT(IFERROR(INDEX('Driver Factors'!$D$6:$D$15,MATCH($R171,'Driver Factors'!$B$6:$B$15,0)),""),5)="Refer",LEFT(IFERROR(INDEX('Driver Factors'!$D$28:$D$36,MATCH($T171,'Driver Factors'!$B$28:$B$36,0)),""),5)="Refer",LEFT(IFERROR(INDEX('Claims History'!$D$6:$D$15,MATCH($U171,'Claims History'!$B$6:$B$15,0)),""),5)="Refer",LEFT(IFERROR(INDEX('Usage and Coverage'!$E$6:$E$20,MATCH($N171,'Usage and Coverage'!$C$6:$C$20,0)),""),5)="Refer"),"REFER","AUTO-BIND"))))</f>
        <v/>
      </c>
      <c r="CY171" s="106" t="str">
        <f t="shared" si="37"/>
        <v/>
      </c>
      <c r="CZ171" s="97" t="str">
        <f>IF($CY171="","",IF($CY171&lt;'Technical Premium'!$C$19,"BEYOND AUTHORITY",IF($CY171&gt;0.005,"Above technical",IF($CY171&lt;-0.005,"BELOW technical","At technical"))))</f>
        <v/>
      </c>
      <c r="DA171" s="97" t="str">
        <f>IF($A171="","",IF($CX171="AUTO-BIND","",TRIM(IF($J171&lt;'Technical Premium'!$C$18,"Below programme minimum agreed value. ","")&amp;IF(N($AQ171)&lt;'Technical Premium'!$C$19,"DISCOUNT AUTHORITY BREACH. ","")&amp;IF(N($AQ171)&gt;'Technical Premium'!$C$20,"Load authority breach. ","")&amp;IF($J171&gt;='Technical Premium'!$C$16,"Agreed value at or above auto-bind limit. ","")&amp;IF(AND(ISNUMBER($CD171),$CD171&gt;='Technical Premium'!$C$17),"Composite factor at cap. ","")&amp;IF(AND(ISNUMBER($CD171),$CD171&gt;2.5),"Composite factor above 2.50. ","")&amp;IF(LEFT(IFERROR(INDEX('Driver Factors'!$D$6:$D$15,MATCH($R171,'Driver Factors'!$B$6:$B$15,0)),""),7)="DECLINE","DECLINE - driver age. ",IF(LEFT(IFERROR(INDEX('Driver Factors'!$D$6:$D$15,MATCH($R171,'Driver Factors'!$B$6:$B$15,0)),""),5)="Refer","Driver age band. ",""))&amp;IF(LEFT(IFERROR(INDEX('Driver Factors'!$D$28:$D$36,MATCH($T171,'Driver Factors'!$B$28:$B$36,0)),""),7)="DECLINE","DECLINE - MVR. ",IF(LEFT(IFERROR(INDEX('Driver Factors'!$D$28:$D$36,MATCH($T171,'Driver Factors'!$B$28:$B$36,0)),""),5)="Refer","MVR record. ",""))&amp;IF(LEFT(IFERROR(INDEX('Claims History'!$D$6:$D$15,MATCH($U171,'Claims History'!$B$6:$B$15,0)),""),7)="DECLINE","DECLINE - claims. ",IF(LEFT(IFERROR(INDEX('Claims History'!$D$6:$D$15,MATCH($U171,'Claims History'!$B$6:$B$15,0)),""),5)="Refer","Claims history. ",""))&amp;IF(LEFT(IFERROR(INDEX('Usage and Coverage'!$E$6:$E$20,MATCH($N171,'Usage and Coverage'!$C$6:$C$20,0)),""),7)="DECLINE","DECLINE - usage class. ",IF(LEFT(IFERROR(INDEX('Usage and Coverage'!$E$6:$E$20,MATCH($N171,'Usage and Coverage'!$C$6:$C$20,0)),""),5)="Refer","Usage class. ",""))&amp;IF($CX171="CHECK INPUTS","Incomplete inputs. ",""))))</f>
        <v/>
      </c>
      <c r="DB171" s="92"/>
      <c r="DC171" s="92"/>
      <c r="DD171" s="93"/>
      <c r="DE171" s="92"/>
      <c r="DF171" s="92"/>
      <c r="DG171" s="97" t="str">
        <f t="shared" si="38"/>
        <v/>
      </c>
      <c r="DH171" s="97" t="str">
        <f>IF($A171="","",IF(OR($CX171="REFER",$CX171="DECLINE"),COUNTIF($CX$5:$CX171,"REFER")+COUNTIF($CX$5:$CX171,"DECLINE"),""))</f>
        <v/>
      </c>
      <c r="DI171" s="92"/>
    </row>
    <row r="172" spans="1:113" x14ac:dyDescent="0.25">
      <c r="A172" s="92"/>
      <c r="B172" s="92"/>
      <c r="C172" s="93"/>
      <c r="D172" s="93"/>
      <c r="E172" s="94"/>
      <c r="F172" s="92"/>
      <c r="G172" s="92"/>
      <c r="H172" s="92"/>
      <c r="I172" s="92"/>
      <c r="J172" s="95"/>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6"/>
      <c r="AR172" s="97" t="str">
        <f t="shared" si="26"/>
        <v/>
      </c>
      <c r="AS172" s="97" t="str">
        <f>IF($A172="","",IF($AP172&lt;&gt;"",$AP172,IFERROR(INDEX('Cat Zone by ZIP'!$D$6:$D$856,MATCH($AR172,'Cat Zone by ZIP'!$B$6:$B$856,0)),IFERROR(INDEX('Cat Zone by ZIP'!$C$860:$C$910,MATCH($K172,'Cat Zone by ZIP'!$B$860:$B$910,0)),"NOT FOUND"))))</f>
        <v/>
      </c>
      <c r="AT172" s="97" t="str">
        <f>IF($A172="","",IF($AP172&lt;&gt;"","Override",IF(ISNUMBER(MATCH($AR172,'Cat Zone by ZIP'!$B$6:$B$856,0)),"ZIP-3","State default")))</f>
        <v/>
      </c>
      <c r="AU172" s="98" t="str">
        <f>IF($A172="","",IFERROR(INDEX('Natural Catastrophe'!$D$6:$D$17,MATCH($AS172,'Natural Catastrophe'!$B$6:$B$17,0)),"?"))</f>
        <v/>
      </c>
      <c r="AV172" s="98" t="str">
        <f>IF($A172="","",IFERROR(INDEX('Natural Catastrophe'!$C$21:$C$26,MATCH($AA172,'Natural Catastrophe'!$B$21:$B$26,0)),"?"))</f>
        <v/>
      </c>
      <c r="AW172" s="97" t="str">
        <f>IF($A172="","",IFERROR(INDEX('Base Rates'!$C$4:$I$4,MATCH(MAX($J172,'Technical Premium'!$C$18),'Base Rates'!$C$3:$I$3,1)),"?"))</f>
        <v/>
      </c>
      <c r="AX172" s="99" t="str">
        <f>IF($A172="","",IFERROR(INDEX('Base Rates'!$C$5:$I$16,MATCH($I172,'Base Rates'!$B$5:$B$16,0),MATCH(MAX($J172,'Technical Premium'!$C$18),'Base Rates'!$C$3:$I$3,1)),"?"))</f>
        <v/>
      </c>
      <c r="AY172" s="100" t="str">
        <f t="shared" si="27"/>
        <v/>
      </c>
      <c r="AZ172" s="97" t="str">
        <f>IF($A172="","",IFERROR(INDEX('Make Factors'!$G$5:$G$69,MATCH($F172,'Make Factors'!$B$5:$B$69,0)),"?"))</f>
        <v/>
      </c>
      <c r="BA172" s="97" t="str">
        <f>IF($A172="","",IFERROR(INDEX('Driver Factors'!$C$6:$C$15,MATCH($R172,'Driver Factors'!$B$6:$B$15,0)),"?"))</f>
        <v/>
      </c>
      <c r="BB172" s="97" t="str">
        <f>IF($A172="","",IFERROR(INDEX('Driver Factors'!$C$19:$C$24,MATCH($S172,'Driver Factors'!$B$19:$B$24,0)),"?"))</f>
        <v/>
      </c>
      <c r="BC172" s="97" t="str">
        <f>IF($A172="","",IFERROR(INDEX('Driver Factors'!$C$28:$C$36,MATCH($T172,'Driver Factors'!$B$28:$B$36,0)),"?"))</f>
        <v/>
      </c>
      <c r="BD172" s="97" t="str">
        <f>IF($A172="","",IFERROR(INDEX('Claims History'!$C$6:$C$15,MATCH($U172,'Claims History'!$B$6:$B$15,0)),"?"))</f>
        <v/>
      </c>
      <c r="BE172" s="97" t="str">
        <f>IF($A172="","",IFERROR(INDEX('Territory Factors'!$E$6:$E$56,MATCH($K172,'Territory Factors'!$B$6:$B$56,0)),"?"))</f>
        <v/>
      </c>
      <c r="BF172" s="97" t="str">
        <f>IF($A172="","",IFERROR(INDEX('City Accident Ratings'!$G$6:$G$54,MATCH($Z172,'City Accident Ratings'!$B$6:$B$54,0)),"?"))</f>
        <v/>
      </c>
      <c r="BG172" s="97" t="str">
        <f>IF($A172="","",IFERROR(INDEX('Usage and Coverage'!$D$6:$D$20,MATCH($N172,'Usage and Coverage'!$C$6:$C$20,0)),"?"))</f>
        <v/>
      </c>
      <c r="BH172" s="97" t="str">
        <f>IF($A172="","",IFERROR(INDEX('Usage and Coverage'!$C$24:$C$30,MATCH($O172,'Usage and Coverage'!$B$24:$B$30,0)),"?"))</f>
        <v/>
      </c>
      <c r="BI172" s="97" t="str">
        <f>IF($A172="","",IFERROR(INDEX('Usage and Coverage'!$C$34:$C$40,MATCH($P172,'Usage and Coverage'!$B$34:$B$40,0)),"?"))</f>
        <v/>
      </c>
      <c r="BJ172" s="97" t="str">
        <f>IF($A172="","",IFERROR(INDEX('Usage and Coverage'!$C$44:$C$49,MATCH($Q172,'Usage and Coverage'!$B$44:$B$49,0)),"?"))</f>
        <v/>
      </c>
      <c r="BK172" s="97" t="str">
        <f>IF($A172="","",IFERROR(INDEX(Deductibles!$C$6:$I$15,MATCH($W172,Deductibles!$B$6:$B$15,0),MATCH(MAX($J172,'Technical Premium'!$C$18),'Base Rates'!$C$3:$I$3,1)),"?"))</f>
        <v/>
      </c>
      <c r="BL172" s="97" t="str">
        <f>IF($A172="","",IFERROR(INDEX('Usage and Coverage'!$C$63:$C$66,MATCH($X172,'Usage and Coverage'!$B$63:$B$66,0)),"?"))</f>
        <v/>
      </c>
      <c r="BM172" s="97" t="str">
        <f>IF($A172="","",IFERROR(INDEX('Usage and Coverage'!$C$70:$C$75,MATCH($V172,'Usage and Coverage'!$B$70:$B$75,0)),"?"))</f>
        <v/>
      </c>
      <c r="BN172" s="97" t="str">
        <f>IF($A172="","",IF($AB172="",1,IFERROR(INDEX(Deductibles!$C$48:$C$51,MATCH($AB172,Deductibles!$B$48:$B$51,0)),"?")))</f>
        <v/>
      </c>
      <c r="BO172" s="97" t="str">
        <f>IF($A172="","",IF($AC172="",1,IFERROR(INDEX(Deductibles!$C$55:$C$57,MATCH($AC172,Deductibles!$B$55:$B$57,0)),"?")))</f>
        <v/>
      </c>
      <c r="BP172" s="97" t="str">
        <f>IF($A172="","",IF($AD172="",1,IFERROR(INDEX(Deductibles!$C$61:$C$63,MATCH($AD172,Deductibles!$B$61:$B$63,0)),"?")))</f>
        <v/>
      </c>
      <c r="BQ172" s="97" t="str">
        <f>IF($A172="","",IF($AE172="",1,IFERROR(INDEX(Deductibles!$C$67:$C$69,MATCH($AE172,Deductibles!$B$67:$B$69,0)),"?")))</f>
        <v/>
      </c>
      <c r="BR172" s="97" t="str">
        <f>IF($A172="","",IF($AF172="",1,IFERROR(INDEX(Deductibles!$C$73:$C$74,MATCH($AF172,Deductibles!$B$73:$B$74,0)),"?")))</f>
        <v/>
      </c>
      <c r="BS172" s="97" t="str">
        <f>IF($A172="","",IF($AG172="",1,IFERROR(INDEX('Sublimits and Parts'!$C$49:$C$52,MATCH($AG172,'Sublimits and Parts'!$B$49:$B$52,0)),"?")))</f>
        <v/>
      </c>
      <c r="BT172" s="97" t="str">
        <f>IF($A172="","",IF($AH172="",1,IFERROR(INDEX('Sublimits and Parts'!$C$56:$C$60,MATCH($AH172,'Sublimits and Parts'!$B$56:$B$60,0)),"?")))</f>
        <v/>
      </c>
      <c r="BU172" s="97" t="str">
        <f>IF($A172="","",IF($AI172="",1,IFERROR(INDEX('Sublimits and Parts'!$C$64:$C$67,MATCH($AI172,'Sublimits and Parts'!$B$64:$B$67,0)),"?")))</f>
        <v/>
      </c>
      <c r="BV172" s="97" t="str">
        <f>IF($A172="","",IF($AJ172="",1,IFERROR(INDEX('Sublimits and Parts'!$C$71:$C$74,MATCH($AJ172,'Sublimits and Parts'!$B$71:$B$74,0)),"?")))</f>
        <v/>
      </c>
      <c r="BW172" s="97" t="str">
        <f>IF($A172="","",IF($AK172="",1,IFERROR(INDEX('Sublimits and Parts'!$C$78:$C$80,MATCH($AK172,'Sublimits and Parts'!$B$78:$B$80,0)),"?")))</f>
        <v/>
      </c>
      <c r="BX172" s="97" t="str">
        <f>IF($A172="","",IF($AL172="",1,IFERROR(INDEX('Sublimits and Parts'!$C$84:$C$87,MATCH($AL172,'Sublimits and Parts'!$B$84:$B$87,0)),"?")))</f>
        <v/>
      </c>
      <c r="BY172" s="97" t="str">
        <f>IF($A172="","",IF($AM172="",1,IFERROR(INDEX('Sublimits and Parts'!$C$91:$C$94,MATCH($AM172,'Sublimits and Parts'!$B$91:$B$94,0)),"?")))</f>
        <v/>
      </c>
      <c r="BZ172" s="97" t="str">
        <f>IF($A172="","",IF($AN172="",1,IFERROR(INDEX('Sublimits and Parts'!$C$98:$C$101,MATCH($AN172,'Sublimits and Parts'!$B$98:$B$101,0)),"?")))</f>
        <v/>
      </c>
      <c r="CA172" s="97" t="str">
        <f>IF($A172="","",IF($AO172="",1,IFERROR(INDEX('Sublimits and Parts'!$C$105:$C$109,MATCH($AO172,'Sublimits and Parts'!$B$105:$B$109,0)),"?")))</f>
        <v/>
      </c>
      <c r="CB172" s="98" t="str">
        <f t="shared" si="28"/>
        <v/>
      </c>
      <c r="CC172" s="98" t="str">
        <f t="shared" si="29"/>
        <v/>
      </c>
      <c r="CD172" s="101" t="str">
        <f>IF($A172="","",IF(OR($CB172="?",$CC172="?"),"?",MIN($CB172*$CC172,'Technical Premium'!$C$17)))</f>
        <v/>
      </c>
      <c r="CE172" s="100" t="str">
        <f t="shared" si="30"/>
        <v/>
      </c>
      <c r="CF172" s="100" t="str">
        <f>IF($A172="","",IFERROR(INDEX('Territory Factors'!$F$6:$F$56,MATCH($K172,'Territory Factors'!$B$6:$B$56,0)),"?"))</f>
        <v/>
      </c>
      <c r="CG172" s="98" t="str">
        <f>IF($A172="","",IFERROR(INDEX('Usage and Coverage'!$C$79:$C$84,MATCH($Y172,'Usage and Coverage'!$B$79:$B$84,0)),"?"))</f>
        <v/>
      </c>
      <c r="CH172" s="100" t="str">
        <f>IFERROR(IF(ISNUMBER($CD172),$CF172*$CG172*MIN($BG172*$BA172*$BC172*$BD172*$BH172*$BF172,'Technical Premium'!$C$17),""),"")</f>
        <v/>
      </c>
      <c r="CI172" s="100" t="str">
        <f t="shared" si="31"/>
        <v/>
      </c>
      <c r="CJ172" s="100" t="str">
        <f>IFERROR($CI172*(1+'Technical Premium'!$C$5)*(1+'Technical Premium'!$C$6),"")</f>
        <v/>
      </c>
      <c r="CK172" s="100" t="str">
        <f>IFERROR($CE172*INDEX('Territory Factors'!$G$6:$G$56,MATCH($K172,'Territory Factors'!$B$6:$B$56,0))*$AU172*$AV172,"")</f>
        <v/>
      </c>
      <c r="CL172" s="100" t="str">
        <f>IFERROR(($CJ172+$CK172)*(1+'Technical Premium'!$C$7),"")</f>
        <v/>
      </c>
      <c r="CM172" s="102" t="str">
        <f>IFERROR($CL172/'Technical Premium'!$C$13,"")</f>
        <v/>
      </c>
      <c r="CN172" s="103" t="str">
        <f t="shared" si="32"/>
        <v/>
      </c>
      <c r="CO172" s="102" t="str">
        <f t="shared" si="33"/>
        <v/>
      </c>
      <c r="CP172" s="103" t="str">
        <f t="shared" si="34"/>
        <v/>
      </c>
      <c r="CQ172" s="104" t="str">
        <f t="shared" si="35"/>
        <v/>
      </c>
      <c r="CR172" s="100" t="str">
        <f>IF(ISNUMBER($CM172),'Technical Premium'!$C$14+IF($J172&gt;=1000000,'Technical Premium'!$C$15,0),"")</f>
        <v/>
      </c>
      <c r="CS172" s="100" t="str">
        <f>IFERROR(($CO172+$CR172)*(INDEX('Territory Factors'!$K$6:$K$56,MATCH($K172,'Territory Factors'!$B$6:$B$56,0))+'Commission Structure'!$C$21),"")</f>
        <v/>
      </c>
      <c r="CT172" s="102" t="str">
        <f t="shared" si="36"/>
        <v/>
      </c>
      <c r="CU172" s="100" t="str">
        <f>IFERROR($CO172*('Commission Structure'!$C$6+'Commission Structure'!$C$7),"")</f>
        <v/>
      </c>
      <c r="CV172" s="100" t="str">
        <f>IFERROR($CO172*'Commission Structure'!$C$5-$CU172,"")</f>
        <v/>
      </c>
      <c r="CW172" s="100" t="str">
        <f>IFERROR($CO172*(1-'Commission Structure'!$C$5),"")</f>
        <v/>
      </c>
      <c r="CX172" s="105" t="str">
        <f>IF($A172="","",IF(OR($CB172="?",$CC172="?",NOT(ISNUMBER($AU172))),"CHECK INPUTS",IF(OR($J172&lt;'Technical Premium'!$C$18,LEFT(IFERROR(INDEX('Driver Factors'!$D$6:$D$15,MATCH($R172,'Driver Factors'!$B$6:$B$15,0)),""),7)="DECLINE",LEFT(IFERROR(INDEX('Driver Factors'!$D$28:$D$36,MATCH($T172,'Driver Factors'!$B$28:$B$36,0)),""),7)="DECLINE",LEFT(IFERROR(INDEX('Claims History'!$D$6:$D$15,MATCH($U172,'Claims History'!$B$6:$B$15,0)),""),7)="DECLINE",LEFT(IFERROR(INDEX('Usage and Coverage'!$E$6:$E$20,MATCH($N172,'Usage and Coverage'!$C$6:$C$20,0)),""),7)="DECLINE"),"DECLINE",IF(OR($CD172&gt;2.5,$CD172&gt;='Technical Premium'!$C$17,$J172&gt;='Technical Premium'!$C$16,N($AQ172)&lt;'Technical Premium'!$C$19,N($AQ172)&gt;'Technical Premium'!$C$20,LEFT(IFERROR(INDEX('Driver Factors'!$D$6:$D$15,MATCH($R172,'Driver Factors'!$B$6:$B$15,0)),""),5)="Refer",LEFT(IFERROR(INDEX('Driver Factors'!$D$28:$D$36,MATCH($T172,'Driver Factors'!$B$28:$B$36,0)),""),5)="Refer",LEFT(IFERROR(INDEX('Claims History'!$D$6:$D$15,MATCH($U172,'Claims History'!$B$6:$B$15,0)),""),5)="Refer",LEFT(IFERROR(INDEX('Usage and Coverage'!$E$6:$E$20,MATCH($N172,'Usage and Coverage'!$C$6:$C$20,0)),""),5)="Refer"),"REFER","AUTO-BIND"))))</f>
        <v/>
      </c>
      <c r="CY172" s="106" t="str">
        <f t="shared" si="37"/>
        <v/>
      </c>
      <c r="CZ172" s="97" t="str">
        <f>IF($CY172="","",IF($CY172&lt;'Technical Premium'!$C$19,"BEYOND AUTHORITY",IF($CY172&gt;0.005,"Above technical",IF($CY172&lt;-0.005,"BELOW technical","At technical"))))</f>
        <v/>
      </c>
      <c r="DA172" s="97" t="str">
        <f>IF($A172="","",IF($CX172="AUTO-BIND","",TRIM(IF($J172&lt;'Technical Premium'!$C$18,"Below programme minimum agreed value. ","")&amp;IF(N($AQ172)&lt;'Technical Premium'!$C$19,"DISCOUNT AUTHORITY BREACH. ","")&amp;IF(N($AQ172)&gt;'Technical Premium'!$C$20,"Load authority breach. ","")&amp;IF($J172&gt;='Technical Premium'!$C$16,"Agreed value at or above auto-bind limit. ","")&amp;IF(AND(ISNUMBER($CD172),$CD172&gt;='Technical Premium'!$C$17),"Composite factor at cap. ","")&amp;IF(AND(ISNUMBER($CD172),$CD172&gt;2.5),"Composite factor above 2.50. ","")&amp;IF(LEFT(IFERROR(INDEX('Driver Factors'!$D$6:$D$15,MATCH($R172,'Driver Factors'!$B$6:$B$15,0)),""),7)="DECLINE","DECLINE - driver age. ",IF(LEFT(IFERROR(INDEX('Driver Factors'!$D$6:$D$15,MATCH($R172,'Driver Factors'!$B$6:$B$15,0)),""),5)="Refer","Driver age band. ",""))&amp;IF(LEFT(IFERROR(INDEX('Driver Factors'!$D$28:$D$36,MATCH($T172,'Driver Factors'!$B$28:$B$36,0)),""),7)="DECLINE","DECLINE - MVR. ",IF(LEFT(IFERROR(INDEX('Driver Factors'!$D$28:$D$36,MATCH($T172,'Driver Factors'!$B$28:$B$36,0)),""),5)="Refer","MVR record. ",""))&amp;IF(LEFT(IFERROR(INDEX('Claims History'!$D$6:$D$15,MATCH($U172,'Claims History'!$B$6:$B$15,0)),""),7)="DECLINE","DECLINE - claims. ",IF(LEFT(IFERROR(INDEX('Claims History'!$D$6:$D$15,MATCH($U172,'Claims History'!$B$6:$B$15,0)),""),5)="Refer","Claims history. ",""))&amp;IF(LEFT(IFERROR(INDEX('Usage and Coverage'!$E$6:$E$20,MATCH($N172,'Usage and Coverage'!$C$6:$C$20,0)),""),7)="DECLINE","DECLINE - usage class. ",IF(LEFT(IFERROR(INDEX('Usage and Coverage'!$E$6:$E$20,MATCH($N172,'Usage and Coverage'!$C$6:$C$20,0)),""),5)="Refer","Usage class. ",""))&amp;IF($CX172="CHECK INPUTS","Incomplete inputs. ",""))))</f>
        <v/>
      </c>
      <c r="DB172" s="92"/>
      <c r="DC172" s="92"/>
      <c r="DD172" s="93"/>
      <c r="DE172" s="92"/>
      <c r="DF172" s="92"/>
      <c r="DG172" s="97" t="str">
        <f t="shared" si="38"/>
        <v/>
      </c>
      <c r="DH172" s="97" t="str">
        <f>IF($A172="","",IF(OR($CX172="REFER",$CX172="DECLINE"),COUNTIF($CX$5:$CX172,"REFER")+COUNTIF($CX$5:$CX172,"DECLINE"),""))</f>
        <v/>
      </c>
      <c r="DI172" s="92"/>
    </row>
    <row r="173" spans="1:113" x14ac:dyDescent="0.25">
      <c r="A173" s="92"/>
      <c r="B173" s="92"/>
      <c r="C173" s="93"/>
      <c r="D173" s="93"/>
      <c r="E173" s="94"/>
      <c r="F173" s="92"/>
      <c r="G173" s="92"/>
      <c r="H173" s="92"/>
      <c r="I173" s="92"/>
      <c r="J173" s="95"/>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6"/>
      <c r="AR173" s="97" t="str">
        <f t="shared" si="26"/>
        <v/>
      </c>
      <c r="AS173" s="97" t="str">
        <f>IF($A173="","",IF($AP173&lt;&gt;"",$AP173,IFERROR(INDEX('Cat Zone by ZIP'!$D$6:$D$856,MATCH($AR173,'Cat Zone by ZIP'!$B$6:$B$856,0)),IFERROR(INDEX('Cat Zone by ZIP'!$C$860:$C$910,MATCH($K173,'Cat Zone by ZIP'!$B$860:$B$910,0)),"NOT FOUND"))))</f>
        <v/>
      </c>
      <c r="AT173" s="97" t="str">
        <f>IF($A173="","",IF($AP173&lt;&gt;"","Override",IF(ISNUMBER(MATCH($AR173,'Cat Zone by ZIP'!$B$6:$B$856,0)),"ZIP-3","State default")))</f>
        <v/>
      </c>
      <c r="AU173" s="98" t="str">
        <f>IF($A173="","",IFERROR(INDEX('Natural Catastrophe'!$D$6:$D$17,MATCH($AS173,'Natural Catastrophe'!$B$6:$B$17,0)),"?"))</f>
        <v/>
      </c>
      <c r="AV173" s="98" t="str">
        <f>IF($A173="","",IFERROR(INDEX('Natural Catastrophe'!$C$21:$C$26,MATCH($AA173,'Natural Catastrophe'!$B$21:$B$26,0)),"?"))</f>
        <v/>
      </c>
      <c r="AW173" s="97" t="str">
        <f>IF($A173="","",IFERROR(INDEX('Base Rates'!$C$4:$I$4,MATCH(MAX($J173,'Technical Premium'!$C$18),'Base Rates'!$C$3:$I$3,1)),"?"))</f>
        <v/>
      </c>
      <c r="AX173" s="99" t="str">
        <f>IF($A173="","",IFERROR(INDEX('Base Rates'!$C$5:$I$16,MATCH($I173,'Base Rates'!$B$5:$B$16,0),MATCH(MAX($J173,'Technical Premium'!$C$18),'Base Rates'!$C$3:$I$3,1)),"?"))</f>
        <v/>
      </c>
      <c r="AY173" s="100" t="str">
        <f t="shared" si="27"/>
        <v/>
      </c>
      <c r="AZ173" s="97" t="str">
        <f>IF($A173="","",IFERROR(INDEX('Make Factors'!$G$5:$G$69,MATCH($F173,'Make Factors'!$B$5:$B$69,0)),"?"))</f>
        <v/>
      </c>
      <c r="BA173" s="97" t="str">
        <f>IF($A173="","",IFERROR(INDEX('Driver Factors'!$C$6:$C$15,MATCH($R173,'Driver Factors'!$B$6:$B$15,0)),"?"))</f>
        <v/>
      </c>
      <c r="BB173" s="97" t="str">
        <f>IF($A173="","",IFERROR(INDEX('Driver Factors'!$C$19:$C$24,MATCH($S173,'Driver Factors'!$B$19:$B$24,0)),"?"))</f>
        <v/>
      </c>
      <c r="BC173" s="97" t="str">
        <f>IF($A173="","",IFERROR(INDEX('Driver Factors'!$C$28:$C$36,MATCH($T173,'Driver Factors'!$B$28:$B$36,0)),"?"))</f>
        <v/>
      </c>
      <c r="BD173" s="97" t="str">
        <f>IF($A173="","",IFERROR(INDEX('Claims History'!$C$6:$C$15,MATCH($U173,'Claims History'!$B$6:$B$15,0)),"?"))</f>
        <v/>
      </c>
      <c r="BE173" s="97" t="str">
        <f>IF($A173="","",IFERROR(INDEX('Territory Factors'!$E$6:$E$56,MATCH($K173,'Territory Factors'!$B$6:$B$56,0)),"?"))</f>
        <v/>
      </c>
      <c r="BF173" s="97" t="str">
        <f>IF($A173="","",IFERROR(INDEX('City Accident Ratings'!$G$6:$G$54,MATCH($Z173,'City Accident Ratings'!$B$6:$B$54,0)),"?"))</f>
        <v/>
      </c>
      <c r="BG173" s="97" t="str">
        <f>IF($A173="","",IFERROR(INDEX('Usage and Coverage'!$D$6:$D$20,MATCH($N173,'Usage and Coverage'!$C$6:$C$20,0)),"?"))</f>
        <v/>
      </c>
      <c r="BH173" s="97" t="str">
        <f>IF($A173="","",IFERROR(INDEX('Usage and Coverage'!$C$24:$C$30,MATCH($O173,'Usage and Coverage'!$B$24:$B$30,0)),"?"))</f>
        <v/>
      </c>
      <c r="BI173" s="97" t="str">
        <f>IF($A173="","",IFERROR(INDEX('Usage and Coverage'!$C$34:$C$40,MATCH($P173,'Usage and Coverage'!$B$34:$B$40,0)),"?"))</f>
        <v/>
      </c>
      <c r="BJ173" s="97" t="str">
        <f>IF($A173="","",IFERROR(INDEX('Usage and Coverage'!$C$44:$C$49,MATCH($Q173,'Usage and Coverage'!$B$44:$B$49,0)),"?"))</f>
        <v/>
      </c>
      <c r="BK173" s="97" t="str">
        <f>IF($A173="","",IFERROR(INDEX(Deductibles!$C$6:$I$15,MATCH($W173,Deductibles!$B$6:$B$15,0),MATCH(MAX($J173,'Technical Premium'!$C$18),'Base Rates'!$C$3:$I$3,1)),"?"))</f>
        <v/>
      </c>
      <c r="BL173" s="97" t="str">
        <f>IF($A173="","",IFERROR(INDEX('Usage and Coverage'!$C$63:$C$66,MATCH($X173,'Usage and Coverage'!$B$63:$B$66,0)),"?"))</f>
        <v/>
      </c>
      <c r="BM173" s="97" t="str">
        <f>IF($A173="","",IFERROR(INDEX('Usage and Coverage'!$C$70:$C$75,MATCH($V173,'Usage and Coverage'!$B$70:$B$75,0)),"?"))</f>
        <v/>
      </c>
      <c r="BN173" s="97" t="str">
        <f>IF($A173="","",IF($AB173="",1,IFERROR(INDEX(Deductibles!$C$48:$C$51,MATCH($AB173,Deductibles!$B$48:$B$51,0)),"?")))</f>
        <v/>
      </c>
      <c r="BO173" s="97" t="str">
        <f>IF($A173="","",IF($AC173="",1,IFERROR(INDEX(Deductibles!$C$55:$C$57,MATCH($AC173,Deductibles!$B$55:$B$57,0)),"?")))</f>
        <v/>
      </c>
      <c r="BP173" s="97" t="str">
        <f>IF($A173="","",IF($AD173="",1,IFERROR(INDEX(Deductibles!$C$61:$C$63,MATCH($AD173,Deductibles!$B$61:$B$63,0)),"?")))</f>
        <v/>
      </c>
      <c r="BQ173" s="97" t="str">
        <f>IF($A173="","",IF($AE173="",1,IFERROR(INDEX(Deductibles!$C$67:$C$69,MATCH($AE173,Deductibles!$B$67:$B$69,0)),"?")))</f>
        <v/>
      </c>
      <c r="BR173" s="97" t="str">
        <f>IF($A173="","",IF($AF173="",1,IFERROR(INDEX(Deductibles!$C$73:$C$74,MATCH($AF173,Deductibles!$B$73:$B$74,0)),"?")))</f>
        <v/>
      </c>
      <c r="BS173" s="97" t="str">
        <f>IF($A173="","",IF($AG173="",1,IFERROR(INDEX('Sublimits and Parts'!$C$49:$C$52,MATCH($AG173,'Sublimits and Parts'!$B$49:$B$52,0)),"?")))</f>
        <v/>
      </c>
      <c r="BT173" s="97" t="str">
        <f>IF($A173="","",IF($AH173="",1,IFERROR(INDEX('Sublimits and Parts'!$C$56:$C$60,MATCH($AH173,'Sublimits and Parts'!$B$56:$B$60,0)),"?")))</f>
        <v/>
      </c>
      <c r="BU173" s="97" t="str">
        <f>IF($A173="","",IF($AI173="",1,IFERROR(INDEX('Sublimits and Parts'!$C$64:$C$67,MATCH($AI173,'Sublimits and Parts'!$B$64:$B$67,0)),"?")))</f>
        <v/>
      </c>
      <c r="BV173" s="97" t="str">
        <f>IF($A173="","",IF($AJ173="",1,IFERROR(INDEX('Sublimits and Parts'!$C$71:$C$74,MATCH($AJ173,'Sublimits and Parts'!$B$71:$B$74,0)),"?")))</f>
        <v/>
      </c>
      <c r="BW173" s="97" t="str">
        <f>IF($A173="","",IF($AK173="",1,IFERROR(INDEX('Sublimits and Parts'!$C$78:$C$80,MATCH($AK173,'Sublimits and Parts'!$B$78:$B$80,0)),"?")))</f>
        <v/>
      </c>
      <c r="BX173" s="97" t="str">
        <f>IF($A173="","",IF($AL173="",1,IFERROR(INDEX('Sublimits and Parts'!$C$84:$C$87,MATCH($AL173,'Sublimits and Parts'!$B$84:$B$87,0)),"?")))</f>
        <v/>
      </c>
      <c r="BY173" s="97" t="str">
        <f>IF($A173="","",IF($AM173="",1,IFERROR(INDEX('Sublimits and Parts'!$C$91:$C$94,MATCH($AM173,'Sublimits and Parts'!$B$91:$B$94,0)),"?")))</f>
        <v/>
      </c>
      <c r="BZ173" s="97" t="str">
        <f>IF($A173="","",IF($AN173="",1,IFERROR(INDEX('Sublimits and Parts'!$C$98:$C$101,MATCH($AN173,'Sublimits and Parts'!$B$98:$B$101,0)),"?")))</f>
        <v/>
      </c>
      <c r="CA173" s="97" t="str">
        <f>IF($A173="","",IF($AO173="",1,IFERROR(INDEX('Sublimits and Parts'!$C$105:$C$109,MATCH($AO173,'Sublimits and Parts'!$B$105:$B$109,0)),"?")))</f>
        <v/>
      </c>
      <c r="CB173" s="98" t="str">
        <f t="shared" si="28"/>
        <v/>
      </c>
      <c r="CC173" s="98" t="str">
        <f t="shared" si="29"/>
        <v/>
      </c>
      <c r="CD173" s="101" t="str">
        <f>IF($A173="","",IF(OR($CB173="?",$CC173="?"),"?",MIN($CB173*$CC173,'Technical Premium'!$C$17)))</f>
        <v/>
      </c>
      <c r="CE173" s="100" t="str">
        <f t="shared" si="30"/>
        <v/>
      </c>
      <c r="CF173" s="100" t="str">
        <f>IF($A173="","",IFERROR(INDEX('Territory Factors'!$F$6:$F$56,MATCH($K173,'Territory Factors'!$B$6:$B$56,0)),"?"))</f>
        <v/>
      </c>
      <c r="CG173" s="98" t="str">
        <f>IF($A173="","",IFERROR(INDEX('Usage and Coverage'!$C$79:$C$84,MATCH($Y173,'Usage and Coverage'!$B$79:$B$84,0)),"?"))</f>
        <v/>
      </c>
      <c r="CH173" s="100" t="str">
        <f>IFERROR(IF(ISNUMBER($CD173),$CF173*$CG173*MIN($BG173*$BA173*$BC173*$BD173*$BH173*$BF173,'Technical Premium'!$C$17),""),"")</f>
        <v/>
      </c>
      <c r="CI173" s="100" t="str">
        <f t="shared" si="31"/>
        <v/>
      </c>
      <c r="CJ173" s="100" t="str">
        <f>IFERROR($CI173*(1+'Technical Premium'!$C$5)*(1+'Technical Premium'!$C$6),"")</f>
        <v/>
      </c>
      <c r="CK173" s="100" t="str">
        <f>IFERROR($CE173*INDEX('Territory Factors'!$G$6:$G$56,MATCH($K173,'Territory Factors'!$B$6:$B$56,0))*$AU173*$AV173,"")</f>
        <v/>
      </c>
      <c r="CL173" s="100" t="str">
        <f>IFERROR(($CJ173+$CK173)*(1+'Technical Premium'!$C$7),"")</f>
        <v/>
      </c>
      <c r="CM173" s="102" t="str">
        <f>IFERROR($CL173/'Technical Premium'!$C$13,"")</f>
        <v/>
      </c>
      <c r="CN173" s="103" t="str">
        <f t="shared" si="32"/>
        <v/>
      </c>
      <c r="CO173" s="102" t="str">
        <f t="shared" si="33"/>
        <v/>
      </c>
      <c r="CP173" s="103" t="str">
        <f t="shared" si="34"/>
        <v/>
      </c>
      <c r="CQ173" s="104" t="str">
        <f t="shared" si="35"/>
        <v/>
      </c>
      <c r="CR173" s="100" t="str">
        <f>IF(ISNUMBER($CM173),'Technical Premium'!$C$14+IF($J173&gt;=1000000,'Technical Premium'!$C$15,0),"")</f>
        <v/>
      </c>
      <c r="CS173" s="100" t="str">
        <f>IFERROR(($CO173+$CR173)*(INDEX('Territory Factors'!$K$6:$K$56,MATCH($K173,'Territory Factors'!$B$6:$B$56,0))+'Commission Structure'!$C$21),"")</f>
        <v/>
      </c>
      <c r="CT173" s="102" t="str">
        <f t="shared" si="36"/>
        <v/>
      </c>
      <c r="CU173" s="100" t="str">
        <f>IFERROR($CO173*('Commission Structure'!$C$6+'Commission Structure'!$C$7),"")</f>
        <v/>
      </c>
      <c r="CV173" s="100" t="str">
        <f>IFERROR($CO173*'Commission Structure'!$C$5-$CU173,"")</f>
        <v/>
      </c>
      <c r="CW173" s="100" t="str">
        <f>IFERROR($CO173*(1-'Commission Structure'!$C$5),"")</f>
        <v/>
      </c>
      <c r="CX173" s="105" t="str">
        <f>IF($A173="","",IF(OR($CB173="?",$CC173="?",NOT(ISNUMBER($AU173))),"CHECK INPUTS",IF(OR($J173&lt;'Technical Premium'!$C$18,LEFT(IFERROR(INDEX('Driver Factors'!$D$6:$D$15,MATCH($R173,'Driver Factors'!$B$6:$B$15,0)),""),7)="DECLINE",LEFT(IFERROR(INDEX('Driver Factors'!$D$28:$D$36,MATCH($T173,'Driver Factors'!$B$28:$B$36,0)),""),7)="DECLINE",LEFT(IFERROR(INDEX('Claims History'!$D$6:$D$15,MATCH($U173,'Claims History'!$B$6:$B$15,0)),""),7)="DECLINE",LEFT(IFERROR(INDEX('Usage and Coverage'!$E$6:$E$20,MATCH($N173,'Usage and Coverage'!$C$6:$C$20,0)),""),7)="DECLINE"),"DECLINE",IF(OR($CD173&gt;2.5,$CD173&gt;='Technical Premium'!$C$17,$J173&gt;='Technical Premium'!$C$16,N($AQ173)&lt;'Technical Premium'!$C$19,N($AQ173)&gt;'Technical Premium'!$C$20,LEFT(IFERROR(INDEX('Driver Factors'!$D$6:$D$15,MATCH($R173,'Driver Factors'!$B$6:$B$15,0)),""),5)="Refer",LEFT(IFERROR(INDEX('Driver Factors'!$D$28:$D$36,MATCH($T173,'Driver Factors'!$B$28:$B$36,0)),""),5)="Refer",LEFT(IFERROR(INDEX('Claims History'!$D$6:$D$15,MATCH($U173,'Claims History'!$B$6:$B$15,0)),""),5)="Refer",LEFT(IFERROR(INDEX('Usage and Coverage'!$E$6:$E$20,MATCH($N173,'Usage and Coverage'!$C$6:$C$20,0)),""),5)="Refer"),"REFER","AUTO-BIND"))))</f>
        <v/>
      </c>
      <c r="CY173" s="106" t="str">
        <f t="shared" si="37"/>
        <v/>
      </c>
      <c r="CZ173" s="97" t="str">
        <f>IF($CY173="","",IF($CY173&lt;'Technical Premium'!$C$19,"BEYOND AUTHORITY",IF($CY173&gt;0.005,"Above technical",IF($CY173&lt;-0.005,"BELOW technical","At technical"))))</f>
        <v/>
      </c>
      <c r="DA173" s="97" t="str">
        <f>IF($A173="","",IF($CX173="AUTO-BIND","",TRIM(IF($J173&lt;'Technical Premium'!$C$18,"Below programme minimum agreed value. ","")&amp;IF(N($AQ173)&lt;'Technical Premium'!$C$19,"DISCOUNT AUTHORITY BREACH. ","")&amp;IF(N($AQ173)&gt;'Technical Premium'!$C$20,"Load authority breach. ","")&amp;IF($J173&gt;='Technical Premium'!$C$16,"Agreed value at or above auto-bind limit. ","")&amp;IF(AND(ISNUMBER($CD173),$CD173&gt;='Technical Premium'!$C$17),"Composite factor at cap. ","")&amp;IF(AND(ISNUMBER($CD173),$CD173&gt;2.5),"Composite factor above 2.50. ","")&amp;IF(LEFT(IFERROR(INDEX('Driver Factors'!$D$6:$D$15,MATCH($R173,'Driver Factors'!$B$6:$B$15,0)),""),7)="DECLINE","DECLINE - driver age. ",IF(LEFT(IFERROR(INDEX('Driver Factors'!$D$6:$D$15,MATCH($R173,'Driver Factors'!$B$6:$B$15,0)),""),5)="Refer","Driver age band. ",""))&amp;IF(LEFT(IFERROR(INDEX('Driver Factors'!$D$28:$D$36,MATCH($T173,'Driver Factors'!$B$28:$B$36,0)),""),7)="DECLINE","DECLINE - MVR. ",IF(LEFT(IFERROR(INDEX('Driver Factors'!$D$28:$D$36,MATCH($T173,'Driver Factors'!$B$28:$B$36,0)),""),5)="Refer","MVR record. ",""))&amp;IF(LEFT(IFERROR(INDEX('Claims History'!$D$6:$D$15,MATCH($U173,'Claims History'!$B$6:$B$15,0)),""),7)="DECLINE","DECLINE - claims. ",IF(LEFT(IFERROR(INDEX('Claims History'!$D$6:$D$15,MATCH($U173,'Claims History'!$B$6:$B$15,0)),""),5)="Refer","Claims history. ",""))&amp;IF(LEFT(IFERROR(INDEX('Usage and Coverage'!$E$6:$E$20,MATCH($N173,'Usage and Coverage'!$C$6:$C$20,0)),""),7)="DECLINE","DECLINE - usage class. ",IF(LEFT(IFERROR(INDEX('Usage and Coverage'!$E$6:$E$20,MATCH($N173,'Usage and Coverage'!$C$6:$C$20,0)),""),5)="Refer","Usage class. ",""))&amp;IF($CX173="CHECK INPUTS","Incomplete inputs. ",""))))</f>
        <v/>
      </c>
      <c r="DB173" s="92"/>
      <c r="DC173" s="92"/>
      <c r="DD173" s="93"/>
      <c r="DE173" s="92"/>
      <c r="DF173" s="92"/>
      <c r="DG173" s="97" t="str">
        <f t="shared" si="38"/>
        <v/>
      </c>
      <c r="DH173" s="97" t="str">
        <f>IF($A173="","",IF(OR($CX173="REFER",$CX173="DECLINE"),COUNTIF($CX$5:$CX173,"REFER")+COUNTIF($CX$5:$CX173,"DECLINE"),""))</f>
        <v/>
      </c>
      <c r="DI173" s="92"/>
    </row>
    <row r="174" spans="1:113" x14ac:dyDescent="0.25">
      <c r="A174" s="92"/>
      <c r="B174" s="92"/>
      <c r="C174" s="93"/>
      <c r="D174" s="93"/>
      <c r="E174" s="94"/>
      <c r="F174" s="92"/>
      <c r="G174" s="92"/>
      <c r="H174" s="92"/>
      <c r="I174" s="92"/>
      <c r="J174" s="95"/>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6"/>
      <c r="AR174" s="97" t="str">
        <f t="shared" si="26"/>
        <v/>
      </c>
      <c r="AS174" s="97" t="str">
        <f>IF($A174="","",IF($AP174&lt;&gt;"",$AP174,IFERROR(INDEX('Cat Zone by ZIP'!$D$6:$D$856,MATCH($AR174,'Cat Zone by ZIP'!$B$6:$B$856,0)),IFERROR(INDEX('Cat Zone by ZIP'!$C$860:$C$910,MATCH($K174,'Cat Zone by ZIP'!$B$860:$B$910,0)),"NOT FOUND"))))</f>
        <v/>
      </c>
      <c r="AT174" s="97" t="str">
        <f>IF($A174="","",IF($AP174&lt;&gt;"","Override",IF(ISNUMBER(MATCH($AR174,'Cat Zone by ZIP'!$B$6:$B$856,0)),"ZIP-3","State default")))</f>
        <v/>
      </c>
      <c r="AU174" s="98" t="str">
        <f>IF($A174="","",IFERROR(INDEX('Natural Catastrophe'!$D$6:$D$17,MATCH($AS174,'Natural Catastrophe'!$B$6:$B$17,0)),"?"))</f>
        <v/>
      </c>
      <c r="AV174" s="98" t="str">
        <f>IF($A174="","",IFERROR(INDEX('Natural Catastrophe'!$C$21:$C$26,MATCH($AA174,'Natural Catastrophe'!$B$21:$B$26,0)),"?"))</f>
        <v/>
      </c>
      <c r="AW174" s="97" t="str">
        <f>IF($A174="","",IFERROR(INDEX('Base Rates'!$C$4:$I$4,MATCH(MAX($J174,'Technical Premium'!$C$18),'Base Rates'!$C$3:$I$3,1)),"?"))</f>
        <v/>
      </c>
      <c r="AX174" s="99" t="str">
        <f>IF($A174="","",IFERROR(INDEX('Base Rates'!$C$5:$I$16,MATCH($I174,'Base Rates'!$B$5:$B$16,0),MATCH(MAX($J174,'Technical Premium'!$C$18),'Base Rates'!$C$3:$I$3,1)),"?"))</f>
        <v/>
      </c>
      <c r="AY174" s="100" t="str">
        <f t="shared" si="27"/>
        <v/>
      </c>
      <c r="AZ174" s="97" t="str">
        <f>IF($A174="","",IFERROR(INDEX('Make Factors'!$G$5:$G$69,MATCH($F174,'Make Factors'!$B$5:$B$69,0)),"?"))</f>
        <v/>
      </c>
      <c r="BA174" s="97" t="str">
        <f>IF($A174="","",IFERROR(INDEX('Driver Factors'!$C$6:$C$15,MATCH($R174,'Driver Factors'!$B$6:$B$15,0)),"?"))</f>
        <v/>
      </c>
      <c r="BB174" s="97" t="str">
        <f>IF($A174="","",IFERROR(INDEX('Driver Factors'!$C$19:$C$24,MATCH($S174,'Driver Factors'!$B$19:$B$24,0)),"?"))</f>
        <v/>
      </c>
      <c r="BC174" s="97" t="str">
        <f>IF($A174="","",IFERROR(INDEX('Driver Factors'!$C$28:$C$36,MATCH($T174,'Driver Factors'!$B$28:$B$36,0)),"?"))</f>
        <v/>
      </c>
      <c r="BD174" s="97" t="str">
        <f>IF($A174="","",IFERROR(INDEX('Claims History'!$C$6:$C$15,MATCH($U174,'Claims History'!$B$6:$B$15,0)),"?"))</f>
        <v/>
      </c>
      <c r="BE174" s="97" t="str">
        <f>IF($A174="","",IFERROR(INDEX('Territory Factors'!$E$6:$E$56,MATCH($K174,'Territory Factors'!$B$6:$B$56,0)),"?"))</f>
        <v/>
      </c>
      <c r="BF174" s="97" t="str">
        <f>IF($A174="","",IFERROR(INDEX('City Accident Ratings'!$G$6:$G$54,MATCH($Z174,'City Accident Ratings'!$B$6:$B$54,0)),"?"))</f>
        <v/>
      </c>
      <c r="BG174" s="97" t="str">
        <f>IF($A174="","",IFERROR(INDEX('Usage and Coverage'!$D$6:$D$20,MATCH($N174,'Usage and Coverage'!$C$6:$C$20,0)),"?"))</f>
        <v/>
      </c>
      <c r="BH174" s="97" t="str">
        <f>IF($A174="","",IFERROR(INDEX('Usage and Coverage'!$C$24:$C$30,MATCH($O174,'Usage and Coverage'!$B$24:$B$30,0)),"?"))</f>
        <v/>
      </c>
      <c r="BI174" s="97" t="str">
        <f>IF($A174="","",IFERROR(INDEX('Usage and Coverage'!$C$34:$C$40,MATCH($P174,'Usage and Coverage'!$B$34:$B$40,0)),"?"))</f>
        <v/>
      </c>
      <c r="BJ174" s="97" t="str">
        <f>IF($A174="","",IFERROR(INDEX('Usage and Coverage'!$C$44:$C$49,MATCH($Q174,'Usage and Coverage'!$B$44:$B$49,0)),"?"))</f>
        <v/>
      </c>
      <c r="BK174" s="97" t="str">
        <f>IF($A174="","",IFERROR(INDEX(Deductibles!$C$6:$I$15,MATCH($W174,Deductibles!$B$6:$B$15,0),MATCH(MAX($J174,'Technical Premium'!$C$18),'Base Rates'!$C$3:$I$3,1)),"?"))</f>
        <v/>
      </c>
      <c r="BL174" s="97" t="str">
        <f>IF($A174="","",IFERROR(INDEX('Usage and Coverage'!$C$63:$C$66,MATCH($X174,'Usage and Coverage'!$B$63:$B$66,0)),"?"))</f>
        <v/>
      </c>
      <c r="BM174" s="97" t="str">
        <f>IF($A174="","",IFERROR(INDEX('Usage and Coverage'!$C$70:$C$75,MATCH($V174,'Usage and Coverage'!$B$70:$B$75,0)),"?"))</f>
        <v/>
      </c>
      <c r="BN174" s="97" t="str">
        <f>IF($A174="","",IF($AB174="",1,IFERROR(INDEX(Deductibles!$C$48:$C$51,MATCH($AB174,Deductibles!$B$48:$B$51,0)),"?")))</f>
        <v/>
      </c>
      <c r="BO174" s="97" t="str">
        <f>IF($A174="","",IF($AC174="",1,IFERROR(INDEX(Deductibles!$C$55:$C$57,MATCH($AC174,Deductibles!$B$55:$B$57,0)),"?")))</f>
        <v/>
      </c>
      <c r="BP174" s="97" t="str">
        <f>IF($A174="","",IF($AD174="",1,IFERROR(INDEX(Deductibles!$C$61:$C$63,MATCH($AD174,Deductibles!$B$61:$B$63,0)),"?")))</f>
        <v/>
      </c>
      <c r="BQ174" s="97" t="str">
        <f>IF($A174="","",IF($AE174="",1,IFERROR(INDEX(Deductibles!$C$67:$C$69,MATCH($AE174,Deductibles!$B$67:$B$69,0)),"?")))</f>
        <v/>
      </c>
      <c r="BR174" s="97" t="str">
        <f>IF($A174="","",IF($AF174="",1,IFERROR(INDEX(Deductibles!$C$73:$C$74,MATCH($AF174,Deductibles!$B$73:$B$74,0)),"?")))</f>
        <v/>
      </c>
      <c r="BS174" s="97" t="str">
        <f>IF($A174="","",IF($AG174="",1,IFERROR(INDEX('Sublimits and Parts'!$C$49:$C$52,MATCH($AG174,'Sublimits and Parts'!$B$49:$B$52,0)),"?")))</f>
        <v/>
      </c>
      <c r="BT174" s="97" t="str">
        <f>IF($A174="","",IF($AH174="",1,IFERROR(INDEX('Sublimits and Parts'!$C$56:$C$60,MATCH($AH174,'Sublimits and Parts'!$B$56:$B$60,0)),"?")))</f>
        <v/>
      </c>
      <c r="BU174" s="97" t="str">
        <f>IF($A174="","",IF($AI174="",1,IFERROR(INDEX('Sublimits and Parts'!$C$64:$C$67,MATCH($AI174,'Sublimits and Parts'!$B$64:$B$67,0)),"?")))</f>
        <v/>
      </c>
      <c r="BV174" s="97" t="str">
        <f>IF($A174="","",IF($AJ174="",1,IFERROR(INDEX('Sublimits and Parts'!$C$71:$C$74,MATCH($AJ174,'Sublimits and Parts'!$B$71:$B$74,0)),"?")))</f>
        <v/>
      </c>
      <c r="BW174" s="97" t="str">
        <f>IF($A174="","",IF($AK174="",1,IFERROR(INDEX('Sublimits and Parts'!$C$78:$C$80,MATCH($AK174,'Sublimits and Parts'!$B$78:$B$80,0)),"?")))</f>
        <v/>
      </c>
      <c r="BX174" s="97" t="str">
        <f>IF($A174="","",IF($AL174="",1,IFERROR(INDEX('Sublimits and Parts'!$C$84:$C$87,MATCH($AL174,'Sublimits and Parts'!$B$84:$B$87,0)),"?")))</f>
        <v/>
      </c>
      <c r="BY174" s="97" t="str">
        <f>IF($A174="","",IF($AM174="",1,IFERROR(INDEX('Sublimits and Parts'!$C$91:$C$94,MATCH($AM174,'Sublimits and Parts'!$B$91:$B$94,0)),"?")))</f>
        <v/>
      </c>
      <c r="BZ174" s="97" t="str">
        <f>IF($A174="","",IF($AN174="",1,IFERROR(INDEX('Sublimits and Parts'!$C$98:$C$101,MATCH($AN174,'Sublimits and Parts'!$B$98:$B$101,0)),"?")))</f>
        <v/>
      </c>
      <c r="CA174" s="97" t="str">
        <f>IF($A174="","",IF($AO174="",1,IFERROR(INDEX('Sublimits and Parts'!$C$105:$C$109,MATCH($AO174,'Sublimits and Parts'!$B$105:$B$109,0)),"?")))</f>
        <v/>
      </c>
      <c r="CB174" s="98" t="str">
        <f t="shared" si="28"/>
        <v/>
      </c>
      <c r="CC174" s="98" t="str">
        <f t="shared" si="29"/>
        <v/>
      </c>
      <c r="CD174" s="101" t="str">
        <f>IF($A174="","",IF(OR($CB174="?",$CC174="?"),"?",MIN($CB174*$CC174,'Technical Premium'!$C$17)))</f>
        <v/>
      </c>
      <c r="CE174" s="100" t="str">
        <f t="shared" si="30"/>
        <v/>
      </c>
      <c r="CF174" s="100" t="str">
        <f>IF($A174="","",IFERROR(INDEX('Territory Factors'!$F$6:$F$56,MATCH($K174,'Territory Factors'!$B$6:$B$56,0)),"?"))</f>
        <v/>
      </c>
      <c r="CG174" s="98" t="str">
        <f>IF($A174="","",IFERROR(INDEX('Usage and Coverage'!$C$79:$C$84,MATCH($Y174,'Usage and Coverage'!$B$79:$B$84,0)),"?"))</f>
        <v/>
      </c>
      <c r="CH174" s="100" t="str">
        <f>IFERROR(IF(ISNUMBER($CD174),$CF174*$CG174*MIN($BG174*$BA174*$BC174*$BD174*$BH174*$BF174,'Technical Premium'!$C$17),""),"")</f>
        <v/>
      </c>
      <c r="CI174" s="100" t="str">
        <f t="shared" si="31"/>
        <v/>
      </c>
      <c r="CJ174" s="100" t="str">
        <f>IFERROR($CI174*(1+'Technical Premium'!$C$5)*(1+'Technical Premium'!$C$6),"")</f>
        <v/>
      </c>
      <c r="CK174" s="100" t="str">
        <f>IFERROR($CE174*INDEX('Territory Factors'!$G$6:$G$56,MATCH($K174,'Territory Factors'!$B$6:$B$56,0))*$AU174*$AV174,"")</f>
        <v/>
      </c>
      <c r="CL174" s="100" t="str">
        <f>IFERROR(($CJ174+$CK174)*(1+'Technical Premium'!$C$7),"")</f>
        <v/>
      </c>
      <c r="CM174" s="102" t="str">
        <f>IFERROR($CL174/'Technical Premium'!$C$13,"")</f>
        <v/>
      </c>
      <c r="CN174" s="103" t="str">
        <f t="shared" si="32"/>
        <v/>
      </c>
      <c r="CO174" s="102" t="str">
        <f t="shared" si="33"/>
        <v/>
      </c>
      <c r="CP174" s="103" t="str">
        <f t="shared" si="34"/>
        <v/>
      </c>
      <c r="CQ174" s="104" t="str">
        <f t="shared" si="35"/>
        <v/>
      </c>
      <c r="CR174" s="100" t="str">
        <f>IF(ISNUMBER($CM174),'Technical Premium'!$C$14+IF($J174&gt;=1000000,'Technical Premium'!$C$15,0),"")</f>
        <v/>
      </c>
      <c r="CS174" s="100" t="str">
        <f>IFERROR(($CO174+$CR174)*(INDEX('Territory Factors'!$K$6:$K$56,MATCH($K174,'Territory Factors'!$B$6:$B$56,0))+'Commission Structure'!$C$21),"")</f>
        <v/>
      </c>
      <c r="CT174" s="102" t="str">
        <f t="shared" si="36"/>
        <v/>
      </c>
      <c r="CU174" s="100" t="str">
        <f>IFERROR($CO174*('Commission Structure'!$C$6+'Commission Structure'!$C$7),"")</f>
        <v/>
      </c>
      <c r="CV174" s="100" t="str">
        <f>IFERROR($CO174*'Commission Structure'!$C$5-$CU174,"")</f>
        <v/>
      </c>
      <c r="CW174" s="100" t="str">
        <f>IFERROR($CO174*(1-'Commission Structure'!$C$5),"")</f>
        <v/>
      </c>
      <c r="CX174" s="105" t="str">
        <f>IF($A174="","",IF(OR($CB174="?",$CC174="?",NOT(ISNUMBER($AU174))),"CHECK INPUTS",IF(OR($J174&lt;'Technical Premium'!$C$18,LEFT(IFERROR(INDEX('Driver Factors'!$D$6:$D$15,MATCH($R174,'Driver Factors'!$B$6:$B$15,0)),""),7)="DECLINE",LEFT(IFERROR(INDEX('Driver Factors'!$D$28:$D$36,MATCH($T174,'Driver Factors'!$B$28:$B$36,0)),""),7)="DECLINE",LEFT(IFERROR(INDEX('Claims History'!$D$6:$D$15,MATCH($U174,'Claims History'!$B$6:$B$15,0)),""),7)="DECLINE",LEFT(IFERROR(INDEX('Usage and Coverage'!$E$6:$E$20,MATCH($N174,'Usage and Coverage'!$C$6:$C$20,0)),""),7)="DECLINE"),"DECLINE",IF(OR($CD174&gt;2.5,$CD174&gt;='Technical Premium'!$C$17,$J174&gt;='Technical Premium'!$C$16,N($AQ174)&lt;'Technical Premium'!$C$19,N($AQ174)&gt;'Technical Premium'!$C$20,LEFT(IFERROR(INDEX('Driver Factors'!$D$6:$D$15,MATCH($R174,'Driver Factors'!$B$6:$B$15,0)),""),5)="Refer",LEFT(IFERROR(INDEX('Driver Factors'!$D$28:$D$36,MATCH($T174,'Driver Factors'!$B$28:$B$36,0)),""),5)="Refer",LEFT(IFERROR(INDEX('Claims History'!$D$6:$D$15,MATCH($U174,'Claims History'!$B$6:$B$15,0)),""),5)="Refer",LEFT(IFERROR(INDEX('Usage and Coverage'!$E$6:$E$20,MATCH($N174,'Usage and Coverage'!$C$6:$C$20,0)),""),5)="Refer"),"REFER","AUTO-BIND"))))</f>
        <v/>
      </c>
      <c r="CY174" s="106" t="str">
        <f t="shared" si="37"/>
        <v/>
      </c>
      <c r="CZ174" s="97" t="str">
        <f>IF($CY174="","",IF($CY174&lt;'Technical Premium'!$C$19,"BEYOND AUTHORITY",IF($CY174&gt;0.005,"Above technical",IF($CY174&lt;-0.005,"BELOW technical","At technical"))))</f>
        <v/>
      </c>
      <c r="DA174" s="97" t="str">
        <f>IF($A174="","",IF($CX174="AUTO-BIND","",TRIM(IF($J174&lt;'Technical Premium'!$C$18,"Below programme minimum agreed value. ","")&amp;IF(N($AQ174)&lt;'Technical Premium'!$C$19,"DISCOUNT AUTHORITY BREACH. ","")&amp;IF(N($AQ174)&gt;'Technical Premium'!$C$20,"Load authority breach. ","")&amp;IF($J174&gt;='Technical Premium'!$C$16,"Agreed value at or above auto-bind limit. ","")&amp;IF(AND(ISNUMBER($CD174),$CD174&gt;='Technical Premium'!$C$17),"Composite factor at cap. ","")&amp;IF(AND(ISNUMBER($CD174),$CD174&gt;2.5),"Composite factor above 2.50. ","")&amp;IF(LEFT(IFERROR(INDEX('Driver Factors'!$D$6:$D$15,MATCH($R174,'Driver Factors'!$B$6:$B$15,0)),""),7)="DECLINE","DECLINE - driver age. ",IF(LEFT(IFERROR(INDEX('Driver Factors'!$D$6:$D$15,MATCH($R174,'Driver Factors'!$B$6:$B$15,0)),""),5)="Refer","Driver age band. ",""))&amp;IF(LEFT(IFERROR(INDEX('Driver Factors'!$D$28:$D$36,MATCH($T174,'Driver Factors'!$B$28:$B$36,0)),""),7)="DECLINE","DECLINE - MVR. ",IF(LEFT(IFERROR(INDEX('Driver Factors'!$D$28:$D$36,MATCH($T174,'Driver Factors'!$B$28:$B$36,0)),""),5)="Refer","MVR record. ",""))&amp;IF(LEFT(IFERROR(INDEX('Claims History'!$D$6:$D$15,MATCH($U174,'Claims History'!$B$6:$B$15,0)),""),7)="DECLINE","DECLINE - claims. ",IF(LEFT(IFERROR(INDEX('Claims History'!$D$6:$D$15,MATCH($U174,'Claims History'!$B$6:$B$15,0)),""),5)="Refer","Claims history. ",""))&amp;IF(LEFT(IFERROR(INDEX('Usage and Coverage'!$E$6:$E$20,MATCH($N174,'Usage and Coverage'!$C$6:$C$20,0)),""),7)="DECLINE","DECLINE - usage class. ",IF(LEFT(IFERROR(INDEX('Usage and Coverage'!$E$6:$E$20,MATCH($N174,'Usage and Coverage'!$C$6:$C$20,0)),""),5)="Refer","Usage class. ",""))&amp;IF($CX174="CHECK INPUTS","Incomplete inputs. ",""))))</f>
        <v/>
      </c>
      <c r="DB174" s="92"/>
      <c r="DC174" s="92"/>
      <c r="DD174" s="93"/>
      <c r="DE174" s="92"/>
      <c r="DF174" s="92"/>
      <c r="DG174" s="97" t="str">
        <f t="shared" si="38"/>
        <v/>
      </c>
      <c r="DH174" s="97" t="str">
        <f>IF($A174="","",IF(OR($CX174="REFER",$CX174="DECLINE"),COUNTIF($CX$5:$CX174,"REFER")+COUNTIF($CX$5:$CX174,"DECLINE"),""))</f>
        <v/>
      </c>
      <c r="DI174" s="92"/>
    </row>
    <row r="175" spans="1:113" x14ac:dyDescent="0.25">
      <c r="A175" s="92"/>
      <c r="B175" s="92"/>
      <c r="C175" s="93"/>
      <c r="D175" s="93"/>
      <c r="E175" s="94"/>
      <c r="F175" s="92"/>
      <c r="G175" s="92"/>
      <c r="H175" s="92"/>
      <c r="I175" s="92"/>
      <c r="J175" s="95"/>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6"/>
      <c r="AR175" s="97" t="str">
        <f t="shared" si="26"/>
        <v/>
      </c>
      <c r="AS175" s="97" t="str">
        <f>IF($A175="","",IF($AP175&lt;&gt;"",$AP175,IFERROR(INDEX('Cat Zone by ZIP'!$D$6:$D$856,MATCH($AR175,'Cat Zone by ZIP'!$B$6:$B$856,0)),IFERROR(INDEX('Cat Zone by ZIP'!$C$860:$C$910,MATCH($K175,'Cat Zone by ZIP'!$B$860:$B$910,0)),"NOT FOUND"))))</f>
        <v/>
      </c>
      <c r="AT175" s="97" t="str">
        <f>IF($A175="","",IF($AP175&lt;&gt;"","Override",IF(ISNUMBER(MATCH($AR175,'Cat Zone by ZIP'!$B$6:$B$856,0)),"ZIP-3","State default")))</f>
        <v/>
      </c>
      <c r="AU175" s="98" t="str">
        <f>IF($A175="","",IFERROR(INDEX('Natural Catastrophe'!$D$6:$D$17,MATCH($AS175,'Natural Catastrophe'!$B$6:$B$17,0)),"?"))</f>
        <v/>
      </c>
      <c r="AV175" s="98" t="str">
        <f>IF($A175="","",IFERROR(INDEX('Natural Catastrophe'!$C$21:$C$26,MATCH($AA175,'Natural Catastrophe'!$B$21:$B$26,0)),"?"))</f>
        <v/>
      </c>
      <c r="AW175" s="97" t="str">
        <f>IF($A175="","",IFERROR(INDEX('Base Rates'!$C$4:$I$4,MATCH(MAX($J175,'Technical Premium'!$C$18),'Base Rates'!$C$3:$I$3,1)),"?"))</f>
        <v/>
      </c>
      <c r="AX175" s="99" t="str">
        <f>IF($A175="","",IFERROR(INDEX('Base Rates'!$C$5:$I$16,MATCH($I175,'Base Rates'!$B$5:$B$16,0),MATCH(MAX($J175,'Technical Premium'!$C$18),'Base Rates'!$C$3:$I$3,1)),"?"))</f>
        <v/>
      </c>
      <c r="AY175" s="100" t="str">
        <f t="shared" si="27"/>
        <v/>
      </c>
      <c r="AZ175" s="97" t="str">
        <f>IF($A175="","",IFERROR(INDEX('Make Factors'!$G$5:$G$69,MATCH($F175,'Make Factors'!$B$5:$B$69,0)),"?"))</f>
        <v/>
      </c>
      <c r="BA175" s="97" t="str">
        <f>IF($A175="","",IFERROR(INDEX('Driver Factors'!$C$6:$C$15,MATCH($R175,'Driver Factors'!$B$6:$B$15,0)),"?"))</f>
        <v/>
      </c>
      <c r="BB175" s="97" t="str">
        <f>IF($A175="","",IFERROR(INDEX('Driver Factors'!$C$19:$C$24,MATCH($S175,'Driver Factors'!$B$19:$B$24,0)),"?"))</f>
        <v/>
      </c>
      <c r="BC175" s="97" t="str">
        <f>IF($A175="","",IFERROR(INDEX('Driver Factors'!$C$28:$C$36,MATCH($T175,'Driver Factors'!$B$28:$B$36,0)),"?"))</f>
        <v/>
      </c>
      <c r="BD175" s="97" t="str">
        <f>IF($A175="","",IFERROR(INDEX('Claims History'!$C$6:$C$15,MATCH($U175,'Claims History'!$B$6:$B$15,0)),"?"))</f>
        <v/>
      </c>
      <c r="BE175" s="97" t="str">
        <f>IF($A175="","",IFERROR(INDEX('Territory Factors'!$E$6:$E$56,MATCH($K175,'Territory Factors'!$B$6:$B$56,0)),"?"))</f>
        <v/>
      </c>
      <c r="BF175" s="97" t="str">
        <f>IF($A175="","",IFERROR(INDEX('City Accident Ratings'!$G$6:$G$54,MATCH($Z175,'City Accident Ratings'!$B$6:$B$54,0)),"?"))</f>
        <v/>
      </c>
      <c r="BG175" s="97" t="str">
        <f>IF($A175="","",IFERROR(INDEX('Usage and Coverage'!$D$6:$D$20,MATCH($N175,'Usage and Coverage'!$C$6:$C$20,0)),"?"))</f>
        <v/>
      </c>
      <c r="BH175" s="97" t="str">
        <f>IF($A175="","",IFERROR(INDEX('Usage and Coverage'!$C$24:$C$30,MATCH($O175,'Usage and Coverage'!$B$24:$B$30,0)),"?"))</f>
        <v/>
      </c>
      <c r="BI175" s="97" t="str">
        <f>IF($A175="","",IFERROR(INDEX('Usage and Coverage'!$C$34:$C$40,MATCH($P175,'Usage and Coverage'!$B$34:$B$40,0)),"?"))</f>
        <v/>
      </c>
      <c r="BJ175" s="97" t="str">
        <f>IF($A175="","",IFERROR(INDEX('Usage and Coverage'!$C$44:$C$49,MATCH($Q175,'Usage and Coverage'!$B$44:$B$49,0)),"?"))</f>
        <v/>
      </c>
      <c r="BK175" s="97" t="str">
        <f>IF($A175="","",IFERROR(INDEX(Deductibles!$C$6:$I$15,MATCH($W175,Deductibles!$B$6:$B$15,0),MATCH(MAX($J175,'Technical Premium'!$C$18),'Base Rates'!$C$3:$I$3,1)),"?"))</f>
        <v/>
      </c>
      <c r="BL175" s="97" t="str">
        <f>IF($A175="","",IFERROR(INDEX('Usage and Coverage'!$C$63:$C$66,MATCH($X175,'Usage and Coverage'!$B$63:$B$66,0)),"?"))</f>
        <v/>
      </c>
      <c r="BM175" s="97" t="str">
        <f>IF($A175="","",IFERROR(INDEX('Usage and Coverage'!$C$70:$C$75,MATCH($V175,'Usage and Coverage'!$B$70:$B$75,0)),"?"))</f>
        <v/>
      </c>
      <c r="BN175" s="97" t="str">
        <f>IF($A175="","",IF($AB175="",1,IFERROR(INDEX(Deductibles!$C$48:$C$51,MATCH($AB175,Deductibles!$B$48:$B$51,0)),"?")))</f>
        <v/>
      </c>
      <c r="BO175" s="97" t="str">
        <f>IF($A175="","",IF($AC175="",1,IFERROR(INDEX(Deductibles!$C$55:$C$57,MATCH($AC175,Deductibles!$B$55:$B$57,0)),"?")))</f>
        <v/>
      </c>
      <c r="BP175" s="97" t="str">
        <f>IF($A175="","",IF($AD175="",1,IFERROR(INDEX(Deductibles!$C$61:$C$63,MATCH($AD175,Deductibles!$B$61:$B$63,0)),"?")))</f>
        <v/>
      </c>
      <c r="BQ175" s="97" t="str">
        <f>IF($A175="","",IF($AE175="",1,IFERROR(INDEX(Deductibles!$C$67:$C$69,MATCH($AE175,Deductibles!$B$67:$B$69,0)),"?")))</f>
        <v/>
      </c>
      <c r="BR175" s="97" t="str">
        <f>IF($A175="","",IF($AF175="",1,IFERROR(INDEX(Deductibles!$C$73:$C$74,MATCH($AF175,Deductibles!$B$73:$B$74,0)),"?")))</f>
        <v/>
      </c>
      <c r="BS175" s="97" t="str">
        <f>IF($A175="","",IF($AG175="",1,IFERROR(INDEX('Sublimits and Parts'!$C$49:$C$52,MATCH($AG175,'Sublimits and Parts'!$B$49:$B$52,0)),"?")))</f>
        <v/>
      </c>
      <c r="BT175" s="97" t="str">
        <f>IF($A175="","",IF($AH175="",1,IFERROR(INDEX('Sublimits and Parts'!$C$56:$C$60,MATCH($AH175,'Sublimits and Parts'!$B$56:$B$60,0)),"?")))</f>
        <v/>
      </c>
      <c r="BU175" s="97" t="str">
        <f>IF($A175="","",IF($AI175="",1,IFERROR(INDEX('Sublimits and Parts'!$C$64:$C$67,MATCH($AI175,'Sublimits and Parts'!$B$64:$B$67,0)),"?")))</f>
        <v/>
      </c>
      <c r="BV175" s="97" t="str">
        <f>IF($A175="","",IF($AJ175="",1,IFERROR(INDEX('Sublimits and Parts'!$C$71:$C$74,MATCH($AJ175,'Sublimits and Parts'!$B$71:$B$74,0)),"?")))</f>
        <v/>
      </c>
      <c r="BW175" s="97" t="str">
        <f>IF($A175="","",IF($AK175="",1,IFERROR(INDEX('Sublimits and Parts'!$C$78:$C$80,MATCH($AK175,'Sublimits and Parts'!$B$78:$B$80,0)),"?")))</f>
        <v/>
      </c>
      <c r="BX175" s="97" t="str">
        <f>IF($A175="","",IF($AL175="",1,IFERROR(INDEX('Sublimits and Parts'!$C$84:$C$87,MATCH($AL175,'Sublimits and Parts'!$B$84:$B$87,0)),"?")))</f>
        <v/>
      </c>
      <c r="BY175" s="97" t="str">
        <f>IF($A175="","",IF($AM175="",1,IFERROR(INDEX('Sublimits and Parts'!$C$91:$C$94,MATCH($AM175,'Sublimits and Parts'!$B$91:$B$94,0)),"?")))</f>
        <v/>
      </c>
      <c r="BZ175" s="97" t="str">
        <f>IF($A175="","",IF($AN175="",1,IFERROR(INDEX('Sublimits and Parts'!$C$98:$C$101,MATCH($AN175,'Sublimits and Parts'!$B$98:$B$101,0)),"?")))</f>
        <v/>
      </c>
      <c r="CA175" s="97" t="str">
        <f>IF($A175="","",IF($AO175="",1,IFERROR(INDEX('Sublimits and Parts'!$C$105:$C$109,MATCH($AO175,'Sublimits and Parts'!$B$105:$B$109,0)),"?")))</f>
        <v/>
      </c>
      <c r="CB175" s="98" t="str">
        <f t="shared" si="28"/>
        <v/>
      </c>
      <c r="CC175" s="98" t="str">
        <f t="shared" si="29"/>
        <v/>
      </c>
      <c r="CD175" s="101" t="str">
        <f>IF($A175="","",IF(OR($CB175="?",$CC175="?"),"?",MIN($CB175*$CC175,'Technical Premium'!$C$17)))</f>
        <v/>
      </c>
      <c r="CE175" s="100" t="str">
        <f t="shared" si="30"/>
        <v/>
      </c>
      <c r="CF175" s="100" t="str">
        <f>IF($A175="","",IFERROR(INDEX('Territory Factors'!$F$6:$F$56,MATCH($K175,'Territory Factors'!$B$6:$B$56,0)),"?"))</f>
        <v/>
      </c>
      <c r="CG175" s="98" t="str">
        <f>IF($A175="","",IFERROR(INDEX('Usage and Coverage'!$C$79:$C$84,MATCH($Y175,'Usage and Coverage'!$B$79:$B$84,0)),"?"))</f>
        <v/>
      </c>
      <c r="CH175" s="100" t="str">
        <f>IFERROR(IF(ISNUMBER($CD175),$CF175*$CG175*MIN($BG175*$BA175*$BC175*$BD175*$BH175*$BF175,'Technical Premium'!$C$17),""),"")</f>
        <v/>
      </c>
      <c r="CI175" s="100" t="str">
        <f t="shared" si="31"/>
        <v/>
      </c>
      <c r="CJ175" s="100" t="str">
        <f>IFERROR($CI175*(1+'Technical Premium'!$C$5)*(1+'Technical Premium'!$C$6),"")</f>
        <v/>
      </c>
      <c r="CK175" s="100" t="str">
        <f>IFERROR($CE175*INDEX('Territory Factors'!$G$6:$G$56,MATCH($K175,'Territory Factors'!$B$6:$B$56,0))*$AU175*$AV175,"")</f>
        <v/>
      </c>
      <c r="CL175" s="100" t="str">
        <f>IFERROR(($CJ175+$CK175)*(1+'Technical Premium'!$C$7),"")</f>
        <v/>
      </c>
      <c r="CM175" s="102" t="str">
        <f>IFERROR($CL175/'Technical Premium'!$C$13,"")</f>
        <v/>
      </c>
      <c r="CN175" s="103" t="str">
        <f t="shared" si="32"/>
        <v/>
      </c>
      <c r="CO175" s="102" t="str">
        <f t="shared" si="33"/>
        <v/>
      </c>
      <c r="CP175" s="103" t="str">
        <f t="shared" si="34"/>
        <v/>
      </c>
      <c r="CQ175" s="104" t="str">
        <f t="shared" si="35"/>
        <v/>
      </c>
      <c r="CR175" s="100" t="str">
        <f>IF(ISNUMBER($CM175),'Technical Premium'!$C$14+IF($J175&gt;=1000000,'Technical Premium'!$C$15,0),"")</f>
        <v/>
      </c>
      <c r="CS175" s="100" t="str">
        <f>IFERROR(($CO175+$CR175)*(INDEX('Territory Factors'!$K$6:$K$56,MATCH($K175,'Territory Factors'!$B$6:$B$56,0))+'Commission Structure'!$C$21),"")</f>
        <v/>
      </c>
      <c r="CT175" s="102" t="str">
        <f t="shared" si="36"/>
        <v/>
      </c>
      <c r="CU175" s="100" t="str">
        <f>IFERROR($CO175*('Commission Structure'!$C$6+'Commission Structure'!$C$7),"")</f>
        <v/>
      </c>
      <c r="CV175" s="100" t="str">
        <f>IFERROR($CO175*'Commission Structure'!$C$5-$CU175,"")</f>
        <v/>
      </c>
      <c r="CW175" s="100" t="str">
        <f>IFERROR($CO175*(1-'Commission Structure'!$C$5),"")</f>
        <v/>
      </c>
      <c r="CX175" s="105" t="str">
        <f>IF($A175="","",IF(OR($CB175="?",$CC175="?",NOT(ISNUMBER($AU175))),"CHECK INPUTS",IF(OR($J175&lt;'Technical Premium'!$C$18,LEFT(IFERROR(INDEX('Driver Factors'!$D$6:$D$15,MATCH($R175,'Driver Factors'!$B$6:$B$15,0)),""),7)="DECLINE",LEFT(IFERROR(INDEX('Driver Factors'!$D$28:$D$36,MATCH($T175,'Driver Factors'!$B$28:$B$36,0)),""),7)="DECLINE",LEFT(IFERROR(INDEX('Claims History'!$D$6:$D$15,MATCH($U175,'Claims History'!$B$6:$B$15,0)),""),7)="DECLINE",LEFT(IFERROR(INDEX('Usage and Coverage'!$E$6:$E$20,MATCH($N175,'Usage and Coverage'!$C$6:$C$20,0)),""),7)="DECLINE"),"DECLINE",IF(OR($CD175&gt;2.5,$CD175&gt;='Technical Premium'!$C$17,$J175&gt;='Technical Premium'!$C$16,N($AQ175)&lt;'Technical Premium'!$C$19,N($AQ175)&gt;'Technical Premium'!$C$20,LEFT(IFERROR(INDEX('Driver Factors'!$D$6:$D$15,MATCH($R175,'Driver Factors'!$B$6:$B$15,0)),""),5)="Refer",LEFT(IFERROR(INDEX('Driver Factors'!$D$28:$D$36,MATCH($T175,'Driver Factors'!$B$28:$B$36,0)),""),5)="Refer",LEFT(IFERROR(INDEX('Claims History'!$D$6:$D$15,MATCH($U175,'Claims History'!$B$6:$B$15,0)),""),5)="Refer",LEFT(IFERROR(INDEX('Usage and Coverage'!$E$6:$E$20,MATCH($N175,'Usage and Coverage'!$C$6:$C$20,0)),""),5)="Refer"),"REFER","AUTO-BIND"))))</f>
        <v/>
      </c>
      <c r="CY175" s="106" t="str">
        <f t="shared" si="37"/>
        <v/>
      </c>
      <c r="CZ175" s="97" t="str">
        <f>IF($CY175="","",IF($CY175&lt;'Technical Premium'!$C$19,"BEYOND AUTHORITY",IF($CY175&gt;0.005,"Above technical",IF($CY175&lt;-0.005,"BELOW technical","At technical"))))</f>
        <v/>
      </c>
      <c r="DA175" s="97" t="str">
        <f>IF($A175="","",IF($CX175="AUTO-BIND","",TRIM(IF($J175&lt;'Technical Premium'!$C$18,"Below programme minimum agreed value. ","")&amp;IF(N($AQ175)&lt;'Technical Premium'!$C$19,"DISCOUNT AUTHORITY BREACH. ","")&amp;IF(N($AQ175)&gt;'Technical Premium'!$C$20,"Load authority breach. ","")&amp;IF($J175&gt;='Technical Premium'!$C$16,"Agreed value at or above auto-bind limit. ","")&amp;IF(AND(ISNUMBER($CD175),$CD175&gt;='Technical Premium'!$C$17),"Composite factor at cap. ","")&amp;IF(AND(ISNUMBER($CD175),$CD175&gt;2.5),"Composite factor above 2.50. ","")&amp;IF(LEFT(IFERROR(INDEX('Driver Factors'!$D$6:$D$15,MATCH($R175,'Driver Factors'!$B$6:$B$15,0)),""),7)="DECLINE","DECLINE - driver age. ",IF(LEFT(IFERROR(INDEX('Driver Factors'!$D$6:$D$15,MATCH($R175,'Driver Factors'!$B$6:$B$15,0)),""),5)="Refer","Driver age band. ",""))&amp;IF(LEFT(IFERROR(INDEX('Driver Factors'!$D$28:$D$36,MATCH($T175,'Driver Factors'!$B$28:$B$36,0)),""),7)="DECLINE","DECLINE - MVR. ",IF(LEFT(IFERROR(INDEX('Driver Factors'!$D$28:$D$36,MATCH($T175,'Driver Factors'!$B$28:$B$36,0)),""),5)="Refer","MVR record. ",""))&amp;IF(LEFT(IFERROR(INDEX('Claims History'!$D$6:$D$15,MATCH($U175,'Claims History'!$B$6:$B$15,0)),""),7)="DECLINE","DECLINE - claims. ",IF(LEFT(IFERROR(INDEX('Claims History'!$D$6:$D$15,MATCH($U175,'Claims History'!$B$6:$B$15,0)),""),5)="Refer","Claims history. ",""))&amp;IF(LEFT(IFERROR(INDEX('Usage and Coverage'!$E$6:$E$20,MATCH($N175,'Usage and Coverage'!$C$6:$C$20,0)),""),7)="DECLINE","DECLINE - usage class. ",IF(LEFT(IFERROR(INDEX('Usage and Coverage'!$E$6:$E$20,MATCH($N175,'Usage and Coverage'!$C$6:$C$20,0)),""),5)="Refer","Usage class. ",""))&amp;IF($CX175="CHECK INPUTS","Incomplete inputs. ",""))))</f>
        <v/>
      </c>
      <c r="DB175" s="92"/>
      <c r="DC175" s="92"/>
      <c r="DD175" s="93"/>
      <c r="DE175" s="92"/>
      <c r="DF175" s="92"/>
      <c r="DG175" s="97" t="str">
        <f t="shared" si="38"/>
        <v/>
      </c>
      <c r="DH175" s="97" t="str">
        <f>IF($A175="","",IF(OR($CX175="REFER",$CX175="DECLINE"),COUNTIF($CX$5:$CX175,"REFER")+COUNTIF($CX$5:$CX175,"DECLINE"),""))</f>
        <v/>
      </c>
      <c r="DI175" s="92"/>
    </row>
    <row r="176" spans="1:113" x14ac:dyDescent="0.25">
      <c r="A176" s="92"/>
      <c r="B176" s="92"/>
      <c r="C176" s="93"/>
      <c r="D176" s="93"/>
      <c r="E176" s="94"/>
      <c r="F176" s="92"/>
      <c r="G176" s="92"/>
      <c r="H176" s="92"/>
      <c r="I176" s="92"/>
      <c r="J176" s="95"/>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6"/>
      <c r="AR176" s="97" t="str">
        <f t="shared" si="26"/>
        <v/>
      </c>
      <c r="AS176" s="97" t="str">
        <f>IF($A176="","",IF($AP176&lt;&gt;"",$AP176,IFERROR(INDEX('Cat Zone by ZIP'!$D$6:$D$856,MATCH($AR176,'Cat Zone by ZIP'!$B$6:$B$856,0)),IFERROR(INDEX('Cat Zone by ZIP'!$C$860:$C$910,MATCH($K176,'Cat Zone by ZIP'!$B$860:$B$910,0)),"NOT FOUND"))))</f>
        <v/>
      </c>
      <c r="AT176" s="97" t="str">
        <f>IF($A176="","",IF($AP176&lt;&gt;"","Override",IF(ISNUMBER(MATCH($AR176,'Cat Zone by ZIP'!$B$6:$B$856,0)),"ZIP-3","State default")))</f>
        <v/>
      </c>
      <c r="AU176" s="98" t="str">
        <f>IF($A176="","",IFERROR(INDEX('Natural Catastrophe'!$D$6:$D$17,MATCH($AS176,'Natural Catastrophe'!$B$6:$B$17,0)),"?"))</f>
        <v/>
      </c>
      <c r="AV176" s="98" t="str">
        <f>IF($A176="","",IFERROR(INDEX('Natural Catastrophe'!$C$21:$C$26,MATCH($AA176,'Natural Catastrophe'!$B$21:$B$26,0)),"?"))</f>
        <v/>
      </c>
      <c r="AW176" s="97" t="str">
        <f>IF($A176="","",IFERROR(INDEX('Base Rates'!$C$4:$I$4,MATCH(MAX($J176,'Technical Premium'!$C$18),'Base Rates'!$C$3:$I$3,1)),"?"))</f>
        <v/>
      </c>
      <c r="AX176" s="99" t="str">
        <f>IF($A176="","",IFERROR(INDEX('Base Rates'!$C$5:$I$16,MATCH($I176,'Base Rates'!$B$5:$B$16,0),MATCH(MAX($J176,'Technical Premium'!$C$18),'Base Rates'!$C$3:$I$3,1)),"?"))</f>
        <v/>
      </c>
      <c r="AY176" s="100" t="str">
        <f t="shared" si="27"/>
        <v/>
      </c>
      <c r="AZ176" s="97" t="str">
        <f>IF($A176="","",IFERROR(INDEX('Make Factors'!$G$5:$G$69,MATCH($F176,'Make Factors'!$B$5:$B$69,0)),"?"))</f>
        <v/>
      </c>
      <c r="BA176" s="97" t="str">
        <f>IF($A176="","",IFERROR(INDEX('Driver Factors'!$C$6:$C$15,MATCH($R176,'Driver Factors'!$B$6:$B$15,0)),"?"))</f>
        <v/>
      </c>
      <c r="BB176" s="97" t="str">
        <f>IF($A176="","",IFERROR(INDEX('Driver Factors'!$C$19:$C$24,MATCH($S176,'Driver Factors'!$B$19:$B$24,0)),"?"))</f>
        <v/>
      </c>
      <c r="BC176" s="97" t="str">
        <f>IF($A176="","",IFERROR(INDEX('Driver Factors'!$C$28:$C$36,MATCH($T176,'Driver Factors'!$B$28:$B$36,0)),"?"))</f>
        <v/>
      </c>
      <c r="BD176" s="97" t="str">
        <f>IF($A176="","",IFERROR(INDEX('Claims History'!$C$6:$C$15,MATCH($U176,'Claims History'!$B$6:$B$15,0)),"?"))</f>
        <v/>
      </c>
      <c r="BE176" s="97" t="str">
        <f>IF($A176="","",IFERROR(INDEX('Territory Factors'!$E$6:$E$56,MATCH($K176,'Territory Factors'!$B$6:$B$56,0)),"?"))</f>
        <v/>
      </c>
      <c r="BF176" s="97" t="str">
        <f>IF($A176="","",IFERROR(INDEX('City Accident Ratings'!$G$6:$G$54,MATCH($Z176,'City Accident Ratings'!$B$6:$B$54,0)),"?"))</f>
        <v/>
      </c>
      <c r="BG176" s="97" t="str">
        <f>IF($A176="","",IFERROR(INDEX('Usage and Coverage'!$D$6:$D$20,MATCH($N176,'Usage and Coverage'!$C$6:$C$20,0)),"?"))</f>
        <v/>
      </c>
      <c r="BH176" s="97" t="str">
        <f>IF($A176="","",IFERROR(INDEX('Usage and Coverage'!$C$24:$C$30,MATCH($O176,'Usage and Coverage'!$B$24:$B$30,0)),"?"))</f>
        <v/>
      </c>
      <c r="BI176" s="97" t="str">
        <f>IF($A176="","",IFERROR(INDEX('Usage and Coverage'!$C$34:$C$40,MATCH($P176,'Usage and Coverage'!$B$34:$B$40,0)),"?"))</f>
        <v/>
      </c>
      <c r="BJ176" s="97" t="str">
        <f>IF($A176="","",IFERROR(INDEX('Usage and Coverage'!$C$44:$C$49,MATCH($Q176,'Usage and Coverage'!$B$44:$B$49,0)),"?"))</f>
        <v/>
      </c>
      <c r="BK176" s="97" t="str">
        <f>IF($A176="","",IFERROR(INDEX(Deductibles!$C$6:$I$15,MATCH($W176,Deductibles!$B$6:$B$15,0),MATCH(MAX($J176,'Technical Premium'!$C$18),'Base Rates'!$C$3:$I$3,1)),"?"))</f>
        <v/>
      </c>
      <c r="BL176" s="97" t="str">
        <f>IF($A176="","",IFERROR(INDEX('Usage and Coverage'!$C$63:$C$66,MATCH($X176,'Usage and Coverage'!$B$63:$B$66,0)),"?"))</f>
        <v/>
      </c>
      <c r="BM176" s="97" t="str">
        <f>IF($A176="","",IFERROR(INDEX('Usage and Coverage'!$C$70:$C$75,MATCH($V176,'Usage and Coverage'!$B$70:$B$75,0)),"?"))</f>
        <v/>
      </c>
      <c r="BN176" s="97" t="str">
        <f>IF($A176="","",IF($AB176="",1,IFERROR(INDEX(Deductibles!$C$48:$C$51,MATCH($AB176,Deductibles!$B$48:$B$51,0)),"?")))</f>
        <v/>
      </c>
      <c r="BO176" s="97" t="str">
        <f>IF($A176="","",IF($AC176="",1,IFERROR(INDEX(Deductibles!$C$55:$C$57,MATCH($AC176,Deductibles!$B$55:$B$57,0)),"?")))</f>
        <v/>
      </c>
      <c r="BP176" s="97" t="str">
        <f>IF($A176="","",IF($AD176="",1,IFERROR(INDEX(Deductibles!$C$61:$C$63,MATCH($AD176,Deductibles!$B$61:$B$63,0)),"?")))</f>
        <v/>
      </c>
      <c r="BQ176" s="97" t="str">
        <f>IF($A176="","",IF($AE176="",1,IFERROR(INDEX(Deductibles!$C$67:$C$69,MATCH($AE176,Deductibles!$B$67:$B$69,0)),"?")))</f>
        <v/>
      </c>
      <c r="BR176" s="97" t="str">
        <f>IF($A176="","",IF($AF176="",1,IFERROR(INDEX(Deductibles!$C$73:$C$74,MATCH($AF176,Deductibles!$B$73:$B$74,0)),"?")))</f>
        <v/>
      </c>
      <c r="BS176" s="97" t="str">
        <f>IF($A176="","",IF($AG176="",1,IFERROR(INDEX('Sublimits and Parts'!$C$49:$C$52,MATCH($AG176,'Sublimits and Parts'!$B$49:$B$52,0)),"?")))</f>
        <v/>
      </c>
      <c r="BT176" s="97" t="str">
        <f>IF($A176="","",IF($AH176="",1,IFERROR(INDEX('Sublimits and Parts'!$C$56:$C$60,MATCH($AH176,'Sublimits and Parts'!$B$56:$B$60,0)),"?")))</f>
        <v/>
      </c>
      <c r="BU176" s="97" t="str">
        <f>IF($A176="","",IF($AI176="",1,IFERROR(INDEX('Sublimits and Parts'!$C$64:$C$67,MATCH($AI176,'Sublimits and Parts'!$B$64:$B$67,0)),"?")))</f>
        <v/>
      </c>
      <c r="BV176" s="97" t="str">
        <f>IF($A176="","",IF($AJ176="",1,IFERROR(INDEX('Sublimits and Parts'!$C$71:$C$74,MATCH($AJ176,'Sublimits and Parts'!$B$71:$B$74,0)),"?")))</f>
        <v/>
      </c>
      <c r="BW176" s="97" t="str">
        <f>IF($A176="","",IF($AK176="",1,IFERROR(INDEX('Sublimits and Parts'!$C$78:$C$80,MATCH($AK176,'Sublimits and Parts'!$B$78:$B$80,0)),"?")))</f>
        <v/>
      </c>
      <c r="BX176" s="97" t="str">
        <f>IF($A176="","",IF($AL176="",1,IFERROR(INDEX('Sublimits and Parts'!$C$84:$C$87,MATCH($AL176,'Sublimits and Parts'!$B$84:$B$87,0)),"?")))</f>
        <v/>
      </c>
      <c r="BY176" s="97" t="str">
        <f>IF($A176="","",IF($AM176="",1,IFERROR(INDEX('Sublimits and Parts'!$C$91:$C$94,MATCH($AM176,'Sublimits and Parts'!$B$91:$B$94,0)),"?")))</f>
        <v/>
      </c>
      <c r="BZ176" s="97" t="str">
        <f>IF($A176="","",IF($AN176="",1,IFERROR(INDEX('Sublimits and Parts'!$C$98:$C$101,MATCH($AN176,'Sublimits and Parts'!$B$98:$B$101,0)),"?")))</f>
        <v/>
      </c>
      <c r="CA176" s="97" t="str">
        <f>IF($A176="","",IF($AO176="",1,IFERROR(INDEX('Sublimits and Parts'!$C$105:$C$109,MATCH($AO176,'Sublimits and Parts'!$B$105:$B$109,0)),"?")))</f>
        <v/>
      </c>
      <c r="CB176" s="98" t="str">
        <f t="shared" si="28"/>
        <v/>
      </c>
      <c r="CC176" s="98" t="str">
        <f t="shared" si="29"/>
        <v/>
      </c>
      <c r="CD176" s="101" t="str">
        <f>IF($A176="","",IF(OR($CB176="?",$CC176="?"),"?",MIN($CB176*$CC176,'Technical Premium'!$C$17)))</f>
        <v/>
      </c>
      <c r="CE176" s="100" t="str">
        <f t="shared" si="30"/>
        <v/>
      </c>
      <c r="CF176" s="100" t="str">
        <f>IF($A176="","",IFERROR(INDEX('Territory Factors'!$F$6:$F$56,MATCH($K176,'Territory Factors'!$B$6:$B$56,0)),"?"))</f>
        <v/>
      </c>
      <c r="CG176" s="98" t="str">
        <f>IF($A176="","",IFERROR(INDEX('Usage and Coverage'!$C$79:$C$84,MATCH($Y176,'Usage and Coverage'!$B$79:$B$84,0)),"?"))</f>
        <v/>
      </c>
      <c r="CH176" s="100" t="str">
        <f>IFERROR(IF(ISNUMBER($CD176),$CF176*$CG176*MIN($BG176*$BA176*$BC176*$BD176*$BH176*$BF176,'Technical Premium'!$C$17),""),"")</f>
        <v/>
      </c>
      <c r="CI176" s="100" t="str">
        <f t="shared" si="31"/>
        <v/>
      </c>
      <c r="CJ176" s="100" t="str">
        <f>IFERROR($CI176*(1+'Technical Premium'!$C$5)*(1+'Technical Premium'!$C$6),"")</f>
        <v/>
      </c>
      <c r="CK176" s="100" t="str">
        <f>IFERROR($CE176*INDEX('Territory Factors'!$G$6:$G$56,MATCH($K176,'Territory Factors'!$B$6:$B$56,0))*$AU176*$AV176,"")</f>
        <v/>
      </c>
      <c r="CL176" s="100" t="str">
        <f>IFERROR(($CJ176+$CK176)*(1+'Technical Premium'!$C$7),"")</f>
        <v/>
      </c>
      <c r="CM176" s="102" t="str">
        <f>IFERROR($CL176/'Technical Premium'!$C$13,"")</f>
        <v/>
      </c>
      <c r="CN176" s="103" t="str">
        <f t="shared" si="32"/>
        <v/>
      </c>
      <c r="CO176" s="102" t="str">
        <f t="shared" si="33"/>
        <v/>
      </c>
      <c r="CP176" s="103" t="str">
        <f t="shared" si="34"/>
        <v/>
      </c>
      <c r="CQ176" s="104" t="str">
        <f t="shared" si="35"/>
        <v/>
      </c>
      <c r="CR176" s="100" t="str">
        <f>IF(ISNUMBER($CM176),'Technical Premium'!$C$14+IF($J176&gt;=1000000,'Technical Premium'!$C$15,0),"")</f>
        <v/>
      </c>
      <c r="CS176" s="100" t="str">
        <f>IFERROR(($CO176+$CR176)*(INDEX('Territory Factors'!$K$6:$K$56,MATCH($K176,'Territory Factors'!$B$6:$B$56,0))+'Commission Structure'!$C$21),"")</f>
        <v/>
      </c>
      <c r="CT176" s="102" t="str">
        <f t="shared" si="36"/>
        <v/>
      </c>
      <c r="CU176" s="100" t="str">
        <f>IFERROR($CO176*('Commission Structure'!$C$6+'Commission Structure'!$C$7),"")</f>
        <v/>
      </c>
      <c r="CV176" s="100" t="str">
        <f>IFERROR($CO176*'Commission Structure'!$C$5-$CU176,"")</f>
        <v/>
      </c>
      <c r="CW176" s="100" t="str">
        <f>IFERROR($CO176*(1-'Commission Structure'!$C$5),"")</f>
        <v/>
      </c>
      <c r="CX176" s="105" t="str">
        <f>IF($A176="","",IF(OR($CB176="?",$CC176="?",NOT(ISNUMBER($AU176))),"CHECK INPUTS",IF(OR($J176&lt;'Technical Premium'!$C$18,LEFT(IFERROR(INDEX('Driver Factors'!$D$6:$D$15,MATCH($R176,'Driver Factors'!$B$6:$B$15,0)),""),7)="DECLINE",LEFT(IFERROR(INDEX('Driver Factors'!$D$28:$D$36,MATCH($T176,'Driver Factors'!$B$28:$B$36,0)),""),7)="DECLINE",LEFT(IFERROR(INDEX('Claims History'!$D$6:$D$15,MATCH($U176,'Claims History'!$B$6:$B$15,0)),""),7)="DECLINE",LEFT(IFERROR(INDEX('Usage and Coverage'!$E$6:$E$20,MATCH($N176,'Usage and Coverage'!$C$6:$C$20,0)),""),7)="DECLINE"),"DECLINE",IF(OR($CD176&gt;2.5,$CD176&gt;='Technical Premium'!$C$17,$J176&gt;='Technical Premium'!$C$16,N($AQ176)&lt;'Technical Premium'!$C$19,N($AQ176)&gt;'Technical Premium'!$C$20,LEFT(IFERROR(INDEX('Driver Factors'!$D$6:$D$15,MATCH($R176,'Driver Factors'!$B$6:$B$15,0)),""),5)="Refer",LEFT(IFERROR(INDEX('Driver Factors'!$D$28:$D$36,MATCH($T176,'Driver Factors'!$B$28:$B$36,0)),""),5)="Refer",LEFT(IFERROR(INDEX('Claims History'!$D$6:$D$15,MATCH($U176,'Claims History'!$B$6:$B$15,0)),""),5)="Refer",LEFT(IFERROR(INDEX('Usage and Coverage'!$E$6:$E$20,MATCH($N176,'Usage and Coverage'!$C$6:$C$20,0)),""),5)="Refer"),"REFER","AUTO-BIND"))))</f>
        <v/>
      </c>
      <c r="CY176" s="106" t="str">
        <f t="shared" si="37"/>
        <v/>
      </c>
      <c r="CZ176" s="97" t="str">
        <f>IF($CY176="","",IF($CY176&lt;'Technical Premium'!$C$19,"BEYOND AUTHORITY",IF($CY176&gt;0.005,"Above technical",IF($CY176&lt;-0.005,"BELOW technical","At technical"))))</f>
        <v/>
      </c>
      <c r="DA176" s="97" t="str">
        <f>IF($A176="","",IF($CX176="AUTO-BIND","",TRIM(IF($J176&lt;'Technical Premium'!$C$18,"Below programme minimum agreed value. ","")&amp;IF(N($AQ176)&lt;'Technical Premium'!$C$19,"DISCOUNT AUTHORITY BREACH. ","")&amp;IF(N($AQ176)&gt;'Technical Premium'!$C$20,"Load authority breach. ","")&amp;IF($J176&gt;='Technical Premium'!$C$16,"Agreed value at or above auto-bind limit. ","")&amp;IF(AND(ISNUMBER($CD176),$CD176&gt;='Technical Premium'!$C$17),"Composite factor at cap. ","")&amp;IF(AND(ISNUMBER($CD176),$CD176&gt;2.5),"Composite factor above 2.50. ","")&amp;IF(LEFT(IFERROR(INDEX('Driver Factors'!$D$6:$D$15,MATCH($R176,'Driver Factors'!$B$6:$B$15,0)),""),7)="DECLINE","DECLINE - driver age. ",IF(LEFT(IFERROR(INDEX('Driver Factors'!$D$6:$D$15,MATCH($R176,'Driver Factors'!$B$6:$B$15,0)),""),5)="Refer","Driver age band. ",""))&amp;IF(LEFT(IFERROR(INDEX('Driver Factors'!$D$28:$D$36,MATCH($T176,'Driver Factors'!$B$28:$B$36,0)),""),7)="DECLINE","DECLINE - MVR. ",IF(LEFT(IFERROR(INDEX('Driver Factors'!$D$28:$D$36,MATCH($T176,'Driver Factors'!$B$28:$B$36,0)),""),5)="Refer","MVR record. ",""))&amp;IF(LEFT(IFERROR(INDEX('Claims History'!$D$6:$D$15,MATCH($U176,'Claims History'!$B$6:$B$15,0)),""),7)="DECLINE","DECLINE - claims. ",IF(LEFT(IFERROR(INDEX('Claims History'!$D$6:$D$15,MATCH($U176,'Claims History'!$B$6:$B$15,0)),""),5)="Refer","Claims history. ",""))&amp;IF(LEFT(IFERROR(INDEX('Usage and Coverage'!$E$6:$E$20,MATCH($N176,'Usage and Coverage'!$C$6:$C$20,0)),""),7)="DECLINE","DECLINE - usage class. ",IF(LEFT(IFERROR(INDEX('Usage and Coverage'!$E$6:$E$20,MATCH($N176,'Usage and Coverage'!$C$6:$C$20,0)),""),5)="Refer","Usage class. ",""))&amp;IF($CX176="CHECK INPUTS","Incomplete inputs. ",""))))</f>
        <v/>
      </c>
      <c r="DB176" s="92"/>
      <c r="DC176" s="92"/>
      <c r="DD176" s="93"/>
      <c r="DE176" s="92"/>
      <c r="DF176" s="92"/>
      <c r="DG176" s="97" t="str">
        <f t="shared" si="38"/>
        <v/>
      </c>
      <c r="DH176" s="97" t="str">
        <f>IF($A176="","",IF(OR($CX176="REFER",$CX176="DECLINE"),COUNTIF($CX$5:$CX176,"REFER")+COUNTIF($CX$5:$CX176,"DECLINE"),""))</f>
        <v/>
      </c>
      <c r="DI176" s="92"/>
    </row>
    <row r="177" spans="1:113" x14ac:dyDescent="0.25">
      <c r="A177" s="92"/>
      <c r="B177" s="92"/>
      <c r="C177" s="93"/>
      <c r="D177" s="93"/>
      <c r="E177" s="94"/>
      <c r="F177" s="92"/>
      <c r="G177" s="92"/>
      <c r="H177" s="92"/>
      <c r="I177" s="92"/>
      <c r="J177" s="95"/>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6"/>
      <c r="AR177" s="97" t="str">
        <f t="shared" si="26"/>
        <v/>
      </c>
      <c r="AS177" s="97" t="str">
        <f>IF($A177="","",IF($AP177&lt;&gt;"",$AP177,IFERROR(INDEX('Cat Zone by ZIP'!$D$6:$D$856,MATCH($AR177,'Cat Zone by ZIP'!$B$6:$B$856,0)),IFERROR(INDEX('Cat Zone by ZIP'!$C$860:$C$910,MATCH($K177,'Cat Zone by ZIP'!$B$860:$B$910,0)),"NOT FOUND"))))</f>
        <v/>
      </c>
      <c r="AT177" s="97" t="str">
        <f>IF($A177="","",IF($AP177&lt;&gt;"","Override",IF(ISNUMBER(MATCH($AR177,'Cat Zone by ZIP'!$B$6:$B$856,0)),"ZIP-3","State default")))</f>
        <v/>
      </c>
      <c r="AU177" s="98" t="str">
        <f>IF($A177="","",IFERROR(INDEX('Natural Catastrophe'!$D$6:$D$17,MATCH($AS177,'Natural Catastrophe'!$B$6:$B$17,0)),"?"))</f>
        <v/>
      </c>
      <c r="AV177" s="98" t="str">
        <f>IF($A177="","",IFERROR(INDEX('Natural Catastrophe'!$C$21:$C$26,MATCH($AA177,'Natural Catastrophe'!$B$21:$B$26,0)),"?"))</f>
        <v/>
      </c>
      <c r="AW177" s="97" t="str">
        <f>IF($A177="","",IFERROR(INDEX('Base Rates'!$C$4:$I$4,MATCH(MAX($J177,'Technical Premium'!$C$18),'Base Rates'!$C$3:$I$3,1)),"?"))</f>
        <v/>
      </c>
      <c r="AX177" s="99" t="str">
        <f>IF($A177="","",IFERROR(INDEX('Base Rates'!$C$5:$I$16,MATCH($I177,'Base Rates'!$B$5:$B$16,0),MATCH(MAX($J177,'Technical Premium'!$C$18),'Base Rates'!$C$3:$I$3,1)),"?"))</f>
        <v/>
      </c>
      <c r="AY177" s="100" t="str">
        <f t="shared" si="27"/>
        <v/>
      </c>
      <c r="AZ177" s="97" t="str">
        <f>IF($A177="","",IFERROR(INDEX('Make Factors'!$G$5:$G$69,MATCH($F177,'Make Factors'!$B$5:$B$69,0)),"?"))</f>
        <v/>
      </c>
      <c r="BA177" s="97" t="str">
        <f>IF($A177="","",IFERROR(INDEX('Driver Factors'!$C$6:$C$15,MATCH($R177,'Driver Factors'!$B$6:$B$15,0)),"?"))</f>
        <v/>
      </c>
      <c r="BB177" s="97" t="str">
        <f>IF($A177="","",IFERROR(INDEX('Driver Factors'!$C$19:$C$24,MATCH($S177,'Driver Factors'!$B$19:$B$24,0)),"?"))</f>
        <v/>
      </c>
      <c r="BC177" s="97" t="str">
        <f>IF($A177="","",IFERROR(INDEX('Driver Factors'!$C$28:$C$36,MATCH($T177,'Driver Factors'!$B$28:$B$36,0)),"?"))</f>
        <v/>
      </c>
      <c r="BD177" s="97" t="str">
        <f>IF($A177="","",IFERROR(INDEX('Claims History'!$C$6:$C$15,MATCH($U177,'Claims History'!$B$6:$B$15,0)),"?"))</f>
        <v/>
      </c>
      <c r="BE177" s="97" t="str">
        <f>IF($A177="","",IFERROR(INDEX('Territory Factors'!$E$6:$E$56,MATCH($K177,'Territory Factors'!$B$6:$B$56,0)),"?"))</f>
        <v/>
      </c>
      <c r="BF177" s="97" t="str">
        <f>IF($A177="","",IFERROR(INDEX('City Accident Ratings'!$G$6:$G$54,MATCH($Z177,'City Accident Ratings'!$B$6:$B$54,0)),"?"))</f>
        <v/>
      </c>
      <c r="BG177" s="97" t="str">
        <f>IF($A177="","",IFERROR(INDEX('Usage and Coverage'!$D$6:$D$20,MATCH($N177,'Usage and Coverage'!$C$6:$C$20,0)),"?"))</f>
        <v/>
      </c>
      <c r="BH177" s="97" t="str">
        <f>IF($A177="","",IFERROR(INDEX('Usage and Coverage'!$C$24:$C$30,MATCH($O177,'Usage and Coverage'!$B$24:$B$30,0)),"?"))</f>
        <v/>
      </c>
      <c r="BI177" s="97" t="str">
        <f>IF($A177="","",IFERROR(INDEX('Usage and Coverage'!$C$34:$C$40,MATCH($P177,'Usage and Coverage'!$B$34:$B$40,0)),"?"))</f>
        <v/>
      </c>
      <c r="BJ177" s="97" t="str">
        <f>IF($A177="","",IFERROR(INDEX('Usage and Coverage'!$C$44:$C$49,MATCH($Q177,'Usage and Coverage'!$B$44:$B$49,0)),"?"))</f>
        <v/>
      </c>
      <c r="BK177" s="97" t="str">
        <f>IF($A177="","",IFERROR(INDEX(Deductibles!$C$6:$I$15,MATCH($W177,Deductibles!$B$6:$B$15,0),MATCH(MAX($J177,'Technical Premium'!$C$18),'Base Rates'!$C$3:$I$3,1)),"?"))</f>
        <v/>
      </c>
      <c r="BL177" s="97" t="str">
        <f>IF($A177="","",IFERROR(INDEX('Usage and Coverage'!$C$63:$C$66,MATCH($X177,'Usage and Coverage'!$B$63:$B$66,0)),"?"))</f>
        <v/>
      </c>
      <c r="BM177" s="97" t="str">
        <f>IF($A177="","",IFERROR(INDEX('Usage and Coverage'!$C$70:$C$75,MATCH($V177,'Usage and Coverage'!$B$70:$B$75,0)),"?"))</f>
        <v/>
      </c>
      <c r="BN177" s="97" t="str">
        <f>IF($A177="","",IF($AB177="",1,IFERROR(INDEX(Deductibles!$C$48:$C$51,MATCH($AB177,Deductibles!$B$48:$B$51,0)),"?")))</f>
        <v/>
      </c>
      <c r="BO177" s="97" t="str">
        <f>IF($A177="","",IF($AC177="",1,IFERROR(INDEX(Deductibles!$C$55:$C$57,MATCH($AC177,Deductibles!$B$55:$B$57,0)),"?")))</f>
        <v/>
      </c>
      <c r="BP177" s="97" t="str">
        <f>IF($A177="","",IF($AD177="",1,IFERROR(INDEX(Deductibles!$C$61:$C$63,MATCH($AD177,Deductibles!$B$61:$B$63,0)),"?")))</f>
        <v/>
      </c>
      <c r="BQ177" s="97" t="str">
        <f>IF($A177="","",IF($AE177="",1,IFERROR(INDEX(Deductibles!$C$67:$C$69,MATCH($AE177,Deductibles!$B$67:$B$69,0)),"?")))</f>
        <v/>
      </c>
      <c r="BR177" s="97" t="str">
        <f>IF($A177="","",IF($AF177="",1,IFERROR(INDEX(Deductibles!$C$73:$C$74,MATCH($AF177,Deductibles!$B$73:$B$74,0)),"?")))</f>
        <v/>
      </c>
      <c r="BS177" s="97" t="str">
        <f>IF($A177="","",IF($AG177="",1,IFERROR(INDEX('Sublimits and Parts'!$C$49:$C$52,MATCH($AG177,'Sublimits and Parts'!$B$49:$B$52,0)),"?")))</f>
        <v/>
      </c>
      <c r="BT177" s="97" t="str">
        <f>IF($A177="","",IF($AH177="",1,IFERROR(INDEX('Sublimits and Parts'!$C$56:$C$60,MATCH($AH177,'Sublimits and Parts'!$B$56:$B$60,0)),"?")))</f>
        <v/>
      </c>
      <c r="BU177" s="97" t="str">
        <f>IF($A177="","",IF($AI177="",1,IFERROR(INDEX('Sublimits and Parts'!$C$64:$C$67,MATCH($AI177,'Sublimits and Parts'!$B$64:$B$67,0)),"?")))</f>
        <v/>
      </c>
      <c r="BV177" s="97" t="str">
        <f>IF($A177="","",IF($AJ177="",1,IFERROR(INDEX('Sublimits and Parts'!$C$71:$C$74,MATCH($AJ177,'Sublimits and Parts'!$B$71:$B$74,0)),"?")))</f>
        <v/>
      </c>
      <c r="BW177" s="97" t="str">
        <f>IF($A177="","",IF($AK177="",1,IFERROR(INDEX('Sublimits and Parts'!$C$78:$C$80,MATCH($AK177,'Sublimits and Parts'!$B$78:$B$80,0)),"?")))</f>
        <v/>
      </c>
      <c r="BX177" s="97" t="str">
        <f>IF($A177="","",IF($AL177="",1,IFERROR(INDEX('Sublimits and Parts'!$C$84:$C$87,MATCH($AL177,'Sublimits and Parts'!$B$84:$B$87,0)),"?")))</f>
        <v/>
      </c>
      <c r="BY177" s="97" t="str">
        <f>IF($A177="","",IF($AM177="",1,IFERROR(INDEX('Sublimits and Parts'!$C$91:$C$94,MATCH($AM177,'Sublimits and Parts'!$B$91:$B$94,0)),"?")))</f>
        <v/>
      </c>
      <c r="BZ177" s="97" t="str">
        <f>IF($A177="","",IF($AN177="",1,IFERROR(INDEX('Sublimits and Parts'!$C$98:$C$101,MATCH($AN177,'Sublimits and Parts'!$B$98:$B$101,0)),"?")))</f>
        <v/>
      </c>
      <c r="CA177" s="97" t="str">
        <f>IF($A177="","",IF($AO177="",1,IFERROR(INDEX('Sublimits and Parts'!$C$105:$C$109,MATCH($AO177,'Sublimits and Parts'!$B$105:$B$109,0)),"?")))</f>
        <v/>
      </c>
      <c r="CB177" s="98" t="str">
        <f t="shared" si="28"/>
        <v/>
      </c>
      <c r="CC177" s="98" t="str">
        <f t="shared" si="29"/>
        <v/>
      </c>
      <c r="CD177" s="101" t="str">
        <f>IF($A177="","",IF(OR($CB177="?",$CC177="?"),"?",MIN($CB177*$CC177,'Technical Premium'!$C$17)))</f>
        <v/>
      </c>
      <c r="CE177" s="100" t="str">
        <f t="shared" si="30"/>
        <v/>
      </c>
      <c r="CF177" s="100" t="str">
        <f>IF($A177="","",IFERROR(INDEX('Territory Factors'!$F$6:$F$56,MATCH($K177,'Territory Factors'!$B$6:$B$56,0)),"?"))</f>
        <v/>
      </c>
      <c r="CG177" s="98" t="str">
        <f>IF($A177="","",IFERROR(INDEX('Usage and Coverage'!$C$79:$C$84,MATCH($Y177,'Usage and Coverage'!$B$79:$B$84,0)),"?"))</f>
        <v/>
      </c>
      <c r="CH177" s="100" t="str">
        <f>IFERROR(IF(ISNUMBER($CD177),$CF177*$CG177*MIN($BG177*$BA177*$BC177*$BD177*$BH177*$BF177,'Technical Premium'!$C$17),""),"")</f>
        <v/>
      </c>
      <c r="CI177" s="100" t="str">
        <f t="shared" si="31"/>
        <v/>
      </c>
      <c r="CJ177" s="100" t="str">
        <f>IFERROR($CI177*(1+'Technical Premium'!$C$5)*(1+'Technical Premium'!$C$6),"")</f>
        <v/>
      </c>
      <c r="CK177" s="100" t="str">
        <f>IFERROR($CE177*INDEX('Territory Factors'!$G$6:$G$56,MATCH($K177,'Territory Factors'!$B$6:$B$56,0))*$AU177*$AV177,"")</f>
        <v/>
      </c>
      <c r="CL177" s="100" t="str">
        <f>IFERROR(($CJ177+$CK177)*(1+'Technical Premium'!$C$7),"")</f>
        <v/>
      </c>
      <c r="CM177" s="102" t="str">
        <f>IFERROR($CL177/'Technical Premium'!$C$13,"")</f>
        <v/>
      </c>
      <c r="CN177" s="103" t="str">
        <f t="shared" si="32"/>
        <v/>
      </c>
      <c r="CO177" s="102" t="str">
        <f t="shared" si="33"/>
        <v/>
      </c>
      <c r="CP177" s="103" t="str">
        <f t="shared" si="34"/>
        <v/>
      </c>
      <c r="CQ177" s="104" t="str">
        <f t="shared" si="35"/>
        <v/>
      </c>
      <c r="CR177" s="100" t="str">
        <f>IF(ISNUMBER($CM177),'Technical Premium'!$C$14+IF($J177&gt;=1000000,'Technical Premium'!$C$15,0),"")</f>
        <v/>
      </c>
      <c r="CS177" s="100" t="str">
        <f>IFERROR(($CO177+$CR177)*(INDEX('Territory Factors'!$K$6:$K$56,MATCH($K177,'Territory Factors'!$B$6:$B$56,0))+'Commission Structure'!$C$21),"")</f>
        <v/>
      </c>
      <c r="CT177" s="102" t="str">
        <f t="shared" si="36"/>
        <v/>
      </c>
      <c r="CU177" s="100" t="str">
        <f>IFERROR($CO177*('Commission Structure'!$C$6+'Commission Structure'!$C$7),"")</f>
        <v/>
      </c>
      <c r="CV177" s="100" t="str">
        <f>IFERROR($CO177*'Commission Structure'!$C$5-$CU177,"")</f>
        <v/>
      </c>
      <c r="CW177" s="100" t="str">
        <f>IFERROR($CO177*(1-'Commission Structure'!$C$5),"")</f>
        <v/>
      </c>
      <c r="CX177" s="105" t="str">
        <f>IF($A177="","",IF(OR($CB177="?",$CC177="?",NOT(ISNUMBER($AU177))),"CHECK INPUTS",IF(OR($J177&lt;'Technical Premium'!$C$18,LEFT(IFERROR(INDEX('Driver Factors'!$D$6:$D$15,MATCH($R177,'Driver Factors'!$B$6:$B$15,0)),""),7)="DECLINE",LEFT(IFERROR(INDEX('Driver Factors'!$D$28:$D$36,MATCH($T177,'Driver Factors'!$B$28:$B$36,0)),""),7)="DECLINE",LEFT(IFERROR(INDEX('Claims History'!$D$6:$D$15,MATCH($U177,'Claims History'!$B$6:$B$15,0)),""),7)="DECLINE",LEFT(IFERROR(INDEX('Usage and Coverage'!$E$6:$E$20,MATCH($N177,'Usage and Coverage'!$C$6:$C$20,0)),""),7)="DECLINE"),"DECLINE",IF(OR($CD177&gt;2.5,$CD177&gt;='Technical Premium'!$C$17,$J177&gt;='Technical Premium'!$C$16,N($AQ177)&lt;'Technical Premium'!$C$19,N($AQ177)&gt;'Technical Premium'!$C$20,LEFT(IFERROR(INDEX('Driver Factors'!$D$6:$D$15,MATCH($R177,'Driver Factors'!$B$6:$B$15,0)),""),5)="Refer",LEFT(IFERROR(INDEX('Driver Factors'!$D$28:$D$36,MATCH($T177,'Driver Factors'!$B$28:$B$36,0)),""),5)="Refer",LEFT(IFERROR(INDEX('Claims History'!$D$6:$D$15,MATCH($U177,'Claims History'!$B$6:$B$15,0)),""),5)="Refer",LEFT(IFERROR(INDEX('Usage and Coverage'!$E$6:$E$20,MATCH($N177,'Usage and Coverage'!$C$6:$C$20,0)),""),5)="Refer"),"REFER","AUTO-BIND"))))</f>
        <v/>
      </c>
      <c r="CY177" s="106" t="str">
        <f t="shared" si="37"/>
        <v/>
      </c>
      <c r="CZ177" s="97" t="str">
        <f>IF($CY177="","",IF($CY177&lt;'Technical Premium'!$C$19,"BEYOND AUTHORITY",IF($CY177&gt;0.005,"Above technical",IF($CY177&lt;-0.005,"BELOW technical","At technical"))))</f>
        <v/>
      </c>
      <c r="DA177" s="97" t="str">
        <f>IF($A177="","",IF($CX177="AUTO-BIND","",TRIM(IF($J177&lt;'Technical Premium'!$C$18,"Below programme minimum agreed value. ","")&amp;IF(N($AQ177)&lt;'Technical Premium'!$C$19,"DISCOUNT AUTHORITY BREACH. ","")&amp;IF(N($AQ177)&gt;'Technical Premium'!$C$20,"Load authority breach. ","")&amp;IF($J177&gt;='Technical Premium'!$C$16,"Agreed value at or above auto-bind limit. ","")&amp;IF(AND(ISNUMBER($CD177),$CD177&gt;='Technical Premium'!$C$17),"Composite factor at cap. ","")&amp;IF(AND(ISNUMBER($CD177),$CD177&gt;2.5),"Composite factor above 2.50. ","")&amp;IF(LEFT(IFERROR(INDEX('Driver Factors'!$D$6:$D$15,MATCH($R177,'Driver Factors'!$B$6:$B$15,0)),""),7)="DECLINE","DECLINE - driver age. ",IF(LEFT(IFERROR(INDEX('Driver Factors'!$D$6:$D$15,MATCH($R177,'Driver Factors'!$B$6:$B$15,0)),""),5)="Refer","Driver age band. ",""))&amp;IF(LEFT(IFERROR(INDEX('Driver Factors'!$D$28:$D$36,MATCH($T177,'Driver Factors'!$B$28:$B$36,0)),""),7)="DECLINE","DECLINE - MVR. ",IF(LEFT(IFERROR(INDEX('Driver Factors'!$D$28:$D$36,MATCH($T177,'Driver Factors'!$B$28:$B$36,0)),""),5)="Refer","MVR record. ",""))&amp;IF(LEFT(IFERROR(INDEX('Claims History'!$D$6:$D$15,MATCH($U177,'Claims History'!$B$6:$B$15,0)),""),7)="DECLINE","DECLINE - claims. ",IF(LEFT(IFERROR(INDEX('Claims History'!$D$6:$D$15,MATCH($U177,'Claims History'!$B$6:$B$15,0)),""),5)="Refer","Claims history. ",""))&amp;IF(LEFT(IFERROR(INDEX('Usage and Coverage'!$E$6:$E$20,MATCH($N177,'Usage and Coverage'!$C$6:$C$20,0)),""),7)="DECLINE","DECLINE - usage class. ",IF(LEFT(IFERROR(INDEX('Usage and Coverage'!$E$6:$E$20,MATCH($N177,'Usage and Coverage'!$C$6:$C$20,0)),""),5)="Refer","Usage class. ",""))&amp;IF($CX177="CHECK INPUTS","Incomplete inputs. ",""))))</f>
        <v/>
      </c>
      <c r="DB177" s="92"/>
      <c r="DC177" s="92"/>
      <c r="DD177" s="93"/>
      <c r="DE177" s="92"/>
      <c r="DF177" s="92"/>
      <c r="DG177" s="97" t="str">
        <f t="shared" si="38"/>
        <v/>
      </c>
      <c r="DH177" s="97" t="str">
        <f>IF($A177="","",IF(OR($CX177="REFER",$CX177="DECLINE"),COUNTIF($CX$5:$CX177,"REFER")+COUNTIF($CX$5:$CX177,"DECLINE"),""))</f>
        <v/>
      </c>
      <c r="DI177" s="92"/>
    </row>
    <row r="178" spans="1:113" x14ac:dyDescent="0.25">
      <c r="A178" s="92"/>
      <c r="B178" s="92"/>
      <c r="C178" s="93"/>
      <c r="D178" s="93"/>
      <c r="E178" s="94"/>
      <c r="F178" s="92"/>
      <c r="G178" s="92"/>
      <c r="H178" s="92"/>
      <c r="I178" s="92"/>
      <c r="J178" s="95"/>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6"/>
      <c r="AR178" s="97" t="str">
        <f t="shared" si="26"/>
        <v/>
      </c>
      <c r="AS178" s="97" t="str">
        <f>IF($A178="","",IF($AP178&lt;&gt;"",$AP178,IFERROR(INDEX('Cat Zone by ZIP'!$D$6:$D$856,MATCH($AR178,'Cat Zone by ZIP'!$B$6:$B$856,0)),IFERROR(INDEX('Cat Zone by ZIP'!$C$860:$C$910,MATCH($K178,'Cat Zone by ZIP'!$B$860:$B$910,0)),"NOT FOUND"))))</f>
        <v/>
      </c>
      <c r="AT178" s="97" t="str">
        <f>IF($A178="","",IF($AP178&lt;&gt;"","Override",IF(ISNUMBER(MATCH($AR178,'Cat Zone by ZIP'!$B$6:$B$856,0)),"ZIP-3","State default")))</f>
        <v/>
      </c>
      <c r="AU178" s="98" t="str">
        <f>IF($A178="","",IFERROR(INDEX('Natural Catastrophe'!$D$6:$D$17,MATCH($AS178,'Natural Catastrophe'!$B$6:$B$17,0)),"?"))</f>
        <v/>
      </c>
      <c r="AV178" s="98" t="str">
        <f>IF($A178="","",IFERROR(INDEX('Natural Catastrophe'!$C$21:$C$26,MATCH($AA178,'Natural Catastrophe'!$B$21:$B$26,0)),"?"))</f>
        <v/>
      </c>
      <c r="AW178" s="97" t="str">
        <f>IF($A178="","",IFERROR(INDEX('Base Rates'!$C$4:$I$4,MATCH(MAX($J178,'Technical Premium'!$C$18),'Base Rates'!$C$3:$I$3,1)),"?"))</f>
        <v/>
      </c>
      <c r="AX178" s="99" t="str">
        <f>IF($A178="","",IFERROR(INDEX('Base Rates'!$C$5:$I$16,MATCH($I178,'Base Rates'!$B$5:$B$16,0),MATCH(MAX($J178,'Technical Premium'!$C$18),'Base Rates'!$C$3:$I$3,1)),"?"))</f>
        <v/>
      </c>
      <c r="AY178" s="100" t="str">
        <f t="shared" si="27"/>
        <v/>
      </c>
      <c r="AZ178" s="97" t="str">
        <f>IF($A178="","",IFERROR(INDEX('Make Factors'!$G$5:$G$69,MATCH($F178,'Make Factors'!$B$5:$B$69,0)),"?"))</f>
        <v/>
      </c>
      <c r="BA178" s="97" t="str">
        <f>IF($A178="","",IFERROR(INDEX('Driver Factors'!$C$6:$C$15,MATCH($R178,'Driver Factors'!$B$6:$B$15,0)),"?"))</f>
        <v/>
      </c>
      <c r="BB178" s="97" t="str">
        <f>IF($A178="","",IFERROR(INDEX('Driver Factors'!$C$19:$C$24,MATCH($S178,'Driver Factors'!$B$19:$B$24,0)),"?"))</f>
        <v/>
      </c>
      <c r="BC178" s="97" t="str">
        <f>IF($A178="","",IFERROR(INDEX('Driver Factors'!$C$28:$C$36,MATCH($T178,'Driver Factors'!$B$28:$B$36,0)),"?"))</f>
        <v/>
      </c>
      <c r="BD178" s="97" t="str">
        <f>IF($A178="","",IFERROR(INDEX('Claims History'!$C$6:$C$15,MATCH($U178,'Claims History'!$B$6:$B$15,0)),"?"))</f>
        <v/>
      </c>
      <c r="BE178" s="97" t="str">
        <f>IF($A178="","",IFERROR(INDEX('Territory Factors'!$E$6:$E$56,MATCH($K178,'Territory Factors'!$B$6:$B$56,0)),"?"))</f>
        <v/>
      </c>
      <c r="BF178" s="97" t="str">
        <f>IF($A178="","",IFERROR(INDEX('City Accident Ratings'!$G$6:$G$54,MATCH($Z178,'City Accident Ratings'!$B$6:$B$54,0)),"?"))</f>
        <v/>
      </c>
      <c r="BG178" s="97" t="str">
        <f>IF($A178="","",IFERROR(INDEX('Usage and Coverage'!$D$6:$D$20,MATCH($N178,'Usage and Coverage'!$C$6:$C$20,0)),"?"))</f>
        <v/>
      </c>
      <c r="BH178" s="97" t="str">
        <f>IF($A178="","",IFERROR(INDEX('Usage and Coverage'!$C$24:$C$30,MATCH($O178,'Usage and Coverage'!$B$24:$B$30,0)),"?"))</f>
        <v/>
      </c>
      <c r="BI178" s="97" t="str">
        <f>IF($A178="","",IFERROR(INDEX('Usage and Coverage'!$C$34:$C$40,MATCH($P178,'Usage and Coverage'!$B$34:$B$40,0)),"?"))</f>
        <v/>
      </c>
      <c r="BJ178" s="97" t="str">
        <f>IF($A178="","",IFERROR(INDEX('Usage and Coverage'!$C$44:$C$49,MATCH($Q178,'Usage and Coverage'!$B$44:$B$49,0)),"?"))</f>
        <v/>
      </c>
      <c r="BK178" s="97" t="str">
        <f>IF($A178="","",IFERROR(INDEX(Deductibles!$C$6:$I$15,MATCH($W178,Deductibles!$B$6:$B$15,0),MATCH(MAX($J178,'Technical Premium'!$C$18),'Base Rates'!$C$3:$I$3,1)),"?"))</f>
        <v/>
      </c>
      <c r="BL178" s="97" t="str">
        <f>IF($A178="","",IFERROR(INDEX('Usage and Coverage'!$C$63:$C$66,MATCH($X178,'Usage and Coverage'!$B$63:$B$66,0)),"?"))</f>
        <v/>
      </c>
      <c r="BM178" s="97" t="str">
        <f>IF($A178="","",IFERROR(INDEX('Usage and Coverage'!$C$70:$C$75,MATCH($V178,'Usage and Coverage'!$B$70:$B$75,0)),"?"))</f>
        <v/>
      </c>
      <c r="BN178" s="97" t="str">
        <f>IF($A178="","",IF($AB178="",1,IFERROR(INDEX(Deductibles!$C$48:$C$51,MATCH($AB178,Deductibles!$B$48:$B$51,0)),"?")))</f>
        <v/>
      </c>
      <c r="BO178" s="97" t="str">
        <f>IF($A178="","",IF($AC178="",1,IFERROR(INDEX(Deductibles!$C$55:$C$57,MATCH($AC178,Deductibles!$B$55:$B$57,0)),"?")))</f>
        <v/>
      </c>
      <c r="BP178" s="97" t="str">
        <f>IF($A178="","",IF($AD178="",1,IFERROR(INDEX(Deductibles!$C$61:$C$63,MATCH($AD178,Deductibles!$B$61:$B$63,0)),"?")))</f>
        <v/>
      </c>
      <c r="BQ178" s="97" t="str">
        <f>IF($A178="","",IF($AE178="",1,IFERROR(INDEX(Deductibles!$C$67:$C$69,MATCH($AE178,Deductibles!$B$67:$B$69,0)),"?")))</f>
        <v/>
      </c>
      <c r="BR178" s="97" t="str">
        <f>IF($A178="","",IF($AF178="",1,IFERROR(INDEX(Deductibles!$C$73:$C$74,MATCH($AF178,Deductibles!$B$73:$B$74,0)),"?")))</f>
        <v/>
      </c>
      <c r="BS178" s="97" t="str">
        <f>IF($A178="","",IF($AG178="",1,IFERROR(INDEX('Sublimits and Parts'!$C$49:$C$52,MATCH($AG178,'Sublimits and Parts'!$B$49:$B$52,0)),"?")))</f>
        <v/>
      </c>
      <c r="BT178" s="97" t="str">
        <f>IF($A178="","",IF($AH178="",1,IFERROR(INDEX('Sublimits and Parts'!$C$56:$C$60,MATCH($AH178,'Sublimits and Parts'!$B$56:$B$60,0)),"?")))</f>
        <v/>
      </c>
      <c r="BU178" s="97" t="str">
        <f>IF($A178="","",IF($AI178="",1,IFERROR(INDEX('Sublimits and Parts'!$C$64:$C$67,MATCH($AI178,'Sublimits and Parts'!$B$64:$B$67,0)),"?")))</f>
        <v/>
      </c>
      <c r="BV178" s="97" t="str">
        <f>IF($A178="","",IF($AJ178="",1,IFERROR(INDEX('Sublimits and Parts'!$C$71:$C$74,MATCH($AJ178,'Sublimits and Parts'!$B$71:$B$74,0)),"?")))</f>
        <v/>
      </c>
      <c r="BW178" s="97" t="str">
        <f>IF($A178="","",IF($AK178="",1,IFERROR(INDEX('Sublimits and Parts'!$C$78:$C$80,MATCH($AK178,'Sublimits and Parts'!$B$78:$B$80,0)),"?")))</f>
        <v/>
      </c>
      <c r="BX178" s="97" t="str">
        <f>IF($A178="","",IF($AL178="",1,IFERROR(INDEX('Sublimits and Parts'!$C$84:$C$87,MATCH($AL178,'Sublimits and Parts'!$B$84:$B$87,0)),"?")))</f>
        <v/>
      </c>
      <c r="BY178" s="97" t="str">
        <f>IF($A178="","",IF($AM178="",1,IFERROR(INDEX('Sublimits and Parts'!$C$91:$C$94,MATCH($AM178,'Sublimits and Parts'!$B$91:$B$94,0)),"?")))</f>
        <v/>
      </c>
      <c r="BZ178" s="97" t="str">
        <f>IF($A178="","",IF($AN178="",1,IFERROR(INDEX('Sublimits and Parts'!$C$98:$C$101,MATCH($AN178,'Sublimits and Parts'!$B$98:$B$101,0)),"?")))</f>
        <v/>
      </c>
      <c r="CA178" s="97" t="str">
        <f>IF($A178="","",IF($AO178="",1,IFERROR(INDEX('Sublimits and Parts'!$C$105:$C$109,MATCH($AO178,'Sublimits and Parts'!$B$105:$B$109,0)),"?")))</f>
        <v/>
      </c>
      <c r="CB178" s="98" t="str">
        <f t="shared" si="28"/>
        <v/>
      </c>
      <c r="CC178" s="98" t="str">
        <f t="shared" si="29"/>
        <v/>
      </c>
      <c r="CD178" s="101" t="str">
        <f>IF($A178="","",IF(OR($CB178="?",$CC178="?"),"?",MIN($CB178*$CC178,'Technical Premium'!$C$17)))</f>
        <v/>
      </c>
      <c r="CE178" s="100" t="str">
        <f t="shared" si="30"/>
        <v/>
      </c>
      <c r="CF178" s="100" t="str">
        <f>IF($A178="","",IFERROR(INDEX('Territory Factors'!$F$6:$F$56,MATCH($K178,'Territory Factors'!$B$6:$B$56,0)),"?"))</f>
        <v/>
      </c>
      <c r="CG178" s="98" t="str">
        <f>IF($A178="","",IFERROR(INDEX('Usage and Coverage'!$C$79:$C$84,MATCH($Y178,'Usage and Coverage'!$B$79:$B$84,0)),"?"))</f>
        <v/>
      </c>
      <c r="CH178" s="100" t="str">
        <f>IFERROR(IF(ISNUMBER($CD178),$CF178*$CG178*MIN($BG178*$BA178*$BC178*$BD178*$BH178*$BF178,'Technical Premium'!$C$17),""),"")</f>
        <v/>
      </c>
      <c r="CI178" s="100" t="str">
        <f t="shared" si="31"/>
        <v/>
      </c>
      <c r="CJ178" s="100" t="str">
        <f>IFERROR($CI178*(1+'Technical Premium'!$C$5)*(1+'Technical Premium'!$C$6),"")</f>
        <v/>
      </c>
      <c r="CK178" s="100" t="str">
        <f>IFERROR($CE178*INDEX('Territory Factors'!$G$6:$G$56,MATCH($K178,'Territory Factors'!$B$6:$B$56,0))*$AU178*$AV178,"")</f>
        <v/>
      </c>
      <c r="CL178" s="100" t="str">
        <f>IFERROR(($CJ178+$CK178)*(1+'Technical Premium'!$C$7),"")</f>
        <v/>
      </c>
      <c r="CM178" s="102" t="str">
        <f>IFERROR($CL178/'Technical Premium'!$C$13,"")</f>
        <v/>
      </c>
      <c r="CN178" s="103" t="str">
        <f t="shared" si="32"/>
        <v/>
      </c>
      <c r="CO178" s="102" t="str">
        <f t="shared" si="33"/>
        <v/>
      </c>
      <c r="CP178" s="103" t="str">
        <f t="shared" si="34"/>
        <v/>
      </c>
      <c r="CQ178" s="104" t="str">
        <f t="shared" si="35"/>
        <v/>
      </c>
      <c r="CR178" s="100" t="str">
        <f>IF(ISNUMBER($CM178),'Technical Premium'!$C$14+IF($J178&gt;=1000000,'Technical Premium'!$C$15,0),"")</f>
        <v/>
      </c>
      <c r="CS178" s="100" t="str">
        <f>IFERROR(($CO178+$CR178)*(INDEX('Territory Factors'!$K$6:$K$56,MATCH($K178,'Territory Factors'!$B$6:$B$56,0))+'Commission Structure'!$C$21),"")</f>
        <v/>
      </c>
      <c r="CT178" s="102" t="str">
        <f t="shared" si="36"/>
        <v/>
      </c>
      <c r="CU178" s="100" t="str">
        <f>IFERROR($CO178*('Commission Structure'!$C$6+'Commission Structure'!$C$7),"")</f>
        <v/>
      </c>
      <c r="CV178" s="100" t="str">
        <f>IFERROR($CO178*'Commission Structure'!$C$5-$CU178,"")</f>
        <v/>
      </c>
      <c r="CW178" s="100" t="str">
        <f>IFERROR($CO178*(1-'Commission Structure'!$C$5),"")</f>
        <v/>
      </c>
      <c r="CX178" s="105" t="str">
        <f>IF($A178="","",IF(OR($CB178="?",$CC178="?",NOT(ISNUMBER($AU178))),"CHECK INPUTS",IF(OR($J178&lt;'Technical Premium'!$C$18,LEFT(IFERROR(INDEX('Driver Factors'!$D$6:$D$15,MATCH($R178,'Driver Factors'!$B$6:$B$15,0)),""),7)="DECLINE",LEFT(IFERROR(INDEX('Driver Factors'!$D$28:$D$36,MATCH($T178,'Driver Factors'!$B$28:$B$36,0)),""),7)="DECLINE",LEFT(IFERROR(INDEX('Claims History'!$D$6:$D$15,MATCH($U178,'Claims History'!$B$6:$B$15,0)),""),7)="DECLINE",LEFT(IFERROR(INDEX('Usage and Coverage'!$E$6:$E$20,MATCH($N178,'Usage and Coverage'!$C$6:$C$20,0)),""),7)="DECLINE"),"DECLINE",IF(OR($CD178&gt;2.5,$CD178&gt;='Technical Premium'!$C$17,$J178&gt;='Technical Premium'!$C$16,N($AQ178)&lt;'Technical Premium'!$C$19,N($AQ178)&gt;'Technical Premium'!$C$20,LEFT(IFERROR(INDEX('Driver Factors'!$D$6:$D$15,MATCH($R178,'Driver Factors'!$B$6:$B$15,0)),""),5)="Refer",LEFT(IFERROR(INDEX('Driver Factors'!$D$28:$D$36,MATCH($T178,'Driver Factors'!$B$28:$B$36,0)),""),5)="Refer",LEFT(IFERROR(INDEX('Claims History'!$D$6:$D$15,MATCH($U178,'Claims History'!$B$6:$B$15,0)),""),5)="Refer",LEFT(IFERROR(INDEX('Usage and Coverage'!$E$6:$E$20,MATCH($N178,'Usage and Coverage'!$C$6:$C$20,0)),""),5)="Refer"),"REFER","AUTO-BIND"))))</f>
        <v/>
      </c>
      <c r="CY178" s="106" t="str">
        <f t="shared" si="37"/>
        <v/>
      </c>
      <c r="CZ178" s="97" t="str">
        <f>IF($CY178="","",IF($CY178&lt;'Technical Premium'!$C$19,"BEYOND AUTHORITY",IF($CY178&gt;0.005,"Above technical",IF($CY178&lt;-0.005,"BELOW technical","At technical"))))</f>
        <v/>
      </c>
      <c r="DA178" s="97" t="str">
        <f>IF($A178="","",IF($CX178="AUTO-BIND","",TRIM(IF($J178&lt;'Technical Premium'!$C$18,"Below programme minimum agreed value. ","")&amp;IF(N($AQ178)&lt;'Technical Premium'!$C$19,"DISCOUNT AUTHORITY BREACH. ","")&amp;IF(N($AQ178)&gt;'Technical Premium'!$C$20,"Load authority breach. ","")&amp;IF($J178&gt;='Technical Premium'!$C$16,"Agreed value at or above auto-bind limit. ","")&amp;IF(AND(ISNUMBER($CD178),$CD178&gt;='Technical Premium'!$C$17),"Composite factor at cap. ","")&amp;IF(AND(ISNUMBER($CD178),$CD178&gt;2.5),"Composite factor above 2.50. ","")&amp;IF(LEFT(IFERROR(INDEX('Driver Factors'!$D$6:$D$15,MATCH($R178,'Driver Factors'!$B$6:$B$15,0)),""),7)="DECLINE","DECLINE - driver age. ",IF(LEFT(IFERROR(INDEX('Driver Factors'!$D$6:$D$15,MATCH($R178,'Driver Factors'!$B$6:$B$15,0)),""),5)="Refer","Driver age band. ",""))&amp;IF(LEFT(IFERROR(INDEX('Driver Factors'!$D$28:$D$36,MATCH($T178,'Driver Factors'!$B$28:$B$36,0)),""),7)="DECLINE","DECLINE - MVR. ",IF(LEFT(IFERROR(INDEX('Driver Factors'!$D$28:$D$36,MATCH($T178,'Driver Factors'!$B$28:$B$36,0)),""),5)="Refer","MVR record. ",""))&amp;IF(LEFT(IFERROR(INDEX('Claims History'!$D$6:$D$15,MATCH($U178,'Claims History'!$B$6:$B$15,0)),""),7)="DECLINE","DECLINE - claims. ",IF(LEFT(IFERROR(INDEX('Claims History'!$D$6:$D$15,MATCH($U178,'Claims History'!$B$6:$B$15,0)),""),5)="Refer","Claims history. ",""))&amp;IF(LEFT(IFERROR(INDEX('Usage and Coverage'!$E$6:$E$20,MATCH($N178,'Usage and Coverage'!$C$6:$C$20,0)),""),7)="DECLINE","DECLINE - usage class. ",IF(LEFT(IFERROR(INDEX('Usage and Coverage'!$E$6:$E$20,MATCH($N178,'Usage and Coverage'!$C$6:$C$20,0)),""),5)="Refer","Usage class. ",""))&amp;IF($CX178="CHECK INPUTS","Incomplete inputs. ",""))))</f>
        <v/>
      </c>
      <c r="DB178" s="92"/>
      <c r="DC178" s="92"/>
      <c r="DD178" s="93"/>
      <c r="DE178" s="92"/>
      <c r="DF178" s="92"/>
      <c r="DG178" s="97" t="str">
        <f t="shared" si="38"/>
        <v/>
      </c>
      <c r="DH178" s="97" t="str">
        <f>IF($A178="","",IF(OR($CX178="REFER",$CX178="DECLINE"),COUNTIF($CX$5:$CX178,"REFER")+COUNTIF($CX$5:$CX178,"DECLINE"),""))</f>
        <v/>
      </c>
      <c r="DI178" s="92"/>
    </row>
    <row r="179" spans="1:113" x14ac:dyDescent="0.25">
      <c r="A179" s="92"/>
      <c r="B179" s="92"/>
      <c r="C179" s="93"/>
      <c r="D179" s="93"/>
      <c r="E179" s="94"/>
      <c r="F179" s="92"/>
      <c r="G179" s="92"/>
      <c r="H179" s="92"/>
      <c r="I179" s="92"/>
      <c r="J179" s="95"/>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6"/>
      <c r="AR179" s="97" t="str">
        <f t="shared" si="26"/>
        <v/>
      </c>
      <c r="AS179" s="97" t="str">
        <f>IF($A179="","",IF($AP179&lt;&gt;"",$AP179,IFERROR(INDEX('Cat Zone by ZIP'!$D$6:$D$856,MATCH($AR179,'Cat Zone by ZIP'!$B$6:$B$856,0)),IFERROR(INDEX('Cat Zone by ZIP'!$C$860:$C$910,MATCH($K179,'Cat Zone by ZIP'!$B$860:$B$910,0)),"NOT FOUND"))))</f>
        <v/>
      </c>
      <c r="AT179" s="97" t="str">
        <f>IF($A179="","",IF($AP179&lt;&gt;"","Override",IF(ISNUMBER(MATCH($AR179,'Cat Zone by ZIP'!$B$6:$B$856,0)),"ZIP-3","State default")))</f>
        <v/>
      </c>
      <c r="AU179" s="98" t="str">
        <f>IF($A179="","",IFERROR(INDEX('Natural Catastrophe'!$D$6:$D$17,MATCH($AS179,'Natural Catastrophe'!$B$6:$B$17,0)),"?"))</f>
        <v/>
      </c>
      <c r="AV179" s="98" t="str">
        <f>IF($A179="","",IFERROR(INDEX('Natural Catastrophe'!$C$21:$C$26,MATCH($AA179,'Natural Catastrophe'!$B$21:$B$26,0)),"?"))</f>
        <v/>
      </c>
      <c r="AW179" s="97" t="str">
        <f>IF($A179="","",IFERROR(INDEX('Base Rates'!$C$4:$I$4,MATCH(MAX($J179,'Technical Premium'!$C$18),'Base Rates'!$C$3:$I$3,1)),"?"))</f>
        <v/>
      </c>
      <c r="AX179" s="99" t="str">
        <f>IF($A179="","",IFERROR(INDEX('Base Rates'!$C$5:$I$16,MATCH($I179,'Base Rates'!$B$5:$B$16,0),MATCH(MAX($J179,'Technical Premium'!$C$18),'Base Rates'!$C$3:$I$3,1)),"?"))</f>
        <v/>
      </c>
      <c r="AY179" s="100" t="str">
        <f t="shared" si="27"/>
        <v/>
      </c>
      <c r="AZ179" s="97" t="str">
        <f>IF($A179="","",IFERROR(INDEX('Make Factors'!$G$5:$G$69,MATCH($F179,'Make Factors'!$B$5:$B$69,0)),"?"))</f>
        <v/>
      </c>
      <c r="BA179" s="97" t="str">
        <f>IF($A179="","",IFERROR(INDEX('Driver Factors'!$C$6:$C$15,MATCH($R179,'Driver Factors'!$B$6:$B$15,0)),"?"))</f>
        <v/>
      </c>
      <c r="BB179" s="97" t="str">
        <f>IF($A179="","",IFERROR(INDEX('Driver Factors'!$C$19:$C$24,MATCH($S179,'Driver Factors'!$B$19:$B$24,0)),"?"))</f>
        <v/>
      </c>
      <c r="BC179" s="97" t="str">
        <f>IF($A179="","",IFERROR(INDEX('Driver Factors'!$C$28:$C$36,MATCH($T179,'Driver Factors'!$B$28:$B$36,0)),"?"))</f>
        <v/>
      </c>
      <c r="BD179" s="97" t="str">
        <f>IF($A179="","",IFERROR(INDEX('Claims History'!$C$6:$C$15,MATCH($U179,'Claims History'!$B$6:$B$15,0)),"?"))</f>
        <v/>
      </c>
      <c r="BE179" s="97" t="str">
        <f>IF($A179="","",IFERROR(INDEX('Territory Factors'!$E$6:$E$56,MATCH($K179,'Territory Factors'!$B$6:$B$56,0)),"?"))</f>
        <v/>
      </c>
      <c r="BF179" s="97" t="str">
        <f>IF($A179="","",IFERROR(INDEX('City Accident Ratings'!$G$6:$G$54,MATCH($Z179,'City Accident Ratings'!$B$6:$B$54,0)),"?"))</f>
        <v/>
      </c>
      <c r="BG179" s="97" t="str">
        <f>IF($A179="","",IFERROR(INDEX('Usage and Coverage'!$D$6:$D$20,MATCH($N179,'Usage and Coverage'!$C$6:$C$20,0)),"?"))</f>
        <v/>
      </c>
      <c r="BH179" s="97" t="str">
        <f>IF($A179="","",IFERROR(INDEX('Usage and Coverage'!$C$24:$C$30,MATCH($O179,'Usage and Coverage'!$B$24:$B$30,0)),"?"))</f>
        <v/>
      </c>
      <c r="BI179" s="97" t="str">
        <f>IF($A179="","",IFERROR(INDEX('Usage and Coverage'!$C$34:$C$40,MATCH($P179,'Usage and Coverage'!$B$34:$B$40,0)),"?"))</f>
        <v/>
      </c>
      <c r="BJ179" s="97" t="str">
        <f>IF($A179="","",IFERROR(INDEX('Usage and Coverage'!$C$44:$C$49,MATCH($Q179,'Usage and Coverage'!$B$44:$B$49,0)),"?"))</f>
        <v/>
      </c>
      <c r="BK179" s="97" t="str">
        <f>IF($A179="","",IFERROR(INDEX(Deductibles!$C$6:$I$15,MATCH($W179,Deductibles!$B$6:$B$15,0),MATCH(MAX($J179,'Technical Premium'!$C$18),'Base Rates'!$C$3:$I$3,1)),"?"))</f>
        <v/>
      </c>
      <c r="BL179" s="97" t="str">
        <f>IF($A179="","",IFERROR(INDEX('Usage and Coverage'!$C$63:$C$66,MATCH($X179,'Usage and Coverage'!$B$63:$B$66,0)),"?"))</f>
        <v/>
      </c>
      <c r="BM179" s="97" t="str">
        <f>IF($A179="","",IFERROR(INDEX('Usage and Coverage'!$C$70:$C$75,MATCH($V179,'Usage and Coverage'!$B$70:$B$75,0)),"?"))</f>
        <v/>
      </c>
      <c r="BN179" s="97" t="str">
        <f>IF($A179="","",IF($AB179="",1,IFERROR(INDEX(Deductibles!$C$48:$C$51,MATCH($AB179,Deductibles!$B$48:$B$51,0)),"?")))</f>
        <v/>
      </c>
      <c r="BO179" s="97" t="str">
        <f>IF($A179="","",IF($AC179="",1,IFERROR(INDEX(Deductibles!$C$55:$C$57,MATCH($AC179,Deductibles!$B$55:$B$57,0)),"?")))</f>
        <v/>
      </c>
      <c r="BP179" s="97" t="str">
        <f>IF($A179="","",IF($AD179="",1,IFERROR(INDEX(Deductibles!$C$61:$C$63,MATCH($AD179,Deductibles!$B$61:$B$63,0)),"?")))</f>
        <v/>
      </c>
      <c r="BQ179" s="97" t="str">
        <f>IF($A179="","",IF($AE179="",1,IFERROR(INDEX(Deductibles!$C$67:$C$69,MATCH($AE179,Deductibles!$B$67:$B$69,0)),"?")))</f>
        <v/>
      </c>
      <c r="BR179" s="97" t="str">
        <f>IF($A179="","",IF($AF179="",1,IFERROR(INDEX(Deductibles!$C$73:$C$74,MATCH($AF179,Deductibles!$B$73:$B$74,0)),"?")))</f>
        <v/>
      </c>
      <c r="BS179" s="97" t="str">
        <f>IF($A179="","",IF($AG179="",1,IFERROR(INDEX('Sublimits and Parts'!$C$49:$C$52,MATCH($AG179,'Sublimits and Parts'!$B$49:$B$52,0)),"?")))</f>
        <v/>
      </c>
      <c r="BT179" s="97" t="str">
        <f>IF($A179="","",IF($AH179="",1,IFERROR(INDEX('Sublimits and Parts'!$C$56:$C$60,MATCH($AH179,'Sublimits and Parts'!$B$56:$B$60,0)),"?")))</f>
        <v/>
      </c>
      <c r="BU179" s="97" t="str">
        <f>IF($A179="","",IF($AI179="",1,IFERROR(INDEX('Sublimits and Parts'!$C$64:$C$67,MATCH($AI179,'Sublimits and Parts'!$B$64:$B$67,0)),"?")))</f>
        <v/>
      </c>
      <c r="BV179" s="97" t="str">
        <f>IF($A179="","",IF($AJ179="",1,IFERROR(INDEX('Sublimits and Parts'!$C$71:$C$74,MATCH($AJ179,'Sublimits and Parts'!$B$71:$B$74,0)),"?")))</f>
        <v/>
      </c>
      <c r="BW179" s="97" t="str">
        <f>IF($A179="","",IF($AK179="",1,IFERROR(INDEX('Sublimits and Parts'!$C$78:$C$80,MATCH($AK179,'Sublimits and Parts'!$B$78:$B$80,0)),"?")))</f>
        <v/>
      </c>
      <c r="BX179" s="97" t="str">
        <f>IF($A179="","",IF($AL179="",1,IFERROR(INDEX('Sublimits and Parts'!$C$84:$C$87,MATCH($AL179,'Sublimits and Parts'!$B$84:$B$87,0)),"?")))</f>
        <v/>
      </c>
      <c r="BY179" s="97" t="str">
        <f>IF($A179="","",IF($AM179="",1,IFERROR(INDEX('Sublimits and Parts'!$C$91:$C$94,MATCH($AM179,'Sublimits and Parts'!$B$91:$B$94,0)),"?")))</f>
        <v/>
      </c>
      <c r="BZ179" s="97" t="str">
        <f>IF($A179="","",IF($AN179="",1,IFERROR(INDEX('Sublimits and Parts'!$C$98:$C$101,MATCH($AN179,'Sublimits and Parts'!$B$98:$B$101,0)),"?")))</f>
        <v/>
      </c>
      <c r="CA179" s="97" t="str">
        <f>IF($A179="","",IF($AO179="",1,IFERROR(INDEX('Sublimits and Parts'!$C$105:$C$109,MATCH($AO179,'Sublimits and Parts'!$B$105:$B$109,0)),"?")))</f>
        <v/>
      </c>
      <c r="CB179" s="98" t="str">
        <f t="shared" si="28"/>
        <v/>
      </c>
      <c r="CC179" s="98" t="str">
        <f t="shared" si="29"/>
        <v/>
      </c>
      <c r="CD179" s="101" t="str">
        <f>IF($A179="","",IF(OR($CB179="?",$CC179="?"),"?",MIN($CB179*$CC179,'Technical Premium'!$C$17)))</f>
        <v/>
      </c>
      <c r="CE179" s="100" t="str">
        <f t="shared" si="30"/>
        <v/>
      </c>
      <c r="CF179" s="100" t="str">
        <f>IF($A179="","",IFERROR(INDEX('Territory Factors'!$F$6:$F$56,MATCH($K179,'Territory Factors'!$B$6:$B$56,0)),"?"))</f>
        <v/>
      </c>
      <c r="CG179" s="98" t="str">
        <f>IF($A179="","",IFERROR(INDEX('Usage and Coverage'!$C$79:$C$84,MATCH($Y179,'Usage and Coverage'!$B$79:$B$84,0)),"?"))</f>
        <v/>
      </c>
      <c r="CH179" s="100" t="str">
        <f>IFERROR(IF(ISNUMBER($CD179),$CF179*$CG179*MIN($BG179*$BA179*$BC179*$BD179*$BH179*$BF179,'Technical Premium'!$C$17),""),"")</f>
        <v/>
      </c>
      <c r="CI179" s="100" t="str">
        <f t="shared" si="31"/>
        <v/>
      </c>
      <c r="CJ179" s="100" t="str">
        <f>IFERROR($CI179*(1+'Technical Premium'!$C$5)*(1+'Technical Premium'!$C$6),"")</f>
        <v/>
      </c>
      <c r="CK179" s="100" t="str">
        <f>IFERROR($CE179*INDEX('Territory Factors'!$G$6:$G$56,MATCH($K179,'Territory Factors'!$B$6:$B$56,0))*$AU179*$AV179,"")</f>
        <v/>
      </c>
      <c r="CL179" s="100" t="str">
        <f>IFERROR(($CJ179+$CK179)*(1+'Technical Premium'!$C$7),"")</f>
        <v/>
      </c>
      <c r="CM179" s="102" t="str">
        <f>IFERROR($CL179/'Technical Premium'!$C$13,"")</f>
        <v/>
      </c>
      <c r="CN179" s="103" t="str">
        <f t="shared" si="32"/>
        <v/>
      </c>
      <c r="CO179" s="102" t="str">
        <f t="shared" si="33"/>
        <v/>
      </c>
      <c r="CP179" s="103" t="str">
        <f t="shared" si="34"/>
        <v/>
      </c>
      <c r="CQ179" s="104" t="str">
        <f t="shared" si="35"/>
        <v/>
      </c>
      <c r="CR179" s="100" t="str">
        <f>IF(ISNUMBER($CM179),'Technical Premium'!$C$14+IF($J179&gt;=1000000,'Technical Premium'!$C$15,0),"")</f>
        <v/>
      </c>
      <c r="CS179" s="100" t="str">
        <f>IFERROR(($CO179+$CR179)*(INDEX('Territory Factors'!$K$6:$K$56,MATCH($K179,'Territory Factors'!$B$6:$B$56,0))+'Commission Structure'!$C$21),"")</f>
        <v/>
      </c>
      <c r="CT179" s="102" t="str">
        <f t="shared" si="36"/>
        <v/>
      </c>
      <c r="CU179" s="100" t="str">
        <f>IFERROR($CO179*('Commission Structure'!$C$6+'Commission Structure'!$C$7),"")</f>
        <v/>
      </c>
      <c r="CV179" s="100" t="str">
        <f>IFERROR($CO179*'Commission Structure'!$C$5-$CU179,"")</f>
        <v/>
      </c>
      <c r="CW179" s="100" t="str">
        <f>IFERROR($CO179*(1-'Commission Structure'!$C$5),"")</f>
        <v/>
      </c>
      <c r="CX179" s="105" t="str">
        <f>IF($A179="","",IF(OR($CB179="?",$CC179="?",NOT(ISNUMBER($AU179))),"CHECK INPUTS",IF(OR($J179&lt;'Technical Premium'!$C$18,LEFT(IFERROR(INDEX('Driver Factors'!$D$6:$D$15,MATCH($R179,'Driver Factors'!$B$6:$B$15,0)),""),7)="DECLINE",LEFT(IFERROR(INDEX('Driver Factors'!$D$28:$D$36,MATCH($T179,'Driver Factors'!$B$28:$B$36,0)),""),7)="DECLINE",LEFT(IFERROR(INDEX('Claims History'!$D$6:$D$15,MATCH($U179,'Claims History'!$B$6:$B$15,0)),""),7)="DECLINE",LEFT(IFERROR(INDEX('Usage and Coverage'!$E$6:$E$20,MATCH($N179,'Usage and Coverage'!$C$6:$C$20,0)),""),7)="DECLINE"),"DECLINE",IF(OR($CD179&gt;2.5,$CD179&gt;='Technical Premium'!$C$17,$J179&gt;='Technical Premium'!$C$16,N($AQ179)&lt;'Technical Premium'!$C$19,N($AQ179)&gt;'Technical Premium'!$C$20,LEFT(IFERROR(INDEX('Driver Factors'!$D$6:$D$15,MATCH($R179,'Driver Factors'!$B$6:$B$15,0)),""),5)="Refer",LEFT(IFERROR(INDEX('Driver Factors'!$D$28:$D$36,MATCH($T179,'Driver Factors'!$B$28:$B$36,0)),""),5)="Refer",LEFT(IFERROR(INDEX('Claims History'!$D$6:$D$15,MATCH($U179,'Claims History'!$B$6:$B$15,0)),""),5)="Refer",LEFT(IFERROR(INDEX('Usage and Coverage'!$E$6:$E$20,MATCH($N179,'Usage and Coverage'!$C$6:$C$20,0)),""),5)="Refer"),"REFER","AUTO-BIND"))))</f>
        <v/>
      </c>
      <c r="CY179" s="106" t="str">
        <f t="shared" si="37"/>
        <v/>
      </c>
      <c r="CZ179" s="97" t="str">
        <f>IF($CY179="","",IF($CY179&lt;'Technical Premium'!$C$19,"BEYOND AUTHORITY",IF($CY179&gt;0.005,"Above technical",IF($CY179&lt;-0.005,"BELOW technical","At technical"))))</f>
        <v/>
      </c>
      <c r="DA179" s="97" t="str">
        <f>IF($A179="","",IF($CX179="AUTO-BIND","",TRIM(IF($J179&lt;'Technical Premium'!$C$18,"Below programme minimum agreed value. ","")&amp;IF(N($AQ179)&lt;'Technical Premium'!$C$19,"DISCOUNT AUTHORITY BREACH. ","")&amp;IF(N($AQ179)&gt;'Technical Premium'!$C$20,"Load authority breach. ","")&amp;IF($J179&gt;='Technical Premium'!$C$16,"Agreed value at or above auto-bind limit. ","")&amp;IF(AND(ISNUMBER($CD179),$CD179&gt;='Technical Premium'!$C$17),"Composite factor at cap. ","")&amp;IF(AND(ISNUMBER($CD179),$CD179&gt;2.5),"Composite factor above 2.50. ","")&amp;IF(LEFT(IFERROR(INDEX('Driver Factors'!$D$6:$D$15,MATCH($R179,'Driver Factors'!$B$6:$B$15,0)),""),7)="DECLINE","DECLINE - driver age. ",IF(LEFT(IFERROR(INDEX('Driver Factors'!$D$6:$D$15,MATCH($R179,'Driver Factors'!$B$6:$B$15,0)),""),5)="Refer","Driver age band. ",""))&amp;IF(LEFT(IFERROR(INDEX('Driver Factors'!$D$28:$D$36,MATCH($T179,'Driver Factors'!$B$28:$B$36,0)),""),7)="DECLINE","DECLINE - MVR. ",IF(LEFT(IFERROR(INDEX('Driver Factors'!$D$28:$D$36,MATCH($T179,'Driver Factors'!$B$28:$B$36,0)),""),5)="Refer","MVR record. ",""))&amp;IF(LEFT(IFERROR(INDEX('Claims History'!$D$6:$D$15,MATCH($U179,'Claims History'!$B$6:$B$15,0)),""),7)="DECLINE","DECLINE - claims. ",IF(LEFT(IFERROR(INDEX('Claims History'!$D$6:$D$15,MATCH($U179,'Claims History'!$B$6:$B$15,0)),""),5)="Refer","Claims history. ",""))&amp;IF(LEFT(IFERROR(INDEX('Usage and Coverage'!$E$6:$E$20,MATCH($N179,'Usage and Coverage'!$C$6:$C$20,0)),""),7)="DECLINE","DECLINE - usage class. ",IF(LEFT(IFERROR(INDEX('Usage and Coverage'!$E$6:$E$20,MATCH($N179,'Usage and Coverage'!$C$6:$C$20,0)),""),5)="Refer","Usage class. ",""))&amp;IF($CX179="CHECK INPUTS","Incomplete inputs. ",""))))</f>
        <v/>
      </c>
      <c r="DB179" s="92"/>
      <c r="DC179" s="92"/>
      <c r="DD179" s="93"/>
      <c r="DE179" s="92"/>
      <c r="DF179" s="92"/>
      <c r="DG179" s="97" t="str">
        <f t="shared" si="38"/>
        <v/>
      </c>
      <c r="DH179" s="97" t="str">
        <f>IF($A179="","",IF(OR($CX179="REFER",$CX179="DECLINE"),COUNTIF($CX$5:$CX179,"REFER")+COUNTIF($CX$5:$CX179,"DECLINE"),""))</f>
        <v/>
      </c>
      <c r="DI179" s="92"/>
    </row>
    <row r="180" spans="1:113" x14ac:dyDescent="0.25">
      <c r="A180" s="92"/>
      <c r="B180" s="92"/>
      <c r="C180" s="93"/>
      <c r="D180" s="93"/>
      <c r="E180" s="94"/>
      <c r="F180" s="92"/>
      <c r="G180" s="92"/>
      <c r="H180" s="92"/>
      <c r="I180" s="92"/>
      <c r="J180" s="95"/>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6"/>
      <c r="AR180" s="97" t="str">
        <f t="shared" si="26"/>
        <v/>
      </c>
      <c r="AS180" s="97" t="str">
        <f>IF($A180="","",IF($AP180&lt;&gt;"",$AP180,IFERROR(INDEX('Cat Zone by ZIP'!$D$6:$D$856,MATCH($AR180,'Cat Zone by ZIP'!$B$6:$B$856,0)),IFERROR(INDEX('Cat Zone by ZIP'!$C$860:$C$910,MATCH($K180,'Cat Zone by ZIP'!$B$860:$B$910,0)),"NOT FOUND"))))</f>
        <v/>
      </c>
      <c r="AT180" s="97" t="str">
        <f>IF($A180="","",IF($AP180&lt;&gt;"","Override",IF(ISNUMBER(MATCH($AR180,'Cat Zone by ZIP'!$B$6:$B$856,0)),"ZIP-3","State default")))</f>
        <v/>
      </c>
      <c r="AU180" s="98" t="str">
        <f>IF($A180="","",IFERROR(INDEX('Natural Catastrophe'!$D$6:$D$17,MATCH($AS180,'Natural Catastrophe'!$B$6:$B$17,0)),"?"))</f>
        <v/>
      </c>
      <c r="AV180" s="98" t="str">
        <f>IF($A180="","",IFERROR(INDEX('Natural Catastrophe'!$C$21:$C$26,MATCH($AA180,'Natural Catastrophe'!$B$21:$B$26,0)),"?"))</f>
        <v/>
      </c>
      <c r="AW180" s="97" t="str">
        <f>IF($A180="","",IFERROR(INDEX('Base Rates'!$C$4:$I$4,MATCH(MAX($J180,'Technical Premium'!$C$18),'Base Rates'!$C$3:$I$3,1)),"?"))</f>
        <v/>
      </c>
      <c r="AX180" s="99" t="str">
        <f>IF($A180="","",IFERROR(INDEX('Base Rates'!$C$5:$I$16,MATCH($I180,'Base Rates'!$B$5:$B$16,0),MATCH(MAX($J180,'Technical Premium'!$C$18),'Base Rates'!$C$3:$I$3,1)),"?"))</f>
        <v/>
      </c>
      <c r="AY180" s="100" t="str">
        <f t="shared" si="27"/>
        <v/>
      </c>
      <c r="AZ180" s="97" t="str">
        <f>IF($A180="","",IFERROR(INDEX('Make Factors'!$G$5:$G$69,MATCH($F180,'Make Factors'!$B$5:$B$69,0)),"?"))</f>
        <v/>
      </c>
      <c r="BA180" s="97" t="str">
        <f>IF($A180="","",IFERROR(INDEX('Driver Factors'!$C$6:$C$15,MATCH($R180,'Driver Factors'!$B$6:$B$15,0)),"?"))</f>
        <v/>
      </c>
      <c r="BB180" s="97" t="str">
        <f>IF($A180="","",IFERROR(INDEX('Driver Factors'!$C$19:$C$24,MATCH($S180,'Driver Factors'!$B$19:$B$24,0)),"?"))</f>
        <v/>
      </c>
      <c r="BC180" s="97" t="str">
        <f>IF($A180="","",IFERROR(INDEX('Driver Factors'!$C$28:$C$36,MATCH($T180,'Driver Factors'!$B$28:$B$36,0)),"?"))</f>
        <v/>
      </c>
      <c r="BD180" s="97" t="str">
        <f>IF($A180="","",IFERROR(INDEX('Claims History'!$C$6:$C$15,MATCH($U180,'Claims History'!$B$6:$B$15,0)),"?"))</f>
        <v/>
      </c>
      <c r="BE180" s="97" t="str">
        <f>IF($A180="","",IFERROR(INDEX('Territory Factors'!$E$6:$E$56,MATCH($K180,'Territory Factors'!$B$6:$B$56,0)),"?"))</f>
        <v/>
      </c>
      <c r="BF180" s="97" t="str">
        <f>IF($A180="","",IFERROR(INDEX('City Accident Ratings'!$G$6:$G$54,MATCH($Z180,'City Accident Ratings'!$B$6:$B$54,0)),"?"))</f>
        <v/>
      </c>
      <c r="BG180" s="97" t="str">
        <f>IF($A180="","",IFERROR(INDEX('Usage and Coverage'!$D$6:$D$20,MATCH($N180,'Usage and Coverage'!$C$6:$C$20,0)),"?"))</f>
        <v/>
      </c>
      <c r="BH180" s="97" t="str">
        <f>IF($A180="","",IFERROR(INDEX('Usage and Coverage'!$C$24:$C$30,MATCH($O180,'Usage and Coverage'!$B$24:$B$30,0)),"?"))</f>
        <v/>
      </c>
      <c r="BI180" s="97" t="str">
        <f>IF($A180="","",IFERROR(INDEX('Usage and Coverage'!$C$34:$C$40,MATCH($P180,'Usage and Coverage'!$B$34:$B$40,0)),"?"))</f>
        <v/>
      </c>
      <c r="BJ180" s="97" t="str">
        <f>IF($A180="","",IFERROR(INDEX('Usage and Coverage'!$C$44:$C$49,MATCH($Q180,'Usage and Coverage'!$B$44:$B$49,0)),"?"))</f>
        <v/>
      </c>
      <c r="BK180" s="97" t="str">
        <f>IF($A180="","",IFERROR(INDEX(Deductibles!$C$6:$I$15,MATCH($W180,Deductibles!$B$6:$B$15,0),MATCH(MAX($J180,'Technical Premium'!$C$18),'Base Rates'!$C$3:$I$3,1)),"?"))</f>
        <v/>
      </c>
      <c r="BL180" s="97" t="str">
        <f>IF($A180="","",IFERROR(INDEX('Usage and Coverage'!$C$63:$C$66,MATCH($X180,'Usage and Coverage'!$B$63:$B$66,0)),"?"))</f>
        <v/>
      </c>
      <c r="BM180" s="97" t="str">
        <f>IF($A180="","",IFERROR(INDEX('Usage and Coverage'!$C$70:$C$75,MATCH($V180,'Usage and Coverage'!$B$70:$B$75,0)),"?"))</f>
        <v/>
      </c>
      <c r="BN180" s="97" t="str">
        <f>IF($A180="","",IF($AB180="",1,IFERROR(INDEX(Deductibles!$C$48:$C$51,MATCH($AB180,Deductibles!$B$48:$B$51,0)),"?")))</f>
        <v/>
      </c>
      <c r="BO180" s="97" t="str">
        <f>IF($A180="","",IF($AC180="",1,IFERROR(INDEX(Deductibles!$C$55:$C$57,MATCH($AC180,Deductibles!$B$55:$B$57,0)),"?")))</f>
        <v/>
      </c>
      <c r="BP180" s="97" t="str">
        <f>IF($A180="","",IF($AD180="",1,IFERROR(INDEX(Deductibles!$C$61:$C$63,MATCH($AD180,Deductibles!$B$61:$B$63,0)),"?")))</f>
        <v/>
      </c>
      <c r="BQ180" s="97" t="str">
        <f>IF($A180="","",IF($AE180="",1,IFERROR(INDEX(Deductibles!$C$67:$C$69,MATCH($AE180,Deductibles!$B$67:$B$69,0)),"?")))</f>
        <v/>
      </c>
      <c r="BR180" s="97" t="str">
        <f>IF($A180="","",IF($AF180="",1,IFERROR(INDEX(Deductibles!$C$73:$C$74,MATCH($AF180,Deductibles!$B$73:$B$74,0)),"?")))</f>
        <v/>
      </c>
      <c r="BS180" s="97" t="str">
        <f>IF($A180="","",IF($AG180="",1,IFERROR(INDEX('Sublimits and Parts'!$C$49:$C$52,MATCH($AG180,'Sublimits and Parts'!$B$49:$B$52,0)),"?")))</f>
        <v/>
      </c>
      <c r="BT180" s="97" t="str">
        <f>IF($A180="","",IF($AH180="",1,IFERROR(INDEX('Sublimits and Parts'!$C$56:$C$60,MATCH($AH180,'Sublimits and Parts'!$B$56:$B$60,0)),"?")))</f>
        <v/>
      </c>
      <c r="BU180" s="97" t="str">
        <f>IF($A180="","",IF($AI180="",1,IFERROR(INDEX('Sublimits and Parts'!$C$64:$C$67,MATCH($AI180,'Sublimits and Parts'!$B$64:$B$67,0)),"?")))</f>
        <v/>
      </c>
      <c r="BV180" s="97" t="str">
        <f>IF($A180="","",IF($AJ180="",1,IFERROR(INDEX('Sublimits and Parts'!$C$71:$C$74,MATCH($AJ180,'Sublimits and Parts'!$B$71:$B$74,0)),"?")))</f>
        <v/>
      </c>
      <c r="BW180" s="97" t="str">
        <f>IF($A180="","",IF($AK180="",1,IFERROR(INDEX('Sublimits and Parts'!$C$78:$C$80,MATCH($AK180,'Sublimits and Parts'!$B$78:$B$80,0)),"?")))</f>
        <v/>
      </c>
      <c r="BX180" s="97" t="str">
        <f>IF($A180="","",IF($AL180="",1,IFERROR(INDEX('Sublimits and Parts'!$C$84:$C$87,MATCH($AL180,'Sublimits and Parts'!$B$84:$B$87,0)),"?")))</f>
        <v/>
      </c>
      <c r="BY180" s="97" t="str">
        <f>IF($A180="","",IF($AM180="",1,IFERROR(INDEX('Sublimits and Parts'!$C$91:$C$94,MATCH($AM180,'Sublimits and Parts'!$B$91:$B$94,0)),"?")))</f>
        <v/>
      </c>
      <c r="BZ180" s="97" t="str">
        <f>IF($A180="","",IF($AN180="",1,IFERROR(INDEX('Sublimits and Parts'!$C$98:$C$101,MATCH($AN180,'Sublimits and Parts'!$B$98:$B$101,0)),"?")))</f>
        <v/>
      </c>
      <c r="CA180" s="97" t="str">
        <f>IF($A180="","",IF($AO180="",1,IFERROR(INDEX('Sublimits and Parts'!$C$105:$C$109,MATCH($AO180,'Sublimits and Parts'!$B$105:$B$109,0)),"?")))</f>
        <v/>
      </c>
      <c r="CB180" s="98" t="str">
        <f t="shared" si="28"/>
        <v/>
      </c>
      <c r="CC180" s="98" t="str">
        <f t="shared" si="29"/>
        <v/>
      </c>
      <c r="CD180" s="101" t="str">
        <f>IF($A180="","",IF(OR($CB180="?",$CC180="?"),"?",MIN($CB180*$CC180,'Technical Premium'!$C$17)))</f>
        <v/>
      </c>
      <c r="CE180" s="100" t="str">
        <f t="shared" si="30"/>
        <v/>
      </c>
      <c r="CF180" s="100" t="str">
        <f>IF($A180="","",IFERROR(INDEX('Territory Factors'!$F$6:$F$56,MATCH($K180,'Territory Factors'!$B$6:$B$56,0)),"?"))</f>
        <v/>
      </c>
      <c r="CG180" s="98" t="str">
        <f>IF($A180="","",IFERROR(INDEX('Usage and Coverage'!$C$79:$C$84,MATCH($Y180,'Usage and Coverage'!$B$79:$B$84,0)),"?"))</f>
        <v/>
      </c>
      <c r="CH180" s="100" t="str">
        <f>IFERROR(IF(ISNUMBER($CD180),$CF180*$CG180*MIN($BG180*$BA180*$BC180*$BD180*$BH180*$BF180,'Technical Premium'!$C$17),""),"")</f>
        <v/>
      </c>
      <c r="CI180" s="100" t="str">
        <f t="shared" si="31"/>
        <v/>
      </c>
      <c r="CJ180" s="100" t="str">
        <f>IFERROR($CI180*(1+'Technical Premium'!$C$5)*(1+'Technical Premium'!$C$6),"")</f>
        <v/>
      </c>
      <c r="CK180" s="100" t="str">
        <f>IFERROR($CE180*INDEX('Territory Factors'!$G$6:$G$56,MATCH($K180,'Territory Factors'!$B$6:$B$56,0))*$AU180*$AV180,"")</f>
        <v/>
      </c>
      <c r="CL180" s="100" t="str">
        <f>IFERROR(($CJ180+$CK180)*(1+'Technical Premium'!$C$7),"")</f>
        <v/>
      </c>
      <c r="CM180" s="102" t="str">
        <f>IFERROR($CL180/'Technical Premium'!$C$13,"")</f>
        <v/>
      </c>
      <c r="CN180" s="103" t="str">
        <f t="shared" si="32"/>
        <v/>
      </c>
      <c r="CO180" s="102" t="str">
        <f t="shared" si="33"/>
        <v/>
      </c>
      <c r="CP180" s="103" t="str">
        <f t="shared" si="34"/>
        <v/>
      </c>
      <c r="CQ180" s="104" t="str">
        <f t="shared" si="35"/>
        <v/>
      </c>
      <c r="CR180" s="100" t="str">
        <f>IF(ISNUMBER($CM180),'Technical Premium'!$C$14+IF($J180&gt;=1000000,'Technical Premium'!$C$15,0),"")</f>
        <v/>
      </c>
      <c r="CS180" s="100" t="str">
        <f>IFERROR(($CO180+$CR180)*(INDEX('Territory Factors'!$K$6:$K$56,MATCH($K180,'Territory Factors'!$B$6:$B$56,0))+'Commission Structure'!$C$21),"")</f>
        <v/>
      </c>
      <c r="CT180" s="102" t="str">
        <f t="shared" si="36"/>
        <v/>
      </c>
      <c r="CU180" s="100" t="str">
        <f>IFERROR($CO180*('Commission Structure'!$C$6+'Commission Structure'!$C$7),"")</f>
        <v/>
      </c>
      <c r="CV180" s="100" t="str">
        <f>IFERROR($CO180*'Commission Structure'!$C$5-$CU180,"")</f>
        <v/>
      </c>
      <c r="CW180" s="100" t="str">
        <f>IFERROR($CO180*(1-'Commission Structure'!$C$5),"")</f>
        <v/>
      </c>
      <c r="CX180" s="105" t="str">
        <f>IF($A180="","",IF(OR($CB180="?",$CC180="?",NOT(ISNUMBER($AU180))),"CHECK INPUTS",IF(OR($J180&lt;'Technical Premium'!$C$18,LEFT(IFERROR(INDEX('Driver Factors'!$D$6:$D$15,MATCH($R180,'Driver Factors'!$B$6:$B$15,0)),""),7)="DECLINE",LEFT(IFERROR(INDEX('Driver Factors'!$D$28:$D$36,MATCH($T180,'Driver Factors'!$B$28:$B$36,0)),""),7)="DECLINE",LEFT(IFERROR(INDEX('Claims History'!$D$6:$D$15,MATCH($U180,'Claims History'!$B$6:$B$15,0)),""),7)="DECLINE",LEFT(IFERROR(INDEX('Usage and Coverage'!$E$6:$E$20,MATCH($N180,'Usage and Coverage'!$C$6:$C$20,0)),""),7)="DECLINE"),"DECLINE",IF(OR($CD180&gt;2.5,$CD180&gt;='Technical Premium'!$C$17,$J180&gt;='Technical Premium'!$C$16,N($AQ180)&lt;'Technical Premium'!$C$19,N($AQ180)&gt;'Technical Premium'!$C$20,LEFT(IFERROR(INDEX('Driver Factors'!$D$6:$D$15,MATCH($R180,'Driver Factors'!$B$6:$B$15,0)),""),5)="Refer",LEFT(IFERROR(INDEX('Driver Factors'!$D$28:$D$36,MATCH($T180,'Driver Factors'!$B$28:$B$36,0)),""),5)="Refer",LEFT(IFERROR(INDEX('Claims History'!$D$6:$D$15,MATCH($U180,'Claims History'!$B$6:$B$15,0)),""),5)="Refer",LEFT(IFERROR(INDEX('Usage and Coverage'!$E$6:$E$20,MATCH($N180,'Usage and Coverage'!$C$6:$C$20,0)),""),5)="Refer"),"REFER","AUTO-BIND"))))</f>
        <v/>
      </c>
      <c r="CY180" s="106" t="str">
        <f t="shared" si="37"/>
        <v/>
      </c>
      <c r="CZ180" s="97" t="str">
        <f>IF($CY180="","",IF($CY180&lt;'Technical Premium'!$C$19,"BEYOND AUTHORITY",IF($CY180&gt;0.005,"Above technical",IF($CY180&lt;-0.005,"BELOW technical","At technical"))))</f>
        <v/>
      </c>
      <c r="DA180" s="97" t="str">
        <f>IF($A180="","",IF($CX180="AUTO-BIND","",TRIM(IF($J180&lt;'Technical Premium'!$C$18,"Below programme minimum agreed value. ","")&amp;IF(N($AQ180)&lt;'Technical Premium'!$C$19,"DISCOUNT AUTHORITY BREACH. ","")&amp;IF(N($AQ180)&gt;'Technical Premium'!$C$20,"Load authority breach. ","")&amp;IF($J180&gt;='Technical Premium'!$C$16,"Agreed value at or above auto-bind limit. ","")&amp;IF(AND(ISNUMBER($CD180),$CD180&gt;='Technical Premium'!$C$17),"Composite factor at cap. ","")&amp;IF(AND(ISNUMBER($CD180),$CD180&gt;2.5),"Composite factor above 2.50. ","")&amp;IF(LEFT(IFERROR(INDEX('Driver Factors'!$D$6:$D$15,MATCH($R180,'Driver Factors'!$B$6:$B$15,0)),""),7)="DECLINE","DECLINE - driver age. ",IF(LEFT(IFERROR(INDEX('Driver Factors'!$D$6:$D$15,MATCH($R180,'Driver Factors'!$B$6:$B$15,0)),""),5)="Refer","Driver age band. ",""))&amp;IF(LEFT(IFERROR(INDEX('Driver Factors'!$D$28:$D$36,MATCH($T180,'Driver Factors'!$B$28:$B$36,0)),""),7)="DECLINE","DECLINE - MVR. ",IF(LEFT(IFERROR(INDEX('Driver Factors'!$D$28:$D$36,MATCH($T180,'Driver Factors'!$B$28:$B$36,0)),""),5)="Refer","MVR record. ",""))&amp;IF(LEFT(IFERROR(INDEX('Claims History'!$D$6:$D$15,MATCH($U180,'Claims History'!$B$6:$B$15,0)),""),7)="DECLINE","DECLINE - claims. ",IF(LEFT(IFERROR(INDEX('Claims History'!$D$6:$D$15,MATCH($U180,'Claims History'!$B$6:$B$15,0)),""),5)="Refer","Claims history. ",""))&amp;IF(LEFT(IFERROR(INDEX('Usage and Coverage'!$E$6:$E$20,MATCH($N180,'Usage and Coverage'!$C$6:$C$20,0)),""),7)="DECLINE","DECLINE - usage class. ",IF(LEFT(IFERROR(INDEX('Usage and Coverage'!$E$6:$E$20,MATCH($N180,'Usage and Coverage'!$C$6:$C$20,0)),""),5)="Refer","Usage class. ",""))&amp;IF($CX180="CHECK INPUTS","Incomplete inputs. ",""))))</f>
        <v/>
      </c>
      <c r="DB180" s="92"/>
      <c r="DC180" s="92"/>
      <c r="DD180" s="93"/>
      <c r="DE180" s="92"/>
      <c r="DF180" s="92"/>
      <c r="DG180" s="97" t="str">
        <f t="shared" si="38"/>
        <v/>
      </c>
      <c r="DH180" s="97" t="str">
        <f>IF($A180="","",IF(OR($CX180="REFER",$CX180="DECLINE"),COUNTIF($CX$5:$CX180,"REFER")+COUNTIF($CX$5:$CX180,"DECLINE"),""))</f>
        <v/>
      </c>
      <c r="DI180" s="92"/>
    </row>
    <row r="181" spans="1:113" x14ac:dyDescent="0.25">
      <c r="A181" s="92"/>
      <c r="B181" s="92"/>
      <c r="C181" s="93"/>
      <c r="D181" s="93"/>
      <c r="E181" s="94"/>
      <c r="F181" s="92"/>
      <c r="G181" s="92"/>
      <c r="H181" s="92"/>
      <c r="I181" s="92"/>
      <c r="J181" s="95"/>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6"/>
      <c r="AR181" s="97" t="str">
        <f t="shared" si="26"/>
        <v/>
      </c>
      <c r="AS181" s="97" t="str">
        <f>IF($A181="","",IF($AP181&lt;&gt;"",$AP181,IFERROR(INDEX('Cat Zone by ZIP'!$D$6:$D$856,MATCH($AR181,'Cat Zone by ZIP'!$B$6:$B$856,0)),IFERROR(INDEX('Cat Zone by ZIP'!$C$860:$C$910,MATCH($K181,'Cat Zone by ZIP'!$B$860:$B$910,0)),"NOT FOUND"))))</f>
        <v/>
      </c>
      <c r="AT181" s="97" t="str">
        <f>IF($A181="","",IF($AP181&lt;&gt;"","Override",IF(ISNUMBER(MATCH($AR181,'Cat Zone by ZIP'!$B$6:$B$856,0)),"ZIP-3","State default")))</f>
        <v/>
      </c>
      <c r="AU181" s="98" t="str">
        <f>IF($A181="","",IFERROR(INDEX('Natural Catastrophe'!$D$6:$D$17,MATCH($AS181,'Natural Catastrophe'!$B$6:$B$17,0)),"?"))</f>
        <v/>
      </c>
      <c r="AV181" s="98" t="str">
        <f>IF($A181="","",IFERROR(INDEX('Natural Catastrophe'!$C$21:$C$26,MATCH($AA181,'Natural Catastrophe'!$B$21:$B$26,0)),"?"))</f>
        <v/>
      </c>
      <c r="AW181" s="97" t="str">
        <f>IF($A181="","",IFERROR(INDEX('Base Rates'!$C$4:$I$4,MATCH(MAX($J181,'Technical Premium'!$C$18),'Base Rates'!$C$3:$I$3,1)),"?"))</f>
        <v/>
      </c>
      <c r="AX181" s="99" t="str">
        <f>IF($A181="","",IFERROR(INDEX('Base Rates'!$C$5:$I$16,MATCH($I181,'Base Rates'!$B$5:$B$16,0),MATCH(MAX($J181,'Technical Premium'!$C$18),'Base Rates'!$C$3:$I$3,1)),"?"))</f>
        <v/>
      </c>
      <c r="AY181" s="100" t="str">
        <f t="shared" si="27"/>
        <v/>
      </c>
      <c r="AZ181" s="97" t="str">
        <f>IF($A181="","",IFERROR(INDEX('Make Factors'!$G$5:$G$69,MATCH($F181,'Make Factors'!$B$5:$B$69,0)),"?"))</f>
        <v/>
      </c>
      <c r="BA181" s="97" t="str">
        <f>IF($A181="","",IFERROR(INDEX('Driver Factors'!$C$6:$C$15,MATCH($R181,'Driver Factors'!$B$6:$B$15,0)),"?"))</f>
        <v/>
      </c>
      <c r="BB181" s="97" t="str">
        <f>IF($A181="","",IFERROR(INDEX('Driver Factors'!$C$19:$C$24,MATCH($S181,'Driver Factors'!$B$19:$B$24,0)),"?"))</f>
        <v/>
      </c>
      <c r="BC181" s="97" t="str">
        <f>IF($A181="","",IFERROR(INDEX('Driver Factors'!$C$28:$C$36,MATCH($T181,'Driver Factors'!$B$28:$B$36,0)),"?"))</f>
        <v/>
      </c>
      <c r="BD181" s="97" t="str">
        <f>IF($A181="","",IFERROR(INDEX('Claims History'!$C$6:$C$15,MATCH($U181,'Claims History'!$B$6:$B$15,0)),"?"))</f>
        <v/>
      </c>
      <c r="BE181" s="97" t="str">
        <f>IF($A181="","",IFERROR(INDEX('Territory Factors'!$E$6:$E$56,MATCH($K181,'Territory Factors'!$B$6:$B$56,0)),"?"))</f>
        <v/>
      </c>
      <c r="BF181" s="97" t="str">
        <f>IF($A181="","",IFERROR(INDEX('City Accident Ratings'!$G$6:$G$54,MATCH($Z181,'City Accident Ratings'!$B$6:$B$54,0)),"?"))</f>
        <v/>
      </c>
      <c r="BG181" s="97" t="str">
        <f>IF($A181="","",IFERROR(INDEX('Usage and Coverage'!$D$6:$D$20,MATCH($N181,'Usage and Coverage'!$C$6:$C$20,0)),"?"))</f>
        <v/>
      </c>
      <c r="BH181" s="97" t="str">
        <f>IF($A181="","",IFERROR(INDEX('Usage and Coverage'!$C$24:$C$30,MATCH($O181,'Usage and Coverage'!$B$24:$B$30,0)),"?"))</f>
        <v/>
      </c>
      <c r="BI181" s="97" t="str">
        <f>IF($A181="","",IFERROR(INDEX('Usage and Coverage'!$C$34:$C$40,MATCH($P181,'Usage and Coverage'!$B$34:$B$40,0)),"?"))</f>
        <v/>
      </c>
      <c r="BJ181" s="97" t="str">
        <f>IF($A181="","",IFERROR(INDEX('Usage and Coverage'!$C$44:$C$49,MATCH($Q181,'Usage and Coverage'!$B$44:$B$49,0)),"?"))</f>
        <v/>
      </c>
      <c r="BK181" s="97" t="str">
        <f>IF($A181="","",IFERROR(INDEX(Deductibles!$C$6:$I$15,MATCH($W181,Deductibles!$B$6:$B$15,0),MATCH(MAX($J181,'Technical Premium'!$C$18),'Base Rates'!$C$3:$I$3,1)),"?"))</f>
        <v/>
      </c>
      <c r="BL181" s="97" t="str">
        <f>IF($A181="","",IFERROR(INDEX('Usage and Coverage'!$C$63:$C$66,MATCH($X181,'Usage and Coverage'!$B$63:$B$66,0)),"?"))</f>
        <v/>
      </c>
      <c r="BM181" s="97" t="str">
        <f>IF($A181="","",IFERROR(INDEX('Usage and Coverage'!$C$70:$C$75,MATCH($V181,'Usage and Coverage'!$B$70:$B$75,0)),"?"))</f>
        <v/>
      </c>
      <c r="BN181" s="97" t="str">
        <f>IF($A181="","",IF($AB181="",1,IFERROR(INDEX(Deductibles!$C$48:$C$51,MATCH($AB181,Deductibles!$B$48:$B$51,0)),"?")))</f>
        <v/>
      </c>
      <c r="BO181" s="97" t="str">
        <f>IF($A181="","",IF($AC181="",1,IFERROR(INDEX(Deductibles!$C$55:$C$57,MATCH($AC181,Deductibles!$B$55:$B$57,0)),"?")))</f>
        <v/>
      </c>
      <c r="BP181" s="97" t="str">
        <f>IF($A181="","",IF($AD181="",1,IFERROR(INDEX(Deductibles!$C$61:$C$63,MATCH($AD181,Deductibles!$B$61:$B$63,0)),"?")))</f>
        <v/>
      </c>
      <c r="BQ181" s="97" t="str">
        <f>IF($A181="","",IF($AE181="",1,IFERROR(INDEX(Deductibles!$C$67:$C$69,MATCH($AE181,Deductibles!$B$67:$B$69,0)),"?")))</f>
        <v/>
      </c>
      <c r="BR181" s="97" t="str">
        <f>IF($A181="","",IF($AF181="",1,IFERROR(INDEX(Deductibles!$C$73:$C$74,MATCH($AF181,Deductibles!$B$73:$B$74,0)),"?")))</f>
        <v/>
      </c>
      <c r="BS181" s="97" t="str">
        <f>IF($A181="","",IF($AG181="",1,IFERROR(INDEX('Sublimits and Parts'!$C$49:$C$52,MATCH($AG181,'Sublimits and Parts'!$B$49:$B$52,0)),"?")))</f>
        <v/>
      </c>
      <c r="BT181" s="97" t="str">
        <f>IF($A181="","",IF($AH181="",1,IFERROR(INDEX('Sublimits and Parts'!$C$56:$C$60,MATCH($AH181,'Sublimits and Parts'!$B$56:$B$60,0)),"?")))</f>
        <v/>
      </c>
      <c r="BU181" s="97" t="str">
        <f>IF($A181="","",IF($AI181="",1,IFERROR(INDEX('Sublimits and Parts'!$C$64:$C$67,MATCH($AI181,'Sublimits and Parts'!$B$64:$B$67,0)),"?")))</f>
        <v/>
      </c>
      <c r="BV181" s="97" t="str">
        <f>IF($A181="","",IF($AJ181="",1,IFERROR(INDEX('Sublimits and Parts'!$C$71:$C$74,MATCH($AJ181,'Sublimits and Parts'!$B$71:$B$74,0)),"?")))</f>
        <v/>
      </c>
      <c r="BW181" s="97" t="str">
        <f>IF($A181="","",IF($AK181="",1,IFERROR(INDEX('Sublimits and Parts'!$C$78:$C$80,MATCH($AK181,'Sublimits and Parts'!$B$78:$B$80,0)),"?")))</f>
        <v/>
      </c>
      <c r="BX181" s="97" t="str">
        <f>IF($A181="","",IF($AL181="",1,IFERROR(INDEX('Sublimits and Parts'!$C$84:$C$87,MATCH($AL181,'Sublimits and Parts'!$B$84:$B$87,0)),"?")))</f>
        <v/>
      </c>
      <c r="BY181" s="97" t="str">
        <f>IF($A181="","",IF($AM181="",1,IFERROR(INDEX('Sublimits and Parts'!$C$91:$C$94,MATCH($AM181,'Sublimits and Parts'!$B$91:$B$94,0)),"?")))</f>
        <v/>
      </c>
      <c r="BZ181" s="97" t="str">
        <f>IF($A181="","",IF($AN181="",1,IFERROR(INDEX('Sublimits and Parts'!$C$98:$C$101,MATCH($AN181,'Sublimits and Parts'!$B$98:$B$101,0)),"?")))</f>
        <v/>
      </c>
      <c r="CA181" s="97" t="str">
        <f>IF($A181="","",IF($AO181="",1,IFERROR(INDEX('Sublimits and Parts'!$C$105:$C$109,MATCH($AO181,'Sublimits and Parts'!$B$105:$B$109,0)),"?")))</f>
        <v/>
      </c>
      <c r="CB181" s="98" t="str">
        <f t="shared" si="28"/>
        <v/>
      </c>
      <c r="CC181" s="98" t="str">
        <f t="shared" si="29"/>
        <v/>
      </c>
      <c r="CD181" s="101" t="str">
        <f>IF($A181="","",IF(OR($CB181="?",$CC181="?"),"?",MIN($CB181*$CC181,'Technical Premium'!$C$17)))</f>
        <v/>
      </c>
      <c r="CE181" s="100" t="str">
        <f t="shared" si="30"/>
        <v/>
      </c>
      <c r="CF181" s="100" t="str">
        <f>IF($A181="","",IFERROR(INDEX('Territory Factors'!$F$6:$F$56,MATCH($K181,'Territory Factors'!$B$6:$B$56,0)),"?"))</f>
        <v/>
      </c>
      <c r="CG181" s="98" t="str">
        <f>IF($A181="","",IFERROR(INDEX('Usage and Coverage'!$C$79:$C$84,MATCH($Y181,'Usage and Coverage'!$B$79:$B$84,0)),"?"))</f>
        <v/>
      </c>
      <c r="CH181" s="100" t="str">
        <f>IFERROR(IF(ISNUMBER($CD181),$CF181*$CG181*MIN($BG181*$BA181*$BC181*$BD181*$BH181*$BF181,'Technical Premium'!$C$17),""),"")</f>
        <v/>
      </c>
      <c r="CI181" s="100" t="str">
        <f t="shared" si="31"/>
        <v/>
      </c>
      <c r="CJ181" s="100" t="str">
        <f>IFERROR($CI181*(1+'Technical Premium'!$C$5)*(1+'Technical Premium'!$C$6),"")</f>
        <v/>
      </c>
      <c r="CK181" s="100" t="str">
        <f>IFERROR($CE181*INDEX('Territory Factors'!$G$6:$G$56,MATCH($K181,'Territory Factors'!$B$6:$B$56,0))*$AU181*$AV181,"")</f>
        <v/>
      </c>
      <c r="CL181" s="100" t="str">
        <f>IFERROR(($CJ181+$CK181)*(1+'Technical Premium'!$C$7),"")</f>
        <v/>
      </c>
      <c r="CM181" s="102" t="str">
        <f>IFERROR($CL181/'Technical Premium'!$C$13,"")</f>
        <v/>
      </c>
      <c r="CN181" s="103" t="str">
        <f t="shared" si="32"/>
        <v/>
      </c>
      <c r="CO181" s="102" t="str">
        <f t="shared" si="33"/>
        <v/>
      </c>
      <c r="CP181" s="103" t="str">
        <f t="shared" si="34"/>
        <v/>
      </c>
      <c r="CQ181" s="104" t="str">
        <f t="shared" si="35"/>
        <v/>
      </c>
      <c r="CR181" s="100" t="str">
        <f>IF(ISNUMBER($CM181),'Technical Premium'!$C$14+IF($J181&gt;=1000000,'Technical Premium'!$C$15,0),"")</f>
        <v/>
      </c>
      <c r="CS181" s="100" t="str">
        <f>IFERROR(($CO181+$CR181)*(INDEX('Territory Factors'!$K$6:$K$56,MATCH($K181,'Territory Factors'!$B$6:$B$56,0))+'Commission Structure'!$C$21),"")</f>
        <v/>
      </c>
      <c r="CT181" s="102" t="str">
        <f t="shared" si="36"/>
        <v/>
      </c>
      <c r="CU181" s="100" t="str">
        <f>IFERROR($CO181*('Commission Structure'!$C$6+'Commission Structure'!$C$7),"")</f>
        <v/>
      </c>
      <c r="CV181" s="100" t="str">
        <f>IFERROR($CO181*'Commission Structure'!$C$5-$CU181,"")</f>
        <v/>
      </c>
      <c r="CW181" s="100" t="str">
        <f>IFERROR($CO181*(1-'Commission Structure'!$C$5),"")</f>
        <v/>
      </c>
      <c r="CX181" s="105" t="str">
        <f>IF($A181="","",IF(OR($CB181="?",$CC181="?",NOT(ISNUMBER($AU181))),"CHECK INPUTS",IF(OR($J181&lt;'Technical Premium'!$C$18,LEFT(IFERROR(INDEX('Driver Factors'!$D$6:$D$15,MATCH($R181,'Driver Factors'!$B$6:$B$15,0)),""),7)="DECLINE",LEFT(IFERROR(INDEX('Driver Factors'!$D$28:$D$36,MATCH($T181,'Driver Factors'!$B$28:$B$36,0)),""),7)="DECLINE",LEFT(IFERROR(INDEX('Claims History'!$D$6:$D$15,MATCH($U181,'Claims History'!$B$6:$B$15,0)),""),7)="DECLINE",LEFT(IFERROR(INDEX('Usage and Coverage'!$E$6:$E$20,MATCH($N181,'Usage and Coverage'!$C$6:$C$20,0)),""),7)="DECLINE"),"DECLINE",IF(OR($CD181&gt;2.5,$CD181&gt;='Technical Premium'!$C$17,$J181&gt;='Technical Premium'!$C$16,N($AQ181)&lt;'Technical Premium'!$C$19,N($AQ181)&gt;'Technical Premium'!$C$20,LEFT(IFERROR(INDEX('Driver Factors'!$D$6:$D$15,MATCH($R181,'Driver Factors'!$B$6:$B$15,0)),""),5)="Refer",LEFT(IFERROR(INDEX('Driver Factors'!$D$28:$D$36,MATCH($T181,'Driver Factors'!$B$28:$B$36,0)),""),5)="Refer",LEFT(IFERROR(INDEX('Claims History'!$D$6:$D$15,MATCH($U181,'Claims History'!$B$6:$B$15,0)),""),5)="Refer",LEFT(IFERROR(INDEX('Usage and Coverage'!$E$6:$E$20,MATCH($N181,'Usage and Coverage'!$C$6:$C$20,0)),""),5)="Refer"),"REFER","AUTO-BIND"))))</f>
        <v/>
      </c>
      <c r="CY181" s="106" t="str">
        <f t="shared" si="37"/>
        <v/>
      </c>
      <c r="CZ181" s="97" t="str">
        <f>IF($CY181="","",IF($CY181&lt;'Technical Premium'!$C$19,"BEYOND AUTHORITY",IF($CY181&gt;0.005,"Above technical",IF($CY181&lt;-0.005,"BELOW technical","At technical"))))</f>
        <v/>
      </c>
      <c r="DA181" s="97" t="str">
        <f>IF($A181="","",IF($CX181="AUTO-BIND","",TRIM(IF($J181&lt;'Technical Premium'!$C$18,"Below programme minimum agreed value. ","")&amp;IF(N($AQ181)&lt;'Technical Premium'!$C$19,"DISCOUNT AUTHORITY BREACH. ","")&amp;IF(N($AQ181)&gt;'Technical Premium'!$C$20,"Load authority breach. ","")&amp;IF($J181&gt;='Technical Premium'!$C$16,"Agreed value at or above auto-bind limit. ","")&amp;IF(AND(ISNUMBER($CD181),$CD181&gt;='Technical Premium'!$C$17),"Composite factor at cap. ","")&amp;IF(AND(ISNUMBER($CD181),$CD181&gt;2.5),"Composite factor above 2.50. ","")&amp;IF(LEFT(IFERROR(INDEX('Driver Factors'!$D$6:$D$15,MATCH($R181,'Driver Factors'!$B$6:$B$15,0)),""),7)="DECLINE","DECLINE - driver age. ",IF(LEFT(IFERROR(INDEX('Driver Factors'!$D$6:$D$15,MATCH($R181,'Driver Factors'!$B$6:$B$15,0)),""),5)="Refer","Driver age band. ",""))&amp;IF(LEFT(IFERROR(INDEX('Driver Factors'!$D$28:$D$36,MATCH($T181,'Driver Factors'!$B$28:$B$36,0)),""),7)="DECLINE","DECLINE - MVR. ",IF(LEFT(IFERROR(INDEX('Driver Factors'!$D$28:$D$36,MATCH($T181,'Driver Factors'!$B$28:$B$36,0)),""),5)="Refer","MVR record. ",""))&amp;IF(LEFT(IFERROR(INDEX('Claims History'!$D$6:$D$15,MATCH($U181,'Claims History'!$B$6:$B$15,0)),""),7)="DECLINE","DECLINE - claims. ",IF(LEFT(IFERROR(INDEX('Claims History'!$D$6:$D$15,MATCH($U181,'Claims History'!$B$6:$B$15,0)),""),5)="Refer","Claims history. ",""))&amp;IF(LEFT(IFERROR(INDEX('Usage and Coverage'!$E$6:$E$20,MATCH($N181,'Usage and Coverage'!$C$6:$C$20,0)),""),7)="DECLINE","DECLINE - usage class. ",IF(LEFT(IFERROR(INDEX('Usage and Coverage'!$E$6:$E$20,MATCH($N181,'Usage and Coverage'!$C$6:$C$20,0)),""),5)="Refer","Usage class. ",""))&amp;IF($CX181="CHECK INPUTS","Incomplete inputs. ",""))))</f>
        <v/>
      </c>
      <c r="DB181" s="92"/>
      <c r="DC181" s="92"/>
      <c r="DD181" s="93"/>
      <c r="DE181" s="92"/>
      <c r="DF181" s="92"/>
      <c r="DG181" s="97" t="str">
        <f t="shared" si="38"/>
        <v/>
      </c>
      <c r="DH181" s="97" t="str">
        <f>IF($A181="","",IF(OR($CX181="REFER",$CX181="DECLINE"),COUNTIF($CX$5:$CX181,"REFER")+COUNTIF($CX$5:$CX181,"DECLINE"),""))</f>
        <v/>
      </c>
      <c r="DI181" s="92"/>
    </row>
    <row r="182" spans="1:113" x14ac:dyDescent="0.25">
      <c r="A182" s="92"/>
      <c r="B182" s="92"/>
      <c r="C182" s="93"/>
      <c r="D182" s="93"/>
      <c r="E182" s="94"/>
      <c r="F182" s="92"/>
      <c r="G182" s="92"/>
      <c r="H182" s="92"/>
      <c r="I182" s="92"/>
      <c r="J182" s="95"/>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6"/>
      <c r="AR182" s="97" t="str">
        <f t="shared" si="26"/>
        <v/>
      </c>
      <c r="AS182" s="97" t="str">
        <f>IF($A182="","",IF($AP182&lt;&gt;"",$AP182,IFERROR(INDEX('Cat Zone by ZIP'!$D$6:$D$856,MATCH($AR182,'Cat Zone by ZIP'!$B$6:$B$856,0)),IFERROR(INDEX('Cat Zone by ZIP'!$C$860:$C$910,MATCH($K182,'Cat Zone by ZIP'!$B$860:$B$910,0)),"NOT FOUND"))))</f>
        <v/>
      </c>
      <c r="AT182" s="97" t="str">
        <f>IF($A182="","",IF($AP182&lt;&gt;"","Override",IF(ISNUMBER(MATCH($AR182,'Cat Zone by ZIP'!$B$6:$B$856,0)),"ZIP-3","State default")))</f>
        <v/>
      </c>
      <c r="AU182" s="98" t="str">
        <f>IF($A182="","",IFERROR(INDEX('Natural Catastrophe'!$D$6:$D$17,MATCH($AS182,'Natural Catastrophe'!$B$6:$B$17,0)),"?"))</f>
        <v/>
      </c>
      <c r="AV182" s="98" t="str">
        <f>IF($A182="","",IFERROR(INDEX('Natural Catastrophe'!$C$21:$C$26,MATCH($AA182,'Natural Catastrophe'!$B$21:$B$26,0)),"?"))</f>
        <v/>
      </c>
      <c r="AW182" s="97" t="str">
        <f>IF($A182="","",IFERROR(INDEX('Base Rates'!$C$4:$I$4,MATCH(MAX($J182,'Technical Premium'!$C$18),'Base Rates'!$C$3:$I$3,1)),"?"))</f>
        <v/>
      </c>
      <c r="AX182" s="99" t="str">
        <f>IF($A182="","",IFERROR(INDEX('Base Rates'!$C$5:$I$16,MATCH($I182,'Base Rates'!$B$5:$B$16,0),MATCH(MAX($J182,'Technical Premium'!$C$18),'Base Rates'!$C$3:$I$3,1)),"?"))</f>
        <v/>
      </c>
      <c r="AY182" s="100" t="str">
        <f t="shared" si="27"/>
        <v/>
      </c>
      <c r="AZ182" s="97" t="str">
        <f>IF($A182="","",IFERROR(INDEX('Make Factors'!$G$5:$G$69,MATCH($F182,'Make Factors'!$B$5:$B$69,0)),"?"))</f>
        <v/>
      </c>
      <c r="BA182" s="97" t="str">
        <f>IF($A182="","",IFERROR(INDEX('Driver Factors'!$C$6:$C$15,MATCH($R182,'Driver Factors'!$B$6:$B$15,0)),"?"))</f>
        <v/>
      </c>
      <c r="BB182" s="97" t="str">
        <f>IF($A182="","",IFERROR(INDEX('Driver Factors'!$C$19:$C$24,MATCH($S182,'Driver Factors'!$B$19:$B$24,0)),"?"))</f>
        <v/>
      </c>
      <c r="BC182" s="97" t="str">
        <f>IF($A182="","",IFERROR(INDEX('Driver Factors'!$C$28:$C$36,MATCH($T182,'Driver Factors'!$B$28:$B$36,0)),"?"))</f>
        <v/>
      </c>
      <c r="BD182" s="97" t="str">
        <f>IF($A182="","",IFERROR(INDEX('Claims History'!$C$6:$C$15,MATCH($U182,'Claims History'!$B$6:$B$15,0)),"?"))</f>
        <v/>
      </c>
      <c r="BE182" s="97" t="str">
        <f>IF($A182="","",IFERROR(INDEX('Territory Factors'!$E$6:$E$56,MATCH($K182,'Territory Factors'!$B$6:$B$56,0)),"?"))</f>
        <v/>
      </c>
      <c r="BF182" s="97" t="str">
        <f>IF($A182="","",IFERROR(INDEX('City Accident Ratings'!$G$6:$G$54,MATCH($Z182,'City Accident Ratings'!$B$6:$B$54,0)),"?"))</f>
        <v/>
      </c>
      <c r="BG182" s="97" t="str">
        <f>IF($A182="","",IFERROR(INDEX('Usage and Coverage'!$D$6:$D$20,MATCH($N182,'Usage and Coverage'!$C$6:$C$20,0)),"?"))</f>
        <v/>
      </c>
      <c r="BH182" s="97" t="str">
        <f>IF($A182="","",IFERROR(INDEX('Usage and Coverage'!$C$24:$C$30,MATCH($O182,'Usage and Coverage'!$B$24:$B$30,0)),"?"))</f>
        <v/>
      </c>
      <c r="BI182" s="97" t="str">
        <f>IF($A182="","",IFERROR(INDEX('Usage and Coverage'!$C$34:$C$40,MATCH($P182,'Usage and Coverage'!$B$34:$B$40,0)),"?"))</f>
        <v/>
      </c>
      <c r="BJ182" s="97" t="str">
        <f>IF($A182="","",IFERROR(INDEX('Usage and Coverage'!$C$44:$C$49,MATCH($Q182,'Usage and Coverage'!$B$44:$B$49,0)),"?"))</f>
        <v/>
      </c>
      <c r="BK182" s="97" t="str">
        <f>IF($A182="","",IFERROR(INDEX(Deductibles!$C$6:$I$15,MATCH($W182,Deductibles!$B$6:$B$15,0),MATCH(MAX($J182,'Technical Premium'!$C$18),'Base Rates'!$C$3:$I$3,1)),"?"))</f>
        <v/>
      </c>
      <c r="BL182" s="97" t="str">
        <f>IF($A182="","",IFERROR(INDEX('Usage and Coverage'!$C$63:$C$66,MATCH($X182,'Usage and Coverage'!$B$63:$B$66,0)),"?"))</f>
        <v/>
      </c>
      <c r="BM182" s="97" t="str">
        <f>IF($A182="","",IFERROR(INDEX('Usage and Coverage'!$C$70:$C$75,MATCH($V182,'Usage and Coverage'!$B$70:$B$75,0)),"?"))</f>
        <v/>
      </c>
      <c r="BN182" s="97" t="str">
        <f>IF($A182="","",IF($AB182="",1,IFERROR(INDEX(Deductibles!$C$48:$C$51,MATCH($AB182,Deductibles!$B$48:$B$51,0)),"?")))</f>
        <v/>
      </c>
      <c r="BO182" s="97" t="str">
        <f>IF($A182="","",IF($AC182="",1,IFERROR(INDEX(Deductibles!$C$55:$C$57,MATCH($AC182,Deductibles!$B$55:$B$57,0)),"?")))</f>
        <v/>
      </c>
      <c r="BP182" s="97" t="str">
        <f>IF($A182="","",IF($AD182="",1,IFERROR(INDEX(Deductibles!$C$61:$C$63,MATCH($AD182,Deductibles!$B$61:$B$63,0)),"?")))</f>
        <v/>
      </c>
      <c r="BQ182" s="97" t="str">
        <f>IF($A182="","",IF($AE182="",1,IFERROR(INDEX(Deductibles!$C$67:$C$69,MATCH($AE182,Deductibles!$B$67:$B$69,0)),"?")))</f>
        <v/>
      </c>
      <c r="BR182" s="97" t="str">
        <f>IF($A182="","",IF($AF182="",1,IFERROR(INDEX(Deductibles!$C$73:$C$74,MATCH($AF182,Deductibles!$B$73:$B$74,0)),"?")))</f>
        <v/>
      </c>
      <c r="BS182" s="97" t="str">
        <f>IF($A182="","",IF($AG182="",1,IFERROR(INDEX('Sublimits and Parts'!$C$49:$C$52,MATCH($AG182,'Sublimits and Parts'!$B$49:$B$52,0)),"?")))</f>
        <v/>
      </c>
      <c r="BT182" s="97" t="str">
        <f>IF($A182="","",IF($AH182="",1,IFERROR(INDEX('Sublimits and Parts'!$C$56:$C$60,MATCH($AH182,'Sublimits and Parts'!$B$56:$B$60,0)),"?")))</f>
        <v/>
      </c>
      <c r="BU182" s="97" t="str">
        <f>IF($A182="","",IF($AI182="",1,IFERROR(INDEX('Sublimits and Parts'!$C$64:$C$67,MATCH($AI182,'Sublimits and Parts'!$B$64:$B$67,0)),"?")))</f>
        <v/>
      </c>
      <c r="BV182" s="97" t="str">
        <f>IF($A182="","",IF($AJ182="",1,IFERROR(INDEX('Sublimits and Parts'!$C$71:$C$74,MATCH($AJ182,'Sublimits and Parts'!$B$71:$B$74,0)),"?")))</f>
        <v/>
      </c>
      <c r="BW182" s="97" t="str">
        <f>IF($A182="","",IF($AK182="",1,IFERROR(INDEX('Sublimits and Parts'!$C$78:$C$80,MATCH($AK182,'Sublimits and Parts'!$B$78:$B$80,0)),"?")))</f>
        <v/>
      </c>
      <c r="BX182" s="97" t="str">
        <f>IF($A182="","",IF($AL182="",1,IFERROR(INDEX('Sublimits and Parts'!$C$84:$C$87,MATCH($AL182,'Sublimits and Parts'!$B$84:$B$87,0)),"?")))</f>
        <v/>
      </c>
      <c r="BY182" s="97" t="str">
        <f>IF($A182="","",IF($AM182="",1,IFERROR(INDEX('Sublimits and Parts'!$C$91:$C$94,MATCH($AM182,'Sublimits and Parts'!$B$91:$B$94,0)),"?")))</f>
        <v/>
      </c>
      <c r="BZ182" s="97" t="str">
        <f>IF($A182="","",IF($AN182="",1,IFERROR(INDEX('Sublimits and Parts'!$C$98:$C$101,MATCH($AN182,'Sublimits and Parts'!$B$98:$B$101,0)),"?")))</f>
        <v/>
      </c>
      <c r="CA182" s="97" t="str">
        <f>IF($A182="","",IF($AO182="",1,IFERROR(INDEX('Sublimits and Parts'!$C$105:$C$109,MATCH($AO182,'Sublimits and Parts'!$B$105:$B$109,0)),"?")))</f>
        <v/>
      </c>
      <c r="CB182" s="98" t="str">
        <f t="shared" si="28"/>
        <v/>
      </c>
      <c r="CC182" s="98" t="str">
        <f t="shared" si="29"/>
        <v/>
      </c>
      <c r="CD182" s="101" t="str">
        <f>IF($A182="","",IF(OR($CB182="?",$CC182="?"),"?",MIN($CB182*$CC182,'Technical Premium'!$C$17)))</f>
        <v/>
      </c>
      <c r="CE182" s="100" t="str">
        <f t="shared" si="30"/>
        <v/>
      </c>
      <c r="CF182" s="100" t="str">
        <f>IF($A182="","",IFERROR(INDEX('Territory Factors'!$F$6:$F$56,MATCH($K182,'Territory Factors'!$B$6:$B$56,0)),"?"))</f>
        <v/>
      </c>
      <c r="CG182" s="98" t="str">
        <f>IF($A182="","",IFERROR(INDEX('Usage and Coverage'!$C$79:$C$84,MATCH($Y182,'Usage and Coverage'!$B$79:$B$84,0)),"?"))</f>
        <v/>
      </c>
      <c r="CH182" s="100" t="str">
        <f>IFERROR(IF(ISNUMBER($CD182),$CF182*$CG182*MIN($BG182*$BA182*$BC182*$BD182*$BH182*$BF182,'Technical Premium'!$C$17),""),"")</f>
        <v/>
      </c>
      <c r="CI182" s="100" t="str">
        <f t="shared" si="31"/>
        <v/>
      </c>
      <c r="CJ182" s="100" t="str">
        <f>IFERROR($CI182*(1+'Technical Premium'!$C$5)*(1+'Technical Premium'!$C$6),"")</f>
        <v/>
      </c>
      <c r="CK182" s="100" t="str">
        <f>IFERROR($CE182*INDEX('Territory Factors'!$G$6:$G$56,MATCH($K182,'Territory Factors'!$B$6:$B$56,0))*$AU182*$AV182,"")</f>
        <v/>
      </c>
      <c r="CL182" s="100" t="str">
        <f>IFERROR(($CJ182+$CK182)*(1+'Technical Premium'!$C$7),"")</f>
        <v/>
      </c>
      <c r="CM182" s="102" t="str">
        <f>IFERROR($CL182/'Technical Premium'!$C$13,"")</f>
        <v/>
      </c>
      <c r="CN182" s="103" t="str">
        <f t="shared" si="32"/>
        <v/>
      </c>
      <c r="CO182" s="102" t="str">
        <f t="shared" si="33"/>
        <v/>
      </c>
      <c r="CP182" s="103" t="str">
        <f t="shared" si="34"/>
        <v/>
      </c>
      <c r="CQ182" s="104" t="str">
        <f t="shared" si="35"/>
        <v/>
      </c>
      <c r="CR182" s="100" t="str">
        <f>IF(ISNUMBER($CM182),'Technical Premium'!$C$14+IF($J182&gt;=1000000,'Technical Premium'!$C$15,0),"")</f>
        <v/>
      </c>
      <c r="CS182" s="100" t="str">
        <f>IFERROR(($CO182+$CR182)*(INDEX('Territory Factors'!$K$6:$K$56,MATCH($K182,'Territory Factors'!$B$6:$B$56,0))+'Commission Structure'!$C$21),"")</f>
        <v/>
      </c>
      <c r="CT182" s="102" t="str">
        <f t="shared" si="36"/>
        <v/>
      </c>
      <c r="CU182" s="100" t="str">
        <f>IFERROR($CO182*('Commission Structure'!$C$6+'Commission Structure'!$C$7),"")</f>
        <v/>
      </c>
      <c r="CV182" s="100" t="str">
        <f>IFERROR($CO182*'Commission Structure'!$C$5-$CU182,"")</f>
        <v/>
      </c>
      <c r="CW182" s="100" t="str">
        <f>IFERROR($CO182*(1-'Commission Structure'!$C$5),"")</f>
        <v/>
      </c>
      <c r="CX182" s="105" t="str">
        <f>IF($A182="","",IF(OR($CB182="?",$CC182="?",NOT(ISNUMBER($AU182))),"CHECK INPUTS",IF(OR($J182&lt;'Technical Premium'!$C$18,LEFT(IFERROR(INDEX('Driver Factors'!$D$6:$D$15,MATCH($R182,'Driver Factors'!$B$6:$B$15,0)),""),7)="DECLINE",LEFT(IFERROR(INDEX('Driver Factors'!$D$28:$D$36,MATCH($T182,'Driver Factors'!$B$28:$B$36,0)),""),7)="DECLINE",LEFT(IFERROR(INDEX('Claims History'!$D$6:$D$15,MATCH($U182,'Claims History'!$B$6:$B$15,0)),""),7)="DECLINE",LEFT(IFERROR(INDEX('Usage and Coverage'!$E$6:$E$20,MATCH($N182,'Usage and Coverage'!$C$6:$C$20,0)),""),7)="DECLINE"),"DECLINE",IF(OR($CD182&gt;2.5,$CD182&gt;='Technical Premium'!$C$17,$J182&gt;='Technical Premium'!$C$16,N($AQ182)&lt;'Technical Premium'!$C$19,N($AQ182)&gt;'Technical Premium'!$C$20,LEFT(IFERROR(INDEX('Driver Factors'!$D$6:$D$15,MATCH($R182,'Driver Factors'!$B$6:$B$15,0)),""),5)="Refer",LEFT(IFERROR(INDEX('Driver Factors'!$D$28:$D$36,MATCH($T182,'Driver Factors'!$B$28:$B$36,0)),""),5)="Refer",LEFT(IFERROR(INDEX('Claims History'!$D$6:$D$15,MATCH($U182,'Claims History'!$B$6:$B$15,0)),""),5)="Refer",LEFT(IFERROR(INDEX('Usage and Coverage'!$E$6:$E$20,MATCH($N182,'Usage and Coverage'!$C$6:$C$20,0)),""),5)="Refer"),"REFER","AUTO-BIND"))))</f>
        <v/>
      </c>
      <c r="CY182" s="106" t="str">
        <f t="shared" si="37"/>
        <v/>
      </c>
      <c r="CZ182" s="97" t="str">
        <f>IF($CY182="","",IF($CY182&lt;'Technical Premium'!$C$19,"BEYOND AUTHORITY",IF($CY182&gt;0.005,"Above technical",IF($CY182&lt;-0.005,"BELOW technical","At technical"))))</f>
        <v/>
      </c>
      <c r="DA182" s="97" t="str">
        <f>IF($A182="","",IF($CX182="AUTO-BIND","",TRIM(IF($J182&lt;'Technical Premium'!$C$18,"Below programme minimum agreed value. ","")&amp;IF(N($AQ182)&lt;'Technical Premium'!$C$19,"DISCOUNT AUTHORITY BREACH. ","")&amp;IF(N($AQ182)&gt;'Technical Premium'!$C$20,"Load authority breach. ","")&amp;IF($J182&gt;='Technical Premium'!$C$16,"Agreed value at or above auto-bind limit. ","")&amp;IF(AND(ISNUMBER($CD182),$CD182&gt;='Technical Premium'!$C$17),"Composite factor at cap. ","")&amp;IF(AND(ISNUMBER($CD182),$CD182&gt;2.5),"Composite factor above 2.50. ","")&amp;IF(LEFT(IFERROR(INDEX('Driver Factors'!$D$6:$D$15,MATCH($R182,'Driver Factors'!$B$6:$B$15,0)),""),7)="DECLINE","DECLINE - driver age. ",IF(LEFT(IFERROR(INDEX('Driver Factors'!$D$6:$D$15,MATCH($R182,'Driver Factors'!$B$6:$B$15,0)),""),5)="Refer","Driver age band. ",""))&amp;IF(LEFT(IFERROR(INDEX('Driver Factors'!$D$28:$D$36,MATCH($T182,'Driver Factors'!$B$28:$B$36,0)),""),7)="DECLINE","DECLINE - MVR. ",IF(LEFT(IFERROR(INDEX('Driver Factors'!$D$28:$D$36,MATCH($T182,'Driver Factors'!$B$28:$B$36,0)),""),5)="Refer","MVR record. ",""))&amp;IF(LEFT(IFERROR(INDEX('Claims History'!$D$6:$D$15,MATCH($U182,'Claims History'!$B$6:$B$15,0)),""),7)="DECLINE","DECLINE - claims. ",IF(LEFT(IFERROR(INDEX('Claims History'!$D$6:$D$15,MATCH($U182,'Claims History'!$B$6:$B$15,0)),""),5)="Refer","Claims history. ",""))&amp;IF(LEFT(IFERROR(INDEX('Usage and Coverage'!$E$6:$E$20,MATCH($N182,'Usage and Coverage'!$C$6:$C$20,0)),""),7)="DECLINE","DECLINE - usage class. ",IF(LEFT(IFERROR(INDEX('Usage and Coverage'!$E$6:$E$20,MATCH($N182,'Usage and Coverage'!$C$6:$C$20,0)),""),5)="Refer","Usage class. ",""))&amp;IF($CX182="CHECK INPUTS","Incomplete inputs. ",""))))</f>
        <v/>
      </c>
      <c r="DB182" s="92"/>
      <c r="DC182" s="92"/>
      <c r="DD182" s="93"/>
      <c r="DE182" s="92"/>
      <c r="DF182" s="92"/>
      <c r="DG182" s="97" t="str">
        <f t="shared" si="38"/>
        <v/>
      </c>
      <c r="DH182" s="97" t="str">
        <f>IF($A182="","",IF(OR($CX182="REFER",$CX182="DECLINE"),COUNTIF($CX$5:$CX182,"REFER")+COUNTIF($CX$5:$CX182,"DECLINE"),""))</f>
        <v/>
      </c>
      <c r="DI182" s="92"/>
    </row>
    <row r="183" spans="1:113" x14ac:dyDescent="0.25">
      <c r="A183" s="92"/>
      <c r="B183" s="92"/>
      <c r="C183" s="93"/>
      <c r="D183" s="93"/>
      <c r="E183" s="94"/>
      <c r="F183" s="92"/>
      <c r="G183" s="92"/>
      <c r="H183" s="92"/>
      <c r="I183" s="92"/>
      <c r="J183" s="95"/>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6"/>
      <c r="AR183" s="97" t="str">
        <f t="shared" si="26"/>
        <v/>
      </c>
      <c r="AS183" s="97" t="str">
        <f>IF($A183="","",IF($AP183&lt;&gt;"",$AP183,IFERROR(INDEX('Cat Zone by ZIP'!$D$6:$D$856,MATCH($AR183,'Cat Zone by ZIP'!$B$6:$B$856,0)),IFERROR(INDEX('Cat Zone by ZIP'!$C$860:$C$910,MATCH($K183,'Cat Zone by ZIP'!$B$860:$B$910,0)),"NOT FOUND"))))</f>
        <v/>
      </c>
      <c r="AT183" s="97" t="str">
        <f>IF($A183="","",IF($AP183&lt;&gt;"","Override",IF(ISNUMBER(MATCH($AR183,'Cat Zone by ZIP'!$B$6:$B$856,0)),"ZIP-3","State default")))</f>
        <v/>
      </c>
      <c r="AU183" s="98" t="str">
        <f>IF($A183="","",IFERROR(INDEX('Natural Catastrophe'!$D$6:$D$17,MATCH($AS183,'Natural Catastrophe'!$B$6:$B$17,0)),"?"))</f>
        <v/>
      </c>
      <c r="AV183" s="98" t="str">
        <f>IF($A183="","",IFERROR(INDEX('Natural Catastrophe'!$C$21:$C$26,MATCH($AA183,'Natural Catastrophe'!$B$21:$B$26,0)),"?"))</f>
        <v/>
      </c>
      <c r="AW183" s="97" t="str">
        <f>IF($A183="","",IFERROR(INDEX('Base Rates'!$C$4:$I$4,MATCH(MAX($J183,'Technical Premium'!$C$18),'Base Rates'!$C$3:$I$3,1)),"?"))</f>
        <v/>
      </c>
      <c r="AX183" s="99" t="str">
        <f>IF($A183="","",IFERROR(INDEX('Base Rates'!$C$5:$I$16,MATCH($I183,'Base Rates'!$B$5:$B$16,0),MATCH(MAX($J183,'Technical Premium'!$C$18),'Base Rates'!$C$3:$I$3,1)),"?"))</f>
        <v/>
      </c>
      <c r="AY183" s="100" t="str">
        <f t="shared" si="27"/>
        <v/>
      </c>
      <c r="AZ183" s="97" t="str">
        <f>IF($A183="","",IFERROR(INDEX('Make Factors'!$G$5:$G$69,MATCH($F183,'Make Factors'!$B$5:$B$69,0)),"?"))</f>
        <v/>
      </c>
      <c r="BA183" s="97" t="str">
        <f>IF($A183="","",IFERROR(INDEX('Driver Factors'!$C$6:$C$15,MATCH($R183,'Driver Factors'!$B$6:$B$15,0)),"?"))</f>
        <v/>
      </c>
      <c r="BB183" s="97" t="str">
        <f>IF($A183="","",IFERROR(INDEX('Driver Factors'!$C$19:$C$24,MATCH($S183,'Driver Factors'!$B$19:$B$24,0)),"?"))</f>
        <v/>
      </c>
      <c r="BC183" s="97" t="str">
        <f>IF($A183="","",IFERROR(INDEX('Driver Factors'!$C$28:$C$36,MATCH($T183,'Driver Factors'!$B$28:$B$36,0)),"?"))</f>
        <v/>
      </c>
      <c r="BD183" s="97" t="str">
        <f>IF($A183="","",IFERROR(INDEX('Claims History'!$C$6:$C$15,MATCH($U183,'Claims History'!$B$6:$B$15,0)),"?"))</f>
        <v/>
      </c>
      <c r="BE183" s="97" t="str">
        <f>IF($A183="","",IFERROR(INDEX('Territory Factors'!$E$6:$E$56,MATCH($K183,'Territory Factors'!$B$6:$B$56,0)),"?"))</f>
        <v/>
      </c>
      <c r="BF183" s="97" t="str">
        <f>IF($A183="","",IFERROR(INDEX('City Accident Ratings'!$G$6:$G$54,MATCH($Z183,'City Accident Ratings'!$B$6:$B$54,0)),"?"))</f>
        <v/>
      </c>
      <c r="BG183" s="97" t="str">
        <f>IF($A183="","",IFERROR(INDEX('Usage and Coverage'!$D$6:$D$20,MATCH($N183,'Usage and Coverage'!$C$6:$C$20,0)),"?"))</f>
        <v/>
      </c>
      <c r="BH183" s="97" t="str">
        <f>IF($A183="","",IFERROR(INDEX('Usage and Coverage'!$C$24:$C$30,MATCH($O183,'Usage and Coverage'!$B$24:$B$30,0)),"?"))</f>
        <v/>
      </c>
      <c r="BI183" s="97" t="str">
        <f>IF($A183="","",IFERROR(INDEX('Usage and Coverage'!$C$34:$C$40,MATCH($P183,'Usage and Coverage'!$B$34:$B$40,0)),"?"))</f>
        <v/>
      </c>
      <c r="BJ183" s="97" t="str">
        <f>IF($A183="","",IFERROR(INDEX('Usage and Coverage'!$C$44:$C$49,MATCH($Q183,'Usage and Coverage'!$B$44:$B$49,0)),"?"))</f>
        <v/>
      </c>
      <c r="BK183" s="97" t="str">
        <f>IF($A183="","",IFERROR(INDEX(Deductibles!$C$6:$I$15,MATCH($W183,Deductibles!$B$6:$B$15,0),MATCH(MAX($J183,'Technical Premium'!$C$18),'Base Rates'!$C$3:$I$3,1)),"?"))</f>
        <v/>
      </c>
      <c r="BL183" s="97" t="str">
        <f>IF($A183="","",IFERROR(INDEX('Usage and Coverage'!$C$63:$C$66,MATCH($X183,'Usage and Coverage'!$B$63:$B$66,0)),"?"))</f>
        <v/>
      </c>
      <c r="BM183" s="97" t="str">
        <f>IF($A183="","",IFERROR(INDEX('Usage and Coverage'!$C$70:$C$75,MATCH($V183,'Usage and Coverage'!$B$70:$B$75,0)),"?"))</f>
        <v/>
      </c>
      <c r="BN183" s="97" t="str">
        <f>IF($A183="","",IF($AB183="",1,IFERROR(INDEX(Deductibles!$C$48:$C$51,MATCH($AB183,Deductibles!$B$48:$B$51,0)),"?")))</f>
        <v/>
      </c>
      <c r="BO183" s="97" t="str">
        <f>IF($A183="","",IF($AC183="",1,IFERROR(INDEX(Deductibles!$C$55:$C$57,MATCH($AC183,Deductibles!$B$55:$B$57,0)),"?")))</f>
        <v/>
      </c>
      <c r="BP183" s="97" t="str">
        <f>IF($A183="","",IF($AD183="",1,IFERROR(INDEX(Deductibles!$C$61:$C$63,MATCH($AD183,Deductibles!$B$61:$B$63,0)),"?")))</f>
        <v/>
      </c>
      <c r="BQ183" s="97" t="str">
        <f>IF($A183="","",IF($AE183="",1,IFERROR(INDEX(Deductibles!$C$67:$C$69,MATCH($AE183,Deductibles!$B$67:$B$69,0)),"?")))</f>
        <v/>
      </c>
      <c r="BR183" s="97" t="str">
        <f>IF($A183="","",IF($AF183="",1,IFERROR(INDEX(Deductibles!$C$73:$C$74,MATCH($AF183,Deductibles!$B$73:$B$74,0)),"?")))</f>
        <v/>
      </c>
      <c r="BS183" s="97" t="str">
        <f>IF($A183="","",IF($AG183="",1,IFERROR(INDEX('Sublimits and Parts'!$C$49:$C$52,MATCH($AG183,'Sublimits and Parts'!$B$49:$B$52,0)),"?")))</f>
        <v/>
      </c>
      <c r="BT183" s="97" t="str">
        <f>IF($A183="","",IF($AH183="",1,IFERROR(INDEX('Sublimits and Parts'!$C$56:$C$60,MATCH($AH183,'Sublimits and Parts'!$B$56:$B$60,0)),"?")))</f>
        <v/>
      </c>
      <c r="BU183" s="97" t="str">
        <f>IF($A183="","",IF($AI183="",1,IFERROR(INDEX('Sublimits and Parts'!$C$64:$C$67,MATCH($AI183,'Sublimits and Parts'!$B$64:$B$67,0)),"?")))</f>
        <v/>
      </c>
      <c r="BV183" s="97" t="str">
        <f>IF($A183="","",IF($AJ183="",1,IFERROR(INDEX('Sublimits and Parts'!$C$71:$C$74,MATCH($AJ183,'Sublimits and Parts'!$B$71:$B$74,0)),"?")))</f>
        <v/>
      </c>
      <c r="BW183" s="97" t="str">
        <f>IF($A183="","",IF($AK183="",1,IFERROR(INDEX('Sublimits and Parts'!$C$78:$C$80,MATCH($AK183,'Sublimits and Parts'!$B$78:$B$80,0)),"?")))</f>
        <v/>
      </c>
      <c r="BX183" s="97" t="str">
        <f>IF($A183="","",IF($AL183="",1,IFERROR(INDEX('Sublimits and Parts'!$C$84:$C$87,MATCH($AL183,'Sublimits and Parts'!$B$84:$B$87,0)),"?")))</f>
        <v/>
      </c>
      <c r="BY183" s="97" t="str">
        <f>IF($A183="","",IF($AM183="",1,IFERROR(INDEX('Sublimits and Parts'!$C$91:$C$94,MATCH($AM183,'Sublimits and Parts'!$B$91:$B$94,0)),"?")))</f>
        <v/>
      </c>
      <c r="BZ183" s="97" t="str">
        <f>IF($A183="","",IF($AN183="",1,IFERROR(INDEX('Sublimits and Parts'!$C$98:$C$101,MATCH($AN183,'Sublimits and Parts'!$B$98:$B$101,0)),"?")))</f>
        <v/>
      </c>
      <c r="CA183" s="97" t="str">
        <f>IF($A183="","",IF($AO183="",1,IFERROR(INDEX('Sublimits and Parts'!$C$105:$C$109,MATCH($AO183,'Sublimits and Parts'!$B$105:$B$109,0)),"?")))</f>
        <v/>
      </c>
      <c r="CB183" s="98" t="str">
        <f t="shared" si="28"/>
        <v/>
      </c>
      <c r="CC183" s="98" t="str">
        <f t="shared" si="29"/>
        <v/>
      </c>
      <c r="CD183" s="101" t="str">
        <f>IF($A183="","",IF(OR($CB183="?",$CC183="?"),"?",MIN($CB183*$CC183,'Technical Premium'!$C$17)))</f>
        <v/>
      </c>
      <c r="CE183" s="100" t="str">
        <f t="shared" si="30"/>
        <v/>
      </c>
      <c r="CF183" s="100" t="str">
        <f>IF($A183="","",IFERROR(INDEX('Territory Factors'!$F$6:$F$56,MATCH($K183,'Territory Factors'!$B$6:$B$56,0)),"?"))</f>
        <v/>
      </c>
      <c r="CG183" s="98" t="str">
        <f>IF($A183="","",IFERROR(INDEX('Usage and Coverage'!$C$79:$C$84,MATCH($Y183,'Usage and Coverage'!$B$79:$B$84,0)),"?"))</f>
        <v/>
      </c>
      <c r="CH183" s="100" t="str">
        <f>IFERROR(IF(ISNUMBER($CD183),$CF183*$CG183*MIN($BG183*$BA183*$BC183*$BD183*$BH183*$BF183,'Technical Premium'!$C$17),""),"")</f>
        <v/>
      </c>
      <c r="CI183" s="100" t="str">
        <f t="shared" si="31"/>
        <v/>
      </c>
      <c r="CJ183" s="100" t="str">
        <f>IFERROR($CI183*(1+'Technical Premium'!$C$5)*(1+'Technical Premium'!$C$6),"")</f>
        <v/>
      </c>
      <c r="CK183" s="100" t="str">
        <f>IFERROR($CE183*INDEX('Territory Factors'!$G$6:$G$56,MATCH($K183,'Territory Factors'!$B$6:$B$56,0))*$AU183*$AV183,"")</f>
        <v/>
      </c>
      <c r="CL183" s="100" t="str">
        <f>IFERROR(($CJ183+$CK183)*(1+'Technical Premium'!$C$7),"")</f>
        <v/>
      </c>
      <c r="CM183" s="102" t="str">
        <f>IFERROR($CL183/'Technical Premium'!$C$13,"")</f>
        <v/>
      </c>
      <c r="CN183" s="103" t="str">
        <f t="shared" si="32"/>
        <v/>
      </c>
      <c r="CO183" s="102" t="str">
        <f t="shared" si="33"/>
        <v/>
      </c>
      <c r="CP183" s="103" t="str">
        <f t="shared" si="34"/>
        <v/>
      </c>
      <c r="CQ183" s="104" t="str">
        <f t="shared" si="35"/>
        <v/>
      </c>
      <c r="CR183" s="100" t="str">
        <f>IF(ISNUMBER($CM183),'Technical Premium'!$C$14+IF($J183&gt;=1000000,'Technical Premium'!$C$15,0),"")</f>
        <v/>
      </c>
      <c r="CS183" s="100" t="str">
        <f>IFERROR(($CO183+$CR183)*(INDEX('Territory Factors'!$K$6:$K$56,MATCH($K183,'Territory Factors'!$B$6:$B$56,0))+'Commission Structure'!$C$21),"")</f>
        <v/>
      </c>
      <c r="CT183" s="102" t="str">
        <f t="shared" si="36"/>
        <v/>
      </c>
      <c r="CU183" s="100" t="str">
        <f>IFERROR($CO183*('Commission Structure'!$C$6+'Commission Structure'!$C$7),"")</f>
        <v/>
      </c>
      <c r="CV183" s="100" t="str">
        <f>IFERROR($CO183*'Commission Structure'!$C$5-$CU183,"")</f>
        <v/>
      </c>
      <c r="CW183" s="100" t="str">
        <f>IFERROR($CO183*(1-'Commission Structure'!$C$5),"")</f>
        <v/>
      </c>
      <c r="CX183" s="105" t="str">
        <f>IF($A183="","",IF(OR($CB183="?",$CC183="?",NOT(ISNUMBER($AU183))),"CHECK INPUTS",IF(OR($J183&lt;'Technical Premium'!$C$18,LEFT(IFERROR(INDEX('Driver Factors'!$D$6:$D$15,MATCH($R183,'Driver Factors'!$B$6:$B$15,0)),""),7)="DECLINE",LEFT(IFERROR(INDEX('Driver Factors'!$D$28:$D$36,MATCH($T183,'Driver Factors'!$B$28:$B$36,0)),""),7)="DECLINE",LEFT(IFERROR(INDEX('Claims History'!$D$6:$D$15,MATCH($U183,'Claims History'!$B$6:$B$15,0)),""),7)="DECLINE",LEFT(IFERROR(INDEX('Usage and Coverage'!$E$6:$E$20,MATCH($N183,'Usage and Coverage'!$C$6:$C$20,0)),""),7)="DECLINE"),"DECLINE",IF(OR($CD183&gt;2.5,$CD183&gt;='Technical Premium'!$C$17,$J183&gt;='Technical Premium'!$C$16,N($AQ183)&lt;'Technical Premium'!$C$19,N($AQ183)&gt;'Technical Premium'!$C$20,LEFT(IFERROR(INDEX('Driver Factors'!$D$6:$D$15,MATCH($R183,'Driver Factors'!$B$6:$B$15,0)),""),5)="Refer",LEFT(IFERROR(INDEX('Driver Factors'!$D$28:$D$36,MATCH($T183,'Driver Factors'!$B$28:$B$36,0)),""),5)="Refer",LEFT(IFERROR(INDEX('Claims History'!$D$6:$D$15,MATCH($U183,'Claims History'!$B$6:$B$15,0)),""),5)="Refer",LEFT(IFERROR(INDEX('Usage and Coverage'!$E$6:$E$20,MATCH($N183,'Usage and Coverage'!$C$6:$C$20,0)),""),5)="Refer"),"REFER","AUTO-BIND"))))</f>
        <v/>
      </c>
      <c r="CY183" s="106" t="str">
        <f t="shared" si="37"/>
        <v/>
      </c>
      <c r="CZ183" s="97" t="str">
        <f>IF($CY183="","",IF($CY183&lt;'Technical Premium'!$C$19,"BEYOND AUTHORITY",IF($CY183&gt;0.005,"Above technical",IF($CY183&lt;-0.005,"BELOW technical","At technical"))))</f>
        <v/>
      </c>
      <c r="DA183" s="97" t="str">
        <f>IF($A183="","",IF($CX183="AUTO-BIND","",TRIM(IF($J183&lt;'Technical Premium'!$C$18,"Below programme minimum agreed value. ","")&amp;IF(N($AQ183)&lt;'Technical Premium'!$C$19,"DISCOUNT AUTHORITY BREACH. ","")&amp;IF(N($AQ183)&gt;'Technical Premium'!$C$20,"Load authority breach. ","")&amp;IF($J183&gt;='Technical Premium'!$C$16,"Agreed value at or above auto-bind limit. ","")&amp;IF(AND(ISNUMBER($CD183),$CD183&gt;='Technical Premium'!$C$17),"Composite factor at cap. ","")&amp;IF(AND(ISNUMBER($CD183),$CD183&gt;2.5),"Composite factor above 2.50. ","")&amp;IF(LEFT(IFERROR(INDEX('Driver Factors'!$D$6:$D$15,MATCH($R183,'Driver Factors'!$B$6:$B$15,0)),""),7)="DECLINE","DECLINE - driver age. ",IF(LEFT(IFERROR(INDEX('Driver Factors'!$D$6:$D$15,MATCH($R183,'Driver Factors'!$B$6:$B$15,0)),""),5)="Refer","Driver age band. ",""))&amp;IF(LEFT(IFERROR(INDEX('Driver Factors'!$D$28:$D$36,MATCH($T183,'Driver Factors'!$B$28:$B$36,0)),""),7)="DECLINE","DECLINE - MVR. ",IF(LEFT(IFERROR(INDEX('Driver Factors'!$D$28:$D$36,MATCH($T183,'Driver Factors'!$B$28:$B$36,0)),""),5)="Refer","MVR record. ",""))&amp;IF(LEFT(IFERROR(INDEX('Claims History'!$D$6:$D$15,MATCH($U183,'Claims History'!$B$6:$B$15,0)),""),7)="DECLINE","DECLINE - claims. ",IF(LEFT(IFERROR(INDEX('Claims History'!$D$6:$D$15,MATCH($U183,'Claims History'!$B$6:$B$15,0)),""),5)="Refer","Claims history. ",""))&amp;IF(LEFT(IFERROR(INDEX('Usage and Coverage'!$E$6:$E$20,MATCH($N183,'Usage and Coverage'!$C$6:$C$20,0)),""),7)="DECLINE","DECLINE - usage class. ",IF(LEFT(IFERROR(INDEX('Usage and Coverage'!$E$6:$E$20,MATCH($N183,'Usage and Coverage'!$C$6:$C$20,0)),""),5)="Refer","Usage class. ",""))&amp;IF($CX183="CHECK INPUTS","Incomplete inputs. ",""))))</f>
        <v/>
      </c>
      <c r="DB183" s="92"/>
      <c r="DC183" s="92"/>
      <c r="DD183" s="93"/>
      <c r="DE183" s="92"/>
      <c r="DF183" s="92"/>
      <c r="DG183" s="97" t="str">
        <f t="shared" si="38"/>
        <v/>
      </c>
      <c r="DH183" s="97" t="str">
        <f>IF($A183="","",IF(OR($CX183="REFER",$CX183="DECLINE"),COUNTIF($CX$5:$CX183,"REFER")+COUNTIF($CX$5:$CX183,"DECLINE"),""))</f>
        <v/>
      </c>
      <c r="DI183" s="92"/>
    </row>
    <row r="184" spans="1:113" x14ac:dyDescent="0.25">
      <c r="A184" s="92"/>
      <c r="B184" s="92"/>
      <c r="C184" s="93"/>
      <c r="D184" s="93"/>
      <c r="E184" s="94"/>
      <c r="F184" s="92"/>
      <c r="G184" s="92"/>
      <c r="H184" s="92"/>
      <c r="I184" s="92"/>
      <c r="J184" s="95"/>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6"/>
      <c r="AR184" s="97" t="str">
        <f t="shared" si="26"/>
        <v/>
      </c>
      <c r="AS184" s="97" t="str">
        <f>IF($A184="","",IF($AP184&lt;&gt;"",$AP184,IFERROR(INDEX('Cat Zone by ZIP'!$D$6:$D$856,MATCH($AR184,'Cat Zone by ZIP'!$B$6:$B$856,0)),IFERROR(INDEX('Cat Zone by ZIP'!$C$860:$C$910,MATCH($K184,'Cat Zone by ZIP'!$B$860:$B$910,0)),"NOT FOUND"))))</f>
        <v/>
      </c>
      <c r="AT184" s="97" t="str">
        <f>IF($A184="","",IF($AP184&lt;&gt;"","Override",IF(ISNUMBER(MATCH($AR184,'Cat Zone by ZIP'!$B$6:$B$856,0)),"ZIP-3","State default")))</f>
        <v/>
      </c>
      <c r="AU184" s="98" t="str">
        <f>IF($A184="","",IFERROR(INDEX('Natural Catastrophe'!$D$6:$D$17,MATCH($AS184,'Natural Catastrophe'!$B$6:$B$17,0)),"?"))</f>
        <v/>
      </c>
      <c r="AV184" s="98" t="str">
        <f>IF($A184="","",IFERROR(INDEX('Natural Catastrophe'!$C$21:$C$26,MATCH($AA184,'Natural Catastrophe'!$B$21:$B$26,0)),"?"))</f>
        <v/>
      </c>
      <c r="AW184" s="97" t="str">
        <f>IF($A184="","",IFERROR(INDEX('Base Rates'!$C$4:$I$4,MATCH(MAX($J184,'Technical Premium'!$C$18),'Base Rates'!$C$3:$I$3,1)),"?"))</f>
        <v/>
      </c>
      <c r="AX184" s="99" t="str">
        <f>IF($A184="","",IFERROR(INDEX('Base Rates'!$C$5:$I$16,MATCH($I184,'Base Rates'!$B$5:$B$16,0),MATCH(MAX($J184,'Technical Premium'!$C$18),'Base Rates'!$C$3:$I$3,1)),"?"))</f>
        <v/>
      </c>
      <c r="AY184" s="100" t="str">
        <f t="shared" si="27"/>
        <v/>
      </c>
      <c r="AZ184" s="97" t="str">
        <f>IF($A184="","",IFERROR(INDEX('Make Factors'!$G$5:$G$69,MATCH($F184,'Make Factors'!$B$5:$B$69,0)),"?"))</f>
        <v/>
      </c>
      <c r="BA184" s="97" t="str">
        <f>IF($A184="","",IFERROR(INDEX('Driver Factors'!$C$6:$C$15,MATCH($R184,'Driver Factors'!$B$6:$B$15,0)),"?"))</f>
        <v/>
      </c>
      <c r="BB184" s="97" t="str">
        <f>IF($A184="","",IFERROR(INDEX('Driver Factors'!$C$19:$C$24,MATCH($S184,'Driver Factors'!$B$19:$B$24,0)),"?"))</f>
        <v/>
      </c>
      <c r="BC184" s="97" t="str">
        <f>IF($A184="","",IFERROR(INDEX('Driver Factors'!$C$28:$C$36,MATCH($T184,'Driver Factors'!$B$28:$B$36,0)),"?"))</f>
        <v/>
      </c>
      <c r="BD184" s="97" t="str">
        <f>IF($A184="","",IFERROR(INDEX('Claims History'!$C$6:$C$15,MATCH($U184,'Claims History'!$B$6:$B$15,0)),"?"))</f>
        <v/>
      </c>
      <c r="BE184" s="97" t="str">
        <f>IF($A184="","",IFERROR(INDEX('Territory Factors'!$E$6:$E$56,MATCH($K184,'Territory Factors'!$B$6:$B$56,0)),"?"))</f>
        <v/>
      </c>
      <c r="BF184" s="97" t="str">
        <f>IF($A184="","",IFERROR(INDEX('City Accident Ratings'!$G$6:$G$54,MATCH($Z184,'City Accident Ratings'!$B$6:$B$54,0)),"?"))</f>
        <v/>
      </c>
      <c r="BG184" s="97" t="str">
        <f>IF($A184="","",IFERROR(INDEX('Usage and Coverage'!$D$6:$D$20,MATCH($N184,'Usage and Coverage'!$C$6:$C$20,0)),"?"))</f>
        <v/>
      </c>
      <c r="BH184" s="97" t="str">
        <f>IF($A184="","",IFERROR(INDEX('Usage and Coverage'!$C$24:$C$30,MATCH($O184,'Usage and Coverage'!$B$24:$B$30,0)),"?"))</f>
        <v/>
      </c>
      <c r="BI184" s="97" t="str">
        <f>IF($A184="","",IFERROR(INDEX('Usage and Coverage'!$C$34:$C$40,MATCH($P184,'Usage and Coverage'!$B$34:$B$40,0)),"?"))</f>
        <v/>
      </c>
      <c r="BJ184" s="97" t="str">
        <f>IF($A184="","",IFERROR(INDEX('Usage and Coverage'!$C$44:$C$49,MATCH($Q184,'Usage and Coverage'!$B$44:$B$49,0)),"?"))</f>
        <v/>
      </c>
      <c r="BK184" s="97" t="str">
        <f>IF($A184="","",IFERROR(INDEX(Deductibles!$C$6:$I$15,MATCH($W184,Deductibles!$B$6:$B$15,0),MATCH(MAX($J184,'Technical Premium'!$C$18),'Base Rates'!$C$3:$I$3,1)),"?"))</f>
        <v/>
      </c>
      <c r="BL184" s="97" t="str">
        <f>IF($A184="","",IFERROR(INDEX('Usage and Coverage'!$C$63:$C$66,MATCH($X184,'Usage and Coverage'!$B$63:$B$66,0)),"?"))</f>
        <v/>
      </c>
      <c r="BM184" s="97" t="str">
        <f>IF($A184="","",IFERROR(INDEX('Usage and Coverage'!$C$70:$C$75,MATCH($V184,'Usage and Coverage'!$B$70:$B$75,0)),"?"))</f>
        <v/>
      </c>
      <c r="BN184" s="97" t="str">
        <f>IF($A184="","",IF($AB184="",1,IFERROR(INDEX(Deductibles!$C$48:$C$51,MATCH($AB184,Deductibles!$B$48:$B$51,0)),"?")))</f>
        <v/>
      </c>
      <c r="BO184" s="97" t="str">
        <f>IF($A184="","",IF($AC184="",1,IFERROR(INDEX(Deductibles!$C$55:$C$57,MATCH($AC184,Deductibles!$B$55:$B$57,0)),"?")))</f>
        <v/>
      </c>
      <c r="BP184" s="97" t="str">
        <f>IF($A184="","",IF($AD184="",1,IFERROR(INDEX(Deductibles!$C$61:$C$63,MATCH($AD184,Deductibles!$B$61:$B$63,0)),"?")))</f>
        <v/>
      </c>
      <c r="BQ184" s="97" t="str">
        <f>IF($A184="","",IF($AE184="",1,IFERROR(INDEX(Deductibles!$C$67:$C$69,MATCH($AE184,Deductibles!$B$67:$B$69,0)),"?")))</f>
        <v/>
      </c>
      <c r="BR184" s="97" t="str">
        <f>IF($A184="","",IF($AF184="",1,IFERROR(INDEX(Deductibles!$C$73:$C$74,MATCH($AF184,Deductibles!$B$73:$B$74,0)),"?")))</f>
        <v/>
      </c>
      <c r="BS184" s="97" t="str">
        <f>IF($A184="","",IF($AG184="",1,IFERROR(INDEX('Sublimits and Parts'!$C$49:$C$52,MATCH($AG184,'Sublimits and Parts'!$B$49:$B$52,0)),"?")))</f>
        <v/>
      </c>
      <c r="BT184" s="97" t="str">
        <f>IF($A184="","",IF($AH184="",1,IFERROR(INDEX('Sublimits and Parts'!$C$56:$C$60,MATCH($AH184,'Sublimits and Parts'!$B$56:$B$60,0)),"?")))</f>
        <v/>
      </c>
      <c r="BU184" s="97" t="str">
        <f>IF($A184="","",IF($AI184="",1,IFERROR(INDEX('Sublimits and Parts'!$C$64:$C$67,MATCH($AI184,'Sublimits and Parts'!$B$64:$B$67,0)),"?")))</f>
        <v/>
      </c>
      <c r="BV184" s="97" t="str">
        <f>IF($A184="","",IF($AJ184="",1,IFERROR(INDEX('Sublimits and Parts'!$C$71:$C$74,MATCH($AJ184,'Sublimits and Parts'!$B$71:$B$74,0)),"?")))</f>
        <v/>
      </c>
      <c r="BW184" s="97" t="str">
        <f>IF($A184="","",IF($AK184="",1,IFERROR(INDEX('Sublimits and Parts'!$C$78:$C$80,MATCH($AK184,'Sublimits and Parts'!$B$78:$B$80,0)),"?")))</f>
        <v/>
      </c>
      <c r="BX184" s="97" t="str">
        <f>IF($A184="","",IF($AL184="",1,IFERROR(INDEX('Sublimits and Parts'!$C$84:$C$87,MATCH($AL184,'Sublimits and Parts'!$B$84:$B$87,0)),"?")))</f>
        <v/>
      </c>
      <c r="BY184" s="97" t="str">
        <f>IF($A184="","",IF($AM184="",1,IFERROR(INDEX('Sublimits and Parts'!$C$91:$C$94,MATCH($AM184,'Sublimits and Parts'!$B$91:$B$94,0)),"?")))</f>
        <v/>
      </c>
      <c r="BZ184" s="97" t="str">
        <f>IF($A184="","",IF($AN184="",1,IFERROR(INDEX('Sublimits and Parts'!$C$98:$C$101,MATCH($AN184,'Sublimits and Parts'!$B$98:$B$101,0)),"?")))</f>
        <v/>
      </c>
      <c r="CA184" s="97" t="str">
        <f>IF($A184="","",IF($AO184="",1,IFERROR(INDEX('Sublimits and Parts'!$C$105:$C$109,MATCH($AO184,'Sublimits and Parts'!$B$105:$B$109,0)),"?")))</f>
        <v/>
      </c>
      <c r="CB184" s="98" t="str">
        <f t="shared" si="28"/>
        <v/>
      </c>
      <c r="CC184" s="98" t="str">
        <f t="shared" si="29"/>
        <v/>
      </c>
      <c r="CD184" s="101" t="str">
        <f>IF($A184="","",IF(OR($CB184="?",$CC184="?"),"?",MIN($CB184*$CC184,'Technical Premium'!$C$17)))</f>
        <v/>
      </c>
      <c r="CE184" s="100" t="str">
        <f t="shared" si="30"/>
        <v/>
      </c>
      <c r="CF184" s="100" t="str">
        <f>IF($A184="","",IFERROR(INDEX('Territory Factors'!$F$6:$F$56,MATCH($K184,'Territory Factors'!$B$6:$B$56,0)),"?"))</f>
        <v/>
      </c>
      <c r="CG184" s="98" t="str">
        <f>IF($A184="","",IFERROR(INDEX('Usage and Coverage'!$C$79:$C$84,MATCH($Y184,'Usage and Coverage'!$B$79:$B$84,0)),"?"))</f>
        <v/>
      </c>
      <c r="CH184" s="100" t="str">
        <f>IFERROR(IF(ISNUMBER($CD184),$CF184*$CG184*MIN($BG184*$BA184*$BC184*$BD184*$BH184*$BF184,'Technical Premium'!$C$17),""),"")</f>
        <v/>
      </c>
      <c r="CI184" s="100" t="str">
        <f t="shared" si="31"/>
        <v/>
      </c>
      <c r="CJ184" s="100" t="str">
        <f>IFERROR($CI184*(1+'Technical Premium'!$C$5)*(1+'Technical Premium'!$C$6),"")</f>
        <v/>
      </c>
      <c r="CK184" s="100" t="str">
        <f>IFERROR($CE184*INDEX('Territory Factors'!$G$6:$G$56,MATCH($K184,'Territory Factors'!$B$6:$B$56,0))*$AU184*$AV184,"")</f>
        <v/>
      </c>
      <c r="CL184" s="100" t="str">
        <f>IFERROR(($CJ184+$CK184)*(1+'Technical Premium'!$C$7),"")</f>
        <v/>
      </c>
      <c r="CM184" s="102" t="str">
        <f>IFERROR($CL184/'Technical Premium'!$C$13,"")</f>
        <v/>
      </c>
      <c r="CN184" s="103" t="str">
        <f t="shared" si="32"/>
        <v/>
      </c>
      <c r="CO184" s="102" t="str">
        <f t="shared" si="33"/>
        <v/>
      </c>
      <c r="CP184" s="103" t="str">
        <f t="shared" si="34"/>
        <v/>
      </c>
      <c r="CQ184" s="104" t="str">
        <f t="shared" si="35"/>
        <v/>
      </c>
      <c r="CR184" s="100" t="str">
        <f>IF(ISNUMBER($CM184),'Technical Premium'!$C$14+IF($J184&gt;=1000000,'Technical Premium'!$C$15,0),"")</f>
        <v/>
      </c>
      <c r="CS184" s="100" t="str">
        <f>IFERROR(($CO184+$CR184)*(INDEX('Territory Factors'!$K$6:$K$56,MATCH($K184,'Territory Factors'!$B$6:$B$56,0))+'Commission Structure'!$C$21),"")</f>
        <v/>
      </c>
      <c r="CT184" s="102" t="str">
        <f t="shared" si="36"/>
        <v/>
      </c>
      <c r="CU184" s="100" t="str">
        <f>IFERROR($CO184*('Commission Structure'!$C$6+'Commission Structure'!$C$7),"")</f>
        <v/>
      </c>
      <c r="CV184" s="100" t="str">
        <f>IFERROR($CO184*'Commission Structure'!$C$5-$CU184,"")</f>
        <v/>
      </c>
      <c r="CW184" s="100" t="str">
        <f>IFERROR($CO184*(1-'Commission Structure'!$C$5),"")</f>
        <v/>
      </c>
      <c r="CX184" s="105" t="str">
        <f>IF($A184="","",IF(OR($CB184="?",$CC184="?",NOT(ISNUMBER($AU184))),"CHECK INPUTS",IF(OR($J184&lt;'Technical Premium'!$C$18,LEFT(IFERROR(INDEX('Driver Factors'!$D$6:$D$15,MATCH($R184,'Driver Factors'!$B$6:$B$15,0)),""),7)="DECLINE",LEFT(IFERROR(INDEX('Driver Factors'!$D$28:$D$36,MATCH($T184,'Driver Factors'!$B$28:$B$36,0)),""),7)="DECLINE",LEFT(IFERROR(INDEX('Claims History'!$D$6:$D$15,MATCH($U184,'Claims History'!$B$6:$B$15,0)),""),7)="DECLINE",LEFT(IFERROR(INDEX('Usage and Coverage'!$E$6:$E$20,MATCH($N184,'Usage and Coverage'!$C$6:$C$20,0)),""),7)="DECLINE"),"DECLINE",IF(OR($CD184&gt;2.5,$CD184&gt;='Technical Premium'!$C$17,$J184&gt;='Technical Premium'!$C$16,N($AQ184)&lt;'Technical Premium'!$C$19,N($AQ184)&gt;'Technical Premium'!$C$20,LEFT(IFERROR(INDEX('Driver Factors'!$D$6:$D$15,MATCH($R184,'Driver Factors'!$B$6:$B$15,0)),""),5)="Refer",LEFT(IFERROR(INDEX('Driver Factors'!$D$28:$D$36,MATCH($T184,'Driver Factors'!$B$28:$B$36,0)),""),5)="Refer",LEFT(IFERROR(INDEX('Claims History'!$D$6:$D$15,MATCH($U184,'Claims History'!$B$6:$B$15,0)),""),5)="Refer",LEFT(IFERROR(INDEX('Usage and Coverage'!$E$6:$E$20,MATCH($N184,'Usage and Coverage'!$C$6:$C$20,0)),""),5)="Refer"),"REFER","AUTO-BIND"))))</f>
        <v/>
      </c>
      <c r="CY184" s="106" t="str">
        <f t="shared" si="37"/>
        <v/>
      </c>
      <c r="CZ184" s="97" t="str">
        <f>IF($CY184="","",IF($CY184&lt;'Technical Premium'!$C$19,"BEYOND AUTHORITY",IF($CY184&gt;0.005,"Above technical",IF($CY184&lt;-0.005,"BELOW technical","At technical"))))</f>
        <v/>
      </c>
      <c r="DA184" s="97" t="str">
        <f>IF($A184="","",IF($CX184="AUTO-BIND","",TRIM(IF($J184&lt;'Technical Premium'!$C$18,"Below programme minimum agreed value. ","")&amp;IF(N($AQ184)&lt;'Technical Premium'!$C$19,"DISCOUNT AUTHORITY BREACH. ","")&amp;IF(N($AQ184)&gt;'Technical Premium'!$C$20,"Load authority breach. ","")&amp;IF($J184&gt;='Technical Premium'!$C$16,"Agreed value at or above auto-bind limit. ","")&amp;IF(AND(ISNUMBER($CD184),$CD184&gt;='Technical Premium'!$C$17),"Composite factor at cap. ","")&amp;IF(AND(ISNUMBER($CD184),$CD184&gt;2.5),"Composite factor above 2.50. ","")&amp;IF(LEFT(IFERROR(INDEX('Driver Factors'!$D$6:$D$15,MATCH($R184,'Driver Factors'!$B$6:$B$15,0)),""),7)="DECLINE","DECLINE - driver age. ",IF(LEFT(IFERROR(INDEX('Driver Factors'!$D$6:$D$15,MATCH($R184,'Driver Factors'!$B$6:$B$15,0)),""),5)="Refer","Driver age band. ",""))&amp;IF(LEFT(IFERROR(INDEX('Driver Factors'!$D$28:$D$36,MATCH($T184,'Driver Factors'!$B$28:$B$36,0)),""),7)="DECLINE","DECLINE - MVR. ",IF(LEFT(IFERROR(INDEX('Driver Factors'!$D$28:$D$36,MATCH($T184,'Driver Factors'!$B$28:$B$36,0)),""),5)="Refer","MVR record. ",""))&amp;IF(LEFT(IFERROR(INDEX('Claims History'!$D$6:$D$15,MATCH($U184,'Claims History'!$B$6:$B$15,0)),""),7)="DECLINE","DECLINE - claims. ",IF(LEFT(IFERROR(INDEX('Claims History'!$D$6:$D$15,MATCH($U184,'Claims History'!$B$6:$B$15,0)),""),5)="Refer","Claims history. ",""))&amp;IF(LEFT(IFERROR(INDEX('Usage and Coverage'!$E$6:$E$20,MATCH($N184,'Usage and Coverage'!$C$6:$C$20,0)),""),7)="DECLINE","DECLINE - usage class. ",IF(LEFT(IFERROR(INDEX('Usage and Coverage'!$E$6:$E$20,MATCH($N184,'Usage and Coverage'!$C$6:$C$20,0)),""),5)="Refer","Usage class. ",""))&amp;IF($CX184="CHECK INPUTS","Incomplete inputs. ",""))))</f>
        <v/>
      </c>
      <c r="DB184" s="92"/>
      <c r="DC184" s="92"/>
      <c r="DD184" s="93"/>
      <c r="DE184" s="92"/>
      <c r="DF184" s="92"/>
      <c r="DG184" s="97" t="str">
        <f t="shared" si="38"/>
        <v/>
      </c>
      <c r="DH184" s="97" t="str">
        <f>IF($A184="","",IF(OR($CX184="REFER",$CX184="DECLINE"),COUNTIF($CX$5:$CX184,"REFER")+COUNTIF($CX$5:$CX184,"DECLINE"),""))</f>
        <v/>
      </c>
      <c r="DI184" s="92"/>
    </row>
    <row r="185" spans="1:113" x14ac:dyDescent="0.25">
      <c r="A185" s="92"/>
      <c r="B185" s="92"/>
      <c r="C185" s="93"/>
      <c r="D185" s="93"/>
      <c r="E185" s="94"/>
      <c r="F185" s="92"/>
      <c r="G185" s="92"/>
      <c r="H185" s="92"/>
      <c r="I185" s="92"/>
      <c r="J185" s="95"/>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6"/>
      <c r="AR185" s="97" t="str">
        <f t="shared" si="26"/>
        <v/>
      </c>
      <c r="AS185" s="97" t="str">
        <f>IF($A185="","",IF($AP185&lt;&gt;"",$AP185,IFERROR(INDEX('Cat Zone by ZIP'!$D$6:$D$856,MATCH($AR185,'Cat Zone by ZIP'!$B$6:$B$856,0)),IFERROR(INDEX('Cat Zone by ZIP'!$C$860:$C$910,MATCH($K185,'Cat Zone by ZIP'!$B$860:$B$910,0)),"NOT FOUND"))))</f>
        <v/>
      </c>
      <c r="AT185" s="97" t="str">
        <f>IF($A185="","",IF($AP185&lt;&gt;"","Override",IF(ISNUMBER(MATCH($AR185,'Cat Zone by ZIP'!$B$6:$B$856,0)),"ZIP-3","State default")))</f>
        <v/>
      </c>
      <c r="AU185" s="98" t="str">
        <f>IF($A185="","",IFERROR(INDEX('Natural Catastrophe'!$D$6:$D$17,MATCH($AS185,'Natural Catastrophe'!$B$6:$B$17,0)),"?"))</f>
        <v/>
      </c>
      <c r="AV185" s="98" t="str">
        <f>IF($A185="","",IFERROR(INDEX('Natural Catastrophe'!$C$21:$C$26,MATCH($AA185,'Natural Catastrophe'!$B$21:$B$26,0)),"?"))</f>
        <v/>
      </c>
      <c r="AW185" s="97" t="str">
        <f>IF($A185="","",IFERROR(INDEX('Base Rates'!$C$4:$I$4,MATCH(MAX($J185,'Technical Premium'!$C$18),'Base Rates'!$C$3:$I$3,1)),"?"))</f>
        <v/>
      </c>
      <c r="AX185" s="99" t="str">
        <f>IF($A185="","",IFERROR(INDEX('Base Rates'!$C$5:$I$16,MATCH($I185,'Base Rates'!$B$5:$B$16,0),MATCH(MAX($J185,'Technical Premium'!$C$18),'Base Rates'!$C$3:$I$3,1)),"?"))</f>
        <v/>
      </c>
      <c r="AY185" s="100" t="str">
        <f t="shared" si="27"/>
        <v/>
      </c>
      <c r="AZ185" s="97" t="str">
        <f>IF($A185="","",IFERROR(INDEX('Make Factors'!$G$5:$G$69,MATCH($F185,'Make Factors'!$B$5:$B$69,0)),"?"))</f>
        <v/>
      </c>
      <c r="BA185" s="97" t="str">
        <f>IF($A185="","",IFERROR(INDEX('Driver Factors'!$C$6:$C$15,MATCH($R185,'Driver Factors'!$B$6:$B$15,0)),"?"))</f>
        <v/>
      </c>
      <c r="BB185" s="97" t="str">
        <f>IF($A185="","",IFERROR(INDEX('Driver Factors'!$C$19:$C$24,MATCH($S185,'Driver Factors'!$B$19:$B$24,0)),"?"))</f>
        <v/>
      </c>
      <c r="BC185" s="97" t="str">
        <f>IF($A185="","",IFERROR(INDEX('Driver Factors'!$C$28:$C$36,MATCH($T185,'Driver Factors'!$B$28:$B$36,0)),"?"))</f>
        <v/>
      </c>
      <c r="BD185" s="97" t="str">
        <f>IF($A185="","",IFERROR(INDEX('Claims History'!$C$6:$C$15,MATCH($U185,'Claims History'!$B$6:$B$15,0)),"?"))</f>
        <v/>
      </c>
      <c r="BE185" s="97" t="str">
        <f>IF($A185="","",IFERROR(INDEX('Territory Factors'!$E$6:$E$56,MATCH($K185,'Territory Factors'!$B$6:$B$56,0)),"?"))</f>
        <v/>
      </c>
      <c r="BF185" s="97" t="str">
        <f>IF($A185="","",IFERROR(INDEX('City Accident Ratings'!$G$6:$G$54,MATCH($Z185,'City Accident Ratings'!$B$6:$B$54,0)),"?"))</f>
        <v/>
      </c>
      <c r="BG185" s="97" t="str">
        <f>IF($A185="","",IFERROR(INDEX('Usage and Coverage'!$D$6:$D$20,MATCH($N185,'Usage and Coverage'!$C$6:$C$20,0)),"?"))</f>
        <v/>
      </c>
      <c r="BH185" s="97" t="str">
        <f>IF($A185="","",IFERROR(INDEX('Usage and Coverage'!$C$24:$C$30,MATCH($O185,'Usage and Coverage'!$B$24:$B$30,0)),"?"))</f>
        <v/>
      </c>
      <c r="BI185" s="97" t="str">
        <f>IF($A185="","",IFERROR(INDEX('Usage and Coverage'!$C$34:$C$40,MATCH($P185,'Usage and Coverage'!$B$34:$B$40,0)),"?"))</f>
        <v/>
      </c>
      <c r="BJ185" s="97" t="str">
        <f>IF($A185="","",IFERROR(INDEX('Usage and Coverage'!$C$44:$C$49,MATCH($Q185,'Usage and Coverage'!$B$44:$B$49,0)),"?"))</f>
        <v/>
      </c>
      <c r="BK185" s="97" t="str">
        <f>IF($A185="","",IFERROR(INDEX(Deductibles!$C$6:$I$15,MATCH($W185,Deductibles!$B$6:$B$15,0),MATCH(MAX($J185,'Technical Premium'!$C$18),'Base Rates'!$C$3:$I$3,1)),"?"))</f>
        <v/>
      </c>
      <c r="BL185" s="97" t="str">
        <f>IF($A185="","",IFERROR(INDEX('Usage and Coverage'!$C$63:$C$66,MATCH($X185,'Usage and Coverage'!$B$63:$B$66,0)),"?"))</f>
        <v/>
      </c>
      <c r="BM185" s="97" t="str">
        <f>IF($A185="","",IFERROR(INDEX('Usage and Coverage'!$C$70:$C$75,MATCH($V185,'Usage and Coverage'!$B$70:$B$75,0)),"?"))</f>
        <v/>
      </c>
      <c r="BN185" s="97" t="str">
        <f>IF($A185="","",IF($AB185="",1,IFERROR(INDEX(Deductibles!$C$48:$C$51,MATCH($AB185,Deductibles!$B$48:$B$51,0)),"?")))</f>
        <v/>
      </c>
      <c r="BO185" s="97" t="str">
        <f>IF($A185="","",IF($AC185="",1,IFERROR(INDEX(Deductibles!$C$55:$C$57,MATCH($AC185,Deductibles!$B$55:$B$57,0)),"?")))</f>
        <v/>
      </c>
      <c r="BP185" s="97" t="str">
        <f>IF($A185="","",IF($AD185="",1,IFERROR(INDEX(Deductibles!$C$61:$C$63,MATCH($AD185,Deductibles!$B$61:$B$63,0)),"?")))</f>
        <v/>
      </c>
      <c r="BQ185" s="97" t="str">
        <f>IF($A185="","",IF($AE185="",1,IFERROR(INDEX(Deductibles!$C$67:$C$69,MATCH($AE185,Deductibles!$B$67:$B$69,0)),"?")))</f>
        <v/>
      </c>
      <c r="BR185" s="97" t="str">
        <f>IF($A185="","",IF($AF185="",1,IFERROR(INDEX(Deductibles!$C$73:$C$74,MATCH($AF185,Deductibles!$B$73:$B$74,0)),"?")))</f>
        <v/>
      </c>
      <c r="BS185" s="97" t="str">
        <f>IF($A185="","",IF($AG185="",1,IFERROR(INDEX('Sublimits and Parts'!$C$49:$C$52,MATCH($AG185,'Sublimits and Parts'!$B$49:$B$52,0)),"?")))</f>
        <v/>
      </c>
      <c r="BT185" s="97" t="str">
        <f>IF($A185="","",IF($AH185="",1,IFERROR(INDEX('Sublimits and Parts'!$C$56:$C$60,MATCH($AH185,'Sublimits and Parts'!$B$56:$B$60,0)),"?")))</f>
        <v/>
      </c>
      <c r="BU185" s="97" t="str">
        <f>IF($A185="","",IF($AI185="",1,IFERROR(INDEX('Sublimits and Parts'!$C$64:$C$67,MATCH($AI185,'Sublimits and Parts'!$B$64:$B$67,0)),"?")))</f>
        <v/>
      </c>
      <c r="BV185" s="97" t="str">
        <f>IF($A185="","",IF($AJ185="",1,IFERROR(INDEX('Sublimits and Parts'!$C$71:$C$74,MATCH($AJ185,'Sublimits and Parts'!$B$71:$B$74,0)),"?")))</f>
        <v/>
      </c>
      <c r="BW185" s="97" t="str">
        <f>IF($A185="","",IF($AK185="",1,IFERROR(INDEX('Sublimits and Parts'!$C$78:$C$80,MATCH($AK185,'Sublimits and Parts'!$B$78:$B$80,0)),"?")))</f>
        <v/>
      </c>
      <c r="BX185" s="97" t="str">
        <f>IF($A185="","",IF($AL185="",1,IFERROR(INDEX('Sublimits and Parts'!$C$84:$C$87,MATCH($AL185,'Sublimits and Parts'!$B$84:$B$87,0)),"?")))</f>
        <v/>
      </c>
      <c r="BY185" s="97" t="str">
        <f>IF($A185="","",IF($AM185="",1,IFERROR(INDEX('Sublimits and Parts'!$C$91:$C$94,MATCH($AM185,'Sublimits and Parts'!$B$91:$B$94,0)),"?")))</f>
        <v/>
      </c>
      <c r="BZ185" s="97" t="str">
        <f>IF($A185="","",IF($AN185="",1,IFERROR(INDEX('Sublimits and Parts'!$C$98:$C$101,MATCH($AN185,'Sublimits and Parts'!$B$98:$B$101,0)),"?")))</f>
        <v/>
      </c>
      <c r="CA185" s="97" t="str">
        <f>IF($A185="","",IF($AO185="",1,IFERROR(INDEX('Sublimits and Parts'!$C$105:$C$109,MATCH($AO185,'Sublimits and Parts'!$B$105:$B$109,0)),"?")))</f>
        <v/>
      </c>
      <c r="CB185" s="98" t="str">
        <f t="shared" si="28"/>
        <v/>
      </c>
      <c r="CC185" s="98" t="str">
        <f t="shared" si="29"/>
        <v/>
      </c>
      <c r="CD185" s="101" t="str">
        <f>IF($A185="","",IF(OR($CB185="?",$CC185="?"),"?",MIN($CB185*$CC185,'Technical Premium'!$C$17)))</f>
        <v/>
      </c>
      <c r="CE185" s="100" t="str">
        <f t="shared" si="30"/>
        <v/>
      </c>
      <c r="CF185" s="100" t="str">
        <f>IF($A185="","",IFERROR(INDEX('Territory Factors'!$F$6:$F$56,MATCH($K185,'Territory Factors'!$B$6:$B$56,0)),"?"))</f>
        <v/>
      </c>
      <c r="CG185" s="98" t="str">
        <f>IF($A185="","",IFERROR(INDEX('Usage and Coverage'!$C$79:$C$84,MATCH($Y185,'Usage and Coverage'!$B$79:$B$84,0)),"?"))</f>
        <v/>
      </c>
      <c r="CH185" s="100" t="str">
        <f>IFERROR(IF(ISNUMBER($CD185),$CF185*$CG185*MIN($BG185*$BA185*$BC185*$BD185*$BH185*$BF185,'Technical Premium'!$C$17),""),"")</f>
        <v/>
      </c>
      <c r="CI185" s="100" t="str">
        <f t="shared" si="31"/>
        <v/>
      </c>
      <c r="CJ185" s="100" t="str">
        <f>IFERROR($CI185*(1+'Technical Premium'!$C$5)*(1+'Technical Premium'!$C$6),"")</f>
        <v/>
      </c>
      <c r="CK185" s="100" t="str">
        <f>IFERROR($CE185*INDEX('Territory Factors'!$G$6:$G$56,MATCH($K185,'Territory Factors'!$B$6:$B$56,0))*$AU185*$AV185,"")</f>
        <v/>
      </c>
      <c r="CL185" s="100" t="str">
        <f>IFERROR(($CJ185+$CK185)*(1+'Technical Premium'!$C$7),"")</f>
        <v/>
      </c>
      <c r="CM185" s="102" t="str">
        <f>IFERROR($CL185/'Technical Premium'!$C$13,"")</f>
        <v/>
      </c>
      <c r="CN185" s="103" t="str">
        <f t="shared" si="32"/>
        <v/>
      </c>
      <c r="CO185" s="102" t="str">
        <f t="shared" si="33"/>
        <v/>
      </c>
      <c r="CP185" s="103" t="str">
        <f t="shared" si="34"/>
        <v/>
      </c>
      <c r="CQ185" s="104" t="str">
        <f t="shared" si="35"/>
        <v/>
      </c>
      <c r="CR185" s="100" t="str">
        <f>IF(ISNUMBER($CM185),'Technical Premium'!$C$14+IF($J185&gt;=1000000,'Technical Premium'!$C$15,0),"")</f>
        <v/>
      </c>
      <c r="CS185" s="100" t="str">
        <f>IFERROR(($CO185+$CR185)*(INDEX('Territory Factors'!$K$6:$K$56,MATCH($K185,'Territory Factors'!$B$6:$B$56,0))+'Commission Structure'!$C$21),"")</f>
        <v/>
      </c>
      <c r="CT185" s="102" t="str">
        <f t="shared" si="36"/>
        <v/>
      </c>
      <c r="CU185" s="100" t="str">
        <f>IFERROR($CO185*('Commission Structure'!$C$6+'Commission Structure'!$C$7),"")</f>
        <v/>
      </c>
      <c r="CV185" s="100" t="str">
        <f>IFERROR($CO185*'Commission Structure'!$C$5-$CU185,"")</f>
        <v/>
      </c>
      <c r="CW185" s="100" t="str">
        <f>IFERROR($CO185*(1-'Commission Structure'!$C$5),"")</f>
        <v/>
      </c>
      <c r="CX185" s="105" t="str">
        <f>IF($A185="","",IF(OR($CB185="?",$CC185="?",NOT(ISNUMBER($AU185))),"CHECK INPUTS",IF(OR($J185&lt;'Technical Premium'!$C$18,LEFT(IFERROR(INDEX('Driver Factors'!$D$6:$D$15,MATCH($R185,'Driver Factors'!$B$6:$B$15,0)),""),7)="DECLINE",LEFT(IFERROR(INDEX('Driver Factors'!$D$28:$D$36,MATCH($T185,'Driver Factors'!$B$28:$B$36,0)),""),7)="DECLINE",LEFT(IFERROR(INDEX('Claims History'!$D$6:$D$15,MATCH($U185,'Claims History'!$B$6:$B$15,0)),""),7)="DECLINE",LEFT(IFERROR(INDEX('Usage and Coverage'!$E$6:$E$20,MATCH($N185,'Usage and Coverage'!$C$6:$C$20,0)),""),7)="DECLINE"),"DECLINE",IF(OR($CD185&gt;2.5,$CD185&gt;='Technical Premium'!$C$17,$J185&gt;='Technical Premium'!$C$16,N($AQ185)&lt;'Technical Premium'!$C$19,N($AQ185)&gt;'Technical Premium'!$C$20,LEFT(IFERROR(INDEX('Driver Factors'!$D$6:$D$15,MATCH($R185,'Driver Factors'!$B$6:$B$15,0)),""),5)="Refer",LEFT(IFERROR(INDEX('Driver Factors'!$D$28:$D$36,MATCH($T185,'Driver Factors'!$B$28:$B$36,0)),""),5)="Refer",LEFT(IFERROR(INDEX('Claims History'!$D$6:$D$15,MATCH($U185,'Claims History'!$B$6:$B$15,0)),""),5)="Refer",LEFT(IFERROR(INDEX('Usage and Coverage'!$E$6:$E$20,MATCH($N185,'Usage and Coverage'!$C$6:$C$20,0)),""),5)="Refer"),"REFER","AUTO-BIND"))))</f>
        <v/>
      </c>
      <c r="CY185" s="106" t="str">
        <f t="shared" si="37"/>
        <v/>
      </c>
      <c r="CZ185" s="97" t="str">
        <f>IF($CY185="","",IF($CY185&lt;'Technical Premium'!$C$19,"BEYOND AUTHORITY",IF($CY185&gt;0.005,"Above technical",IF($CY185&lt;-0.005,"BELOW technical","At technical"))))</f>
        <v/>
      </c>
      <c r="DA185" s="97" t="str">
        <f>IF($A185="","",IF($CX185="AUTO-BIND","",TRIM(IF($J185&lt;'Technical Premium'!$C$18,"Below programme minimum agreed value. ","")&amp;IF(N($AQ185)&lt;'Technical Premium'!$C$19,"DISCOUNT AUTHORITY BREACH. ","")&amp;IF(N($AQ185)&gt;'Technical Premium'!$C$20,"Load authority breach. ","")&amp;IF($J185&gt;='Technical Premium'!$C$16,"Agreed value at or above auto-bind limit. ","")&amp;IF(AND(ISNUMBER($CD185),$CD185&gt;='Technical Premium'!$C$17),"Composite factor at cap. ","")&amp;IF(AND(ISNUMBER($CD185),$CD185&gt;2.5),"Composite factor above 2.50. ","")&amp;IF(LEFT(IFERROR(INDEX('Driver Factors'!$D$6:$D$15,MATCH($R185,'Driver Factors'!$B$6:$B$15,0)),""),7)="DECLINE","DECLINE - driver age. ",IF(LEFT(IFERROR(INDEX('Driver Factors'!$D$6:$D$15,MATCH($R185,'Driver Factors'!$B$6:$B$15,0)),""),5)="Refer","Driver age band. ",""))&amp;IF(LEFT(IFERROR(INDEX('Driver Factors'!$D$28:$D$36,MATCH($T185,'Driver Factors'!$B$28:$B$36,0)),""),7)="DECLINE","DECLINE - MVR. ",IF(LEFT(IFERROR(INDEX('Driver Factors'!$D$28:$D$36,MATCH($T185,'Driver Factors'!$B$28:$B$36,0)),""),5)="Refer","MVR record. ",""))&amp;IF(LEFT(IFERROR(INDEX('Claims History'!$D$6:$D$15,MATCH($U185,'Claims History'!$B$6:$B$15,0)),""),7)="DECLINE","DECLINE - claims. ",IF(LEFT(IFERROR(INDEX('Claims History'!$D$6:$D$15,MATCH($U185,'Claims History'!$B$6:$B$15,0)),""),5)="Refer","Claims history. ",""))&amp;IF(LEFT(IFERROR(INDEX('Usage and Coverage'!$E$6:$E$20,MATCH($N185,'Usage and Coverage'!$C$6:$C$20,0)),""),7)="DECLINE","DECLINE - usage class. ",IF(LEFT(IFERROR(INDEX('Usage and Coverage'!$E$6:$E$20,MATCH($N185,'Usage and Coverage'!$C$6:$C$20,0)),""),5)="Refer","Usage class. ",""))&amp;IF($CX185="CHECK INPUTS","Incomplete inputs. ",""))))</f>
        <v/>
      </c>
      <c r="DB185" s="92"/>
      <c r="DC185" s="92"/>
      <c r="DD185" s="93"/>
      <c r="DE185" s="92"/>
      <c r="DF185" s="92"/>
      <c r="DG185" s="97" t="str">
        <f t="shared" si="38"/>
        <v/>
      </c>
      <c r="DH185" s="97" t="str">
        <f>IF($A185="","",IF(OR($CX185="REFER",$CX185="DECLINE"),COUNTIF($CX$5:$CX185,"REFER")+COUNTIF($CX$5:$CX185,"DECLINE"),""))</f>
        <v/>
      </c>
      <c r="DI185" s="92"/>
    </row>
    <row r="186" spans="1:113" x14ac:dyDescent="0.25">
      <c r="A186" s="92"/>
      <c r="B186" s="92"/>
      <c r="C186" s="93"/>
      <c r="D186" s="93"/>
      <c r="E186" s="94"/>
      <c r="F186" s="92"/>
      <c r="G186" s="92"/>
      <c r="H186" s="92"/>
      <c r="I186" s="92"/>
      <c r="J186" s="95"/>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6"/>
      <c r="AR186" s="97" t="str">
        <f t="shared" si="26"/>
        <v/>
      </c>
      <c r="AS186" s="97" t="str">
        <f>IF($A186="","",IF($AP186&lt;&gt;"",$AP186,IFERROR(INDEX('Cat Zone by ZIP'!$D$6:$D$856,MATCH($AR186,'Cat Zone by ZIP'!$B$6:$B$856,0)),IFERROR(INDEX('Cat Zone by ZIP'!$C$860:$C$910,MATCH($K186,'Cat Zone by ZIP'!$B$860:$B$910,0)),"NOT FOUND"))))</f>
        <v/>
      </c>
      <c r="AT186" s="97" t="str">
        <f>IF($A186="","",IF($AP186&lt;&gt;"","Override",IF(ISNUMBER(MATCH($AR186,'Cat Zone by ZIP'!$B$6:$B$856,0)),"ZIP-3","State default")))</f>
        <v/>
      </c>
      <c r="AU186" s="98" t="str">
        <f>IF($A186="","",IFERROR(INDEX('Natural Catastrophe'!$D$6:$D$17,MATCH($AS186,'Natural Catastrophe'!$B$6:$B$17,0)),"?"))</f>
        <v/>
      </c>
      <c r="AV186" s="98" t="str">
        <f>IF($A186="","",IFERROR(INDEX('Natural Catastrophe'!$C$21:$C$26,MATCH($AA186,'Natural Catastrophe'!$B$21:$B$26,0)),"?"))</f>
        <v/>
      </c>
      <c r="AW186" s="97" t="str">
        <f>IF($A186="","",IFERROR(INDEX('Base Rates'!$C$4:$I$4,MATCH(MAX($J186,'Technical Premium'!$C$18),'Base Rates'!$C$3:$I$3,1)),"?"))</f>
        <v/>
      </c>
      <c r="AX186" s="99" t="str">
        <f>IF($A186="","",IFERROR(INDEX('Base Rates'!$C$5:$I$16,MATCH($I186,'Base Rates'!$B$5:$B$16,0),MATCH(MAX($J186,'Technical Premium'!$C$18),'Base Rates'!$C$3:$I$3,1)),"?"))</f>
        <v/>
      </c>
      <c r="AY186" s="100" t="str">
        <f t="shared" si="27"/>
        <v/>
      </c>
      <c r="AZ186" s="97" t="str">
        <f>IF($A186="","",IFERROR(INDEX('Make Factors'!$G$5:$G$69,MATCH($F186,'Make Factors'!$B$5:$B$69,0)),"?"))</f>
        <v/>
      </c>
      <c r="BA186" s="97" t="str">
        <f>IF($A186="","",IFERROR(INDEX('Driver Factors'!$C$6:$C$15,MATCH($R186,'Driver Factors'!$B$6:$B$15,0)),"?"))</f>
        <v/>
      </c>
      <c r="BB186" s="97" t="str">
        <f>IF($A186="","",IFERROR(INDEX('Driver Factors'!$C$19:$C$24,MATCH($S186,'Driver Factors'!$B$19:$B$24,0)),"?"))</f>
        <v/>
      </c>
      <c r="BC186" s="97" t="str">
        <f>IF($A186="","",IFERROR(INDEX('Driver Factors'!$C$28:$C$36,MATCH($T186,'Driver Factors'!$B$28:$B$36,0)),"?"))</f>
        <v/>
      </c>
      <c r="BD186" s="97" t="str">
        <f>IF($A186="","",IFERROR(INDEX('Claims History'!$C$6:$C$15,MATCH($U186,'Claims History'!$B$6:$B$15,0)),"?"))</f>
        <v/>
      </c>
      <c r="BE186" s="97" t="str">
        <f>IF($A186="","",IFERROR(INDEX('Territory Factors'!$E$6:$E$56,MATCH($K186,'Territory Factors'!$B$6:$B$56,0)),"?"))</f>
        <v/>
      </c>
      <c r="BF186" s="97" t="str">
        <f>IF($A186="","",IFERROR(INDEX('City Accident Ratings'!$G$6:$G$54,MATCH($Z186,'City Accident Ratings'!$B$6:$B$54,0)),"?"))</f>
        <v/>
      </c>
      <c r="BG186" s="97" t="str">
        <f>IF($A186="","",IFERROR(INDEX('Usage and Coverage'!$D$6:$D$20,MATCH($N186,'Usage and Coverage'!$C$6:$C$20,0)),"?"))</f>
        <v/>
      </c>
      <c r="BH186" s="97" t="str">
        <f>IF($A186="","",IFERROR(INDEX('Usage and Coverage'!$C$24:$C$30,MATCH($O186,'Usage and Coverage'!$B$24:$B$30,0)),"?"))</f>
        <v/>
      </c>
      <c r="BI186" s="97" t="str">
        <f>IF($A186="","",IFERROR(INDEX('Usage and Coverage'!$C$34:$C$40,MATCH($P186,'Usage and Coverage'!$B$34:$B$40,0)),"?"))</f>
        <v/>
      </c>
      <c r="BJ186" s="97" t="str">
        <f>IF($A186="","",IFERROR(INDEX('Usage and Coverage'!$C$44:$C$49,MATCH($Q186,'Usage and Coverage'!$B$44:$B$49,0)),"?"))</f>
        <v/>
      </c>
      <c r="BK186" s="97" t="str">
        <f>IF($A186="","",IFERROR(INDEX(Deductibles!$C$6:$I$15,MATCH($W186,Deductibles!$B$6:$B$15,0),MATCH(MAX($J186,'Technical Premium'!$C$18),'Base Rates'!$C$3:$I$3,1)),"?"))</f>
        <v/>
      </c>
      <c r="BL186" s="97" t="str">
        <f>IF($A186="","",IFERROR(INDEX('Usage and Coverage'!$C$63:$C$66,MATCH($X186,'Usage and Coverage'!$B$63:$B$66,0)),"?"))</f>
        <v/>
      </c>
      <c r="BM186" s="97" t="str">
        <f>IF($A186="","",IFERROR(INDEX('Usage and Coverage'!$C$70:$C$75,MATCH($V186,'Usage and Coverage'!$B$70:$B$75,0)),"?"))</f>
        <v/>
      </c>
      <c r="BN186" s="97" t="str">
        <f>IF($A186="","",IF($AB186="",1,IFERROR(INDEX(Deductibles!$C$48:$C$51,MATCH($AB186,Deductibles!$B$48:$B$51,0)),"?")))</f>
        <v/>
      </c>
      <c r="BO186" s="97" t="str">
        <f>IF($A186="","",IF($AC186="",1,IFERROR(INDEX(Deductibles!$C$55:$C$57,MATCH($AC186,Deductibles!$B$55:$B$57,0)),"?")))</f>
        <v/>
      </c>
      <c r="BP186" s="97" t="str">
        <f>IF($A186="","",IF($AD186="",1,IFERROR(INDEX(Deductibles!$C$61:$C$63,MATCH($AD186,Deductibles!$B$61:$B$63,0)),"?")))</f>
        <v/>
      </c>
      <c r="BQ186" s="97" t="str">
        <f>IF($A186="","",IF($AE186="",1,IFERROR(INDEX(Deductibles!$C$67:$C$69,MATCH($AE186,Deductibles!$B$67:$B$69,0)),"?")))</f>
        <v/>
      </c>
      <c r="BR186" s="97" t="str">
        <f>IF($A186="","",IF($AF186="",1,IFERROR(INDEX(Deductibles!$C$73:$C$74,MATCH($AF186,Deductibles!$B$73:$B$74,0)),"?")))</f>
        <v/>
      </c>
      <c r="BS186" s="97" t="str">
        <f>IF($A186="","",IF($AG186="",1,IFERROR(INDEX('Sublimits and Parts'!$C$49:$C$52,MATCH($AG186,'Sublimits and Parts'!$B$49:$B$52,0)),"?")))</f>
        <v/>
      </c>
      <c r="BT186" s="97" t="str">
        <f>IF($A186="","",IF($AH186="",1,IFERROR(INDEX('Sublimits and Parts'!$C$56:$C$60,MATCH($AH186,'Sublimits and Parts'!$B$56:$B$60,0)),"?")))</f>
        <v/>
      </c>
      <c r="BU186" s="97" t="str">
        <f>IF($A186="","",IF($AI186="",1,IFERROR(INDEX('Sublimits and Parts'!$C$64:$C$67,MATCH($AI186,'Sublimits and Parts'!$B$64:$B$67,0)),"?")))</f>
        <v/>
      </c>
      <c r="BV186" s="97" t="str">
        <f>IF($A186="","",IF($AJ186="",1,IFERROR(INDEX('Sublimits and Parts'!$C$71:$C$74,MATCH($AJ186,'Sublimits and Parts'!$B$71:$B$74,0)),"?")))</f>
        <v/>
      </c>
      <c r="BW186" s="97" t="str">
        <f>IF($A186="","",IF($AK186="",1,IFERROR(INDEX('Sublimits and Parts'!$C$78:$C$80,MATCH($AK186,'Sublimits and Parts'!$B$78:$B$80,0)),"?")))</f>
        <v/>
      </c>
      <c r="BX186" s="97" t="str">
        <f>IF($A186="","",IF($AL186="",1,IFERROR(INDEX('Sublimits and Parts'!$C$84:$C$87,MATCH($AL186,'Sublimits and Parts'!$B$84:$B$87,0)),"?")))</f>
        <v/>
      </c>
      <c r="BY186" s="97" t="str">
        <f>IF($A186="","",IF($AM186="",1,IFERROR(INDEX('Sublimits and Parts'!$C$91:$C$94,MATCH($AM186,'Sublimits and Parts'!$B$91:$B$94,0)),"?")))</f>
        <v/>
      </c>
      <c r="BZ186" s="97" t="str">
        <f>IF($A186="","",IF($AN186="",1,IFERROR(INDEX('Sublimits and Parts'!$C$98:$C$101,MATCH($AN186,'Sublimits and Parts'!$B$98:$B$101,0)),"?")))</f>
        <v/>
      </c>
      <c r="CA186" s="97" t="str">
        <f>IF($A186="","",IF($AO186="",1,IFERROR(INDEX('Sublimits and Parts'!$C$105:$C$109,MATCH($AO186,'Sublimits and Parts'!$B$105:$B$109,0)),"?")))</f>
        <v/>
      </c>
      <c r="CB186" s="98" t="str">
        <f t="shared" si="28"/>
        <v/>
      </c>
      <c r="CC186" s="98" t="str">
        <f t="shared" si="29"/>
        <v/>
      </c>
      <c r="CD186" s="101" t="str">
        <f>IF($A186="","",IF(OR($CB186="?",$CC186="?"),"?",MIN($CB186*$CC186,'Technical Premium'!$C$17)))</f>
        <v/>
      </c>
      <c r="CE186" s="100" t="str">
        <f t="shared" si="30"/>
        <v/>
      </c>
      <c r="CF186" s="100" t="str">
        <f>IF($A186="","",IFERROR(INDEX('Territory Factors'!$F$6:$F$56,MATCH($K186,'Territory Factors'!$B$6:$B$56,0)),"?"))</f>
        <v/>
      </c>
      <c r="CG186" s="98" t="str">
        <f>IF($A186="","",IFERROR(INDEX('Usage and Coverage'!$C$79:$C$84,MATCH($Y186,'Usage and Coverage'!$B$79:$B$84,0)),"?"))</f>
        <v/>
      </c>
      <c r="CH186" s="100" t="str">
        <f>IFERROR(IF(ISNUMBER($CD186),$CF186*$CG186*MIN($BG186*$BA186*$BC186*$BD186*$BH186*$BF186,'Technical Premium'!$C$17),""),"")</f>
        <v/>
      </c>
      <c r="CI186" s="100" t="str">
        <f t="shared" si="31"/>
        <v/>
      </c>
      <c r="CJ186" s="100" t="str">
        <f>IFERROR($CI186*(1+'Technical Premium'!$C$5)*(1+'Technical Premium'!$C$6),"")</f>
        <v/>
      </c>
      <c r="CK186" s="100" t="str">
        <f>IFERROR($CE186*INDEX('Territory Factors'!$G$6:$G$56,MATCH($K186,'Territory Factors'!$B$6:$B$56,0))*$AU186*$AV186,"")</f>
        <v/>
      </c>
      <c r="CL186" s="100" t="str">
        <f>IFERROR(($CJ186+$CK186)*(1+'Technical Premium'!$C$7),"")</f>
        <v/>
      </c>
      <c r="CM186" s="102" t="str">
        <f>IFERROR($CL186/'Technical Premium'!$C$13,"")</f>
        <v/>
      </c>
      <c r="CN186" s="103" t="str">
        <f t="shared" si="32"/>
        <v/>
      </c>
      <c r="CO186" s="102" t="str">
        <f t="shared" si="33"/>
        <v/>
      </c>
      <c r="CP186" s="103" t="str">
        <f t="shared" si="34"/>
        <v/>
      </c>
      <c r="CQ186" s="104" t="str">
        <f t="shared" si="35"/>
        <v/>
      </c>
      <c r="CR186" s="100" t="str">
        <f>IF(ISNUMBER($CM186),'Technical Premium'!$C$14+IF($J186&gt;=1000000,'Technical Premium'!$C$15,0),"")</f>
        <v/>
      </c>
      <c r="CS186" s="100" t="str">
        <f>IFERROR(($CO186+$CR186)*(INDEX('Territory Factors'!$K$6:$K$56,MATCH($K186,'Territory Factors'!$B$6:$B$56,0))+'Commission Structure'!$C$21),"")</f>
        <v/>
      </c>
      <c r="CT186" s="102" t="str">
        <f t="shared" si="36"/>
        <v/>
      </c>
      <c r="CU186" s="100" t="str">
        <f>IFERROR($CO186*('Commission Structure'!$C$6+'Commission Structure'!$C$7),"")</f>
        <v/>
      </c>
      <c r="CV186" s="100" t="str">
        <f>IFERROR($CO186*'Commission Structure'!$C$5-$CU186,"")</f>
        <v/>
      </c>
      <c r="CW186" s="100" t="str">
        <f>IFERROR($CO186*(1-'Commission Structure'!$C$5),"")</f>
        <v/>
      </c>
      <c r="CX186" s="105" t="str">
        <f>IF($A186="","",IF(OR($CB186="?",$CC186="?",NOT(ISNUMBER($AU186))),"CHECK INPUTS",IF(OR($J186&lt;'Technical Premium'!$C$18,LEFT(IFERROR(INDEX('Driver Factors'!$D$6:$D$15,MATCH($R186,'Driver Factors'!$B$6:$B$15,0)),""),7)="DECLINE",LEFT(IFERROR(INDEX('Driver Factors'!$D$28:$D$36,MATCH($T186,'Driver Factors'!$B$28:$B$36,0)),""),7)="DECLINE",LEFT(IFERROR(INDEX('Claims History'!$D$6:$D$15,MATCH($U186,'Claims History'!$B$6:$B$15,0)),""),7)="DECLINE",LEFT(IFERROR(INDEX('Usage and Coverage'!$E$6:$E$20,MATCH($N186,'Usage and Coverage'!$C$6:$C$20,0)),""),7)="DECLINE"),"DECLINE",IF(OR($CD186&gt;2.5,$CD186&gt;='Technical Premium'!$C$17,$J186&gt;='Technical Premium'!$C$16,N($AQ186)&lt;'Technical Premium'!$C$19,N($AQ186)&gt;'Technical Premium'!$C$20,LEFT(IFERROR(INDEX('Driver Factors'!$D$6:$D$15,MATCH($R186,'Driver Factors'!$B$6:$B$15,0)),""),5)="Refer",LEFT(IFERROR(INDEX('Driver Factors'!$D$28:$D$36,MATCH($T186,'Driver Factors'!$B$28:$B$36,0)),""),5)="Refer",LEFT(IFERROR(INDEX('Claims History'!$D$6:$D$15,MATCH($U186,'Claims History'!$B$6:$B$15,0)),""),5)="Refer",LEFT(IFERROR(INDEX('Usage and Coverage'!$E$6:$E$20,MATCH($N186,'Usage and Coverage'!$C$6:$C$20,0)),""),5)="Refer"),"REFER","AUTO-BIND"))))</f>
        <v/>
      </c>
      <c r="CY186" s="106" t="str">
        <f t="shared" si="37"/>
        <v/>
      </c>
      <c r="CZ186" s="97" t="str">
        <f>IF($CY186="","",IF($CY186&lt;'Technical Premium'!$C$19,"BEYOND AUTHORITY",IF($CY186&gt;0.005,"Above technical",IF($CY186&lt;-0.005,"BELOW technical","At technical"))))</f>
        <v/>
      </c>
      <c r="DA186" s="97" t="str">
        <f>IF($A186="","",IF($CX186="AUTO-BIND","",TRIM(IF($J186&lt;'Technical Premium'!$C$18,"Below programme minimum agreed value. ","")&amp;IF(N($AQ186)&lt;'Technical Premium'!$C$19,"DISCOUNT AUTHORITY BREACH. ","")&amp;IF(N($AQ186)&gt;'Technical Premium'!$C$20,"Load authority breach. ","")&amp;IF($J186&gt;='Technical Premium'!$C$16,"Agreed value at or above auto-bind limit. ","")&amp;IF(AND(ISNUMBER($CD186),$CD186&gt;='Technical Premium'!$C$17),"Composite factor at cap. ","")&amp;IF(AND(ISNUMBER($CD186),$CD186&gt;2.5),"Composite factor above 2.50. ","")&amp;IF(LEFT(IFERROR(INDEX('Driver Factors'!$D$6:$D$15,MATCH($R186,'Driver Factors'!$B$6:$B$15,0)),""),7)="DECLINE","DECLINE - driver age. ",IF(LEFT(IFERROR(INDEX('Driver Factors'!$D$6:$D$15,MATCH($R186,'Driver Factors'!$B$6:$B$15,0)),""),5)="Refer","Driver age band. ",""))&amp;IF(LEFT(IFERROR(INDEX('Driver Factors'!$D$28:$D$36,MATCH($T186,'Driver Factors'!$B$28:$B$36,0)),""),7)="DECLINE","DECLINE - MVR. ",IF(LEFT(IFERROR(INDEX('Driver Factors'!$D$28:$D$36,MATCH($T186,'Driver Factors'!$B$28:$B$36,0)),""),5)="Refer","MVR record. ",""))&amp;IF(LEFT(IFERROR(INDEX('Claims History'!$D$6:$D$15,MATCH($U186,'Claims History'!$B$6:$B$15,0)),""),7)="DECLINE","DECLINE - claims. ",IF(LEFT(IFERROR(INDEX('Claims History'!$D$6:$D$15,MATCH($U186,'Claims History'!$B$6:$B$15,0)),""),5)="Refer","Claims history. ",""))&amp;IF(LEFT(IFERROR(INDEX('Usage and Coverage'!$E$6:$E$20,MATCH($N186,'Usage and Coverage'!$C$6:$C$20,0)),""),7)="DECLINE","DECLINE - usage class. ",IF(LEFT(IFERROR(INDEX('Usage and Coverage'!$E$6:$E$20,MATCH($N186,'Usage and Coverage'!$C$6:$C$20,0)),""),5)="Refer","Usage class. ",""))&amp;IF($CX186="CHECK INPUTS","Incomplete inputs. ",""))))</f>
        <v/>
      </c>
      <c r="DB186" s="92"/>
      <c r="DC186" s="92"/>
      <c r="DD186" s="93"/>
      <c r="DE186" s="92"/>
      <c r="DF186" s="92"/>
      <c r="DG186" s="97" t="str">
        <f t="shared" si="38"/>
        <v/>
      </c>
      <c r="DH186" s="97" t="str">
        <f>IF($A186="","",IF(OR($CX186="REFER",$CX186="DECLINE"),COUNTIF($CX$5:$CX186,"REFER")+COUNTIF($CX$5:$CX186,"DECLINE"),""))</f>
        <v/>
      </c>
      <c r="DI186" s="92"/>
    </row>
    <row r="187" spans="1:113" x14ac:dyDescent="0.25">
      <c r="A187" s="92"/>
      <c r="B187" s="92"/>
      <c r="C187" s="93"/>
      <c r="D187" s="93"/>
      <c r="E187" s="94"/>
      <c r="F187" s="92"/>
      <c r="G187" s="92"/>
      <c r="H187" s="92"/>
      <c r="I187" s="92"/>
      <c r="J187" s="95"/>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6"/>
      <c r="AR187" s="97" t="str">
        <f t="shared" si="26"/>
        <v/>
      </c>
      <c r="AS187" s="97" t="str">
        <f>IF($A187="","",IF($AP187&lt;&gt;"",$AP187,IFERROR(INDEX('Cat Zone by ZIP'!$D$6:$D$856,MATCH($AR187,'Cat Zone by ZIP'!$B$6:$B$856,0)),IFERROR(INDEX('Cat Zone by ZIP'!$C$860:$C$910,MATCH($K187,'Cat Zone by ZIP'!$B$860:$B$910,0)),"NOT FOUND"))))</f>
        <v/>
      </c>
      <c r="AT187" s="97" t="str">
        <f>IF($A187="","",IF($AP187&lt;&gt;"","Override",IF(ISNUMBER(MATCH($AR187,'Cat Zone by ZIP'!$B$6:$B$856,0)),"ZIP-3","State default")))</f>
        <v/>
      </c>
      <c r="AU187" s="98" t="str">
        <f>IF($A187="","",IFERROR(INDEX('Natural Catastrophe'!$D$6:$D$17,MATCH($AS187,'Natural Catastrophe'!$B$6:$B$17,0)),"?"))</f>
        <v/>
      </c>
      <c r="AV187" s="98" t="str">
        <f>IF($A187="","",IFERROR(INDEX('Natural Catastrophe'!$C$21:$C$26,MATCH($AA187,'Natural Catastrophe'!$B$21:$B$26,0)),"?"))</f>
        <v/>
      </c>
      <c r="AW187" s="97" t="str">
        <f>IF($A187="","",IFERROR(INDEX('Base Rates'!$C$4:$I$4,MATCH(MAX($J187,'Technical Premium'!$C$18),'Base Rates'!$C$3:$I$3,1)),"?"))</f>
        <v/>
      </c>
      <c r="AX187" s="99" t="str">
        <f>IF($A187="","",IFERROR(INDEX('Base Rates'!$C$5:$I$16,MATCH($I187,'Base Rates'!$B$5:$B$16,0),MATCH(MAX($J187,'Technical Premium'!$C$18),'Base Rates'!$C$3:$I$3,1)),"?"))</f>
        <v/>
      </c>
      <c r="AY187" s="100" t="str">
        <f t="shared" si="27"/>
        <v/>
      </c>
      <c r="AZ187" s="97" t="str">
        <f>IF($A187="","",IFERROR(INDEX('Make Factors'!$G$5:$G$69,MATCH($F187,'Make Factors'!$B$5:$B$69,0)),"?"))</f>
        <v/>
      </c>
      <c r="BA187" s="97" t="str">
        <f>IF($A187="","",IFERROR(INDEX('Driver Factors'!$C$6:$C$15,MATCH($R187,'Driver Factors'!$B$6:$B$15,0)),"?"))</f>
        <v/>
      </c>
      <c r="BB187" s="97" t="str">
        <f>IF($A187="","",IFERROR(INDEX('Driver Factors'!$C$19:$C$24,MATCH($S187,'Driver Factors'!$B$19:$B$24,0)),"?"))</f>
        <v/>
      </c>
      <c r="BC187" s="97" t="str">
        <f>IF($A187="","",IFERROR(INDEX('Driver Factors'!$C$28:$C$36,MATCH($T187,'Driver Factors'!$B$28:$B$36,0)),"?"))</f>
        <v/>
      </c>
      <c r="BD187" s="97" t="str">
        <f>IF($A187="","",IFERROR(INDEX('Claims History'!$C$6:$C$15,MATCH($U187,'Claims History'!$B$6:$B$15,0)),"?"))</f>
        <v/>
      </c>
      <c r="BE187" s="97" t="str">
        <f>IF($A187="","",IFERROR(INDEX('Territory Factors'!$E$6:$E$56,MATCH($K187,'Territory Factors'!$B$6:$B$56,0)),"?"))</f>
        <v/>
      </c>
      <c r="BF187" s="97" t="str">
        <f>IF($A187="","",IFERROR(INDEX('City Accident Ratings'!$G$6:$G$54,MATCH($Z187,'City Accident Ratings'!$B$6:$B$54,0)),"?"))</f>
        <v/>
      </c>
      <c r="BG187" s="97" t="str">
        <f>IF($A187="","",IFERROR(INDEX('Usage and Coverage'!$D$6:$D$20,MATCH($N187,'Usage and Coverage'!$C$6:$C$20,0)),"?"))</f>
        <v/>
      </c>
      <c r="BH187" s="97" t="str">
        <f>IF($A187="","",IFERROR(INDEX('Usage and Coverage'!$C$24:$C$30,MATCH($O187,'Usage and Coverage'!$B$24:$B$30,0)),"?"))</f>
        <v/>
      </c>
      <c r="BI187" s="97" t="str">
        <f>IF($A187="","",IFERROR(INDEX('Usage and Coverage'!$C$34:$C$40,MATCH($P187,'Usage and Coverage'!$B$34:$B$40,0)),"?"))</f>
        <v/>
      </c>
      <c r="BJ187" s="97" t="str">
        <f>IF($A187="","",IFERROR(INDEX('Usage and Coverage'!$C$44:$C$49,MATCH($Q187,'Usage and Coverage'!$B$44:$B$49,0)),"?"))</f>
        <v/>
      </c>
      <c r="BK187" s="97" t="str">
        <f>IF($A187="","",IFERROR(INDEX(Deductibles!$C$6:$I$15,MATCH($W187,Deductibles!$B$6:$B$15,0),MATCH(MAX($J187,'Technical Premium'!$C$18),'Base Rates'!$C$3:$I$3,1)),"?"))</f>
        <v/>
      </c>
      <c r="BL187" s="97" t="str">
        <f>IF($A187="","",IFERROR(INDEX('Usage and Coverage'!$C$63:$C$66,MATCH($X187,'Usage and Coverage'!$B$63:$B$66,0)),"?"))</f>
        <v/>
      </c>
      <c r="BM187" s="97" t="str">
        <f>IF($A187="","",IFERROR(INDEX('Usage and Coverage'!$C$70:$C$75,MATCH($V187,'Usage and Coverage'!$B$70:$B$75,0)),"?"))</f>
        <v/>
      </c>
      <c r="BN187" s="97" t="str">
        <f>IF($A187="","",IF($AB187="",1,IFERROR(INDEX(Deductibles!$C$48:$C$51,MATCH($AB187,Deductibles!$B$48:$B$51,0)),"?")))</f>
        <v/>
      </c>
      <c r="BO187" s="97" t="str">
        <f>IF($A187="","",IF($AC187="",1,IFERROR(INDEX(Deductibles!$C$55:$C$57,MATCH($AC187,Deductibles!$B$55:$B$57,0)),"?")))</f>
        <v/>
      </c>
      <c r="BP187" s="97" t="str">
        <f>IF($A187="","",IF($AD187="",1,IFERROR(INDEX(Deductibles!$C$61:$C$63,MATCH($AD187,Deductibles!$B$61:$B$63,0)),"?")))</f>
        <v/>
      </c>
      <c r="BQ187" s="97" t="str">
        <f>IF($A187="","",IF($AE187="",1,IFERROR(INDEX(Deductibles!$C$67:$C$69,MATCH($AE187,Deductibles!$B$67:$B$69,0)),"?")))</f>
        <v/>
      </c>
      <c r="BR187" s="97" t="str">
        <f>IF($A187="","",IF($AF187="",1,IFERROR(INDEX(Deductibles!$C$73:$C$74,MATCH($AF187,Deductibles!$B$73:$B$74,0)),"?")))</f>
        <v/>
      </c>
      <c r="BS187" s="97" t="str">
        <f>IF($A187="","",IF($AG187="",1,IFERROR(INDEX('Sublimits and Parts'!$C$49:$C$52,MATCH($AG187,'Sublimits and Parts'!$B$49:$B$52,0)),"?")))</f>
        <v/>
      </c>
      <c r="BT187" s="97" t="str">
        <f>IF($A187="","",IF($AH187="",1,IFERROR(INDEX('Sublimits and Parts'!$C$56:$C$60,MATCH($AH187,'Sublimits and Parts'!$B$56:$B$60,0)),"?")))</f>
        <v/>
      </c>
      <c r="BU187" s="97" t="str">
        <f>IF($A187="","",IF($AI187="",1,IFERROR(INDEX('Sublimits and Parts'!$C$64:$C$67,MATCH($AI187,'Sublimits and Parts'!$B$64:$B$67,0)),"?")))</f>
        <v/>
      </c>
      <c r="BV187" s="97" t="str">
        <f>IF($A187="","",IF($AJ187="",1,IFERROR(INDEX('Sublimits and Parts'!$C$71:$C$74,MATCH($AJ187,'Sublimits and Parts'!$B$71:$B$74,0)),"?")))</f>
        <v/>
      </c>
      <c r="BW187" s="97" t="str">
        <f>IF($A187="","",IF($AK187="",1,IFERROR(INDEX('Sublimits and Parts'!$C$78:$C$80,MATCH($AK187,'Sublimits and Parts'!$B$78:$B$80,0)),"?")))</f>
        <v/>
      </c>
      <c r="BX187" s="97" t="str">
        <f>IF($A187="","",IF($AL187="",1,IFERROR(INDEX('Sublimits and Parts'!$C$84:$C$87,MATCH($AL187,'Sublimits and Parts'!$B$84:$B$87,0)),"?")))</f>
        <v/>
      </c>
      <c r="BY187" s="97" t="str">
        <f>IF($A187="","",IF($AM187="",1,IFERROR(INDEX('Sublimits and Parts'!$C$91:$C$94,MATCH($AM187,'Sublimits and Parts'!$B$91:$B$94,0)),"?")))</f>
        <v/>
      </c>
      <c r="BZ187" s="97" t="str">
        <f>IF($A187="","",IF($AN187="",1,IFERROR(INDEX('Sublimits and Parts'!$C$98:$C$101,MATCH($AN187,'Sublimits and Parts'!$B$98:$B$101,0)),"?")))</f>
        <v/>
      </c>
      <c r="CA187" s="97" t="str">
        <f>IF($A187="","",IF($AO187="",1,IFERROR(INDEX('Sublimits and Parts'!$C$105:$C$109,MATCH($AO187,'Sublimits and Parts'!$B$105:$B$109,0)),"?")))</f>
        <v/>
      </c>
      <c r="CB187" s="98" t="str">
        <f t="shared" si="28"/>
        <v/>
      </c>
      <c r="CC187" s="98" t="str">
        <f t="shared" si="29"/>
        <v/>
      </c>
      <c r="CD187" s="101" t="str">
        <f>IF($A187="","",IF(OR($CB187="?",$CC187="?"),"?",MIN($CB187*$CC187,'Technical Premium'!$C$17)))</f>
        <v/>
      </c>
      <c r="CE187" s="100" t="str">
        <f t="shared" si="30"/>
        <v/>
      </c>
      <c r="CF187" s="100" t="str">
        <f>IF($A187="","",IFERROR(INDEX('Territory Factors'!$F$6:$F$56,MATCH($K187,'Territory Factors'!$B$6:$B$56,0)),"?"))</f>
        <v/>
      </c>
      <c r="CG187" s="98" t="str">
        <f>IF($A187="","",IFERROR(INDEX('Usage and Coverage'!$C$79:$C$84,MATCH($Y187,'Usage and Coverage'!$B$79:$B$84,0)),"?"))</f>
        <v/>
      </c>
      <c r="CH187" s="100" t="str">
        <f>IFERROR(IF(ISNUMBER($CD187),$CF187*$CG187*MIN($BG187*$BA187*$BC187*$BD187*$BH187*$BF187,'Technical Premium'!$C$17),""),"")</f>
        <v/>
      </c>
      <c r="CI187" s="100" t="str">
        <f t="shared" si="31"/>
        <v/>
      </c>
      <c r="CJ187" s="100" t="str">
        <f>IFERROR($CI187*(1+'Technical Premium'!$C$5)*(1+'Technical Premium'!$C$6),"")</f>
        <v/>
      </c>
      <c r="CK187" s="100" t="str">
        <f>IFERROR($CE187*INDEX('Territory Factors'!$G$6:$G$56,MATCH($K187,'Territory Factors'!$B$6:$B$56,0))*$AU187*$AV187,"")</f>
        <v/>
      </c>
      <c r="CL187" s="100" t="str">
        <f>IFERROR(($CJ187+$CK187)*(1+'Technical Premium'!$C$7),"")</f>
        <v/>
      </c>
      <c r="CM187" s="102" t="str">
        <f>IFERROR($CL187/'Technical Premium'!$C$13,"")</f>
        <v/>
      </c>
      <c r="CN187" s="103" t="str">
        <f t="shared" si="32"/>
        <v/>
      </c>
      <c r="CO187" s="102" t="str">
        <f t="shared" si="33"/>
        <v/>
      </c>
      <c r="CP187" s="103" t="str">
        <f t="shared" si="34"/>
        <v/>
      </c>
      <c r="CQ187" s="104" t="str">
        <f t="shared" si="35"/>
        <v/>
      </c>
      <c r="CR187" s="100" t="str">
        <f>IF(ISNUMBER($CM187),'Technical Premium'!$C$14+IF($J187&gt;=1000000,'Technical Premium'!$C$15,0),"")</f>
        <v/>
      </c>
      <c r="CS187" s="100" t="str">
        <f>IFERROR(($CO187+$CR187)*(INDEX('Territory Factors'!$K$6:$K$56,MATCH($K187,'Territory Factors'!$B$6:$B$56,0))+'Commission Structure'!$C$21),"")</f>
        <v/>
      </c>
      <c r="CT187" s="102" t="str">
        <f t="shared" si="36"/>
        <v/>
      </c>
      <c r="CU187" s="100" t="str">
        <f>IFERROR($CO187*('Commission Structure'!$C$6+'Commission Structure'!$C$7),"")</f>
        <v/>
      </c>
      <c r="CV187" s="100" t="str">
        <f>IFERROR($CO187*'Commission Structure'!$C$5-$CU187,"")</f>
        <v/>
      </c>
      <c r="CW187" s="100" t="str">
        <f>IFERROR($CO187*(1-'Commission Structure'!$C$5),"")</f>
        <v/>
      </c>
      <c r="CX187" s="105" t="str">
        <f>IF($A187="","",IF(OR($CB187="?",$CC187="?",NOT(ISNUMBER($AU187))),"CHECK INPUTS",IF(OR($J187&lt;'Technical Premium'!$C$18,LEFT(IFERROR(INDEX('Driver Factors'!$D$6:$D$15,MATCH($R187,'Driver Factors'!$B$6:$B$15,0)),""),7)="DECLINE",LEFT(IFERROR(INDEX('Driver Factors'!$D$28:$D$36,MATCH($T187,'Driver Factors'!$B$28:$B$36,0)),""),7)="DECLINE",LEFT(IFERROR(INDEX('Claims History'!$D$6:$D$15,MATCH($U187,'Claims History'!$B$6:$B$15,0)),""),7)="DECLINE",LEFT(IFERROR(INDEX('Usage and Coverage'!$E$6:$E$20,MATCH($N187,'Usage and Coverage'!$C$6:$C$20,0)),""),7)="DECLINE"),"DECLINE",IF(OR($CD187&gt;2.5,$CD187&gt;='Technical Premium'!$C$17,$J187&gt;='Technical Premium'!$C$16,N($AQ187)&lt;'Technical Premium'!$C$19,N($AQ187)&gt;'Technical Premium'!$C$20,LEFT(IFERROR(INDEX('Driver Factors'!$D$6:$D$15,MATCH($R187,'Driver Factors'!$B$6:$B$15,0)),""),5)="Refer",LEFT(IFERROR(INDEX('Driver Factors'!$D$28:$D$36,MATCH($T187,'Driver Factors'!$B$28:$B$36,0)),""),5)="Refer",LEFT(IFERROR(INDEX('Claims History'!$D$6:$D$15,MATCH($U187,'Claims History'!$B$6:$B$15,0)),""),5)="Refer",LEFT(IFERROR(INDEX('Usage and Coverage'!$E$6:$E$20,MATCH($N187,'Usage and Coverage'!$C$6:$C$20,0)),""),5)="Refer"),"REFER","AUTO-BIND"))))</f>
        <v/>
      </c>
      <c r="CY187" s="106" t="str">
        <f t="shared" si="37"/>
        <v/>
      </c>
      <c r="CZ187" s="97" t="str">
        <f>IF($CY187="","",IF($CY187&lt;'Technical Premium'!$C$19,"BEYOND AUTHORITY",IF($CY187&gt;0.005,"Above technical",IF($CY187&lt;-0.005,"BELOW technical","At technical"))))</f>
        <v/>
      </c>
      <c r="DA187" s="97" t="str">
        <f>IF($A187="","",IF($CX187="AUTO-BIND","",TRIM(IF($J187&lt;'Technical Premium'!$C$18,"Below programme minimum agreed value. ","")&amp;IF(N($AQ187)&lt;'Technical Premium'!$C$19,"DISCOUNT AUTHORITY BREACH. ","")&amp;IF(N($AQ187)&gt;'Technical Premium'!$C$20,"Load authority breach. ","")&amp;IF($J187&gt;='Technical Premium'!$C$16,"Agreed value at or above auto-bind limit. ","")&amp;IF(AND(ISNUMBER($CD187),$CD187&gt;='Technical Premium'!$C$17),"Composite factor at cap. ","")&amp;IF(AND(ISNUMBER($CD187),$CD187&gt;2.5),"Composite factor above 2.50. ","")&amp;IF(LEFT(IFERROR(INDEX('Driver Factors'!$D$6:$D$15,MATCH($R187,'Driver Factors'!$B$6:$B$15,0)),""),7)="DECLINE","DECLINE - driver age. ",IF(LEFT(IFERROR(INDEX('Driver Factors'!$D$6:$D$15,MATCH($R187,'Driver Factors'!$B$6:$B$15,0)),""),5)="Refer","Driver age band. ",""))&amp;IF(LEFT(IFERROR(INDEX('Driver Factors'!$D$28:$D$36,MATCH($T187,'Driver Factors'!$B$28:$B$36,0)),""),7)="DECLINE","DECLINE - MVR. ",IF(LEFT(IFERROR(INDEX('Driver Factors'!$D$28:$D$36,MATCH($T187,'Driver Factors'!$B$28:$B$36,0)),""),5)="Refer","MVR record. ",""))&amp;IF(LEFT(IFERROR(INDEX('Claims History'!$D$6:$D$15,MATCH($U187,'Claims History'!$B$6:$B$15,0)),""),7)="DECLINE","DECLINE - claims. ",IF(LEFT(IFERROR(INDEX('Claims History'!$D$6:$D$15,MATCH($U187,'Claims History'!$B$6:$B$15,0)),""),5)="Refer","Claims history. ",""))&amp;IF(LEFT(IFERROR(INDEX('Usage and Coverage'!$E$6:$E$20,MATCH($N187,'Usage and Coverage'!$C$6:$C$20,0)),""),7)="DECLINE","DECLINE - usage class. ",IF(LEFT(IFERROR(INDEX('Usage and Coverage'!$E$6:$E$20,MATCH($N187,'Usage and Coverage'!$C$6:$C$20,0)),""),5)="Refer","Usage class. ",""))&amp;IF($CX187="CHECK INPUTS","Incomplete inputs. ",""))))</f>
        <v/>
      </c>
      <c r="DB187" s="92"/>
      <c r="DC187" s="92"/>
      <c r="DD187" s="93"/>
      <c r="DE187" s="92"/>
      <c r="DF187" s="92"/>
      <c r="DG187" s="97" t="str">
        <f t="shared" si="38"/>
        <v/>
      </c>
      <c r="DH187" s="97" t="str">
        <f>IF($A187="","",IF(OR($CX187="REFER",$CX187="DECLINE"),COUNTIF($CX$5:$CX187,"REFER")+COUNTIF($CX$5:$CX187,"DECLINE"),""))</f>
        <v/>
      </c>
      <c r="DI187" s="92"/>
    </row>
    <row r="188" spans="1:113" x14ac:dyDescent="0.25">
      <c r="A188" s="92"/>
      <c r="B188" s="92"/>
      <c r="C188" s="93"/>
      <c r="D188" s="93"/>
      <c r="E188" s="94"/>
      <c r="F188" s="92"/>
      <c r="G188" s="92"/>
      <c r="H188" s="92"/>
      <c r="I188" s="92"/>
      <c r="J188" s="95"/>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6"/>
      <c r="AR188" s="97" t="str">
        <f t="shared" si="26"/>
        <v/>
      </c>
      <c r="AS188" s="97" t="str">
        <f>IF($A188="","",IF($AP188&lt;&gt;"",$AP188,IFERROR(INDEX('Cat Zone by ZIP'!$D$6:$D$856,MATCH($AR188,'Cat Zone by ZIP'!$B$6:$B$856,0)),IFERROR(INDEX('Cat Zone by ZIP'!$C$860:$C$910,MATCH($K188,'Cat Zone by ZIP'!$B$860:$B$910,0)),"NOT FOUND"))))</f>
        <v/>
      </c>
      <c r="AT188" s="97" t="str">
        <f>IF($A188="","",IF($AP188&lt;&gt;"","Override",IF(ISNUMBER(MATCH($AR188,'Cat Zone by ZIP'!$B$6:$B$856,0)),"ZIP-3","State default")))</f>
        <v/>
      </c>
      <c r="AU188" s="98" t="str">
        <f>IF($A188="","",IFERROR(INDEX('Natural Catastrophe'!$D$6:$D$17,MATCH($AS188,'Natural Catastrophe'!$B$6:$B$17,0)),"?"))</f>
        <v/>
      </c>
      <c r="AV188" s="98" t="str">
        <f>IF($A188="","",IFERROR(INDEX('Natural Catastrophe'!$C$21:$C$26,MATCH($AA188,'Natural Catastrophe'!$B$21:$B$26,0)),"?"))</f>
        <v/>
      </c>
      <c r="AW188" s="97" t="str">
        <f>IF($A188="","",IFERROR(INDEX('Base Rates'!$C$4:$I$4,MATCH(MAX($J188,'Technical Premium'!$C$18),'Base Rates'!$C$3:$I$3,1)),"?"))</f>
        <v/>
      </c>
      <c r="AX188" s="99" t="str">
        <f>IF($A188="","",IFERROR(INDEX('Base Rates'!$C$5:$I$16,MATCH($I188,'Base Rates'!$B$5:$B$16,0),MATCH(MAX($J188,'Technical Premium'!$C$18),'Base Rates'!$C$3:$I$3,1)),"?"))</f>
        <v/>
      </c>
      <c r="AY188" s="100" t="str">
        <f t="shared" si="27"/>
        <v/>
      </c>
      <c r="AZ188" s="97" t="str">
        <f>IF($A188="","",IFERROR(INDEX('Make Factors'!$G$5:$G$69,MATCH($F188,'Make Factors'!$B$5:$B$69,0)),"?"))</f>
        <v/>
      </c>
      <c r="BA188" s="97" t="str">
        <f>IF($A188="","",IFERROR(INDEX('Driver Factors'!$C$6:$C$15,MATCH($R188,'Driver Factors'!$B$6:$B$15,0)),"?"))</f>
        <v/>
      </c>
      <c r="BB188" s="97" t="str">
        <f>IF($A188="","",IFERROR(INDEX('Driver Factors'!$C$19:$C$24,MATCH($S188,'Driver Factors'!$B$19:$B$24,0)),"?"))</f>
        <v/>
      </c>
      <c r="BC188" s="97" t="str">
        <f>IF($A188="","",IFERROR(INDEX('Driver Factors'!$C$28:$C$36,MATCH($T188,'Driver Factors'!$B$28:$B$36,0)),"?"))</f>
        <v/>
      </c>
      <c r="BD188" s="97" t="str">
        <f>IF($A188="","",IFERROR(INDEX('Claims History'!$C$6:$C$15,MATCH($U188,'Claims History'!$B$6:$B$15,0)),"?"))</f>
        <v/>
      </c>
      <c r="BE188" s="97" t="str">
        <f>IF($A188="","",IFERROR(INDEX('Territory Factors'!$E$6:$E$56,MATCH($K188,'Territory Factors'!$B$6:$B$56,0)),"?"))</f>
        <v/>
      </c>
      <c r="BF188" s="97" t="str">
        <f>IF($A188="","",IFERROR(INDEX('City Accident Ratings'!$G$6:$G$54,MATCH($Z188,'City Accident Ratings'!$B$6:$B$54,0)),"?"))</f>
        <v/>
      </c>
      <c r="BG188" s="97" t="str">
        <f>IF($A188="","",IFERROR(INDEX('Usage and Coverage'!$D$6:$D$20,MATCH($N188,'Usage and Coverage'!$C$6:$C$20,0)),"?"))</f>
        <v/>
      </c>
      <c r="BH188" s="97" t="str">
        <f>IF($A188="","",IFERROR(INDEX('Usage and Coverage'!$C$24:$C$30,MATCH($O188,'Usage and Coverage'!$B$24:$B$30,0)),"?"))</f>
        <v/>
      </c>
      <c r="BI188" s="97" t="str">
        <f>IF($A188="","",IFERROR(INDEX('Usage and Coverage'!$C$34:$C$40,MATCH($P188,'Usage and Coverage'!$B$34:$B$40,0)),"?"))</f>
        <v/>
      </c>
      <c r="BJ188" s="97" t="str">
        <f>IF($A188="","",IFERROR(INDEX('Usage and Coverage'!$C$44:$C$49,MATCH($Q188,'Usage and Coverage'!$B$44:$B$49,0)),"?"))</f>
        <v/>
      </c>
      <c r="BK188" s="97" t="str">
        <f>IF($A188="","",IFERROR(INDEX(Deductibles!$C$6:$I$15,MATCH($W188,Deductibles!$B$6:$B$15,0),MATCH(MAX($J188,'Technical Premium'!$C$18),'Base Rates'!$C$3:$I$3,1)),"?"))</f>
        <v/>
      </c>
      <c r="BL188" s="97" t="str">
        <f>IF($A188="","",IFERROR(INDEX('Usage and Coverage'!$C$63:$C$66,MATCH($X188,'Usage and Coverage'!$B$63:$B$66,0)),"?"))</f>
        <v/>
      </c>
      <c r="BM188" s="97" t="str">
        <f>IF($A188="","",IFERROR(INDEX('Usage and Coverage'!$C$70:$C$75,MATCH($V188,'Usage and Coverage'!$B$70:$B$75,0)),"?"))</f>
        <v/>
      </c>
      <c r="BN188" s="97" t="str">
        <f>IF($A188="","",IF($AB188="",1,IFERROR(INDEX(Deductibles!$C$48:$C$51,MATCH($AB188,Deductibles!$B$48:$B$51,0)),"?")))</f>
        <v/>
      </c>
      <c r="BO188" s="97" t="str">
        <f>IF($A188="","",IF($AC188="",1,IFERROR(INDEX(Deductibles!$C$55:$C$57,MATCH($AC188,Deductibles!$B$55:$B$57,0)),"?")))</f>
        <v/>
      </c>
      <c r="BP188" s="97" t="str">
        <f>IF($A188="","",IF($AD188="",1,IFERROR(INDEX(Deductibles!$C$61:$C$63,MATCH($AD188,Deductibles!$B$61:$B$63,0)),"?")))</f>
        <v/>
      </c>
      <c r="BQ188" s="97" t="str">
        <f>IF($A188="","",IF($AE188="",1,IFERROR(INDEX(Deductibles!$C$67:$C$69,MATCH($AE188,Deductibles!$B$67:$B$69,0)),"?")))</f>
        <v/>
      </c>
      <c r="BR188" s="97" t="str">
        <f>IF($A188="","",IF($AF188="",1,IFERROR(INDEX(Deductibles!$C$73:$C$74,MATCH($AF188,Deductibles!$B$73:$B$74,0)),"?")))</f>
        <v/>
      </c>
      <c r="BS188" s="97" t="str">
        <f>IF($A188="","",IF($AG188="",1,IFERROR(INDEX('Sublimits and Parts'!$C$49:$C$52,MATCH($AG188,'Sublimits and Parts'!$B$49:$B$52,0)),"?")))</f>
        <v/>
      </c>
      <c r="BT188" s="97" t="str">
        <f>IF($A188="","",IF($AH188="",1,IFERROR(INDEX('Sublimits and Parts'!$C$56:$C$60,MATCH($AH188,'Sublimits and Parts'!$B$56:$B$60,0)),"?")))</f>
        <v/>
      </c>
      <c r="BU188" s="97" t="str">
        <f>IF($A188="","",IF($AI188="",1,IFERROR(INDEX('Sublimits and Parts'!$C$64:$C$67,MATCH($AI188,'Sublimits and Parts'!$B$64:$B$67,0)),"?")))</f>
        <v/>
      </c>
      <c r="BV188" s="97" t="str">
        <f>IF($A188="","",IF($AJ188="",1,IFERROR(INDEX('Sublimits and Parts'!$C$71:$C$74,MATCH($AJ188,'Sublimits and Parts'!$B$71:$B$74,0)),"?")))</f>
        <v/>
      </c>
      <c r="BW188" s="97" t="str">
        <f>IF($A188="","",IF($AK188="",1,IFERROR(INDEX('Sublimits and Parts'!$C$78:$C$80,MATCH($AK188,'Sublimits and Parts'!$B$78:$B$80,0)),"?")))</f>
        <v/>
      </c>
      <c r="BX188" s="97" t="str">
        <f>IF($A188="","",IF($AL188="",1,IFERROR(INDEX('Sublimits and Parts'!$C$84:$C$87,MATCH($AL188,'Sublimits and Parts'!$B$84:$B$87,0)),"?")))</f>
        <v/>
      </c>
      <c r="BY188" s="97" t="str">
        <f>IF($A188="","",IF($AM188="",1,IFERROR(INDEX('Sublimits and Parts'!$C$91:$C$94,MATCH($AM188,'Sublimits and Parts'!$B$91:$B$94,0)),"?")))</f>
        <v/>
      </c>
      <c r="BZ188" s="97" t="str">
        <f>IF($A188="","",IF($AN188="",1,IFERROR(INDEX('Sublimits and Parts'!$C$98:$C$101,MATCH($AN188,'Sublimits and Parts'!$B$98:$B$101,0)),"?")))</f>
        <v/>
      </c>
      <c r="CA188" s="97" t="str">
        <f>IF($A188="","",IF($AO188="",1,IFERROR(INDEX('Sublimits and Parts'!$C$105:$C$109,MATCH($AO188,'Sublimits and Parts'!$B$105:$B$109,0)),"?")))</f>
        <v/>
      </c>
      <c r="CB188" s="98" t="str">
        <f t="shared" si="28"/>
        <v/>
      </c>
      <c r="CC188" s="98" t="str">
        <f t="shared" si="29"/>
        <v/>
      </c>
      <c r="CD188" s="101" t="str">
        <f>IF($A188="","",IF(OR($CB188="?",$CC188="?"),"?",MIN($CB188*$CC188,'Technical Premium'!$C$17)))</f>
        <v/>
      </c>
      <c r="CE188" s="100" t="str">
        <f t="shared" si="30"/>
        <v/>
      </c>
      <c r="CF188" s="100" t="str">
        <f>IF($A188="","",IFERROR(INDEX('Territory Factors'!$F$6:$F$56,MATCH($K188,'Territory Factors'!$B$6:$B$56,0)),"?"))</f>
        <v/>
      </c>
      <c r="CG188" s="98" t="str">
        <f>IF($A188="","",IFERROR(INDEX('Usage and Coverage'!$C$79:$C$84,MATCH($Y188,'Usage and Coverage'!$B$79:$B$84,0)),"?"))</f>
        <v/>
      </c>
      <c r="CH188" s="100" t="str">
        <f>IFERROR(IF(ISNUMBER($CD188),$CF188*$CG188*MIN($BG188*$BA188*$BC188*$BD188*$BH188*$BF188,'Technical Premium'!$C$17),""),"")</f>
        <v/>
      </c>
      <c r="CI188" s="100" t="str">
        <f t="shared" si="31"/>
        <v/>
      </c>
      <c r="CJ188" s="100" t="str">
        <f>IFERROR($CI188*(1+'Technical Premium'!$C$5)*(1+'Technical Premium'!$C$6),"")</f>
        <v/>
      </c>
      <c r="CK188" s="100" t="str">
        <f>IFERROR($CE188*INDEX('Territory Factors'!$G$6:$G$56,MATCH($K188,'Territory Factors'!$B$6:$B$56,0))*$AU188*$AV188,"")</f>
        <v/>
      </c>
      <c r="CL188" s="100" t="str">
        <f>IFERROR(($CJ188+$CK188)*(1+'Technical Premium'!$C$7),"")</f>
        <v/>
      </c>
      <c r="CM188" s="102" t="str">
        <f>IFERROR($CL188/'Technical Premium'!$C$13,"")</f>
        <v/>
      </c>
      <c r="CN188" s="103" t="str">
        <f t="shared" si="32"/>
        <v/>
      </c>
      <c r="CO188" s="102" t="str">
        <f t="shared" si="33"/>
        <v/>
      </c>
      <c r="CP188" s="103" t="str">
        <f t="shared" si="34"/>
        <v/>
      </c>
      <c r="CQ188" s="104" t="str">
        <f t="shared" si="35"/>
        <v/>
      </c>
      <c r="CR188" s="100" t="str">
        <f>IF(ISNUMBER($CM188),'Technical Premium'!$C$14+IF($J188&gt;=1000000,'Technical Premium'!$C$15,0),"")</f>
        <v/>
      </c>
      <c r="CS188" s="100" t="str">
        <f>IFERROR(($CO188+$CR188)*(INDEX('Territory Factors'!$K$6:$K$56,MATCH($K188,'Territory Factors'!$B$6:$B$56,0))+'Commission Structure'!$C$21),"")</f>
        <v/>
      </c>
      <c r="CT188" s="102" t="str">
        <f t="shared" si="36"/>
        <v/>
      </c>
      <c r="CU188" s="100" t="str">
        <f>IFERROR($CO188*('Commission Structure'!$C$6+'Commission Structure'!$C$7),"")</f>
        <v/>
      </c>
      <c r="CV188" s="100" t="str">
        <f>IFERROR($CO188*'Commission Structure'!$C$5-$CU188,"")</f>
        <v/>
      </c>
      <c r="CW188" s="100" t="str">
        <f>IFERROR($CO188*(1-'Commission Structure'!$C$5),"")</f>
        <v/>
      </c>
      <c r="CX188" s="105" t="str">
        <f>IF($A188="","",IF(OR($CB188="?",$CC188="?",NOT(ISNUMBER($AU188))),"CHECK INPUTS",IF(OR($J188&lt;'Technical Premium'!$C$18,LEFT(IFERROR(INDEX('Driver Factors'!$D$6:$D$15,MATCH($R188,'Driver Factors'!$B$6:$B$15,0)),""),7)="DECLINE",LEFT(IFERROR(INDEX('Driver Factors'!$D$28:$D$36,MATCH($T188,'Driver Factors'!$B$28:$B$36,0)),""),7)="DECLINE",LEFT(IFERROR(INDEX('Claims History'!$D$6:$D$15,MATCH($U188,'Claims History'!$B$6:$B$15,0)),""),7)="DECLINE",LEFT(IFERROR(INDEX('Usage and Coverage'!$E$6:$E$20,MATCH($N188,'Usage and Coverage'!$C$6:$C$20,0)),""),7)="DECLINE"),"DECLINE",IF(OR($CD188&gt;2.5,$CD188&gt;='Technical Premium'!$C$17,$J188&gt;='Technical Premium'!$C$16,N($AQ188)&lt;'Technical Premium'!$C$19,N($AQ188)&gt;'Technical Premium'!$C$20,LEFT(IFERROR(INDEX('Driver Factors'!$D$6:$D$15,MATCH($R188,'Driver Factors'!$B$6:$B$15,0)),""),5)="Refer",LEFT(IFERROR(INDEX('Driver Factors'!$D$28:$D$36,MATCH($T188,'Driver Factors'!$B$28:$B$36,0)),""),5)="Refer",LEFT(IFERROR(INDEX('Claims History'!$D$6:$D$15,MATCH($U188,'Claims History'!$B$6:$B$15,0)),""),5)="Refer",LEFT(IFERROR(INDEX('Usage and Coverage'!$E$6:$E$20,MATCH($N188,'Usage and Coverage'!$C$6:$C$20,0)),""),5)="Refer"),"REFER","AUTO-BIND"))))</f>
        <v/>
      </c>
      <c r="CY188" s="106" t="str">
        <f t="shared" si="37"/>
        <v/>
      </c>
      <c r="CZ188" s="97" t="str">
        <f>IF($CY188="","",IF($CY188&lt;'Technical Premium'!$C$19,"BEYOND AUTHORITY",IF($CY188&gt;0.005,"Above technical",IF($CY188&lt;-0.005,"BELOW technical","At technical"))))</f>
        <v/>
      </c>
      <c r="DA188" s="97" t="str">
        <f>IF($A188="","",IF($CX188="AUTO-BIND","",TRIM(IF($J188&lt;'Technical Premium'!$C$18,"Below programme minimum agreed value. ","")&amp;IF(N($AQ188)&lt;'Technical Premium'!$C$19,"DISCOUNT AUTHORITY BREACH. ","")&amp;IF(N($AQ188)&gt;'Technical Premium'!$C$20,"Load authority breach. ","")&amp;IF($J188&gt;='Technical Premium'!$C$16,"Agreed value at or above auto-bind limit. ","")&amp;IF(AND(ISNUMBER($CD188),$CD188&gt;='Technical Premium'!$C$17),"Composite factor at cap. ","")&amp;IF(AND(ISNUMBER($CD188),$CD188&gt;2.5),"Composite factor above 2.50. ","")&amp;IF(LEFT(IFERROR(INDEX('Driver Factors'!$D$6:$D$15,MATCH($R188,'Driver Factors'!$B$6:$B$15,0)),""),7)="DECLINE","DECLINE - driver age. ",IF(LEFT(IFERROR(INDEX('Driver Factors'!$D$6:$D$15,MATCH($R188,'Driver Factors'!$B$6:$B$15,0)),""),5)="Refer","Driver age band. ",""))&amp;IF(LEFT(IFERROR(INDEX('Driver Factors'!$D$28:$D$36,MATCH($T188,'Driver Factors'!$B$28:$B$36,0)),""),7)="DECLINE","DECLINE - MVR. ",IF(LEFT(IFERROR(INDEX('Driver Factors'!$D$28:$D$36,MATCH($T188,'Driver Factors'!$B$28:$B$36,0)),""),5)="Refer","MVR record. ",""))&amp;IF(LEFT(IFERROR(INDEX('Claims History'!$D$6:$D$15,MATCH($U188,'Claims History'!$B$6:$B$15,0)),""),7)="DECLINE","DECLINE - claims. ",IF(LEFT(IFERROR(INDEX('Claims History'!$D$6:$D$15,MATCH($U188,'Claims History'!$B$6:$B$15,0)),""),5)="Refer","Claims history. ",""))&amp;IF(LEFT(IFERROR(INDEX('Usage and Coverage'!$E$6:$E$20,MATCH($N188,'Usage and Coverage'!$C$6:$C$20,0)),""),7)="DECLINE","DECLINE - usage class. ",IF(LEFT(IFERROR(INDEX('Usage and Coverage'!$E$6:$E$20,MATCH($N188,'Usage and Coverage'!$C$6:$C$20,0)),""),5)="Refer","Usage class. ",""))&amp;IF($CX188="CHECK INPUTS","Incomplete inputs. ",""))))</f>
        <v/>
      </c>
      <c r="DB188" s="92"/>
      <c r="DC188" s="92"/>
      <c r="DD188" s="93"/>
      <c r="DE188" s="92"/>
      <c r="DF188" s="92"/>
      <c r="DG188" s="97" t="str">
        <f t="shared" si="38"/>
        <v/>
      </c>
      <c r="DH188" s="97" t="str">
        <f>IF($A188="","",IF(OR($CX188="REFER",$CX188="DECLINE"),COUNTIF($CX$5:$CX188,"REFER")+COUNTIF($CX$5:$CX188,"DECLINE"),""))</f>
        <v/>
      </c>
      <c r="DI188" s="92"/>
    </row>
    <row r="189" spans="1:113" x14ac:dyDescent="0.25">
      <c r="A189" s="92"/>
      <c r="B189" s="92"/>
      <c r="C189" s="93"/>
      <c r="D189" s="93"/>
      <c r="E189" s="94"/>
      <c r="F189" s="92"/>
      <c r="G189" s="92"/>
      <c r="H189" s="92"/>
      <c r="I189" s="92"/>
      <c r="J189" s="95"/>
      <c r="K189" s="92"/>
      <c r="L189" s="92"/>
      <c r="M189" s="92"/>
      <c r="N189" s="92"/>
      <c r="O189" s="92"/>
      <c r="P189" s="92"/>
      <c r="Q189" s="92"/>
      <c r="R189" s="92"/>
      <c r="S189" s="92"/>
      <c r="T189" s="92"/>
      <c r="U189" s="92"/>
      <c r="V189" s="92"/>
      <c r="W189" s="92"/>
      <c r="X189" s="92"/>
      <c r="Y189" s="92"/>
      <c r="Z189" s="92"/>
      <c r="AA189" s="92"/>
      <c r="AB189" s="92"/>
      <c r="AC189" s="92"/>
      <c r="AD189" s="92"/>
      <c r="AE189" s="92"/>
      <c r="AF189" s="92"/>
      <c r="AG189" s="92"/>
      <c r="AH189" s="92"/>
      <c r="AI189" s="92"/>
      <c r="AJ189" s="92"/>
      <c r="AK189" s="92"/>
      <c r="AL189" s="92"/>
      <c r="AM189" s="92"/>
      <c r="AN189" s="92"/>
      <c r="AO189" s="92"/>
      <c r="AP189" s="92"/>
      <c r="AQ189" s="96"/>
      <c r="AR189" s="97" t="str">
        <f t="shared" si="26"/>
        <v/>
      </c>
      <c r="AS189" s="97" t="str">
        <f>IF($A189="","",IF($AP189&lt;&gt;"",$AP189,IFERROR(INDEX('Cat Zone by ZIP'!$D$6:$D$856,MATCH($AR189,'Cat Zone by ZIP'!$B$6:$B$856,0)),IFERROR(INDEX('Cat Zone by ZIP'!$C$860:$C$910,MATCH($K189,'Cat Zone by ZIP'!$B$860:$B$910,0)),"NOT FOUND"))))</f>
        <v/>
      </c>
      <c r="AT189" s="97" t="str">
        <f>IF($A189="","",IF($AP189&lt;&gt;"","Override",IF(ISNUMBER(MATCH($AR189,'Cat Zone by ZIP'!$B$6:$B$856,0)),"ZIP-3","State default")))</f>
        <v/>
      </c>
      <c r="AU189" s="98" t="str">
        <f>IF($A189="","",IFERROR(INDEX('Natural Catastrophe'!$D$6:$D$17,MATCH($AS189,'Natural Catastrophe'!$B$6:$B$17,0)),"?"))</f>
        <v/>
      </c>
      <c r="AV189" s="98" t="str">
        <f>IF($A189="","",IFERROR(INDEX('Natural Catastrophe'!$C$21:$C$26,MATCH($AA189,'Natural Catastrophe'!$B$21:$B$26,0)),"?"))</f>
        <v/>
      </c>
      <c r="AW189" s="97" t="str">
        <f>IF($A189="","",IFERROR(INDEX('Base Rates'!$C$4:$I$4,MATCH(MAX($J189,'Technical Premium'!$C$18),'Base Rates'!$C$3:$I$3,1)),"?"))</f>
        <v/>
      </c>
      <c r="AX189" s="99" t="str">
        <f>IF($A189="","",IFERROR(INDEX('Base Rates'!$C$5:$I$16,MATCH($I189,'Base Rates'!$B$5:$B$16,0),MATCH(MAX($J189,'Technical Premium'!$C$18),'Base Rates'!$C$3:$I$3,1)),"?"))</f>
        <v/>
      </c>
      <c r="AY189" s="100" t="str">
        <f t="shared" si="27"/>
        <v/>
      </c>
      <c r="AZ189" s="97" t="str">
        <f>IF($A189="","",IFERROR(INDEX('Make Factors'!$G$5:$G$69,MATCH($F189,'Make Factors'!$B$5:$B$69,0)),"?"))</f>
        <v/>
      </c>
      <c r="BA189" s="97" t="str">
        <f>IF($A189="","",IFERROR(INDEX('Driver Factors'!$C$6:$C$15,MATCH($R189,'Driver Factors'!$B$6:$B$15,0)),"?"))</f>
        <v/>
      </c>
      <c r="BB189" s="97" t="str">
        <f>IF($A189="","",IFERROR(INDEX('Driver Factors'!$C$19:$C$24,MATCH($S189,'Driver Factors'!$B$19:$B$24,0)),"?"))</f>
        <v/>
      </c>
      <c r="BC189" s="97" t="str">
        <f>IF($A189="","",IFERROR(INDEX('Driver Factors'!$C$28:$C$36,MATCH($T189,'Driver Factors'!$B$28:$B$36,0)),"?"))</f>
        <v/>
      </c>
      <c r="BD189" s="97" t="str">
        <f>IF($A189="","",IFERROR(INDEX('Claims History'!$C$6:$C$15,MATCH($U189,'Claims History'!$B$6:$B$15,0)),"?"))</f>
        <v/>
      </c>
      <c r="BE189" s="97" t="str">
        <f>IF($A189="","",IFERROR(INDEX('Territory Factors'!$E$6:$E$56,MATCH($K189,'Territory Factors'!$B$6:$B$56,0)),"?"))</f>
        <v/>
      </c>
      <c r="BF189" s="97" t="str">
        <f>IF($A189="","",IFERROR(INDEX('City Accident Ratings'!$G$6:$G$54,MATCH($Z189,'City Accident Ratings'!$B$6:$B$54,0)),"?"))</f>
        <v/>
      </c>
      <c r="BG189" s="97" t="str">
        <f>IF($A189="","",IFERROR(INDEX('Usage and Coverage'!$D$6:$D$20,MATCH($N189,'Usage and Coverage'!$C$6:$C$20,0)),"?"))</f>
        <v/>
      </c>
      <c r="BH189" s="97" t="str">
        <f>IF($A189="","",IFERROR(INDEX('Usage and Coverage'!$C$24:$C$30,MATCH($O189,'Usage and Coverage'!$B$24:$B$30,0)),"?"))</f>
        <v/>
      </c>
      <c r="BI189" s="97" t="str">
        <f>IF($A189="","",IFERROR(INDEX('Usage and Coverage'!$C$34:$C$40,MATCH($P189,'Usage and Coverage'!$B$34:$B$40,0)),"?"))</f>
        <v/>
      </c>
      <c r="BJ189" s="97" t="str">
        <f>IF($A189="","",IFERROR(INDEX('Usage and Coverage'!$C$44:$C$49,MATCH($Q189,'Usage and Coverage'!$B$44:$B$49,0)),"?"))</f>
        <v/>
      </c>
      <c r="BK189" s="97" t="str">
        <f>IF($A189="","",IFERROR(INDEX(Deductibles!$C$6:$I$15,MATCH($W189,Deductibles!$B$6:$B$15,0),MATCH(MAX($J189,'Technical Premium'!$C$18),'Base Rates'!$C$3:$I$3,1)),"?"))</f>
        <v/>
      </c>
      <c r="BL189" s="97" t="str">
        <f>IF($A189="","",IFERROR(INDEX('Usage and Coverage'!$C$63:$C$66,MATCH($X189,'Usage and Coverage'!$B$63:$B$66,0)),"?"))</f>
        <v/>
      </c>
      <c r="BM189" s="97" t="str">
        <f>IF($A189="","",IFERROR(INDEX('Usage and Coverage'!$C$70:$C$75,MATCH($V189,'Usage and Coverage'!$B$70:$B$75,0)),"?"))</f>
        <v/>
      </c>
      <c r="BN189" s="97" t="str">
        <f>IF($A189="","",IF($AB189="",1,IFERROR(INDEX(Deductibles!$C$48:$C$51,MATCH($AB189,Deductibles!$B$48:$B$51,0)),"?")))</f>
        <v/>
      </c>
      <c r="BO189" s="97" t="str">
        <f>IF($A189="","",IF($AC189="",1,IFERROR(INDEX(Deductibles!$C$55:$C$57,MATCH($AC189,Deductibles!$B$55:$B$57,0)),"?")))</f>
        <v/>
      </c>
      <c r="BP189" s="97" t="str">
        <f>IF($A189="","",IF($AD189="",1,IFERROR(INDEX(Deductibles!$C$61:$C$63,MATCH($AD189,Deductibles!$B$61:$B$63,0)),"?")))</f>
        <v/>
      </c>
      <c r="BQ189" s="97" t="str">
        <f>IF($A189="","",IF($AE189="",1,IFERROR(INDEX(Deductibles!$C$67:$C$69,MATCH($AE189,Deductibles!$B$67:$B$69,0)),"?")))</f>
        <v/>
      </c>
      <c r="BR189" s="97" t="str">
        <f>IF($A189="","",IF($AF189="",1,IFERROR(INDEX(Deductibles!$C$73:$C$74,MATCH($AF189,Deductibles!$B$73:$B$74,0)),"?")))</f>
        <v/>
      </c>
      <c r="BS189" s="97" t="str">
        <f>IF($A189="","",IF($AG189="",1,IFERROR(INDEX('Sublimits and Parts'!$C$49:$C$52,MATCH($AG189,'Sublimits and Parts'!$B$49:$B$52,0)),"?")))</f>
        <v/>
      </c>
      <c r="BT189" s="97" t="str">
        <f>IF($A189="","",IF($AH189="",1,IFERROR(INDEX('Sublimits and Parts'!$C$56:$C$60,MATCH($AH189,'Sublimits and Parts'!$B$56:$B$60,0)),"?")))</f>
        <v/>
      </c>
      <c r="BU189" s="97" t="str">
        <f>IF($A189="","",IF($AI189="",1,IFERROR(INDEX('Sublimits and Parts'!$C$64:$C$67,MATCH($AI189,'Sublimits and Parts'!$B$64:$B$67,0)),"?")))</f>
        <v/>
      </c>
      <c r="BV189" s="97" t="str">
        <f>IF($A189="","",IF($AJ189="",1,IFERROR(INDEX('Sublimits and Parts'!$C$71:$C$74,MATCH($AJ189,'Sublimits and Parts'!$B$71:$B$74,0)),"?")))</f>
        <v/>
      </c>
      <c r="BW189" s="97" t="str">
        <f>IF($A189="","",IF($AK189="",1,IFERROR(INDEX('Sublimits and Parts'!$C$78:$C$80,MATCH($AK189,'Sublimits and Parts'!$B$78:$B$80,0)),"?")))</f>
        <v/>
      </c>
      <c r="BX189" s="97" t="str">
        <f>IF($A189="","",IF($AL189="",1,IFERROR(INDEX('Sublimits and Parts'!$C$84:$C$87,MATCH($AL189,'Sublimits and Parts'!$B$84:$B$87,0)),"?")))</f>
        <v/>
      </c>
      <c r="BY189" s="97" t="str">
        <f>IF($A189="","",IF($AM189="",1,IFERROR(INDEX('Sublimits and Parts'!$C$91:$C$94,MATCH($AM189,'Sublimits and Parts'!$B$91:$B$94,0)),"?")))</f>
        <v/>
      </c>
      <c r="BZ189" s="97" t="str">
        <f>IF($A189="","",IF($AN189="",1,IFERROR(INDEX('Sublimits and Parts'!$C$98:$C$101,MATCH($AN189,'Sublimits and Parts'!$B$98:$B$101,0)),"?")))</f>
        <v/>
      </c>
      <c r="CA189" s="97" t="str">
        <f>IF($A189="","",IF($AO189="",1,IFERROR(INDEX('Sublimits and Parts'!$C$105:$C$109,MATCH($AO189,'Sublimits and Parts'!$B$105:$B$109,0)),"?")))</f>
        <v/>
      </c>
      <c r="CB189" s="98" t="str">
        <f t="shared" si="28"/>
        <v/>
      </c>
      <c r="CC189" s="98" t="str">
        <f t="shared" si="29"/>
        <v/>
      </c>
      <c r="CD189" s="101" t="str">
        <f>IF($A189="","",IF(OR($CB189="?",$CC189="?"),"?",MIN($CB189*$CC189,'Technical Premium'!$C$17)))</f>
        <v/>
      </c>
      <c r="CE189" s="100" t="str">
        <f t="shared" si="30"/>
        <v/>
      </c>
      <c r="CF189" s="100" t="str">
        <f>IF($A189="","",IFERROR(INDEX('Territory Factors'!$F$6:$F$56,MATCH($K189,'Territory Factors'!$B$6:$B$56,0)),"?"))</f>
        <v/>
      </c>
      <c r="CG189" s="98" t="str">
        <f>IF($A189="","",IFERROR(INDEX('Usage and Coverage'!$C$79:$C$84,MATCH($Y189,'Usage and Coverage'!$B$79:$B$84,0)),"?"))</f>
        <v/>
      </c>
      <c r="CH189" s="100" t="str">
        <f>IFERROR(IF(ISNUMBER($CD189),$CF189*$CG189*MIN($BG189*$BA189*$BC189*$BD189*$BH189*$BF189,'Technical Premium'!$C$17),""),"")</f>
        <v/>
      </c>
      <c r="CI189" s="100" t="str">
        <f t="shared" si="31"/>
        <v/>
      </c>
      <c r="CJ189" s="100" t="str">
        <f>IFERROR($CI189*(1+'Technical Premium'!$C$5)*(1+'Technical Premium'!$C$6),"")</f>
        <v/>
      </c>
      <c r="CK189" s="100" t="str">
        <f>IFERROR($CE189*INDEX('Territory Factors'!$G$6:$G$56,MATCH($K189,'Territory Factors'!$B$6:$B$56,0))*$AU189*$AV189,"")</f>
        <v/>
      </c>
      <c r="CL189" s="100" t="str">
        <f>IFERROR(($CJ189+$CK189)*(1+'Technical Premium'!$C$7),"")</f>
        <v/>
      </c>
      <c r="CM189" s="102" t="str">
        <f>IFERROR($CL189/'Technical Premium'!$C$13,"")</f>
        <v/>
      </c>
      <c r="CN189" s="103" t="str">
        <f t="shared" si="32"/>
        <v/>
      </c>
      <c r="CO189" s="102" t="str">
        <f t="shared" si="33"/>
        <v/>
      </c>
      <c r="CP189" s="103" t="str">
        <f t="shared" si="34"/>
        <v/>
      </c>
      <c r="CQ189" s="104" t="str">
        <f t="shared" si="35"/>
        <v/>
      </c>
      <c r="CR189" s="100" t="str">
        <f>IF(ISNUMBER($CM189),'Technical Premium'!$C$14+IF($J189&gt;=1000000,'Technical Premium'!$C$15,0),"")</f>
        <v/>
      </c>
      <c r="CS189" s="100" t="str">
        <f>IFERROR(($CO189+$CR189)*(INDEX('Territory Factors'!$K$6:$K$56,MATCH($K189,'Territory Factors'!$B$6:$B$56,0))+'Commission Structure'!$C$21),"")</f>
        <v/>
      </c>
      <c r="CT189" s="102" t="str">
        <f t="shared" si="36"/>
        <v/>
      </c>
      <c r="CU189" s="100" t="str">
        <f>IFERROR($CO189*('Commission Structure'!$C$6+'Commission Structure'!$C$7),"")</f>
        <v/>
      </c>
      <c r="CV189" s="100" t="str">
        <f>IFERROR($CO189*'Commission Structure'!$C$5-$CU189,"")</f>
        <v/>
      </c>
      <c r="CW189" s="100" t="str">
        <f>IFERROR($CO189*(1-'Commission Structure'!$C$5),"")</f>
        <v/>
      </c>
      <c r="CX189" s="105" t="str">
        <f>IF($A189="","",IF(OR($CB189="?",$CC189="?",NOT(ISNUMBER($AU189))),"CHECK INPUTS",IF(OR($J189&lt;'Technical Premium'!$C$18,LEFT(IFERROR(INDEX('Driver Factors'!$D$6:$D$15,MATCH($R189,'Driver Factors'!$B$6:$B$15,0)),""),7)="DECLINE",LEFT(IFERROR(INDEX('Driver Factors'!$D$28:$D$36,MATCH($T189,'Driver Factors'!$B$28:$B$36,0)),""),7)="DECLINE",LEFT(IFERROR(INDEX('Claims History'!$D$6:$D$15,MATCH($U189,'Claims History'!$B$6:$B$15,0)),""),7)="DECLINE",LEFT(IFERROR(INDEX('Usage and Coverage'!$E$6:$E$20,MATCH($N189,'Usage and Coverage'!$C$6:$C$20,0)),""),7)="DECLINE"),"DECLINE",IF(OR($CD189&gt;2.5,$CD189&gt;='Technical Premium'!$C$17,$J189&gt;='Technical Premium'!$C$16,N($AQ189)&lt;'Technical Premium'!$C$19,N($AQ189)&gt;'Technical Premium'!$C$20,LEFT(IFERROR(INDEX('Driver Factors'!$D$6:$D$15,MATCH($R189,'Driver Factors'!$B$6:$B$15,0)),""),5)="Refer",LEFT(IFERROR(INDEX('Driver Factors'!$D$28:$D$36,MATCH($T189,'Driver Factors'!$B$28:$B$36,0)),""),5)="Refer",LEFT(IFERROR(INDEX('Claims History'!$D$6:$D$15,MATCH($U189,'Claims History'!$B$6:$B$15,0)),""),5)="Refer",LEFT(IFERROR(INDEX('Usage and Coverage'!$E$6:$E$20,MATCH($N189,'Usage and Coverage'!$C$6:$C$20,0)),""),5)="Refer"),"REFER","AUTO-BIND"))))</f>
        <v/>
      </c>
      <c r="CY189" s="106" t="str">
        <f t="shared" si="37"/>
        <v/>
      </c>
      <c r="CZ189" s="97" t="str">
        <f>IF($CY189="","",IF($CY189&lt;'Technical Premium'!$C$19,"BEYOND AUTHORITY",IF($CY189&gt;0.005,"Above technical",IF($CY189&lt;-0.005,"BELOW technical","At technical"))))</f>
        <v/>
      </c>
      <c r="DA189" s="97" t="str">
        <f>IF($A189="","",IF($CX189="AUTO-BIND","",TRIM(IF($J189&lt;'Technical Premium'!$C$18,"Below programme minimum agreed value. ","")&amp;IF(N($AQ189)&lt;'Technical Premium'!$C$19,"DISCOUNT AUTHORITY BREACH. ","")&amp;IF(N($AQ189)&gt;'Technical Premium'!$C$20,"Load authority breach. ","")&amp;IF($J189&gt;='Technical Premium'!$C$16,"Agreed value at or above auto-bind limit. ","")&amp;IF(AND(ISNUMBER($CD189),$CD189&gt;='Technical Premium'!$C$17),"Composite factor at cap. ","")&amp;IF(AND(ISNUMBER($CD189),$CD189&gt;2.5),"Composite factor above 2.50. ","")&amp;IF(LEFT(IFERROR(INDEX('Driver Factors'!$D$6:$D$15,MATCH($R189,'Driver Factors'!$B$6:$B$15,0)),""),7)="DECLINE","DECLINE - driver age. ",IF(LEFT(IFERROR(INDEX('Driver Factors'!$D$6:$D$15,MATCH($R189,'Driver Factors'!$B$6:$B$15,0)),""),5)="Refer","Driver age band. ",""))&amp;IF(LEFT(IFERROR(INDEX('Driver Factors'!$D$28:$D$36,MATCH($T189,'Driver Factors'!$B$28:$B$36,0)),""),7)="DECLINE","DECLINE - MVR. ",IF(LEFT(IFERROR(INDEX('Driver Factors'!$D$28:$D$36,MATCH($T189,'Driver Factors'!$B$28:$B$36,0)),""),5)="Refer","MVR record. ",""))&amp;IF(LEFT(IFERROR(INDEX('Claims History'!$D$6:$D$15,MATCH($U189,'Claims History'!$B$6:$B$15,0)),""),7)="DECLINE","DECLINE - claims. ",IF(LEFT(IFERROR(INDEX('Claims History'!$D$6:$D$15,MATCH($U189,'Claims History'!$B$6:$B$15,0)),""),5)="Refer","Claims history. ",""))&amp;IF(LEFT(IFERROR(INDEX('Usage and Coverage'!$E$6:$E$20,MATCH($N189,'Usage and Coverage'!$C$6:$C$20,0)),""),7)="DECLINE","DECLINE - usage class. ",IF(LEFT(IFERROR(INDEX('Usage and Coverage'!$E$6:$E$20,MATCH($N189,'Usage and Coverage'!$C$6:$C$20,0)),""),5)="Refer","Usage class. ",""))&amp;IF($CX189="CHECK INPUTS","Incomplete inputs. ",""))))</f>
        <v/>
      </c>
      <c r="DB189" s="92"/>
      <c r="DC189" s="92"/>
      <c r="DD189" s="93"/>
      <c r="DE189" s="92"/>
      <c r="DF189" s="92"/>
      <c r="DG189" s="97" t="str">
        <f t="shared" si="38"/>
        <v/>
      </c>
      <c r="DH189" s="97" t="str">
        <f>IF($A189="","",IF(OR($CX189="REFER",$CX189="DECLINE"),COUNTIF($CX$5:$CX189,"REFER")+COUNTIF($CX$5:$CX189,"DECLINE"),""))</f>
        <v/>
      </c>
      <c r="DI189" s="92"/>
    </row>
    <row r="190" spans="1:113" x14ac:dyDescent="0.25">
      <c r="A190" s="92"/>
      <c r="B190" s="92"/>
      <c r="C190" s="93"/>
      <c r="D190" s="93"/>
      <c r="E190" s="94"/>
      <c r="F190" s="92"/>
      <c r="G190" s="92"/>
      <c r="H190" s="92"/>
      <c r="I190" s="92"/>
      <c r="J190" s="95"/>
      <c r="K190" s="92"/>
      <c r="L190" s="92"/>
      <c r="M190" s="92"/>
      <c r="N190" s="92"/>
      <c r="O190" s="92"/>
      <c r="P190" s="92"/>
      <c r="Q190" s="92"/>
      <c r="R190" s="92"/>
      <c r="S190" s="92"/>
      <c r="T190" s="92"/>
      <c r="U190" s="92"/>
      <c r="V190" s="92"/>
      <c r="W190" s="92"/>
      <c r="X190" s="92"/>
      <c r="Y190" s="92"/>
      <c r="Z190" s="92"/>
      <c r="AA190" s="92"/>
      <c r="AB190" s="92"/>
      <c r="AC190" s="92"/>
      <c r="AD190" s="92"/>
      <c r="AE190" s="92"/>
      <c r="AF190" s="92"/>
      <c r="AG190" s="92"/>
      <c r="AH190" s="92"/>
      <c r="AI190" s="92"/>
      <c r="AJ190" s="92"/>
      <c r="AK190" s="92"/>
      <c r="AL190" s="92"/>
      <c r="AM190" s="92"/>
      <c r="AN190" s="92"/>
      <c r="AO190" s="92"/>
      <c r="AP190" s="92"/>
      <c r="AQ190" s="96"/>
      <c r="AR190" s="97" t="str">
        <f t="shared" si="26"/>
        <v/>
      </c>
      <c r="AS190" s="97" t="str">
        <f>IF($A190="","",IF($AP190&lt;&gt;"",$AP190,IFERROR(INDEX('Cat Zone by ZIP'!$D$6:$D$856,MATCH($AR190,'Cat Zone by ZIP'!$B$6:$B$856,0)),IFERROR(INDEX('Cat Zone by ZIP'!$C$860:$C$910,MATCH($K190,'Cat Zone by ZIP'!$B$860:$B$910,0)),"NOT FOUND"))))</f>
        <v/>
      </c>
      <c r="AT190" s="97" t="str">
        <f>IF($A190="","",IF($AP190&lt;&gt;"","Override",IF(ISNUMBER(MATCH($AR190,'Cat Zone by ZIP'!$B$6:$B$856,0)),"ZIP-3","State default")))</f>
        <v/>
      </c>
      <c r="AU190" s="98" t="str">
        <f>IF($A190="","",IFERROR(INDEX('Natural Catastrophe'!$D$6:$D$17,MATCH($AS190,'Natural Catastrophe'!$B$6:$B$17,0)),"?"))</f>
        <v/>
      </c>
      <c r="AV190" s="98" t="str">
        <f>IF($A190="","",IFERROR(INDEX('Natural Catastrophe'!$C$21:$C$26,MATCH($AA190,'Natural Catastrophe'!$B$21:$B$26,0)),"?"))</f>
        <v/>
      </c>
      <c r="AW190" s="97" t="str">
        <f>IF($A190="","",IFERROR(INDEX('Base Rates'!$C$4:$I$4,MATCH(MAX($J190,'Technical Premium'!$C$18),'Base Rates'!$C$3:$I$3,1)),"?"))</f>
        <v/>
      </c>
      <c r="AX190" s="99" t="str">
        <f>IF($A190="","",IFERROR(INDEX('Base Rates'!$C$5:$I$16,MATCH($I190,'Base Rates'!$B$5:$B$16,0),MATCH(MAX($J190,'Technical Premium'!$C$18),'Base Rates'!$C$3:$I$3,1)),"?"))</f>
        <v/>
      </c>
      <c r="AY190" s="100" t="str">
        <f t="shared" si="27"/>
        <v/>
      </c>
      <c r="AZ190" s="97" t="str">
        <f>IF($A190="","",IFERROR(INDEX('Make Factors'!$G$5:$G$69,MATCH($F190,'Make Factors'!$B$5:$B$69,0)),"?"))</f>
        <v/>
      </c>
      <c r="BA190" s="97" t="str">
        <f>IF($A190="","",IFERROR(INDEX('Driver Factors'!$C$6:$C$15,MATCH($R190,'Driver Factors'!$B$6:$B$15,0)),"?"))</f>
        <v/>
      </c>
      <c r="BB190" s="97" t="str">
        <f>IF($A190="","",IFERROR(INDEX('Driver Factors'!$C$19:$C$24,MATCH($S190,'Driver Factors'!$B$19:$B$24,0)),"?"))</f>
        <v/>
      </c>
      <c r="BC190" s="97" t="str">
        <f>IF($A190="","",IFERROR(INDEX('Driver Factors'!$C$28:$C$36,MATCH($T190,'Driver Factors'!$B$28:$B$36,0)),"?"))</f>
        <v/>
      </c>
      <c r="BD190" s="97" t="str">
        <f>IF($A190="","",IFERROR(INDEX('Claims History'!$C$6:$C$15,MATCH($U190,'Claims History'!$B$6:$B$15,0)),"?"))</f>
        <v/>
      </c>
      <c r="BE190" s="97" t="str">
        <f>IF($A190="","",IFERROR(INDEX('Territory Factors'!$E$6:$E$56,MATCH($K190,'Territory Factors'!$B$6:$B$56,0)),"?"))</f>
        <v/>
      </c>
      <c r="BF190" s="97" t="str">
        <f>IF($A190="","",IFERROR(INDEX('City Accident Ratings'!$G$6:$G$54,MATCH($Z190,'City Accident Ratings'!$B$6:$B$54,0)),"?"))</f>
        <v/>
      </c>
      <c r="BG190" s="97" t="str">
        <f>IF($A190="","",IFERROR(INDEX('Usage and Coverage'!$D$6:$D$20,MATCH($N190,'Usage and Coverage'!$C$6:$C$20,0)),"?"))</f>
        <v/>
      </c>
      <c r="BH190" s="97" t="str">
        <f>IF($A190="","",IFERROR(INDEX('Usage and Coverage'!$C$24:$C$30,MATCH($O190,'Usage and Coverage'!$B$24:$B$30,0)),"?"))</f>
        <v/>
      </c>
      <c r="BI190" s="97" t="str">
        <f>IF($A190="","",IFERROR(INDEX('Usage and Coverage'!$C$34:$C$40,MATCH($P190,'Usage and Coverage'!$B$34:$B$40,0)),"?"))</f>
        <v/>
      </c>
      <c r="BJ190" s="97" t="str">
        <f>IF($A190="","",IFERROR(INDEX('Usage and Coverage'!$C$44:$C$49,MATCH($Q190,'Usage and Coverage'!$B$44:$B$49,0)),"?"))</f>
        <v/>
      </c>
      <c r="BK190" s="97" t="str">
        <f>IF($A190="","",IFERROR(INDEX(Deductibles!$C$6:$I$15,MATCH($W190,Deductibles!$B$6:$B$15,0),MATCH(MAX($J190,'Technical Premium'!$C$18),'Base Rates'!$C$3:$I$3,1)),"?"))</f>
        <v/>
      </c>
      <c r="BL190" s="97" t="str">
        <f>IF($A190="","",IFERROR(INDEX('Usage and Coverage'!$C$63:$C$66,MATCH($X190,'Usage and Coverage'!$B$63:$B$66,0)),"?"))</f>
        <v/>
      </c>
      <c r="BM190" s="97" t="str">
        <f>IF($A190="","",IFERROR(INDEX('Usage and Coverage'!$C$70:$C$75,MATCH($V190,'Usage and Coverage'!$B$70:$B$75,0)),"?"))</f>
        <v/>
      </c>
      <c r="BN190" s="97" t="str">
        <f>IF($A190="","",IF($AB190="",1,IFERROR(INDEX(Deductibles!$C$48:$C$51,MATCH($AB190,Deductibles!$B$48:$B$51,0)),"?")))</f>
        <v/>
      </c>
      <c r="BO190" s="97" t="str">
        <f>IF($A190="","",IF($AC190="",1,IFERROR(INDEX(Deductibles!$C$55:$C$57,MATCH($AC190,Deductibles!$B$55:$B$57,0)),"?")))</f>
        <v/>
      </c>
      <c r="BP190" s="97" t="str">
        <f>IF($A190="","",IF($AD190="",1,IFERROR(INDEX(Deductibles!$C$61:$C$63,MATCH($AD190,Deductibles!$B$61:$B$63,0)),"?")))</f>
        <v/>
      </c>
      <c r="BQ190" s="97" t="str">
        <f>IF($A190="","",IF($AE190="",1,IFERROR(INDEX(Deductibles!$C$67:$C$69,MATCH($AE190,Deductibles!$B$67:$B$69,0)),"?")))</f>
        <v/>
      </c>
      <c r="BR190" s="97" t="str">
        <f>IF($A190="","",IF($AF190="",1,IFERROR(INDEX(Deductibles!$C$73:$C$74,MATCH($AF190,Deductibles!$B$73:$B$74,0)),"?")))</f>
        <v/>
      </c>
      <c r="BS190" s="97" t="str">
        <f>IF($A190="","",IF($AG190="",1,IFERROR(INDEX('Sublimits and Parts'!$C$49:$C$52,MATCH($AG190,'Sublimits and Parts'!$B$49:$B$52,0)),"?")))</f>
        <v/>
      </c>
      <c r="BT190" s="97" t="str">
        <f>IF($A190="","",IF($AH190="",1,IFERROR(INDEX('Sublimits and Parts'!$C$56:$C$60,MATCH($AH190,'Sublimits and Parts'!$B$56:$B$60,0)),"?")))</f>
        <v/>
      </c>
      <c r="BU190" s="97" t="str">
        <f>IF($A190="","",IF($AI190="",1,IFERROR(INDEX('Sublimits and Parts'!$C$64:$C$67,MATCH($AI190,'Sublimits and Parts'!$B$64:$B$67,0)),"?")))</f>
        <v/>
      </c>
      <c r="BV190" s="97" t="str">
        <f>IF($A190="","",IF($AJ190="",1,IFERROR(INDEX('Sublimits and Parts'!$C$71:$C$74,MATCH($AJ190,'Sublimits and Parts'!$B$71:$B$74,0)),"?")))</f>
        <v/>
      </c>
      <c r="BW190" s="97" t="str">
        <f>IF($A190="","",IF($AK190="",1,IFERROR(INDEX('Sublimits and Parts'!$C$78:$C$80,MATCH($AK190,'Sublimits and Parts'!$B$78:$B$80,0)),"?")))</f>
        <v/>
      </c>
      <c r="BX190" s="97" t="str">
        <f>IF($A190="","",IF($AL190="",1,IFERROR(INDEX('Sublimits and Parts'!$C$84:$C$87,MATCH($AL190,'Sublimits and Parts'!$B$84:$B$87,0)),"?")))</f>
        <v/>
      </c>
      <c r="BY190" s="97" t="str">
        <f>IF($A190="","",IF($AM190="",1,IFERROR(INDEX('Sublimits and Parts'!$C$91:$C$94,MATCH($AM190,'Sublimits and Parts'!$B$91:$B$94,0)),"?")))</f>
        <v/>
      </c>
      <c r="BZ190" s="97" t="str">
        <f>IF($A190="","",IF($AN190="",1,IFERROR(INDEX('Sublimits and Parts'!$C$98:$C$101,MATCH($AN190,'Sublimits and Parts'!$B$98:$B$101,0)),"?")))</f>
        <v/>
      </c>
      <c r="CA190" s="97" t="str">
        <f>IF($A190="","",IF($AO190="",1,IFERROR(INDEX('Sublimits and Parts'!$C$105:$C$109,MATCH($AO190,'Sublimits and Parts'!$B$105:$B$109,0)),"?")))</f>
        <v/>
      </c>
      <c r="CB190" s="98" t="str">
        <f t="shared" si="28"/>
        <v/>
      </c>
      <c r="CC190" s="98" t="str">
        <f t="shared" si="29"/>
        <v/>
      </c>
      <c r="CD190" s="101" t="str">
        <f>IF($A190="","",IF(OR($CB190="?",$CC190="?"),"?",MIN($CB190*$CC190,'Technical Premium'!$C$17)))</f>
        <v/>
      </c>
      <c r="CE190" s="100" t="str">
        <f t="shared" si="30"/>
        <v/>
      </c>
      <c r="CF190" s="100" t="str">
        <f>IF($A190="","",IFERROR(INDEX('Territory Factors'!$F$6:$F$56,MATCH($K190,'Territory Factors'!$B$6:$B$56,0)),"?"))</f>
        <v/>
      </c>
      <c r="CG190" s="98" t="str">
        <f>IF($A190="","",IFERROR(INDEX('Usage and Coverage'!$C$79:$C$84,MATCH($Y190,'Usage and Coverage'!$B$79:$B$84,0)),"?"))</f>
        <v/>
      </c>
      <c r="CH190" s="100" t="str">
        <f>IFERROR(IF(ISNUMBER($CD190),$CF190*$CG190*MIN($BG190*$BA190*$BC190*$BD190*$BH190*$BF190,'Technical Premium'!$C$17),""),"")</f>
        <v/>
      </c>
      <c r="CI190" s="100" t="str">
        <f t="shared" si="31"/>
        <v/>
      </c>
      <c r="CJ190" s="100" t="str">
        <f>IFERROR($CI190*(1+'Technical Premium'!$C$5)*(1+'Technical Premium'!$C$6),"")</f>
        <v/>
      </c>
      <c r="CK190" s="100" t="str">
        <f>IFERROR($CE190*INDEX('Territory Factors'!$G$6:$G$56,MATCH($K190,'Territory Factors'!$B$6:$B$56,0))*$AU190*$AV190,"")</f>
        <v/>
      </c>
      <c r="CL190" s="100" t="str">
        <f>IFERROR(($CJ190+$CK190)*(1+'Technical Premium'!$C$7),"")</f>
        <v/>
      </c>
      <c r="CM190" s="102" t="str">
        <f>IFERROR($CL190/'Technical Premium'!$C$13,"")</f>
        <v/>
      </c>
      <c r="CN190" s="103" t="str">
        <f t="shared" si="32"/>
        <v/>
      </c>
      <c r="CO190" s="102" t="str">
        <f t="shared" si="33"/>
        <v/>
      </c>
      <c r="CP190" s="103" t="str">
        <f t="shared" si="34"/>
        <v/>
      </c>
      <c r="CQ190" s="104" t="str">
        <f t="shared" si="35"/>
        <v/>
      </c>
      <c r="CR190" s="100" t="str">
        <f>IF(ISNUMBER($CM190),'Technical Premium'!$C$14+IF($J190&gt;=1000000,'Technical Premium'!$C$15,0),"")</f>
        <v/>
      </c>
      <c r="CS190" s="100" t="str">
        <f>IFERROR(($CO190+$CR190)*(INDEX('Territory Factors'!$K$6:$K$56,MATCH($K190,'Territory Factors'!$B$6:$B$56,0))+'Commission Structure'!$C$21),"")</f>
        <v/>
      </c>
      <c r="CT190" s="102" t="str">
        <f t="shared" si="36"/>
        <v/>
      </c>
      <c r="CU190" s="100" t="str">
        <f>IFERROR($CO190*('Commission Structure'!$C$6+'Commission Structure'!$C$7),"")</f>
        <v/>
      </c>
      <c r="CV190" s="100" t="str">
        <f>IFERROR($CO190*'Commission Structure'!$C$5-$CU190,"")</f>
        <v/>
      </c>
      <c r="CW190" s="100" t="str">
        <f>IFERROR($CO190*(1-'Commission Structure'!$C$5),"")</f>
        <v/>
      </c>
      <c r="CX190" s="105" t="str">
        <f>IF($A190="","",IF(OR($CB190="?",$CC190="?",NOT(ISNUMBER($AU190))),"CHECK INPUTS",IF(OR($J190&lt;'Technical Premium'!$C$18,LEFT(IFERROR(INDEX('Driver Factors'!$D$6:$D$15,MATCH($R190,'Driver Factors'!$B$6:$B$15,0)),""),7)="DECLINE",LEFT(IFERROR(INDEX('Driver Factors'!$D$28:$D$36,MATCH($T190,'Driver Factors'!$B$28:$B$36,0)),""),7)="DECLINE",LEFT(IFERROR(INDEX('Claims History'!$D$6:$D$15,MATCH($U190,'Claims History'!$B$6:$B$15,0)),""),7)="DECLINE",LEFT(IFERROR(INDEX('Usage and Coverage'!$E$6:$E$20,MATCH($N190,'Usage and Coverage'!$C$6:$C$20,0)),""),7)="DECLINE"),"DECLINE",IF(OR($CD190&gt;2.5,$CD190&gt;='Technical Premium'!$C$17,$J190&gt;='Technical Premium'!$C$16,N($AQ190)&lt;'Technical Premium'!$C$19,N($AQ190)&gt;'Technical Premium'!$C$20,LEFT(IFERROR(INDEX('Driver Factors'!$D$6:$D$15,MATCH($R190,'Driver Factors'!$B$6:$B$15,0)),""),5)="Refer",LEFT(IFERROR(INDEX('Driver Factors'!$D$28:$D$36,MATCH($T190,'Driver Factors'!$B$28:$B$36,0)),""),5)="Refer",LEFT(IFERROR(INDEX('Claims History'!$D$6:$D$15,MATCH($U190,'Claims History'!$B$6:$B$15,0)),""),5)="Refer",LEFT(IFERROR(INDEX('Usage and Coverage'!$E$6:$E$20,MATCH($N190,'Usage and Coverage'!$C$6:$C$20,0)),""),5)="Refer"),"REFER","AUTO-BIND"))))</f>
        <v/>
      </c>
      <c r="CY190" s="106" t="str">
        <f t="shared" si="37"/>
        <v/>
      </c>
      <c r="CZ190" s="97" t="str">
        <f>IF($CY190="","",IF($CY190&lt;'Technical Premium'!$C$19,"BEYOND AUTHORITY",IF($CY190&gt;0.005,"Above technical",IF($CY190&lt;-0.005,"BELOW technical","At technical"))))</f>
        <v/>
      </c>
      <c r="DA190" s="97" t="str">
        <f>IF($A190="","",IF($CX190="AUTO-BIND","",TRIM(IF($J190&lt;'Technical Premium'!$C$18,"Below programme minimum agreed value. ","")&amp;IF(N($AQ190)&lt;'Technical Premium'!$C$19,"DISCOUNT AUTHORITY BREACH. ","")&amp;IF(N($AQ190)&gt;'Technical Premium'!$C$20,"Load authority breach. ","")&amp;IF($J190&gt;='Technical Premium'!$C$16,"Agreed value at or above auto-bind limit. ","")&amp;IF(AND(ISNUMBER($CD190),$CD190&gt;='Technical Premium'!$C$17),"Composite factor at cap. ","")&amp;IF(AND(ISNUMBER($CD190),$CD190&gt;2.5),"Composite factor above 2.50. ","")&amp;IF(LEFT(IFERROR(INDEX('Driver Factors'!$D$6:$D$15,MATCH($R190,'Driver Factors'!$B$6:$B$15,0)),""),7)="DECLINE","DECLINE - driver age. ",IF(LEFT(IFERROR(INDEX('Driver Factors'!$D$6:$D$15,MATCH($R190,'Driver Factors'!$B$6:$B$15,0)),""),5)="Refer","Driver age band. ",""))&amp;IF(LEFT(IFERROR(INDEX('Driver Factors'!$D$28:$D$36,MATCH($T190,'Driver Factors'!$B$28:$B$36,0)),""),7)="DECLINE","DECLINE - MVR. ",IF(LEFT(IFERROR(INDEX('Driver Factors'!$D$28:$D$36,MATCH($T190,'Driver Factors'!$B$28:$B$36,0)),""),5)="Refer","MVR record. ",""))&amp;IF(LEFT(IFERROR(INDEX('Claims History'!$D$6:$D$15,MATCH($U190,'Claims History'!$B$6:$B$15,0)),""),7)="DECLINE","DECLINE - claims. ",IF(LEFT(IFERROR(INDEX('Claims History'!$D$6:$D$15,MATCH($U190,'Claims History'!$B$6:$B$15,0)),""),5)="Refer","Claims history. ",""))&amp;IF(LEFT(IFERROR(INDEX('Usage and Coverage'!$E$6:$E$20,MATCH($N190,'Usage and Coverage'!$C$6:$C$20,0)),""),7)="DECLINE","DECLINE - usage class. ",IF(LEFT(IFERROR(INDEX('Usage and Coverage'!$E$6:$E$20,MATCH($N190,'Usage and Coverage'!$C$6:$C$20,0)),""),5)="Refer","Usage class. ",""))&amp;IF($CX190="CHECK INPUTS","Incomplete inputs. ",""))))</f>
        <v/>
      </c>
      <c r="DB190" s="92"/>
      <c r="DC190" s="92"/>
      <c r="DD190" s="93"/>
      <c r="DE190" s="92"/>
      <c r="DF190" s="92"/>
      <c r="DG190" s="97" t="str">
        <f t="shared" si="38"/>
        <v/>
      </c>
      <c r="DH190" s="97" t="str">
        <f>IF($A190="","",IF(OR($CX190="REFER",$CX190="DECLINE"),COUNTIF($CX$5:$CX190,"REFER")+COUNTIF($CX$5:$CX190,"DECLINE"),""))</f>
        <v/>
      </c>
      <c r="DI190" s="92"/>
    </row>
    <row r="191" spans="1:113" x14ac:dyDescent="0.25">
      <c r="A191" s="92"/>
      <c r="B191" s="92"/>
      <c r="C191" s="93"/>
      <c r="D191" s="93"/>
      <c r="E191" s="94"/>
      <c r="F191" s="92"/>
      <c r="G191" s="92"/>
      <c r="H191" s="92"/>
      <c r="I191" s="92"/>
      <c r="J191" s="95"/>
      <c r="K191" s="92"/>
      <c r="L191" s="92"/>
      <c r="M191" s="92"/>
      <c r="N191" s="92"/>
      <c r="O191" s="92"/>
      <c r="P191" s="92"/>
      <c r="Q191" s="92"/>
      <c r="R191" s="92"/>
      <c r="S191" s="92"/>
      <c r="T191" s="92"/>
      <c r="U191" s="92"/>
      <c r="V191" s="92"/>
      <c r="W191" s="92"/>
      <c r="X191" s="92"/>
      <c r="Y191" s="92"/>
      <c r="Z191" s="92"/>
      <c r="AA191" s="92"/>
      <c r="AB191" s="92"/>
      <c r="AC191" s="92"/>
      <c r="AD191" s="92"/>
      <c r="AE191" s="92"/>
      <c r="AF191" s="92"/>
      <c r="AG191" s="92"/>
      <c r="AH191" s="92"/>
      <c r="AI191" s="92"/>
      <c r="AJ191" s="92"/>
      <c r="AK191" s="92"/>
      <c r="AL191" s="92"/>
      <c r="AM191" s="92"/>
      <c r="AN191" s="92"/>
      <c r="AO191" s="92"/>
      <c r="AP191" s="92"/>
      <c r="AQ191" s="96"/>
      <c r="AR191" s="97" t="str">
        <f t="shared" si="26"/>
        <v/>
      </c>
      <c r="AS191" s="97" t="str">
        <f>IF($A191="","",IF($AP191&lt;&gt;"",$AP191,IFERROR(INDEX('Cat Zone by ZIP'!$D$6:$D$856,MATCH($AR191,'Cat Zone by ZIP'!$B$6:$B$856,0)),IFERROR(INDEX('Cat Zone by ZIP'!$C$860:$C$910,MATCH($K191,'Cat Zone by ZIP'!$B$860:$B$910,0)),"NOT FOUND"))))</f>
        <v/>
      </c>
      <c r="AT191" s="97" t="str">
        <f>IF($A191="","",IF($AP191&lt;&gt;"","Override",IF(ISNUMBER(MATCH($AR191,'Cat Zone by ZIP'!$B$6:$B$856,0)),"ZIP-3","State default")))</f>
        <v/>
      </c>
      <c r="AU191" s="98" t="str">
        <f>IF($A191="","",IFERROR(INDEX('Natural Catastrophe'!$D$6:$D$17,MATCH($AS191,'Natural Catastrophe'!$B$6:$B$17,0)),"?"))</f>
        <v/>
      </c>
      <c r="AV191" s="98" t="str">
        <f>IF($A191="","",IFERROR(INDEX('Natural Catastrophe'!$C$21:$C$26,MATCH($AA191,'Natural Catastrophe'!$B$21:$B$26,0)),"?"))</f>
        <v/>
      </c>
      <c r="AW191" s="97" t="str">
        <f>IF($A191="","",IFERROR(INDEX('Base Rates'!$C$4:$I$4,MATCH(MAX($J191,'Technical Premium'!$C$18),'Base Rates'!$C$3:$I$3,1)),"?"))</f>
        <v/>
      </c>
      <c r="AX191" s="99" t="str">
        <f>IF($A191="","",IFERROR(INDEX('Base Rates'!$C$5:$I$16,MATCH($I191,'Base Rates'!$B$5:$B$16,0),MATCH(MAX($J191,'Technical Premium'!$C$18),'Base Rates'!$C$3:$I$3,1)),"?"))</f>
        <v/>
      </c>
      <c r="AY191" s="100" t="str">
        <f t="shared" si="27"/>
        <v/>
      </c>
      <c r="AZ191" s="97" t="str">
        <f>IF($A191="","",IFERROR(INDEX('Make Factors'!$G$5:$G$69,MATCH($F191,'Make Factors'!$B$5:$B$69,0)),"?"))</f>
        <v/>
      </c>
      <c r="BA191" s="97" t="str">
        <f>IF($A191="","",IFERROR(INDEX('Driver Factors'!$C$6:$C$15,MATCH($R191,'Driver Factors'!$B$6:$B$15,0)),"?"))</f>
        <v/>
      </c>
      <c r="BB191" s="97" t="str">
        <f>IF($A191="","",IFERROR(INDEX('Driver Factors'!$C$19:$C$24,MATCH($S191,'Driver Factors'!$B$19:$B$24,0)),"?"))</f>
        <v/>
      </c>
      <c r="BC191" s="97" t="str">
        <f>IF($A191="","",IFERROR(INDEX('Driver Factors'!$C$28:$C$36,MATCH($T191,'Driver Factors'!$B$28:$B$36,0)),"?"))</f>
        <v/>
      </c>
      <c r="BD191" s="97" t="str">
        <f>IF($A191="","",IFERROR(INDEX('Claims History'!$C$6:$C$15,MATCH($U191,'Claims History'!$B$6:$B$15,0)),"?"))</f>
        <v/>
      </c>
      <c r="BE191" s="97" t="str">
        <f>IF($A191="","",IFERROR(INDEX('Territory Factors'!$E$6:$E$56,MATCH($K191,'Territory Factors'!$B$6:$B$56,0)),"?"))</f>
        <v/>
      </c>
      <c r="BF191" s="97" t="str">
        <f>IF($A191="","",IFERROR(INDEX('City Accident Ratings'!$G$6:$G$54,MATCH($Z191,'City Accident Ratings'!$B$6:$B$54,0)),"?"))</f>
        <v/>
      </c>
      <c r="BG191" s="97" t="str">
        <f>IF($A191="","",IFERROR(INDEX('Usage and Coverage'!$D$6:$D$20,MATCH($N191,'Usage and Coverage'!$C$6:$C$20,0)),"?"))</f>
        <v/>
      </c>
      <c r="BH191" s="97" t="str">
        <f>IF($A191="","",IFERROR(INDEX('Usage and Coverage'!$C$24:$C$30,MATCH($O191,'Usage and Coverage'!$B$24:$B$30,0)),"?"))</f>
        <v/>
      </c>
      <c r="BI191" s="97" t="str">
        <f>IF($A191="","",IFERROR(INDEX('Usage and Coverage'!$C$34:$C$40,MATCH($P191,'Usage and Coverage'!$B$34:$B$40,0)),"?"))</f>
        <v/>
      </c>
      <c r="BJ191" s="97" t="str">
        <f>IF($A191="","",IFERROR(INDEX('Usage and Coverage'!$C$44:$C$49,MATCH($Q191,'Usage and Coverage'!$B$44:$B$49,0)),"?"))</f>
        <v/>
      </c>
      <c r="BK191" s="97" t="str">
        <f>IF($A191="","",IFERROR(INDEX(Deductibles!$C$6:$I$15,MATCH($W191,Deductibles!$B$6:$B$15,0),MATCH(MAX($J191,'Technical Premium'!$C$18),'Base Rates'!$C$3:$I$3,1)),"?"))</f>
        <v/>
      </c>
      <c r="BL191" s="97" t="str">
        <f>IF($A191="","",IFERROR(INDEX('Usage and Coverage'!$C$63:$C$66,MATCH($X191,'Usage and Coverage'!$B$63:$B$66,0)),"?"))</f>
        <v/>
      </c>
      <c r="BM191" s="97" t="str">
        <f>IF($A191="","",IFERROR(INDEX('Usage and Coverage'!$C$70:$C$75,MATCH($V191,'Usage and Coverage'!$B$70:$B$75,0)),"?"))</f>
        <v/>
      </c>
      <c r="BN191" s="97" t="str">
        <f>IF($A191="","",IF($AB191="",1,IFERROR(INDEX(Deductibles!$C$48:$C$51,MATCH($AB191,Deductibles!$B$48:$B$51,0)),"?")))</f>
        <v/>
      </c>
      <c r="BO191" s="97" t="str">
        <f>IF($A191="","",IF($AC191="",1,IFERROR(INDEX(Deductibles!$C$55:$C$57,MATCH($AC191,Deductibles!$B$55:$B$57,0)),"?")))</f>
        <v/>
      </c>
      <c r="BP191" s="97" t="str">
        <f>IF($A191="","",IF($AD191="",1,IFERROR(INDEX(Deductibles!$C$61:$C$63,MATCH($AD191,Deductibles!$B$61:$B$63,0)),"?")))</f>
        <v/>
      </c>
      <c r="BQ191" s="97" t="str">
        <f>IF($A191="","",IF($AE191="",1,IFERROR(INDEX(Deductibles!$C$67:$C$69,MATCH($AE191,Deductibles!$B$67:$B$69,0)),"?")))</f>
        <v/>
      </c>
      <c r="BR191" s="97" t="str">
        <f>IF($A191="","",IF($AF191="",1,IFERROR(INDEX(Deductibles!$C$73:$C$74,MATCH($AF191,Deductibles!$B$73:$B$74,0)),"?")))</f>
        <v/>
      </c>
      <c r="BS191" s="97" t="str">
        <f>IF($A191="","",IF($AG191="",1,IFERROR(INDEX('Sublimits and Parts'!$C$49:$C$52,MATCH($AG191,'Sublimits and Parts'!$B$49:$B$52,0)),"?")))</f>
        <v/>
      </c>
      <c r="BT191" s="97" t="str">
        <f>IF($A191="","",IF($AH191="",1,IFERROR(INDEX('Sublimits and Parts'!$C$56:$C$60,MATCH($AH191,'Sublimits and Parts'!$B$56:$B$60,0)),"?")))</f>
        <v/>
      </c>
      <c r="BU191" s="97" t="str">
        <f>IF($A191="","",IF($AI191="",1,IFERROR(INDEX('Sublimits and Parts'!$C$64:$C$67,MATCH($AI191,'Sublimits and Parts'!$B$64:$B$67,0)),"?")))</f>
        <v/>
      </c>
      <c r="BV191" s="97" t="str">
        <f>IF($A191="","",IF($AJ191="",1,IFERROR(INDEX('Sublimits and Parts'!$C$71:$C$74,MATCH($AJ191,'Sublimits and Parts'!$B$71:$B$74,0)),"?")))</f>
        <v/>
      </c>
      <c r="BW191" s="97" t="str">
        <f>IF($A191="","",IF($AK191="",1,IFERROR(INDEX('Sublimits and Parts'!$C$78:$C$80,MATCH($AK191,'Sublimits and Parts'!$B$78:$B$80,0)),"?")))</f>
        <v/>
      </c>
      <c r="BX191" s="97" t="str">
        <f>IF($A191="","",IF($AL191="",1,IFERROR(INDEX('Sublimits and Parts'!$C$84:$C$87,MATCH($AL191,'Sublimits and Parts'!$B$84:$B$87,0)),"?")))</f>
        <v/>
      </c>
      <c r="BY191" s="97" t="str">
        <f>IF($A191="","",IF($AM191="",1,IFERROR(INDEX('Sublimits and Parts'!$C$91:$C$94,MATCH($AM191,'Sublimits and Parts'!$B$91:$B$94,0)),"?")))</f>
        <v/>
      </c>
      <c r="BZ191" s="97" t="str">
        <f>IF($A191="","",IF($AN191="",1,IFERROR(INDEX('Sublimits and Parts'!$C$98:$C$101,MATCH($AN191,'Sublimits and Parts'!$B$98:$B$101,0)),"?")))</f>
        <v/>
      </c>
      <c r="CA191" s="97" t="str">
        <f>IF($A191="","",IF($AO191="",1,IFERROR(INDEX('Sublimits and Parts'!$C$105:$C$109,MATCH($AO191,'Sublimits and Parts'!$B$105:$B$109,0)),"?")))</f>
        <v/>
      </c>
      <c r="CB191" s="98" t="str">
        <f t="shared" si="28"/>
        <v/>
      </c>
      <c r="CC191" s="98" t="str">
        <f t="shared" si="29"/>
        <v/>
      </c>
      <c r="CD191" s="101" t="str">
        <f>IF($A191="","",IF(OR($CB191="?",$CC191="?"),"?",MIN($CB191*$CC191,'Technical Premium'!$C$17)))</f>
        <v/>
      </c>
      <c r="CE191" s="100" t="str">
        <f t="shared" si="30"/>
        <v/>
      </c>
      <c r="CF191" s="100" t="str">
        <f>IF($A191="","",IFERROR(INDEX('Territory Factors'!$F$6:$F$56,MATCH($K191,'Territory Factors'!$B$6:$B$56,0)),"?"))</f>
        <v/>
      </c>
      <c r="CG191" s="98" t="str">
        <f>IF($A191="","",IFERROR(INDEX('Usage and Coverage'!$C$79:$C$84,MATCH($Y191,'Usage and Coverage'!$B$79:$B$84,0)),"?"))</f>
        <v/>
      </c>
      <c r="CH191" s="100" t="str">
        <f>IFERROR(IF(ISNUMBER($CD191),$CF191*$CG191*MIN($BG191*$BA191*$BC191*$BD191*$BH191*$BF191,'Technical Premium'!$C$17),""),"")</f>
        <v/>
      </c>
      <c r="CI191" s="100" t="str">
        <f t="shared" si="31"/>
        <v/>
      </c>
      <c r="CJ191" s="100" t="str">
        <f>IFERROR($CI191*(1+'Technical Premium'!$C$5)*(1+'Technical Premium'!$C$6),"")</f>
        <v/>
      </c>
      <c r="CK191" s="100" t="str">
        <f>IFERROR($CE191*INDEX('Territory Factors'!$G$6:$G$56,MATCH($K191,'Territory Factors'!$B$6:$B$56,0))*$AU191*$AV191,"")</f>
        <v/>
      </c>
      <c r="CL191" s="100" t="str">
        <f>IFERROR(($CJ191+$CK191)*(1+'Technical Premium'!$C$7),"")</f>
        <v/>
      </c>
      <c r="CM191" s="102" t="str">
        <f>IFERROR($CL191/'Technical Premium'!$C$13,"")</f>
        <v/>
      </c>
      <c r="CN191" s="103" t="str">
        <f t="shared" si="32"/>
        <v/>
      </c>
      <c r="CO191" s="102" t="str">
        <f t="shared" si="33"/>
        <v/>
      </c>
      <c r="CP191" s="103" t="str">
        <f t="shared" si="34"/>
        <v/>
      </c>
      <c r="CQ191" s="104" t="str">
        <f t="shared" si="35"/>
        <v/>
      </c>
      <c r="CR191" s="100" t="str">
        <f>IF(ISNUMBER($CM191),'Technical Premium'!$C$14+IF($J191&gt;=1000000,'Technical Premium'!$C$15,0),"")</f>
        <v/>
      </c>
      <c r="CS191" s="100" t="str">
        <f>IFERROR(($CO191+$CR191)*(INDEX('Territory Factors'!$K$6:$K$56,MATCH($K191,'Territory Factors'!$B$6:$B$56,0))+'Commission Structure'!$C$21),"")</f>
        <v/>
      </c>
      <c r="CT191" s="102" t="str">
        <f t="shared" si="36"/>
        <v/>
      </c>
      <c r="CU191" s="100" t="str">
        <f>IFERROR($CO191*('Commission Structure'!$C$6+'Commission Structure'!$C$7),"")</f>
        <v/>
      </c>
      <c r="CV191" s="100" t="str">
        <f>IFERROR($CO191*'Commission Structure'!$C$5-$CU191,"")</f>
        <v/>
      </c>
      <c r="CW191" s="100" t="str">
        <f>IFERROR($CO191*(1-'Commission Structure'!$C$5),"")</f>
        <v/>
      </c>
      <c r="CX191" s="105" t="str">
        <f>IF($A191="","",IF(OR($CB191="?",$CC191="?",NOT(ISNUMBER($AU191))),"CHECK INPUTS",IF(OR($J191&lt;'Technical Premium'!$C$18,LEFT(IFERROR(INDEX('Driver Factors'!$D$6:$D$15,MATCH($R191,'Driver Factors'!$B$6:$B$15,0)),""),7)="DECLINE",LEFT(IFERROR(INDEX('Driver Factors'!$D$28:$D$36,MATCH($T191,'Driver Factors'!$B$28:$B$36,0)),""),7)="DECLINE",LEFT(IFERROR(INDEX('Claims History'!$D$6:$D$15,MATCH($U191,'Claims History'!$B$6:$B$15,0)),""),7)="DECLINE",LEFT(IFERROR(INDEX('Usage and Coverage'!$E$6:$E$20,MATCH($N191,'Usage and Coverage'!$C$6:$C$20,0)),""),7)="DECLINE"),"DECLINE",IF(OR($CD191&gt;2.5,$CD191&gt;='Technical Premium'!$C$17,$J191&gt;='Technical Premium'!$C$16,N($AQ191)&lt;'Technical Premium'!$C$19,N($AQ191)&gt;'Technical Premium'!$C$20,LEFT(IFERROR(INDEX('Driver Factors'!$D$6:$D$15,MATCH($R191,'Driver Factors'!$B$6:$B$15,0)),""),5)="Refer",LEFT(IFERROR(INDEX('Driver Factors'!$D$28:$D$36,MATCH($T191,'Driver Factors'!$B$28:$B$36,0)),""),5)="Refer",LEFT(IFERROR(INDEX('Claims History'!$D$6:$D$15,MATCH($U191,'Claims History'!$B$6:$B$15,0)),""),5)="Refer",LEFT(IFERROR(INDEX('Usage and Coverage'!$E$6:$E$20,MATCH($N191,'Usage and Coverage'!$C$6:$C$20,0)),""),5)="Refer"),"REFER","AUTO-BIND"))))</f>
        <v/>
      </c>
      <c r="CY191" s="106" t="str">
        <f t="shared" si="37"/>
        <v/>
      </c>
      <c r="CZ191" s="97" t="str">
        <f>IF($CY191="","",IF($CY191&lt;'Technical Premium'!$C$19,"BEYOND AUTHORITY",IF($CY191&gt;0.005,"Above technical",IF($CY191&lt;-0.005,"BELOW technical","At technical"))))</f>
        <v/>
      </c>
      <c r="DA191" s="97" t="str">
        <f>IF($A191="","",IF($CX191="AUTO-BIND","",TRIM(IF($J191&lt;'Technical Premium'!$C$18,"Below programme minimum agreed value. ","")&amp;IF(N($AQ191)&lt;'Technical Premium'!$C$19,"DISCOUNT AUTHORITY BREACH. ","")&amp;IF(N($AQ191)&gt;'Technical Premium'!$C$20,"Load authority breach. ","")&amp;IF($J191&gt;='Technical Premium'!$C$16,"Agreed value at or above auto-bind limit. ","")&amp;IF(AND(ISNUMBER($CD191),$CD191&gt;='Technical Premium'!$C$17),"Composite factor at cap. ","")&amp;IF(AND(ISNUMBER($CD191),$CD191&gt;2.5),"Composite factor above 2.50. ","")&amp;IF(LEFT(IFERROR(INDEX('Driver Factors'!$D$6:$D$15,MATCH($R191,'Driver Factors'!$B$6:$B$15,0)),""),7)="DECLINE","DECLINE - driver age. ",IF(LEFT(IFERROR(INDEX('Driver Factors'!$D$6:$D$15,MATCH($R191,'Driver Factors'!$B$6:$B$15,0)),""),5)="Refer","Driver age band. ",""))&amp;IF(LEFT(IFERROR(INDEX('Driver Factors'!$D$28:$D$36,MATCH($T191,'Driver Factors'!$B$28:$B$36,0)),""),7)="DECLINE","DECLINE - MVR. ",IF(LEFT(IFERROR(INDEX('Driver Factors'!$D$28:$D$36,MATCH($T191,'Driver Factors'!$B$28:$B$36,0)),""),5)="Refer","MVR record. ",""))&amp;IF(LEFT(IFERROR(INDEX('Claims History'!$D$6:$D$15,MATCH($U191,'Claims History'!$B$6:$B$15,0)),""),7)="DECLINE","DECLINE - claims. ",IF(LEFT(IFERROR(INDEX('Claims History'!$D$6:$D$15,MATCH($U191,'Claims History'!$B$6:$B$15,0)),""),5)="Refer","Claims history. ",""))&amp;IF(LEFT(IFERROR(INDEX('Usage and Coverage'!$E$6:$E$20,MATCH($N191,'Usage and Coverage'!$C$6:$C$20,0)),""),7)="DECLINE","DECLINE - usage class. ",IF(LEFT(IFERROR(INDEX('Usage and Coverage'!$E$6:$E$20,MATCH($N191,'Usage and Coverage'!$C$6:$C$20,0)),""),5)="Refer","Usage class. ",""))&amp;IF($CX191="CHECK INPUTS","Incomplete inputs. ",""))))</f>
        <v/>
      </c>
      <c r="DB191" s="92"/>
      <c r="DC191" s="92"/>
      <c r="DD191" s="93"/>
      <c r="DE191" s="92"/>
      <c r="DF191" s="92"/>
      <c r="DG191" s="97" t="str">
        <f t="shared" si="38"/>
        <v/>
      </c>
      <c r="DH191" s="97" t="str">
        <f>IF($A191="","",IF(OR($CX191="REFER",$CX191="DECLINE"),COUNTIF($CX$5:$CX191,"REFER")+COUNTIF($CX$5:$CX191,"DECLINE"),""))</f>
        <v/>
      </c>
      <c r="DI191" s="92"/>
    </row>
    <row r="192" spans="1:113" x14ac:dyDescent="0.25">
      <c r="A192" s="92"/>
      <c r="B192" s="92"/>
      <c r="C192" s="93"/>
      <c r="D192" s="93"/>
      <c r="E192" s="94"/>
      <c r="F192" s="92"/>
      <c r="G192" s="92"/>
      <c r="H192" s="92"/>
      <c r="I192" s="92"/>
      <c r="J192" s="95"/>
      <c r="K192" s="92"/>
      <c r="L192" s="92"/>
      <c r="M192" s="92"/>
      <c r="N192" s="92"/>
      <c r="O192" s="92"/>
      <c r="P192" s="92"/>
      <c r="Q192" s="92"/>
      <c r="R192" s="92"/>
      <c r="S192" s="92"/>
      <c r="T192" s="92"/>
      <c r="U192" s="92"/>
      <c r="V192" s="92"/>
      <c r="W192" s="92"/>
      <c r="X192" s="92"/>
      <c r="Y192" s="92"/>
      <c r="Z192" s="92"/>
      <c r="AA192" s="92"/>
      <c r="AB192" s="92"/>
      <c r="AC192" s="92"/>
      <c r="AD192" s="92"/>
      <c r="AE192" s="92"/>
      <c r="AF192" s="92"/>
      <c r="AG192" s="92"/>
      <c r="AH192" s="92"/>
      <c r="AI192" s="92"/>
      <c r="AJ192" s="92"/>
      <c r="AK192" s="92"/>
      <c r="AL192" s="92"/>
      <c r="AM192" s="92"/>
      <c r="AN192" s="92"/>
      <c r="AO192" s="92"/>
      <c r="AP192" s="92"/>
      <c r="AQ192" s="96"/>
      <c r="AR192" s="97" t="str">
        <f t="shared" si="26"/>
        <v/>
      </c>
      <c r="AS192" s="97" t="str">
        <f>IF($A192="","",IF($AP192&lt;&gt;"",$AP192,IFERROR(INDEX('Cat Zone by ZIP'!$D$6:$D$856,MATCH($AR192,'Cat Zone by ZIP'!$B$6:$B$856,0)),IFERROR(INDEX('Cat Zone by ZIP'!$C$860:$C$910,MATCH($K192,'Cat Zone by ZIP'!$B$860:$B$910,0)),"NOT FOUND"))))</f>
        <v/>
      </c>
      <c r="AT192" s="97" t="str">
        <f>IF($A192="","",IF($AP192&lt;&gt;"","Override",IF(ISNUMBER(MATCH($AR192,'Cat Zone by ZIP'!$B$6:$B$856,0)),"ZIP-3","State default")))</f>
        <v/>
      </c>
      <c r="AU192" s="98" t="str">
        <f>IF($A192="","",IFERROR(INDEX('Natural Catastrophe'!$D$6:$D$17,MATCH($AS192,'Natural Catastrophe'!$B$6:$B$17,0)),"?"))</f>
        <v/>
      </c>
      <c r="AV192" s="98" t="str">
        <f>IF($A192="","",IFERROR(INDEX('Natural Catastrophe'!$C$21:$C$26,MATCH($AA192,'Natural Catastrophe'!$B$21:$B$26,0)),"?"))</f>
        <v/>
      </c>
      <c r="AW192" s="97" t="str">
        <f>IF($A192="","",IFERROR(INDEX('Base Rates'!$C$4:$I$4,MATCH(MAX($J192,'Technical Premium'!$C$18),'Base Rates'!$C$3:$I$3,1)),"?"))</f>
        <v/>
      </c>
      <c r="AX192" s="99" t="str">
        <f>IF($A192="","",IFERROR(INDEX('Base Rates'!$C$5:$I$16,MATCH($I192,'Base Rates'!$B$5:$B$16,0),MATCH(MAX($J192,'Technical Premium'!$C$18),'Base Rates'!$C$3:$I$3,1)),"?"))</f>
        <v/>
      </c>
      <c r="AY192" s="100" t="str">
        <f t="shared" si="27"/>
        <v/>
      </c>
      <c r="AZ192" s="97" t="str">
        <f>IF($A192="","",IFERROR(INDEX('Make Factors'!$G$5:$G$69,MATCH($F192,'Make Factors'!$B$5:$B$69,0)),"?"))</f>
        <v/>
      </c>
      <c r="BA192" s="97" t="str">
        <f>IF($A192="","",IFERROR(INDEX('Driver Factors'!$C$6:$C$15,MATCH($R192,'Driver Factors'!$B$6:$B$15,0)),"?"))</f>
        <v/>
      </c>
      <c r="BB192" s="97" t="str">
        <f>IF($A192="","",IFERROR(INDEX('Driver Factors'!$C$19:$C$24,MATCH($S192,'Driver Factors'!$B$19:$B$24,0)),"?"))</f>
        <v/>
      </c>
      <c r="BC192" s="97" t="str">
        <f>IF($A192="","",IFERROR(INDEX('Driver Factors'!$C$28:$C$36,MATCH($T192,'Driver Factors'!$B$28:$B$36,0)),"?"))</f>
        <v/>
      </c>
      <c r="BD192" s="97" t="str">
        <f>IF($A192="","",IFERROR(INDEX('Claims History'!$C$6:$C$15,MATCH($U192,'Claims History'!$B$6:$B$15,0)),"?"))</f>
        <v/>
      </c>
      <c r="BE192" s="97" t="str">
        <f>IF($A192="","",IFERROR(INDEX('Territory Factors'!$E$6:$E$56,MATCH($K192,'Territory Factors'!$B$6:$B$56,0)),"?"))</f>
        <v/>
      </c>
      <c r="BF192" s="97" t="str">
        <f>IF($A192="","",IFERROR(INDEX('City Accident Ratings'!$G$6:$G$54,MATCH($Z192,'City Accident Ratings'!$B$6:$B$54,0)),"?"))</f>
        <v/>
      </c>
      <c r="BG192" s="97" t="str">
        <f>IF($A192="","",IFERROR(INDEX('Usage and Coverage'!$D$6:$D$20,MATCH($N192,'Usage and Coverage'!$C$6:$C$20,0)),"?"))</f>
        <v/>
      </c>
      <c r="BH192" s="97" t="str">
        <f>IF($A192="","",IFERROR(INDEX('Usage and Coverage'!$C$24:$C$30,MATCH($O192,'Usage and Coverage'!$B$24:$B$30,0)),"?"))</f>
        <v/>
      </c>
      <c r="BI192" s="97" t="str">
        <f>IF($A192="","",IFERROR(INDEX('Usage and Coverage'!$C$34:$C$40,MATCH($P192,'Usage and Coverage'!$B$34:$B$40,0)),"?"))</f>
        <v/>
      </c>
      <c r="BJ192" s="97" t="str">
        <f>IF($A192="","",IFERROR(INDEX('Usage and Coverage'!$C$44:$C$49,MATCH($Q192,'Usage and Coverage'!$B$44:$B$49,0)),"?"))</f>
        <v/>
      </c>
      <c r="BK192" s="97" t="str">
        <f>IF($A192="","",IFERROR(INDEX(Deductibles!$C$6:$I$15,MATCH($W192,Deductibles!$B$6:$B$15,0),MATCH(MAX($J192,'Technical Premium'!$C$18),'Base Rates'!$C$3:$I$3,1)),"?"))</f>
        <v/>
      </c>
      <c r="BL192" s="97" t="str">
        <f>IF($A192="","",IFERROR(INDEX('Usage and Coverage'!$C$63:$C$66,MATCH($X192,'Usage and Coverage'!$B$63:$B$66,0)),"?"))</f>
        <v/>
      </c>
      <c r="BM192" s="97" t="str">
        <f>IF($A192="","",IFERROR(INDEX('Usage and Coverage'!$C$70:$C$75,MATCH($V192,'Usage and Coverage'!$B$70:$B$75,0)),"?"))</f>
        <v/>
      </c>
      <c r="BN192" s="97" t="str">
        <f>IF($A192="","",IF($AB192="",1,IFERROR(INDEX(Deductibles!$C$48:$C$51,MATCH($AB192,Deductibles!$B$48:$B$51,0)),"?")))</f>
        <v/>
      </c>
      <c r="BO192" s="97" t="str">
        <f>IF($A192="","",IF($AC192="",1,IFERROR(INDEX(Deductibles!$C$55:$C$57,MATCH($AC192,Deductibles!$B$55:$B$57,0)),"?")))</f>
        <v/>
      </c>
      <c r="BP192" s="97" t="str">
        <f>IF($A192="","",IF($AD192="",1,IFERROR(INDEX(Deductibles!$C$61:$C$63,MATCH($AD192,Deductibles!$B$61:$B$63,0)),"?")))</f>
        <v/>
      </c>
      <c r="BQ192" s="97" t="str">
        <f>IF($A192="","",IF($AE192="",1,IFERROR(INDEX(Deductibles!$C$67:$C$69,MATCH($AE192,Deductibles!$B$67:$B$69,0)),"?")))</f>
        <v/>
      </c>
      <c r="BR192" s="97" t="str">
        <f>IF($A192="","",IF($AF192="",1,IFERROR(INDEX(Deductibles!$C$73:$C$74,MATCH($AF192,Deductibles!$B$73:$B$74,0)),"?")))</f>
        <v/>
      </c>
      <c r="BS192" s="97" t="str">
        <f>IF($A192="","",IF($AG192="",1,IFERROR(INDEX('Sublimits and Parts'!$C$49:$C$52,MATCH($AG192,'Sublimits and Parts'!$B$49:$B$52,0)),"?")))</f>
        <v/>
      </c>
      <c r="BT192" s="97" t="str">
        <f>IF($A192="","",IF($AH192="",1,IFERROR(INDEX('Sublimits and Parts'!$C$56:$C$60,MATCH($AH192,'Sublimits and Parts'!$B$56:$B$60,0)),"?")))</f>
        <v/>
      </c>
      <c r="BU192" s="97" t="str">
        <f>IF($A192="","",IF($AI192="",1,IFERROR(INDEX('Sublimits and Parts'!$C$64:$C$67,MATCH($AI192,'Sublimits and Parts'!$B$64:$B$67,0)),"?")))</f>
        <v/>
      </c>
      <c r="BV192" s="97" t="str">
        <f>IF($A192="","",IF($AJ192="",1,IFERROR(INDEX('Sublimits and Parts'!$C$71:$C$74,MATCH($AJ192,'Sublimits and Parts'!$B$71:$B$74,0)),"?")))</f>
        <v/>
      </c>
      <c r="BW192" s="97" t="str">
        <f>IF($A192="","",IF($AK192="",1,IFERROR(INDEX('Sublimits and Parts'!$C$78:$C$80,MATCH($AK192,'Sublimits and Parts'!$B$78:$B$80,0)),"?")))</f>
        <v/>
      </c>
      <c r="BX192" s="97" t="str">
        <f>IF($A192="","",IF($AL192="",1,IFERROR(INDEX('Sublimits and Parts'!$C$84:$C$87,MATCH($AL192,'Sublimits and Parts'!$B$84:$B$87,0)),"?")))</f>
        <v/>
      </c>
      <c r="BY192" s="97" t="str">
        <f>IF($A192="","",IF($AM192="",1,IFERROR(INDEX('Sublimits and Parts'!$C$91:$C$94,MATCH($AM192,'Sublimits and Parts'!$B$91:$B$94,0)),"?")))</f>
        <v/>
      </c>
      <c r="BZ192" s="97" t="str">
        <f>IF($A192="","",IF($AN192="",1,IFERROR(INDEX('Sublimits and Parts'!$C$98:$C$101,MATCH($AN192,'Sublimits and Parts'!$B$98:$B$101,0)),"?")))</f>
        <v/>
      </c>
      <c r="CA192" s="97" t="str">
        <f>IF($A192="","",IF($AO192="",1,IFERROR(INDEX('Sublimits and Parts'!$C$105:$C$109,MATCH($AO192,'Sublimits and Parts'!$B$105:$B$109,0)),"?")))</f>
        <v/>
      </c>
      <c r="CB192" s="98" t="str">
        <f t="shared" si="28"/>
        <v/>
      </c>
      <c r="CC192" s="98" t="str">
        <f t="shared" si="29"/>
        <v/>
      </c>
      <c r="CD192" s="101" t="str">
        <f>IF($A192="","",IF(OR($CB192="?",$CC192="?"),"?",MIN($CB192*$CC192,'Technical Premium'!$C$17)))</f>
        <v/>
      </c>
      <c r="CE192" s="100" t="str">
        <f t="shared" si="30"/>
        <v/>
      </c>
      <c r="CF192" s="100" t="str">
        <f>IF($A192="","",IFERROR(INDEX('Territory Factors'!$F$6:$F$56,MATCH($K192,'Territory Factors'!$B$6:$B$56,0)),"?"))</f>
        <v/>
      </c>
      <c r="CG192" s="98" t="str">
        <f>IF($A192="","",IFERROR(INDEX('Usage and Coverage'!$C$79:$C$84,MATCH($Y192,'Usage and Coverage'!$B$79:$B$84,0)),"?"))</f>
        <v/>
      </c>
      <c r="CH192" s="100" t="str">
        <f>IFERROR(IF(ISNUMBER($CD192),$CF192*$CG192*MIN($BG192*$BA192*$BC192*$BD192*$BH192*$BF192,'Technical Premium'!$C$17),""),"")</f>
        <v/>
      </c>
      <c r="CI192" s="100" t="str">
        <f t="shared" si="31"/>
        <v/>
      </c>
      <c r="CJ192" s="100" t="str">
        <f>IFERROR($CI192*(1+'Technical Premium'!$C$5)*(1+'Technical Premium'!$C$6),"")</f>
        <v/>
      </c>
      <c r="CK192" s="100" t="str">
        <f>IFERROR($CE192*INDEX('Territory Factors'!$G$6:$G$56,MATCH($K192,'Territory Factors'!$B$6:$B$56,0))*$AU192*$AV192,"")</f>
        <v/>
      </c>
      <c r="CL192" s="100" t="str">
        <f>IFERROR(($CJ192+$CK192)*(1+'Technical Premium'!$C$7),"")</f>
        <v/>
      </c>
      <c r="CM192" s="102" t="str">
        <f>IFERROR($CL192/'Technical Premium'!$C$13,"")</f>
        <v/>
      </c>
      <c r="CN192" s="103" t="str">
        <f t="shared" si="32"/>
        <v/>
      </c>
      <c r="CO192" s="102" t="str">
        <f t="shared" si="33"/>
        <v/>
      </c>
      <c r="CP192" s="103" t="str">
        <f t="shared" si="34"/>
        <v/>
      </c>
      <c r="CQ192" s="104" t="str">
        <f t="shared" si="35"/>
        <v/>
      </c>
      <c r="CR192" s="100" t="str">
        <f>IF(ISNUMBER($CM192),'Technical Premium'!$C$14+IF($J192&gt;=1000000,'Technical Premium'!$C$15,0),"")</f>
        <v/>
      </c>
      <c r="CS192" s="100" t="str">
        <f>IFERROR(($CO192+$CR192)*(INDEX('Territory Factors'!$K$6:$K$56,MATCH($K192,'Territory Factors'!$B$6:$B$56,0))+'Commission Structure'!$C$21),"")</f>
        <v/>
      </c>
      <c r="CT192" s="102" t="str">
        <f t="shared" si="36"/>
        <v/>
      </c>
      <c r="CU192" s="100" t="str">
        <f>IFERROR($CO192*('Commission Structure'!$C$6+'Commission Structure'!$C$7),"")</f>
        <v/>
      </c>
      <c r="CV192" s="100" t="str">
        <f>IFERROR($CO192*'Commission Structure'!$C$5-$CU192,"")</f>
        <v/>
      </c>
      <c r="CW192" s="100" t="str">
        <f>IFERROR($CO192*(1-'Commission Structure'!$C$5),"")</f>
        <v/>
      </c>
      <c r="CX192" s="105" t="str">
        <f>IF($A192="","",IF(OR($CB192="?",$CC192="?",NOT(ISNUMBER($AU192))),"CHECK INPUTS",IF(OR($J192&lt;'Technical Premium'!$C$18,LEFT(IFERROR(INDEX('Driver Factors'!$D$6:$D$15,MATCH($R192,'Driver Factors'!$B$6:$B$15,0)),""),7)="DECLINE",LEFT(IFERROR(INDEX('Driver Factors'!$D$28:$D$36,MATCH($T192,'Driver Factors'!$B$28:$B$36,0)),""),7)="DECLINE",LEFT(IFERROR(INDEX('Claims History'!$D$6:$D$15,MATCH($U192,'Claims History'!$B$6:$B$15,0)),""),7)="DECLINE",LEFT(IFERROR(INDEX('Usage and Coverage'!$E$6:$E$20,MATCH($N192,'Usage and Coverage'!$C$6:$C$20,0)),""),7)="DECLINE"),"DECLINE",IF(OR($CD192&gt;2.5,$CD192&gt;='Technical Premium'!$C$17,$J192&gt;='Technical Premium'!$C$16,N($AQ192)&lt;'Technical Premium'!$C$19,N($AQ192)&gt;'Technical Premium'!$C$20,LEFT(IFERROR(INDEX('Driver Factors'!$D$6:$D$15,MATCH($R192,'Driver Factors'!$B$6:$B$15,0)),""),5)="Refer",LEFT(IFERROR(INDEX('Driver Factors'!$D$28:$D$36,MATCH($T192,'Driver Factors'!$B$28:$B$36,0)),""),5)="Refer",LEFT(IFERROR(INDEX('Claims History'!$D$6:$D$15,MATCH($U192,'Claims History'!$B$6:$B$15,0)),""),5)="Refer",LEFT(IFERROR(INDEX('Usage and Coverage'!$E$6:$E$20,MATCH($N192,'Usage and Coverage'!$C$6:$C$20,0)),""),5)="Refer"),"REFER","AUTO-BIND"))))</f>
        <v/>
      </c>
      <c r="CY192" s="106" t="str">
        <f t="shared" si="37"/>
        <v/>
      </c>
      <c r="CZ192" s="97" t="str">
        <f>IF($CY192="","",IF($CY192&lt;'Technical Premium'!$C$19,"BEYOND AUTHORITY",IF($CY192&gt;0.005,"Above technical",IF($CY192&lt;-0.005,"BELOW technical","At technical"))))</f>
        <v/>
      </c>
      <c r="DA192" s="97" t="str">
        <f>IF($A192="","",IF($CX192="AUTO-BIND","",TRIM(IF($J192&lt;'Technical Premium'!$C$18,"Below programme minimum agreed value. ","")&amp;IF(N($AQ192)&lt;'Technical Premium'!$C$19,"DISCOUNT AUTHORITY BREACH. ","")&amp;IF(N($AQ192)&gt;'Technical Premium'!$C$20,"Load authority breach. ","")&amp;IF($J192&gt;='Technical Premium'!$C$16,"Agreed value at or above auto-bind limit. ","")&amp;IF(AND(ISNUMBER($CD192),$CD192&gt;='Technical Premium'!$C$17),"Composite factor at cap. ","")&amp;IF(AND(ISNUMBER($CD192),$CD192&gt;2.5),"Composite factor above 2.50. ","")&amp;IF(LEFT(IFERROR(INDEX('Driver Factors'!$D$6:$D$15,MATCH($R192,'Driver Factors'!$B$6:$B$15,0)),""),7)="DECLINE","DECLINE - driver age. ",IF(LEFT(IFERROR(INDEX('Driver Factors'!$D$6:$D$15,MATCH($R192,'Driver Factors'!$B$6:$B$15,0)),""),5)="Refer","Driver age band. ",""))&amp;IF(LEFT(IFERROR(INDEX('Driver Factors'!$D$28:$D$36,MATCH($T192,'Driver Factors'!$B$28:$B$36,0)),""),7)="DECLINE","DECLINE - MVR. ",IF(LEFT(IFERROR(INDEX('Driver Factors'!$D$28:$D$36,MATCH($T192,'Driver Factors'!$B$28:$B$36,0)),""),5)="Refer","MVR record. ",""))&amp;IF(LEFT(IFERROR(INDEX('Claims History'!$D$6:$D$15,MATCH($U192,'Claims History'!$B$6:$B$15,0)),""),7)="DECLINE","DECLINE - claims. ",IF(LEFT(IFERROR(INDEX('Claims History'!$D$6:$D$15,MATCH($U192,'Claims History'!$B$6:$B$15,0)),""),5)="Refer","Claims history. ",""))&amp;IF(LEFT(IFERROR(INDEX('Usage and Coverage'!$E$6:$E$20,MATCH($N192,'Usage and Coverage'!$C$6:$C$20,0)),""),7)="DECLINE","DECLINE - usage class. ",IF(LEFT(IFERROR(INDEX('Usage and Coverage'!$E$6:$E$20,MATCH($N192,'Usage and Coverage'!$C$6:$C$20,0)),""),5)="Refer","Usage class. ",""))&amp;IF($CX192="CHECK INPUTS","Incomplete inputs. ",""))))</f>
        <v/>
      </c>
      <c r="DB192" s="92"/>
      <c r="DC192" s="92"/>
      <c r="DD192" s="93"/>
      <c r="DE192" s="92"/>
      <c r="DF192" s="92"/>
      <c r="DG192" s="97" t="str">
        <f t="shared" si="38"/>
        <v/>
      </c>
      <c r="DH192" s="97" t="str">
        <f>IF($A192="","",IF(OR($CX192="REFER",$CX192="DECLINE"),COUNTIF($CX$5:$CX192,"REFER")+COUNTIF($CX$5:$CX192,"DECLINE"),""))</f>
        <v/>
      </c>
      <c r="DI192" s="92"/>
    </row>
    <row r="193" spans="1:113" x14ac:dyDescent="0.25">
      <c r="A193" s="92"/>
      <c r="B193" s="92"/>
      <c r="C193" s="93"/>
      <c r="D193" s="93"/>
      <c r="E193" s="94"/>
      <c r="F193" s="92"/>
      <c r="G193" s="92"/>
      <c r="H193" s="92"/>
      <c r="I193" s="92"/>
      <c r="J193" s="95"/>
      <c r="K193" s="92"/>
      <c r="L193" s="92"/>
      <c r="M193" s="92"/>
      <c r="N193" s="92"/>
      <c r="O193" s="92"/>
      <c r="P193" s="92"/>
      <c r="Q193" s="92"/>
      <c r="R193" s="92"/>
      <c r="S193" s="92"/>
      <c r="T193" s="92"/>
      <c r="U193" s="92"/>
      <c r="V193" s="92"/>
      <c r="W193" s="92"/>
      <c r="X193" s="92"/>
      <c r="Y193" s="92"/>
      <c r="Z193" s="92"/>
      <c r="AA193" s="92"/>
      <c r="AB193" s="92"/>
      <c r="AC193" s="92"/>
      <c r="AD193" s="92"/>
      <c r="AE193" s="92"/>
      <c r="AF193" s="92"/>
      <c r="AG193" s="92"/>
      <c r="AH193" s="92"/>
      <c r="AI193" s="92"/>
      <c r="AJ193" s="92"/>
      <c r="AK193" s="92"/>
      <c r="AL193" s="92"/>
      <c r="AM193" s="92"/>
      <c r="AN193" s="92"/>
      <c r="AO193" s="92"/>
      <c r="AP193" s="92"/>
      <c r="AQ193" s="96"/>
      <c r="AR193" s="97" t="str">
        <f t="shared" si="26"/>
        <v/>
      </c>
      <c r="AS193" s="97" t="str">
        <f>IF($A193="","",IF($AP193&lt;&gt;"",$AP193,IFERROR(INDEX('Cat Zone by ZIP'!$D$6:$D$856,MATCH($AR193,'Cat Zone by ZIP'!$B$6:$B$856,0)),IFERROR(INDEX('Cat Zone by ZIP'!$C$860:$C$910,MATCH($K193,'Cat Zone by ZIP'!$B$860:$B$910,0)),"NOT FOUND"))))</f>
        <v/>
      </c>
      <c r="AT193" s="97" t="str">
        <f>IF($A193="","",IF($AP193&lt;&gt;"","Override",IF(ISNUMBER(MATCH($AR193,'Cat Zone by ZIP'!$B$6:$B$856,0)),"ZIP-3","State default")))</f>
        <v/>
      </c>
      <c r="AU193" s="98" t="str">
        <f>IF($A193="","",IFERROR(INDEX('Natural Catastrophe'!$D$6:$D$17,MATCH($AS193,'Natural Catastrophe'!$B$6:$B$17,0)),"?"))</f>
        <v/>
      </c>
      <c r="AV193" s="98" t="str">
        <f>IF($A193="","",IFERROR(INDEX('Natural Catastrophe'!$C$21:$C$26,MATCH($AA193,'Natural Catastrophe'!$B$21:$B$26,0)),"?"))</f>
        <v/>
      </c>
      <c r="AW193" s="97" t="str">
        <f>IF($A193="","",IFERROR(INDEX('Base Rates'!$C$4:$I$4,MATCH(MAX($J193,'Technical Premium'!$C$18),'Base Rates'!$C$3:$I$3,1)),"?"))</f>
        <v/>
      </c>
      <c r="AX193" s="99" t="str">
        <f>IF($A193="","",IFERROR(INDEX('Base Rates'!$C$5:$I$16,MATCH($I193,'Base Rates'!$B$5:$B$16,0),MATCH(MAX($J193,'Technical Premium'!$C$18),'Base Rates'!$C$3:$I$3,1)),"?"))</f>
        <v/>
      </c>
      <c r="AY193" s="100" t="str">
        <f t="shared" si="27"/>
        <v/>
      </c>
      <c r="AZ193" s="97" t="str">
        <f>IF($A193="","",IFERROR(INDEX('Make Factors'!$G$5:$G$69,MATCH($F193,'Make Factors'!$B$5:$B$69,0)),"?"))</f>
        <v/>
      </c>
      <c r="BA193" s="97" t="str">
        <f>IF($A193="","",IFERROR(INDEX('Driver Factors'!$C$6:$C$15,MATCH($R193,'Driver Factors'!$B$6:$B$15,0)),"?"))</f>
        <v/>
      </c>
      <c r="BB193" s="97" t="str">
        <f>IF($A193="","",IFERROR(INDEX('Driver Factors'!$C$19:$C$24,MATCH($S193,'Driver Factors'!$B$19:$B$24,0)),"?"))</f>
        <v/>
      </c>
      <c r="BC193" s="97" t="str">
        <f>IF($A193="","",IFERROR(INDEX('Driver Factors'!$C$28:$C$36,MATCH($T193,'Driver Factors'!$B$28:$B$36,0)),"?"))</f>
        <v/>
      </c>
      <c r="BD193" s="97" t="str">
        <f>IF($A193="","",IFERROR(INDEX('Claims History'!$C$6:$C$15,MATCH($U193,'Claims History'!$B$6:$B$15,0)),"?"))</f>
        <v/>
      </c>
      <c r="BE193" s="97" t="str">
        <f>IF($A193="","",IFERROR(INDEX('Territory Factors'!$E$6:$E$56,MATCH($K193,'Territory Factors'!$B$6:$B$56,0)),"?"))</f>
        <v/>
      </c>
      <c r="BF193" s="97" t="str">
        <f>IF($A193="","",IFERROR(INDEX('City Accident Ratings'!$G$6:$G$54,MATCH($Z193,'City Accident Ratings'!$B$6:$B$54,0)),"?"))</f>
        <v/>
      </c>
      <c r="BG193" s="97" t="str">
        <f>IF($A193="","",IFERROR(INDEX('Usage and Coverage'!$D$6:$D$20,MATCH($N193,'Usage and Coverage'!$C$6:$C$20,0)),"?"))</f>
        <v/>
      </c>
      <c r="BH193" s="97" t="str">
        <f>IF($A193="","",IFERROR(INDEX('Usage and Coverage'!$C$24:$C$30,MATCH($O193,'Usage and Coverage'!$B$24:$B$30,0)),"?"))</f>
        <v/>
      </c>
      <c r="BI193" s="97" t="str">
        <f>IF($A193="","",IFERROR(INDEX('Usage and Coverage'!$C$34:$C$40,MATCH($P193,'Usage and Coverage'!$B$34:$B$40,0)),"?"))</f>
        <v/>
      </c>
      <c r="BJ193" s="97" t="str">
        <f>IF($A193="","",IFERROR(INDEX('Usage and Coverage'!$C$44:$C$49,MATCH($Q193,'Usage and Coverage'!$B$44:$B$49,0)),"?"))</f>
        <v/>
      </c>
      <c r="BK193" s="97" t="str">
        <f>IF($A193="","",IFERROR(INDEX(Deductibles!$C$6:$I$15,MATCH($W193,Deductibles!$B$6:$B$15,0),MATCH(MAX($J193,'Technical Premium'!$C$18),'Base Rates'!$C$3:$I$3,1)),"?"))</f>
        <v/>
      </c>
      <c r="BL193" s="97" t="str">
        <f>IF($A193="","",IFERROR(INDEX('Usage and Coverage'!$C$63:$C$66,MATCH($X193,'Usage and Coverage'!$B$63:$B$66,0)),"?"))</f>
        <v/>
      </c>
      <c r="BM193" s="97" t="str">
        <f>IF($A193="","",IFERROR(INDEX('Usage and Coverage'!$C$70:$C$75,MATCH($V193,'Usage and Coverage'!$B$70:$B$75,0)),"?"))</f>
        <v/>
      </c>
      <c r="BN193" s="97" t="str">
        <f>IF($A193="","",IF($AB193="",1,IFERROR(INDEX(Deductibles!$C$48:$C$51,MATCH($AB193,Deductibles!$B$48:$B$51,0)),"?")))</f>
        <v/>
      </c>
      <c r="BO193" s="97" t="str">
        <f>IF($A193="","",IF($AC193="",1,IFERROR(INDEX(Deductibles!$C$55:$C$57,MATCH($AC193,Deductibles!$B$55:$B$57,0)),"?")))</f>
        <v/>
      </c>
      <c r="BP193" s="97" t="str">
        <f>IF($A193="","",IF($AD193="",1,IFERROR(INDEX(Deductibles!$C$61:$C$63,MATCH($AD193,Deductibles!$B$61:$B$63,0)),"?")))</f>
        <v/>
      </c>
      <c r="BQ193" s="97" t="str">
        <f>IF($A193="","",IF($AE193="",1,IFERROR(INDEX(Deductibles!$C$67:$C$69,MATCH($AE193,Deductibles!$B$67:$B$69,0)),"?")))</f>
        <v/>
      </c>
      <c r="BR193" s="97" t="str">
        <f>IF($A193="","",IF($AF193="",1,IFERROR(INDEX(Deductibles!$C$73:$C$74,MATCH($AF193,Deductibles!$B$73:$B$74,0)),"?")))</f>
        <v/>
      </c>
      <c r="BS193" s="97" t="str">
        <f>IF($A193="","",IF($AG193="",1,IFERROR(INDEX('Sublimits and Parts'!$C$49:$C$52,MATCH($AG193,'Sublimits and Parts'!$B$49:$B$52,0)),"?")))</f>
        <v/>
      </c>
      <c r="BT193" s="97" t="str">
        <f>IF($A193="","",IF($AH193="",1,IFERROR(INDEX('Sublimits and Parts'!$C$56:$C$60,MATCH($AH193,'Sublimits and Parts'!$B$56:$B$60,0)),"?")))</f>
        <v/>
      </c>
      <c r="BU193" s="97" t="str">
        <f>IF($A193="","",IF($AI193="",1,IFERROR(INDEX('Sublimits and Parts'!$C$64:$C$67,MATCH($AI193,'Sublimits and Parts'!$B$64:$B$67,0)),"?")))</f>
        <v/>
      </c>
      <c r="BV193" s="97" t="str">
        <f>IF($A193="","",IF($AJ193="",1,IFERROR(INDEX('Sublimits and Parts'!$C$71:$C$74,MATCH($AJ193,'Sublimits and Parts'!$B$71:$B$74,0)),"?")))</f>
        <v/>
      </c>
      <c r="BW193" s="97" t="str">
        <f>IF($A193="","",IF($AK193="",1,IFERROR(INDEX('Sublimits and Parts'!$C$78:$C$80,MATCH($AK193,'Sublimits and Parts'!$B$78:$B$80,0)),"?")))</f>
        <v/>
      </c>
      <c r="BX193" s="97" t="str">
        <f>IF($A193="","",IF($AL193="",1,IFERROR(INDEX('Sublimits and Parts'!$C$84:$C$87,MATCH($AL193,'Sublimits and Parts'!$B$84:$B$87,0)),"?")))</f>
        <v/>
      </c>
      <c r="BY193" s="97" t="str">
        <f>IF($A193="","",IF($AM193="",1,IFERROR(INDEX('Sublimits and Parts'!$C$91:$C$94,MATCH($AM193,'Sublimits and Parts'!$B$91:$B$94,0)),"?")))</f>
        <v/>
      </c>
      <c r="BZ193" s="97" t="str">
        <f>IF($A193="","",IF($AN193="",1,IFERROR(INDEX('Sublimits and Parts'!$C$98:$C$101,MATCH($AN193,'Sublimits and Parts'!$B$98:$B$101,0)),"?")))</f>
        <v/>
      </c>
      <c r="CA193" s="97" t="str">
        <f>IF($A193="","",IF($AO193="",1,IFERROR(INDEX('Sublimits and Parts'!$C$105:$C$109,MATCH($AO193,'Sublimits and Parts'!$B$105:$B$109,0)),"?")))</f>
        <v/>
      </c>
      <c r="CB193" s="98" t="str">
        <f t="shared" si="28"/>
        <v/>
      </c>
      <c r="CC193" s="98" t="str">
        <f t="shared" si="29"/>
        <v/>
      </c>
      <c r="CD193" s="101" t="str">
        <f>IF($A193="","",IF(OR($CB193="?",$CC193="?"),"?",MIN($CB193*$CC193,'Technical Premium'!$C$17)))</f>
        <v/>
      </c>
      <c r="CE193" s="100" t="str">
        <f t="shared" si="30"/>
        <v/>
      </c>
      <c r="CF193" s="100" t="str">
        <f>IF($A193="","",IFERROR(INDEX('Territory Factors'!$F$6:$F$56,MATCH($K193,'Territory Factors'!$B$6:$B$56,0)),"?"))</f>
        <v/>
      </c>
      <c r="CG193" s="98" t="str">
        <f>IF($A193="","",IFERROR(INDEX('Usage and Coverage'!$C$79:$C$84,MATCH($Y193,'Usage and Coverage'!$B$79:$B$84,0)),"?"))</f>
        <v/>
      </c>
      <c r="CH193" s="100" t="str">
        <f>IFERROR(IF(ISNUMBER($CD193),$CF193*$CG193*MIN($BG193*$BA193*$BC193*$BD193*$BH193*$BF193,'Technical Premium'!$C$17),""),"")</f>
        <v/>
      </c>
      <c r="CI193" s="100" t="str">
        <f t="shared" si="31"/>
        <v/>
      </c>
      <c r="CJ193" s="100" t="str">
        <f>IFERROR($CI193*(1+'Technical Premium'!$C$5)*(1+'Technical Premium'!$C$6),"")</f>
        <v/>
      </c>
      <c r="CK193" s="100" t="str">
        <f>IFERROR($CE193*INDEX('Territory Factors'!$G$6:$G$56,MATCH($K193,'Territory Factors'!$B$6:$B$56,0))*$AU193*$AV193,"")</f>
        <v/>
      </c>
      <c r="CL193" s="100" t="str">
        <f>IFERROR(($CJ193+$CK193)*(1+'Technical Premium'!$C$7),"")</f>
        <v/>
      </c>
      <c r="CM193" s="102" t="str">
        <f>IFERROR($CL193/'Technical Premium'!$C$13,"")</f>
        <v/>
      </c>
      <c r="CN193" s="103" t="str">
        <f t="shared" si="32"/>
        <v/>
      </c>
      <c r="CO193" s="102" t="str">
        <f t="shared" si="33"/>
        <v/>
      </c>
      <c r="CP193" s="103" t="str">
        <f t="shared" si="34"/>
        <v/>
      </c>
      <c r="CQ193" s="104" t="str">
        <f t="shared" si="35"/>
        <v/>
      </c>
      <c r="CR193" s="100" t="str">
        <f>IF(ISNUMBER($CM193),'Technical Premium'!$C$14+IF($J193&gt;=1000000,'Technical Premium'!$C$15,0),"")</f>
        <v/>
      </c>
      <c r="CS193" s="100" t="str">
        <f>IFERROR(($CO193+$CR193)*(INDEX('Territory Factors'!$K$6:$K$56,MATCH($K193,'Territory Factors'!$B$6:$B$56,0))+'Commission Structure'!$C$21),"")</f>
        <v/>
      </c>
      <c r="CT193" s="102" t="str">
        <f t="shared" si="36"/>
        <v/>
      </c>
      <c r="CU193" s="100" t="str">
        <f>IFERROR($CO193*('Commission Structure'!$C$6+'Commission Structure'!$C$7),"")</f>
        <v/>
      </c>
      <c r="CV193" s="100" t="str">
        <f>IFERROR($CO193*'Commission Structure'!$C$5-$CU193,"")</f>
        <v/>
      </c>
      <c r="CW193" s="100" t="str">
        <f>IFERROR($CO193*(1-'Commission Structure'!$C$5),"")</f>
        <v/>
      </c>
      <c r="CX193" s="105" t="str">
        <f>IF($A193="","",IF(OR($CB193="?",$CC193="?",NOT(ISNUMBER($AU193))),"CHECK INPUTS",IF(OR($J193&lt;'Technical Premium'!$C$18,LEFT(IFERROR(INDEX('Driver Factors'!$D$6:$D$15,MATCH($R193,'Driver Factors'!$B$6:$B$15,0)),""),7)="DECLINE",LEFT(IFERROR(INDEX('Driver Factors'!$D$28:$D$36,MATCH($T193,'Driver Factors'!$B$28:$B$36,0)),""),7)="DECLINE",LEFT(IFERROR(INDEX('Claims History'!$D$6:$D$15,MATCH($U193,'Claims History'!$B$6:$B$15,0)),""),7)="DECLINE",LEFT(IFERROR(INDEX('Usage and Coverage'!$E$6:$E$20,MATCH($N193,'Usage and Coverage'!$C$6:$C$20,0)),""),7)="DECLINE"),"DECLINE",IF(OR($CD193&gt;2.5,$CD193&gt;='Technical Premium'!$C$17,$J193&gt;='Technical Premium'!$C$16,N($AQ193)&lt;'Technical Premium'!$C$19,N($AQ193)&gt;'Technical Premium'!$C$20,LEFT(IFERROR(INDEX('Driver Factors'!$D$6:$D$15,MATCH($R193,'Driver Factors'!$B$6:$B$15,0)),""),5)="Refer",LEFT(IFERROR(INDEX('Driver Factors'!$D$28:$D$36,MATCH($T193,'Driver Factors'!$B$28:$B$36,0)),""),5)="Refer",LEFT(IFERROR(INDEX('Claims History'!$D$6:$D$15,MATCH($U193,'Claims History'!$B$6:$B$15,0)),""),5)="Refer",LEFT(IFERROR(INDEX('Usage and Coverage'!$E$6:$E$20,MATCH($N193,'Usage and Coverage'!$C$6:$C$20,0)),""),5)="Refer"),"REFER","AUTO-BIND"))))</f>
        <v/>
      </c>
      <c r="CY193" s="106" t="str">
        <f t="shared" si="37"/>
        <v/>
      </c>
      <c r="CZ193" s="97" t="str">
        <f>IF($CY193="","",IF($CY193&lt;'Technical Premium'!$C$19,"BEYOND AUTHORITY",IF($CY193&gt;0.005,"Above technical",IF($CY193&lt;-0.005,"BELOW technical","At technical"))))</f>
        <v/>
      </c>
      <c r="DA193" s="97" t="str">
        <f>IF($A193="","",IF($CX193="AUTO-BIND","",TRIM(IF($J193&lt;'Technical Premium'!$C$18,"Below programme minimum agreed value. ","")&amp;IF(N($AQ193)&lt;'Technical Premium'!$C$19,"DISCOUNT AUTHORITY BREACH. ","")&amp;IF(N($AQ193)&gt;'Technical Premium'!$C$20,"Load authority breach. ","")&amp;IF($J193&gt;='Technical Premium'!$C$16,"Agreed value at or above auto-bind limit. ","")&amp;IF(AND(ISNUMBER($CD193),$CD193&gt;='Technical Premium'!$C$17),"Composite factor at cap. ","")&amp;IF(AND(ISNUMBER($CD193),$CD193&gt;2.5),"Composite factor above 2.50. ","")&amp;IF(LEFT(IFERROR(INDEX('Driver Factors'!$D$6:$D$15,MATCH($R193,'Driver Factors'!$B$6:$B$15,0)),""),7)="DECLINE","DECLINE - driver age. ",IF(LEFT(IFERROR(INDEX('Driver Factors'!$D$6:$D$15,MATCH($R193,'Driver Factors'!$B$6:$B$15,0)),""),5)="Refer","Driver age band. ",""))&amp;IF(LEFT(IFERROR(INDEX('Driver Factors'!$D$28:$D$36,MATCH($T193,'Driver Factors'!$B$28:$B$36,0)),""),7)="DECLINE","DECLINE - MVR. ",IF(LEFT(IFERROR(INDEX('Driver Factors'!$D$28:$D$36,MATCH($T193,'Driver Factors'!$B$28:$B$36,0)),""),5)="Refer","MVR record. ",""))&amp;IF(LEFT(IFERROR(INDEX('Claims History'!$D$6:$D$15,MATCH($U193,'Claims History'!$B$6:$B$15,0)),""),7)="DECLINE","DECLINE - claims. ",IF(LEFT(IFERROR(INDEX('Claims History'!$D$6:$D$15,MATCH($U193,'Claims History'!$B$6:$B$15,0)),""),5)="Refer","Claims history. ",""))&amp;IF(LEFT(IFERROR(INDEX('Usage and Coverage'!$E$6:$E$20,MATCH($N193,'Usage and Coverage'!$C$6:$C$20,0)),""),7)="DECLINE","DECLINE - usage class. ",IF(LEFT(IFERROR(INDEX('Usage and Coverage'!$E$6:$E$20,MATCH($N193,'Usage and Coverage'!$C$6:$C$20,0)),""),5)="Refer","Usage class. ",""))&amp;IF($CX193="CHECK INPUTS","Incomplete inputs. ",""))))</f>
        <v/>
      </c>
      <c r="DB193" s="92"/>
      <c r="DC193" s="92"/>
      <c r="DD193" s="93"/>
      <c r="DE193" s="92"/>
      <c r="DF193" s="92"/>
      <c r="DG193" s="97" t="str">
        <f t="shared" si="38"/>
        <v/>
      </c>
      <c r="DH193" s="97" t="str">
        <f>IF($A193="","",IF(OR($CX193="REFER",$CX193="DECLINE"),COUNTIF($CX$5:$CX193,"REFER")+COUNTIF($CX$5:$CX193,"DECLINE"),""))</f>
        <v/>
      </c>
      <c r="DI193" s="92"/>
    </row>
    <row r="194" spans="1:113" x14ac:dyDescent="0.25">
      <c r="A194" s="92"/>
      <c r="B194" s="92"/>
      <c r="C194" s="93"/>
      <c r="D194" s="93"/>
      <c r="E194" s="94"/>
      <c r="F194" s="92"/>
      <c r="G194" s="92"/>
      <c r="H194" s="92"/>
      <c r="I194" s="92"/>
      <c r="J194" s="95"/>
      <c r="K194" s="92"/>
      <c r="L194" s="92"/>
      <c r="M194" s="92"/>
      <c r="N194" s="92"/>
      <c r="O194" s="92"/>
      <c r="P194" s="92"/>
      <c r="Q194" s="92"/>
      <c r="R194" s="92"/>
      <c r="S194" s="92"/>
      <c r="T194" s="92"/>
      <c r="U194" s="92"/>
      <c r="V194" s="92"/>
      <c r="W194" s="92"/>
      <c r="X194" s="92"/>
      <c r="Y194" s="92"/>
      <c r="Z194" s="92"/>
      <c r="AA194" s="92"/>
      <c r="AB194" s="92"/>
      <c r="AC194" s="92"/>
      <c r="AD194" s="92"/>
      <c r="AE194" s="92"/>
      <c r="AF194" s="92"/>
      <c r="AG194" s="92"/>
      <c r="AH194" s="92"/>
      <c r="AI194" s="92"/>
      <c r="AJ194" s="92"/>
      <c r="AK194" s="92"/>
      <c r="AL194" s="92"/>
      <c r="AM194" s="92"/>
      <c r="AN194" s="92"/>
      <c r="AO194" s="92"/>
      <c r="AP194" s="92"/>
      <c r="AQ194" s="96"/>
      <c r="AR194" s="97" t="str">
        <f t="shared" si="26"/>
        <v/>
      </c>
      <c r="AS194" s="97" t="str">
        <f>IF($A194="","",IF($AP194&lt;&gt;"",$AP194,IFERROR(INDEX('Cat Zone by ZIP'!$D$6:$D$856,MATCH($AR194,'Cat Zone by ZIP'!$B$6:$B$856,0)),IFERROR(INDEX('Cat Zone by ZIP'!$C$860:$C$910,MATCH($K194,'Cat Zone by ZIP'!$B$860:$B$910,0)),"NOT FOUND"))))</f>
        <v/>
      </c>
      <c r="AT194" s="97" t="str">
        <f>IF($A194="","",IF($AP194&lt;&gt;"","Override",IF(ISNUMBER(MATCH($AR194,'Cat Zone by ZIP'!$B$6:$B$856,0)),"ZIP-3","State default")))</f>
        <v/>
      </c>
      <c r="AU194" s="98" t="str">
        <f>IF($A194="","",IFERROR(INDEX('Natural Catastrophe'!$D$6:$D$17,MATCH($AS194,'Natural Catastrophe'!$B$6:$B$17,0)),"?"))</f>
        <v/>
      </c>
      <c r="AV194" s="98" t="str">
        <f>IF($A194="","",IFERROR(INDEX('Natural Catastrophe'!$C$21:$C$26,MATCH($AA194,'Natural Catastrophe'!$B$21:$B$26,0)),"?"))</f>
        <v/>
      </c>
      <c r="AW194" s="97" t="str">
        <f>IF($A194="","",IFERROR(INDEX('Base Rates'!$C$4:$I$4,MATCH(MAX($J194,'Technical Premium'!$C$18),'Base Rates'!$C$3:$I$3,1)),"?"))</f>
        <v/>
      </c>
      <c r="AX194" s="99" t="str">
        <f>IF($A194="","",IFERROR(INDEX('Base Rates'!$C$5:$I$16,MATCH($I194,'Base Rates'!$B$5:$B$16,0),MATCH(MAX($J194,'Technical Premium'!$C$18),'Base Rates'!$C$3:$I$3,1)),"?"))</f>
        <v/>
      </c>
      <c r="AY194" s="100" t="str">
        <f t="shared" si="27"/>
        <v/>
      </c>
      <c r="AZ194" s="97" t="str">
        <f>IF($A194="","",IFERROR(INDEX('Make Factors'!$G$5:$G$69,MATCH($F194,'Make Factors'!$B$5:$B$69,0)),"?"))</f>
        <v/>
      </c>
      <c r="BA194" s="97" t="str">
        <f>IF($A194="","",IFERROR(INDEX('Driver Factors'!$C$6:$C$15,MATCH($R194,'Driver Factors'!$B$6:$B$15,0)),"?"))</f>
        <v/>
      </c>
      <c r="BB194" s="97" t="str">
        <f>IF($A194="","",IFERROR(INDEX('Driver Factors'!$C$19:$C$24,MATCH($S194,'Driver Factors'!$B$19:$B$24,0)),"?"))</f>
        <v/>
      </c>
      <c r="BC194" s="97" t="str">
        <f>IF($A194="","",IFERROR(INDEX('Driver Factors'!$C$28:$C$36,MATCH($T194,'Driver Factors'!$B$28:$B$36,0)),"?"))</f>
        <v/>
      </c>
      <c r="BD194" s="97" t="str">
        <f>IF($A194="","",IFERROR(INDEX('Claims History'!$C$6:$C$15,MATCH($U194,'Claims History'!$B$6:$B$15,0)),"?"))</f>
        <v/>
      </c>
      <c r="BE194" s="97" t="str">
        <f>IF($A194="","",IFERROR(INDEX('Territory Factors'!$E$6:$E$56,MATCH($K194,'Territory Factors'!$B$6:$B$56,0)),"?"))</f>
        <v/>
      </c>
      <c r="BF194" s="97" t="str">
        <f>IF($A194="","",IFERROR(INDEX('City Accident Ratings'!$G$6:$G$54,MATCH($Z194,'City Accident Ratings'!$B$6:$B$54,0)),"?"))</f>
        <v/>
      </c>
      <c r="BG194" s="97" t="str">
        <f>IF($A194="","",IFERROR(INDEX('Usage and Coverage'!$D$6:$D$20,MATCH($N194,'Usage and Coverage'!$C$6:$C$20,0)),"?"))</f>
        <v/>
      </c>
      <c r="BH194" s="97" t="str">
        <f>IF($A194="","",IFERROR(INDEX('Usage and Coverage'!$C$24:$C$30,MATCH($O194,'Usage and Coverage'!$B$24:$B$30,0)),"?"))</f>
        <v/>
      </c>
      <c r="BI194" s="97" t="str">
        <f>IF($A194="","",IFERROR(INDEX('Usage and Coverage'!$C$34:$C$40,MATCH($P194,'Usage and Coverage'!$B$34:$B$40,0)),"?"))</f>
        <v/>
      </c>
      <c r="BJ194" s="97" t="str">
        <f>IF($A194="","",IFERROR(INDEX('Usage and Coverage'!$C$44:$C$49,MATCH($Q194,'Usage and Coverage'!$B$44:$B$49,0)),"?"))</f>
        <v/>
      </c>
      <c r="BK194" s="97" t="str">
        <f>IF($A194="","",IFERROR(INDEX(Deductibles!$C$6:$I$15,MATCH($W194,Deductibles!$B$6:$B$15,0),MATCH(MAX($J194,'Technical Premium'!$C$18),'Base Rates'!$C$3:$I$3,1)),"?"))</f>
        <v/>
      </c>
      <c r="BL194" s="97" t="str">
        <f>IF($A194="","",IFERROR(INDEX('Usage and Coverage'!$C$63:$C$66,MATCH($X194,'Usage and Coverage'!$B$63:$B$66,0)),"?"))</f>
        <v/>
      </c>
      <c r="BM194" s="97" t="str">
        <f>IF($A194="","",IFERROR(INDEX('Usage and Coverage'!$C$70:$C$75,MATCH($V194,'Usage and Coverage'!$B$70:$B$75,0)),"?"))</f>
        <v/>
      </c>
      <c r="BN194" s="97" t="str">
        <f>IF($A194="","",IF($AB194="",1,IFERROR(INDEX(Deductibles!$C$48:$C$51,MATCH($AB194,Deductibles!$B$48:$B$51,0)),"?")))</f>
        <v/>
      </c>
      <c r="BO194" s="97" t="str">
        <f>IF($A194="","",IF($AC194="",1,IFERROR(INDEX(Deductibles!$C$55:$C$57,MATCH($AC194,Deductibles!$B$55:$B$57,0)),"?")))</f>
        <v/>
      </c>
      <c r="BP194" s="97" t="str">
        <f>IF($A194="","",IF($AD194="",1,IFERROR(INDEX(Deductibles!$C$61:$C$63,MATCH($AD194,Deductibles!$B$61:$B$63,0)),"?")))</f>
        <v/>
      </c>
      <c r="BQ194" s="97" t="str">
        <f>IF($A194="","",IF($AE194="",1,IFERROR(INDEX(Deductibles!$C$67:$C$69,MATCH($AE194,Deductibles!$B$67:$B$69,0)),"?")))</f>
        <v/>
      </c>
      <c r="BR194" s="97" t="str">
        <f>IF($A194="","",IF($AF194="",1,IFERROR(INDEX(Deductibles!$C$73:$C$74,MATCH($AF194,Deductibles!$B$73:$B$74,0)),"?")))</f>
        <v/>
      </c>
      <c r="BS194" s="97" t="str">
        <f>IF($A194="","",IF($AG194="",1,IFERROR(INDEX('Sublimits and Parts'!$C$49:$C$52,MATCH($AG194,'Sublimits and Parts'!$B$49:$B$52,0)),"?")))</f>
        <v/>
      </c>
      <c r="BT194" s="97" t="str">
        <f>IF($A194="","",IF($AH194="",1,IFERROR(INDEX('Sublimits and Parts'!$C$56:$C$60,MATCH($AH194,'Sublimits and Parts'!$B$56:$B$60,0)),"?")))</f>
        <v/>
      </c>
      <c r="BU194" s="97" t="str">
        <f>IF($A194="","",IF($AI194="",1,IFERROR(INDEX('Sublimits and Parts'!$C$64:$C$67,MATCH($AI194,'Sublimits and Parts'!$B$64:$B$67,0)),"?")))</f>
        <v/>
      </c>
      <c r="BV194" s="97" t="str">
        <f>IF($A194="","",IF($AJ194="",1,IFERROR(INDEX('Sublimits and Parts'!$C$71:$C$74,MATCH($AJ194,'Sublimits and Parts'!$B$71:$B$74,0)),"?")))</f>
        <v/>
      </c>
      <c r="BW194" s="97" t="str">
        <f>IF($A194="","",IF($AK194="",1,IFERROR(INDEX('Sublimits and Parts'!$C$78:$C$80,MATCH($AK194,'Sublimits and Parts'!$B$78:$B$80,0)),"?")))</f>
        <v/>
      </c>
      <c r="BX194" s="97" t="str">
        <f>IF($A194="","",IF($AL194="",1,IFERROR(INDEX('Sublimits and Parts'!$C$84:$C$87,MATCH($AL194,'Sublimits and Parts'!$B$84:$B$87,0)),"?")))</f>
        <v/>
      </c>
      <c r="BY194" s="97" t="str">
        <f>IF($A194="","",IF($AM194="",1,IFERROR(INDEX('Sublimits and Parts'!$C$91:$C$94,MATCH($AM194,'Sublimits and Parts'!$B$91:$B$94,0)),"?")))</f>
        <v/>
      </c>
      <c r="BZ194" s="97" t="str">
        <f>IF($A194="","",IF($AN194="",1,IFERROR(INDEX('Sublimits and Parts'!$C$98:$C$101,MATCH($AN194,'Sublimits and Parts'!$B$98:$B$101,0)),"?")))</f>
        <v/>
      </c>
      <c r="CA194" s="97" t="str">
        <f>IF($A194="","",IF($AO194="",1,IFERROR(INDEX('Sublimits and Parts'!$C$105:$C$109,MATCH($AO194,'Sublimits and Parts'!$B$105:$B$109,0)),"?")))</f>
        <v/>
      </c>
      <c r="CB194" s="98" t="str">
        <f t="shared" si="28"/>
        <v/>
      </c>
      <c r="CC194" s="98" t="str">
        <f t="shared" si="29"/>
        <v/>
      </c>
      <c r="CD194" s="101" t="str">
        <f>IF($A194="","",IF(OR($CB194="?",$CC194="?"),"?",MIN($CB194*$CC194,'Technical Premium'!$C$17)))</f>
        <v/>
      </c>
      <c r="CE194" s="100" t="str">
        <f t="shared" si="30"/>
        <v/>
      </c>
      <c r="CF194" s="100" t="str">
        <f>IF($A194="","",IFERROR(INDEX('Territory Factors'!$F$6:$F$56,MATCH($K194,'Territory Factors'!$B$6:$B$56,0)),"?"))</f>
        <v/>
      </c>
      <c r="CG194" s="98" t="str">
        <f>IF($A194="","",IFERROR(INDEX('Usage and Coverage'!$C$79:$C$84,MATCH($Y194,'Usage and Coverage'!$B$79:$B$84,0)),"?"))</f>
        <v/>
      </c>
      <c r="CH194" s="100" t="str">
        <f>IFERROR(IF(ISNUMBER($CD194),$CF194*$CG194*MIN($BG194*$BA194*$BC194*$BD194*$BH194*$BF194,'Technical Premium'!$C$17),""),"")</f>
        <v/>
      </c>
      <c r="CI194" s="100" t="str">
        <f t="shared" si="31"/>
        <v/>
      </c>
      <c r="CJ194" s="100" t="str">
        <f>IFERROR($CI194*(1+'Technical Premium'!$C$5)*(1+'Technical Premium'!$C$6),"")</f>
        <v/>
      </c>
      <c r="CK194" s="100" t="str">
        <f>IFERROR($CE194*INDEX('Territory Factors'!$G$6:$G$56,MATCH($K194,'Territory Factors'!$B$6:$B$56,0))*$AU194*$AV194,"")</f>
        <v/>
      </c>
      <c r="CL194" s="100" t="str">
        <f>IFERROR(($CJ194+$CK194)*(1+'Technical Premium'!$C$7),"")</f>
        <v/>
      </c>
      <c r="CM194" s="102" t="str">
        <f>IFERROR($CL194/'Technical Premium'!$C$13,"")</f>
        <v/>
      </c>
      <c r="CN194" s="103" t="str">
        <f t="shared" si="32"/>
        <v/>
      </c>
      <c r="CO194" s="102" t="str">
        <f t="shared" si="33"/>
        <v/>
      </c>
      <c r="CP194" s="103" t="str">
        <f t="shared" si="34"/>
        <v/>
      </c>
      <c r="CQ194" s="104" t="str">
        <f t="shared" si="35"/>
        <v/>
      </c>
      <c r="CR194" s="100" t="str">
        <f>IF(ISNUMBER($CM194),'Technical Premium'!$C$14+IF($J194&gt;=1000000,'Technical Premium'!$C$15,0),"")</f>
        <v/>
      </c>
      <c r="CS194" s="100" t="str">
        <f>IFERROR(($CO194+$CR194)*(INDEX('Territory Factors'!$K$6:$K$56,MATCH($K194,'Territory Factors'!$B$6:$B$56,0))+'Commission Structure'!$C$21),"")</f>
        <v/>
      </c>
      <c r="CT194" s="102" t="str">
        <f t="shared" si="36"/>
        <v/>
      </c>
      <c r="CU194" s="100" t="str">
        <f>IFERROR($CO194*('Commission Structure'!$C$6+'Commission Structure'!$C$7),"")</f>
        <v/>
      </c>
      <c r="CV194" s="100" t="str">
        <f>IFERROR($CO194*'Commission Structure'!$C$5-$CU194,"")</f>
        <v/>
      </c>
      <c r="CW194" s="100" t="str">
        <f>IFERROR($CO194*(1-'Commission Structure'!$C$5),"")</f>
        <v/>
      </c>
      <c r="CX194" s="105" t="str">
        <f>IF($A194="","",IF(OR($CB194="?",$CC194="?",NOT(ISNUMBER($AU194))),"CHECK INPUTS",IF(OR($J194&lt;'Technical Premium'!$C$18,LEFT(IFERROR(INDEX('Driver Factors'!$D$6:$D$15,MATCH($R194,'Driver Factors'!$B$6:$B$15,0)),""),7)="DECLINE",LEFT(IFERROR(INDEX('Driver Factors'!$D$28:$D$36,MATCH($T194,'Driver Factors'!$B$28:$B$36,0)),""),7)="DECLINE",LEFT(IFERROR(INDEX('Claims History'!$D$6:$D$15,MATCH($U194,'Claims History'!$B$6:$B$15,0)),""),7)="DECLINE",LEFT(IFERROR(INDEX('Usage and Coverage'!$E$6:$E$20,MATCH($N194,'Usage and Coverage'!$C$6:$C$20,0)),""),7)="DECLINE"),"DECLINE",IF(OR($CD194&gt;2.5,$CD194&gt;='Technical Premium'!$C$17,$J194&gt;='Technical Premium'!$C$16,N($AQ194)&lt;'Technical Premium'!$C$19,N($AQ194)&gt;'Technical Premium'!$C$20,LEFT(IFERROR(INDEX('Driver Factors'!$D$6:$D$15,MATCH($R194,'Driver Factors'!$B$6:$B$15,0)),""),5)="Refer",LEFT(IFERROR(INDEX('Driver Factors'!$D$28:$D$36,MATCH($T194,'Driver Factors'!$B$28:$B$36,0)),""),5)="Refer",LEFT(IFERROR(INDEX('Claims History'!$D$6:$D$15,MATCH($U194,'Claims History'!$B$6:$B$15,0)),""),5)="Refer",LEFT(IFERROR(INDEX('Usage and Coverage'!$E$6:$E$20,MATCH($N194,'Usage and Coverage'!$C$6:$C$20,0)),""),5)="Refer"),"REFER","AUTO-BIND"))))</f>
        <v/>
      </c>
      <c r="CY194" s="106" t="str">
        <f t="shared" si="37"/>
        <v/>
      </c>
      <c r="CZ194" s="97" t="str">
        <f>IF($CY194="","",IF($CY194&lt;'Technical Premium'!$C$19,"BEYOND AUTHORITY",IF($CY194&gt;0.005,"Above technical",IF($CY194&lt;-0.005,"BELOW technical","At technical"))))</f>
        <v/>
      </c>
      <c r="DA194" s="97" t="str">
        <f>IF($A194="","",IF($CX194="AUTO-BIND","",TRIM(IF($J194&lt;'Technical Premium'!$C$18,"Below programme minimum agreed value. ","")&amp;IF(N($AQ194)&lt;'Technical Premium'!$C$19,"DISCOUNT AUTHORITY BREACH. ","")&amp;IF(N($AQ194)&gt;'Technical Premium'!$C$20,"Load authority breach. ","")&amp;IF($J194&gt;='Technical Premium'!$C$16,"Agreed value at or above auto-bind limit. ","")&amp;IF(AND(ISNUMBER($CD194),$CD194&gt;='Technical Premium'!$C$17),"Composite factor at cap. ","")&amp;IF(AND(ISNUMBER($CD194),$CD194&gt;2.5),"Composite factor above 2.50. ","")&amp;IF(LEFT(IFERROR(INDEX('Driver Factors'!$D$6:$D$15,MATCH($R194,'Driver Factors'!$B$6:$B$15,0)),""),7)="DECLINE","DECLINE - driver age. ",IF(LEFT(IFERROR(INDEX('Driver Factors'!$D$6:$D$15,MATCH($R194,'Driver Factors'!$B$6:$B$15,0)),""),5)="Refer","Driver age band. ",""))&amp;IF(LEFT(IFERROR(INDEX('Driver Factors'!$D$28:$D$36,MATCH($T194,'Driver Factors'!$B$28:$B$36,0)),""),7)="DECLINE","DECLINE - MVR. ",IF(LEFT(IFERROR(INDEX('Driver Factors'!$D$28:$D$36,MATCH($T194,'Driver Factors'!$B$28:$B$36,0)),""),5)="Refer","MVR record. ",""))&amp;IF(LEFT(IFERROR(INDEX('Claims History'!$D$6:$D$15,MATCH($U194,'Claims History'!$B$6:$B$15,0)),""),7)="DECLINE","DECLINE - claims. ",IF(LEFT(IFERROR(INDEX('Claims History'!$D$6:$D$15,MATCH($U194,'Claims History'!$B$6:$B$15,0)),""),5)="Refer","Claims history. ",""))&amp;IF(LEFT(IFERROR(INDEX('Usage and Coverage'!$E$6:$E$20,MATCH($N194,'Usage and Coverage'!$C$6:$C$20,0)),""),7)="DECLINE","DECLINE - usage class. ",IF(LEFT(IFERROR(INDEX('Usage and Coverage'!$E$6:$E$20,MATCH($N194,'Usage and Coverage'!$C$6:$C$20,0)),""),5)="Refer","Usage class. ",""))&amp;IF($CX194="CHECK INPUTS","Incomplete inputs. ",""))))</f>
        <v/>
      </c>
      <c r="DB194" s="92"/>
      <c r="DC194" s="92"/>
      <c r="DD194" s="93"/>
      <c r="DE194" s="92"/>
      <c r="DF194" s="92"/>
      <c r="DG194" s="97" t="str">
        <f t="shared" si="38"/>
        <v/>
      </c>
      <c r="DH194" s="97" t="str">
        <f>IF($A194="","",IF(OR($CX194="REFER",$CX194="DECLINE"),COUNTIF($CX$5:$CX194,"REFER")+COUNTIF($CX$5:$CX194,"DECLINE"),""))</f>
        <v/>
      </c>
      <c r="DI194" s="92"/>
    </row>
    <row r="195" spans="1:113" x14ac:dyDescent="0.25">
      <c r="A195" s="92"/>
      <c r="B195" s="92"/>
      <c r="C195" s="93"/>
      <c r="D195" s="93"/>
      <c r="E195" s="94"/>
      <c r="F195" s="92"/>
      <c r="G195" s="92"/>
      <c r="H195" s="92"/>
      <c r="I195" s="92"/>
      <c r="J195" s="95"/>
      <c r="K195" s="92"/>
      <c r="L195" s="92"/>
      <c r="M195" s="92"/>
      <c r="N195" s="92"/>
      <c r="O195" s="92"/>
      <c r="P195" s="92"/>
      <c r="Q195" s="92"/>
      <c r="R195" s="92"/>
      <c r="S195" s="92"/>
      <c r="T195" s="92"/>
      <c r="U195" s="92"/>
      <c r="V195" s="92"/>
      <c r="W195" s="92"/>
      <c r="X195" s="92"/>
      <c r="Y195" s="92"/>
      <c r="Z195" s="92"/>
      <c r="AA195" s="92"/>
      <c r="AB195" s="92"/>
      <c r="AC195" s="92"/>
      <c r="AD195" s="92"/>
      <c r="AE195" s="92"/>
      <c r="AF195" s="92"/>
      <c r="AG195" s="92"/>
      <c r="AH195" s="92"/>
      <c r="AI195" s="92"/>
      <c r="AJ195" s="92"/>
      <c r="AK195" s="92"/>
      <c r="AL195" s="92"/>
      <c r="AM195" s="92"/>
      <c r="AN195" s="92"/>
      <c r="AO195" s="92"/>
      <c r="AP195" s="92"/>
      <c r="AQ195" s="96"/>
      <c r="AR195" s="97" t="str">
        <f t="shared" si="26"/>
        <v/>
      </c>
      <c r="AS195" s="97" t="str">
        <f>IF($A195="","",IF($AP195&lt;&gt;"",$AP195,IFERROR(INDEX('Cat Zone by ZIP'!$D$6:$D$856,MATCH($AR195,'Cat Zone by ZIP'!$B$6:$B$856,0)),IFERROR(INDEX('Cat Zone by ZIP'!$C$860:$C$910,MATCH($K195,'Cat Zone by ZIP'!$B$860:$B$910,0)),"NOT FOUND"))))</f>
        <v/>
      </c>
      <c r="AT195" s="97" t="str">
        <f>IF($A195="","",IF($AP195&lt;&gt;"","Override",IF(ISNUMBER(MATCH($AR195,'Cat Zone by ZIP'!$B$6:$B$856,0)),"ZIP-3","State default")))</f>
        <v/>
      </c>
      <c r="AU195" s="98" t="str">
        <f>IF($A195="","",IFERROR(INDEX('Natural Catastrophe'!$D$6:$D$17,MATCH($AS195,'Natural Catastrophe'!$B$6:$B$17,0)),"?"))</f>
        <v/>
      </c>
      <c r="AV195" s="98" t="str">
        <f>IF($A195="","",IFERROR(INDEX('Natural Catastrophe'!$C$21:$C$26,MATCH($AA195,'Natural Catastrophe'!$B$21:$B$26,0)),"?"))</f>
        <v/>
      </c>
      <c r="AW195" s="97" t="str">
        <f>IF($A195="","",IFERROR(INDEX('Base Rates'!$C$4:$I$4,MATCH(MAX($J195,'Technical Premium'!$C$18),'Base Rates'!$C$3:$I$3,1)),"?"))</f>
        <v/>
      </c>
      <c r="AX195" s="99" t="str">
        <f>IF($A195="","",IFERROR(INDEX('Base Rates'!$C$5:$I$16,MATCH($I195,'Base Rates'!$B$5:$B$16,0),MATCH(MAX($J195,'Technical Premium'!$C$18),'Base Rates'!$C$3:$I$3,1)),"?"))</f>
        <v/>
      </c>
      <c r="AY195" s="100" t="str">
        <f t="shared" si="27"/>
        <v/>
      </c>
      <c r="AZ195" s="97" t="str">
        <f>IF($A195="","",IFERROR(INDEX('Make Factors'!$G$5:$G$69,MATCH($F195,'Make Factors'!$B$5:$B$69,0)),"?"))</f>
        <v/>
      </c>
      <c r="BA195" s="97" t="str">
        <f>IF($A195="","",IFERROR(INDEX('Driver Factors'!$C$6:$C$15,MATCH($R195,'Driver Factors'!$B$6:$B$15,0)),"?"))</f>
        <v/>
      </c>
      <c r="BB195" s="97" t="str">
        <f>IF($A195="","",IFERROR(INDEX('Driver Factors'!$C$19:$C$24,MATCH($S195,'Driver Factors'!$B$19:$B$24,0)),"?"))</f>
        <v/>
      </c>
      <c r="BC195" s="97" t="str">
        <f>IF($A195="","",IFERROR(INDEX('Driver Factors'!$C$28:$C$36,MATCH($T195,'Driver Factors'!$B$28:$B$36,0)),"?"))</f>
        <v/>
      </c>
      <c r="BD195" s="97" t="str">
        <f>IF($A195="","",IFERROR(INDEX('Claims History'!$C$6:$C$15,MATCH($U195,'Claims History'!$B$6:$B$15,0)),"?"))</f>
        <v/>
      </c>
      <c r="BE195" s="97" t="str">
        <f>IF($A195="","",IFERROR(INDEX('Territory Factors'!$E$6:$E$56,MATCH($K195,'Territory Factors'!$B$6:$B$56,0)),"?"))</f>
        <v/>
      </c>
      <c r="BF195" s="97" t="str">
        <f>IF($A195="","",IFERROR(INDEX('City Accident Ratings'!$G$6:$G$54,MATCH($Z195,'City Accident Ratings'!$B$6:$B$54,0)),"?"))</f>
        <v/>
      </c>
      <c r="BG195" s="97" t="str">
        <f>IF($A195="","",IFERROR(INDEX('Usage and Coverage'!$D$6:$D$20,MATCH($N195,'Usage and Coverage'!$C$6:$C$20,0)),"?"))</f>
        <v/>
      </c>
      <c r="BH195" s="97" t="str">
        <f>IF($A195="","",IFERROR(INDEX('Usage and Coverage'!$C$24:$C$30,MATCH($O195,'Usage and Coverage'!$B$24:$B$30,0)),"?"))</f>
        <v/>
      </c>
      <c r="BI195" s="97" t="str">
        <f>IF($A195="","",IFERROR(INDEX('Usage and Coverage'!$C$34:$C$40,MATCH($P195,'Usage and Coverage'!$B$34:$B$40,0)),"?"))</f>
        <v/>
      </c>
      <c r="BJ195" s="97" t="str">
        <f>IF($A195="","",IFERROR(INDEX('Usage and Coverage'!$C$44:$C$49,MATCH($Q195,'Usage and Coverage'!$B$44:$B$49,0)),"?"))</f>
        <v/>
      </c>
      <c r="BK195" s="97" t="str">
        <f>IF($A195="","",IFERROR(INDEX(Deductibles!$C$6:$I$15,MATCH($W195,Deductibles!$B$6:$B$15,0),MATCH(MAX($J195,'Technical Premium'!$C$18),'Base Rates'!$C$3:$I$3,1)),"?"))</f>
        <v/>
      </c>
      <c r="BL195" s="97" t="str">
        <f>IF($A195="","",IFERROR(INDEX('Usage and Coverage'!$C$63:$C$66,MATCH($X195,'Usage and Coverage'!$B$63:$B$66,0)),"?"))</f>
        <v/>
      </c>
      <c r="BM195" s="97" t="str">
        <f>IF($A195="","",IFERROR(INDEX('Usage and Coverage'!$C$70:$C$75,MATCH($V195,'Usage and Coverage'!$B$70:$B$75,0)),"?"))</f>
        <v/>
      </c>
      <c r="BN195" s="97" t="str">
        <f>IF($A195="","",IF($AB195="",1,IFERROR(INDEX(Deductibles!$C$48:$C$51,MATCH($AB195,Deductibles!$B$48:$B$51,0)),"?")))</f>
        <v/>
      </c>
      <c r="BO195" s="97" t="str">
        <f>IF($A195="","",IF($AC195="",1,IFERROR(INDEX(Deductibles!$C$55:$C$57,MATCH($AC195,Deductibles!$B$55:$B$57,0)),"?")))</f>
        <v/>
      </c>
      <c r="BP195" s="97" t="str">
        <f>IF($A195="","",IF($AD195="",1,IFERROR(INDEX(Deductibles!$C$61:$C$63,MATCH($AD195,Deductibles!$B$61:$B$63,0)),"?")))</f>
        <v/>
      </c>
      <c r="BQ195" s="97" t="str">
        <f>IF($A195="","",IF($AE195="",1,IFERROR(INDEX(Deductibles!$C$67:$C$69,MATCH($AE195,Deductibles!$B$67:$B$69,0)),"?")))</f>
        <v/>
      </c>
      <c r="BR195" s="97" t="str">
        <f>IF($A195="","",IF($AF195="",1,IFERROR(INDEX(Deductibles!$C$73:$C$74,MATCH($AF195,Deductibles!$B$73:$B$74,0)),"?")))</f>
        <v/>
      </c>
      <c r="BS195" s="97" t="str">
        <f>IF($A195="","",IF($AG195="",1,IFERROR(INDEX('Sublimits and Parts'!$C$49:$C$52,MATCH($AG195,'Sublimits and Parts'!$B$49:$B$52,0)),"?")))</f>
        <v/>
      </c>
      <c r="BT195" s="97" t="str">
        <f>IF($A195="","",IF($AH195="",1,IFERROR(INDEX('Sublimits and Parts'!$C$56:$C$60,MATCH($AH195,'Sublimits and Parts'!$B$56:$B$60,0)),"?")))</f>
        <v/>
      </c>
      <c r="BU195" s="97" t="str">
        <f>IF($A195="","",IF($AI195="",1,IFERROR(INDEX('Sublimits and Parts'!$C$64:$C$67,MATCH($AI195,'Sublimits and Parts'!$B$64:$B$67,0)),"?")))</f>
        <v/>
      </c>
      <c r="BV195" s="97" t="str">
        <f>IF($A195="","",IF($AJ195="",1,IFERROR(INDEX('Sublimits and Parts'!$C$71:$C$74,MATCH($AJ195,'Sublimits and Parts'!$B$71:$B$74,0)),"?")))</f>
        <v/>
      </c>
      <c r="BW195" s="97" t="str">
        <f>IF($A195="","",IF($AK195="",1,IFERROR(INDEX('Sublimits and Parts'!$C$78:$C$80,MATCH($AK195,'Sublimits and Parts'!$B$78:$B$80,0)),"?")))</f>
        <v/>
      </c>
      <c r="BX195" s="97" t="str">
        <f>IF($A195="","",IF($AL195="",1,IFERROR(INDEX('Sublimits and Parts'!$C$84:$C$87,MATCH($AL195,'Sublimits and Parts'!$B$84:$B$87,0)),"?")))</f>
        <v/>
      </c>
      <c r="BY195" s="97" t="str">
        <f>IF($A195="","",IF($AM195="",1,IFERROR(INDEX('Sublimits and Parts'!$C$91:$C$94,MATCH($AM195,'Sublimits and Parts'!$B$91:$B$94,0)),"?")))</f>
        <v/>
      </c>
      <c r="BZ195" s="97" t="str">
        <f>IF($A195="","",IF($AN195="",1,IFERROR(INDEX('Sublimits and Parts'!$C$98:$C$101,MATCH($AN195,'Sublimits and Parts'!$B$98:$B$101,0)),"?")))</f>
        <v/>
      </c>
      <c r="CA195" s="97" t="str">
        <f>IF($A195="","",IF($AO195="",1,IFERROR(INDEX('Sublimits and Parts'!$C$105:$C$109,MATCH($AO195,'Sublimits and Parts'!$B$105:$B$109,0)),"?")))</f>
        <v/>
      </c>
      <c r="CB195" s="98" t="str">
        <f t="shared" si="28"/>
        <v/>
      </c>
      <c r="CC195" s="98" t="str">
        <f t="shared" si="29"/>
        <v/>
      </c>
      <c r="CD195" s="101" t="str">
        <f>IF($A195="","",IF(OR($CB195="?",$CC195="?"),"?",MIN($CB195*$CC195,'Technical Premium'!$C$17)))</f>
        <v/>
      </c>
      <c r="CE195" s="100" t="str">
        <f t="shared" si="30"/>
        <v/>
      </c>
      <c r="CF195" s="100" t="str">
        <f>IF($A195="","",IFERROR(INDEX('Territory Factors'!$F$6:$F$56,MATCH($K195,'Territory Factors'!$B$6:$B$56,0)),"?"))</f>
        <v/>
      </c>
      <c r="CG195" s="98" t="str">
        <f>IF($A195="","",IFERROR(INDEX('Usage and Coverage'!$C$79:$C$84,MATCH($Y195,'Usage and Coverage'!$B$79:$B$84,0)),"?"))</f>
        <v/>
      </c>
      <c r="CH195" s="100" t="str">
        <f>IFERROR(IF(ISNUMBER($CD195),$CF195*$CG195*MIN($BG195*$BA195*$BC195*$BD195*$BH195*$BF195,'Technical Premium'!$C$17),""),"")</f>
        <v/>
      </c>
      <c r="CI195" s="100" t="str">
        <f t="shared" si="31"/>
        <v/>
      </c>
      <c r="CJ195" s="100" t="str">
        <f>IFERROR($CI195*(1+'Technical Premium'!$C$5)*(1+'Technical Premium'!$C$6),"")</f>
        <v/>
      </c>
      <c r="CK195" s="100" t="str">
        <f>IFERROR($CE195*INDEX('Territory Factors'!$G$6:$G$56,MATCH($K195,'Territory Factors'!$B$6:$B$56,0))*$AU195*$AV195,"")</f>
        <v/>
      </c>
      <c r="CL195" s="100" t="str">
        <f>IFERROR(($CJ195+$CK195)*(1+'Technical Premium'!$C$7),"")</f>
        <v/>
      </c>
      <c r="CM195" s="102" t="str">
        <f>IFERROR($CL195/'Technical Premium'!$C$13,"")</f>
        <v/>
      </c>
      <c r="CN195" s="103" t="str">
        <f t="shared" si="32"/>
        <v/>
      </c>
      <c r="CO195" s="102" t="str">
        <f t="shared" si="33"/>
        <v/>
      </c>
      <c r="CP195" s="103" t="str">
        <f t="shared" si="34"/>
        <v/>
      </c>
      <c r="CQ195" s="104" t="str">
        <f t="shared" si="35"/>
        <v/>
      </c>
      <c r="CR195" s="100" t="str">
        <f>IF(ISNUMBER($CM195),'Technical Premium'!$C$14+IF($J195&gt;=1000000,'Technical Premium'!$C$15,0),"")</f>
        <v/>
      </c>
      <c r="CS195" s="100" t="str">
        <f>IFERROR(($CO195+$CR195)*(INDEX('Territory Factors'!$K$6:$K$56,MATCH($K195,'Territory Factors'!$B$6:$B$56,0))+'Commission Structure'!$C$21),"")</f>
        <v/>
      </c>
      <c r="CT195" s="102" t="str">
        <f t="shared" si="36"/>
        <v/>
      </c>
      <c r="CU195" s="100" t="str">
        <f>IFERROR($CO195*('Commission Structure'!$C$6+'Commission Structure'!$C$7),"")</f>
        <v/>
      </c>
      <c r="CV195" s="100" t="str">
        <f>IFERROR($CO195*'Commission Structure'!$C$5-$CU195,"")</f>
        <v/>
      </c>
      <c r="CW195" s="100" t="str">
        <f>IFERROR($CO195*(1-'Commission Structure'!$C$5),"")</f>
        <v/>
      </c>
      <c r="CX195" s="105" t="str">
        <f>IF($A195="","",IF(OR($CB195="?",$CC195="?",NOT(ISNUMBER($AU195))),"CHECK INPUTS",IF(OR($J195&lt;'Technical Premium'!$C$18,LEFT(IFERROR(INDEX('Driver Factors'!$D$6:$D$15,MATCH($R195,'Driver Factors'!$B$6:$B$15,0)),""),7)="DECLINE",LEFT(IFERROR(INDEX('Driver Factors'!$D$28:$D$36,MATCH($T195,'Driver Factors'!$B$28:$B$36,0)),""),7)="DECLINE",LEFT(IFERROR(INDEX('Claims History'!$D$6:$D$15,MATCH($U195,'Claims History'!$B$6:$B$15,0)),""),7)="DECLINE",LEFT(IFERROR(INDEX('Usage and Coverage'!$E$6:$E$20,MATCH($N195,'Usage and Coverage'!$C$6:$C$20,0)),""),7)="DECLINE"),"DECLINE",IF(OR($CD195&gt;2.5,$CD195&gt;='Technical Premium'!$C$17,$J195&gt;='Technical Premium'!$C$16,N($AQ195)&lt;'Technical Premium'!$C$19,N($AQ195)&gt;'Technical Premium'!$C$20,LEFT(IFERROR(INDEX('Driver Factors'!$D$6:$D$15,MATCH($R195,'Driver Factors'!$B$6:$B$15,0)),""),5)="Refer",LEFT(IFERROR(INDEX('Driver Factors'!$D$28:$D$36,MATCH($T195,'Driver Factors'!$B$28:$B$36,0)),""),5)="Refer",LEFT(IFERROR(INDEX('Claims History'!$D$6:$D$15,MATCH($U195,'Claims History'!$B$6:$B$15,0)),""),5)="Refer",LEFT(IFERROR(INDEX('Usage and Coverage'!$E$6:$E$20,MATCH($N195,'Usage and Coverage'!$C$6:$C$20,0)),""),5)="Refer"),"REFER","AUTO-BIND"))))</f>
        <v/>
      </c>
      <c r="CY195" s="106" t="str">
        <f t="shared" si="37"/>
        <v/>
      </c>
      <c r="CZ195" s="97" t="str">
        <f>IF($CY195="","",IF($CY195&lt;'Technical Premium'!$C$19,"BEYOND AUTHORITY",IF($CY195&gt;0.005,"Above technical",IF($CY195&lt;-0.005,"BELOW technical","At technical"))))</f>
        <v/>
      </c>
      <c r="DA195" s="97" t="str">
        <f>IF($A195="","",IF($CX195="AUTO-BIND","",TRIM(IF($J195&lt;'Technical Premium'!$C$18,"Below programme minimum agreed value. ","")&amp;IF(N($AQ195)&lt;'Technical Premium'!$C$19,"DISCOUNT AUTHORITY BREACH. ","")&amp;IF(N($AQ195)&gt;'Technical Premium'!$C$20,"Load authority breach. ","")&amp;IF($J195&gt;='Technical Premium'!$C$16,"Agreed value at or above auto-bind limit. ","")&amp;IF(AND(ISNUMBER($CD195),$CD195&gt;='Technical Premium'!$C$17),"Composite factor at cap. ","")&amp;IF(AND(ISNUMBER($CD195),$CD195&gt;2.5),"Composite factor above 2.50. ","")&amp;IF(LEFT(IFERROR(INDEX('Driver Factors'!$D$6:$D$15,MATCH($R195,'Driver Factors'!$B$6:$B$15,0)),""),7)="DECLINE","DECLINE - driver age. ",IF(LEFT(IFERROR(INDEX('Driver Factors'!$D$6:$D$15,MATCH($R195,'Driver Factors'!$B$6:$B$15,0)),""),5)="Refer","Driver age band. ",""))&amp;IF(LEFT(IFERROR(INDEX('Driver Factors'!$D$28:$D$36,MATCH($T195,'Driver Factors'!$B$28:$B$36,0)),""),7)="DECLINE","DECLINE - MVR. ",IF(LEFT(IFERROR(INDEX('Driver Factors'!$D$28:$D$36,MATCH($T195,'Driver Factors'!$B$28:$B$36,0)),""),5)="Refer","MVR record. ",""))&amp;IF(LEFT(IFERROR(INDEX('Claims History'!$D$6:$D$15,MATCH($U195,'Claims History'!$B$6:$B$15,0)),""),7)="DECLINE","DECLINE - claims. ",IF(LEFT(IFERROR(INDEX('Claims History'!$D$6:$D$15,MATCH($U195,'Claims History'!$B$6:$B$15,0)),""),5)="Refer","Claims history. ",""))&amp;IF(LEFT(IFERROR(INDEX('Usage and Coverage'!$E$6:$E$20,MATCH($N195,'Usage and Coverage'!$C$6:$C$20,0)),""),7)="DECLINE","DECLINE - usage class. ",IF(LEFT(IFERROR(INDEX('Usage and Coverage'!$E$6:$E$20,MATCH($N195,'Usage and Coverage'!$C$6:$C$20,0)),""),5)="Refer","Usage class. ",""))&amp;IF($CX195="CHECK INPUTS","Incomplete inputs. ",""))))</f>
        <v/>
      </c>
      <c r="DB195" s="92"/>
      <c r="DC195" s="92"/>
      <c r="DD195" s="93"/>
      <c r="DE195" s="92"/>
      <c r="DF195" s="92"/>
      <c r="DG195" s="97" t="str">
        <f t="shared" si="38"/>
        <v/>
      </c>
      <c r="DH195" s="97" t="str">
        <f>IF($A195="","",IF(OR($CX195="REFER",$CX195="DECLINE"),COUNTIF($CX$5:$CX195,"REFER")+COUNTIF($CX$5:$CX195,"DECLINE"),""))</f>
        <v/>
      </c>
      <c r="DI195" s="92"/>
    </row>
    <row r="196" spans="1:113" x14ac:dyDescent="0.25">
      <c r="A196" s="92"/>
      <c r="B196" s="92"/>
      <c r="C196" s="93"/>
      <c r="D196" s="93"/>
      <c r="E196" s="94"/>
      <c r="F196" s="92"/>
      <c r="G196" s="92"/>
      <c r="H196" s="92"/>
      <c r="I196" s="92"/>
      <c r="J196" s="95"/>
      <c r="K196" s="92"/>
      <c r="L196" s="92"/>
      <c r="M196" s="92"/>
      <c r="N196" s="92"/>
      <c r="O196" s="92"/>
      <c r="P196" s="92"/>
      <c r="Q196" s="92"/>
      <c r="R196" s="92"/>
      <c r="S196" s="92"/>
      <c r="T196" s="92"/>
      <c r="U196" s="92"/>
      <c r="V196" s="92"/>
      <c r="W196" s="92"/>
      <c r="X196" s="92"/>
      <c r="Y196" s="92"/>
      <c r="Z196" s="92"/>
      <c r="AA196" s="92"/>
      <c r="AB196" s="92"/>
      <c r="AC196" s="92"/>
      <c r="AD196" s="92"/>
      <c r="AE196" s="92"/>
      <c r="AF196" s="92"/>
      <c r="AG196" s="92"/>
      <c r="AH196" s="92"/>
      <c r="AI196" s="92"/>
      <c r="AJ196" s="92"/>
      <c r="AK196" s="92"/>
      <c r="AL196" s="92"/>
      <c r="AM196" s="92"/>
      <c r="AN196" s="92"/>
      <c r="AO196" s="92"/>
      <c r="AP196" s="92"/>
      <c r="AQ196" s="96"/>
      <c r="AR196" s="97" t="str">
        <f t="shared" si="26"/>
        <v/>
      </c>
      <c r="AS196" s="97" t="str">
        <f>IF($A196="","",IF($AP196&lt;&gt;"",$AP196,IFERROR(INDEX('Cat Zone by ZIP'!$D$6:$D$856,MATCH($AR196,'Cat Zone by ZIP'!$B$6:$B$856,0)),IFERROR(INDEX('Cat Zone by ZIP'!$C$860:$C$910,MATCH($K196,'Cat Zone by ZIP'!$B$860:$B$910,0)),"NOT FOUND"))))</f>
        <v/>
      </c>
      <c r="AT196" s="97" t="str">
        <f>IF($A196="","",IF($AP196&lt;&gt;"","Override",IF(ISNUMBER(MATCH($AR196,'Cat Zone by ZIP'!$B$6:$B$856,0)),"ZIP-3","State default")))</f>
        <v/>
      </c>
      <c r="AU196" s="98" t="str">
        <f>IF($A196="","",IFERROR(INDEX('Natural Catastrophe'!$D$6:$D$17,MATCH($AS196,'Natural Catastrophe'!$B$6:$B$17,0)),"?"))</f>
        <v/>
      </c>
      <c r="AV196" s="98" t="str">
        <f>IF($A196="","",IFERROR(INDEX('Natural Catastrophe'!$C$21:$C$26,MATCH($AA196,'Natural Catastrophe'!$B$21:$B$26,0)),"?"))</f>
        <v/>
      </c>
      <c r="AW196" s="97" t="str">
        <f>IF($A196="","",IFERROR(INDEX('Base Rates'!$C$4:$I$4,MATCH(MAX($J196,'Technical Premium'!$C$18),'Base Rates'!$C$3:$I$3,1)),"?"))</f>
        <v/>
      </c>
      <c r="AX196" s="99" t="str">
        <f>IF($A196="","",IFERROR(INDEX('Base Rates'!$C$5:$I$16,MATCH($I196,'Base Rates'!$B$5:$B$16,0),MATCH(MAX($J196,'Technical Premium'!$C$18),'Base Rates'!$C$3:$I$3,1)),"?"))</f>
        <v/>
      </c>
      <c r="AY196" s="100" t="str">
        <f t="shared" si="27"/>
        <v/>
      </c>
      <c r="AZ196" s="97" t="str">
        <f>IF($A196="","",IFERROR(INDEX('Make Factors'!$G$5:$G$69,MATCH($F196,'Make Factors'!$B$5:$B$69,0)),"?"))</f>
        <v/>
      </c>
      <c r="BA196" s="97" t="str">
        <f>IF($A196="","",IFERROR(INDEX('Driver Factors'!$C$6:$C$15,MATCH($R196,'Driver Factors'!$B$6:$B$15,0)),"?"))</f>
        <v/>
      </c>
      <c r="BB196" s="97" t="str">
        <f>IF($A196="","",IFERROR(INDEX('Driver Factors'!$C$19:$C$24,MATCH($S196,'Driver Factors'!$B$19:$B$24,0)),"?"))</f>
        <v/>
      </c>
      <c r="BC196" s="97" t="str">
        <f>IF($A196="","",IFERROR(INDEX('Driver Factors'!$C$28:$C$36,MATCH($T196,'Driver Factors'!$B$28:$B$36,0)),"?"))</f>
        <v/>
      </c>
      <c r="BD196" s="97" t="str">
        <f>IF($A196="","",IFERROR(INDEX('Claims History'!$C$6:$C$15,MATCH($U196,'Claims History'!$B$6:$B$15,0)),"?"))</f>
        <v/>
      </c>
      <c r="BE196" s="97" t="str">
        <f>IF($A196="","",IFERROR(INDEX('Territory Factors'!$E$6:$E$56,MATCH($K196,'Territory Factors'!$B$6:$B$56,0)),"?"))</f>
        <v/>
      </c>
      <c r="BF196" s="97" t="str">
        <f>IF($A196="","",IFERROR(INDEX('City Accident Ratings'!$G$6:$G$54,MATCH($Z196,'City Accident Ratings'!$B$6:$B$54,0)),"?"))</f>
        <v/>
      </c>
      <c r="BG196" s="97" t="str">
        <f>IF($A196="","",IFERROR(INDEX('Usage and Coverage'!$D$6:$D$20,MATCH($N196,'Usage and Coverage'!$C$6:$C$20,0)),"?"))</f>
        <v/>
      </c>
      <c r="BH196" s="97" t="str">
        <f>IF($A196="","",IFERROR(INDEX('Usage and Coverage'!$C$24:$C$30,MATCH($O196,'Usage and Coverage'!$B$24:$B$30,0)),"?"))</f>
        <v/>
      </c>
      <c r="BI196" s="97" t="str">
        <f>IF($A196="","",IFERROR(INDEX('Usage and Coverage'!$C$34:$C$40,MATCH($P196,'Usage and Coverage'!$B$34:$B$40,0)),"?"))</f>
        <v/>
      </c>
      <c r="BJ196" s="97" t="str">
        <f>IF($A196="","",IFERROR(INDEX('Usage and Coverage'!$C$44:$C$49,MATCH($Q196,'Usage and Coverage'!$B$44:$B$49,0)),"?"))</f>
        <v/>
      </c>
      <c r="BK196" s="97" t="str">
        <f>IF($A196="","",IFERROR(INDEX(Deductibles!$C$6:$I$15,MATCH($W196,Deductibles!$B$6:$B$15,0),MATCH(MAX($J196,'Technical Premium'!$C$18),'Base Rates'!$C$3:$I$3,1)),"?"))</f>
        <v/>
      </c>
      <c r="BL196" s="97" t="str">
        <f>IF($A196="","",IFERROR(INDEX('Usage and Coverage'!$C$63:$C$66,MATCH($X196,'Usage and Coverage'!$B$63:$B$66,0)),"?"))</f>
        <v/>
      </c>
      <c r="BM196" s="97" t="str">
        <f>IF($A196="","",IFERROR(INDEX('Usage and Coverage'!$C$70:$C$75,MATCH($V196,'Usage and Coverage'!$B$70:$B$75,0)),"?"))</f>
        <v/>
      </c>
      <c r="BN196" s="97" t="str">
        <f>IF($A196="","",IF($AB196="",1,IFERROR(INDEX(Deductibles!$C$48:$C$51,MATCH($AB196,Deductibles!$B$48:$B$51,0)),"?")))</f>
        <v/>
      </c>
      <c r="BO196" s="97" t="str">
        <f>IF($A196="","",IF($AC196="",1,IFERROR(INDEX(Deductibles!$C$55:$C$57,MATCH($AC196,Deductibles!$B$55:$B$57,0)),"?")))</f>
        <v/>
      </c>
      <c r="BP196" s="97" t="str">
        <f>IF($A196="","",IF($AD196="",1,IFERROR(INDEX(Deductibles!$C$61:$C$63,MATCH($AD196,Deductibles!$B$61:$B$63,0)),"?")))</f>
        <v/>
      </c>
      <c r="BQ196" s="97" t="str">
        <f>IF($A196="","",IF($AE196="",1,IFERROR(INDEX(Deductibles!$C$67:$C$69,MATCH($AE196,Deductibles!$B$67:$B$69,0)),"?")))</f>
        <v/>
      </c>
      <c r="BR196" s="97" t="str">
        <f>IF($A196="","",IF($AF196="",1,IFERROR(INDEX(Deductibles!$C$73:$C$74,MATCH($AF196,Deductibles!$B$73:$B$74,0)),"?")))</f>
        <v/>
      </c>
      <c r="BS196" s="97" t="str">
        <f>IF($A196="","",IF($AG196="",1,IFERROR(INDEX('Sublimits and Parts'!$C$49:$C$52,MATCH($AG196,'Sublimits and Parts'!$B$49:$B$52,0)),"?")))</f>
        <v/>
      </c>
      <c r="BT196" s="97" t="str">
        <f>IF($A196="","",IF($AH196="",1,IFERROR(INDEX('Sublimits and Parts'!$C$56:$C$60,MATCH($AH196,'Sublimits and Parts'!$B$56:$B$60,0)),"?")))</f>
        <v/>
      </c>
      <c r="BU196" s="97" t="str">
        <f>IF($A196="","",IF($AI196="",1,IFERROR(INDEX('Sublimits and Parts'!$C$64:$C$67,MATCH($AI196,'Sublimits and Parts'!$B$64:$B$67,0)),"?")))</f>
        <v/>
      </c>
      <c r="BV196" s="97" t="str">
        <f>IF($A196="","",IF($AJ196="",1,IFERROR(INDEX('Sublimits and Parts'!$C$71:$C$74,MATCH($AJ196,'Sublimits and Parts'!$B$71:$B$74,0)),"?")))</f>
        <v/>
      </c>
      <c r="BW196" s="97" t="str">
        <f>IF($A196="","",IF($AK196="",1,IFERROR(INDEX('Sublimits and Parts'!$C$78:$C$80,MATCH($AK196,'Sublimits and Parts'!$B$78:$B$80,0)),"?")))</f>
        <v/>
      </c>
      <c r="BX196" s="97" t="str">
        <f>IF($A196="","",IF($AL196="",1,IFERROR(INDEX('Sublimits and Parts'!$C$84:$C$87,MATCH($AL196,'Sublimits and Parts'!$B$84:$B$87,0)),"?")))</f>
        <v/>
      </c>
      <c r="BY196" s="97" t="str">
        <f>IF($A196="","",IF($AM196="",1,IFERROR(INDEX('Sublimits and Parts'!$C$91:$C$94,MATCH($AM196,'Sublimits and Parts'!$B$91:$B$94,0)),"?")))</f>
        <v/>
      </c>
      <c r="BZ196" s="97" t="str">
        <f>IF($A196="","",IF($AN196="",1,IFERROR(INDEX('Sublimits and Parts'!$C$98:$C$101,MATCH($AN196,'Sublimits and Parts'!$B$98:$B$101,0)),"?")))</f>
        <v/>
      </c>
      <c r="CA196" s="97" t="str">
        <f>IF($A196="","",IF($AO196="",1,IFERROR(INDEX('Sublimits and Parts'!$C$105:$C$109,MATCH($AO196,'Sublimits and Parts'!$B$105:$B$109,0)),"?")))</f>
        <v/>
      </c>
      <c r="CB196" s="98" t="str">
        <f t="shared" si="28"/>
        <v/>
      </c>
      <c r="CC196" s="98" t="str">
        <f t="shared" si="29"/>
        <v/>
      </c>
      <c r="CD196" s="101" t="str">
        <f>IF($A196="","",IF(OR($CB196="?",$CC196="?"),"?",MIN($CB196*$CC196,'Technical Premium'!$C$17)))</f>
        <v/>
      </c>
      <c r="CE196" s="100" t="str">
        <f t="shared" si="30"/>
        <v/>
      </c>
      <c r="CF196" s="100" t="str">
        <f>IF($A196="","",IFERROR(INDEX('Territory Factors'!$F$6:$F$56,MATCH($K196,'Territory Factors'!$B$6:$B$56,0)),"?"))</f>
        <v/>
      </c>
      <c r="CG196" s="98" t="str">
        <f>IF($A196="","",IFERROR(INDEX('Usage and Coverage'!$C$79:$C$84,MATCH($Y196,'Usage and Coverage'!$B$79:$B$84,0)),"?"))</f>
        <v/>
      </c>
      <c r="CH196" s="100" t="str">
        <f>IFERROR(IF(ISNUMBER($CD196),$CF196*$CG196*MIN($BG196*$BA196*$BC196*$BD196*$BH196*$BF196,'Technical Premium'!$C$17),""),"")</f>
        <v/>
      </c>
      <c r="CI196" s="100" t="str">
        <f t="shared" si="31"/>
        <v/>
      </c>
      <c r="CJ196" s="100" t="str">
        <f>IFERROR($CI196*(1+'Technical Premium'!$C$5)*(1+'Technical Premium'!$C$6),"")</f>
        <v/>
      </c>
      <c r="CK196" s="100" t="str">
        <f>IFERROR($CE196*INDEX('Territory Factors'!$G$6:$G$56,MATCH($K196,'Territory Factors'!$B$6:$B$56,0))*$AU196*$AV196,"")</f>
        <v/>
      </c>
      <c r="CL196" s="100" t="str">
        <f>IFERROR(($CJ196+$CK196)*(1+'Technical Premium'!$C$7),"")</f>
        <v/>
      </c>
      <c r="CM196" s="102" t="str">
        <f>IFERROR($CL196/'Technical Premium'!$C$13,"")</f>
        <v/>
      </c>
      <c r="CN196" s="103" t="str">
        <f t="shared" si="32"/>
        <v/>
      </c>
      <c r="CO196" s="102" t="str">
        <f t="shared" si="33"/>
        <v/>
      </c>
      <c r="CP196" s="103" t="str">
        <f t="shared" si="34"/>
        <v/>
      </c>
      <c r="CQ196" s="104" t="str">
        <f t="shared" si="35"/>
        <v/>
      </c>
      <c r="CR196" s="100" t="str">
        <f>IF(ISNUMBER($CM196),'Technical Premium'!$C$14+IF($J196&gt;=1000000,'Technical Premium'!$C$15,0),"")</f>
        <v/>
      </c>
      <c r="CS196" s="100" t="str">
        <f>IFERROR(($CO196+$CR196)*(INDEX('Territory Factors'!$K$6:$K$56,MATCH($K196,'Territory Factors'!$B$6:$B$56,0))+'Commission Structure'!$C$21),"")</f>
        <v/>
      </c>
      <c r="CT196" s="102" t="str">
        <f t="shared" si="36"/>
        <v/>
      </c>
      <c r="CU196" s="100" t="str">
        <f>IFERROR($CO196*('Commission Structure'!$C$6+'Commission Structure'!$C$7),"")</f>
        <v/>
      </c>
      <c r="CV196" s="100" t="str">
        <f>IFERROR($CO196*'Commission Structure'!$C$5-$CU196,"")</f>
        <v/>
      </c>
      <c r="CW196" s="100" t="str">
        <f>IFERROR($CO196*(1-'Commission Structure'!$C$5),"")</f>
        <v/>
      </c>
      <c r="CX196" s="105" t="str">
        <f>IF($A196="","",IF(OR($CB196="?",$CC196="?",NOT(ISNUMBER($AU196))),"CHECK INPUTS",IF(OR($J196&lt;'Technical Premium'!$C$18,LEFT(IFERROR(INDEX('Driver Factors'!$D$6:$D$15,MATCH($R196,'Driver Factors'!$B$6:$B$15,0)),""),7)="DECLINE",LEFT(IFERROR(INDEX('Driver Factors'!$D$28:$D$36,MATCH($T196,'Driver Factors'!$B$28:$B$36,0)),""),7)="DECLINE",LEFT(IFERROR(INDEX('Claims History'!$D$6:$D$15,MATCH($U196,'Claims History'!$B$6:$B$15,0)),""),7)="DECLINE",LEFT(IFERROR(INDEX('Usage and Coverage'!$E$6:$E$20,MATCH($N196,'Usage and Coverage'!$C$6:$C$20,0)),""),7)="DECLINE"),"DECLINE",IF(OR($CD196&gt;2.5,$CD196&gt;='Technical Premium'!$C$17,$J196&gt;='Technical Premium'!$C$16,N($AQ196)&lt;'Technical Premium'!$C$19,N($AQ196)&gt;'Technical Premium'!$C$20,LEFT(IFERROR(INDEX('Driver Factors'!$D$6:$D$15,MATCH($R196,'Driver Factors'!$B$6:$B$15,0)),""),5)="Refer",LEFT(IFERROR(INDEX('Driver Factors'!$D$28:$D$36,MATCH($T196,'Driver Factors'!$B$28:$B$36,0)),""),5)="Refer",LEFT(IFERROR(INDEX('Claims History'!$D$6:$D$15,MATCH($U196,'Claims History'!$B$6:$B$15,0)),""),5)="Refer",LEFT(IFERROR(INDEX('Usage and Coverage'!$E$6:$E$20,MATCH($N196,'Usage and Coverage'!$C$6:$C$20,0)),""),5)="Refer"),"REFER","AUTO-BIND"))))</f>
        <v/>
      </c>
      <c r="CY196" s="106" t="str">
        <f t="shared" si="37"/>
        <v/>
      </c>
      <c r="CZ196" s="97" t="str">
        <f>IF($CY196="","",IF($CY196&lt;'Technical Premium'!$C$19,"BEYOND AUTHORITY",IF($CY196&gt;0.005,"Above technical",IF($CY196&lt;-0.005,"BELOW technical","At technical"))))</f>
        <v/>
      </c>
      <c r="DA196" s="97" t="str">
        <f>IF($A196="","",IF($CX196="AUTO-BIND","",TRIM(IF($J196&lt;'Technical Premium'!$C$18,"Below programme minimum agreed value. ","")&amp;IF(N($AQ196)&lt;'Technical Premium'!$C$19,"DISCOUNT AUTHORITY BREACH. ","")&amp;IF(N($AQ196)&gt;'Technical Premium'!$C$20,"Load authority breach. ","")&amp;IF($J196&gt;='Technical Premium'!$C$16,"Agreed value at or above auto-bind limit. ","")&amp;IF(AND(ISNUMBER($CD196),$CD196&gt;='Technical Premium'!$C$17),"Composite factor at cap. ","")&amp;IF(AND(ISNUMBER($CD196),$CD196&gt;2.5),"Composite factor above 2.50. ","")&amp;IF(LEFT(IFERROR(INDEX('Driver Factors'!$D$6:$D$15,MATCH($R196,'Driver Factors'!$B$6:$B$15,0)),""),7)="DECLINE","DECLINE - driver age. ",IF(LEFT(IFERROR(INDEX('Driver Factors'!$D$6:$D$15,MATCH($R196,'Driver Factors'!$B$6:$B$15,0)),""),5)="Refer","Driver age band. ",""))&amp;IF(LEFT(IFERROR(INDEX('Driver Factors'!$D$28:$D$36,MATCH($T196,'Driver Factors'!$B$28:$B$36,0)),""),7)="DECLINE","DECLINE - MVR. ",IF(LEFT(IFERROR(INDEX('Driver Factors'!$D$28:$D$36,MATCH($T196,'Driver Factors'!$B$28:$B$36,0)),""),5)="Refer","MVR record. ",""))&amp;IF(LEFT(IFERROR(INDEX('Claims History'!$D$6:$D$15,MATCH($U196,'Claims History'!$B$6:$B$15,0)),""),7)="DECLINE","DECLINE - claims. ",IF(LEFT(IFERROR(INDEX('Claims History'!$D$6:$D$15,MATCH($U196,'Claims History'!$B$6:$B$15,0)),""),5)="Refer","Claims history. ",""))&amp;IF(LEFT(IFERROR(INDEX('Usage and Coverage'!$E$6:$E$20,MATCH($N196,'Usage and Coverage'!$C$6:$C$20,0)),""),7)="DECLINE","DECLINE - usage class. ",IF(LEFT(IFERROR(INDEX('Usage and Coverage'!$E$6:$E$20,MATCH($N196,'Usage and Coverage'!$C$6:$C$20,0)),""),5)="Refer","Usage class. ",""))&amp;IF($CX196="CHECK INPUTS","Incomplete inputs. ",""))))</f>
        <v/>
      </c>
      <c r="DB196" s="92"/>
      <c r="DC196" s="92"/>
      <c r="DD196" s="93"/>
      <c r="DE196" s="92"/>
      <c r="DF196" s="92"/>
      <c r="DG196" s="97" t="str">
        <f t="shared" si="38"/>
        <v/>
      </c>
      <c r="DH196" s="97" t="str">
        <f>IF($A196="","",IF(OR($CX196="REFER",$CX196="DECLINE"),COUNTIF($CX$5:$CX196,"REFER")+COUNTIF($CX$5:$CX196,"DECLINE"),""))</f>
        <v/>
      </c>
      <c r="DI196" s="92"/>
    </row>
    <row r="197" spans="1:113" x14ac:dyDescent="0.25">
      <c r="A197" s="92"/>
      <c r="B197" s="92"/>
      <c r="C197" s="93"/>
      <c r="D197" s="93"/>
      <c r="E197" s="94"/>
      <c r="F197" s="92"/>
      <c r="G197" s="92"/>
      <c r="H197" s="92"/>
      <c r="I197" s="92"/>
      <c r="J197" s="95"/>
      <c r="K197" s="92"/>
      <c r="L197" s="92"/>
      <c r="M197" s="92"/>
      <c r="N197" s="92"/>
      <c r="O197" s="92"/>
      <c r="P197" s="92"/>
      <c r="Q197" s="92"/>
      <c r="R197" s="92"/>
      <c r="S197" s="92"/>
      <c r="T197" s="92"/>
      <c r="U197" s="92"/>
      <c r="V197" s="92"/>
      <c r="W197" s="92"/>
      <c r="X197" s="92"/>
      <c r="Y197" s="92"/>
      <c r="Z197" s="92"/>
      <c r="AA197" s="92"/>
      <c r="AB197" s="92"/>
      <c r="AC197" s="92"/>
      <c r="AD197" s="92"/>
      <c r="AE197" s="92"/>
      <c r="AF197" s="92"/>
      <c r="AG197" s="92"/>
      <c r="AH197" s="92"/>
      <c r="AI197" s="92"/>
      <c r="AJ197" s="92"/>
      <c r="AK197" s="92"/>
      <c r="AL197" s="92"/>
      <c r="AM197" s="92"/>
      <c r="AN197" s="92"/>
      <c r="AO197" s="92"/>
      <c r="AP197" s="92"/>
      <c r="AQ197" s="96"/>
      <c r="AR197" s="97" t="str">
        <f t="shared" ref="AR197:AR260" si="39">IF($A197="","",IFERROR(LEFT(TEXT(VALUE($L197),"00000"),3),"---"))</f>
        <v/>
      </c>
      <c r="AS197" s="97" t="str">
        <f>IF($A197="","",IF($AP197&lt;&gt;"",$AP197,IFERROR(INDEX('Cat Zone by ZIP'!$D$6:$D$856,MATCH($AR197,'Cat Zone by ZIP'!$B$6:$B$856,0)),IFERROR(INDEX('Cat Zone by ZIP'!$C$860:$C$910,MATCH($K197,'Cat Zone by ZIP'!$B$860:$B$910,0)),"NOT FOUND"))))</f>
        <v/>
      </c>
      <c r="AT197" s="97" t="str">
        <f>IF($A197="","",IF($AP197&lt;&gt;"","Override",IF(ISNUMBER(MATCH($AR197,'Cat Zone by ZIP'!$B$6:$B$856,0)),"ZIP-3","State default")))</f>
        <v/>
      </c>
      <c r="AU197" s="98" t="str">
        <f>IF($A197="","",IFERROR(INDEX('Natural Catastrophe'!$D$6:$D$17,MATCH($AS197,'Natural Catastrophe'!$B$6:$B$17,0)),"?"))</f>
        <v/>
      </c>
      <c r="AV197" s="98" t="str">
        <f>IF($A197="","",IFERROR(INDEX('Natural Catastrophe'!$C$21:$C$26,MATCH($AA197,'Natural Catastrophe'!$B$21:$B$26,0)),"?"))</f>
        <v/>
      </c>
      <c r="AW197" s="97" t="str">
        <f>IF($A197="","",IFERROR(INDEX('Base Rates'!$C$4:$I$4,MATCH(MAX($J197,'Technical Premium'!$C$18),'Base Rates'!$C$3:$I$3,1)),"?"))</f>
        <v/>
      </c>
      <c r="AX197" s="99" t="str">
        <f>IF($A197="","",IFERROR(INDEX('Base Rates'!$C$5:$I$16,MATCH($I197,'Base Rates'!$B$5:$B$16,0),MATCH(MAX($J197,'Technical Premium'!$C$18),'Base Rates'!$C$3:$I$3,1)),"?"))</f>
        <v/>
      </c>
      <c r="AY197" s="100" t="str">
        <f t="shared" ref="AY197:AY260" si="40">IF(ISNUMBER($AX197),$J197/100*$AX197,"")</f>
        <v/>
      </c>
      <c r="AZ197" s="97" t="str">
        <f>IF($A197="","",IFERROR(INDEX('Make Factors'!$G$5:$G$69,MATCH($F197,'Make Factors'!$B$5:$B$69,0)),"?"))</f>
        <v/>
      </c>
      <c r="BA197" s="97" t="str">
        <f>IF($A197="","",IFERROR(INDEX('Driver Factors'!$C$6:$C$15,MATCH($R197,'Driver Factors'!$B$6:$B$15,0)),"?"))</f>
        <v/>
      </c>
      <c r="BB197" s="97" t="str">
        <f>IF($A197="","",IFERROR(INDEX('Driver Factors'!$C$19:$C$24,MATCH($S197,'Driver Factors'!$B$19:$B$24,0)),"?"))</f>
        <v/>
      </c>
      <c r="BC197" s="97" t="str">
        <f>IF($A197="","",IFERROR(INDEX('Driver Factors'!$C$28:$C$36,MATCH($T197,'Driver Factors'!$B$28:$B$36,0)),"?"))</f>
        <v/>
      </c>
      <c r="BD197" s="97" t="str">
        <f>IF($A197="","",IFERROR(INDEX('Claims History'!$C$6:$C$15,MATCH($U197,'Claims History'!$B$6:$B$15,0)),"?"))</f>
        <v/>
      </c>
      <c r="BE197" s="97" t="str">
        <f>IF($A197="","",IFERROR(INDEX('Territory Factors'!$E$6:$E$56,MATCH($K197,'Territory Factors'!$B$6:$B$56,0)),"?"))</f>
        <v/>
      </c>
      <c r="BF197" s="97" t="str">
        <f>IF($A197="","",IFERROR(INDEX('City Accident Ratings'!$G$6:$G$54,MATCH($Z197,'City Accident Ratings'!$B$6:$B$54,0)),"?"))</f>
        <v/>
      </c>
      <c r="BG197" s="97" t="str">
        <f>IF($A197="","",IFERROR(INDEX('Usage and Coverage'!$D$6:$D$20,MATCH($N197,'Usage and Coverage'!$C$6:$C$20,0)),"?"))</f>
        <v/>
      </c>
      <c r="BH197" s="97" t="str">
        <f>IF($A197="","",IFERROR(INDEX('Usage and Coverage'!$C$24:$C$30,MATCH($O197,'Usage and Coverage'!$B$24:$B$30,0)),"?"))</f>
        <v/>
      </c>
      <c r="BI197" s="97" t="str">
        <f>IF($A197="","",IFERROR(INDEX('Usage and Coverage'!$C$34:$C$40,MATCH($P197,'Usage and Coverage'!$B$34:$B$40,0)),"?"))</f>
        <v/>
      </c>
      <c r="BJ197" s="97" t="str">
        <f>IF($A197="","",IFERROR(INDEX('Usage and Coverage'!$C$44:$C$49,MATCH($Q197,'Usage and Coverage'!$B$44:$B$49,0)),"?"))</f>
        <v/>
      </c>
      <c r="BK197" s="97" t="str">
        <f>IF($A197="","",IFERROR(INDEX(Deductibles!$C$6:$I$15,MATCH($W197,Deductibles!$B$6:$B$15,0),MATCH(MAX($J197,'Technical Premium'!$C$18),'Base Rates'!$C$3:$I$3,1)),"?"))</f>
        <v/>
      </c>
      <c r="BL197" s="97" t="str">
        <f>IF($A197="","",IFERROR(INDEX('Usage and Coverage'!$C$63:$C$66,MATCH($X197,'Usage and Coverage'!$B$63:$B$66,0)),"?"))</f>
        <v/>
      </c>
      <c r="BM197" s="97" t="str">
        <f>IF($A197="","",IFERROR(INDEX('Usage and Coverage'!$C$70:$C$75,MATCH($V197,'Usage and Coverage'!$B$70:$B$75,0)),"?"))</f>
        <v/>
      </c>
      <c r="BN197" s="97" t="str">
        <f>IF($A197="","",IF($AB197="",1,IFERROR(INDEX(Deductibles!$C$48:$C$51,MATCH($AB197,Deductibles!$B$48:$B$51,0)),"?")))</f>
        <v/>
      </c>
      <c r="BO197" s="97" t="str">
        <f>IF($A197="","",IF($AC197="",1,IFERROR(INDEX(Deductibles!$C$55:$C$57,MATCH($AC197,Deductibles!$B$55:$B$57,0)),"?")))</f>
        <v/>
      </c>
      <c r="BP197" s="97" t="str">
        <f>IF($A197="","",IF($AD197="",1,IFERROR(INDEX(Deductibles!$C$61:$C$63,MATCH($AD197,Deductibles!$B$61:$B$63,0)),"?")))</f>
        <v/>
      </c>
      <c r="BQ197" s="97" t="str">
        <f>IF($A197="","",IF($AE197="",1,IFERROR(INDEX(Deductibles!$C$67:$C$69,MATCH($AE197,Deductibles!$B$67:$B$69,0)),"?")))</f>
        <v/>
      </c>
      <c r="BR197" s="97" t="str">
        <f>IF($A197="","",IF($AF197="",1,IFERROR(INDEX(Deductibles!$C$73:$C$74,MATCH($AF197,Deductibles!$B$73:$B$74,0)),"?")))</f>
        <v/>
      </c>
      <c r="BS197" s="97" t="str">
        <f>IF($A197="","",IF($AG197="",1,IFERROR(INDEX('Sublimits and Parts'!$C$49:$C$52,MATCH($AG197,'Sublimits and Parts'!$B$49:$B$52,0)),"?")))</f>
        <v/>
      </c>
      <c r="BT197" s="97" t="str">
        <f>IF($A197="","",IF($AH197="",1,IFERROR(INDEX('Sublimits and Parts'!$C$56:$C$60,MATCH($AH197,'Sublimits and Parts'!$B$56:$B$60,0)),"?")))</f>
        <v/>
      </c>
      <c r="BU197" s="97" t="str">
        <f>IF($A197="","",IF($AI197="",1,IFERROR(INDEX('Sublimits and Parts'!$C$64:$C$67,MATCH($AI197,'Sublimits and Parts'!$B$64:$B$67,0)),"?")))</f>
        <v/>
      </c>
      <c r="BV197" s="97" t="str">
        <f>IF($A197="","",IF($AJ197="",1,IFERROR(INDEX('Sublimits and Parts'!$C$71:$C$74,MATCH($AJ197,'Sublimits and Parts'!$B$71:$B$74,0)),"?")))</f>
        <v/>
      </c>
      <c r="BW197" s="97" t="str">
        <f>IF($A197="","",IF($AK197="",1,IFERROR(INDEX('Sublimits and Parts'!$C$78:$C$80,MATCH($AK197,'Sublimits and Parts'!$B$78:$B$80,0)),"?")))</f>
        <v/>
      </c>
      <c r="BX197" s="97" t="str">
        <f>IF($A197="","",IF($AL197="",1,IFERROR(INDEX('Sublimits and Parts'!$C$84:$C$87,MATCH($AL197,'Sublimits and Parts'!$B$84:$B$87,0)),"?")))</f>
        <v/>
      </c>
      <c r="BY197" s="97" t="str">
        <f>IF($A197="","",IF($AM197="",1,IFERROR(INDEX('Sublimits and Parts'!$C$91:$C$94,MATCH($AM197,'Sublimits and Parts'!$B$91:$B$94,0)),"?")))</f>
        <v/>
      </c>
      <c r="BZ197" s="97" t="str">
        <f>IF($A197="","",IF($AN197="",1,IFERROR(INDEX('Sublimits and Parts'!$C$98:$C$101,MATCH($AN197,'Sublimits and Parts'!$B$98:$B$101,0)),"?")))</f>
        <v/>
      </c>
      <c r="CA197" s="97" t="str">
        <f>IF($A197="","",IF($AO197="",1,IFERROR(INDEX('Sublimits and Parts'!$C$105:$C$109,MATCH($AO197,'Sublimits and Parts'!$B$105:$B$109,0)),"?")))</f>
        <v/>
      </c>
      <c r="CB197" s="98" t="str">
        <f t="shared" ref="CB197:CB260" si="41">IF($A197="","",IF(SUMPRODUCT(--ISTEXT($AZ197:$BM197))&gt;0,"?",PRODUCT($AZ197:$BM197)))</f>
        <v/>
      </c>
      <c r="CC197" s="98" t="str">
        <f t="shared" ref="CC197:CC260" si="42">IF($A197="","",IF(SUMPRODUCT(--ISTEXT($BN197:$CA197))&gt;0,"?",PRODUCT($BN197:$CA197)))</f>
        <v/>
      </c>
      <c r="CD197" s="101" t="str">
        <f>IF($A197="","",IF(OR($CB197="?",$CC197="?"),"?",MIN($CB197*$CC197,'Technical Premium'!$C$17)))</f>
        <v/>
      </c>
      <c r="CE197" s="100" t="str">
        <f t="shared" ref="CE197:CE260" si="43">IF(ISNUMBER($CD197),$AY197*$CD197,"")</f>
        <v/>
      </c>
      <c r="CF197" s="100" t="str">
        <f>IF($A197="","",IFERROR(INDEX('Territory Factors'!$F$6:$F$56,MATCH($K197,'Territory Factors'!$B$6:$B$56,0)),"?"))</f>
        <v/>
      </c>
      <c r="CG197" s="98" t="str">
        <f>IF($A197="","",IFERROR(INDEX('Usage and Coverage'!$C$79:$C$84,MATCH($Y197,'Usage and Coverage'!$B$79:$B$84,0)),"?"))</f>
        <v/>
      </c>
      <c r="CH197" s="100" t="str">
        <f>IFERROR(IF(ISNUMBER($CD197),$CF197*$CG197*MIN($BG197*$BA197*$BC197*$BD197*$BH197*$BF197,'Technical Premium'!$C$17),""),"")</f>
        <v/>
      </c>
      <c r="CI197" s="100" t="str">
        <f t="shared" ref="CI197:CI260" si="44">IFERROR($CE197+$CH197,"")</f>
        <v/>
      </c>
      <c r="CJ197" s="100" t="str">
        <f>IFERROR($CI197*(1+'Technical Premium'!$C$5)*(1+'Technical Premium'!$C$6),"")</f>
        <v/>
      </c>
      <c r="CK197" s="100" t="str">
        <f>IFERROR($CE197*INDEX('Territory Factors'!$G$6:$G$56,MATCH($K197,'Territory Factors'!$B$6:$B$56,0))*$AU197*$AV197,"")</f>
        <v/>
      </c>
      <c r="CL197" s="100" t="str">
        <f>IFERROR(($CJ197+$CK197)*(1+'Technical Premium'!$C$7),"")</f>
        <v/>
      </c>
      <c r="CM197" s="102" t="str">
        <f>IFERROR($CL197/'Technical Premium'!$C$13,"")</f>
        <v/>
      </c>
      <c r="CN197" s="103" t="str">
        <f t="shared" ref="CN197:CN260" si="45">IFERROR($CM197/$J197*100,"")</f>
        <v/>
      </c>
      <c r="CO197" s="102" t="str">
        <f t="shared" ref="CO197:CO260" si="46">IFERROR($CM197*(1+N($AQ197)),"")</f>
        <v/>
      </c>
      <c r="CP197" s="103" t="str">
        <f t="shared" ref="CP197:CP260" si="47">IFERROR($CO197/$J197*100,"")</f>
        <v/>
      </c>
      <c r="CQ197" s="104" t="str">
        <f t="shared" ref="CQ197:CQ260" si="48">IFERROR($CP197/$CN197,"")</f>
        <v/>
      </c>
      <c r="CR197" s="100" t="str">
        <f>IF(ISNUMBER($CM197),'Technical Premium'!$C$14+IF($J197&gt;=1000000,'Technical Premium'!$C$15,0),"")</f>
        <v/>
      </c>
      <c r="CS197" s="100" t="str">
        <f>IFERROR(($CO197+$CR197)*(INDEX('Territory Factors'!$K$6:$K$56,MATCH($K197,'Territory Factors'!$B$6:$B$56,0))+'Commission Structure'!$C$21),"")</f>
        <v/>
      </c>
      <c r="CT197" s="102" t="str">
        <f t="shared" ref="CT197:CT260" si="49">IFERROR($CO197+$CR197+$CS197,"")</f>
        <v/>
      </c>
      <c r="CU197" s="100" t="str">
        <f>IFERROR($CO197*('Commission Structure'!$C$6+'Commission Structure'!$C$7),"")</f>
        <v/>
      </c>
      <c r="CV197" s="100" t="str">
        <f>IFERROR($CO197*'Commission Structure'!$C$5-$CU197,"")</f>
        <v/>
      </c>
      <c r="CW197" s="100" t="str">
        <f>IFERROR($CO197*(1-'Commission Structure'!$C$5),"")</f>
        <v/>
      </c>
      <c r="CX197" s="105" t="str">
        <f>IF($A197="","",IF(OR($CB197="?",$CC197="?",NOT(ISNUMBER($AU197))),"CHECK INPUTS",IF(OR($J197&lt;'Technical Premium'!$C$18,LEFT(IFERROR(INDEX('Driver Factors'!$D$6:$D$15,MATCH($R197,'Driver Factors'!$B$6:$B$15,0)),""),7)="DECLINE",LEFT(IFERROR(INDEX('Driver Factors'!$D$28:$D$36,MATCH($T197,'Driver Factors'!$B$28:$B$36,0)),""),7)="DECLINE",LEFT(IFERROR(INDEX('Claims History'!$D$6:$D$15,MATCH($U197,'Claims History'!$B$6:$B$15,0)),""),7)="DECLINE",LEFT(IFERROR(INDEX('Usage and Coverage'!$E$6:$E$20,MATCH($N197,'Usage and Coverage'!$C$6:$C$20,0)),""),7)="DECLINE"),"DECLINE",IF(OR($CD197&gt;2.5,$CD197&gt;='Technical Premium'!$C$17,$J197&gt;='Technical Premium'!$C$16,N($AQ197)&lt;'Technical Premium'!$C$19,N($AQ197)&gt;'Technical Premium'!$C$20,LEFT(IFERROR(INDEX('Driver Factors'!$D$6:$D$15,MATCH($R197,'Driver Factors'!$B$6:$B$15,0)),""),5)="Refer",LEFT(IFERROR(INDEX('Driver Factors'!$D$28:$D$36,MATCH($T197,'Driver Factors'!$B$28:$B$36,0)),""),5)="Refer",LEFT(IFERROR(INDEX('Claims History'!$D$6:$D$15,MATCH($U197,'Claims History'!$B$6:$B$15,0)),""),5)="Refer",LEFT(IFERROR(INDEX('Usage and Coverage'!$E$6:$E$20,MATCH($N197,'Usage and Coverage'!$C$6:$C$20,0)),""),5)="Refer"),"REFER","AUTO-BIND"))))</f>
        <v/>
      </c>
      <c r="CY197" s="106" t="str">
        <f t="shared" ref="CY197:CY260" si="50">IFERROR($CO197/$CM197-1,"")</f>
        <v/>
      </c>
      <c r="CZ197" s="97" t="str">
        <f>IF($CY197="","",IF($CY197&lt;'Technical Premium'!$C$19,"BEYOND AUTHORITY",IF($CY197&gt;0.005,"Above technical",IF($CY197&lt;-0.005,"BELOW technical","At technical"))))</f>
        <v/>
      </c>
      <c r="DA197" s="97" t="str">
        <f>IF($A197="","",IF($CX197="AUTO-BIND","",TRIM(IF($J197&lt;'Technical Premium'!$C$18,"Below programme minimum agreed value. ","")&amp;IF(N($AQ197)&lt;'Technical Premium'!$C$19,"DISCOUNT AUTHORITY BREACH. ","")&amp;IF(N($AQ197)&gt;'Technical Premium'!$C$20,"Load authority breach. ","")&amp;IF($J197&gt;='Technical Premium'!$C$16,"Agreed value at or above auto-bind limit. ","")&amp;IF(AND(ISNUMBER($CD197),$CD197&gt;='Technical Premium'!$C$17),"Composite factor at cap. ","")&amp;IF(AND(ISNUMBER($CD197),$CD197&gt;2.5),"Composite factor above 2.50. ","")&amp;IF(LEFT(IFERROR(INDEX('Driver Factors'!$D$6:$D$15,MATCH($R197,'Driver Factors'!$B$6:$B$15,0)),""),7)="DECLINE","DECLINE - driver age. ",IF(LEFT(IFERROR(INDEX('Driver Factors'!$D$6:$D$15,MATCH($R197,'Driver Factors'!$B$6:$B$15,0)),""),5)="Refer","Driver age band. ",""))&amp;IF(LEFT(IFERROR(INDEX('Driver Factors'!$D$28:$D$36,MATCH($T197,'Driver Factors'!$B$28:$B$36,0)),""),7)="DECLINE","DECLINE - MVR. ",IF(LEFT(IFERROR(INDEX('Driver Factors'!$D$28:$D$36,MATCH($T197,'Driver Factors'!$B$28:$B$36,0)),""),5)="Refer","MVR record. ",""))&amp;IF(LEFT(IFERROR(INDEX('Claims History'!$D$6:$D$15,MATCH($U197,'Claims History'!$B$6:$B$15,0)),""),7)="DECLINE","DECLINE - claims. ",IF(LEFT(IFERROR(INDEX('Claims History'!$D$6:$D$15,MATCH($U197,'Claims History'!$B$6:$B$15,0)),""),5)="Refer","Claims history. ",""))&amp;IF(LEFT(IFERROR(INDEX('Usage and Coverage'!$E$6:$E$20,MATCH($N197,'Usage and Coverage'!$C$6:$C$20,0)),""),7)="DECLINE","DECLINE - usage class. ",IF(LEFT(IFERROR(INDEX('Usage and Coverage'!$E$6:$E$20,MATCH($N197,'Usage and Coverage'!$C$6:$C$20,0)),""),5)="Refer","Usage class. ",""))&amp;IF($CX197="CHECK INPUTS","Incomplete inputs. ",""))))</f>
        <v/>
      </c>
      <c r="DB197" s="92"/>
      <c r="DC197" s="92"/>
      <c r="DD197" s="93"/>
      <c r="DE197" s="92"/>
      <c r="DF197" s="92"/>
      <c r="DG197" s="97" t="str">
        <f t="shared" ref="DG197:DG260" si="51">IF($A197="","",IF($CX197="DECLINE","NO - DECLINED",IF($CX197="CHECK INPUTS","NO - INCOMPLETE INPUTS",IF($CX197="AUTO-BIND","YES - within authority",IF(AND($DB197&lt;&gt;"",$DD197&lt;&gt;""),"YES - approved "&amp;TEXT($DD197,"dd-mmm-yy"),"NO - AWAITING APPROVAL")))))</f>
        <v/>
      </c>
      <c r="DH197" s="97" t="str">
        <f>IF($A197="","",IF(OR($CX197="REFER",$CX197="DECLINE"),COUNTIF($CX$5:$CX197,"REFER")+COUNTIF($CX$5:$CX197,"DECLINE"),""))</f>
        <v/>
      </c>
      <c r="DI197" s="92"/>
    </row>
    <row r="198" spans="1:113" x14ac:dyDescent="0.25">
      <c r="A198" s="92"/>
      <c r="B198" s="92"/>
      <c r="C198" s="93"/>
      <c r="D198" s="93"/>
      <c r="E198" s="94"/>
      <c r="F198" s="92"/>
      <c r="G198" s="92"/>
      <c r="H198" s="92"/>
      <c r="I198" s="92"/>
      <c r="J198" s="95"/>
      <c r="K198" s="92"/>
      <c r="L198" s="92"/>
      <c r="M198" s="92"/>
      <c r="N198" s="92"/>
      <c r="O198" s="92"/>
      <c r="P198" s="92"/>
      <c r="Q198" s="92"/>
      <c r="R198" s="92"/>
      <c r="S198" s="92"/>
      <c r="T198" s="92"/>
      <c r="U198" s="92"/>
      <c r="V198" s="92"/>
      <c r="W198" s="92"/>
      <c r="X198" s="92"/>
      <c r="Y198" s="92"/>
      <c r="Z198" s="92"/>
      <c r="AA198" s="92"/>
      <c r="AB198" s="92"/>
      <c r="AC198" s="92"/>
      <c r="AD198" s="92"/>
      <c r="AE198" s="92"/>
      <c r="AF198" s="92"/>
      <c r="AG198" s="92"/>
      <c r="AH198" s="92"/>
      <c r="AI198" s="92"/>
      <c r="AJ198" s="92"/>
      <c r="AK198" s="92"/>
      <c r="AL198" s="92"/>
      <c r="AM198" s="92"/>
      <c r="AN198" s="92"/>
      <c r="AO198" s="92"/>
      <c r="AP198" s="92"/>
      <c r="AQ198" s="96"/>
      <c r="AR198" s="97" t="str">
        <f t="shared" si="39"/>
        <v/>
      </c>
      <c r="AS198" s="97" t="str">
        <f>IF($A198="","",IF($AP198&lt;&gt;"",$AP198,IFERROR(INDEX('Cat Zone by ZIP'!$D$6:$D$856,MATCH($AR198,'Cat Zone by ZIP'!$B$6:$B$856,0)),IFERROR(INDEX('Cat Zone by ZIP'!$C$860:$C$910,MATCH($K198,'Cat Zone by ZIP'!$B$860:$B$910,0)),"NOT FOUND"))))</f>
        <v/>
      </c>
      <c r="AT198" s="97" t="str">
        <f>IF($A198="","",IF($AP198&lt;&gt;"","Override",IF(ISNUMBER(MATCH($AR198,'Cat Zone by ZIP'!$B$6:$B$856,0)),"ZIP-3","State default")))</f>
        <v/>
      </c>
      <c r="AU198" s="98" t="str">
        <f>IF($A198="","",IFERROR(INDEX('Natural Catastrophe'!$D$6:$D$17,MATCH($AS198,'Natural Catastrophe'!$B$6:$B$17,0)),"?"))</f>
        <v/>
      </c>
      <c r="AV198" s="98" t="str">
        <f>IF($A198="","",IFERROR(INDEX('Natural Catastrophe'!$C$21:$C$26,MATCH($AA198,'Natural Catastrophe'!$B$21:$B$26,0)),"?"))</f>
        <v/>
      </c>
      <c r="AW198" s="97" t="str">
        <f>IF($A198="","",IFERROR(INDEX('Base Rates'!$C$4:$I$4,MATCH(MAX($J198,'Technical Premium'!$C$18),'Base Rates'!$C$3:$I$3,1)),"?"))</f>
        <v/>
      </c>
      <c r="AX198" s="99" t="str">
        <f>IF($A198="","",IFERROR(INDEX('Base Rates'!$C$5:$I$16,MATCH($I198,'Base Rates'!$B$5:$B$16,0),MATCH(MAX($J198,'Technical Premium'!$C$18),'Base Rates'!$C$3:$I$3,1)),"?"))</f>
        <v/>
      </c>
      <c r="AY198" s="100" t="str">
        <f t="shared" si="40"/>
        <v/>
      </c>
      <c r="AZ198" s="97" t="str">
        <f>IF($A198="","",IFERROR(INDEX('Make Factors'!$G$5:$G$69,MATCH($F198,'Make Factors'!$B$5:$B$69,0)),"?"))</f>
        <v/>
      </c>
      <c r="BA198" s="97" t="str">
        <f>IF($A198="","",IFERROR(INDEX('Driver Factors'!$C$6:$C$15,MATCH($R198,'Driver Factors'!$B$6:$B$15,0)),"?"))</f>
        <v/>
      </c>
      <c r="BB198" s="97" t="str">
        <f>IF($A198="","",IFERROR(INDEX('Driver Factors'!$C$19:$C$24,MATCH($S198,'Driver Factors'!$B$19:$B$24,0)),"?"))</f>
        <v/>
      </c>
      <c r="BC198" s="97" t="str">
        <f>IF($A198="","",IFERROR(INDEX('Driver Factors'!$C$28:$C$36,MATCH($T198,'Driver Factors'!$B$28:$B$36,0)),"?"))</f>
        <v/>
      </c>
      <c r="BD198" s="97" t="str">
        <f>IF($A198="","",IFERROR(INDEX('Claims History'!$C$6:$C$15,MATCH($U198,'Claims History'!$B$6:$B$15,0)),"?"))</f>
        <v/>
      </c>
      <c r="BE198" s="97" t="str">
        <f>IF($A198="","",IFERROR(INDEX('Territory Factors'!$E$6:$E$56,MATCH($K198,'Territory Factors'!$B$6:$B$56,0)),"?"))</f>
        <v/>
      </c>
      <c r="BF198" s="97" t="str">
        <f>IF($A198="","",IFERROR(INDEX('City Accident Ratings'!$G$6:$G$54,MATCH($Z198,'City Accident Ratings'!$B$6:$B$54,0)),"?"))</f>
        <v/>
      </c>
      <c r="BG198" s="97" t="str">
        <f>IF($A198="","",IFERROR(INDEX('Usage and Coverage'!$D$6:$D$20,MATCH($N198,'Usage and Coverage'!$C$6:$C$20,0)),"?"))</f>
        <v/>
      </c>
      <c r="BH198" s="97" t="str">
        <f>IF($A198="","",IFERROR(INDEX('Usage and Coverage'!$C$24:$C$30,MATCH($O198,'Usage and Coverage'!$B$24:$B$30,0)),"?"))</f>
        <v/>
      </c>
      <c r="BI198" s="97" t="str">
        <f>IF($A198="","",IFERROR(INDEX('Usage and Coverage'!$C$34:$C$40,MATCH($P198,'Usage and Coverage'!$B$34:$B$40,0)),"?"))</f>
        <v/>
      </c>
      <c r="BJ198" s="97" t="str">
        <f>IF($A198="","",IFERROR(INDEX('Usage and Coverage'!$C$44:$C$49,MATCH($Q198,'Usage and Coverage'!$B$44:$B$49,0)),"?"))</f>
        <v/>
      </c>
      <c r="BK198" s="97" t="str">
        <f>IF($A198="","",IFERROR(INDEX(Deductibles!$C$6:$I$15,MATCH($W198,Deductibles!$B$6:$B$15,0),MATCH(MAX($J198,'Technical Premium'!$C$18),'Base Rates'!$C$3:$I$3,1)),"?"))</f>
        <v/>
      </c>
      <c r="BL198" s="97" t="str">
        <f>IF($A198="","",IFERROR(INDEX('Usage and Coverage'!$C$63:$C$66,MATCH($X198,'Usage and Coverage'!$B$63:$B$66,0)),"?"))</f>
        <v/>
      </c>
      <c r="BM198" s="97" t="str">
        <f>IF($A198="","",IFERROR(INDEX('Usage and Coverage'!$C$70:$C$75,MATCH($V198,'Usage and Coverage'!$B$70:$B$75,0)),"?"))</f>
        <v/>
      </c>
      <c r="BN198" s="97" t="str">
        <f>IF($A198="","",IF($AB198="",1,IFERROR(INDEX(Deductibles!$C$48:$C$51,MATCH($AB198,Deductibles!$B$48:$B$51,0)),"?")))</f>
        <v/>
      </c>
      <c r="BO198" s="97" t="str">
        <f>IF($A198="","",IF($AC198="",1,IFERROR(INDEX(Deductibles!$C$55:$C$57,MATCH($AC198,Deductibles!$B$55:$B$57,0)),"?")))</f>
        <v/>
      </c>
      <c r="BP198" s="97" t="str">
        <f>IF($A198="","",IF($AD198="",1,IFERROR(INDEX(Deductibles!$C$61:$C$63,MATCH($AD198,Deductibles!$B$61:$B$63,0)),"?")))</f>
        <v/>
      </c>
      <c r="BQ198" s="97" t="str">
        <f>IF($A198="","",IF($AE198="",1,IFERROR(INDEX(Deductibles!$C$67:$C$69,MATCH($AE198,Deductibles!$B$67:$B$69,0)),"?")))</f>
        <v/>
      </c>
      <c r="BR198" s="97" t="str">
        <f>IF($A198="","",IF($AF198="",1,IFERROR(INDEX(Deductibles!$C$73:$C$74,MATCH($AF198,Deductibles!$B$73:$B$74,0)),"?")))</f>
        <v/>
      </c>
      <c r="BS198" s="97" t="str">
        <f>IF($A198="","",IF($AG198="",1,IFERROR(INDEX('Sublimits and Parts'!$C$49:$C$52,MATCH($AG198,'Sublimits and Parts'!$B$49:$B$52,0)),"?")))</f>
        <v/>
      </c>
      <c r="BT198" s="97" t="str">
        <f>IF($A198="","",IF($AH198="",1,IFERROR(INDEX('Sublimits and Parts'!$C$56:$C$60,MATCH($AH198,'Sublimits and Parts'!$B$56:$B$60,0)),"?")))</f>
        <v/>
      </c>
      <c r="BU198" s="97" t="str">
        <f>IF($A198="","",IF($AI198="",1,IFERROR(INDEX('Sublimits and Parts'!$C$64:$C$67,MATCH($AI198,'Sublimits and Parts'!$B$64:$B$67,0)),"?")))</f>
        <v/>
      </c>
      <c r="BV198" s="97" t="str">
        <f>IF($A198="","",IF($AJ198="",1,IFERROR(INDEX('Sublimits and Parts'!$C$71:$C$74,MATCH($AJ198,'Sublimits and Parts'!$B$71:$B$74,0)),"?")))</f>
        <v/>
      </c>
      <c r="BW198" s="97" t="str">
        <f>IF($A198="","",IF($AK198="",1,IFERROR(INDEX('Sublimits and Parts'!$C$78:$C$80,MATCH($AK198,'Sublimits and Parts'!$B$78:$B$80,0)),"?")))</f>
        <v/>
      </c>
      <c r="BX198" s="97" t="str">
        <f>IF($A198="","",IF($AL198="",1,IFERROR(INDEX('Sublimits and Parts'!$C$84:$C$87,MATCH($AL198,'Sublimits and Parts'!$B$84:$B$87,0)),"?")))</f>
        <v/>
      </c>
      <c r="BY198" s="97" t="str">
        <f>IF($A198="","",IF($AM198="",1,IFERROR(INDEX('Sublimits and Parts'!$C$91:$C$94,MATCH($AM198,'Sublimits and Parts'!$B$91:$B$94,0)),"?")))</f>
        <v/>
      </c>
      <c r="BZ198" s="97" t="str">
        <f>IF($A198="","",IF($AN198="",1,IFERROR(INDEX('Sublimits and Parts'!$C$98:$C$101,MATCH($AN198,'Sublimits and Parts'!$B$98:$B$101,0)),"?")))</f>
        <v/>
      </c>
      <c r="CA198" s="97" t="str">
        <f>IF($A198="","",IF($AO198="",1,IFERROR(INDEX('Sublimits and Parts'!$C$105:$C$109,MATCH($AO198,'Sublimits and Parts'!$B$105:$B$109,0)),"?")))</f>
        <v/>
      </c>
      <c r="CB198" s="98" t="str">
        <f t="shared" si="41"/>
        <v/>
      </c>
      <c r="CC198" s="98" t="str">
        <f t="shared" si="42"/>
        <v/>
      </c>
      <c r="CD198" s="101" t="str">
        <f>IF($A198="","",IF(OR($CB198="?",$CC198="?"),"?",MIN($CB198*$CC198,'Technical Premium'!$C$17)))</f>
        <v/>
      </c>
      <c r="CE198" s="100" t="str">
        <f t="shared" si="43"/>
        <v/>
      </c>
      <c r="CF198" s="100" t="str">
        <f>IF($A198="","",IFERROR(INDEX('Territory Factors'!$F$6:$F$56,MATCH($K198,'Territory Factors'!$B$6:$B$56,0)),"?"))</f>
        <v/>
      </c>
      <c r="CG198" s="98" t="str">
        <f>IF($A198="","",IFERROR(INDEX('Usage and Coverage'!$C$79:$C$84,MATCH($Y198,'Usage and Coverage'!$B$79:$B$84,0)),"?"))</f>
        <v/>
      </c>
      <c r="CH198" s="100" t="str">
        <f>IFERROR(IF(ISNUMBER($CD198),$CF198*$CG198*MIN($BG198*$BA198*$BC198*$BD198*$BH198*$BF198,'Technical Premium'!$C$17),""),"")</f>
        <v/>
      </c>
      <c r="CI198" s="100" t="str">
        <f t="shared" si="44"/>
        <v/>
      </c>
      <c r="CJ198" s="100" t="str">
        <f>IFERROR($CI198*(1+'Technical Premium'!$C$5)*(1+'Technical Premium'!$C$6),"")</f>
        <v/>
      </c>
      <c r="CK198" s="100" t="str">
        <f>IFERROR($CE198*INDEX('Territory Factors'!$G$6:$G$56,MATCH($K198,'Territory Factors'!$B$6:$B$56,0))*$AU198*$AV198,"")</f>
        <v/>
      </c>
      <c r="CL198" s="100" t="str">
        <f>IFERROR(($CJ198+$CK198)*(1+'Technical Premium'!$C$7),"")</f>
        <v/>
      </c>
      <c r="CM198" s="102" t="str">
        <f>IFERROR($CL198/'Technical Premium'!$C$13,"")</f>
        <v/>
      </c>
      <c r="CN198" s="103" t="str">
        <f t="shared" si="45"/>
        <v/>
      </c>
      <c r="CO198" s="102" t="str">
        <f t="shared" si="46"/>
        <v/>
      </c>
      <c r="CP198" s="103" t="str">
        <f t="shared" si="47"/>
        <v/>
      </c>
      <c r="CQ198" s="104" t="str">
        <f t="shared" si="48"/>
        <v/>
      </c>
      <c r="CR198" s="100" t="str">
        <f>IF(ISNUMBER($CM198),'Technical Premium'!$C$14+IF($J198&gt;=1000000,'Technical Premium'!$C$15,0),"")</f>
        <v/>
      </c>
      <c r="CS198" s="100" t="str">
        <f>IFERROR(($CO198+$CR198)*(INDEX('Territory Factors'!$K$6:$K$56,MATCH($K198,'Territory Factors'!$B$6:$B$56,0))+'Commission Structure'!$C$21),"")</f>
        <v/>
      </c>
      <c r="CT198" s="102" t="str">
        <f t="shared" si="49"/>
        <v/>
      </c>
      <c r="CU198" s="100" t="str">
        <f>IFERROR($CO198*('Commission Structure'!$C$6+'Commission Structure'!$C$7),"")</f>
        <v/>
      </c>
      <c r="CV198" s="100" t="str">
        <f>IFERROR($CO198*'Commission Structure'!$C$5-$CU198,"")</f>
        <v/>
      </c>
      <c r="CW198" s="100" t="str">
        <f>IFERROR($CO198*(1-'Commission Structure'!$C$5),"")</f>
        <v/>
      </c>
      <c r="CX198" s="105" t="str">
        <f>IF($A198="","",IF(OR($CB198="?",$CC198="?",NOT(ISNUMBER($AU198))),"CHECK INPUTS",IF(OR($J198&lt;'Technical Premium'!$C$18,LEFT(IFERROR(INDEX('Driver Factors'!$D$6:$D$15,MATCH($R198,'Driver Factors'!$B$6:$B$15,0)),""),7)="DECLINE",LEFT(IFERROR(INDEX('Driver Factors'!$D$28:$D$36,MATCH($T198,'Driver Factors'!$B$28:$B$36,0)),""),7)="DECLINE",LEFT(IFERROR(INDEX('Claims History'!$D$6:$D$15,MATCH($U198,'Claims History'!$B$6:$B$15,0)),""),7)="DECLINE",LEFT(IFERROR(INDEX('Usage and Coverage'!$E$6:$E$20,MATCH($N198,'Usage and Coverage'!$C$6:$C$20,0)),""),7)="DECLINE"),"DECLINE",IF(OR($CD198&gt;2.5,$CD198&gt;='Technical Premium'!$C$17,$J198&gt;='Technical Premium'!$C$16,N($AQ198)&lt;'Technical Premium'!$C$19,N($AQ198)&gt;'Technical Premium'!$C$20,LEFT(IFERROR(INDEX('Driver Factors'!$D$6:$D$15,MATCH($R198,'Driver Factors'!$B$6:$B$15,0)),""),5)="Refer",LEFT(IFERROR(INDEX('Driver Factors'!$D$28:$D$36,MATCH($T198,'Driver Factors'!$B$28:$B$36,0)),""),5)="Refer",LEFT(IFERROR(INDEX('Claims History'!$D$6:$D$15,MATCH($U198,'Claims History'!$B$6:$B$15,0)),""),5)="Refer",LEFT(IFERROR(INDEX('Usage and Coverage'!$E$6:$E$20,MATCH($N198,'Usage and Coverage'!$C$6:$C$20,0)),""),5)="Refer"),"REFER","AUTO-BIND"))))</f>
        <v/>
      </c>
      <c r="CY198" s="106" t="str">
        <f t="shared" si="50"/>
        <v/>
      </c>
      <c r="CZ198" s="97" t="str">
        <f>IF($CY198="","",IF($CY198&lt;'Technical Premium'!$C$19,"BEYOND AUTHORITY",IF($CY198&gt;0.005,"Above technical",IF($CY198&lt;-0.005,"BELOW technical","At technical"))))</f>
        <v/>
      </c>
      <c r="DA198" s="97" t="str">
        <f>IF($A198="","",IF($CX198="AUTO-BIND","",TRIM(IF($J198&lt;'Technical Premium'!$C$18,"Below programme minimum agreed value. ","")&amp;IF(N($AQ198)&lt;'Technical Premium'!$C$19,"DISCOUNT AUTHORITY BREACH. ","")&amp;IF(N($AQ198)&gt;'Technical Premium'!$C$20,"Load authority breach. ","")&amp;IF($J198&gt;='Technical Premium'!$C$16,"Agreed value at or above auto-bind limit. ","")&amp;IF(AND(ISNUMBER($CD198),$CD198&gt;='Technical Premium'!$C$17),"Composite factor at cap. ","")&amp;IF(AND(ISNUMBER($CD198),$CD198&gt;2.5),"Composite factor above 2.50. ","")&amp;IF(LEFT(IFERROR(INDEX('Driver Factors'!$D$6:$D$15,MATCH($R198,'Driver Factors'!$B$6:$B$15,0)),""),7)="DECLINE","DECLINE - driver age. ",IF(LEFT(IFERROR(INDEX('Driver Factors'!$D$6:$D$15,MATCH($R198,'Driver Factors'!$B$6:$B$15,0)),""),5)="Refer","Driver age band. ",""))&amp;IF(LEFT(IFERROR(INDEX('Driver Factors'!$D$28:$D$36,MATCH($T198,'Driver Factors'!$B$28:$B$36,0)),""),7)="DECLINE","DECLINE - MVR. ",IF(LEFT(IFERROR(INDEX('Driver Factors'!$D$28:$D$36,MATCH($T198,'Driver Factors'!$B$28:$B$36,0)),""),5)="Refer","MVR record. ",""))&amp;IF(LEFT(IFERROR(INDEX('Claims History'!$D$6:$D$15,MATCH($U198,'Claims History'!$B$6:$B$15,0)),""),7)="DECLINE","DECLINE - claims. ",IF(LEFT(IFERROR(INDEX('Claims History'!$D$6:$D$15,MATCH($U198,'Claims History'!$B$6:$B$15,0)),""),5)="Refer","Claims history. ",""))&amp;IF(LEFT(IFERROR(INDEX('Usage and Coverage'!$E$6:$E$20,MATCH($N198,'Usage and Coverage'!$C$6:$C$20,0)),""),7)="DECLINE","DECLINE - usage class. ",IF(LEFT(IFERROR(INDEX('Usage and Coverage'!$E$6:$E$20,MATCH($N198,'Usage and Coverage'!$C$6:$C$20,0)),""),5)="Refer","Usage class. ",""))&amp;IF($CX198="CHECK INPUTS","Incomplete inputs. ",""))))</f>
        <v/>
      </c>
      <c r="DB198" s="92"/>
      <c r="DC198" s="92"/>
      <c r="DD198" s="93"/>
      <c r="DE198" s="92"/>
      <c r="DF198" s="92"/>
      <c r="DG198" s="97" t="str">
        <f t="shared" si="51"/>
        <v/>
      </c>
      <c r="DH198" s="97" t="str">
        <f>IF($A198="","",IF(OR($CX198="REFER",$CX198="DECLINE"),COUNTIF($CX$5:$CX198,"REFER")+COUNTIF($CX$5:$CX198,"DECLINE"),""))</f>
        <v/>
      </c>
      <c r="DI198" s="92"/>
    </row>
    <row r="199" spans="1:113" x14ac:dyDescent="0.25">
      <c r="A199" s="92"/>
      <c r="B199" s="92"/>
      <c r="C199" s="93"/>
      <c r="D199" s="93"/>
      <c r="E199" s="94"/>
      <c r="F199" s="92"/>
      <c r="G199" s="92"/>
      <c r="H199" s="92"/>
      <c r="I199" s="92"/>
      <c r="J199" s="95"/>
      <c r="K199" s="92"/>
      <c r="L199" s="92"/>
      <c r="M199" s="92"/>
      <c r="N199" s="92"/>
      <c r="O199" s="92"/>
      <c r="P199" s="92"/>
      <c r="Q199" s="92"/>
      <c r="R199" s="92"/>
      <c r="S199" s="92"/>
      <c r="T199" s="92"/>
      <c r="U199" s="92"/>
      <c r="V199" s="92"/>
      <c r="W199" s="92"/>
      <c r="X199" s="92"/>
      <c r="Y199" s="92"/>
      <c r="Z199" s="92"/>
      <c r="AA199" s="92"/>
      <c r="AB199" s="92"/>
      <c r="AC199" s="92"/>
      <c r="AD199" s="92"/>
      <c r="AE199" s="92"/>
      <c r="AF199" s="92"/>
      <c r="AG199" s="92"/>
      <c r="AH199" s="92"/>
      <c r="AI199" s="92"/>
      <c r="AJ199" s="92"/>
      <c r="AK199" s="92"/>
      <c r="AL199" s="92"/>
      <c r="AM199" s="92"/>
      <c r="AN199" s="92"/>
      <c r="AO199" s="92"/>
      <c r="AP199" s="92"/>
      <c r="AQ199" s="96"/>
      <c r="AR199" s="97" t="str">
        <f t="shared" si="39"/>
        <v/>
      </c>
      <c r="AS199" s="97" t="str">
        <f>IF($A199="","",IF($AP199&lt;&gt;"",$AP199,IFERROR(INDEX('Cat Zone by ZIP'!$D$6:$D$856,MATCH($AR199,'Cat Zone by ZIP'!$B$6:$B$856,0)),IFERROR(INDEX('Cat Zone by ZIP'!$C$860:$C$910,MATCH($K199,'Cat Zone by ZIP'!$B$860:$B$910,0)),"NOT FOUND"))))</f>
        <v/>
      </c>
      <c r="AT199" s="97" t="str">
        <f>IF($A199="","",IF($AP199&lt;&gt;"","Override",IF(ISNUMBER(MATCH($AR199,'Cat Zone by ZIP'!$B$6:$B$856,0)),"ZIP-3","State default")))</f>
        <v/>
      </c>
      <c r="AU199" s="98" t="str">
        <f>IF($A199="","",IFERROR(INDEX('Natural Catastrophe'!$D$6:$D$17,MATCH($AS199,'Natural Catastrophe'!$B$6:$B$17,0)),"?"))</f>
        <v/>
      </c>
      <c r="AV199" s="98" t="str">
        <f>IF($A199="","",IFERROR(INDEX('Natural Catastrophe'!$C$21:$C$26,MATCH($AA199,'Natural Catastrophe'!$B$21:$B$26,0)),"?"))</f>
        <v/>
      </c>
      <c r="AW199" s="97" t="str">
        <f>IF($A199="","",IFERROR(INDEX('Base Rates'!$C$4:$I$4,MATCH(MAX($J199,'Technical Premium'!$C$18),'Base Rates'!$C$3:$I$3,1)),"?"))</f>
        <v/>
      </c>
      <c r="AX199" s="99" t="str">
        <f>IF($A199="","",IFERROR(INDEX('Base Rates'!$C$5:$I$16,MATCH($I199,'Base Rates'!$B$5:$B$16,0),MATCH(MAX($J199,'Technical Premium'!$C$18),'Base Rates'!$C$3:$I$3,1)),"?"))</f>
        <v/>
      </c>
      <c r="AY199" s="100" t="str">
        <f t="shared" si="40"/>
        <v/>
      </c>
      <c r="AZ199" s="97" t="str">
        <f>IF($A199="","",IFERROR(INDEX('Make Factors'!$G$5:$G$69,MATCH($F199,'Make Factors'!$B$5:$B$69,0)),"?"))</f>
        <v/>
      </c>
      <c r="BA199" s="97" t="str">
        <f>IF($A199="","",IFERROR(INDEX('Driver Factors'!$C$6:$C$15,MATCH($R199,'Driver Factors'!$B$6:$B$15,0)),"?"))</f>
        <v/>
      </c>
      <c r="BB199" s="97" t="str">
        <f>IF($A199="","",IFERROR(INDEX('Driver Factors'!$C$19:$C$24,MATCH($S199,'Driver Factors'!$B$19:$B$24,0)),"?"))</f>
        <v/>
      </c>
      <c r="BC199" s="97" t="str">
        <f>IF($A199="","",IFERROR(INDEX('Driver Factors'!$C$28:$C$36,MATCH($T199,'Driver Factors'!$B$28:$B$36,0)),"?"))</f>
        <v/>
      </c>
      <c r="BD199" s="97" t="str">
        <f>IF($A199="","",IFERROR(INDEX('Claims History'!$C$6:$C$15,MATCH($U199,'Claims History'!$B$6:$B$15,0)),"?"))</f>
        <v/>
      </c>
      <c r="BE199" s="97" t="str">
        <f>IF($A199="","",IFERROR(INDEX('Territory Factors'!$E$6:$E$56,MATCH($K199,'Territory Factors'!$B$6:$B$56,0)),"?"))</f>
        <v/>
      </c>
      <c r="BF199" s="97" t="str">
        <f>IF($A199="","",IFERROR(INDEX('City Accident Ratings'!$G$6:$G$54,MATCH($Z199,'City Accident Ratings'!$B$6:$B$54,0)),"?"))</f>
        <v/>
      </c>
      <c r="BG199" s="97" t="str">
        <f>IF($A199="","",IFERROR(INDEX('Usage and Coverage'!$D$6:$D$20,MATCH($N199,'Usage and Coverage'!$C$6:$C$20,0)),"?"))</f>
        <v/>
      </c>
      <c r="BH199" s="97" t="str">
        <f>IF($A199="","",IFERROR(INDEX('Usage and Coverage'!$C$24:$C$30,MATCH($O199,'Usage and Coverage'!$B$24:$B$30,0)),"?"))</f>
        <v/>
      </c>
      <c r="BI199" s="97" t="str">
        <f>IF($A199="","",IFERROR(INDEX('Usage and Coverage'!$C$34:$C$40,MATCH($P199,'Usage and Coverage'!$B$34:$B$40,0)),"?"))</f>
        <v/>
      </c>
      <c r="BJ199" s="97" t="str">
        <f>IF($A199="","",IFERROR(INDEX('Usage and Coverage'!$C$44:$C$49,MATCH($Q199,'Usage and Coverage'!$B$44:$B$49,0)),"?"))</f>
        <v/>
      </c>
      <c r="BK199" s="97" t="str">
        <f>IF($A199="","",IFERROR(INDEX(Deductibles!$C$6:$I$15,MATCH($W199,Deductibles!$B$6:$B$15,0),MATCH(MAX($J199,'Technical Premium'!$C$18),'Base Rates'!$C$3:$I$3,1)),"?"))</f>
        <v/>
      </c>
      <c r="BL199" s="97" t="str">
        <f>IF($A199="","",IFERROR(INDEX('Usage and Coverage'!$C$63:$C$66,MATCH($X199,'Usage and Coverage'!$B$63:$B$66,0)),"?"))</f>
        <v/>
      </c>
      <c r="BM199" s="97" t="str">
        <f>IF($A199="","",IFERROR(INDEX('Usage and Coverage'!$C$70:$C$75,MATCH($V199,'Usage and Coverage'!$B$70:$B$75,0)),"?"))</f>
        <v/>
      </c>
      <c r="BN199" s="97" t="str">
        <f>IF($A199="","",IF($AB199="",1,IFERROR(INDEX(Deductibles!$C$48:$C$51,MATCH($AB199,Deductibles!$B$48:$B$51,0)),"?")))</f>
        <v/>
      </c>
      <c r="BO199" s="97" t="str">
        <f>IF($A199="","",IF($AC199="",1,IFERROR(INDEX(Deductibles!$C$55:$C$57,MATCH($AC199,Deductibles!$B$55:$B$57,0)),"?")))</f>
        <v/>
      </c>
      <c r="BP199" s="97" t="str">
        <f>IF($A199="","",IF($AD199="",1,IFERROR(INDEX(Deductibles!$C$61:$C$63,MATCH($AD199,Deductibles!$B$61:$B$63,0)),"?")))</f>
        <v/>
      </c>
      <c r="BQ199" s="97" t="str">
        <f>IF($A199="","",IF($AE199="",1,IFERROR(INDEX(Deductibles!$C$67:$C$69,MATCH($AE199,Deductibles!$B$67:$B$69,0)),"?")))</f>
        <v/>
      </c>
      <c r="BR199" s="97" t="str">
        <f>IF($A199="","",IF($AF199="",1,IFERROR(INDEX(Deductibles!$C$73:$C$74,MATCH($AF199,Deductibles!$B$73:$B$74,0)),"?")))</f>
        <v/>
      </c>
      <c r="BS199" s="97" t="str">
        <f>IF($A199="","",IF($AG199="",1,IFERROR(INDEX('Sublimits and Parts'!$C$49:$C$52,MATCH($AG199,'Sublimits and Parts'!$B$49:$B$52,0)),"?")))</f>
        <v/>
      </c>
      <c r="BT199" s="97" t="str">
        <f>IF($A199="","",IF($AH199="",1,IFERROR(INDEX('Sublimits and Parts'!$C$56:$C$60,MATCH($AH199,'Sublimits and Parts'!$B$56:$B$60,0)),"?")))</f>
        <v/>
      </c>
      <c r="BU199" s="97" t="str">
        <f>IF($A199="","",IF($AI199="",1,IFERROR(INDEX('Sublimits and Parts'!$C$64:$C$67,MATCH($AI199,'Sublimits and Parts'!$B$64:$B$67,0)),"?")))</f>
        <v/>
      </c>
      <c r="BV199" s="97" t="str">
        <f>IF($A199="","",IF($AJ199="",1,IFERROR(INDEX('Sublimits and Parts'!$C$71:$C$74,MATCH($AJ199,'Sublimits and Parts'!$B$71:$B$74,0)),"?")))</f>
        <v/>
      </c>
      <c r="BW199" s="97" t="str">
        <f>IF($A199="","",IF($AK199="",1,IFERROR(INDEX('Sublimits and Parts'!$C$78:$C$80,MATCH($AK199,'Sublimits and Parts'!$B$78:$B$80,0)),"?")))</f>
        <v/>
      </c>
      <c r="BX199" s="97" t="str">
        <f>IF($A199="","",IF($AL199="",1,IFERROR(INDEX('Sublimits and Parts'!$C$84:$C$87,MATCH($AL199,'Sublimits and Parts'!$B$84:$B$87,0)),"?")))</f>
        <v/>
      </c>
      <c r="BY199" s="97" t="str">
        <f>IF($A199="","",IF($AM199="",1,IFERROR(INDEX('Sublimits and Parts'!$C$91:$C$94,MATCH($AM199,'Sublimits and Parts'!$B$91:$B$94,0)),"?")))</f>
        <v/>
      </c>
      <c r="BZ199" s="97" t="str">
        <f>IF($A199="","",IF($AN199="",1,IFERROR(INDEX('Sublimits and Parts'!$C$98:$C$101,MATCH($AN199,'Sublimits and Parts'!$B$98:$B$101,0)),"?")))</f>
        <v/>
      </c>
      <c r="CA199" s="97" t="str">
        <f>IF($A199="","",IF($AO199="",1,IFERROR(INDEX('Sublimits and Parts'!$C$105:$C$109,MATCH($AO199,'Sublimits and Parts'!$B$105:$B$109,0)),"?")))</f>
        <v/>
      </c>
      <c r="CB199" s="98" t="str">
        <f t="shared" si="41"/>
        <v/>
      </c>
      <c r="CC199" s="98" t="str">
        <f t="shared" si="42"/>
        <v/>
      </c>
      <c r="CD199" s="101" t="str">
        <f>IF($A199="","",IF(OR($CB199="?",$CC199="?"),"?",MIN($CB199*$CC199,'Technical Premium'!$C$17)))</f>
        <v/>
      </c>
      <c r="CE199" s="100" t="str">
        <f t="shared" si="43"/>
        <v/>
      </c>
      <c r="CF199" s="100" t="str">
        <f>IF($A199="","",IFERROR(INDEX('Territory Factors'!$F$6:$F$56,MATCH($K199,'Territory Factors'!$B$6:$B$56,0)),"?"))</f>
        <v/>
      </c>
      <c r="CG199" s="98" t="str">
        <f>IF($A199="","",IFERROR(INDEX('Usage and Coverage'!$C$79:$C$84,MATCH($Y199,'Usage and Coverage'!$B$79:$B$84,0)),"?"))</f>
        <v/>
      </c>
      <c r="CH199" s="100" t="str">
        <f>IFERROR(IF(ISNUMBER($CD199),$CF199*$CG199*MIN($BG199*$BA199*$BC199*$BD199*$BH199*$BF199,'Technical Premium'!$C$17),""),"")</f>
        <v/>
      </c>
      <c r="CI199" s="100" t="str">
        <f t="shared" si="44"/>
        <v/>
      </c>
      <c r="CJ199" s="100" t="str">
        <f>IFERROR($CI199*(1+'Technical Premium'!$C$5)*(1+'Technical Premium'!$C$6),"")</f>
        <v/>
      </c>
      <c r="CK199" s="100" t="str">
        <f>IFERROR($CE199*INDEX('Territory Factors'!$G$6:$G$56,MATCH($K199,'Territory Factors'!$B$6:$B$56,0))*$AU199*$AV199,"")</f>
        <v/>
      </c>
      <c r="CL199" s="100" t="str">
        <f>IFERROR(($CJ199+$CK199)*(1+'Technical Premium'!$C$7),"")</f>
        <v/>
      </c>
      <c r="CM199" s="102" t="str">
        <f>IFERROR($CL199/'Technical Premium'!$C$13,"")</f>
        <v/>
      </c>
      <c r="CN199" s="103" t="str">
        <f t="shared" si="45"/>
        <v/>
      </c>
      <c r="CO199" s="102" t="str">
        <f t="shared" si="46"/>
        <v/>
      </c>
      <c r="CP199" s="103" t="str">
        <f t="shared" si="47"/>
        <v/>
      </c>
      <c r="CQ199" s="104" t="str">
        <f t="shared" si="48"/>
        <v/>
      </c>
      <c r="CR199" s="100" t="str">
        <f>IF(ISNUMBER($CM199),'Technical Premium'!$C$14+IF($J199&gt;=1000000,'Technical Premium'!$C$15,0),"")</f>
        <v/>
      </c>
      <c r="CS199" s="100" t="str">
        <f>IFERROR(($CO199+$CR199)*(INDEX('Territory Factors'!$K$6:$K$56,MATCH($K199,'Territory Factors'!$B$6:$B$56,0))+'Commission Structure'!$C$21),"")</f>
        <v/>
      </c>
      <c r="CT199" s="102" t="str">
        <f t="shared" si="49"/>
        <v/>
      </c>
      <c r="CU199" s="100" t="str">
        <f>IFERROR($CO199*('Commission Structure'!$C$6+'Commission Structure'!$C$7),"")</f>
        <v/>
      </c>
      <c r="CV199" s="100" t="str">
        <f>IFERROR($CO199*'Commission Structure'!$C$5-$CU199,"")</f>
        <v/>
      </c>
      <c r="CW199" s="100" t="str">
        <f>IFERROR($CO199*(1-'Commission Structure'!$C$5),"")</f>
        <v/>
      </c>
      <c r="CX199" s="105" t="str">
        <f>IF($A199="","",IF(OR($CB199="?",$CC199="?",NOT(ISNUMBER($AU199))),"CHECK INPUTS",IF(OR($J199&lt;'Technical Premium'!$C$18,LEFT(IFERROR(INDEX('Driver Factors'!$D$6:$D$15,MATCH($R199,'Driver Factors'!$B$6:$B$15,0)),""),7)="DECLINE",LEFT(IFERROR(INDEX('Driver Factors'!$D$28:$D$36,MATCH($T199,'Driver Factors'!$B$28:$B$36,0)),""),7)="DECLINE",LEFT(IFERROR(INDEX('Claims History'!$D$6:$D$15,MATCH($U199,'Claims History'!$B$6:$B$15,0)),""),7)="DECLINE",LEFT(IFERROR(INDEX('Usage and Coverage'!$E$6:$E$20,MATCH($N199,'Usage and Coverage'!$C$6:$C$20,0)),""),7)="DECLINE"),"DECLINE",IF(OR($CD199&gt;2.5,$CD199&gt;='Technical Premium'!$C$17,$J199&gt;='Technical Premium'!$C$16,N($AQ199)&lt;'Technical Premium'!$C$19,N($AQ199)&gt;'Technical Premium'!$C$20,LEFT(IFERROR(INDEX('Driver Factors'!$D$6:$D$15,MATCH($R199,'Driver Factors'!$B$6:$B$15,0)),""),5)="Refer",LEFT(IFERROR(INDEX('Driver Factors'!$D$28:$D$36,MATCH($T199,'Driver Factors'!$B$28:$B$36,0)),""),5)="Refer",LEFT(IFERROR(INDEX('Claims History'!$D$6:$D$15,MATCH($U199,'Claims History'!$B$6:$B$15,0)),""),5)="Refer",LEFT(IFERROR(INDEX('Usage and Coverage'!$E$6:$E$20,MATCH($N199,'Usage and Coverage'!$C$6:$C$20,0)),""),5)="Refer"),"REFER","AUTO-BIND"))))</f>
        <v/>
      </c>
      <c r="CY199" s="106" t="str">
        <f t="shared" si="50"/>
        <v/>
      </c>
      <c r="CZ199" s="97" t="str">
        <f>IF($CY199="","",IF($CY199&lt;'Technical Premium'!$C$19,"BEYOND AUTHORITY",IF($CY199&gt;0.005,"Above technical",IF($CY199&lt;-0.005,"BELOW technical","At technical"))))</f>
        <v/>
      </c>
      <c r="DA199" s="97" t="str">
        <f>IF($A199="","",IF($CX199="AUTO-BIND","",TRIM(IF($J199&lt;'Technical Premium'!$C$18,"Below programme minimum agreed value. ","")&amp;IF(N($AQ199)&lt;'Technical Premium'!$C$19,"DISCOUNT AUTHORITY BREACH. ","")&amp;IF(N($AQ199)&gt;'Technical Premium'!$C$20,"Load authority breach. ","")&amp;IF($J199&gt;='Technical Premium'!$C$16,"Agreed value at or above auto-bind limit. ","")&amp;IF(AND(ISNUMBER($CD199),$CD199&gt;='Technical Premium'!$C$17),"Composite factor at cap. ","")&amp;IF(AND(ISNUMBER($CD199),$CD199&gt;2.5),"Composite factor above 2.50. ","")&amp;IF(LEFT(IFERROR(INDEX('Driver Factors'!$D$6:$D$15,MATCH($R199,'Driver Factors'!$B$6:$B$15,0)),""),7)="DECLINE","DECLINE - driver age. ",IF(LEFT(IFERROR(INDEX('Driver Factors'!$D$6:$D$15,MATCH($R199,'Driver Factors'!$B$6:$B$15,0)),""),5)="Refer","Driver age band. ",""))&amp;IF(LEFT(IFERROR(INDEX('Driver Factors'!$D$28:$D$36,MATCH($T199,'Driver Factors'!$B$28:$B$36,0)),""),7)="DECLINE","DECLINE - MVR. ",IF(LEFT(IFERROR(INDEX('Driver Factors'!$D$28:$D$36,MATCH($T199,'Driver Factors'!$B$28:$B$36,0)),""),5)="Refer","MVR record. ",""))&amp;IF(LEFT(IFERROR(INDEX('Claims History'!$D$6:$D$15,MATCH($U199,'Claims History'!$B$6:$B$15,0)),""),7)="DECLINE","DECLINE - claims. ",IF(LEFT(IFERROR(INDEX('Claims History'!$D$6:$D$15,MATCH($U199,'Claims History'!$B$6:$B$15,0)),""),5)="Refer","Claims history. ",""))&amp;IF(LEFT(IFERROR(INDEX('Usage and Coverage'!$E$6:$E$20,MATCH($N199,'Usage and Coverage'!$C$6:$C$20,0)),""),7)="DECLINE","DECLINE - usage class. ",IF(LEFT(IFERROR(INDEX('Usage and Coverage'!$E$6:$E$20,MATCH($N199,'Usage and Coverage'!$C$6:$C$20,0)),""),5)="Refer","Usage class. ",""))&amp;IF($CX199="CHECK INPUTS","Incomplete inputs. ",""))))</f>
        <v/>
      </c>
      <c r="DB199" s="92"/>
      <c r="DC199" s="92"/>
      <c r="DD199" s="93"/>
      <c r="DE199" s="92"/>
      <c r="DF199" s="92"/>
      <c r="DG199" s="97" t="str">
        <f t="shared" si="51"/>
        <v/>
      </c>
      <c r="DH199" s="97" t="str">
        <f>IF($A199="","",IF(OR($CX199="REFER",$CX199="DECLINE"),COUNTIF($CX$5:$CX199,"REFER")+COUNTIF($CX$5:$CX199,"DECLINE"),""))</f>
        <v/>
      </c>
      <c r="DI199" s="92"/>
    </row>
    <row r="200" spans="1:113" x14ac:dyDescent="0.25">
      <c r="A200" s="92"/>
      <c r="B200" s="92"/>
      <c r="C200" s="93"/>
      <c r="D200" s="93"/>
      <c r="E200" s="94"/>
      <c r="F200" s="92"/>
      <c r="G200" s="92"/>
      <c r="H200" s="92"/>
      <c r="I200" s="92"/>
      <c r="J200" s="95"/>
      <c r="K200" s="92"/>
      <c r="L200" s="92"/>
      <c r="M200" s="92"/>
      <c r="N200" s="92"/>
      <c r="O200" s="92"/>
      <c r="P200" s="92"/>
      <c r="Q200" s="92"/>
      <c r="R200" s="92"/>
      <c r="S200" s="92"/>
      <c r="T200" s="92"/>
      <c r="U200" s="92"/>
      <c r="V200" s="92"/>
      <c r="W200" s="92"/>
      <c r="X200" s="92"/>
      <c r="Y200" s="92"/>
      <c r="Z200" s="92"/>
      <c r="AA200" s="92"/>
      <c r="AB200" s="92"/>
      <c r="AC200" s="92"/>
      <c r="AD200" s="92"/>
      <c r="AE200" s="92"/>
      <c r="AF200" s="92"/>
      <c r="AG200" s="92"/>
      <c r="AH200" s="92"/>
      <c r="AI200" s="92"/>
      <c r="AJ200" s="92"/>
      <c r="AK200" s="92"/>
      <c r="AL200" s="92"/>
      <c r="AM200" s="92"/>
      <c r="AN200" s="92"/>
      <c r="AO200" s="92"/>
      <c r="AP200" s="92"/>
      <c r="AQ200" s="96"/>
      <c r="AR200" s="97" t="str">
        <f t="shared" si="39"/>
        <v/>
      </c>
      <c r="AS200" s="97" t="str">
        <f>IF($A200="","",IF($AP200&lt;&gt;"",$AP200,IFERROR(INDEX('Cat Zone by ZIP'!$D$6:$D$856,MATCH($AR200,'Cat Zone by ZIP'!$B$6:$B$856,0)),IFERROR(INDEX('Cat Zone by ZIP'!$C$860:$C$910,MATCH($K200,'Cat Zone by ZIP'!$B$860:$B$910,0)),"NOT FOUND"))))</f>
        <v/>
      </c>
      <c r="AT200" s="97" t="str">
        <f>IF($A200="","",IF($AP200&lt;&gt;"","Override",IF(ISNUMBER(MATCH($AR200,'Cat Zone by ZIP'!$B$6:$B$856,0)),"ZIP-3","State default")))</f>
        <v/>
      </c>
      <c r="AU200" s="98" t="str">
        <f>IF($A200="","",IFERROR(INDEX('Natural Catastrophe'!$D$6:$D$17,MATCH($AS200,'Natural Catastrophe'!$B$6:$B$17,0)),"?"))</f>
        <v/>
      </c>
      <c r="AV200" s="98" t="str">
        <f>IF($A200="","",IFERROR(INDEX('Natural Catastrophe'!$C$21:$C$26,MATCH($AA200,'Natural Catastrophe'!$B$21:$B$26,0)),"?"))</f>
        <v/>
      </c>
      <c r="AW200" s="97" t="str">
        <f>IF($A200="","",IFERROR(INDEX('Base Rates'!$C$4:$I$4,MATCH(MAX($J200,'Technical Premium'!$C$18),'Base Rates'!$C$3:$I$3,1)),"?"))</f>
        <v/>
      </c>
      <c r="AX200" s="99" t="str">
        <f>IF($A200="","",IFERROR(INDEX('Base Rates'!$C$5:$I$16,MATCH($I200,'Base Rates'!$B$5:$B$16,0),MATCH(MAX($J200,'Technical Premium'!$C$18),'Base Rates'!$C$3:$I$3,1)),"?"))</f>
        <v/>
      </c>
      <c r="AY200" s="100" t="str">
        <f t="shared" si="40"/>
        <v/>
      </c>
      <c r="AZ200" s="97" t="str">
        <f>IF($A200="","",IFERROR(INDEX('Make Factors'!$G$5:$G$69,MATCH($F200,'Make Factors'!$B$5:$B$69,0)),"?"))</f>
        <v/>
      </c>
      <c r="BA200" s="97" t="str">
        <f>IF($A200="","",IFERROR(INDEX('Driver Factors'!$C$6:$C$15,MATCH($R200,'Driver Factors'!$B$6:$B$15,0)),"?"))</f>
        <v/>
      </c>
      <c r="BB200" s="97" t="str">
        <f>IF($A200="","",IFERROR(INDEX('Driver Factors'!$C$19:$C$24,MATCH($S200,'Driver Factors'!$B$19:$B$24,0)),"?"))</f>
        <v/>
      </c>
      <c r="BC200" s="97" t="str">
        <f>IF($A200="","",IFERROR(INDEX('Driver Factors'!$C$28:$C$36,MATCH($T200,'Driver Factors'!$B$28:$B$36,0)),"?"))</f>
        <v/>
      </c>
      <c r="BD200" s="97" t="str">
        <f>IF($A200="","",IFERROR(INDEX('Claims History'!$C$6:$C$15,MATCH($U200,'Claims History'!$B$6:$B$15,0)),"?"))</f>
        <v/>
      </c>
      <c r="BE200" s="97" t="str">
        <f>IF($A200="","",IFERROR(INDEX('Territory Factors'!$E$6:$E$56,MATCH($K200,'Territory Factors'!$B$6:$B$56,0)),"?"))</f>
        <v/>
      </c>
      <c r="BF200" s="97" t="str">
        <f>IF($A200="","",IFERROR(INDEX('City Accident Ratings'!$G$6:$G$54,MATCH($Z200,'City Accident Ratings'!$B$6:$B$54,0)),"?"))</f>
        <v/>
      </c>
      <c r="BG200" s="97" t="str">
        <f>IF($A200="","",IFERROR(INDEX('Usage and Coverage'!$D$6:$D$20,MATCH($N200,'Usage and Coverage'!$C$6:$C$20,0)),"?"))</f>
        <v/>
      </c>
      <c r="BH200" s="97" t="str">
        <f>IF($A200="","",IFERROR(INDEX('Usage and Coverage'!$C$24:$C$30,MATCH($O200,'Usage and Coverage'!$B$24:$B$30,0)),"?"))</f>
        <v/>
      </c>
      <c r="BI200" s="97" t="str">
        <f>IF($A200="","",IFERROR(INDEX('Usage and Coverage'!$C$34:$C$40,MATCH($P200,'Usage and Coverage'!$B$34:$B$40,0)),"?"))</f>
        <v/>
      </c>
      <c r="BJ200" s="97" t="str">
        <f>IF($A200="","",IFERROR(INDEX('Usage and Coverage'!$C$44:$C$49,MATCH($Q200,'Usage and Coverage'!$B$44:$B$49,0)),"?"))</f>
        <v/>
      </c>
      <c r="BK200" s="97" t="str">
        <f>IF($A200="","",IFERROR(INDEX(Deductibles!$C$6:$I$15,MATCH($W200,Deductibles!$B$6:$B$15,0),MATCH(MAX($J200,'Technical Premium'!$C$18),'Base Rates'!$C$3:$I$3,1)),"?"))</f>
        <v/>
      </c>
      <c r="BL200" s="97" t="str">
        <f>IF($A200="","",IFERROR(INDEX('Usage and Coverage'!$C$63:$C$66,MATCH($X200,'Usage and Coverage'!$B$63:$B$66,0)),"?"))</f>
        <v/>
      </c>
      <c r="BM200" s="97" t="str">
        <f>IF($A200="","",IFERROR(INDEX('Usage and Coverage'!$C$70:$C$75,MATCH($V200,'Usage and Coverage'!$B$70:$B$75,0)),"?"))</f>
        <v/>
      </c>
      <c r="BN200" s="97" t="str">
        <f>IF($A200="","",IF($AB200="",1,IFERROR(INDEX(Deductibles!$C$48:$C$51,MATCH($AB200,Deductibles!$B$48:$B$51,0)),"?")))</f>
        <v/>
      </c>
      <c r="BO200" s="97" t="str">
        <f>IF($A200="","",IF($AC200="",1,IFERROR(INDEX(Deductibles!$C$55:$C$57,MATCH($AC200,Deductibles!$B$55:$B$57,0)),"?")))</f>
        <v/>
      </c>
      <c r="BP200" s="97" t="str">
        <f>IF($A200="","",IF($AD200="",1,IFERROR(INDEX(Deductibles!$C$61:$C$63,MATCH($AD200,Deductibles!$B$61:$B$63,0)),"?")))</f>
        <v/>
      </c>
      <c r="BQ200" s="97" t="str">
        <f>IF($A200="","",IF($AE200="",1,IFERROR(INDEX(Deductibles!$C$67:$C$69,MATCH($AE200,Deductibles!$B$67:$B$69,0)),"?")))</f>
        <v/>
      </c>
      <c r="BR200" s="97" t="str">
        <f>IF($A200="","",IF($AF200="",1,IFERROR(INDEX(Deductibles!$C$73:$C$74,MATCH($AF200,Deductibles!$B$73:$B$74,0)),"?")))</f>
        <v/>
      </c>
      <c r="BS200" s="97" t="str">
        <f>IF($A200="","",IF($AG200="",1,IFERROR(INDEX('Sublimits and Parts'!$C$49:$C$52,MATCH($AG200,'Sublimits and Parts'!$B$49:$B$52,0)),"?")))</f>
        <v/>
      </c>
      <c r="BT200" s="97" t="str">
        <f>IF($A200="","",IF($AH200="",1,IFERROR(INDEX('Sublimits and Parts'!$C$56:$C$60,MATCH($AH200,'Sublimits and Parts'!$B$56:$B$60,0)),"?")))</f>
        <v/>
      </c>
      <c r="BU200" s="97" t="str">
        <f>IF($A200="","",IF($AI200="",1,IFERROR(INDEX('Sublimits and Parts'!$C$64:$C$67,MATCH($AI200,'Sublimits and Parts'!$B$64:$B$67,0)),"?")))</f>
        <v/>
      </c>
      <c r="BV200" s="97" t="str">
        <f>IF($A200="","",IF($AJ200="",1,IFERROR(INDEX('Sublimits and Parts'!$C$71:$C$74,MATCH($AJ200,'Sublimits and Parts'!$B$71:$B$74,0)),"?")))</f>
        <v/>
      </c>
      <c r="BW200" s="97" t="str">
        <f>IF($A200="","",IF($AK200="",1,IFERROR(INDEX('Sublimits and Parts'!$C$78:$C$80,MATCH($AK200,'Sublimits and Parts'!$B$78:$B$80,0)),"?")))</f>
        <v/>
      </c>
      <c r="BX200" s="97" t="str">
        <f>IF($A200="","",IF($AL200="",1,IFERROR(INDEX('Sublimits and Parts'!$C$84:$C$87,MATCH($AL200,'Sublimits and Parts'!$B$84:$B$87,0)),"?")))</f>
        <v/>
      </c>
      <c r="BY200" s="97" t="str">
        <f>IF($A200="","",IF($AM200="",1,IFERROR(INDEX('Sublimits and Parts'!$C$91:$C$94,MATCH($AM200,'Sublimits and Parts'!$B$91:$B$94,0)),"?")))</f>
        <v/>
      </c>
      <c r="BZ200" s="97" t="str">
        <f>IF($A200="","",IF($AN200="",1,IFERROR(INDEX('Sublimits and Parts'!$C$98:$C$101,MATCH($AN200,'Sublimits and Parts'!$B$98:$B$101,0)),"?")))</f>
        <v/>
      </c>
      <c r="CA200" s="97" t="str">
        <f>IF($A200="","",IF($AO200="",1,IFERROR(INDEX('Sublimits and Parts'!$C$105:$C$109,MATCH($AO200,'Sublimits and Parts'!$B$105:$B$109,0)),"?")))</f>
        <v/>
      </c>
      <c r="CB200" s="98" t="str">
        <f t="shared" si="41"/>
        <v/>
      </c>
      <c r="CC200" s="98" t="str">
        <f t="shared" si="42"/>
        <v/>
      </c>
      <c r="CD200" s="101" t="str">
        <f>IF($A200="","",IF(OR($CB200="?",$CC200="?"),"?",MIN($CB200*$CC200,'Technical Premium'!$C$17)))</f>
        <v/>
      </c>
      <c r="CE200" s="100" t="str">
        <f t="shared" si="43"/>
        <v/>
      </c>
      <c r="CF200" s="100" t="str">
        <f>IF($A200="","",IFERROR(INDEX('Territory Factors'!$F$6:$F$56,MATCH($K200,'Territory Factors'!$B$6:$B$56,0)),"?"))</f>
        <v/>
      </c>
      <c r="CG200" s="98" t="str">
        <f>IF($A200="","",IFERROR(INDEX('Usage and Coverage'!$C$79:$C$84,MATCH($Y200,'Usage and Coverage'!$B$79:$B$84,0)),"?"))</f>
        <v/>
      </c>
      <c r="CH200" s="100" t="str">
        <f>IFERROR(IF(ISNUMBER($CD200),$CF200*$CG200*MIN($BG200*$BA200*$BC200*$BD200*$BH200*$BF200,'Technical Premium'!$C$17),""),"")</f>
        <v/>
      </c>
      <c r="CI200" s="100" t="str">
        <f t="shared" si="44"/>
        <v/>
      </c>
      <c r="CJ200" s="100" t="str">
        <f>IFERROR($CI200*(1+'Technical Premium'!$C$5)*(1+'Technical Premium'!$C$6),"")</f>
        <v/>
      </c>
      <c r="CK200" s="100" t="str">
        <f>IFERROR($CE200*INDEX('Territory Factors'!$G$6:$G$56,MATCH($K200,'Territory Factors'!$B$6:$B$56,0))*$AU200*$AV200,"")</f>
        <v/>
      </c>
      <c r="CL200" s="100" t="str">
        <f>IFERROR(($CJ200+$CK200)*(1+'Technical Premium'!$C$7),"")</f>
        <v/>
      </c>
      <c r="CM200" s="102" t="str">
        <f>IFERROR($CL200/'Technical Premium'!$C$13,"")</f>
        <v/>
      </c>
      <c r="CN200" s="103" t="str">
        <f t="shared" si="45"/>
        <v/>
      </c>
      <c r="CO200" s="102" t="str">
        <f t="shared" si="46"/>
        <v/>
      </c>
      <c r="CP200" s="103" t="str">
        <f t="shared" si="47"/>
        <v/>
      </c>
      <c r="CQ200" s="104" t="str">
        <f t="shared" si="48"/>
        <v/>
      </c>
      <c r="CR200" s="100" t="str">
        <f>IF(ISNUMBER($CM200),'Technical Premium'!$C$14+IF($J200&gt;=1000000,'Technical Premium'!$C$15,0),"")</f>
        <v/>
      </c>
      <c r="CS200" s="100" t="str">
        <f>IFERROR(($CO200+$CR200)*(INDEX('Territory Factors'!$K$6:$K$56,MATCH($K200,'Territory Factors'!$B$6:$B$56,0))+'Commission Structure'!$C$21),"")</f>
        <v/>
      </c>
      <c r="CT200" s="102" t="str">
        <f t="shared" si="49"/>
        <v/>
      </c>
      <c r="CU200" s="100" t="str">
        <f>IFERROR($CO200*('Commission Structure'!$C$6+'Commission Structure'!$C$7),"")</f>
        <v/>
      </c>
      <c r="CV200" s="100" t="str">
        <f>IFERROR($CO200*'Commission Structure'!$C$5-$CU200,"")</f>
        <v/>
      </c>
      <c r="CW200" s="100" t="str">
        <f>IFERROR($CO200*(1-'Commission Structure'!$C$5),"")</f>
        <v/>
      </c>
      <c r="CX200" s="105" t="str">
        <f>IF($A200="","",IF(OR($CB200="?",$CC200="?",NOT(ISNUMBER($AU200))),"CHECK INPUTS",IF(OR($J200&lt;'Technical Premium'!$C$18,LEFT(IFERROR(INDEX('Driver Factors'!$D$6:$D$15,MATCH($R200,'Driver Factors'!$B$6:$B$15,0)),""),7)="DECLINE",LEFT(IFERROR(INDEX('Driver Factors'!$D$28:$D$36,MATCH($T200,'Driver Factors'!$B$28:$B$36,0)),""),7)="DECLINE",LEFT(IFERROR(INDEX('Claims History'!$D$6:$D$15,MATCH($U200,'Claims History'!$B$6:$B$15,0)),""),7)="DECLINE",LEFT(IFERROR(INDEX('Usage and Coverage'!$E$6:$E$20,MATCH($N200,'Usage and Coverage'!$C$6:$C$20,0)),""),7)="DECLINE"),"DECLINE",IF(OR($CD200&gt;2.5,$CD200&gt;='Technical Premium'!$C$17,$J200&gt;='Technical Premium'!$C$16,N($AQ200)&lt;'Technical Premium'!$C$19,N($AQ200)&gt;'Technical Premium'!$C$20,LEFT(IFERROR(INDEX('Driver Factors'!$D$6:$D$15,MATCH($R200,'Driver Factors'!$B$6:$B$15,0)),""),5)="Refer",LEFT(IFERROR(INDEX('Driver Factors'!$D$28:$D$36,MATCH($T200,'Driver Factors'!$B$28:$B$36,0)),""),5)="Refer",LEFT(IFERROR(INDEX('Claims History'!$D$6:$D$15,MATCH($U200,'Claims History'!$B$6:$B$15,0)),""),5)="Refer",LEFT(IFERROR(INDEX('Usage and Coverage'!$E$6:$E$20,MATCH($N200,'Usage and Coverage'!$C$6:$C$20,0)),""),5)="Refer"),"REFER","AUTO-BIND"))))</f>
        <v/>
      </c>
      <c r="CY200" s="106" t="str">
        <f t="shared" si="50"/>
        <v/>
      </c>
      <c r="CZ200" s="97" t="str">
        <f>IF($CY200="","",IF($CY200&lt;'Technical Premium'!$C$19,"BEYOND AUTHORITY",IF($CY200&gt;0.005,"Above technical",IF($CY200&lt;-0.005,"BELOW technical","At technical"))))</f>
        <v/>
      </c>
      <c r="DA200" s="97" t="str">
        <f>IF($A200="","",IF($CX200="AUTO-BIND","",TRIM(IF($J200&lt;'Technical Premium'!$C$18,"Below programme minimum agreed value. ","")&amp;IF(N($AQ200)&lt;'Technical Premium'!$C$19,"DISCOUNT AUTHORITY BREACH. ","")&amp;IF(N($AQ200)&gt;'Technical Premium'!$C$20,"Load authority breach. ","")&amp;IF($J200&gt;='Technical Premium'!$C$16,"Agreed value at or above auto-bind limit. ","")&amp;IF(AND(ISNUMBER($CD200),$CD200&gt;='Technical Premium'!$C$17),"Composite factor at cap. ","")&amp;IF(AND(ISNUMBER($CD200),$CD200&gt;2.5),"Composite factor above 2.50. ","")&amp;IF(LEFT(IFERROR(INDEX('Driver Factors'!$D$6:$D$15,MATCH($R200,'Driver Factors'!$B$6:$B$15,0)),""),7)="DECLINE","DECLINE - driver age. ",IF(LEFT(IFERROR(INDEX('Driver Factors'!$D$6:$D$15,MATCH($R200,'Driver Factors'!$B$6:$B$15,0)),""),5)="Refer","Driver age band. ",""))&amp;IF(LEFT(IFERROR(INDEX('Driver Factors'!$D$28:$D$36,MATCH($T200,'Driver Factors'!$B$28:$B$36,0)),""),7)="DECLINE","DECLINE - MVR. ",IF(LEFT(IFERROR(INDEX('Driver Factors'!$D$28:$D$36,MATCH($T200,'Driver Factors'!$B$28:$B$36,0)),""),5)="Refer","MVR record. ",""))&amp;IF(LEFT(IFERROR(INDEX('Claims History'!$D$6:$D$15,MATCH($U200,'Claims History'!$B$6:$B$15,0)),""),7)="DECLINE","DECLINE - claims. ",IF(LEFT(IFERROR(INDEX('Claims History'!$D$6:$D$15,MATCH($U200,'Claims History'!$B$6:$B$15,0)),""),5)="Refer","Claims history. ",""))&amp;IF(LEFT(IFERROR(INDEX('Usage and Coverage'!$E$6:$E$20,MATCH($N200,'Usage and Coverage'!$C$6:$C$20,0)),""),7)="DECLINE","DECLINE - usage class. ",IF(LEFT(IFERROR(INDEX('Usage and Coverage'!$E$6:$E$20,MATCH($N200,'Usage and Coverage'!$C$6:$C$20,0)),""),5)="Refer","Usage class. ",""))&amp;IF($CX200="CHECK INPUTS","Incomplete inputs. ",""))))</f>
        <v/>
      </c>
      <c r="DB200" s="92"/>
      <c r="DC200" s="92"/>
      <c r="DD200" s="93"/>
      <c r="DE200" s="92"/>
      <c r="DF200" s="92"/>
      <c r="DG200" s="97" t="str">
        <f t="shared" si="51"/>
        <v/>
      </c>
      <c r="DH200" s="97" t="str">
        <f>IF($A200="","",IF(OR($CX200="REFER",$CX200="DECLINE"),COUNTIF($CX$5:$CX200,"REFER")+COUNTIF($CX$5:$CX200,"DECLINE"),""))</f>
        <v/>
      </c>
      <c r="DI200" s="92"/>
    </row>
    <row r="201" spans="1:113" x14ac:dyDescent="0.25">
      <c r="A201" s="92"/>
      <c r="B201" s="92"/>
      <c r="C201" s="93"/>
      <c r="D201" s="93"/>
      <c r="E201" s="94"/>
      <c r="F201" s="92"/>
      <c r="G201" s="92"/>
      <c r="H201" s="92"/>
      <c r="I201" s="92"/>
      <c r="J201" s="95"/>
      <c r="K201" s="92"/>
      <c r="L201" s="92"/>
      <c r="M201" s="92"/>
      <c r="N201" s="92"/>
      <c r="O201" s="92"/>
      <c r="P201" s="92"/>
      <c r="Q201" s="92"/>
      <c r="R201" s="92"/>
      <c r="S201" s="92"/>
      <c r="T201" s="92"/>
      <c r="U201" s="92"/>
      <c r="V201" s="92"/>
      <c r="W201" s="92"/>
      <c r="X201" s="92"/>
      <c r="Y201" s="92"/>
      <c r="Z201" s="92"/>
      <c r="AA201" s="92"/>
      <c r="AB201" s="92"/>
      <c r="AC201" s="92"/>
      <c r="AD201" s="92"/>
      <c r="AE201" s="92"/>
      <c r="AF201" s="92"/>
      <c r="AG201" s="92"/>
      <c r="AH201" s="92"/>
      <c r="AI201" s="92"/>
      <c r="AJ201" s="92"/>
      <c r="AK201" s="92"/>
      <c r="AL201" s="92"/>
      <c r="AM201" s="92"/>
      <c r="AN201" s="92"/>
      <c r="AO201" s="92"/>
      <c r="AP201" s="92"/>
      <c r="AQ201" s="96"/>
      <c r="AR201" s="97" t="str">
        <f t="shared" si="39"/>
        <v/>
      </c>
      <c r="AS201" s="97" t="str">
        <f>IF($A201="","",IF($AP201&lt;&gt;"",$AP201,IFERROR(INDEX('Cat Zone by ZIP'!$D$6:$D$856,MATCH($AR201,'Cat Zone by ZIP'!$B$6:$B$856,0)),IFERROR(INDEX('Cat Zone by ZIP'!$C$860:$C$910,MATCH($K201,'Cat Zone by ZIP'!$B$860:$B$910,0)),"NOT FOUND"))))</f>
        <v/>
      </c>
      <c r="AT201" s="97" t="str">
        <f>IF($A201="","",IF($AP201&lt;&gt;"","Override",IF(ISNUMBER(MATCH($AR201,'Cat Zone by ZIP'!$B$6:$B$856,0)),"ZIP-3","State default")))</f>
        <v/>
      </c>
      <c r="AU201" s="98" t="str">
        <f>IF($A201="","",IFERROR(INDEX('Natural Catastrophe'!$D$6:$D$17,MATCH($AS201,'Natural Catastrophe'!$B$6:$B$17,0)),"?"))</f>
        <v/>
      </c>
      <c r="AV201" s="98" t="str">
        <f>IF($A201="","",IFERROR(INDEX('Natural Catastrophe'!$C$21:$C$26,MATCH($AA201,'Natural Catastrophe'!$B$21:$B$26,0)),"?"))</f>
        <v/>
      </c>
      <c r="AW201" s="97" t="str">
        <f>IF($A201="","",IFERROR(INDEX('Base Rates'!$C$4:$I$4,MATCH(MAX($J201,'Technical Premium'!$C$18),'Base Rates'!$C$3:$I$3,1)),"?"))</f>
        <v/>
      </c>
      <c r="AX201" s="99" t="str">
        <f>IF($A201="","",IFERROR(INDEX('Base Rates'!$C$5:$I$16,MATCH($I201,'Base Rates'!$B$5:$B$16,0),MATCH(MAX($J201,'Technical Premium'!$C$18),'Base Rates'!$C$3:$I$3,1)),"?"))</f>
        <v/>
      </c>
      <c r="AY201" s="100" t="str">
        <f t="shared" si="40"/>
        <v/>
      </c>
      <c r="AZ201" s="97" t="str">
        <f>IF($A201="","",IFERROR(INDEX('Make Factors'!$G$5:$G$69,MATCH($F201,'Make Factors'!$B$5:$B$69,0)),"?"))</f>
        <v/>
      </c>
      <c r="BA201" s="97" t="str">
        <f>IF($A201="","",IFERROR(INDEX('Driver Factors'!$C$6:$C$15,MATCH($R201,'Driver Factors'!$B$6:$B$15,0)),"?"))</f>
        <v/>
      </c>
      <c r="BB201" s="97" t="str">
        <f>IF($A201="","",IFERROR(INDEX('Driver Factors'!$C$19:$C$24,MATCH($S201,'Driver Factors'!$B$19:$B$24,0)),"?"))</f>
        <v/>
      </c>
      <c r="BC201" s="97" t="str">
        <f>IF($A201="","",IFERROR(INDEX('Driver Factors'!$C$28:$C$36,MATCH($T201,'Driver Factors'!$B$28:$B$36,0)),"?"))</f>
        <v/>
      </c>
      <c r="BD201" s="97" t="str">
        <f>IF($A201="","",IFERROR(INDEX('Claims History'!$C$6:$C$15,MATCH($U201,'Claims History'!$B$6:$B$15,0)),"?"))</f>
        <v/>
      </c>
      <c r="BE201" s="97" t="str">
        <f>IF($A201="","",IFERROR(INDEX('Territory Factors'!$E$6:$E$56,MATCH($K201,'Territory Factors'!$B$6:$B$56,0)),"?"))</f>
        <v/>
      </c>
      <c r="BF201" s="97" t="str">
        <f>IF($A201="","",IFERROR(INDEX('City Accident Ratings'!$G$6:$G$54,MATCH($Z201,'City Accident Ratings'!$B$6:$B$54,0)),"?"))</f>
        <v/>
      </c>
      <c r="BG201" s="97" t="str">
        <f>IF($A201="","",IFERROR(INDEX('Usage and Coverage'!$D$6:$D$20,MATCH($N201,'Usage and Coverage'!$C$6:$C$20,0)),"?"))</f>
        <v/>
      </c>
      <c r="BH201" s="97" t="str">
        <f>IF($A201="","",IFERROR(INDEX('Usage and Coverage'!$C$24:$C$30,MATCH($O201,'Usage and Coverage'!$B$24:$B$30,0)),"?"))</f>
        <v/>
      </c>
      <c r="BI201" s="97" t="str">
        <f>IF($A201="","",IFERROR(INDEX('Usage and Coverage'!$C$34:$C$40,MATCH($P201,'Usage and Coverage'!$B$34:$B$40,0)),"?"))</f>
        <v/>
      </c>
      <c r="BJ201" s="97" t="str">
        <f>IF($A201="","",IFERROR(INDEX('Usage and Coverage'!$C$44:$C$49,MATCH($Q201,'Usage and Coverage'!$B$44:$B$49,0)),"?"))</f>
        <v/>
      </c>
      <c r="BK201" s="97" t="str">
        <f>IF($A201="","",IFERROR(INDEX(Deductibles!$C$6:$I$15,MATCH($W201,Deductibles!$B$6:$B$15,0),MATCH(MAX($J201,'Technical Premium'!$C$18),'Base Rates'!$C$3:$I$3,1)),"?"))</f>
        <v/>
      </c>
      <c r="BL201" s="97" t="str">
        <f>IF($A201="","",IFERROR(INDEX('Usage and Coverage'!$C$63:$C$66,MATCH($X201,'Usage and Coverage'!$B$63:$B$66,0)),"?"))</f>
        <v/>
      </c>
      <c r="BM201" s="97" t="str">
        <f>IF($A201="","",IFERROR(INDEX('Usage and Coverage'!$C$70:$C$75,MATCH($V201,'Usage and Coverage'!$B$70:$B$75,0)),"?"))</f>
        <v/>
      </c>
      <c r="BN201" s="97" t="str">
        <f>IF($A201="","",IF($AB201="",1,IFERROR(INDEX(Deductibles!$C$48:$C$51,MATCH($AB201,Deductibles!$B$48:$B$51,0)),"?")))</f>
        <v/>
      </c>
      <c r="BO201" s="97" t="str">
        <f>IF($A201="","",IF($AC201="",1,IFERROR(INDEX(Deductibles!$C$55:$C$57,MATCH($AC201,Deductibles!$B$55:$B$57,0)),"?")))</f>
        <v/>
      </c>
      <c r="BP201" s="97" t="str">
        <f>IF($A201="","",IF($AD201="",1,IFERROR(INDEX(Deductibles!$C$61:$C$63,MATCH($AD201,Deductibles!$B$61:$B$63,0)),"?")))</f>
        <v/>
      </c>
      <c r="BQ201" s="97" t="str">
        <f>IF($A201="","",IF($AE201="",1,IFERROR(INDEX(Deductibles!$C$67:$C$69,MATCH($AE201,Deductibles!$B$67:$B$69,0)),"?")))</f>
        <v/>
      </c>
      <c r="BR201" s="97" t="str">
        <f>IF($A201="","",IF($AF201="",1,IFERROR(INDEX(Deductibles!$C$73:$C$74,MATCH($AF201,Deductibles!$B$73:$B$74,0)),"?")))</f>
        <v/>
      </c>
      <c r="BS201" s="97" t="str">
        <f>IF($A201="","",IF($AG201="",1,IFERROR(INDEX('Sublimits and Parts'!$C$49:$C$52,MATCH($AG201,'Sublimits and Parts'!$B$49:$B$52,0)),"?")))</f>
        <v/>
      </c>
      <c r="BT201" s="97" t="str">
        <f>IF($A201="","",IF($AH201="",1,IFERROR(INDEX('Sublimits and Parts'!$C$56:$C$60,MATCH($AH201,'Sublimits and Parts'!$B$56:$B$60,0)),"?")))</f>
        <v/>
      </c>
      <c r="BU201" s="97" t="str">
        <f>IF($A201="","",IF($AI201="",1,IFERROR(INDEX('Sublimits and Parts'!$C$64:$C$67,MATCH($AI201,'Sublimits and Parts'!$B$64:$B$67,0)),"?")))</f>
        <v/>
      </c>
      <c r="BV201" s="97" t="str">
        <f>IF($A201="","",IF($AJ201="",1,IFERROR(INDEX('Sublimits and Parts'!$C$71:$C$74,MATCH($AJ201,'Sublimits and Parts'!$B$71:$B$74,0)),"?")))</f>
        <v/>
      </c>
      <c r="BW201" s="97" t="str">
        <f>IF($A201="","",IF($AK201="",1,IFERROR(INDEX('Sublimits and Parts'!$C$78:$C$80,MATCH($AK201,'Sublimits and Parts'!$B$78:$B$80,0)),"?")))</f>
        <v/>
      </c>
      <c r="BX201" s="97" t="str">
        <f>IF($A201="","",IF($AL201="",1,IFERROR(INDEX('Sublimits and Parts'!$C$84:$C$87,MATCH($AL201,'Sublimits and Parts'!$B$84:$B$87,0)),"?")))</f>
        <v/>
      </c>
      <c r="BY201" s="97" t="str">
        <f>IF($A201="","",IF($AM201="",1,IFERROR(INDEX('Sublimits and Parts'!$C$91:$C$94,MATCH($AM201,'Sublimits and Parts'!$B$91:$B$94,0)),"?")))</f>
        <v/>
      </c>
      <c r="BZ201" s="97" t="str">
        <f>IF($A201="","",IF($AN201="",1,IFERROR(INDEX('Sublimits and Parts'!$C$98:$C$101,MATCH($AN201,'Sublimits and Parts'!$B$98:$B$101,0)),"?")))</f>
        <v/>
      </c>
      <c r="CA201" s="97" t="str">
        <f>IF($A201="","",IF($AO201="",1,IFERROR(INDEX('Sublimits and Parts'!$C$105:$C$109,MATCH($AO201,'Sublimits and Parts'!$B$105:$B$109,0)),"?")))</f>
        <v/>
      </c>
      <c r="CB201" s="98" t="str">
        <f t="shared" si="41"/>
        <v/>
      </c>
      <c r="CC201" s="98" t="str">
        <f t="shared" si="42"/>
        <v/>
      </c>
      <c r="CD201" s="101" t="str">
        <f>IF($A201="","",IF(OR($CB201="?",$CC201="?"),"?",MIN($CB201*$CC201,'Technical Premium'!$C$17)))</f>
        <v/>
      </c>
      <c r="CE201" s="100" t="str">
        <f t="shared" si="43"/>
        <v/>
      </c>
      <c r="CF201" s="100" t="str">
        <f>IF($A201="","",IFERROR(INDEX('Territory Factors'!$F$6:$F$56,MATCH($K201,'Territory Factors'!$B$6:$B$56,0)),"?"))</f>
        <v/>
      </c>
      <c r="CG201" s="98" t="str">
        <f>IF($A201="","",IFERROR(INDEX('Usage and Coverage'!$C$79:$C$84,MATCH($Y201,'Usage and Coverage'!$B$79:$B$84,0)),"?"))</f>
        <v/>
      </c>
      <c r="CH201" s="100" t="str">
        <f>IFERROR(IF(ISNUMBER($CD201),$CF201*$CG201*MIN($BG201*$BA201*$BC201*$BD201*$BH201*$BF201,'Technical Premium'!$C$17),""),"")</f>
        <v/>
      </c>
      <c r="CI201" s="100" t="str">
        <f t="shared" si="44"/>
        <v/>
      </c>
      <c r="CJ201" s="100" t="str">
        <f>IFERROR($CI201*(1+'Technical Premium'!$C$5)*(1+'Technical Premium'!$C$6),"")</f>
        <v/>
      </c>
      <c r="CK201" s="100" t="str">
        <f>IFERROR($CE201*INDEX('Territory Factors'!$G$6:$G$56,MATCH($K201,'Territory Factors'!$B$6:$B$56,0))*$AU201*$AV201,"")</f>
        <v/>
      </c>
      <c r="CL201" s="100" t="str">
        <f>IFERROR(($CJ201+$CK201)*(1+'Technical Premium'!$C$7),"")</f>
        <v/>
      </c>
      <c r="CM201" s="102" t="str">
        <f>IFERROR($CL201/'Technical Premium'!$C$13,"")</f>
        <v/>
      </c>
      <c r="CN201" s="103" t="str">
        <f t="shared" si="45"/>
        <v/>
      </c>
      <c r="CO201" s="102" t="str">
        <f t="shared" si="46"/>
        <v/>
      </c>
      <c r="CP201" s="103" t="str">
        <f t="shared" si="47"/>
        <v/>
      </c>
      <c r="CQ201" s="104" t="str">
        <f t="shared" si="48"/>
        <v/>
      </c>
      <c r="CR201" s="100" t="str">
        <f>IF(ISNUMBER($CM201),'Technical Premium'!$C$14+IF($J201&gt;=1000000,'Technical Premium'!$C$15,0),"")</f>
        <v/>
      </c>
      <c r="CS201" s="100" t="str">
        <f>IFERROR(($CO201+$CR201)*(INDEX('Territory Factors'!$K$6:$K$56,MATCH($K201,'Territory Factors'!$B$6:$B$56,0))+'Commission Structure'!$C$21),"")</f>
        <v/>
      </c>
      <c r="CT201" s="102" t="str">
        <f t="shared" si="49"/>
        <v/>
      </c>
      <c r="CU201" s="100" t="str">
        <f>IFERROR($CO201*('Commission Structure'!$C$6+'Commission Structure'!$C$7),"")</f>
        <v/>
      </c>
      <c r="CV201" s="100" t="str">
        <f>IFERROR($CO201*'Commission Structure'!$C$5-$CU201,"")</f>
        <v/>
      </c>
      <c r="CW201" s="100" t="str">
        <f>IFERROR($CO201*(1-'Commission Structure'!$C$5),"")</f>
        <v/>
      </c>
      <c r="CX201" s="105" t="str">
        <f>IF($A201="","",IF(OR($CB201="?",$CC201="?",NOT(ISNUMBER($AU201))),"CHECK INPUTS",IF(OR($J201&lt;'Technical Premium'!$C$18,LEFT(IFERROR(INDEX('Driver Factors'!$D$6:$D$15,MATCH($R201,'Driver Factors'!$B$6:$B$15,0)),""),7)="DECLINE",LEFT(IFERROR(INDEX('Driver Factors'!$D$28:$D$36,MATCH($T201,'Driver Factors'!$B$28:$B$36,0)),""),7)="DECLINE",LEFT(IFERROR(INDEX('Claims History'!$D$6:$D$15,MATCH($U201,'Claims History'!$B$6:$B$15,0)),""),7)="DECLINE",LEFT(IFERROR(INDEX('Usage and Coverage'!$E$6:$E$20,MATCH($N201,'Usage and Coverage'!$C$6:$C$20,0)),""),7)="DECLINE"),"DECLINE",IF(OR($CD201&gt;2.5,$CD201&gt;='Technical Premium'!$C$17,$J201&gt;='Technical Premium'!$C$16,N($AQ201)&lt;'Technical Premium'!$C$19,N($AQ201)&gt;'Technical Premium'!$C$20,LEFT(IFERROR(INDEX('Driver Factors'!$D$6:$D$15,MATCH($R201,'Driver Factors'!$B$6:$B$15,0)),""),5)="Refer",LEFT(IFERROR(INDEX('Driver Factors'!$D$28:$D$36,MATCH($T201,'Driver Factors'!$B$28:$B$36,0)),""),5)="Refer",LEFT(IFERROR(INDEX('Claims History'!$D$6:$D$15,MATCH($U201,'Claims History'!$B$6:$B$15,0)),""),5)="Refer",LEFT(IFERROR(INDEX('Usage and Coverage'!$E$6:$E$20,MATCH($N201,'Usage and Coverage'!$C$6:$C$20,0)),""),5)="Refer"),"REFER","AUTO-BIND"))))</f>
        <v/>
      </c>
      <c r="CY201" s="106" t="str">
        <f t="shared" si="50"/>
        <v/>
      </c>
      <c r="CZ201" s="97" t="str">
        <f>IF($CY201="","",IF($CY201&lt;'Technical Premium'!$C$19,"BEYOND AUTHORITY",IF($CY201&gt;0.005,"Above technical",IF($CY201&lt;-0.005,"BELOW technical","At technical"))))</f>
        <v/>
      </c>
      <c r="DA201" s="97" t="str">
        <f>IF($A201="","",IF($CX201="AUTO-BIND","",TRIM(IF($J201&lt;'Technical Premium'!$C$18,"Below programme minimum agreed value. ","")&amp;IF(N($AQ201)&lt;'Technical Premium'!$C$19,"DISCOUNT AUTHORITY BREACH. ","")&amp;IF(N($AQ201)&gt;'Technical Premium'!$C$20,"Load authority breach. ","")&amp;IF($J201&gt;='Technical Premium'!$C$16,"Agreed value at or above auto-bind limit. ","")&amp;IF(AND(ISNUMBER($CD201),$CD201&gt;='Technical Premium'!$C$17),"Composite factor at cap. ","")&amp;IF(AND(ISNUMBER($CD201),$CD201&gt;2.5),"Composite factor above 2.50. ","")&amp;IF(LEFT(IFERROR(INDEX('Driver Factors'!$D$6:$D$15,MATCH($R201,'Driver Factors'!$B$6:$B$15,0)),""),7)="DECLINE","DECLINE - driver age. ",IF(LEFT(IFERROR(INDEX('Driver Factors'!$D$6:$D$15,MATCH($R201,'Driver Factors'!$B$6:$B$15,0)),""),5)="Refer","Driver age band. ",""))&amp;IF(LEFT(IFERROR(INDEX('Driver Factors'!$D$28:$D$36,MATCH($T201,'Driver Factors'!$B$28:$B$36,0)),""),7)="DECLINE","DECLINE - MVR. ",IF(LEFT(IFERROR(INDEX('Driver Factors'!$D$28:$D$36,MATCH($T201,'Driver Factors'!$B$28:$B$36,0)),""),5)="Refer","MVR record. ",""))&amp;IF(LEFT(IFERROR(INDEX('Claims History'!$D$6:$D$15,MATCH($U201,'Claims History'!$B$6:$B$15,0)),""),7)="DECLINE","DECLINE - claims. ",IF(LEFT(IFERROR(INDEX('Claims History'!$D$6:$D$15,MATCH($U201,'Claims History'!$B$6:$B$15,0)),""),5)="Refer","Claims history. ",""))&amp;IF(LEFT(IFERROR(INDEX('Usage and Coverage'!$E$6:$E$20,MATCH($N201,'Usage and Coverage'!$C$6:$C$20,0)),""),7)="DECLINE","DECLINE - usage class. ",IF(LEFT(IFERROR(INDEX('Usage and Coverage'!$E$6:$E$20,MATCH($N201,'Usage and Coverage'!$C$6:$C$20,0)),""),5)="Refer","Usage class. ",""))&amp;IF($CX201="CHECK INPUTS","Incomplete inputs. ",""))))</f>
        <v/>
      </c>
      <c r="DB201" s="92"/>
      <c r="DC201" s="92"/>
      <c r="DD201" s="93"/>
      <c r="DE201" s="92"/>
      <c r="DF201" s="92"/>
      <c r="DG201" s="97" t="str">
        <f t="shared" si="51"/>
        <v/>
      </c>
      <c r="DH201" s="97" t="str">
        <f>IF($A201="","",IF(OR($CX201="REFER",$CX201="DECLINE"),COUNTIF($CX$5:$CX201,"REFER")+COUNTIF($CX$5:$CX201,"DECLINE"),""))</f>
        <v/>
      </c>
      <c r="DI201" s="92"/>
    </row>
    <row r="202" spans="1:113" x14ac:dyDescent="0.25">
      <c r="A202" s="92"/>
      <c r="B202" s="92"/>
      <c r="C202" s="93"/>
      <c r="D202" s="93"/>
      <c r="E202" s="94"/>
      <c r="F202" s="92"/>
      <c r="G202" s="92"/>
      <c r="H202" s="92"/>
      <c r="I202" s="92"/>
      <c r="J202" s="95"/>
      <c r="K202" s="92"/>
      <c r="L202" s="92"/>
      <c r="M202" s="92"/>
      <c r="N202" s="92"/>
      <c r="O202" s="92"/>
      <c r="P202" s="92"/>
      <c r="Q202" s="92"/>
      <c r="R202" s="92"/>
      <c r="S202" s="92"/>
      <c r="T202" s="92"/>
      <c r="U202" s="92"/>
      <c r="V202" s="92"/>
      <c r="W202" s="92"/>
      <c r="X202" s="92"/>
      <c r="Y202" s="92"/>
      <c r="Z202" s="92"/>
      <c r="AA202" s="92"/>
      <c r="AB202" s="92"/>
      <c r="AC202" s="92"/>
      <c r="AD202" s="92"/>
      <c r="AE202" s="92"/>
      <c r="AF202" s="92"/>
      <c r="AG202" s="92"/>
      <c r="AH202" s="92"/>
      <c r="AI202" s="92"/>
      <c r="AJ202" s="92"/>
      <c r="AK202" s="92"/>
      <c r="AL202" s="92"/>
      <c r="AM202" s="92"/>
      <c r="AN202" s="92"/>
      <c r="AO202" s="92"/>
      <c r="AP202" s="92"/>
      <c r="AQ202" s="96"/>
      <c r="AR202" s="97" t="str">
        <f t="shared" si="39"/>
        <v/>
      </c>
      <c r="AS202" s="97" t="str">
        <f>IF($A202="","",IF($AP202&lt;&gt;"",$AP202,IFERROR(INDEX('Cat Zone by ZIP'!$D$6:$D$856,MATCH($AR202,'Cat Zone by ZIP'!$B$6:$B$856,0)),IFERROR(INDEX('Cat Zone by ZIP'!$C$860:$C$910,MATCH($K202,'Cat Zone by ZIP'!$B$860:$B$910,0)),"NOT FOUND"))))</f>
        <v/>
      </c>
      <c r="AT202" s="97" t="str">
        <f>IF($A202="","",IF($AP202&lt;&gt;"","Override",IF(ISNUMBER(MATCH($AR202,'Cat Zone by ZIP'!$B$6:$B$856,0)),"ZIP-3","State default")))</f>
        <v/>
      </c>
      <c r="AU202" s="98" t="str">
        <f>IF($A202="","",IFERROR(INDEX('Natural Catastrophe'!$D$6:$D$17,MATCH($AS202,'Natural Catastrophe'!$B$6:$B$17,0)),"?"))</f>
        <v/>
      </c>
      <c r="AV202" s="98" t="str">
        <f>IF($A202="","",IFERROR(INDEX('Natural Catastrophe'!$C$21:$C$26,MATCH($AA202,'Natural Catastrophe'!$B$21:$B$26,0)),"?"))</f>
        <v/>
      </c>
      <c r="AW202" s="97" t="str">
        <f>IF($A202="","",IFERROR(INDEX('Base Rates'!$C$4:$I$4,MATCH(MAX($J202,'Technical Premium'!$C$18),'Base Rates'!$C$3:$I$3,1)),"?"))</f>
        <v/>
      </c>
      <c r="AX202" s="99" t="str">
        <f>IF($A202="","",IFERROR(INDEX('Base Rates'!$C$5:$I$16,MATCH($I202,'Base Rates'!$B$5:$B$16,0),MATCH(MAX($J202,'Technical Premium'!$C$18),'Base Rates'!$C$3:$I$3,1)),"?"))</f>
        <v/>
      </c>
      <c r="AY202" s="100" t="str">
        <f t="shared" si="40"/>
        <v/>
      </c>
      <c r="AZ202" s="97" t="str">
        <f>IF($A202="","",IFERROR(INDEX('Make Factors'!$G$5:$G$69,MATCH($F202,'Make Factors'!$B$5:$B$69,0)),"?"))</f>
        <v/>
      </c>
      <c r="BA202" s="97" t="str">
        <f>IF($A202="","",IFERROR(INDEX('Driver Factors'!$C$6:$C$15,MATCH($R202,'Driver Factors'!$B$6:$B$15,0)),"?"))</f>
        <v/>
      </c>
      <c r="BB202" s="97" t="str">
        <f>IF($A202="","",IFERROR(INDEX('Driver Factors'!$C$19:$C$24,MATCH($S202,'Driver Factors'!$B$19:$B$24,0)),"?"))</f>
        <v/>
      </c>
      <c r="BC202" s="97" t="str">
        <f>IF($A202="","",IFERROR(INDEX('Driver Factors'!$C$28:$C$36,MATCH($T202,'Driver Factors'!$B$28:$B$36,0)),"?"))</f>
        <v/>
      </c>
      <c r="BD202" s="97" t="str">
        <f>IF($A202="","",IFERROR(INDEX('Claims History'!$C$6:$C$15,MATCH($U202,'Claims History'!$B$6:$B$15,0)),"?"))</f>
        <v/>
      </c>
      <c r="BE202" s="97" t="str">
        <f>IF($A202="","",IFERROR(INDEX('Territory Factors'!$E$6:$E$56,MATCH($K202,'Territory Factors'!$B$6:$B$56,0)),"?"))</f>
        <v/>
      </c>
      <c r="BF202" s="97" t="str">
        <f>IF($A202="","",IFERROR(INDEX('City Accident Ratings'!$G$6:$G$54,MATCH($Z202,'City Accident Ratings'!$B$6:$B$54,0)),"?"))</f>
        <v/>
      </c>
      <c r="BG202" s="97" t="str">
        <f>IF($A202="","",IFERROR(INDEX('Usage and Coverage'!$D$6:$D$20,MATCH($N202,'Usage and Coverage'!$C$6:$C$20,0)),"?"))</f>
        <v/>
      </c>
      <c r="BH202" s="97" t="str">
        <f>IF($A202="","",IFERROR(INDEX('Usage and Coverage'!$C$24:$C$30,MATCH($O202,'Usage and Coverage'!$B$24:$B$30,0)),"?"))</f>
        <v/>
      </c>
      <c r="BI202" s="97" t="str">
        <f>IF($A202="","",IFERROR(INDEX('Usage and Coverage'!$C$34:$C$40,MATCH($P202,'Usage and Coverage'!$B$34:$B$40,0)),"?"))</f>
        <v/>
      </c>
      <c r="BJ202" s="97" t="str">
        <f>IF($A202="","",IFERROR(INDEX('Usage and Coverage'!$C$44:$C$49,MATCH($Q202,'Usage and Coverage'!$B$44:$B$49,0)),"?"))</f>
        <v/>
      </c>
      <c r="BK202" s="97" t="str">
        <f>IF($A202="","",IFERROR(INDEX(Deductibles!$C$6:$I$15,MATCH($W202,Deductibles!$B$6:$B$15,0),MATCH(MAX($J202,'Technical Premium'!$C$18),'Base Rates'!$C$3:$I$3,1)),"?"))</f>
        <v/>
      </c>
      <c r="BL202" s="97" t="str">
        <f>IF($A202="","",IFERROR(INDEX('Usage and Coverage'!$C$63:$C$66,MATCH($X202,'Usage and Coverage'!$B$63:$B$66,0)),"?"))</f>
        <v/>
      </c>
      <c r="BM202" s="97" t="str">
        <f>IF($A202="","",IFERROR(INDEX('Usage and Coverage'!$C$70:$C$75,MATCH($V202,'Usage and Coverage'!$B$70:$B$75,0)),"?"))</f>
        <v/>
      </c>
      <c r="BN202" s="97" t="str">
        <f>IF($A202="","",IF($AB202="",1,IFERROR(INDEX(Deductibles!$C$48:$C$51,MATCH($AB202,Deductibles!$B$48:$B$51,0)),"?")))</f>
        <v/>
      </c>
      <c r="BO202" s="97" t="str">
        <f>IF($A202="","",IF($AC202="",1,IFERROR(INDEX(Deductibles!$C$55:$C$57,MATCH($AC202,Deductibles!$B$55:$B$57,0)),"?")))</f>
        <v/>
      </c>
      <c r="BP202" s="97" t="str">
        <f>IF($A202="","",IF($AD202="",1,IFERROR(INDEX(Deductibles!$C$61:$C$63,MATCH($AD202,Deductibles!$B$61:$B$63,0)),"?")))</f>
        <v/>
      </c>
      <c r="BQ202" s="97" t="str">
        <f>IF($A202="","",IF($AE202="",1,IFERROR(INDEX(Deductibles!$C$67:$C$69,MATCH($AE202,Deductibles!$B$67:$B$69,0)),"?")))</f>
        <v/>
      </c>
      <c r="BR202" s="97" t="str">
        <f>IF($A202="","",IF($AF202="",1,IFERROR(INDEX(Deductibles!$C$73:$C$74,MATCH($AF202,Deductibles!$B$73:$B$74,0)),"?")))</f>
        <v/>
      </c>
      <c r="BS202" s="97" t="str">
        <f>IF($A202="","",IF($AG202="",1,IFERROR(INDEX('Sublimits and Parts'!$C$49:$C$52,MATCH($AG202,'Sublimits and Parts'!$B$49:$B$52,0)),"?")))</f>
        <v/>
      </c>
      <c r="BT202" s="97" t="str">
        <f>IF($A202="","",IF($AH202="",1,IFERROR(INDEX('Sublimits and Parts'!$C$56:$C$60,MATCH($AH202,'Sublimits and Parts'!$B$56:$B$60,0)),"?")))</f>
        <v/>
      </c>
      <c r="BU202" s="97" t="str">
        <f>IF($A202="","",IF($AI202="",1,IFERROR(INDEX('Sublimits and Parts'!$C$64:$C$67,MATCH($AI202,'Sublimits and Parts'!$B$64:$B$67,0)),"?")))</f>
        <v/>
      </c>
      <c r="BV202" s="97" t="str">
        <f>IF($A202="","",IF($AJ202="",1,IFERROR(INDEX('Sublimits and Parts'!$C$71:$C$74,MATCH($AJ202,'Sublimits and Parts'!$B$71:$B$74,0)),"?")))</f>
        <v/>
      </c>
      <c r="BW202" s="97" t="str">
        <f>IF($A202="","",IF($AK202="",1,IFERROR(INDEX('Sublimits and Parts'!$C$78:$C$80,MATCH($AK202,'Sublimits and Parts'!$B$78:$B$80,0)),"?")))</f>
        <v/>
      </c>
      <c r="BX202" s="97" t="str">
        <f>IF($A202="","",IF($AL202="",1,IFERROR(INDEX('Sublimits and Parts'!$C$84:$C$87,MATCH($AL202,'Sublimits and Parts'!$B$84:$B$87,0)),"?")))</f>
        <v/>
      </c>
      <c r="BY202" s="97" t="str">
        <f>IF($A202="","",IF($AM202="",1,IFERROR(INDEX('Sublimits and Parts'!$C$91:$C$94,MATCH($AM202,'Sublimits and Parts'!$B$91:$B$94,0)),"?")))</f>
        <v/>
      </c>
      <c r="BZ202" s="97" t="str">
        <f>IF($A202="","",IF($AN202="",1,IFERROR(INDEX('Sublimits and Parts'!$C$98:$C$101,MATCH($AN202,'Sublimits and Parts'!$B$98:$B$101,0)),"?")))</f>
        <v/>
      </c>
      <c r="CA202" s="97" t="str">
        <f>IF($A202="","",IF($AO202="",1,IFERROR(INDEX('Sublimits and Parts'!$C$105:$C$109,MATCH($AO202,'Sublimits and Parts'!$B$105:$B$109,0)),"?")))</f>
        <v/>
      </c>
      <c r="CB202" s="98" t="str">
        <f t="shared" si="41"/>
        <v/>
      </c>
      <c r="CC202" s="98" t="str">
        <f t="shared" si="42"/>
        <v/>
      </c>
      <c r="CD202" s="101" t="str">
        <f>IF($A202="","",IF(OR($CB202="?",$CC202="?"),"?",MIN($CB202*$CC202,'Technical Premium'!$C$17)))</f>
        <v/>
      </c>
      <c r="CE202" s="100" t="str">
        <f t="shared" si="43"/>
        <v/>
      </c>
      <c r="CF202" s="100" t="str">
        <f>IF($A202="","",IFERROR(INDEX('Territory Factors'!$F$6:$F$56,MATCH($K202,'Territory Factors'!$B$6:$B$56,0)),"?"))</f>
        <v/>
      </c>
      <c r="CG202" s="98" t="str">
        <f>IF($A202="","",IFERROR(INDEX('Usage and Coverage'!$C$79:$C$84,MATCH($Y202,'Usage and Coverage'!$B$79:$B$84,0)),"?"))</f>
        <v/>
      </c>
      <c r="CH202" s="100" t="str">
        <f>IFERROR(IF(ISNUMBER($CD202),$CF202*$CG202*MIN($BG202*$BA202*$BC202*$BD202*$BH202*$BF202,'Technical Premium'!$C$17),""),"")</f>
        <v/>
      </c>
      <c r="CI202" s="100" t="str">
        <f t="shared" si="44"/>
        <v/>
      </c>
      <c r="CJ202" s="100" t="str">
        <f>IFERROR($CI202*(1+'Technical Premium'!$C$5)*(1+'Technical Premium'!$C$6),"")</f>
        <v/>
      </c>
      <c r="CK202" s="100" t="str">
        <f>IFERROR($CE202*INDEX('Territory Factors'!$G$6:$G$56,MATCH($K202,'Territory Factors'!$B$6:$B$56,0))*$AU202*$AV202,"")</f>
        <v/>
      </c>
      <c r="CL202" s="100" t="str">
        <f>IFERROR(($CJ202+$CK202)*(1+'Technical Premium'!$C$7),"")</f>
        <v/>
      </c>
      <c r="CM202" s="102" t="str">
        <f>IFERROR($CL202/'Technical Premium'!$C$13,"")</f>
        <v/>
      </c>
      <c r="CN202" s="103" t="str">
        <f t="shared" si="45"/>
        <v/>
      </c>
      <c r="CO202" s="102" t="str">
        <f t="shared" si="46"/>
        <v/>
      </c>
      <c r="CP202" s="103" t="str">
        <f t="shared" si="47"/>
        <v/>
      </c>
      <c r="CQ202" s="104" t="str">
        <f t="shared" si="48"/>
        <v/>
      </c>
      <c r="CR202" s="100" t="str">
        <f>IF(ISNUMBER($CM202),'Technical Premium'!$C$14+IF($J202&gt;=1000000,'Technical Premium'!$C$15,0),"")</f>
        <v/>
      </c>
      <c r="CS202" s="100" t="str">
        <f>IFERROR(($CO202+$CR202)*(INDEX('Territory Factors'!$K$6:$K$56,MATCH($K202,'Territory Factors'!$B$6:$B$56,0))+'Commission Structure'!$C$21),"")</f>
        <v/>
      </c>
      <c r="CT202" s="102" t="str">
        <f t="shared" si="49"/>
        <v/>
      </c>
      <c r="CU202" s="100" t="str">
        <f>IFERROR($CO202*('Commission Structure'!$C$6+'Commission Structure'!$C$7),"")</f>
        <v/>
      </c>
      <c r="CV202" s="100" t="str">
        <f>IFERROR($CO202*'Commission Structure'!$C$5-$CU202,"")</f>
        <v/>
      </c>
      <c r="CW202" s="100" t="str">
        <f>IFERROR($CO202*(1-'Commission Structure'!$C$5),"")</f>
        <v/>
      </c>
      <c r="CX202" s="105" t="str">
        <f>IF($A202="","",IF(OR($CB202="?",$CC202="?",NOT(ISNUMBER($AU202))),"CHECK INPUTS",IF(OR($J202&lt;'Technical Premium'!$C$18,LEFT(IFERROR(INDEX('Driver Factors'!$D$6:$D$15,MATCH($R202,'Driver Factors'!$B$6:$B$15,0)),""),7)="DECLINE",LEFT(IFERROR(INDEX('Driver Factors'!$D$28:$D$36,MATCH($T202,'Driver Factors'!$B$28:$B$36,0)),""),7)="DECLINE",LEFT(IFERROR(INDEX('Claims History'!$D$6:$D$15,MATCH($U202,'Claims History'!$B$6:$B$15,0)),""),7)="DECLINE",LEFT(IFERROR(INDEX('Usage and Coverage'!$E$6:$E$20,MATCH($N202,'Usage and Coverage'!$C$6:$C$20,0)),""),7)="DECLINE"),"DECLINE",IF(OR($CD202&gt;2.5,$CD202&gt;='Technical Premium'!$C$17,$J202&gt;='Technical Premium'!$C$16,N($AQ202)&lt;'Technical Premium'!$C$19,N($AQ202)&gt;'Technical Premium'!$C$20,LEFT(IFERROR(INDEX('Driver Factors'!$D$6:$D$15,MATCH($R202,'Driver Factors'!$B$6:$B$15,0)),""),5)="Refer",LEFT(IFERROR(INDEX('Driver Factors'!$D$28:$D$36,MATCH($T202,'Driver Factors'!$B$28:$B$36,0)),""),5)="Refer",LEFT(IFERROR(INDEX('Claims History'!$D$6:$D$15,MATCH($U202,'Claims History'!$B$6:$B$15,0)),""),5)="Refer",LEFT(IFERROR(INDEX('Usage and Coverage'!$E$6:$E$20,MATCH($N202,'Usage and Coverage'!$C$6:$C$20,0)),""),5)="Refer"),"REFER","AUTO-BIND"))))</f>
        <v/>
      </c>
      <c r="CY202" s="106" t="str">
        <f t="shared" si="50"/>
        <v/>
      </c>
      <c r="CZ202" s="97" t="str">
        <f>IF($CY202="","",IF($CY202&lt;'Technical Premium'!$C$19,"BEYOND AUTHORITY",IF($CY202&gt;0.005,"Above technical",IF($CY202&lt;-0.005,"BELOW technical","At technical"))))</f>
        <v/>
      </c>
      <c r="DA202" s="97" t="str">
        <f>IF($A202="","",IF($CX202="AUTO-BIND","",TRIM(IF($J202&lt;'Technical Premium'!$C$18,"Below programme minimum agreed value. ","")&amp;IF(N($AQ202)&lt;'Technical Premium'!$C$19,"DISCOUNT AUTHORITY BREACH. ","")&amp;IF(N($AQ202)&gt;'Technical Premium'!$C$20,"Load authority breach. ","")&amp;IF($J202&gt;='Technical Premium'!$C$16,"Agreed value at or above auto-bind limit. ","")&amp;IF(AND(ISNUMBER($CD202),$CD202&gt;='Technical Premium'!$C$17),"Composite factor at cap. ","")&amp;IF(AND(ISNUMBER($CD202),$CD202&gt;2.5),"Composite factor above 2.50. ","")&amp;IF(LEFT(IFERROR(INDEX('Driver Factors'!$D$6:$D$15,MATCH($R202,'Driver Factors'!$B$6:$B$15,0)),""),7)="DECLINE","DECLINE - driver age. ",IF(LEFT(IFERROR(INDEX('Driver Factors'!$D$6:$D$15,MATCH($R202,'Driver Factors'!$B$6:$B$15,0)),""),5)="Refer","Driver age band. ",""))&amp;IF(LEFT(IFERROR(INDEX('Driver Factors'!$D$28:$D$36,MATCH($T202,'Driver Factors'!$B$28:$B$36,0)),""),7)="DECLINE","DECLINE - MVR. ",IF(LEFT(IFERROR(INDEX('Driver Factors'!$D$28:$D$36,MATCH($T202,'Driver Factors'!$B$28:$B$36,0)),""),5)="Refer","MVR record. ",""))&amp;IF(LEFT(IFERROR(INDEX('Claims History'!$D$6:$D$15,MATCH($U202,'Claims History'!$B$6:$B$15,0)),""),7)="DECLINE","DECLINE - claims. ",IF(LEFT(IFERROR(INDEX('Claims History'!$D$6:$D$15,MATCH($U202,'Claims History'!$B$6:$B$15,0)),""),5)="Refer","Claims history. ",""))&amp;IF(LEFT(IFERROR(INDEX('Usage and Coverage'!$E$6:$E$20,MATCH($N202,'Usage and Coverage'!$C$6:$C$20,0)),""),7)="DECLINE","DECLINE - usage class. ",IF(LEFT(IFERROR(INDEX('Usage and Coverage'!$E$6:$E$20,MATCH($N202,'Usage and Coverage'!$C$6:$C$20,0)),""),5)="Refer","Usage class. ",""))&amp;IF($CX202="CHECK INPUTS","Incomplete inputs. ",""))))</f>
        <v/>
      </c>
      <c r="DB202" s="92"/>
      <c r="DC202" s="92"/>
      <c r="DD202" s="93"/>
      <c r="DE202" s="92"/>
      <c r="DF202" s="92"/>
      <c r="DG202" s="97" t="str">
        <f t="shared" si="51"/>
        <v/>
      </c>
      <c r="DH202" s="97" t="str">
        <f>IF($A202="","",IF(OR($CX202="REFER",$CX202="DECLINE"),COUNTIF($CX$5:$CX202,"REFER")+COUNTIF($CX$5:$CX202,"DECLINE"),""))</f>
        <v/>
      </c>
      <c r="DI202" s="92"/>
    </row>
    <row r="203" spans="1:113" x14ac:dyDescent="0.25">
      <c r="A203" s="92"/>
      <c r="B203" s="92"/>
      <c r="C203" s="93"/>
      <c r="D203" s="93"/>
      <c r="E203" s="94"/>
      <c r="F203" s="92"/>
      <c r="G203" s="92"/>
      <c r="H203" s="92"/>
      <c r="I203" s="92"/>
      <c r="J203" s="95"/>
      <c r="K203" s="92"/>
      <c r="L203" s="92"/>
      <c r="M203" s="92"/>
      <c r="N203" s="92"/>
      <c r="O203" s="92"/>
      <c r="P203" s="92"/>
      <c r="Q203" s="92"/>
      <c r="R203" s="92"/>
      <c r="S203" s="92"/>
      <c r="T203" s="92"/>
      <c r="U203" s="92"/>
      <c r="V203" s="92"/>
      <c r="W203" s="92"/>
      <c r="X203" s="92"/>
      <c r="Y203" s="92"/>
      <c r="Z203" s="92"/>
      <c r="AA203" s="92"/>
      <c r="AB203" s="92"/>
      <c r="AC203" s="92"/>
      <c r="AD203" s="92"/>
      <c r="AE203" s="92"/>
      <c r="AF203" s="92"/>
      <c r="AG203" s="92"/>
      <c r="AH203" s="92"/>
      <c r="AI203" s="92"/>
      <c r="AJ203" s="92"/>
      <c r="AK203" s="92"/>
      <c r="AL203" s="92"/>
      <c r="AM203" s="92"/>
      <c r="AN203" s="92"/>
      <c r="AO203" s="92"/>
      <c r="AP203" s="92"/>
      <c r="AQ203" s="96"/>
      <c r="AR203" s="97" t="str">
        <f t="shared" si="39"/>
        <v/>
      </c>
      <c r="AS203" s="97" t="str">
        <f>IF($A203="","",IF($AP203&lt;&gt;"",$AP203,IFERROR(INDEX('Cat Zone by ZIP'!$D$6:$D$856,MATCH($AR203,'Cat Zone by ZIP'!$B$6:$B$856,0)),IFERROR(INDEX('Cat Zone by ZIP'!$C$860:$C$910,MATCH($K203,'Cat Zone by ZIP'!$B$860:$B$910,0)),"NOT FOUND"))))</f>
        <v/>
      </c>
      <c r="AT203" s="97" t="str">
        <f>IF($A203="","",IF($AP203&lt;&gt;"","Override",IF(ISNUMBER(MATCH($AR203,'Cat Zone by ZIP'!$B$6:$B$856,0)),"ZIP-3","State default")))</f>
        <v/>
      </c>
      <c r="AU203" s="98" t="str">
        <f>IF($A203="","",IFERROR(INDEX('Natural Catastrophe'!$D$6:$D$17,MATCH($AS203,'Natural Catastrophe'!$B$6:$B$17,0)),"?"))</f>
        <v/>
      </c>
      <c r="AV203" s="98" t="str">
        <f>IF($A203="","",IFERROR(INDEX('Natural Catastrophe'!$C$21:$C$26,MATCH($AA203,'Natural Catastrophe'!$B$21:$B$26,0)),"?"))</f>
        <v/>
      </c>
      <c r="AW203" s="97" t="str">
        <f>IF($A203="","",IFERROR(INDEX('Base Rates'!$C$4:$I$4,MATCH(MAX($J203,'Technical Premium'!$C$18),'Base Rates'!$C$3:$I$3,1)),"?"))</f>
        <v/>
      </c>
      <c r="AX203" s="99" t="str">
        <f>IF($A203="","",IFERROR(INDEX('Base Rates'!$C$5:$I$16,MATCH($I203,'Base Rates'!$B$5:$B$16,0),MATCH(MAX($J203,'Technical Premium'!$C$18),'Base Rates'!$C$3:$I$3,1)),"?"))</f>
        <v/>
      </c>
      <c r="AY203" s="100" t="str">
        <f t="shared" si="40"/>
        <v/>
      </c>
      <c r="AZ203" s="97" t="str">
        <f>IF($A203="","",IFERROR(INDEX('Make Factors'!$G$5:$G$69,MATCH($F203,'Make Factors'!$B$5:$B$69,0)),"?"))</f>
        <v/>
      </c>
      <c r="BA203" s="97" t="str">
        <f>IF($A203="","",IFERROR(INDEX('Driver Factors'!$C$6:$C$15,MATCH($R203,'Driver Factors'!$B$6:$B$15,0)),"?"))</f>
        <v/>
      </c>
      <c r="BB203" s="97" t="str">
        <f>IF($A203="","",IFERROR(INDEX('Driver Factors'!$C$19:$C$24,MATCH($S203,'Driver Factors'!$B$19:$B$24,0)),"?"))</f>
        <v/>
      </c>
      <c r="BC203" s="97" t="str">
        <f>IF($A203="","",IFERROR(INDEX('Driver Factors'!$C$28:$C$36,MATCH($T203,'Driver Factors'!$B$28:$B$36,0)),"?"))</f>
        <v/>
      </c>
      <c r="BD203" s="97" t="str">
        <f>IF($A203="","",IFERROR(INDEX('Claims History'!$C$6:$C$15,MATCH($U203,'Claims History'!$B$6:$B$15,0)),"?"))</f>
        <v/>
      </c>
      <c r="BE203" s="97" t="str">
        <f>IF($A203="","",IFERROR(INDEX('Territory Factors'!$E$6:$E$56,MATCH($K203,'Territory Factors'!$B$6:$B$56,0)),"?"))</f>
        <v/>
      </c>
      <c r="BF203" s="97" t="str">
        <f>IF($A203="","",IFERROR(INDEX('City Accident Ratings'!$G$6:$G$54,MATCH($Z203,'City Accident Ratings'!$B$6:$B$54,0)),"?"))</f>
        <v/>
      </c>
      <c r="BG203" s="97" t="str">
        <f>IF($A203="","",IFERROR(INDEX('Usage and Coverage'!$D$6:$D$20,MATCH($N203,'Usage and Coverage'!$C$6:$C$20,0)),"?"))</f>
        <v/>
      </c>
      <c r="BH203" s="97" t="str">
        <f>IF($A203="","",IFERROR(INDEX('Usage and Coverage'!$C$24:$C$30,MATCH($O203,'Usage and Coverage'!$B$24:$B$30,0)),"?"))</f>
        <v/>
      </c>
      <c r="BI203" s="97" t="str">
        <f>IF($A203="","",IFERROR(INDEX('Usage and Coverage'!$C$34:$C$40,MATCH($P203,'Usage and Coverage'!$B$34:$B$40,0)),"?"))</f>
        <v/>
      </c>
      <c r="BJ203" s="97" t="str">
        <f>IF($A203="","",IFERROR(INDEX('Usage and Coverage'!$C$44:$C$49,MATCH($Q203,'Usage and Coverage'!$B$44:$B$49,0)),"?"))</f>
        <v/>
      </c>
      <c r="BK203" s="97" t="str">
        <f>IF($A203="","",IFERROR(INDEX(Deductibles!$C$6:$I$15,MATCH($W203,Deductibles!$B$6:$B$15,0),MATCH(MAX($J203,'Technical Premium'!$C$18),'Base Rates'!$C$3:$I$3,1)),"?"))</f>
        <v/>
      </c>
      <c r="BL203" s="97" t="str">
        <f>IF($A203="","",IFERROR(INDEX('Usage and Coverage'!$C$63:$C$66,MATCH($X203,'Usage and Coverage'!$B$63:$B$66,0)),"?"))</f>
        <v/>
      </c>
      <c r="BM203" s="97" t="str">
        <f>IF($A203="","",IFERROR(INDEX('Usage and Coverage'!$C$70:$C$75,MATCH($V203,'Usage and Coverage'!$B$70:$B$75,0)),"?"))</f>
        <v/>
      </c>
      <c r="BN203" s="97" t="str">
        <f>IF($A203="","",IF($AB203="",1,IFERROR(INDEX(Deductibles!$C$48:$C$51,MATCH($AB203,Deductibles!$B$48:$B$51,0)),"?")))</f>
        <v/>
      </c>
      <c r="BO203" s="97" t="str">
        <f>IF($A203="","",IF($AC203="",1,IFERROR(INDEX(Deductibles!$C$55:$C$57,MATCH($AC203,Deductibles!$B$55:$B$57,0)),"?")))</f>
        <v/>
      </c>
      <c r="BP203" s="97" t="str">
        <f>IF($A203="","",IF($AD203="",1,IFERROR(INDEX(Deductibles!$C$61:$C$63,MATCH($AD203,Deductibles!$B$61:$B$63,0)),"?")))</f>
        <v/>
      </c>
      <c r="BQ203" s="97" t="str">
        <f>IF($A203="","",IF($AE203="",1,IFERROR(INDEX(Deductibles!$C$67:$C$69,MATCH($AE203,Deductibles!$B$67:$B$69,0)),"?")))</f>
        <v/>
      </c>
      <c r="BR203" s="97" t="str">
        <f>IF($A203="","",IF($AF203="",1,IFERROR(INDEX(Deductibles!$C$73:$C$74,MATCH($AF203,Deductibles!$B$73:$B$74,0)),"?")))</f>
        <v/>
      </c>
      <c r="BS203" s="97" t="str">
        <f>IF($A203="","",IF($AG203="",1,IFERROR(INDEX('Sublimits and Parts'!$C$49:$C$52,MATCH($AG203,'Sublimits and Parts'!$B$49:$B$52,0)),"?")))</f>
        <v/>
      </c>
      <c r="BT203" s="97" t="str">
        <f>IF($A203="","",IF($AH203="",1,IFERROR(INDEX('Sublimits and Parts'!$C$56:$C$60,MATCH($AH203,'Sublimits and Parts'!$B$56:$B$60,0)),"?")))</f>
        <v/>
      </c>
      <c r="BU203" s="97" t="str">
        <f>IF($A203="","",IF($AI203="",1,IFERROR(INDEX('Sublimits and Parts'!$C$64:$C$67,MATCH($AI203,'Sublimits and Parts'!$B$64:$B$67,0)),"?")))</f>
        <v/>
      </c>
      <c r="BV203" s="97" t="str">
        <f>IF($A203="","",IF($AJ203="",1,IFERROR(INDEX('Sublimits and Parts'!$C$71:$C$74,MATCH($AJ203,'Sublimits and Parts'!$B$71:$B$74,0)),"?")))</f>
        <v/>
      </c>
      <c r="BW203" s="97" t="str">
        <f>IF($A203="","",IF($AK203="",1,IFERROR(INDEX('Sublimits and Parts'!$C$78:$C$80,MATCH($AK203,'Sublimits and Parts'!$B$78:$B$80,0)),"?")))</f>
        <v/>
      </c>
      <c r="BX203" s="97" t="str">
        <f>IF($A203="","",IF($AL203="",1,IFERROR(INDEX('Sublimits and Parts'!$C$84:$C$87,MATCH($AL203,'Sublimits and Parts'!$B$84:$B$87,0)),"?")))</f>
        <v/>
      </c>
      <c r="BY203" s="97" t="str">
        <f>IF($A203="","",IF($AM203="",1,IFERROR(INDEX('Sublimits and Parts'!$C$91:$C$94,MATCH($AM203,'Sublimits and Parts'!$B$91:$B$94,0)),"?")))</f>
        <v/>
      </c>
      <c r="BZ203" s="97" t="str">
        <f>IF($A203="","",IF($AN203="",1,IFERROR(INDEX('Sublimits and Parts'!$C$98:$C$101,MATCH($AN203,'Sublimits and Parts'!$B$98:$B$101,0)),"?")))</f>
        <v/>
      </c>
      <c r="CA203" s="97" t="str">
        <f>IF($A203="","",IF($AO203="",1,IFERROR(INDEX('Sublimits and Parts'!$C$105:$C$109,MATCH($AO203,'Sublimits and Parts'!$B$105:$B$109,0)),"?")))</f>
        <v/>
      </c>
      <c r="CB203" s="98" t="str">
        <f t="shared" si="41"/>
        <v/>
      </c>
      <c r="CC203" s="98" t="str">
        <f t="shared" si="42"/>
        <v/>
      </c>
      <c r="CD203" s="101" t="str">
        <f>IF($A203="","",IF(OR($CB203="?",$CC203="?"),"?",MIN($CB203*$CC203,'Technical Premium'!$C$17)))</f>
        <v/>
      </c>
      <c r="CE203" s="100" t="str">
        <f t="shared" si="43"/>
        <v/>
      </c>
      <c r="CF203" s="100" t="str">
        <f>IF($A203="","",IFERROR(INDEX('Territory Factors'!$F$6:$F$56,MATCH($K203,'Territory Factors'!$B$6:$B$56,0)),"?"))</f>
        <v/>
      </c>
      <c r="CG203" s="98" t="str">
        <f>IF($A203="","",IFERROR(INDEX('Usage and Coverage'!$C$79:$C$84,MATCH($Y203,'Usage and Coverage'!$B$79:$B$84,0)),"?"))</f>
        <v/>
      </c>
      <c r="CH203" s="100" t="str">
        <f>IFERROR(IF(ISNUMBER($CD203),$CF203*$CG203*MIN($BG203*$BA203*$BC203*$BD203*$BH203*$BF203,'Technical Premium'!$C$17),""),"")</f>
        <v/>
      </c>
      <c r="CI203" s="100" t="str">
        <f t="shared" si="44"/>
        <v/>
      </c>
      <c r="CJ203" s="100" t="str">
        <f>IFERROR($CI203*(1+'Technical Premium'!$C$5)*(1+'Technical Premium'!$C$6),"")</f>
        <v/>
      </c>
      <c r="CK203" s="100" t="str">
        <f>IFERROR($CE203*INDEX('Territory Factors'!$G$6:$G$56,MATCH($K203,'Territory Factors'!$B$6:$B$56,0))*$AU203*$AV203,"")</f>
        <v/>
      </c>
      <c r="CL203" s="100" t="str">
        <f>IFERROR(($CJ203+$CK203)*(1+'Technical Premium'!$C$7),"")</f>
        <v/>
      </c>
      <c r="CM203" s="102" t="str">
        <f>IFERROR($CL203/'Technical Premium'!$C$13,"")</f>
        <v/>
      </c>
      <c r="CN203" s="103" t="str">
        <f t="shared" si="45"/>
        <v/>
      </c>
      <c r="CO203" s="102" t="str">
        <f t="shared" si="46"/>
        <v/>
      </c>
      <c r="CP203" s="103" t="str">
        <f t="shared" si="47"/>
        <v/>
      </c>
      <c r="CQ203" s="104" t="str">
        <f t="shared" si="48"/>
        <v/>
      </c>
      <c r="CR203" s="100" t="str">
        <f>IF(ISNUMBER($CM203),'Technical Premium'!$C$14+IF($J203&gt;=1000000,'Technical Premium'!$C$15,0),"")</f>
        <v/>
      </c>
      <c r="CS203" s="100" t="str">
        <f>IFERROR(($CO203+$CR203)*(INDEX('Territory Factors'!$K$6:$K$56,MATCH($K203,'Territory Factors'!$B$6:$B$56,0))+'Commission Structure'!$C$21),"")</f>
        <v/>
      </c>
      <c r="CT203" s="102" t="str">
        <f t="shared" si="49"/>
        <v/>
      </c>
      <c r="CU203" s="100" t="str">
        <f>IFERROR($CO203*('Commission Structure'!$C$6+'Commission Structure'!$C$7),"")</f>
        <v/>
      </c>
      <c r="CV203" s="100" t="str">
        <f>IFERROR($CO203*'Commission Structure'!$C$5-$CU203,"")</f>
        <v/>
      </c>
      <c r="CW203" s="100" t="str">
        <f>IFERROR($CO203*(1-'Commission Structure'!$C$5),"")</f>
        <v/>
      </c>
      <c r="CX203" s="105" t="str">
        <f>IF($A203="","",IF(OR($CB203="?",$CC203="?",NOT(ISNUMBER($AU203))),"CHECK INPUTS",IF(OR($J203&lt;'Technical Premium'!$C$18,LEFT(IFERROR(INDEX('Driver Factors'!$D$6:$D$15,MATCH($R203,'Driver Factors'!$B$6:$B$15,0)),""),7)="DECLINE",LEFT(IFERROR(INDEX('Driver Factors'!$D$28:$D$36,MATCH($T203,'Driver Factors'!$B$28:$B$36,0)),""),7)="DECLINE",LEFT(IFERROR(INDEX('Claims History'!$D$6:$D$15,MATCH($U203,'Claims History'!$B$6:$B$15,0)),""),7)="DECLINE",LEFT(IFERROR(INDEX('Usage and Coverage'!$E$6:$E$20,MATCH($N203,'Usage and Coverage'!$C$6:$C$20,0)),""),7)="DECLINE"),"DECLINE",IF(OR($CD203&gt;2.5,$CD203&gt;='Technical Premium'!$C$17,$J203&gt;='Technical Premium'!$C$16,N($AQ203)&lt;'Technical Premium'!$C$19,N($AQ203)&gt;'Technical Premium'!$C$20,LEFT(IFERROR(INDEX('Driver Factors'!$D$6:$D$15,MATCH($R203,'Driver Factors'!$B$6:$B$15,0)),""),5)="Refer",LEFT(IFERROR(INDEX('Driver Factors'!$D$28:$D$36,MATCH($T203,'Driver Factors'!$B$28:$B$36,0)),""),5)="Refer",LEFT(IFERROR(INDEX('Claims History'!$D$6:$D$15,MATCH($U203,'Claims History'!$B$6:$B$15,0)),""),5)="Refer",LEFT(IFERROR(INDEX('Usage and Coverage'!$E$6:$E$20,MATCH($N203,'Usage and Coverage'!$C$6:$C$20,0)),""),5)="Refer"),"REFER","AUTO-BIND"))))</f>
        <v/>
      </c>
      <c r="CY203" s="106" t="str">
        <f t="shared" si="50"/>
        <v/>
      </c>
      <c r="CZ203" s="97" t="str">
        <f>IF($CY203="","",IF($CY203&lt;'Technical Premium'!$C$19,"BEYOND AUTHORITY",IF($CY203&gt;0.005,"Above technical",IF($CY203&lt;-0.005,"BELOW technical","At technical"))))</f>
        <v/>
      </c>
      <c r="DA203" s="97" t="str">
        <f>IF($A203="","",IF($CX203="AUTO-BIND","",TRIM(IF($J203&lt;'Technical Premium'!$C$18,"Below programme minimum agreed value. ","")&amp;IF(N($AQ203)&lt;'Technical Premium'!$C$19,"DISCOUNT AUTHORITY BREACH. ","")&amp;IF(N($AQ203)&gt;'Technical Premium'!$C$20,"Load authority breach. ","")&amp;IF($J203&gt;='Technical Premium'!$C$16,"Agreed value at or above auto-bind limit. ","")&amp;IF(AND(ISNUMBER($CD203),$CD203&gt;='Technical Premium'!$C$17),"Composite factor at cap. ","")&amp;IF(AND(ISNUMBER($CD203),$CD203&gt;2.5),"Composite factor above 2.50. ","")&amp;IF(LEFT(IFERROR(INDEX('Driver Factors'!$D$6:$D$15,MATCH($R203,'Driver Factors'!$B$6:$B$15,0)),""),7)="DECLINE","DECLINE - driver age. ",IF(LEFT(IFERROR(INDEX('Driver Factors'!$D$6:$D$15,MATCH($R203,'Driver Factors'!$B$6:$B$15,0)),""),5)="Refer","Driver age band. ",""))&amp;IF(LEFT(IFERROR(INDEX('Driver Factors'!$D$28:$D$36,MATCH($T203,'Driver Factors'!$B$28:$B$36,0)),""),7)="DECLINE","DECLINE - MVR. ",IF(LEFT(IFERROR(INDEX('Driver Factors'!$D$28:$D$36,MATCH($T203,'Driver Factors'!$B$28:$B$36,0)),""),5)="Refer","MVR record. ",""))&amp;IF(LEFT(IFERROR(INDEX('Claims History'!$D$6:$D$15,MATCH($U203,'Claims History'!$B$6:$B$15,0)),""),7)="DECLINE","DECLINE - claims. ",IF(LEFT(IFERROR(INDEX('Claims History'!$D$6:$D$15,MATCH($U203,'Claims History'!$B$6:$B$15,0)),""),5)="Refer","Claims history. ",""))&amp;IF(LEFT(IFERROR(INDEX('Usage and Coverage'!$E$6:$E$20,MATCH($N203,'Usage and Coverage'!$C$6:$C$20,0)),""),7)="DECLINE","DECLINE - usage class. ",IF(LEFT(IFERROR(INDEX('Usage and Coverage'!$E$6:$E$20,MATCH($N203,'Usage and Coverage'!$C$6:$C$20,0)),""),5)="Refer","Usage class. ",""))&amp;IF($CX203="CHECK INPUTS","Incomplete inputs. ",""))))</f>
        <v/>
      </c>
      <c r="DB203" s="92"/>
      <c r="DC203" s="92"/>
      <c r="DD203" s="93"/>
      <c r="DE203" s="92"/>
      <c r="DF203" s="92"/>
      <c r="DG203" s="97" t="str">
        <f t="shared" si="51"/>
        <v/>
      </c>
      <c r="DH203" s="97" t="str">
        <f>IF($A203="","",IF(OR($CX203="REFER",$CX203="DECLINE"),COUNTIF($CX$5:$CX203,"REFER")+COUNTIF($CX$5:$CX203,"DECLINE"),""))</f>
        <v/>
      </c>
      <c r="DI203" s="92"/>
    </row>
    <row r="204" spans="1:113" x14ac:dyDescent="0.25">
      <c r="A204" s="92"/>
      <c r="B204" s="92"/>
      <c r="C204" s="93"/>
      <c r="D204" s="93"/>
      <c r="E204" s="94"/>
      <c r="F204" s="92"/>
      <c r="G204" s="92"/>
      <c r="H204" s="92"/>
      <c r="I204" s="92"/>
      <c r="J204" s="95"/>
      <c r="K204" s="92"/>
      <c r="L204" s="92"/>
      <c r="M204" s="92"/>
      <c r="N204" s="92"/>
      <c r="O204" s="92"/>
      <c r="P204" s="92"/>
      <c r="Q204" s="92"/>
      <c r="R204" s="92"/>
      <c r="S204" s="92"/>
      <c r="T204" s="92"/>
      <c r="U204" s="92"/>
      <c r="V204" s="92"/>
      <c r="W204" s="92"/>
      <c r="X204" s="92"/>
      <c r="Y204" s="92"/>
      <c r="Z204" s="92"/>
      <c r="AA204" s="92"/>
      <c r="AB204" s="92"/>
      <c r="AC204" s="92"/>
      <c r="AD204" s="92"/>
      <c r="AE204" s="92"/>
      <c r="AF204" s="92"/>
      <c r="AG204" s="92"/>
      <c r="AH204" s="92"/>
      <c r="AI204" s="92"/>
      <c r="AJ204" s="92"/>
      <c r="AK204" s="92"/>
      <c r="AL204" s="92"/>
      <c r="AM204" s="92"/>
      <c r="AN204" s="92"/>
      <c r="AO204" s="92"/>
      <c r="AP204" s="92"/>
      <c r="AQ204" s="96"/>
      <c r="AR204" s="97" t="str">
        <f t="shared" si="39"/>
        <v/>
      </c>
      <c r="AS204" s="97" t="str">
        <f>IF($A204="","",IF($AP204&lt;&gt;"",$AP204,IFERROR(INDEX('Cat Zone by ZIP'!$D$6:$D$856,MATCH($AR204,'Cat Zone by ZIP'!$B$6:$B$856,0)),IFERROR(INDEX('Cat Zone by ZIP'!$C$860:$C$910,MATCH($K204,'Cat Zone by ZIP'!$B$860:$B$910,0)),"NOT FOUND"))))</f>
        <v/>
      </c>
      <c r="AT204" s="97" t="str">
        <f>IF($A204="","",IF($AP204&lt;&gt;"","Override",IF(ISNUMBER(MATCH($AR204,'Cat Zone by ZIP'!$B$6:$B$856,0)),"ZIP-3","State default")))</f>
        <v/>
      </c>
      <c r="AU204" s="98" t="str">
        <f>IF($A204="","",IFERROR(INDEX('Natural Catastrophe'!$D$6:$D$17,MATCH($AS204,'Natural Catastrophe'!$B$6:$B$17,0)),"?"))</f>
        <v/>
      </c>
      <c r="AV204" s="98" t="str">
        <f>IF($A204="","",IFERROR(INDEX('Natural Catastrophe'!$C$21:$C$26,MATCH($AA204,'Natural Catastrophe'!$B$21:$B$26,0)),"?"))</f>
        <v/>
      </c>
      <c r="AW204" s="97" t="str">
        <f>IF($A204="","",IFERROR(INDEX('Base Rates'!$C$4:$I$4,MATCH(MAX($J204,'Technical Premium'!$C$18),'Base Rates'!$C$3:$I$3,1)),"?"))</f>
        <v/>
      </c>
      <c r="AX204" s="99" t="str">
        <f>IF($A204="","",IFERROR(INDEX('Base Rates'!$C$5:$I$16,MATCH($I204,'Base Rates'!$B$5:$B$16,0),MATCH(MAX($J204,'Technical Premium'!$C$18),'Base Rates'!$C$3:$I$3,1)),"?"))</f>
        <v/>
      </c>
      <c r="AY204" s="100" t="str">
        <f t="shared" si="40"/>
        <v/>
      </c>
      <c r="AZ204" s="97" t="str">
        <f>IF($A204="","",IFERROR(INDEX('Make Factors'!$G$5:$G$69,MATCH($F204,'Make Factors'!$B$5:$B$69,0)),"?"))</f>
        <v/>
      </c>
      <c r="BA204" s="97" t="str">
        <f>IF($A204="","",IFERROR(INDEX('Driver Factors'!$C$6:$C$15,MATCH($R204,'Driver Factors'!$B$6:$B$15,0)),"?"))</f>
        <v/>
      </c>
      <c r="BB204" s="97" t="str">
        <f>IF($A204="","",IFERROR(INDEX('Driver Factors'!$C$19:$C$24,MATCH($S204,'Driver Factors'!$B$19:$B$24,0)),"?"))</f>
        <v/>
      </c>
      <c r="BC204" s="97" t="str">
        <f>IF($A204="","",IFERROR(INDEX('Driver Factors'!$C$28:$C$36,MATCH($T204,'Driver Factors'!$B$28:$B$36,0)),"?"))</f>
        <v/>
      </c>
      <c r="BD204" s="97" t="str">
        <f>IF($A204="","",IFERROR(INDEX('Claims History'!$C$6:$C$15,MATCH($U204,'Claims History'!$B$6:$B$15,0)),"?"))</f>
        <v/>
      </c>
      <c r="BE204" s="97" t="str">
        <f>IF($A204="","",IFERROR(INDEX('Territory Factors'!$E$6:$E$56,MATCH($K204,'Territory Factors'!$B$6:$B$56,0)),"?"))</f>
        <v/>
      </c>
      <c r="BF204" s="97" t="str">
        <f>IF($A204="","",IFERROR(INDEX('City Accident Ratings'!$G$6:$G$54,MATCH($Z204,'City Accident Ratings'!$B$6:$B$54,0)),"?"))</f>
        <v/>
      </c>
      <c r="BG204" s="97" t="str">
        <f>IF($A204="","",IFERROR(INDEX('Usage and Coverage'!$D$6:$D$20,MATCH($N204,'Usage and Coverage'!$C$6:$C$20,0)),"?"))</f>
        <v/>
      </c>
      <c r="BH204" s="97" t="str">
        <f>IF($A204="","",IFERROR(INDEX('Usage and Coverage'!$C$24:$C$30,MATCH($O204,'Usage and Coverage'!$B$24:$B$30,0)),"?"))</f>
        <v/>
      </c>
      <c r="BI204" s="97" t="str">
        <f>IF($A204="","",IFERROR(INDEX('Usage and Coverage'!$C$34:$C$40,MATCH($P204,'Usage and Coverage'!$B$34:$B$40,0)),"?"))</f>
        <v/>
      </c>
      <c r="BJ204" s="97" t="str">
        <f>IF($A204="","",IFERROR(INDEX('Usage and Coverage'!$C$44:$C$49,MATCH($Q204,'Usage and Coverage'!$B$44:$B$49,0)),"?"))</f>
        <v/>
      </c>
      <c r="BK204" s="97" t="str">
        <f>IF($A204="","",IFERROR(INDEX(Deductibles!$C$6:$I$15,MATCH($W204,Deductibles!$B$6:$B$15,0),MATCH(MAX($J204,'Technical Premium'!$C$18),'Base Rates'!$C$3:$I$3,1)),"?"))</f>
        <v/>
      </c>
      <c r="BL204" s="97" t="str">
        <f>IF($A204="","",IFERROR(INDEX('Usage and Coverage'!$C$63:$C$66,MATCH($X204,'Usage and Coverage'!$B$63:$B$66,0)),"?"))</f>
        <v/>
      </c>
      <c r="BM204" s="97" t="str">
        <f>IF($A204="","",IFERROR(INDEX('Usage and Coverage'!$C$70:$C$75,MATCH($V204,'Usage and Coverage'!$B$70:$B$75,0)),"?"))</f>
        <v/>
      </c>
      <c r="BN204" s="97" t="str">
        <f>IF($A204="","",IF($AB204="",1,IFERROR(INDEX(Deductibles!$C$48:$C$51,MATCH($AB204,Deductibles!$B$48:$B$51,0)),"?")))</f>
        <v/>
      </c>
      <c r="BO204" s="97" t="str">
        <f>IF($A204="","",IF($AC204="",1,IFERROR(INDEX(Deductibles!$C$55:$C$57,MATCH($AC204,Deductibles!$B$55:$B$57,0)),"?")))</f>
        <v/>
      </c>
      <c r="BP204" s="97" t="str">
        <f>IF($A204="","",IF($AD204="",1,IFERROR(INDEX(Deductibles!$C$61:$C$63,MATCH($AD204,Deductibles!$B$61:$B$63,0)),"?")))</f>
        <v/>
      </c>
      <c r="BQ204" s="97" t="str">
        <f>IF($A204="","",IF($AE204="",1,IFERROR(INDEX(Deductibles!$C$67:$C$69,MATCH($AE204,Deductibles!$B$67:$B$69,0)),"?")))</f>
        <v/>
      </c>
      <c r="BR204" s="97" t="str">
        <f>IF($A204="","",IF($AF204="",1,IFERROR(INDEX(Deductibles!$C$73:$C$74,MATCH($AF204,Deductibles!$B$73:$B$74,0)),"?")))</f>
        <v/>
      </c>
      <c r="BS204" s="97" t="str">
        <f>IF($A204="","",IF($AG204="",1,IFERROR(INDEX('Sublimits and Parts'!$C$49:$C$52,MATCH($AG204,'Sublimits and Parts'!$B$49:$B$52,0)),"?")))</f>
        <v/>
      </c>
      <c r="BT204" s="97" t="str">
        <f>IF($A204="","",IF($AH204="",1,IFERROR(INDEX('Sublimits and Parts'!$C$56:$C$60,MATCH($AH204,'Sublimits and Parts'!$B$56:$B$60,0)),"?")))</f>
        <v/>
      </c>
      <c r="BU204" s="97" t="str">
        <f>IF($A204="","",IF($AI204="",1,IFERROR(INDEX('Sublimits and Parts'!$C$64:$C$67,MATCH($AI204,'Sublimits and Parts'!$B$64:$B$67,0)),"?")))</f>
        <v/>
      </c>
      <c r="BV204" s="97" t="str">
        <f>IF($A204="","",IF($AJ204="",1,IFERROR(INDEX('Sublimits and Parts'!$C$71:$C$74,MATCH($AJ204,'Sublimits and Parts'!$B$71:$B$74,0)),"?")))</f>
        <v/>
      </c>
      <c r="BW204" s="97" t="str">
        <f>IF($A204="","",IF($AK204="",1,IFERROR(INDEX('Sublimits and Parts'!$C$78:$C$80,MATCH($AK204,'Sublimits and Parts'!$B$78:$B$80,0)),"?")))</f>
        <v/>
      </c>
      <c r="BX204" s="97" t="str">
        <f>IF($A204="","",IF($AL204="",1,IFERROR(INDEX('Sublimits and Parts'!$C$84:$C$87,MATCH($AL204,'Sublimits and Parts'!$B$84:$B$87,0)),"?")))</f>
        <v/>
      </c>
      <c r="BY204" s="97" t="str">
        <f>IF($A204="","",IF($AM204="",1,IFERROR(INDEX('Sublimits and Parts'!$C$91:$C$94,MATCH($AM204,'Sublimits and Parts'!$B$91:$B$94,0)),"?")))</f>
        <v/>
      </c>
      <c r="BZ204" s="97" t="str">
        <f>IF($A204="","",IF($AN204="",1,IFERROR(INDEX('Sublimits and Parts'!$C$98:$C$101,MATCH($AN204,'Sublimits and Parts'!$B$98:$B$101,0)),"?")))</f>
        <v/>
      </c>
      <c r="CA204" s="97" t="str">
        <f>IF($A204="","",IF($AO204="",1,IFERROR(INDEX('Sublimits and Parts'!$C$105:$C$109,MATCH($AO204,'Sublimits and Parts'!$B$105:$B$109,0)),"?")))</f>
        <v/>
      </c>
      <c r="CB204" s="98" t="str">
        <f t="shared" si="41"/>
        <v/>
      </c>
      <c r="CC204" s="98" t="str">
        <f t="shared" si="42"/>
        <v/>
      </c>
      <c r="CD204" s="101" t="str">
        <f>IF($A204="","",IF(OR($CB204="?",$CC204="?"),"?",MIN($CB204*$CC204,'Technical Premium'!$C$17)))</f>
        <v/>
      </c>
      <c r="CE204" s="100" t="str">
        <f t="shared" si="43"/>
        <v/>
      </c>
      <c r="CF204" s="100" t="str">
        <f>IF($A204="","",IFERROR(INDEX('Territory Factors'!$F$6:$F$56,MATCH($K204,'Territory Factors'!$B$6:$B$56,0)),"?"))</f>
        <v/>
      </c>
      <c r="CG204" s="98" t="str">
        <f>IF($A204="","",IFERROR(INDEX('Usage and Coverage'!$C$79:$C$84,MATCH($Y204,'Usage and Coverage'!$B$79:$B$84,0)),"?"))</f>
        <v/>
      </c>
      <c r="CH204" s="100" t="str">
        <f>IFERROR(IF(ISNUMBER($CD204),$CF204*$CG204*MIN($BG204*$BA204*$BC204*$BD204*$BH204*$BF204,'Technical Premium'!$C$17),""),"")</f>
        <v/>
      </c>
      <c r="CI204" s="100" t="str">
        <f t="shared" si="44"/>
        <v/>
      </c>
      <c r="CJ204" s="100" t="str">
        <f>IFERROR($CI204*(1+'Technical Premium'!$C$5)*(1+'Technical Premium'!$C$6),"")</f>
        <v/>
      </c>
      <c r="CK204" s="100" t="str">
        <f>IFERROR($CE204*INDEX('Territory Factors'!$G$6:$G$56,MATCH($K204,'Territory Factors'!$B$6:$B$56,0))*$AU204*$AV204,"")</f>
        <v/>
      </c>
      <c r="CL204" s="100" t="str">
        <f>IFERROR(($CJ204+$CK204)*(1+'Technical Premium'!$C$7),"")</f>
        <v/>
      </c>
      <c r="CM204" s="102" t="str">
        <f>IFERROR($CL204/'Technical Premium'!$C$13,"")</f>
        <v/>
      </c>
      <c r="CN204" s="103" t="str">
        <f t="shared" si="45"/>
        <v/>
      </c>
      <c r="CO204" s="102" t="str">
        <f t="shared" si="46"/>
        <v/>
      </c>
      <c r="CP204" s="103" t="str">
        <f t="shared" si="47"/>
        <v/>
      </c>
      <c r="CQ204" s="104" t="str">
        <f t="shared" si="48"/>
        <v/>
      </c>
      <c r="CR204" s="100" t="str">
        <f>IF(ISNUMBER($CM204),'Technical Premium'!$C$14+IF($J204&gt;=1000000,'Technical Premium'!$C$15,0),"")</f>
        <v/>
      </c>
      <c r="CS204" s="100" t="str">
        <f>IFERROR(($CO204+$CR204)*(INDEX('Territory Factors'!$K$6:$K$56,MATCH($K204,'Territory Factors'!$B$6:$B$56,0))+'Commission Structure'!$C$21),"")</f>
        <v/>
      </c>
      <c r="CT204" s="102" t="str">
        <f t="shared" si="49"/>
        <v/>
      </c>
      <c r="CU204" s="100" t="str">
        <f>IFERROR($CO204*('Commission Structure'!$C$6+'Commission Structure'!$C$7),"")</f>
        <v/>
      </c>
      <c r="CV204" s="100" t="str">
        <f>IFERROR($CO204*'Commission Structure'!$C$5-$CU204,"")</f>
        <v/>
      </c>
      <c r="CW204" s="100" t="str">
        <f>IFERROR($CO204*(1-'Commission Structure'!$C$5),"")</f>
        <v/>
      </c>
      <c r="CX204" s="105" t="str">
        <f>IF($A204="","",IF(OR($CB204="?",$CC204="?",NOT(ISNUMBER($AU204))),"CHECK INPUTS",IF(OR($J204&lt;'Technical Premium'!$C$18,LEFT(IFERROR(INDEX('Driver Factors'!$D$6:$D$15,MATCH($R204,'Driver Factors'!$B$6:$B$15,0)),""),7)="DECLINE",LEFT(IFERROR(INDEX('Driver Factors'!$D$28:$D$36,MATCH($T204,'Driver Factors'!$B$28:$B$36,0)),""),7)="DECLINE",LEFT(IFERROR(INDEX('Claims History'!$D$6:$D$15,MATCH($U204,'Claims History'!$B$6:$B$15,0)),""),7)="DECLINE",LEFT(IFERROR(INDEX('Usage and Coverage'!$E$6:$E$20,MATCH($N204,'Usage and Coverage'!$C$6:$C$20,0)),""),7)="DECLINE"),"DECLINE",IF(OR($CD204&gt;2.5,$CD204&gt;='Technical Premium'!$C$17,$J204&gt;='Technical Premium'!$C$16,N($AQ204)&lt;'Technical Premium'!$C$19,N($AQ204)&gt;'Technical Premium'!$C$20,LEFT(IFERROR(INDEX('Driver Factors'!$D$6:$D$15,MATCH($R204,'Driver Factors'!$B$6:$B$15,0)),""),5)="Refer",LEFT(IFERROR(INDEX('Driver Factors'!$D$28:$D$36,MATCH($T204,'Driver Factors'!$B$28:$B$36,0)),""),5)="Refer",LEFT(IFERROR(INDEX('Claims History'!$D$6:$D$15,MATCH($U204,'Claims History'!$B$6:$B$15,0)),""),5)="Refer",LEFT(IFERROR(INDEX('Usage and Coverage'!$E$6:$E$20,MATCH($N204,'Usage and Coverage'!$C$6:$C$20,0)),""),5)="Refer"),"REFER","AUTO-BIND"))))</f>
        <v/>
      </c>
      <c r="CY204" s="106" t="str">
        <f t="shared" si="50"/>
        <v/>
      </c>
      <c r="CZ204" s="97" t="str">
        <f>IF($CY204="","",IF($CY204&lt;'Technical Premium'!$C$19,"BEYOND AUTHORITY",IF($CY204&gt;0.005,"Above technical",IF($CY204&lt;-0.005,"BELOW technical","At technical"))))</f>
        <v/>
      </c>
      <c r="DA204" s="97" t="str">
        <f>IF($A204="","",IF($CX204="AUTO-BIND","",TRIM(IF($J204&lt;'Technical Premium'!$C$18,"Below programme minimum agreed value. ","")&amp;IF(N($AQ204)&lt;'Technical Premium'!$C$19,"DISCOUNT AUTHORITY BREACH. ","")&amp;IF(N($AQ204)&gt;'Technical Premium'!$C$20,"Load authority breach. ","")&amp;IF($J204&gt;='Technical Premium'!$C$16,"Agreed value at or above auto-bind limit. ","")&amp;IF(AND(ISNUMBER($CD204),$CD204&gt;='Technical Premium'!$C$17),"Composite factor at cap. ","")&amp;IF(AND(ISNUMBER($CD204),$CD204&gt;2.5),"Composite factor above 2.50. ","")&amp;IF(LEFT(IFERROR(INDEX('Driver Factors'!$D$6:$D$15,MATCH($R204,'Driver Factors'!$B$6:$B$15,0)),""),7)="DECLINE","DECLINE - driver age. ",IF(LEFT(IFERROR(INDEX('Driver Factors'!$D$6:$D$15,MATCH($R204,'Driver Factors'!$B$6:$B$15,0)),""),5)="Refer","Driver age band. ",""))&amp;IF(LEFT(IFERROR(INDEX('Driver Factors'!$D$28:$D$36,MATCH($T204,'Driver Factors'!$B$28:$B$36,0)),""),7)="DECLINE","DECLINE - MVR. ",IF(LEFT(IFERROR(INDEX('Driver Factors'!$D$28:$D$36,MATCH($T204,'Driver Factors'!$B$28:$B$36,0)),""),5)="Refer","MVR record. ",""))&amp;IF(LEFT(IFERROR(INDEX('Claims History'!$D$6:$D$15,MATCH($U204,'Claims History'!$B$6:$B$15,0)),""),7)="DECLINE","DECLINE - claims. ",IF(LEFT(IFERROR(INDEX('Claims History'!$D$6:$D$15,MATCH($U204,'Claims History'!$B$6:$B$15,0)),""),5)="Refer","Claims history. ",""))&amp;IF(LEFT(IFERROR(INDEX('Usage and Coverage'!$E$6:$E$20,MATCH($N204,'Usage and Coverage'!$C$6:$C$20,0)),""),7)="DECLINE","DECLINE - usage class. ",IF(LEFT(IFERROR(INDEX('Usage and Coverage'!$E$6:$E$20,MATCH($N204,'Usage and Coverage'!$C$6:$C$20,0)),""),5)="Refer","Usage class. ",""))&amp;IF($CX204="CHECK INPUTS","Incomplete inputs. ",""))))</f>
        <v/>
      </c>
      <c r="DB204" s="92"/>
      <c r="DC204" s="92"/>
      <c r="DD204" s="93"/>
      <c r="DE204" s="92"/>
      <c r="DF204" s="92"/>
      <c r="DG204" s="97" t="str">
        <f t="shared" si="51"/>
        <v/>
      </c>
      <c r="DH204" s="97" t="str">
        <f>IF($A204="","",IF(OR($CX204="REFER",$CX204="DECLINE"),COUNTIF($CX$5:$CX204,"REFER")+COUNTIF($CX$5:$CX204,"DECLINE"),""))</f>
        <v/>
      </c>
      <c r="DI204" s="92"/>
    </row>
    <row r="205" spans="1:113" x14ac:dyDescent="0.25">
      <c r="A205" s="92"/>
      <c r="B205" s="92"/>
      <c r="C205" s="93"/>
      <c r="D205" s="93"/>
      <c r="E205" s="94"/>
      <c r="F205" s="92"/>
      <c r="G205" s="92"/>
      <c r="H205" s="92"/>
      <c r="I205" s="92"/>
      <c r="J205" s="95"/>
      <c r="K205" s="92"/>
      <c r="L205" s="92"/>
      <c r="M205" s="92"/>
      <c r="N205" s="92"/>
      <c r="O205" s="92"/>
      <c r="P205" s="92"/>
      <c r="Q205" s="92"/>
      <c r="R205" s="92"/>
      <c r="S205" s="92"/>
      <c r="T205" s="92"/>
      <c r="U205" s="92"/>
      <c r="V205" s="92"/>
      <c r="W205" s="92"/>
      <c r="X205" s="92"/>
      <c r="Y205" s="92"/>
      <c r="Z205" s="92"/>
      <c r="AA205" s="92"/>
      <c r="AB205" s="92"/>
      <c r="AC205" s="92"/>
      <c r="AD205" s="92"/>
      <c r="AE205" s="92"/>
      <c r="AF205" s="92"/>
      <c r="AG205" s="92"/>
      <c r="AH205" s="92"/>
      <c r="AI205" s="92"/>
      <c r="AJ205" s="92"/>
      <c r="AK205" s="92"/>
      <c r="AL205" s="92"/>
      <c r="AM205" s="92"/>
      <c r="AN205" s="92"/>
      <c r="AO205" s="92"/>
      <c r="AP205" s="92"/>
      <c r="AQ205" s="96"/>
      <c r="AR205" s="97" t="str">
        <f t="shared" si="39"/>
        <v/>
      </c>
      <c r="AS205" s="97" t="str">
        <f>IF($A205="","",IF($AP205&lt;&gt;"",$AP205,IFERROR(INDEX('Cat Zone by ZIP'!$D$6:$D$856,MATCH($AR205,'Cat Zone by ZIP'!$B$6:$B$856,0)),IFERROR(INDEX('Cat Zone by ZIP'!$C$860:$C$910,MATCH($K205,'Cat Zone by ZIP'!$B$860:$B$910,0)),"NOT FOUND"))))</f>
        <v/>
      </c>
      <c r="AT205" s="97" t="str">
        <f>IF($A205="","",IF($AP205&lt;&gt;"","Override",IF(ISNUMBER(MATCH($AR205,'Cat Zone by ZIP'!$B$6:$B$856,0)),"ZIP-3","State default")))</f>
        <v/>
      </c>
      <c r="AU205" s="98" t="str">
        <f>IF($A205="","",IFERROR(INDEX('Natural Catastrophe'!$D$6:$D$17,MATCH($AS205,'Natural Catastrophe'!$B$6:$B$17,0)),"?"))</f>
        <v/>
      </c>
      <c r="AV205" s="98" t="str">
        <f>IF($A205="","",IFERROR(INDEX('Natural Catastrophe'!$C$21:$C$26,MATCH($AA205,'Natural Catastrophe'!$B$21:$B$26,0)),"?"))</f>
        <v/>
      </c>
      <c r="AW205" s="97" t="str">
        <f>IF($A205="","",IFERROR(INDEX('Base Rates'!$C$4:$I$4,MATCH(MAX($J205,'Technical Premium'!$C$18),'Base Rates'!$C$3:$I$3,1)),"?"))</f>
        <v/>
      </c>
      <c r="AX205" s="99" t="str">
        <f>IF($A205="","",IFERROR(INDEX('Base Rates'!$C$5:$I$16,MATCH($I205,'Base Rates'!$B$5:$B$16,0),MATCH(MAX($J205,'Technical Premium'!$C$18),'Base Rates'!$C$3:$I$3,1)),"?"))</f>
        <v/>
      </c>
      <c r="AY205" s="100" t="str">
        <f t="shared" si="40"/>
        <v/>
      </c>
      <c r="AZ205" s="97" t="str">
        <f>IF($A205="","",IFERROR(INDEX('Make Factors'!$G$5:$G$69,MATCH($F205,'Make Factors'!$B$5:$B$69,0)),"?"))</f>
        <v/>
      </c>
      <c r="BA205" s="97" t="str">
        <f>IF($A205="","",IFERROR(INDEX('Driver Factors'!$C$6:$C$15,MATCH($R205,'Driver Factors'!$B$6:$B$15,0)),"?"))</f>
        <v/>
      </c>
      <c r="BB205" s="97" t="str">
        <f>IF($A205="","",IFERROR(INDEX('Driver Factors'!$C$19:$C$24,MATCH($S205,'Driver Factors'!$B$19:$B$24,0)),"?"))</f>
        <v/>
      </c>
      <c r="BC205" s="97" t="str">
        <f>IF($A205="","",IFERROR(INDEX('Driver Factors'!$C$28:$C$36,MATCH($T205,'Driver Factors'!$B$28:$B$36,0)),"?"))</f>
        <v/>
      </c>
      <c r="BD205" s="97" t="str">
        <f>IF($A205="","",IFERROR(INDEX('Claims History'!$C$6:$C$15,MATCH($U205,'Claims History'!$B$6:$B$15,0)),"?"))</f>
        <v/>
      </c>
      <c r="BE205" s="97" t="str">
        <f>IF($A205="","",IFERROR(INDEX('Territory Factors'!$E$6:$E$56,MATCH($K205,'Territory Factors'!$B$6:$B$56,0)),"?"))</f>
        <v/>
      </c>
      <c r="BF205" s="97" t="str">
        <f>IF($A205="","",IFERROR(INDEX('City Accident Ratings'!$G$6:$G$54,MATCH($Z205,'City Accident Ratings'!$B$6:$B$54,0)),"?"))</f>
        <v/>
      </c>
      <c r="BG205" s="97" t="str">
        <f>IF($A205="","",IFERROR(INDEX('Usage and Coverage'!$D$6:$D$20,MATCH($N205,'Usage and Coverage'!$C$6:$C$20,0)),"?"))</f>
        <v/>
      </c>
      <c r="BH205" s="97" t="str">
        <f>IF($A205="","",IFERROR(INDEX('Usage and Coverage'!$C$24:$C$30,MATCH($O205,'Usage and Coverage'!$B$24:$B$30,0)),"?"))</f>
        <v/>
      </c>
      <c r="BI205" s="97" t="str">
        <f>IF($A205="","",IFERROR(INDEX('Usage and Coverage'!$C$34:$C$40,MATCH($P205,'Usage and Coverage'!$B$34:$B$40,0)),"?"))</f>
        <v/>
      </c>
      <c r="BJ205" s="97" t="str">
        <f>IF($A205="","",IFERROR(INDEX('Usage and Coverage'!$C$44:$C$49,MATCH($Q205,'Usage and Coverage'!$B$44:$B$49,0)),"?"))</f>
        <v/>
      </c>
      <c r="BK205" s="97" t="str">
        <f>IF($A205="","",IFERROR(INDEX(Deductibles!$C$6:$I$15,MATCH($W205,Deductibles!$B$6:$B$15,0),MATCH(MAX($J205,'Technical Premium'!$C$18),'Base Rates'!$C$3:$I$3,1)),"?"))</f>
        <v/>
      </c>
      <c r="BL205" s="97" t="str">
        <f>IF($A205="","",IFERROR(INDEX('Usage and Coverage'!$C$63:$C$66,MATCH($X205,'Usage and Coverage'!$B$63:$B$66,0)),"?"))</f>
        <v/>
      </c>
      <c r="BM205" s="97" t="str">
        <f>IF($A205="","",IFERROR(INDEX('Usage and Coverage'!$C$70:$C$75,MATCH($V205,'Usage and Coverage'!$B$70:$B$75,0)),"?"))</f>
        <v/>
      </c>
      <c r="BN205" s="97" t="str">
        <f>IF($A205="","",IF($AB205="",1,IFERROR(INDEX(Deductibles!$C$48:$C$51,MATCH($AB205,Deductibles!$B$48:$B$51,0)),"?")))</f>
        <v/>
      </c>
      <c r="BO205" s="97" t="str">
        <f>IF($A205="","",IF($AC205="",1,IFERROR(INDEX(Deductibles!$C$55:$C$57,MATCH($AC205,Deductibles!$B$55:$B$57,0)),"?")))</f>
        <v/>
      </c>
      <c r="BP205" s="97" t="str">
        <f>IF($A205="","",IF($AD205="",1,IFERROR(INDEX(Deductibles!$C$61:$C$63,MATCH($AD205,Deductibles!$B$61:$B$63,0)),"?")))</f>
        <v/>
      </c>
      <c r="BQ205" s="97" t="str">
        <f>IF($A205="","",IF($AE205="",1,IFERROR(INDEX(Deductibles!$C$67:$C$69,MATCH($AE205,Deductibles!$B$67:$B$69,0)),"?")))</f>
        <v/>
      </c>
      <c r="BR205" s="97" t="str">
        <f>IF($A205="","",IF($AF205="",1,IFERROR(INDEX(Deductibles!$C$73:$C$74,MATCH($AF205,Deductibles!$B$73:$B$74,0)),"?")))</f>
        <v/>
      </c>
      <c r="BS205" s="97" t="str">
        <f>IF($A205="","",IF($AG205="",1,IFERROR(INDEX('Sublimits and Parts'!$C$49:$C$52,MATCH($AG205,'Sublimits and Parts'!$B$49:$B$52,0)),"?")))</f>
        <v/>
      </c>
      <c r="BT205" s="97" t="str">
        <f>IF($A205="","",IF($AH205="",1,IFERROR(INDEX('Sublimits and Parts'!$C$56:$C$60,MATCH($AH205,'Sublimits and Parts'!$B$56:$B$60,0)),"?")))</f>
        <v/>
      </c>
      <c r="BU205" s="97" t="str">
        <f>IF($A205="","",IF($AI205="",1,IFERROR(INDEX('Sublimits and Parts'!$C$64:$C$67,MATCH($AI205,'Sublimits and Parts'!$B$64:$B$67,0)),"?")))</f>
        <v/>
      </c>
      <c r="BV205" s="97" t="str">
        <f>IF($A205="","",IF($AJ205="",1,IFERROR(INDEX('Sublimits and Parts'!$C$71:$C$74,MATCH($AJ205,'Sublimits and Parts'!$B$71:$B$74,0)),"?")))</f>
        <v/>
      </c>
      <c r="BW205" s="97" t="str">
        <f>IF($A205="","",IF($AK205="",1,IFERROR(INDEX('Sublimits and Parts'!$C$78:$C$80,MATCH($AK205,'Sublimits and Parts'!$B$78:$B$80,0)),"?")))</f>
        <v/>
      </c>
      <c r="BX205" s="97" t="str">
        <f>IF($A205="","",IF($AL205="",1,IFERROR(INDEX('Sublimits and Parts'!$C$84:$C$87,MATCH($AL205,'Sublimits and Parts'!$B$84:$B$87,0)),"?")))</f>
        <v/>
      </c>
      <c r="BY205" s="97" t="str">
        <f>IF($A205="","",IF($AM205="",1,IFERROR(INDEX('Sublimits and Parts'!$C$91:$C$94,MATCH($AM205,'Sublimits and Parts'!$B$91:$B$94,0)),"?")))</f>
        <v/>
      </c>
      <c r="BZ205" s="97" t="str">
        <f>IF($A205="","",IF($AN205="",1,IFERROR(INDEX('Sublimits and Parts'!$C$98:$C$101,MATCH($AN205,'Sublimits and Parts'!$B$98:$B$101,0)),"?")))</f>
        <v/>
      </c>
      <c r="CA205" s="97" t="str">
        <f>IF($A205="","",IF($AO205="",1,IFERROR(INDEX('Sublimits and Parts'!$C$105:$C$109,MATCH($AO205,'Sublimits and Parts'!$B$105:$B$109,0)),"?")))</f>
        <v/>
      </c>
      <c r="CB205" s="98" t="str">
        <f t="shared" si="41"/>
        <v/>
      </c>
      <c r="CC205" s="98" t="str">
        <f t="shared" si="42"/>
        <v/>
      </c>
      <c r="CD205" s="101" t="str">
        <f>IF($A205="","",IF(OR($CB205="?",$CC205="?"),"?",MIN($CB205*$CC205,'Technical Premium'!$C$17)))</f>
        <v/>
      </c>
      <c r="CE205" s="100" t="str">
        <f t="shared" si="43"/>
        <v/>
      </c>
      <c r="CF205" s="100" t="str">
        <f>IF($A205="","",IFERROR(INDEX('Territory Factors'!$F$6:$F$56,MATCH($K205,'Territory Factors'!$B$6:$B$56,0)),"?"))</f>
        <v/>
      </c>
      <c r="CG205" s="98" t="str">
        <f>IF($A205="","",IFERROR(INDEX('Usage and Coverage'!$C$79:$C$84,MATCH($Y205,'Usage and Coverage'!$B$79:$B$84,0)),"?"))</f>
        <v/>
      </c>
      <c r="CH205" s="100" t="str">
        <f>IFERROR(IF(ISNUMBER($CD205),$CF205*$CG205*MIN($BG205*$BA205*$BC205*$BD205*$BH205*$BF205,'Technical Premium'!$C$17),""),"")</f>
        <v/>
      </c>
      <c r="CI205" s="100" t="str">
        <f t="shared" si="44"/>
        <v/>
      </c>
      <c r="CJ205" s="100" t="str">
        <f>IFERROR($CI205*(1+'Technical Premium'!$C$5)*(1+'Technical Premium'!$C$6),"")</f>
        <v/>
      </c>
      <c r="CK205" s="100" t="str">
        <f>IFERROR($CE205*INDEX('Territory Factors'!$G$6:$G$56,MATCH($K205,'Territory Factors'!$B$6:$B$56,0))*$AU205*$AV205,"")</f>
        <v/>
      </c>
      <c r="CL205" s="100" t="str">
        <f>IFERROR(($CJ205+$CK205)*(1+'Technical Premium'!$C$7),"")</f>
        <v/>
      </c>
      <c r="CM205" s="102" t="str">
        <f>IFERROR($CL205/'Technical Premium'!$C$13,"")</f>
        <v/>
      </c>
      <c r="CN205" s="103" t="str">
        <f t="shared" si="45"/>
        <v/>
      </c>
      <c r="CO205" s="102" t="str">
        <f t="shared" si="46"/>
        <v/>
      </c>
      <c r="CP205" s="103" t="str">
        <f t="shared" si="47"/>
        <v/>
      </c>
      <c r="CQ205" s="104" t="str">
        <f t="shared" si="48"/>
        <v/>
      </c>
      <c r="CR205" s="100" t="str">
        <f>IF(ISNUMBER($CM205),'Technical Premium'!$C$14+IF($J205&gt;=1000000,'Technical Premium'!$C$15,0),"")</f>
        <v/>
      </c>
      <c r="CS205" s="100" t="str">
        <f>IFERROR(($CO205+$CR205)*(INDEX('Territory Factors'!$K$6:$K$56,MATCH($K205,'Territory Factors'!$B$6:$B$56,0))+'Commission Structure'!$C$21),"")</f>
        <v/>
      </c>
      <c r="CT205" s="102" t="str">
        <f t="shared" si="49"/>
        <v/>
      </c>
      <c r="CU205" s="100" t="str">
        <f>IFERROR($CO205*('Commission Structure'!$C$6+'Commission Structure'!$C$7),"")</f>
        <v/>
      </c>
      <c r="CV205" s="100" t="str">
        <f>IFERROR($CO205*'Commission Structure'!$C$5-$CU205,"")</f>
        <v/>
      </c>
      <c r="CW205" s="100" t="str">
        <f>IFERROR($CO205*(1-'Commission Structure'!$C$5),"")</f>
        <v/>
      </c>
      <c r="CX205" s="105" t="str">
        <f>IF($A205="","",IF(OR($CB205="?",$CC205="?",NOT(ISNUMBER($AU205))),"CHECK INPUTS",IF(OR($J205&lt;'Technical Premium'!$C$18,LEFT(IFERROR(INDEX('Driver Factors'!$D$6:$D$15,MATCH($R205,'Driver Factors'!$B$6:$B$15,0)),""),7)="DECLINE",LEFT(IFERROR(INDEX('Driver Factors'!$D$28:$D$36,MATCH($T205,'Driver Factors'!$B$28:$B$36,0)),""),7)="DECLINE",LEFT(IFERROR(INDEX('Claims History'!$D$6:$D$15,MATCH($U205,'Claims History'!$B$6:$B$15,0)),""),7)="DECLINE",LEFT(IFERROR(INDEX('Usage and Coverage'!$E$6:$E$20,MATCH($N205,'Usage and Coverage'!$C$6:$C$20,0)),""),7)="DECLINE"),"DECLINE",IF(OR($CD205&gt;2.5,$CD205&gt;='Technical Premium'!$C$17,$J205&gt;='Technical Premium'!$C$16,N($AQ205)&lt;'Technical Premium'!$C$19,N($AQ205)&gt;'Technical Premium'!$C$20,LEFT(IFERROR(INDEX('Driver Factors'!$D$6:$D$15,MATCH($R205,'Driver Factors'!$B$6:$B$15,0)),""),5)="Refer",LEFT(IFERROR(INDEX('Driver Factors'!$D$28:$D$36,MATCH($T205,'Driver Factors'!$B$28:$B$36,0)),""),5)="Refer",LEFT(IFERROR(INDEX('Claims History'!$D$6:$D$15,MATCH($U205,'Claims History'!$B$6:$B$15,0)),""),5)="Refer",LEFT(IFERROR(INDEX('Usage and Coverage'!$E$6:$E$20,MATCH($N205,'Usage and Coverage'!$C$6:$C$20,0)),""),5)="Refer"),"REFER","AUTO-BIND"))))</f>
        <v/>
      </c>
      <c r="CY205" s="106" t="str">
        <f t="shared" si="50"/>
        <v/>
      </c>
      <c r="CZ205" s="97" t="str">
        <f>IF($CY205="","",IF($CY205&lt;'Technical Premium'!$C$19,"BEYOND AUTHORITY",IF($CY205&gt;0.005,"Above technical",IF($CY205&lt;-0.005,"BELOW technical","At technical"))))</f>
        <v/>
      </c>
      <c r="DA205" s="97" t="str">
        <f>IF($A205="","",IF($CX205="AUTO-BIND","",TRIM(IF($J205&lt;'Technical Premium'!$C$18,"Below programme minimum agreed value. ","")&amp;IF(N($AQ205)&lt;'Technical Premium'!$C$19,"DISCOUNT AUTHORITY BREACH. ","")&amp;IF(N($AQ205)&gt;'Technical Premium'!$C$20,"Load authority breach. ","")&amp;IF($J205&gt;='Technical Premium'!$C$16,"Agreed value at or above auto-bind limit. ","")&amp;IF(AND(ISNUMBER($CD205),$CD205&gt;='Technical Premium'!$C$17),"Composite factor at cap. ","")&amp;IF(AND(ISNUMBER($CD205),$CD205&gt;2.5),"Composite factor above 2.50. ","")&amp;IF(LEFT(IFERROR(INDEX('Driver Factors'!$D$6:$D$15,MATCH($R205,'Driver Factors'!$B$6:$B$15,0)),""),7)="DECLINE","DECLINE - driver age. ",IF(LEFT(IFERROR(INDEX('Driver Factors'!$D$6:$D$15,MATCH($R205,'Driver Factors'!$B$6:$B$15,0)),""),5)="Refer","Driver age band. ",""))&amp;IF(LEFT(IFERROR(INDEX('Driver Factors'!$D$28:$D$36,MATCH($T205,'Driver Factors'!$B$28:$B$36,0)),""),7)="DECLINE","DECLINE - MVR. ",IF(LEFT(IFERROR(INDEX('Driver Factors'!$D$28:$D$36,MATCH($T205,'Driver Factors'!$B$28:$B$36,0)),""),5)="Refer","MVR record. ",""))&amp;IF(LEFT(IFERROR(INDEX('Claims History'!$D$6:$D$15,MATCH($U205,'Claims History'!$B$6:$B$15,0)),""),7)="DECLINE","DECLINE - claims. ",IF(LEFT(IFERROR(INDEX('Claims History'!$D$6:$D$15,MATCH($U205,'Claims History'!$B$6:$B$15,0)),""),5)="Refer","Claims history. ",""))&amp;IF(LEFT(IFERROR(INDEX('Usage and Coverage'!$E$6:$E$20,MATCH($N205,'Usage and Coverage'!$C$6:$C$20,0)),""),7)="DECLINE","DECLINE - usage class. ",IF(LEFT(IFERROR(INDEX('Usage and Coverage'!$E$6:$E$20,MATCH($N205,'Usage and Coverage'!$C$6:$C$20,0)),""),5)="Refer","Usage class. ",""))&amp;IF($CX205="CHECK INPUTS","Incomplete inputs. ",""))))</f>
        <v/>
      </c>
      <c r="DB205" s="92"/>
      <c r="DC205" s="92"/>
      <c r="DD205" s="93"/>
      <c r="DE205" s="92"/>
      <c r="DF205" s="92"/>
      <c r="DG205" s="97" t="str">
        <f t="shared" si="51"/>
        <v/>
      </c>
      <c r="DH205" s="97" t="str">
        <f>IF($A205="","",IF(OR($CX205="REFER",$CX205="DECLINE"),COUNTIF($CX$5:$CX205,"REFER")+COUNTIF($CX$5:$CX205,"DECLINE"),""))</f>
        <v/>
      </c>
      <c r="DI205" s="92"/>
    </row>
    <row r="206" spans="1:113" x14ac:dyDescent="0.25">
      <c r="A206" s="92"/>
      <c r="B206" s="92"/>
      <c r="C206" s="93"/>
      <c r="D206" s="93"/>
      <c r="E206" s="94"/>
      <c r="F206" s="92"/>
      <c r="G206" s="92"/>
      <c r="H206" s="92"/>
      <c r="I206" s="92"/>
      <c r="J206" s="95"/>
      <c r="K206" s="92"/>
      <c r="L206" s="92"/>
      <c r="M206" s="92"/>
      <c r="N206" s="92"/>
      <c r="O206" s="92"/>
      <c r="P206" s="92"/>
      <c r="Q206" s="92"/>
      <c r="R206" s="92"/>
      <c r="S206" s="92"/>
      <c r="T206" s="92"/>
      <c r="U206" s="92"/>
      <c r="V206" s="92"/>
      <c r="W206" s="92"/>
      <c r="X206" s="92"/>
      <c r="Y206" s="92"/>
      <c r="Z206" s="92"/>
      <c r="AA206" s="92"/>
      <c r="AB206" s="92"/>
      <c r="AC206" s="92"/>
      <c r="AD206" s="92"/>
      <c r="AE206" s="92"/>
      <c r="AF206" s="92"/>
      <c r="AG206" s="92"/>
      <c r="AH206" s="92"/>
      <c r="AI206" s="92"/>
      <c r="AJ206" s="92"/>
      <c r="AK206" s="92"/>
      <c r="AL206" s="92"/>
      <c r="AM206" s="92"/>
      <c r="AN206" s="92"/>
      <c r="AO206" s="92"/>
      <c r="AP206" s="92"/>
      <c r="AQ206" s="96"/>
      <c r="AR206" s="97" t="str">
        <f t="shared" si="39"/>
        <v/>
      </c>
      <c r="AS206" s="97" t="str">
        <f>IF($A206="","",IF($AP206&lt;&gt;"",$AP206,IFERROR(INDEX('Cat Zone by ZIP'!$D$6:$D$856,MATCH($AR206,'Cat Zone by ZIP'!$B$6:$B$856,0)),IFERROR(INDEX('Cat Zone by ZIP'!$C$860:$C$910,MATCH($K206,'Cat Zone by ZIP'!$B$860:$B$910,0)),"NOT FOUND"))))</f>
        <v/>
      </c>
      <c r="AT206" s="97" t="str">
        <f>IF($A206="","",IF($AP206&lt;&gt;"","Override",IF(ISNUMBER(MATCH($AR206,'Cat Zone by ZIP'!$B$6:$B$856,0)),"ZIP-3","State default")))</f>
        <v/>
      </c>
      <c r="AU206" s="98" t="str">
        <f>IF($A206="","",IFERROR(INDEX('Natural Catastrophe'!$D$6:$D$17,MATCH($AS206,'Natural Catastrophe'!$B$6:$B$17,0)),"?"))</f>
        <v/>
      </c>
      <c r="AV206" s="98" t="str">
        <f>IF($A206="","",IFERROR(INDEX('Natural Catastrophe'!$C$21:$C$26,MATCH($AA206,'Natural Catastrophe'!$B$21:$B$26,0)),"?"))</f>
        <v/>
      </c>
      <c r="AW206" s="97" t="str">
        <f>IF($A206="","",IFERROR(INDEX('Base Rates'!$C$4:$I$4,MATCH(MAX($J206,'Technical Premium'!$C$18),'Base Rates'!$C$3:$I$3,1)),"?"))</f>
        <v/>
      </c>
      <c r="AX206" s="99" t="str">
        <f>IF($A206="","",IFERROR(INDEX('Base Rates'!$C$5:$I$16,MATCH($I206,'Base Rates'!$B$5:$B$16,0),MATCH(MAX($J206,'Technical Premium'!$C$18),'Base Rates'!$C$3:$I$3,1)),"?"))</f>
        <v/>
      </c>
      <c r="AY206" s="100" t="str">
        <f t="shared" si="40"/>
        <v/>
      </c>
      <c r="AZ206" s="97" t="str">
        <f>IF($A206="","",IFERROR(INDEX('Make Factors'!$G$5:$G$69,MATCH($F206,'Make Factors'!$B$5:$B$69,0)),"?"))</f>
        <v/>
      </c>
      <c r="BA206" s="97" t="str">
        <f>IF($A206="","",IFERROR(INDEX('Driver Factors'!$C$6:$C$15,MATCH($R206,'Driver Factors'!$B$6:$B$15,0)),"?"))</f>
        <v/>
      </c>
      <c r="BB206" s="97" t="str">
        <f>IF($A206="","",IFERROR(INDEX('Driver Factors'!$C$19:$C$24,MATCH($S206,'Driver Factors'!$B$19:$B$24,0)),"?"))</f>
        <v/>
      </c>
      <c r="BC206" s="97" t="str">
        <f>IF($A206="","",IFERROR(INDEX('Driver Factors'!$C$28:$C$36,MATCH($T206,'Driver Factors'!$B$28:$B$36,0)),"?"))</f>
        <v/>
      </c>
      <c r="BD206" s="97" t="str">
        <f>IF($A206="","",IFERROR(INDEX('Claims History'!$C$6:$C$15,MATCH($U206,'Claims History'!$B$6:$B$15,0)),"?"))</f>
        <v/>
      </c>
      <c r="BE206" s="97" t="str">
        <f>IF($A206="","",IFERROR(INDEX('Territory Factors'!$E$6:$E$56,MATCH($K206,'Territory Factors'!$B$6:$B$56,0)),"?"))</f>
        <v/>
      </c>
      <c r="BF206" s="97" t="str">
        <f>IF($A206="","",IFERROR(INDEX('City Accident Ratings'!$G$6:$G$54,MATCH($Z206,'City Accident Ratings'!$B$6:$B$54,0)),"?"))</f>
        <v/>
      </c>
      <c r="BG206" s="97" t="str">
        <f>IF($A206="","",IFERROR(INDEX('Usage and Coverage'!$D$6:$D$20,MATCH($N206,'Usage and Coverage'!$C$6:$C$20,0)),"?"))</f>
        <v/>
      </c>
      <c r="BH206" s="97" t="str">
        <f>IF($A206="","",IFERROR(INDEX('Usage and Coverage'!$C$24:$C$30,MATCH($O206,'Usage and Coverage'!$B$24:$B$30,0)),"?"))</f>
        <v/>
      </c>
      <c r="BI206" s="97" t="str">
        <f>IF($A206="","",IFERROR(INDEX('Usage and Coverage'!$C$34:$C$40,MATCH($P206,'Usage and Coverage'!$B$34:$B$40,0)),"?"))</f>
        <v/>
      </c>
      <c r="BJ206" s="97" t="str">
        <f>IF($A206="","",IFERROR(INDEX('Usage and Coverage'!$C$44:$C$49,MATCH($Q206,'Usage and Coverage'!$B$44:$B$49,0)),"?"))</f>
        <v/>
      </c>
      <c r="BK206" s="97" t="str">
        <f>IF($A206="","",IFERROR(INDEX(Deductibles!$C$6:$I$15,MATCH($W206,Deductibles!$B$6:$B$15,0),MATCH(MAX($J206,'Technical Premium'!$C$18),'Base Rates'!$C$3:$I$3,1)),"?"))</f>
        <v/>
      </c>
      <c r="BL206" s="97" t="str">
        <f>IF($A206="","",IFERROR(INDEX('Usage and Coverage'!$C$63:$C$66,MATCH($X206,'Usage and Coverage'!$B$63:$B$66,0)),"?"))</f>
        <v/>
      </c>
      <c r="BM206" s="97" t="str">
        <f>IF($A206="","",IFERROR(INDEX('Usage and Coverage'!$C$70:$C$75,MATCH($V206,'Usage and Coverage'!$B$70:$B$75,0)),"?"))</f>
        <v/>
      </c>
      <c r="BN206" s="97" t="str">
        <f>IF($A206="","",IF($AB206="",1,IFERROR(INDEX(Deductibles!$C$48:$C$51,MATCH($AB206,Deductibles!$B$48:$B$51,0)),"?")))</f>
        <v/>
      </c>
      <c r="BO206" s="97" t="str">
        <f>IF($A206="","",IF($AC206="",1,IFERROR(INDEX(Deductibles!$C$55:$C$57,MATCH($AC206,Deductibles!$B$55:$B$57,0)),"?")))</f>
        <v/>
      </c>
      <c r="BP206" s="97" t="str">
        <f>IF($A206="","",IF($AD206="",1,IFERROR(INDEX(Deductibles!$C$61:$C$63,MATCH($AD206,Deductibles!$B$61:$B$63,0)),"?")))</f>
        <v/>
      </c>
      <c r="BQ206" s="97" t="str">
        <f>IF($A206="","",IF($AE206="",1,IFERROR(INDEX(Deductibles!$C$67:$C$69,MATCH($AE206,Deductibles!$B$67:$B$69,0)),"?")))</f>
        <v/>
      </c>
      <c r="BR206" s="97" t="str">
        <f>IF($A206="","",IF($AF206="",1,IFERROR(INDEX(Deductibles!$C$73:$C$74,MATCH($AF206,Deductibles!$B$73:$B$74,0)),"?")))</f>
        <v/>
      </c>
      <c r="BS206" s="97" t="str">
        <f>IF($A206="","",IF($AG206="",1,IFERROR(INDEX('Sublimits and Parts'!$C$49:$C$52,MATCH($AG206,'Sublimits and Parts'!$B$49:$B$52,0)),"?")))</f>
        <v/>
      </c>
      <c r="BT206" s="97" t="str">
        <f>IF($A206="","",IF($AH206="",1,IFERROR(INDEX('Sublimits and Parts'!$C$56:$C$60,MATCH($AH206,'Sublimits and Parts'!$B$56:$B$60,0)),"?")))</f>
        <v/>
      </c>
      <c r="BU206" s="97" t="str">
        <f>IF($A206="","",IF($AI206="",1,IFERROR(INDEX('Sublimits and Parts'!$C$64:$C$67,MATCH($AI206,'Sublimits and Parts'!$B$64:$B$67,0)),"?")))</f>
        <v/>
      </c>
      <c r="BV206" s="97" t="str">
        <f>IF($A206="","",IF($AJ206="",1,IFERROR(INDEX('Sublimits and Parts'!$C$71:$C$74,MATCH($AJ206,'Sublimits and Parts'!$B$71:$B$74,0)),"?")))</f>
        <v/>
      </c>
      <c r="BW206" s="97" t="str">
        <f>IF($A206="","",IF($AK206="",1,IFERROR(INDEX('Sublimits and Parts'!$C$78:$C$80,MATCH($AK206,'Sublimits and Parts'!$B$78:$B$80,0)),"?")))</f>
        <v/>
      </c>
      <c r="BX206" s="97" t="str">
        <f>IF($A206="","",IF($AL206="",1,IFERROR(INDEX('Sublimits and Parts'!$C$84:$C$87,MATCH($AL206,'Sublimits and Parts'!$B$84:$B$87,0)),"?")))</f>
        <v/>
      </c>
      <c r="BY206" s="97" t="str">
        <f>IF($A206="","",IF($AM206="",1,IFERROR(INDEX('Sublimits and Parts'!$C$91:$C$94,MATCH($AM206,'Sublimits and Parts'!$B$91:$B$94,0)),"?")))</f>
        <v/>
      </c>
      <c r="BZ206" s="97" t="str">
        <f>IF($A206="","",IF($AN206="",1,IFERROR(INDEX('Sublimits and Parts'!$C$98:$C$101,MATCH($AN206,'Sublimits and Parts'!$B$98:$B$101,0)),"?")))</f>
        <v/>
      </c>
      <c r="CA206" s="97" t="str">
        <f>IF($A206="","",IF($AO206="",1,IFERROR(INDEX('Sublimits and Parts'!$C$105:$C$109,MATCH($AO206,'Sublimits and Parts'!$B$105:$B$109,0)),"?")))</f>
        <v/>
      </c>
      <c r="CB206" s="98" t="str">
        <f t="shared" si="41"/>
        <v/>
      </c>
      <c r="CC206" s="98" t="str">
        <f t="shared" si="42"/>
        <v/>
      </c>
      <c r="CD206" s="101" t="str">
        <f>IF($A206="","",IF(OR($CB206="?",$CC206="?"),"?",MIN($CB206*$CC206,'Technical Premium'!$C$17)))</f>
        <v/>
      </c>
      <c r="CE206" s="100" t="str">
        <f t="shared" si="43"/>
        <v/>
      </c>
      <c r="CF206" s="100" t="str">
        <f>IF($A206="","",IFERROR(INDEX('Territory Factors'!$F$6:$F$56,MATCH($K206,'Territory Factors'!$B$6:$B$56,0)),"?"))</f>
        <v/>
      </c>
      <c r="CG206" s="98" t="str">
        <f>IF($A206="","",IFERROR(INDEX('Usage and Coverage'!$C$79:$C$84,MATCH($Y206,'Usage and Coverage'!$B$79:$B$84,0)),"?"))</f>
        <v/>
      </c>
      <c r="CH206" s="100" t="str">
        <f>IFERROR(IF(ISNUMBER($CD206),$CF206*$CG206*MIN($BG206*$BA206*$BC206*$BD206*$BH206*$BF206,'Technical Premium'!$C$17),""),"")</f>
        <v/>
      </c>
      <c r="CI206" s="100" t="str">
        <f t="shared" si="44"/>
        <v/>
      </c>
      <c r="CJ206" s="100" t="str">
        <f>IFERROR($CI206*(1+'Technical Premium'!$C$5)*(1+'Technical Premium'!$C$6),"")</f>
        <v/>
      </c>
      <c r="CK206" s="100" t="str">
        <f>IFERROR($CE206*INDEX('Territory Factors'!$G$6:$G$56,MATCH($K206,'Territory Factors'!$B$6:$B$56,0))*$AU206*$AV206,"")</f>
        <v/>
      </c>
      <c r="CL206" s="100" t="str">
        <f>IFERROR(($CJ206+$CK206)*(1+'Technical Premium'!$C$7),"")</f>
        <v/>
      </c>
      <c r="CM206" s="102" t="str">
        <f>IFERROR($CL206/'Technical Premium'!$C$13,"")</f>
        <v/>
      </c>
      <c r="CN206" s="103" t="str">
        <f t="shared" si="45"/>
        <v/>
      </c>
      <c r="CO206" s="102" t="str">
        <f t="shared" si="46"/>
        <v/>
      </c>
      <c r="CP206" s="103" t="str">
        <f t="shared" si="47"/>
        <v/>
      </c>
      <c r="CQ206" s="104" t="str">
        <f t="shared" si="48"/>
        <v/>
      </c>
      <c r="CR206" s="100" t="str">
        <f>IF(ISNUMBER($CM206),'Technical Premium'!$C$14+IF($J206&gt;=1000000,'Technical Premium'!$C$15,0),"")</f>
        <v/>
      </c>
      <c r="CS206" s="100" t="str">
        <f>IFERROR(($CO206+$CR206)*(INDEX('Territory Factors'!$K$6:$K$56,MATCH($K206,'Territory Factors'!$B$6:$B$56,0))+'Commission Structure'!$C$21),"")</f>
        <v/>
      </c>
      <c r="CT206" s="102" t="str">
        <f t="shared" si="49"/>
        <v/>
      </c>
      <c r="CU206" s="100" t="str">
        <f>IFERROR($CO206*('Commission Structure'!$C$6+'Commission Structure'!$C$7),"")</f>
        <v/>
      </c>
      <c r="CV206" s="100" t="str">
        <f>IFERROR($CO206*'Commission Structure'!$C$5-$CU206,"")</f>
        <v/>
      </c>
      <c r="CW206" s="100" t="str">
        <f>IFERROR($CO206*(1-'Commission Structure'!$C$5),"")</f>
        <v/>
      </c>
      <c r="CX206" s="105" t="str">
        <f>IF($A206="","",IF(OR($CB206="?",$CC206="?",NOT(ISNUMBER($AU206))),"CHECK INPUTS",IF(OR($J206&lt;'Technical Premium'!$C$18,LEFT(IFERROR(INDEX('Driver Factors'!$D$6:$D$15,MATCH($R206,'Driver Factors'!$B$6:$B$15,0)),""),7)="DECLINE",LEFT(IFERROR(INDEX('Driver Factors'!$D$28:$D$36,MATCH($T206,'Driver Factors'!$B$28:$B$36,0)),""),7)="DECLINE",LEFT(IFERROR(INDEX('Claims History'!$D$6:$D$15,MATCH($U206,'Claims History'!$B$6:$B$15,0)),""),7)="DECLINE",LEFT(IFERROR(INDEX('Usage and Coverage'!$E$6:$E$20,MATCH($N206,'Usage and Coverage'!$C$6:$C$20,0)),""),7)="DECLINE"),"DECLINE",IF(OR($CD206&gt;2.5,$CD206&gt;='Technical Premium'!$C$17,$J206&gt;='Technical Premium'!$C$16,N($AQ206)&lt;'Technical Premium'!$C$19,N($AQ206)&gt;'Technical Premium'!$C$20,LEFT(IFERROR(INDEX('Driver Factors'!$D$6:$D$15,MATCH($R206,'Driver Factors'!$B$6:$B$15,0)),""),5)="Refer",LEFT(IFERROR(INDEX('Driver Factors'!$D$28:$D$36,MATCH($T206,'Driver Factors'!$B$28:$B$36,0)),""),5)="Refer",LEFT(IFERROR(INDEX('Claims History'!$D$6:$D$15,MATCH($U206,'Claims History'!$B$6:$B$15,0)),""),5)="Refer",LEFT(IFERROR(INDEX('Usage and Coverage'!$E$6:$E$20,MATCH($N206,'Usage and Coverage'!$C$6:$C$20,0)),""),5)="Refer"),"REFER","AUTO-BIND"))))</f>
        <v/>
      </c>
      <c r="CY206" s="106" t="str">
        <f t="shared" si="50"/>
        <v/>
      </c>
      <c r="CZ206" s="97" t="str">
        <f>IF($CY206="","",IF($CY206&lt;'Technical Premium'!$C$19,"BEYOND AUTHORITY",IF($CY206&gt;0.005,"Above technical",IF($CY206&lt;-0.005,"BELOW technical","At technical"))))</f>
        <v/>
      </c>
      <c r="DA206" s="97" t="str">
        <f>IF($A206="","",IF($CX206="AUTO-BIND","",TRIM(IF($J206&lt;'Technical Premium'!$C$18,"Below programme minimum agreed value. ","")&amp;IF(N($AQ206)&lt;'Technical Premium'!$C$19,"DISCOUNT AUTHORITY BREACH. ","")&amp;IF(N($AQ206)&gt;'Technical Premium'!$C$20,"Load authority breach. ","")&amp;IF($J206&gt;='Technical Premium'!$C$16,"Agreed value at or above auto-bind limit. ","")&amp;IF(AND(ISNUMBER($CD206),$CD206&gt;='Technical Premium'!$C$17),"Composite factor at cap. ","")&amp;IF(AND(ISNUMBER($CD206),$CD206&gt;2.5),"Composite factor above 2.50. ","")&amp;IF(LEFT(IFERROR(INDEX('Driver Factors'!$D$6:$D$15,MATCH($R206,'Driver Factors'!$B$6:$B$15,0)),""),7)="DECLINE","DECLINE - driver age. ",IF(LEFT(IFERROR(INDEX('Driver Factors'!$D$6:$D$15,MATCH($R206,'Driver Factors'!$B$6:$B$15,0)),""),5)="Refer","Driver age band. ",""))&amp;IF(LEFT(IFERROR(INDEX('Driver Factors'!$D$28:$D$36,MATCH($T206,'Driver Factors'!$B$28:$B$36,0)),""),7)="DECLINE","DECLINE - MVR. ",IF(LEFT(IFERROR(INDEX('Driver Factors'!$D$28:$D$36,MATCH($T206,'Driver Factors'!$B$28:$B$36,0)),""),5)="Refer","MVR record. ",""))&amp;IF(LEFT(IFERROR(INDEX('Claims History'!$D$6:$D$15,MATCH($U206,'Claims History'!$B$6:$B$15,0)),""),7)="DECLINE","DECLINE - claims. ",IF(LEFT(IFERROR(INDEX('Claims History'!$D$6:$D$15,MATCH($U206,'Claims History'!$B$6:$B$15,0)),""),5)="Refer","Claims history. ",""))&amp;IF(LEFT(IFERROR(INDEX('Usage and Coverage'!$E$6:$E$20,MATCH($N206,'Usage and Coverage'!$C$6:$C$20,0)),""),7)="DECLINE","DECLINE - usage class. ",IF(LEFT(IFERROR(INDEX('Usage and Coverage'!$E$6:$E$20,MATCH($N206,'Usage and Coverage'!$C$6:$C$20,0)),""),5)="Refer","Usage class. ",""))&amp;IF($CX206="CHECK INPUTS","Incomplete inputs. ",""))))</f>
        <v/>
      </c>
      <c r="DB206" s="92"/>
      <c r="DC206" s="92"/>
      <c r="DD206" s="93"/>
      <c r="DE206" s="92"/>
      <c r="DF206" s="92"/>
      <c r="DG206" s="97" t="str">
        <f t="shared" si="51"/>
        <v/>
      </c>
      <c r="DH206" s="97" t="str">
        <f>IF($A206="","",IF(OR($CX206="REFER",$CX206="DECLINE"),COUNTIF($CX$5:$CX206,"REFER")+COUNTIF($CX$5:$CX206,"DECLINE"),""))</f>
        <v/>
      </c>
      <c r="DI206" s="92"/>
    </row>
    <row r="207" spans="1:113" x14ac:dyDescent="0.25">
      <c r="A207" s="92"/>
      <c r="B207" s="92"/>
      <c r="C207" s="93"/>
      <c r="D207" s="93"/>
      <c r="E207" s="94"/>
      <c r="F207" s="92"/>
      <c r="G207" s="92"/>
      <c r="H207" s="92"/>
      <c r="I207" s="92"/>
      <c r="J207" s="95"/>
      <c r="K207" s="92"/>
      <c r="L207" s="92"/>
      <c r="M207" s="92"/>
      <c r="N207" s="92"/>
      <c r="O207" s="92"/>
      <c r="P207" s="92"/>
      <c r="Q207" s="92"/>
      <c r="R207" s="92"/>
      <c r="S207" s="92"/>
      <c r="T207" s="92"/>
      <c r="U207" s="92"/>
      <c r="V207" s="92"/>
      <c r="W207" s="92"/>
      <c r="X207" s="92"/>
      <c r="Y207" s="92"/>
      <c r="Z207" s="92"/>
      <c r="AA207" s="92"/>
      <c r="AB207" s="92"/>
      <c r="AC207" s="92"/>
      <c r="AD207" s="92"/>
      <c r="AE207" s="92"/>
      <c r="AF207" s="92"/>
      <c r="AG207" s="92"/>
      <c r="AH207" s="92"/>
      <c r="AI207" s="92"/>
      <c r="AJ207" s="92"/>
      <c r="AK207" s="92"/>
      <c r="AL207" s="92"/>
      <c r="AM207" s="92"/>
      <c r="AN207" s="92"/>
      <c r="AO207" s="92"/>
      <c r="AP207" s="92"/>
      <c r="AQ207" s="96"/>
      <c r="AR207" s="97" t="str">
        <f t="shared" si="39"/>
        <v/>
      </c>
      <c r="AS207" s="97" t="str">
        <f>IF($A207="","",IF($AP207&lt;&gt;"",$AP207,IFERROR(INDEX('Cat Zone by ZIP'!$D$6:$D$856,MATCH($AR207,'Cat Zone by ZIP'!$B$6:$B$856,0)),IFERROR(INDEX('Cat Zone by ZIP'!$C$860:$C$910,MATCH($K207,'Cat Zone by ZIP'!$B$860:$B$910,0)),"NOT FOUND"))))</f>
        <v/>
      </c>
      <c r="AT207" s="97" t="str">
        <f>IF($A207="","",IF($AP207&lt;&gt;"","Override",IF(ISNUMBER(MATCH($AR207,'Cat Zone by ZIP'!$B$6:$B$856,0)),"ZIP-3","State default")))</f>
        <v/>
      </c>
      <c r="AU207" s="98" t="str">
        <f>IF($A207="","",IFERROR(INDEX('Natural Catastrophe'!$D$6:$D$17,MATCH($AS207,'Natural Catastrophe'!$B$6:$B$17,0)),"?"))</f>
        <v/>
      </c>
      <c r="AV207" s="98" t="str">
        <f>IF($A207="","",IFERROR(INDEX('Natural Catastrophe'!$C$21:$C$26,MATCH($AA207,'Natural Catastrophe'!$B$21:$B$26,0)),"?"))</f>
        <v/>
      </c>
      <c r="AW207" s="97" t="str">
        <f>IF($A207="","",IFERROR(INDEX('Base Rates'!$C$4:$I$4,MATCH(MAX($J207,'Technical Premium'!$C$18),'Base Rates'!$C$3:$I$3,1)),"?"))</f>
        <v/>
      </c>
      <c r="AX207" s="99" t="str">
        <f>IF($A207="","",IFERROR(INDEX('Base Rates'!$C$5:$I$16,MATCH($I207,'Base Rates'!$B$5:$B$16,0),MATCH(MAX($J207,'Technical Premium'!$C$18),'Base Rates'!$C$3:$I$3,1)),"?"))</f>
        <v/>
      </c>
      <c r="AY207" s="100" t="str">
        <f t="shared" si="40"/>
        <v/>
      </c>
      <c r="AZ207" s="97" t="str">
        <f>IF($A207="","",IFERROR(INDEX('Make Factors'!$G$5:$G$69,MATCH($F207,'Make Factors'!$B$5:$B$69,0)),"?"))</f>
        <v/>
      </c>
      <c r="BA207" s="97" t="str">
        <f>IF($A207="","",IFERROR(INDEX('Driver Factors'!$C$6:$C$15,MATCH($R207,'Driver Factors'!$B$6:$B$15,0)),"?"))</f>
        <v/>
      </c>
      <c r="BB207" s="97" t="str">
        <f>IF($A207="","",IFERROR(INDEX('Driver Factors'!$C$19:$C$24,MATCH($S207,'Driver Factors'!$B$19:$B$24,0)),"?"))</f>
        <v/>
      </c>
      <c r="BC207" s="97" t="str">
        <f>IF($A207="","",IFERROR(INDEX('Driver Factors'!$C$28:$C$36,MATCH($T207,'Driver Factors'!$B$28:$B$36,0)),"?"))</f>
        <v/>
      </c>
      <c r="BD207" s="97" t="str">
        <f>IF($A207="","",IFERROR(INDEX('Claims History'!$C$6:$C$15,MATCH($U207,'Claims History'!$B$6:$B$15,0)),"?"))</f>
        <v/>
      </c>
      <c r="BE207" s="97" t="str">
        <f>IF($A207="","",IFERROR(INDEX('Territory Factors'!$E$6:$E$56,MATCH($K207,'Territory Factors'!$B$6:$B$56,0)),"?"))</f>
        <v/>
      </c>
      <c r="BF207" s="97" t="str">
        <f>IF($A207="","",IFERROR(INDEX('City Accident Ratings'!$G$6:$G$54,MATCH($Z207,'City Accident Ratings'!$B$6:$B$54,0)),"?"))</f>
        <v/>
      </c>
      <c r="BG207" s="97" t="str">
        <f>IF($A207="","",IFERROR(INDEX('Usage and Coverage'!$D$6:$D$20,MATCH($N207,'Usage and Coverage'!$C$6:$C$20,0)),"?"))</f>
        <v/>
      </c>
      <c r="BH207" s="97" t="str">
        <f>IF($A207="","",IFERROR(INDEX('Usage and Coverage'!$C$24:$C$30,MATCH($O207,'Usage and Coverage'!$B$24:$B$30,0)),"?"))</f>
        <v/>
      </c>
      <c r="BI207" s="97" t="str">
        <f>IF($A207="","",IFERROR(INDEX('Usage and Coverage'!$C$34:$C$40,MATCH($P207,'Usage and Coverage'!$B$34:$B$40,0)),"?"))</f>
        <v/>
      </c>
      <c r="BJ207" s="97" t="str">
        <f>IF($A207="","",IFERROR(INDEX('Usage and Coverage'!$C$44:$C$49,MATCH($Q207,'Usage and Coverage'!$B$44:$B$49,0)),"?"))</f>
        <v/>
      </c>
      <c r="BK207" s="97" t="str">
        <f>IF($A207="","",IFERROR(INDEX(Deductibles!$C$6:$I$15,MATCH($W207,Deductibles!$B$6:$B$15,0),MATCH(MAX($J207,'Technical Premium'!$C$18),'Base Rates'!$C$3:$I$3,1)),"?"))</f>
        <v/>
      </c>
      <c r="BL207" s="97" t="str">
        <f>IF($A207="","",IFERROR(INDEX('Usage and Coverage'!$C$63:$C$66,MATCH($X207,'Usage and Coverage'!$B$63:$B$66,0)),"?"))</f>
        <v/>
      </c>
      <c r="BM207" s="97" t="str">
        <f>IF($A207="","",IFERROR(INDEX('Usage and Coverage'!$C$70:$C$75,MATCH($V207,'Usage and Coverage'!$B$70:$B$75,0)),"?"))</f>
        <v/>
      </c>
      <c r="BN207" s="97" t="str">
        <f>IF($A207="","",IF($AB207="",1,IFERROR(INDEX(Deductibles!$C$48:$C$51,MATCH($AB207,Deductibles!$B$48:$B$51,0)),"?")))</f>
        <v/>
      </c>
      <c r="BO207" s="97" t="str">
        <f>IF($A207="","",IF($AC207="",1,IFERROR(INDEX(Deductibles!$C$55:$C$57,MATCH($AC207,Deductibles!$B$55:$B$57,0)),"?")))</f>
        <v/>
      </c>
      <c r="BP207" s="97" t="str">
        <f>IF($A207="","",IF($AD207="",1,IFERROR(INDEX(Deductibles!$C$61:$C$63,MATCH($AD207,Deductibles!$B$61:$B$63,0)),"?")))</f>
        <v/>
      </c>
      <c r="BQ207" s="97" t="str">
        <f>IF($A207="","",IF($AE207="",1,IFERROR(INDEX(Deductibles!$C$67:$C$69,MATCH($AE207,Deductibles!$B$67:$B$69,0)),"?")))</f>
        <v/>
      </c>
      <c r="BR207" s="97" t="str">
        <f>IF($A207="","",IF($AF207="",1,IFERROR(INDEX(Deductibles!$C$73:$C$74,MATCH($AF207,Deductibles!$B$73:$B$74,0)),"?")))</f>
        <v/>
      </c>
      <c r="BS207" s="97" t="str">
        <f>IF($A207="","",IF($AG207="",1,IFERROR(INDEX('Sublimits and Parts'!$C$49:$C$52,MATCH($AG207,'Sublimits and Parts'!$B$49:$B$52,0)),"?")))</f>
        <v/>
      </c>
      <c r="BT207" s="97" t="str">
        <f>IF($A207="","",IF($AH207="",1,IFERROR(INDEX('Sublimits and Parts'!$C$56:$C$60,MATCH($AH207,'Sublimits and Parts'!$B$56:$B$60,0)),"?")))</f>
        <v/>
      </c>
      <c r="BU207" s="97" t="str">
        <f>IF($A207="","",IF($AI207="",1,IFERROR(INDEX('Sublimits and Parts'!$C$64:$C$67,MATCH($AI207,'Sublimits and Parts'!$B$64:$B$67,0)),"?")))</f>
        <v/>
      </c>
      <c r="BV207" s="97" t="str">
        <f>IF($A207="","",IF($AJ207="",1,IFERROR(INDEX('Sublimits and Parts'!$C$71:$C$74,MATCH($AJ207,'Sublimits and Parts'!$B$71:$B$74,0)),"?")))</f>
        <v/>
      </c>
      <c r="BW207" s="97" t="str">
        <f>IF($A207="","",IF($AK207="",1,IFERROR(INDEX('Sublimits and Parts'!$C$78:$C$80,MATCH($AK207,'Sublimits and Parts'!$B$78:$B$80,0)),"?")))</f>
        <v/>
      </c>
      <c r="BX207" s="97" t="str">
        <f>IF($A207="","",IF($AL207="",1,IFERROR(INDEX('Sublimits and Parts'!$C$84:$C$87,MATCH($AL207,'Sublimits and Parts'!$B$84:$B$87,0)),"?")))</f>
        <v/>
      </c>
      <c r="BY207" s="97" t="str">
        <f>IF($A207="","",IF($AM207="",1,IFERROR(INDEX('Sublimits and Parts'!$C$91:$C$94,MATCH($AM207,'Sublimits and Parts'!$B$91:$B$94,0)),"?")))</f>
        <v/>
      </c>
      <c r="BZ207" s="97" t="str">
        <f>IF($A207="","",IF($AN207="",1,IFERROR(INDEX('Sublimits and Parts'!$C$98:$C$101,MATCH($AN207,'Sublimits and Parts'!$B$98:$B$101,0)),"?")))</f>
        <v/>
      </c>
      <c r="CA207" s="97" t="str">
        <f>IF($A207="","",IF($AO207="",1,IFERROR(INDEX('Sublimits and Parts'!$C$105:$C$109,MATCH($AO207,'Sublimits and Parts'!$B$105:$B$109,0)),"?")))</f>
        <v/>
      </c>
      <c r="CB207" s="98" t="str">
        <f t="shared" si="41"/>
        <v/>
      </c>
      <c r="CC207" s="98" t="str">
        <f t="shared" si="42"/>
        <v/>
      </c>
      <c r="CD207" s="101" t="str">
        <f>IF($A207="","",IF(OR($CB207="?",$CC207="?"),"?",MIN($CB207*$CC207,'Technical Premium'!$C$17)))</f>
        <v/>
      </c>
      <c r="CE207" s="100" t="str">
        <f t="shared" si="43"/>
        <v/>
      </c>
      <c r="CF207" s="100" t="str">
        <f>IF($A207="","",IFERROR(INDEX('Territory Factors'!$F$6:$F$56,MATCH($K207,'Territory Factors'!$B$6:$B$56,0)),"?"))</f>
        <v/>
      </c>
      <c r="CG207" s="98" t="str">
        <f>IF($A207="","",IFERROR(INDEX('Usage and Coverage'!$C$79:$C$84,MATCH($Y207,'Usage and Coverage'!$B$79:$B$84,0)),"?"))</f>
        <v/>
      </c>
      <c r="CH207" s="100" t="str">
        <f>IFERROR(IF(ISNUMBER($CD207),$CF207*$CG207*MIN($BG207*$BA207*$BC207*$BD207*$BH207*$BF207,'Technical Premium'!$C$17),""),"")</f>
        <v/>
      </c>
      <c r="CI207" s="100" t="str">
        <f t="shared" si="44"/>
        <v/>
      </c>
      <c r="CJ207" s="100" t="str">
        <f>IFERROR($CI207*(1+'Technical Premium'!$C$5)*(1+'Technical Premium'!$C$6),"")</f>
        <v/>
      </c>
      <c r="CK207" s="100" t="str">
        <f>IFERROR($CE207*INDEX('Territory Factors'!$G$6:$G$56,MATCH($K207,'Territory Factors'!$B$6:$B$56,0))*$AU207*$AV207,"")</f>
        <v/>
      </c>
      <c r="CL207" s="100" t="str">
        <f>IFERROR(($CJ207+$CK207)*(1+'Technical Premium'!$C$7),"")</f>
        <v/>
      </c>
      <c r="CM207" s="102" t="str">
        <f>IFERROR($CL207/'Technical Premium'!$C$13,"")</f>
        <v/>
      </c>
      <c r="CN207" s="103" t="str">
        <f t="shared" si="45"/>
        <v/>
      </c>
      <c r="CO207" s="102" t="str">
        <f t="shared" si="46"/>
        <v/>
      </c>
      <c r="CP207" s="103" t="str">
        <f t="shared" si="47"/>
        <v/>
      </c>
      <c r="CQ207" s="104" t="str">
        <f t="shared" si="48"/>
        <v/>
      </c>
      <c r="CR207" s="100" t="str">
        <f>IF(ISNUMBER($CM207),'Technical Premium'!$C$14+IF($J207&gt;=1000000,'Technical Premium'!$C$15,0),"")</f>
        <v/>
      </c>
      <c r="CS207" s="100" t="str">
        <f>IFERROR(($CO207+$CR207)*(INDEX('Territory Factors'!$K$6:$K$56,MATCH($K207,'Territory Factors'!$B$6:$B$56,0))+'Commission Structure'!$C$21),"")</f>
        <v/>
      </c>
      <c r="CT207" s="102" t="str">
        <f t="shared" si="49"/>
        <v/>
      </c>
      <c r="CU207" s="100" t="str">
        <f>IFERROR($CO207*('Commission Structure'!$C$6+'Commission Structure'!$C$7),"")</f>
        <v/>
      </c>
      <c r="CV207" s="100" t="str">
        <f>IFERROR($CO207*'Commission Structure'!$C$5-$CU207,"")</f>
        <v/>
      </c>
      <c r="CW207" s="100" t="str">
        <f>IFERROR($CO207*(1-'Commission Structure'!$C$5),"")</f>
        <v/>
      </c>
      <c r="CX207" s="105" t="str">
        <f>IF($A207="","",IF(OR($CB207="?",$CC207="?",NOT(ISNUMBER($AU207))),"CHECK INPUTS",IF(OR($J207&lt;'Technical Premium'!$C$18,LEFT(IFERROR(INDEX('Driver Factors'!$D$6:$D$15,MATCH($R207,'Driver Factors'!$B$6:$B$15,0)),""),7)="DECLINE",LEFT(IFERROR(INDEX('Driver Factors'!$D$28:$D$36,MATCH($T207,'Driver Factors'!$B$28:$B$36,0)),""),7)="DECLINE",LEFT(IFERROR(INDEX('Claims History'!$D$6:$D$15,MATCH($U207,'Claims History'!$B$6:$B$15,0)),""),7)="DECLINE",LEFT(IFERROR(INDEX('Usage and Coverage'!$E$6:$E$20,MATCH($N207,'Usage and Coverage'!$C$6:$C$20,0)),""),7)="DECLINE"),"DECLINE",IF(OR($CD207&gt;2.5,$CD207&gt;='Technical Premium'!$C$17,$J207&gt;='Technical Premium'!$C$16,N($AQ207)&lt;'Technical Premium'!$C$19,N($AQ207)&gt;'Technical Premium'!$C$20,LEFT(IFERROR(INDEX('Driver Factors'!$D$6:$D$15,MATCH($R207,'Driver Factors'!$B$6:$B$15,0)),""),5)="Refer",LEFT(IFERROR(INDEX('Driver Factors'!$D$28:$D$36,MATCH($T207,'Driver Factors'!$B$28:$B$36,0)),""),5)="Refer",LEFT(IFERROR(INDEX('Claims History'!$D$6:$D$15,MATCH($U207,'Claims History'!$B$6:$B$15,0)),""),5)="Refer",LEFT(IFERROR(INDEX('Usage and Coverage'!$E$6:$E$20,MATCH($N207,'Usage and Coverage'!$C$6:$C$20,0)),""),5)="Refer"),"REFER","AUTO-BIND"))))</f>
        <v/>
      </c>
      <c r="CY207" s="106" t="str">
        <f t="shared" si="50"/>
        <v/>
      </c>
      <c r="CZ207" s="97" t="str">
        <f>IF($CY207="","",IF($CY207&lt;'Technical Premium'!$C$19,"BEYOND AUTHORITY",IF($CY207&gt;0.005,"Above technical",IF($CY207&lt;-0.005,"BELOW technical","At technical"))))</f>
        <v/>
      </c>
      <c r="DA207" s="97" t="str">
        <f>IF($A207="","",IF($CX207="AUTO-BIND","",TRIM(IF($J207&lt;'Technical Premium'!$C$18,"Below programme minimum agreed value. ","")&amp;IF(N($AQ207)&lt;'Technical Premium'!$C$19,"DISCOUNT AUTHORITY BREACH. ","")&amp;IF(N($AQ207)&gt;'Technical Premium'!$C$20,"Load authority breach. ","")&amp;IF($J207&gt;='Technical Premium'!$C$16,"Agreed value at or above auto-bind limit. ","")&amp;IF(AND(ISNUMBER($CD207),$CD207&gt;='Technical Premium'!$C$17),"Composite factor at cap. ","")&amp;IF(AND(ISNUMBER($CD207),$CD207&gt;2.5),"Composite factor above 2.50. ","")&amp;IF(LEFT(IFERROR(INDEX('Driver Factors'!$D$6:$D$15,MATCH($R207,'Driver Factors'!$B$6:$B$15,0)),""),7)="DECLINE","DECLINE - driver age. ",IF(LEFT(IFERROR(INDEX('Driver Factors'!$D$6:$D$15,MATCH($R207,'Driver Factors'!$B$6:$B$15,0)),""),5)="Refer","Driver age band. ",""))&amp;IF(LEFT(IFERROR(INDEX('Driver Factors'!$D$28:$D$36,MATCH($T207,'Driver Factors'!$B$28:$B$36,0)),""),7)="DECLINE","DECLINE - MVR. ",IF(LEFT(IFERROR(INDEX('Driver Factors'!$D$28:$D$36,MATCH($T207,'Driver Factors'!$B$28:$B$36,0)),""),5)="Refer","MVR record. ",""))&amp;IF(LEFT(IFERROR(INDEX('Claims History'!$D$6:$D$15,MATCH($U207,'Claims History'!$B$6:$B$15,0)),""),7)="DECLINE","DECLINE - claims. ",IF(LEFT(IFERROR(INDEX('Claims History'!$D$6:$D$15,MATCH($U207,'Claims History'!$B$6:$B$15,0)),""),5)="Refer","Claims history. ",""))&amp;IF(LEFT(IFERROR(INDEX('Usage and Coverage'!$E$6:$E$20,MATCH($N207,'Usage and Coverage'!$C$6:$C$20,0)),""),7)="DECLINE","DECLINE - usage class. ",IF(LEFT(IFERROR(INDEX('Usage and Coverage'!$E$6:$E$20,MATCH($N207,'Usage and Coverage'!$C$6:$C$20,0)),""),5)="Refer","Usage class. ",""))&amp;IF($CX207="CHECK INPUTS","Incomplete inputs. ",""))))</f>
        <v/>
      </c>
      <c r="DB207" s="92"/>
      <c r="DC207" s="92"/>
      <c r="DD207" s="93"/>
      <c r="DE207" s="92"/>
      <c r="DF207" s="92"/>
      <c r="DG207" s="97" t="str">
        <f t="shared" si="51"/>
        <v/>
      </c>
      <c r="DH207" s="97" t="str">
        <f>IF($A207="","",IF(OR($CX207="REFER",$CX207="DECLINE"),COUNTIF($CX$5:$CX207,"REFER")+COUNTIF($CX$5:$CX207,"DECLINE"),""))</f>
        <v/>
      </c>
      <c r="DI207" s="92"/>
    </row>
    <row r="208" spans="1:113" x14ac:dyDescent="0.25">
      <c r="A208" s="92"/>
      <c r="B208" s="92"/>
      <c r="C208" s="93"/>
      <c r="D208" s="93"/>
      <c r="E208" s="94"/>
      <c r="F208" s="92"/>
      <c r="G208" s="92"/>
      <c r="H208" s="92"/>
      <c r="I208" s="92"/>
      <c r="J208" s="95"/>
      <c r="K208" s="92"/>
      <c r="L208" s="92"/>
      <c r="M208" s="92"/>
      <c r="N208" s="92"/>
      <c r="O208" s="92"/>
      <c r="P208" s="92"/>
      <c r="Q208" s="92"/>
      <c r="R208" s="92"/>
      <c r="S208" s="92"/>
      <c r="T208" s="92"/>
      <c r="U208" s="92"/>
      <c r="V208" s="92"/>
      <c r="W208" s="92"/>
      <c r="X208" s="92"/>
      <c r="Y208" s="92"/>
      <c r="Z208" s="92"/>
      <c r="AA208" s="92"/>
      <c r="AB208" s="92"/>
      <c r="AC208" s="92"/>
      <c r="AD208" s="92"/>
      <c r="AE208" s="92"/>
      <c r="AF208" s="92"/>
      <c r="AG208" s="92"/>
      <c r="AH208" s="92"/>
      <c r="AI208" s="92"/>
      <c r="AJ208" s="92"/>
      <c r="AK208" s="92"/>
      <c r="AL208" s="92"/>
      <c r="AM208" s="92"/>
      <c r="AN208" s="92"/>
      <c r="AO208" s="92"/>
      <c r="AP208" s="92"/>
      <c r="AQ208" s="96"/>
      <c r="AR208" s="97" t="str">
        <f t="shared" si="39"/>
        <v/>
      </c>
      <c r="AS208" s="97" t="str">
        <f>IF($A208="","",IF($AP208&lt;&gt;"",$AP208,IFERROR(INDEX('Cat Zone by ZIP'!$D$6:$D$856,MATCH($AR208,'Cat Zone by ZIP'!$B$6:$B$856,0)),IFERROR(INDEX('Cat Zone by ZIP'!$C$860:$C$910,MATCH($K208,'Cat Zone by ZIP'!$B$860:$B$910,0)),"NOT FOUND"))))</f>
        <v/>
      </c>
      <c r="AT208" s="97" t="str">
        <f>IF($A208="","",IF($AP208&lt;&gt;"","Override",IF(ISNUMBER(MATCH($AR208,'Cat Zone by ZIP'!$B$6:$B$856,0)),"ZIP-3","State default")))</f>
        <v/>
      </c>
      <c r="AU208" s="98" t="str">
        <f>IF($A208="","",IFERROR(INDEX('Natural Catastrophe'!$D$6:$D$17,MATCH($AS208,'Natural Catastrophe'!$B$6:$B$17,0)),"?"))</f>
        <v/>
      </c>
      <c r="AV208" s="98" t="str">
        <f>IF($A208="","",IFERROR(INDEX('Natural Catastrophe'!$C$21:$C$26,MATCH($AA208,'Natural Catastrophe'!$B$21:$B$26,0)),"?"))</f>
        <v/>
      </c>
      <c r="AW208" s="97" t="str">
        <f>IF($A208="","",IFERROR(INDEX('Base Rates'!$C$4:$I$4,MATCH(MAX($J208,'Technical Premium'!$C$18),'Base Rates'!$C$3:$I$3,1)),"?"))</f>
        <v/>
      </c>
      <c r="AX208" s="99" t="str">
        <f>IF($A208="","",IFERROR(INDEX('Base Rates'!$C$5:$I$16,MATCH($I208,'Base Rates'!$B$5:$B$16,0),MATCH(MAX($J208,'Technical Premium'!$C$18),'Base Rates'!$C$3:$I$3,1)),"?"))</f>
        <v/>
      </c>
      <c r="AY208" s="100" t="str">
        <f t="shared" si="40"/>
        <v/>
      </c>
      <c r="AZ208" s="97" t="str">
        <f>IF($A208="","",IFERROR(INDEX('Make Factors'!$G$5:$G$69,MATCH($F208,'Make Factors'!$B$5:$B$69,0)),"?"))</f>
        <v/>
      </c>
      <c r="BA208" s="97" t="str">
        <f>IF($A208="","",IFERROR(INDEX('Driver Factors'!$C$6:$C$15,MATCH($R208,'Driver Factors'!$B$6:$B$15,0)),"?"))</f>
        <v/>
      </c>
      <c r="BB208" s="97" t="str">
        <f>IF($A208="","",IFERROR(INDEX('Driver Factors'!$C$19:$C$24,MATCH($S208,'Driver Factors'!$B$19:$B$24,0)),"?"))</f>
        <v/>
      </c>
      <c r="BC208" s="97" t="str">
        <f>IF($A208="","",IFERROR(INDEX('Driver Factors'!$C$28:$C$36,MATCH($T208,'Driver Factors'!$B$28:$B$36,0)),"?"))</f>
        <v/>
      </c>
      <c r="BD208" s="97" t="str">
        <f>IF($A208="","",IFERROR(INDEX('Claims History'!$C$6:$C$15,MATCH($U208,'Claims History'!$B$6:$B$15,0)),"?"))</f>
        <v/>
      </c>
      <c r="BE208" s="97" t="str">
        <f>IF($A208="","",IFERROR(INDEX('Territory Factors'!$E$6:$E$56,MATCH($K208,'Territory Factors'!$B$6:$B$56,0)),"?"))</f>
        <v/>
      </c>
      <c r="BF208" s="97" t="str">
        <f>IF($A208="","",IFERROR(INDEX('City Accident Ratings'!$G$6:$G$54,MATCH($Z208,'City Accident Ratings'!$B$6:$B$54,0)),"?"))</f>
        <v/>
      </c>
      <c r="BG208" s="97" t="str">
        <f>IF($A208="","",IFERROR(INDEX('Usage and Coverage'!$D$6:$D$20,MATCH($N208,'Usage and Coverage'!$C$6:$C$20,0)),"?"))</f>
        <v/>
      </c>
      <c r="BH208" s="97" t="str">
        <f>IF($A208="","",IFERROR(INDEX('Usage and Coverage'!$C$24:$C$30,MATCH($O208,'Usage and Coverage'!$B$24:$B$30,0)),"?"))</f>
        <v/>
      </c>
      <c r="BI208" s="97" t="str">
        <f>IF($A208="","",IFERROR(INDEX('Usage and Coverage'!$C$34:$C$40,MATCH($P208,'Usage and Coverage'!$B$34:$B$40,0)),"?"))</f>
        <v/>
      </c>
      <c r="BJ208" s="97" t="str">
        <f>IF($A208="","",IFERROR(INDEX('Usage and Coverage'!$C$44:$C$49,MATCH($Q208,'Usage and Coverage'!$B$44:$B$49,0)),"?"))</f>
        <v/>
      </c>
      <c r="BK208" s="97" t="str">
        <f>IF($A208="","",IFERROR(INDEX(Deductibles!$C$6:$I$15,MATCH($W208,Deductibles!$B$6:$B$15,0),MATCH(MAX($J208,'Technical Premium'!$C$18),'Base Rates'!$C$3:$I$3,1)),"?"))</f>
        <v/>
      </c>
      <c r="BL208" s="97" t="str">
        <f>IF($A208="","",IFERROR(INDEX('Usage and Coverage'!$C$63:$C$66,MATCH($X208,'Usage and Coverage'!$B$63:$B$66,0)),"?"))</f>
        <v/>
      </c>
      <c r="BM208" s="97" t="str">
        <f>IF($A208="","",IFERROR(INDEX('Usage and Coverage'!$C$70:$C$75,MATCH($V208,'Usage and Coverage'!$B$70:$B$75,0)),"?"))</f>
        <v/>
      </c>
      <c r="BN208" s="97" t="str">
        <f>IF($A208="","",IF($AB208="",1,IFERROR(INDEX(Deductibles!$C$48:$C$51,MATCH($AB208,Deductibles!$B$48:$B$51,0)),"?")))</f>
        <v/>
      </c>
      <c r="BO208" s="97" t="str">
        <f>IF($A208="","",IF($AC208="",1,IFERROR(INDEX(Deductibles!$C$55:$C$57,MATCH($AC208,Deductibles!$B$55:$B$57,0)),"?")))</f>
        <v/>
      </c>
      <c r="BP208" s="97" t="str">
        <f>IF($A208="","",IF($AD208="",1,IFERROR(INDEX(Deductibles!$C$61:$C$63,MATCH($AD208,Deductibles!$B$61:$B$63,0)),"?")))</f>
        <v/>
      </c>
      <c r="BQ208" s="97" t="str">
        <f>IF($A208="","",IF($AE208="",1,IFERROR(INDEX(Deductibles!$C$67:$C$69,MATCH($AE208,Deductibles!$B$67:$B$69,0)),"?")))</f>
        <v/>
      </c>
      <c r="BR208" s="97" t="str">
        <f>IF($A208="","",IF($AF208="",1,IFERROR(INDEX(Deductibles!$C$73:$C$74,MATCH($AF208,Deductibles!$B$73:$B$74,0)),"?")))</f>
        <v/>
      </c>
      <c r="BS208" s="97" t="str">
        <f>IF($A208="","",IF($AG208="",1,IFERROR(INDEX('Sublimits and Parts'!$C$49:$C$52,MATCH($AG208,'Sublimits and Parts'!$B$49:$B$52,0)),"?")))</f>
        <v/>
      </c>
      <c r="BT208" s="97" t="str">
        <f>IF($A208="","",IF($AH208="",1,IFERROR(INDEX('Sublimits and Parts'!$C$56:$C$60,MATCH($AH208,'Sublimits and Parts'!$B$56:$B$60,0)),"?")))</f>
        <v/>
      </c>
      <c r="BU208" s="97" t="str">
        <f>IF($A208="","",IF($AI208="",1,IFERROR(INDEX('Sublimits and Parts'!$C$64:$C$67,MATCH($AI208,'Sublimits and Parts'!$B$64:$B$67,0)),"?")))</f>
        <v/>
      </c>
      <c r="BV208" s="97" t="str">
        <f>IF($A208="","",IF($AJ208="",1,IFERROR(INDEX('Sublimits and Parts'!$C$71:$C$74,MATCH($AJ208,'Sublimits and Parts'!$B$71:$B$74,0)),"?")))</f>
        <v/>
      </c>
      <c r="BW208" s="97" t="str">
        <f>IF($A208="","",IF($AK208="",1,IFERROR(INDEX('Sublimits and Parts'!$C$78:$C$80,MATCH($AK208,'Sublimits and Parts'!$B$78:$B$80,0)),"?")))</f>
        <v/>
      </c>
      <c r="BX208" s="97" t="str">
        <f>IF($A208="","",IF($AL208="",1,IFERROR(INDEX('Sublimits and Parts'!$C$84:$C$87,MATCH($AL208,'Sublimits and Parts'!$B$84:$B$87,0)),"?")))</f>
        <v/>
      </c>
      <c r="BY208" s="97" t="str">
        <f>IF($A208="","",IF($AM208="",1,IFERROR(INDEX('Sublimits and Parts'!$C$91:$C$94,MATCH($AM208,'Sublimits and Parts'!$B$91:$B$94,0)),"?")))</f>
        <v/>
      </c>
      <c r="BZ208" s="97" t="str">
        <f>IF($A208="","",IF($AN208="",1,IFERROR(INDEX('Sublimits and Parts'!$C$98:$C$101,MATCH($AN208,'Sublimits and Parts'!$B$98:$B$101,0)),"?")))</f>
        <v/>
      </c>
      <c r="CA208" s="97" t="str">
        <f>IF($A208="","",IF($AO208="",1,IFERROR(INDEX('Sublimits and Parts'!$C$105:$C$109,MATCH($AO208,'Sublimits and Parts'!$B$105:$B$109,0)),"?")))</f>
        <v/>
      </c>
      <c r="CB208" s="98" t="str">
        <f t="shared" si="41"/>
        <v/>
      </c>
      <c r="CC208" s="98" t="str">
        <f t="shared" si="42"/>
        <v/>
      </c>
      <c r="CD208" s="101" t="str">
        <f>IF($A208="","",IF(OR($CB208="?",$CC208="?"),"?",MIN($CB208*$CC208,'Technical Premium'!$C$17)))</f>
        <v/>
      </c>
      <c r="CE208" s="100" t="str">
        <f t="shared" si="43"/>
        <v/>
      </c>
      <c r="CF208" s="100" t="str">
        <f>IF($A208="","",IFERROR(INDEX('Territory Factors'!$F$6:$F$56,MATCH($K208,'Territory Factors'!$B$6:$B$56,0)),"?"))</f>
        <v/>
      </c>
      <c r="CG208" s="98" t="str">
        <f>IF($A208="","",IFERROR(INDEX('Usage and Coverage'!$C$79:$C$84,MATCH($Y208,'Usage and Coverage'!$B$79:$B$84,0)),"?"))</f>
        <v/>
      </c>
      <c r="CH208" s="100" t="str">
        <f>IFERROR(IF(ISNUMBER($CD208),$CF208*$CG208*MIN($BG208*$BA208*$BC208*$BD208*$BH208*$BF208,'Technical Premium'!$C$17),""),"")</f>
        <v/>
      </c>
      <c r="CI208" s="100" t="str">
        <f t="shared" si="44"/>
        <v/>
      </c>
      <c r="CJ208" s="100" t="str">
        <f>IFERROR($CI208*(1+'Technical Premium'!$C$5)*(1+'Technical Premium'!$C$6),"")</f>
        <v/>
      </c>
      <c r="CK208" s="100" t="str">
        <f>IFERROR($CE208*INDEX('Territory Factors'!$G$6:$G$56,MATCH($K208,'Territory Factors'!$B$6:$B$56,0))*$AU208*$AV208,"")</f>
        <v/>
      </c>
      <c r="CL208" s="100" t="str">
        <f>IFERROR(($CJ208+$CK208)*(1+'Technical Premium'!$C$7),"")</f>
        <v/>
      </c>
      <c r="CM208" s="102" t="str">
        <f>IFERROR($CL208/'Technical Premium'!$C$13,"")</f>
        <v/>
      </c>
      <c r="CN208" s="103" t="str">
        <f t="shared" si="45"/>
        <v/>
      </c>
      <c r="CO208" s="102" t="str">
        <f t="shared" si="46"/>
        <v/>
      </c>
      <c r="CP208" s="103" t="str">
        <f t="shared" si="47"/>
        <v/>
      </c>
      <c r="CQ208" s="104" t="str">
        <f t="shared" si="48"/>
        <v/>
      </c>
      <c r="CR208" s="100" t="str">
        <f>IF(ISNUMBER($CM208),'Technical Premium'!$C$14+IF($J208&gt;=1000000,'Technical Premium'!$C$15,0),"")</f>
        <v/>
      </c>
      <c r="CS208" s="100" t="str">
        <f>IFERROR(($CO208+$CR208)*(INDEX('Territory Factors'!$K$6:$K$56,MATCH($K208,'Territory Factors'!$B$6:$B$56,0))+'Commission Structure'!$C$21),"")</f>
        <v/>
      </c>
      <c r="CT208" s="102" t="str">
        <f t="shared" si="49"/>
        <v/>
      </c>
      <c r="CU208" s="100" t="str">
        <f>IFERROR($CO208*('Commission Structure'!$C$6+'Commission Structure'!$C$7),"")</f>
        <v/>
      </c>
      <c r="CV208" s="100" t="str">
        <f>IFERROR($CO208*'Commission Structure'!$C$5-$CU208,"")</f>
        <v/>
      </c>
      <c r="CW208" s="100" t="str">
        <f>IFERROR($CO208*(1-'Commission Structure'!$C$5),"")</f>
        <v/>
      </c>
      <c r="CX208" s="105" t="str">
        <f>IF($A208="","",IF(OR($CB208="?",$CC208="?",NOT(ISNUMBER($AU208))),"CHECK INPUTS",IF(OR($J208&lt;'Technical Premium'!$C$18,LEFT(IFERROR(INDEX('Driver Factors'!$D$6:$D$15,MATCH($R208,'Driver Factors'!$B$6:$B$15,0)),""),7)="DECLINE",LEFT(IFERROR(INDEX('Driver Factors'!$D$28:$D$36,MATCH($T208,'Driver Factors'!$B$28:$B$36,0)),""),7)="DECLINE",LEFT(IFERROR(INDEX('Claims History'!$D$6:$D$15,MATCH($U208,'Claims History'!$B$6:$B$15,0)),""),7)="DECLINE",LEFT(IFERROR(INDEX('Usage and Coverage'!$E$6:$E$20,MATCH($N208,'Usage and Coverage'!$C$6:$C$20,0)),""),7)="DECLINE"),"DECLINE",IF(OR($CD208&gt;2.5,$CD208&gt;='Technical Premium'!$C$17,$J208&gt;='Technical Premium'!$C$16,N($AQ208)&lt;'Technical Premium'!$C$19,N($AQ208)&gt;'Technical Premium'!$C$20,LEFT(IFERROR(INDEX('Driver Factors'!$D$6:$D$15,MATCH($R208,'Driver Factors'!$B$6:$B$15,0)),""),5)="Refer",LEFT(IFERROR(INDEX('Driver Factors'!$D$28:$D$36,MATCH($T208,'Driver Factors'!$B$28:$B$36,0)),""),5)="Refer",LEFT(IFERROR(INDEX('Claims History'!$D$6:$D$15,MATCH($U208,'Claims History'!$B$6:$B$15,0)),""),5)="Refer",LEFT(IFERROR(INDEX('Usage and Coverage'!$E$6:$E$20,MATCH($N208,'Usage and Coverage'!$C$6:$C$20,0)),""),5)="Refer"),"REFER","AUTO-BIND"))))</f>
        <v/>
      </c>
      <c r="CY208" s="106" t="str">
        <f t="shared" si="50"/>
        <v/>
      </c>
      <c r="CZ208" s="97" t="str">
        <f>IF($CY208="","",IF($CY208&lt;'Technical Premium'!$C$19,"BEYOND AUTHORITY",IF($CY208&gt;0.005,"Above technical",IF($CY208&lt;-0.005,"BELOW technical","At technical"))))</f>
        <v/>
      </c>
      <c r="DA208" s="97" t="str">
        <f>IF($A208="","",IF($CX208="AUTO-BIND","",TRIM(IF($J208&lt;'Technical Premium'!$C$18,"Below programme minimum agreed value. ","")&amp;IF(N($AQ208)&lt;'Technical Premium'!$C$19,"DISCOUNT AUTHORITY BREACH. ","")&amp;IF(N($AQ208)&gt;'Technical Premium'!$C$20,"Load authority breach. ","")&amp;IF($J208&gt;='Technical Premium'!$C$16,"Agreed value at or above auto-bind limit. ","")&amp;IF(AND(ISNUMBER($CD208),$CD208&gt;='Technical Premium'!$C$17),"Composite factor at cap. ","")&amp;IF(AND(ISNUMBER($CD208),$CD208&gt;2.5),"Composite factor above 2.50. ","")&amp;IF(LEFT(IFERROR(INDEX('Driver Factors'!$D$6:$D$15,MATCH($R208,'Driver Factors'!$B$6:$B$15,0)),""),7)="DECLINE","DECLINE - driver age. ",IF(LEFT(IFERROR(INDEX('Driver Factors'!$D$6:$D$15,MATCH($R208,'Driver Factors'!$B$6:$B$15,0)),""),5)="Refer","Driver age band. ",""))&amp;IF(LEFT(IFERROR(INDEX('Driver Factors'!$D$28:$D$36,MATCH($T208,'Driver Factors'!$B$28:$B$36,0)),""),7)="DECLINE","DECLINE - MVR. ",IF(LEFT(IFERROR(INDEX('Driver Factors'!$D$28:$D$36,MATCH($T208,'Driver Factors'!$B$28:$B$36,0)),""),5)="Refer","MVR record. ",""))&amp;IF(LEFT(IFERROR(INDEX('Claims History'!$D$6:$D$15,MATCH($U208,'Claims History'!$B$6:$B$15,0)),""),7)="DECLINE","DECLINE - claims. ",IF(LEFT(IFERROR(INDEX('Claims History'!$D$6:$D$15,MATCH($U208,'Claims History'!$B$6:$B$15,0)),""),5)="Refer","Claims history. ",""))&amp;IF(LEFT(IFERROR(INDEX('Usage and Coverage'!$E$6:$E$20,MATCH($N208,'Usage and Coverage'!$C$6:$C$20,0)),""),7)="DECLINE","DECLINE - usage class. ",IF(LEFT(IFERROR(INDEX('Usage and Coverage'!$E$6:$E$20,MATCH($N208,'Usage and Coverage'!$C$6:$C$20,0)),""),5)="Refer","Usage class. ",""))&amp;IF($CX208="CHECK INPUTS","Incomplete inputs. ",""))))</f>
        <v/>
      </c>
      <c r="DB208" s="92"/>
      <c r="DC208" s="92"/>
      <c r="DD208" s="93"/>
      <c r="DE208" s="92"/>
      <c r="DF208" s="92"/>
      <c r="DG208" s="97" t="str">
        <f t="shared" si="51"/>
        <v/>
      </c>
      <c r="DH208" s="97" t="str">
        <f>IF($A208="","",IF(OR($CX208="REFER",$CX208="DECLINE"),COUNTIF($CX$5:$CX208,"REFER")+COUNTIF($CX$5:$CX208,"DECLINE"),""))</f>
        <v/>
      </c>
      <c r="DI208" s="92"/>
    </row>
    <row r="209" spans="1:113" x14ac:dyDescent="0.25">
      <c r="A209" s="92"/>
      <c r="B209" s="92"/>
      <c r="C209" s="93"/>
      <c r="D209" s="93"/>
      <c r="E209" s="94"/>
      <c r="F209" s="92"/>
      <c r="G209" s="92"/>
      <c r="H209" s="92"/>
      <c r="I209" s="92"/>
      <c r="J209" s="95"/>
      <c r="K209" s="92"/>
      <c r="L209" s="92"/>
      <c r="M209" s="92"/>
      <c r="N209" s="92"/>
      <c r="O209" s="92"/>
      <c r="P209" s="92"/>
      <c r="Q209" s="92"/>
      <c r="R209" s="92"/>
      <c r="S209" s="92"/>
      <c r="T209" s="92"/>
      <c r="U209" s="92"/>
      <c r="V209" s="92"/>
      <c r="W209" s="92"/>
      <c r="X209" s="92"/>
      <c r="Y209" s="92"/>
      <c r="Z209" s="92"/>
      <c r="AA209" s="92"/>
      <c r="AB209" s="92"/>
      <c r="AC209" s="92"/>
      <c r="AD209" s="92"/>
      <c r="AE209" s="92"/>
      <c r="AF209" s="92"/>
      <c r="AG209" s="92"/>
      <c r="AH209" s="92"/>
      <c r="AI209" s="92"/>
      <c r="AJ209" s="92"/>
      <c r="AK209" s="92"/>
      <c r="AL209" s="92"/>
      <c r="AM209" s="92"/>
      <c r="AN209" s="92"/>
      <c r="AO209" s="92"/>
      <c r="AP209" s="92"/>
      <c r="AQ209" s="96"/>
      <c r="AR209" s="97" t="str">
        <f t="shared" si="39"/>
        <v/>
      </c>
      <c r="AS209" s="97" t="str">
        <f>IF($A209="","",IF($AP209&lt;&gt;"",$AP209,IFERROR(INDEX('Cat Zone by ZIP'!$D$6:$D$856,MATCH($AR209,'Cat Zone by ZIP'!$B$6:$B$856,0)),IFERROR(INDEX('Cat Zone by ZIP'!$C$860:$C$910,MATCH($K209,'Cat Zone by ZIP'!$B$860:$B$910,0)),"NOT FOUND"))))</f>
        <v/>
      </c>
      <c r="AT209" s="97" t="str">
        <f>IF($A209="","",IF($AP209&lt;&gt;"","Override",IF(ISNUMBER(MATCH($AR209,'Cat Zone by ZIP'!$B$6:$B$856,0)),"ZIP-3","State default")))</f>
        <v/>
      </c>
      <c r="AU209" s="98" t="str">
        <f>IF($A209="","",IFERROR(INDEX('Natural Catastrophe'!$D$6:$D$17,MATCH($AS209,'Natural Catastrophe'!$B$6:$B$17,0)),"?"))</f>
        <v/>
      </c>
      <c r="AV209" s="98" t="str">
        <f>IF($A209="","",IFERROR(INDEX('Natural Catastrophe'!$C$21:$C$26,MATCH($AA209,'Natural Catastrophe'!$B$21:$B$26,0)),"?"))</f>
        <v/>
      </c>
      <c r="AW209" s="97" t="str">
        <f>IF($A209="","",IFERROR(INDEX('Base Rates'!$C$4:$I$4,MATCH(MAX($J209,'Technical Premium'!$C$18),'Base Rates'!$C$3:$I$3,1)),"?"))</f>
        <v/>
      </c>
      <c r="AX209" s="99" t="str">
        <f>IF($A209="","",IFERROR(INDEX('Base Rates'!$C$5:$I$16,MATCH($I209,'Base Rates'!$B$5:$B$16,0),MATCH(MAX($J209,'Technical Premium'!$C$18),'Base Rates'!$C$3:$I$3,1)),"?"))</f>
        <v/>
      </c>
      <c r="AY209" s="100" t="str">
        <f t="shared" si="40"/>
        <v/>
      </c>
      <c r="AZ209" s="97" t="str">
        <f>IF($A209="","",IFERROR(INDEX('Make Factors'!$G$5:$G$69,MATCH($F209,'Make Factors'!$B$5:$B$69,0)),"?"))</f>
        <v/>
      </c>
      <c r="BA209" s="97" t="str">
        <f>IF($A209="","",IFERROR(INDEX('Driver Factors'!$C$6:$C$15,MATCH($R209,'Driver Factors'!$B$6:$B$15,0)),"?"))</f>
        <v/>
      </c>
      <c r="BB209" s="97" t="str">
        <f>IF($A209="","",IFERROR(INDEX('Driver Factors'!$C$19:$C$24,MATCH($S209,'Driver Factors'!$B$19:$B$24,0)),"?"))</f>
        <v/>
      </c>
      <c r="BC209" s="97" t="str">
        <f>IF($A209="","",IFERROR(INDEX('Driver Factors'!$C$28:$C$36,MATCH($T209,'Driver Factors'!$B$28:$B$36,0)),"?"))</f>
        <v/>
      </c>
      <c r="BD209" s="97" t="str">
        <f>IF($A209="","",IFERROR(INDEX('Claims History'!$C$6:$C$15,MATCH($U209,'Claims History'!$B$6:$B$15,0)),"?"))</f>
        <v/>
      </c>
      <c r="BE209" s="97" t="str">
        <f>IF($A209="","",IFERROR(INDEX('Territory Factors'!$E$6:$E$56,MATCH($K209,'Territory Factors'!$B$6:$B$56,0)),"?"))</f>
        <v/>
      </c>
      <c r="BF209" s="97" t="str">
        <f>IF($A209="","",IFERROR(INDEX('City Accident Ratings'!$G$6:$G$54,MATCH($Z209,'City Accident Ratings'!$B$6:$B$54,0)),"?"))</f>
        <v/>
      </c>
      <c r="BG209" s="97" t="str">
        <f>IF($A209="","",IFERROR(INDEX('Usage and Coverage'!$D$6:$D$20,MATCH($N209,'Usage and Coverage'!$C$6:$C$20,0)),"?"))</f>
        <v/>
      </c>
      <c r="BH209" s="97" t="str">
        <f>IF($A209="","",IFERROR(INDEX('Usage and Coverage'!$C$24:$C$30,MATCH($O209,'Usage and Coverage'!$B$24:$B$30,0)),"?"))</f>
        <v/>
      </c>
      <c r="BI209" s="97" t="str">
        <f>IF($A209="","",IFERROR(INDEX('Usage and Coverage'!$C$34:$C$40,MATCH($P209,'Usage and Coverage'!$B$34:$B$40,0)),"?"))</f>
        <v/>
      </c>
      <c r="BJ209" s="97" t="str">
        <f>IF($A209="","",IFERROR(INDEX('Usage and Coverage'!$C$44:$C$49,MATCH($Q209,'Usage and Coverage'!$B$44:$B$49,0)),"?"))</f>
        <v/>
      </c>
      <c r="BK209" s="97" t="str">
        <f>IF($A209="","",IFERROR(INDEX(Deductibles!$C$6:$I$15,MATCH($W209,Deductibles!$B$6:$B$15,0),MATCH(MAX($J209,'Technical Premium'!$C$18),'Base Rates'!$C$3:$I$3,1)),"?"))</f>
        <v/>
      </c>
      <c r="BL209" s="97" t="str">
        <f>IF($A209="","",IFERROR(INDEX('Usage and Coverage'!$C$63:$C$66,MATCH($X209,'Usage and Coverage'!$B$63:$B$66,0)),"?"))</f>
        <v/>
      </c>
      <c r="BM209" s="97" t="str">
        <f>IF($A209="","",IFERROR(INDEX('Usage and Coverage'!$C$70:$C$75,MATCH($V209,'Usage and Coverage'!$B$70:$B$75,0)),"?"))</f>
        <v/>
      </c>
      <c r="BN209" s="97" t="str">
        <f>IF($A209="","",IF($AB209="",1,IFERROR(INDEX(Deductibles!$C$48:$C$51,MATCH($AB209,Deductibles!$B$48:$B$51,0)),"?")))</f>
        <v/>
      </c>
      <c r="BO209" s="97" t="str">
        <f>IF($A209="","",IF($AC209="",1,IFERROR(INDEX(Deductibles!$C$55:$C$57,MATCH($AC209,Deductibles!$B$55:$B$57,0)),"?")))</f>
        <v/>
      </c>
      <c r="BP209" s="97" t="str">
        <f>IF($A209="","",IF($AD209="",1,IFERROR(INDEX(Deductibles!$C$61:$C$63,MATCH($AD209,Deductibles!$B$61:$B$63,0)),"?")))</f>
        <v/>
      </c>
      <c r="BQ209" s="97" t="str">
        <f>IF($A209="","",IF($AE209="",1,IFERROR(INDEX(Deductibles!$C$67:$C$69,MATCH($AE209,Deductibles!$B$67:$B$69,0)),"?")))</f>
        <v/>
      </c>
      <c r="BR209" s="97" t="str">
        <f>IF($A209="","",IF($AF209="",1,IFERROR(INDEX(Deductibles!$C$73:$C$74,MATCH($AF209,Deductibles!$B$73:$B$74,0)),"?")))</f>
        <v/>
      </c>
      <c r="BS209" s="97" t="str">
        <f>IF($A209="","",IF($AG209="",1,IFERROR(INDEX('Sublimits and Parts'!$C$49:$C$52,MATCH($AG209,'Sublimits and Parts'!$B$49:$B$52,0)),"?")))</f>
        <v/>
      </c>
      <c r="BT209" s="97" t="str">
        <f>IF($A209="","",IF($AH209="",1,IFERROR(INDEX('Sublimits and Parts'!$C$56:$C$60,MATCH($AH209,'Sublimits and Parts'!$B$56:$B$60,0)),"?")))</f>
        <v/>
      </c>
      <c r="BU209" s="97" t="str">
        <f>IF($A209="","",IF($AI209="",1,IFERROR(INDEX('Sublimits and Parts'!$C$64:$C$67,MATCH($AI209,'Sublimits and Parts'!$B$64:$B$67,0)),"?")))</f>
        <v/>
      </c>
      <c r="BV209" s="97" t="str">
        <f>IF($A209="","",IF($AJ209="",1,IFERROR(INDEX('Sublimits and Parts'!$C$71:$C$74,MATCH($AJ209,'Sublimits and Parts'!$B$71:$B$74,0)),"?")))</f>
        <v/>
      </c>
      <c r="BW209" s="97" t="str">
        <f>IF($A209="","",IF($AK209="",1,IFERROR(INDEX('Sublimits and Parts'!$C$78:$C$80,MATCH($AK209,'Sublimits and Parts'!$B$78:$B$80,0)),"?")))</f>
        <v/>
      </c>
      <c r="BX209" s="97" t="str">
        <f>IF($A209="","",IF($AL209="",1,IFERROR(INDEX('Sublimits and Parts'!$C$84:$C$87,MATCH($AL209,'Sublimits and Parts'!$B$84:$B$87,0)),"?")))</f>
        <v/>
      </c>
      <c r="BY209" s="97" t="str">
        <f>IF($A209="","",IF($AM209="",1,IFERROR(INDEX('Sublimits and Parts'!$C$91:$C$94,MATCH($AM209,'Sublimits and Parts'!$B$91:$B$94,0)),"?")))</f>
        <v/>
      </c>
      <c r="BZ209" s="97" t="str">
        <f>IF($A209="","",IF($AN209="",1,IFERROR(INDEX('Sublimits and Parts'!$C$98:$C$101,MATCH($AN209,'Sublimits and Parts'!$B$98:$B$101,0)),"?")))</f>
        <v/>
      </c>
      <c r="CA209" s="97" t="str">
        <f>IF($A209="","",IF($AO209="",1,IFERROR(INDEX('Sublimits and Parts'!$C$105:$C$109,MATCH($AO209,'Sublimits and Parts'!$B$105:$B$109,0)),"?")))</f>
        <v/>
      </c>
      <c r="CB209" s="98" t="str">
        <f t="shared" si="41"/>
        <v/>
      </c>
      <c r="CC209" s="98" t="str">
        <f t="shared" si="42"/>
        <v/>
      </c>
      <c r="CD209" s="101" t="str">
        <f>IF($A209="","",IF(OR($CB209="?",$CC209="?"),"?",MIN($CB209*$CC209,'Technical Premium'!$C$17)))</f>
        <v/>
      </c>
      <c r="CE209" s="100" t="str">
        <f t="shared" si="43"/>
        <v/>
      </c>
      <c r="CF209" s="100" t="str">
        <f>IF($A209="","",IFERROR(INDEX('Territory Factors'!$F$6:$F$56,MATCH($K209,'Territory Factors'!$B$6:$B$56,0)),"?"))</f>
        <v/>
      </c>
      <c r="CG209" s="98" t="str">
        <f>IF($A209="","",IFERROR(INDEX('Usage and Coverage'!$C$79:$C$84,MATCH($Y209,'Usage and Coverage'!$B$79:$B$84,0)),"?"))</f>
        <v/>
      </c>
      <c r="CH209" s="100" t="str">
        <f>IFERROR(IF(ISNUMBER($CD209),$CF209*$CG209*MIN($BG209*$BA209*$BC209*$BD209*$BH209*$BF209,'Technical Premium'!$C$17),""),"")</f>
        <v/>
      </c>
      <c r="CI209" s="100" t="str">
        <f t="shared" si="44"/>
        <v/>
      </c>
      <c r="CJ209" s="100" t="str">
        <f>IFERROR($CI209*(1+'Technical Premium'!$C$5)*(1+'Technical Premium'!$C$6),"")</f>
        <v/>
      </c>
      <c r="CK209" s="100" t="str">
        <f>IFERROR($CE209*INDEX('Territory Factors'!$G$6:$G$56,MATCH($K209,'Territory Factors'!$B$6:$B$56,0))*$AU209*$AV209,"")</f>
        <v/>
      </c>
      <c r="CL209" s="100" t="str">
        <f>IFERROR(($CJ209+$CK209)*(1+'Technical Premium'!$C$7),"")</f>
        <v/>
      </c>
      <c r="CM209" s="102" t="str">
        <f>IFERROR($CL209/'Technical Premium'!$C$13,"")</f>
        <v/>
      </c>
      <c r="CN209" s="103" t="str">
        <f t="shared" si="45"/>
        <v/>
      </c>
      <c r="CO209" s="102" t="str">
        <f t="shared" si="46"/>
        <v/>
      </c>
      <c r="CP209" s="103" t="str">
        <f t="shared" si="47"/>
        <v/>
      </c>
      <c r="CQ209" s="104" t="str">
        <f t="shared" si="48"/>
        <v/>
      </c>
      <c r="CR209" s="100" t="str">
        <f>IF(ISNUMBER($CM209),'Technical Premium'!$C$14+IF($J209&gt;=1000000,'Technical Premium'!$C$15,0),"")</f>
        <v/>
      </c>
      <c r="CS209" s="100" t="str">
        <f>IFERROR(($CO209+$CR209)*(INDEX('Territory Factors'!$K$6:$K$56,MATCH($K209,'Territory Factors'!$B$6:$B$56,0))+'Commission Structure'!$C$21),"")</f>
        <v/>
      </c>
      <c r="CT209" s="102" t="str">
        <f t="shared" si="49"/>
        <v/>
      </c>
      <c r="CU209" s="100" t="str">
        <f>IFERROR($CO209*('Commission Structure'!$C$6+'Commission Structure'!$C$7),"")</f>
        <v/>
      </c>
      <c r="CV209" s="100" t="str">
        <f>IFERROR($CO209*'Commission Structure'!$C$5-$CU209,"")</f>
        <v/>
      </c>
      <c r="CW209" s="100" t="str">
        <f>IFERROR($CO209*(1-'Commission Structure'!$C$5),"")</f>
        <v/>
      </c>
      <c r="CX209" s="105" t="str">
        <f>IF($A209="","",IF(OR($CB209="?",$CC209="?",NOT(ISNUMBER($AU209))),"CHECK INPUTS",IF(OR($J209&lt;'Technical Premium'!$C$18,LEFT(IFERROR(INDEX('Driver Factors'!$D$6:$D$15,MATCH($R209,'Driver Factors'!$B$6:$B$15,0)),""),7)="DECLINE",LEFT(IFERROR(INDEX('Driver Factors'!$D$28:$D$36,MATCH($T209,'Driver Factors'!$B$28:$B$36,0)),""),7)="DECLINE",LEFT(IFERROR(INDEX('Claims History'!$D$6:$D$15,MATCH($U209,'Claims History'!$B$6:$B$15,0)),""),7)="DECLINE",LEFT(IFERROR(INDEX('Usage and Coverage'!$E$6:$E$20,MATCH($N209,'Usage and Coverage'!$C$6:$C$20,0)),""),7)="DECLINE"),"DECLINE",IF(OR($CD209&gt;2.5,$CD209&gt;='Technical Premium'!$C$17,$J209&gt;='Technical Premium'!$C$16,N($AQ209)&lt;'Technical Premium'!$C$19,N($AQ209)&gt;'Technical Premium'!$C$20,LEFT(IFERROR(INDEX('Driver Factors'!$D$6:$D$15,MATCH($R209,'Driver Factors'!$B$6:$B$15,0)),""),5)="Refer",LEFT(IFERROR(INDEX('Driver Factors'!$D$28:$D$36,MATCH($T209,'Driver Factors'!$B$28:$B$36,0)),""),5)="Refer",LEFT(IFERROR(INDEX('Claims History'!$D$6:$D$15,MATCH($U209,'Claims History'!$B$6:$B$15,0)),""),5)="Refer",LEFT(IFERROR(INDEX('Usage and Coverage'!$E$6:$E$20,MATCH($N209,'Usage and Coverage'!$C$6:$C$20,0)),""),5)="Refer"),"REFER","AUTO-BIND"))))</f>
        <v/>
      </c>
      <c r="CY209" s="106" t="str">
        <f t="shared" si="50"/>
        <v/>
      </c>
      <c r="CZ209" s="97" t="str">
        <f>IF($CY209="","",IF($CY209&lt;'Technical Premium'!$C$19,"BEYOND AUTHORITY",IF($CY209&gt;0.005,"Above technical",IF($CY209&lt;-0.005,"BELOW technical","At technical"))))</f>
        <v/>
      </c>
      <c r="DA209" s="97" t="str">
        <f>IF($A209="","",IF($CX209="AUTO-BIND","",TRIM(IF($J209&lt;'Technical Premium'!$C$18,"Below programme minimum agreed value. ","")&amp;IF(N($AQ209)&lt;'Technical Premium'!$C$19,"DISCOUNT AUTHORITY BREACH. ","")&amp;IF(N($AQ209)&gt;'Technical Premium'!$C$20,"Load authority breach. ","")&amp;IF($J209&gt;='Technical Premium'!$C$16,"Agreed value at or above auto-bind limit. ","")&amp;IF(AND(ISNUMBER($CD209),$CD209&gt;='Technical Premium'!$C$17),"Composite factor at cap. ","")&amp;IF(AND(ISNUMBER($CD209),$CD209&gt;2.5),"Composite factor above 2.50. ","")&amp;IF(LEFT(IFERROR(INDEX('Driver Factors'!$D$6:$D$15,MATCH($R209,'Driver Factors'!$B$6:$B$15,0)),""),7)="DECLINE","DECLINE - driver age. ",IF(LEFT(IFERROR(INDEX('Driver Factors'!$D$6:$D$15,MATCH($R209,'Driver Factors'!$B$6:$B$15,0)),""),5)="Refer","Driver age band. ",""))&amp;IF(LEFT(IFERROR(INDEX('Driver Factors'!$D$28:$D$36,MATCH($T209,'Driver Factors'!$B$28:$B$36,0)),""),7)="DECLINE","DECLINE - MVR. ",IF(LEFT(IFERROR(INDEX('Driver Factors'!$D$28:$D$36,MATCH($T209,'Driver Factors'!$B$28:$B$36,0)),""),5)="Refer","MVR record. ",""))&amp;IF(LEFT(IFERROR(INDEX('Claims History'!$D$6:$D$15,MATCH($U209,'Claims History'!$B$6:$B$15,0)),""),7)="DECLINE","DECLINE - claims. ",IF(LEFT(IFERROR(INDEX('Claims History'!$D$6:$D$15,MATCH($U209,'Claims History'!$B$6:$B$15,0)),""),5)="Refer","Claims history. ",""))&amp;IF(LEFT(IFERROR(INDEX('Usage and Coverage'!$E$6:$E$20,MATCH($N209,'Usage and Coverage'!$C$6:$C$20,0)),""),7)="DECLINE","DECLINE - usage class. ",IF(LEFT(IFERROR(INDEX('Usage and Coverage'!$E$6:$E$20,MATCH($N209,'Usage and Coverage'!$C$6:$C$20,0)),""),5)="Refer","Usage class. ",""))&amp;IF($CX209="CHECK INPUTS","Incomplete inputs. ",""))))</f>
        <v/>
      </c>
      <c r="DB209" s="92"/>
      <c r="DC209" s="92"/>
      <c r="DD209" s="93"/>
      <c r="DE209" s="92"/>
      <c r="DF209" s="92"/>
      <c r="DG209" s="97" t="str">
        <f t="shared" si="51"/>
        <v/>
      </c>
      <c r="DH209" s="97" t="str">
        <f>IF($A209="","",IF(OR($CX209="REFER",$CX209="DECLINE"),COUNTIF($CX$5:$CX209,"REFER")+COUNTIF($CX$5:$CX209,"DECLINE"),""))</f>
        <v/>
      </c>
      <c r="DI209" s="92"/>
    </row>
    <row r="210" spans="1:113" x14ac:dyDescent="0.25">
      <c r="A210" s="92"/>
      <c r="B210" s="92"/>
      <c r="C210" s="93"/>
      <c r="D210" s="93"/>
      <c r="E210" s="94"/>
      <c r="F210" s="92"/>
      <c r="G210" s="92"/>
      <c r="H210" s="92"/>
      <c r="I210" s="92"/>
      <c r="J210" s="95"/>
      <c r="K210" s="92"/>
      <c r="L210" s="92"/>
      <c r="M210" s="92"/>
      <c r="N210" s="92"/>
      <c r="O210" s="92"/>
      <c r="P210" s="92"/>
      <c r="Q210" s="92"/>
      <c r="R210" s="92"/>
      <c r="S210" s="92"/>
      <c r="T210" s="92"/>
      <c r="U210" s="92"/>
      <c r="V210" s="92"/>
      <c r="W210" s="92"/>
      <c r="X210" s="92"/>
      <c r="Y210" s="92"/>
      <c r="Z210" s="92"/>
      <c r="AA210" s="92"/>
      <c r="AB210" s="92"/>
      <c r="AC210" s="92"/>
      <c r="AD210" s="92"/>
      <c r="AE210" s="92"/>
      <c r="AF210" s="92"/>
      <c r="AG210" s="92"/>
      <c r="AH210" s="92"/>
      <c r="AI210" s="92"/>
      <c r="AJ210" s="92"/>
      <c r="AK210" s="92"/>
      <c r="AL210" s="92"/>
      <c r="AM210" s="92"/>
      <c r="AN210" s="92"/>
      <c r="AO210" s="92"/>
      <c r="AP210" s="92"/>
      <c r="AQ210" s="96"/>
      <c r="AR210" s="97" t="str">
        <f t="shared" si="39"/>
        <v/>
      </c>
      <c r="AS210" s="97" t="str">
        <f>IF($A210="","",IF($AP210&lt;&gt;"",$AP210,IFERROR(INDEX('Cat Zone by ZIP'!$D$6:$D$856,MATCH($AR210,'Cat Zone by ZIP'!$B$6:$B$856,0)),IFERROR(INDEX('Cat Zone by ZIP'!$C$860:$C$910,MATCH($K210,'Cat Zone by ZIP'!$B$860:$B$910,0)),"NOT FOUND"))))</f>
        <v/>
      </c>
      <c r="AT210" s="97" t="str">
        <f>IF($A210="","",IF($AP210&lt;&gt;"","Override",IF(ISNUMBER(MATCH($AR210,'Cat Zone by ZIP'!$B$6:$B$856,0)),"ZIP-3","State default")))</f>
        <v/>
      </c>
      <c r="AU210" s="98" t="str">
        <f>IF($A210="","",IFERROR(INDEX('Natural Catastrophe'!$D$6:$D$17,MATCH($AS210,'Natural Catastrophe'!$B$6:$B$17,0)),"?"))</f>
        <v/>
      </c>
      <c r="AV210" s="98" t="str">
        <f>IF($A210="","",IFERROR(INDEX('Natural Catastrophe'!$C$21:$C$26,MATCH($AA210,'Natural Catastrophe'!$B$21:$B$26,0)),"?"))</f>
        <v/>
      </c>
      <c r="AW210" s="97" t="str">
        <f>IF($A210="","",IFERROR(INDEX('Base Rates'!$C$4:$I$4,MATCH(MAX($J210,'Technical Premium'!$C$18),'Base Rates'!$C$3:$I$3,1)),"?"))</f>
        <v/>
      </c>
      <c r="AX210" s="99" t="str">
        <f>IF($A210="","",IFERROR(INDEX('Base Rates'!$C$5:$I$16,MATCH($I210,'Base Rates'!$B$5:$B$16,0),MATCH(MAX($J210,'Technical Premium'!$C$18),'Base Rates'!$C$3:$I$3,1)),"?"))</f>
        <v/>
      </c>
      <c r="AY210" s="100" t="str">
        <f t="shared" si="40"/>
        <v/>
      </c>
      <c r="AZ210" s="97" t="str">
        <f>IF($A210="","",IFERROR(INDEX('Make Factors'!$G$5:$G$69,MATCH($F210,'Make Factors'!$B$5:$B$69,0)),"?"))</f>
        <v/>
      </c>
      <c r="BA210" s="97" t="str">
        <f>IF($A210="","",IFERROR(INDEX('Driver Factors'!$C$6:$C$15,MATCH($R210,'Driver Factors'!$B$6:$B$15,0)),"?"))</f>
        <v/>
      </c>
      <c r="BB210" s="97" t="str">
        <f>IF($A210="","",IFERROR(INDEX('Driver Factors'!$C$19:$C$24,MATCH($S210,'Driver Factors'!$B$19:$B$24,0)),"?"))</f>
        <v/>
      </c>
      <c r="BC210" s="97" t="str">
        <f>IF($A210="","",IFERROR(INDEX('Driver Factors'!$C$28:$C$36,MATCH($T210,'Driver Factors'!$B$28:$B$36,0)),"?"))</f>
        <v/>
      </c>
      <c r="BD210" s="97" t="str">
        <f>IF($A210="","",IFERROR(INDEX('Claims History'!$C$6:$C$15,MATCH($U210,'Claims History'!$B$6:$B$15,0)),"?"))</f>
        <v/>
      </c>
      <c r="BE210" s="97" t="str">
        <f>IF($A210="","",IFERROR(INDEX('Territory Factors'!$E$6:$E$56,MATCH($K210,'Territory Factors'!$B$6:$B$56,0)),"?"))</f>
        <v/>
      </c>
      <c r="BF210" s="97" t="str">
        <f>IF($A210="","",IFERROR(INDEX('City Accident Ratings'!$G$6:$G$54,MATCH($Z210,'City Accident Ratings'!$B$6:$B$54,0)),"?"))</f>
        <v/>
      </c>
      <c r="BG210" s="97" t="str">
        <f>IF($A210="","",IFERROR(INDEX('Usage and Coverage'!$D$6:$D$20,MATCH($N210,'Usage and Coverage'!$C$6:$C$20,0)),"?"))</f>
        <v/>
      </c>
      <c r="BH210" s="97" t="str">
        <f>IF($A210="","",IFERROR(INDEX('Usage and Coverage'!$C$24:$C$30,MATCH($O210,'Usage and Coverage'!$B$24:$B$30,0)),"?"))</f>
        <v/>
      </c>
      <c r="BI210" s="97" t="str">
        <f>IF($A210="","",IFERROR(INDEX('Usage and Coverage'!$C$34:$C$40,MATCH($P210,'Usage and Coverage'!$B$34:$B$40,0)),"?"))</f>
        <v/>
      </c>
      <c r="BJ210" s="97" t="str">
        <f>IF($A210="","",IFERROR(INDEX('Usage and Coverage'!$C$44:$C$49,MATCH($Q210,'Usage and Coverage'!$B$44:$B$49,0)),"?"))</f>
        <v/>
      </c>
      <c r="BK210" s="97" t="str">
        <f>IF($A210="","",IFERROR(INDEX(Deductibles!$C$6:$I$15,MATCH($W210,Deductibles!$B$6:$B$15,0),MATCH(MAX($J210,'Technical Premium'!$C$18),'Base Rates'!$C$3:$I$3,1)),"?"))</f>
        <v/>
      </c>
      <c r="BL210" s="97" t="str">
        <f>IF($A210="","",IFERROR(INDEX('Usage and Coverage'!$C$63:$C$66,MATCH($X210,'Usage and Coverage'!$B$63:$B$66,0)),"?"))</f>
        <v/>
      </c>
      <c r="BM210" s="97" t="str">
        <f>IF($A210="","",IFERROR(INDEX('Usage and Coverage'!$C$70:$C$75,MATCH($V210,'Usage and Coverage'!$B$70:$B$75,0)),"?"))</f>
        <v/>
      </c>
      <c r="BN210" s="97" t="str">
        <f>IF($A210="","",IF($AB210="",1,IFERROR(INDEX(Deductibles!$C$48:$C$51,MATCH($AB210,Deductibles!$B$48:$B$51,0)),"?")))</f>
        <v/>
      </c>
      <c r="BO210" s="97" t="str">
        <f>IF($A210="","",IF($AC210="",1,IFERROR(INDEX(Deductibles!$C$55:$C$57,MATCH($AC210,Deductibles!$B$55:$B$57,0)),"?")))</f>
        <v/>
      </c>
      <c r="BP210" s="97" t="str">
        <f>IF($A210="","",IF($AD210="",1,IFERROR(INDEX(Deductibles!$C$61:$C$63,MATCH($AD210,Deductibles!$B$61:$B$63,0)),"?")))</f>
        <v/>
      </c>
      <c r="BQ210" s="97" t="str">
        <f>IF($A210="","",IF($AE210="",1,IFERROR(INDEX(Deductibles!$C$67:$C$69,MATCH($AE210,Deductibles!$B$67:$B$69,0)),"?")))</f>
        <v/>
      </c>
      <c r="BR210" s="97" t="str">
        <f>IF($A210="","",IF($AF210="",1,IFERROR(INDEX(Deductibles!$C$73:$C$74,MATCH($AF210,Deductibles!$B$73:$B$74,0)),"?")))</f>
        <v/>
      </c>
      <c r="BS210" s="97" t="str">
        <f>IF($A210="","",IF($AG210="",1,IFERROR(INDEX('Sublimits and Parts'!$C$49:$C$52,MATCH($AG210,'Sublimits and Parts'!$B$49:$B$52,0)),"?")))</f>
        <v/>
      </c>
      <c r="BT210" s="97" t="str">
        <f>IF($A210="","",IF($AH210="",1,IFERROR(INDEX('Sublimits and Parts'!$C$56:$C$60,MATCH($AH210,'Sublimits and Parts'!$B$56:$B$60,0)),"?")))</f>
        <v/>
      </c>
      <c r="BU210" s="97" t="str">
        <f>IF($A210="","",IF($AI210="",1,IFERROR(INDEX('Sublimits and Parts'!$C$64:$C$67,MATCH($AI210,'Sublimits and Parts'!$B$64:$B$67,0)),"?")))</f>
        <v/>
      </c>
      <c r="BV210" s="97" t="str">
        <f>IF($A210="","",IF($AJ210="",1,IFERROR(INDEX('Sublimits and Parts'!$C$71:$C$74,MATCH($AJ210,'Sublimits and Parts'!$B$71:$B$74,0)),"?")))</f>
        <v/>
      </c>
      <c r="BW210" s="97" t="str">
        <f>IF($A210="","",IF($AK210="",1,IFERROR(INDEX('Sublimits and Parts'!$C$78:$C$80,MATCH($AK210,'Sublimits and Parts'!$B$78:$B$80,0)),"?")))</f>
        <v/>
      </c>
      <c r="BX210" s="97" t="str">
        <f>IF($A210="","",IF($AL210="",1,IFERROR(INDEX('Sublimits and Parts'!$C$84:$C$87,MATCH($AL210,'Sublimits and Parts'!$B$84:$B$87,0)),"?")))</f>
        <v/>
      </c>
      <c r="BY210" s="97" t="str">
        <f>IF($A210="","",IF($AM210="",1,IFERROR(INDEX('Sublimits and Parts'!$C$91:$C$94,MATCH($AM210,'Sublimits and Parts'!$B$91:$B$94,0)),"?")))</f>
        <v/>
      </c>
      <c r="BZ210" s="97" t="str">
        <f>IF($A210="","",IF($AN210="",1,IFERROR(INDEX('Sublimits and Parts'!$C$98:$C$101,MATCH($AN210,'Sublimits and Parts'!$B$98:$B$101,0)),"?")))</f>
        <v/>
      </c>
      <c r="CA210" s="97" t="str">
        <f>IF($A210="","",IF($AO210="",1,IFERROR(INDEX('Sublimits and Parts'!$C$105:$C$109,MATCH($AO210,'Sublimits and Parts'!$B$105:$B$109,0)),"?")))</f>
        <v/>
      </c>
      <c r="CB210" s="98" t="str">
        <f t="shared" si="41"/>
        <v/>
      </c>
      <c r="CC210" s="98" t="str">
        <f t="shared" si="42"/>
        <v/>
      </c>
      <c r="CD210" s="101" t="str">
        <f>IF($A210="","",IF(OR($CB210="?",$CC210="?"),"?",MIN($CB210*$CC210,'Technical Premium'!$C$17)))</f>
        <v/>
      </c>
      <c r="CE210" s="100" t="str">
        <f t="shared" si="43"/>
        <v/>
      </c>
      <c r="CF210" s="100" t="str">
        <f>IF($A210="","",IFERROR(INDEX('Territory Factors'!$F$6:$F$56,MATCH($K210,'Territory Factors'!$B$6:$B$56,0)),"?"))</f>
        <v/>
      </c>
      <c r="CG210" s="98" t="str">
        <f>IF($A210="","",IFERROR(INDEX('Usage and Coverage'!$C$79:$C$84,MATCH($Y210,'Usage and Coverage'!$B$79:$B$84,0)),"?"))</f>
        <v/>
      </c>
      <c r="CH210" s="100" t="str">
        <f>IFERROR(IF(ISNUMBER($CD210),$CF210*$CG210*MIN($BG210*$BA210*$BC210*$BD210*$BH210*$BF210,'Technical Premium'!$C$17),""),"")</f>
        <v/>
      </c>
      <c r="CI210" s="100" t="str">
        <f t="shared" si="44"/>
        <v/>
      </c>
      <c r="CJ210" s="100" t="str">
        <f>IFERROR($CI210*(1+'Technical Premium'!$C$5)*(1+'Technical Premium'!$C$6),"")</f>
        <v/>
      </c>
      <c r="CK210" s="100" t="str">
        <f>IFERROR($CE210*INDEX('Territory Factors'!$G$6:$G$56,MATCH($K210,'Territory Factors'!$B$6:$B$56,0))*$AU210*$AV210,"")</f>
        <v/>
      </c>
      <c r="CL210" s="100" t="str">
        <f>IFERROR(($CJ210+$CK210)*(1+'Technical Premium'!$C$7),"")</f>
        <v/>
      </c>
      <c r="CM210" s="102" t="str">
        <f>IFERROR($CL210/'Technical Premium'!$C$13,"")</f>
        <v/>
      </c>
      <c r="CN210" s="103" t="str">
        <f t="shared" si="45"/>
        <v/>
      </c>
      <c r="CO210" s="102" t="str">
        <f t="shared" si="46"/>
        <v/>
      </c>
      <c r="CP210" s="103" t="str">
        <f t="shared" si="47"/>
        <v/>
      </c>
      <c r="CQ210" s="104" t="str">
        <f t="shared" si="48"/>
        <v/>
      </c>
      <c r="CR210" s="100" t="str">
        <f>IF(ISNUMBER($CM210),'Technical Premium'!$C$14+IF($J210&gt;=1000000,'Technical Premium'!$C$15,0),"")</f>
        <v/>
      </c>
      <c r="CS210" s="100" t="str">
        <f>IFERROR(($CO210+$CR210)*(INDEX('Territory Factors'!$K$6:$K$56,MATCH($K210,'Territory Factors'!$B$6:$B$56,0))+'Commission Structure'!$C$21),"")</f>
        <v/>
      </c>
      <c r="CT210" s="102" t="str">
        <f t="shared" si="49"/>
        <v/>
      </c>
      <c r="CU210" s="100" t="str">
        <f>IFERROR($CO210*('Commission Structure'!$C$6+'Commission Structure'!$C$7),"")</f>
        <v/>
      </c>
      <c r="CV210" s="100" t="str">
        <f>IFERROR($CO210*'Commission Structure'!$C$5-$CU210,"")</f>
        <v/>
      </c>
      <c r="CW210" s="100" t="str">
        <f>IFERROR($CO210*(1-'Commission Structure'!$C$5),"")</f>
        <v/>
      </c>
      <c r="CX210" s="105" t="str">
        <f>IF($A210="","",IF(OR($CB210="?",$CC210="?",NOT(ISNUMBER($AU210))),"CHECK INPUTS",IF(OR($J210&lt;'Technical Premium'!$C$18,LEFT(IFERROR(INDEX('Driver Factors'!$D$6:$D$15,MATCH($R210,'Driver Factors'!$B$6:$B$15,0)),""),7)="DECLINE",LEFT(IFERROR(INDEX('Driver Factors'!$D$28:$D$36,MATCH($T210,'Driver Factors'!$B$28:$B$36,0)),""),7)="DECLINE",LEFT(IFERROR(INDEX('Claims History'!$D$6:$D$15,MATCH($U210,'Claims History'!$B$6:$B$15,0)),""),7)="DECLINE",LEFT(IFERROR(INDEX('Usage and Coverage'!$E$6:$E$20,MATCH($N210,'Usage and Coverage'!$C$6:$C$20,0)),""),7)="DECLINE"),"DECLINE",IF(OR($CD210&gt;2.5,$CD210&gt;='Technical Premium'!$C$17,$J210&gt;='Technical Premium'!$C$16,N($AQ210)&lt;'Technical Premium'!$C$19,N($AQ210)&gt;'Technical Premium'!$C$20,LEFT(IFERROR(INDEX('Driver Factors'!$D$6:$D$15,MATCH($R210,'Driver Factors'!$B$6:$B$15,0)),""),5)="Refer",LEFT(IFERROR(INDEX('Driver Factors'!$D$28:$D$36,MATCH($T210,'Driver Factors'!$B$28:$B$36,0)),""),5)="Refer",LEFT(IFERROR(INDEX('Claims History'!$D$6:$D$15,MATCH($U210,'Claims History'!$B$6:$B$15,0)),""),5)="Refer",LEFT(IFERROR(INDEX('Usage and Coverage'!$E$6:$E$20,MATCH($N210,'Usage and Coverage'!$C$6:$C$20,0)),""),5)="Refer"),"REFER","AUTO-BIND"))))</f>
        <v/>
      </c>
      <c r="CY210" s="106" t="str">
        <f t="shared" si="50"/>
        <v/>
      </c>
      <c r="CZ210" s="97" t="str">
        <f>IF($CY210="","",IF($CY210&lt;'Technical Premium'!$C$19,"BEYOND AUTHORITY",IF($CY210&gt;0.005,"Above technical",IF($CY210&lt;-0.005,"BELOW technical","At technical"))))</f>
        <v/>
      </c>
      <c r="DA210" s="97" t="str">
        <f>IF($A210="","",IF($CX210="AUTO-BIND","",TRIM(IF($J210&lt;'Technical Premium'!$C$18,"Below programme minimum agreed value. ","")&amp;IF(N($AQ210)&lt;'Technical Premium'!$C$19,"DISCOUNT AUTHORITY BREACH. ","")&amp;IF(N($AQ210)&gt;'Technical Premium'!$C$20,"Load authority breach. ","")&amp;IF($J210&gt;='Technical Premium'!$C$16,"Agreed value at or above auto-bind limit. ","")&amp;IF(AND(ISNUMBER($CD210),$CD210&gt;='Technical Premium'!$C$17),"Composite factor at cap. ","")&amp;IF(AND(ISNUMBER($CD210),$CD210&gt;2.5),"Composite factor above 2.50. ","")&amp;IF(LEFT(IFERROR(INDEX('Driver Factors'!$D$6:$D$15,MATCH($R210,'Driver Factors'!$B$6:$B$15,0)),""),7)="DECLINE","DECLINE - driver age. ",IF(LEFT(IFERROR(INDEX('Driver Factors'!$D$6:$D$15,MATCH($R210,'Driver Factors'!$B$6:$B$15,0)),""),5)="Refer","Driver age band. ",""))&amp;IF(LEFT(IFERROR(INDEX('Driver Factors'!$D$28:$D$36,MATCH($T210,'Driver Factors'!$B$28:$B$36,0)),""),7)="DECLINE","DECLINE - MVR. ",IF(LEFT(IFERROR(INDEX('Driver Factors'!$D$28:$D$36,MATCH($T210,'Driver Factors'!$B$28:$B$36,0)),""),5)="Refer","MVR record. ",""))&amp;IF(LEFT(IFERROR(INDEX('Claims History'!$D$6:$D$15,MATCH($U210,'Claims History'!$B$6:$B$15,0)),""),7)="DECLINE","DECLINE - claims. ",IF(LEFT(IFERROR(INDEX('Claims History'!$D$6:$D$15,MATCH($U210,'Claims History'!$B$6:$B$15,0)),""),5)="Refer","Claims history. ",""))&amp;IF(LEFT(IFERROR(INDEX('Usage and Coverage'!$E$6:$E$20,MATCH($N210,'Usage and Coverage'!$C$6:$C$20,0)),""),7)="DECLINE","DECLINE - usage class. ",IF(LEFT(IFERROR(INDEX('Usage and Coverage'!$E$6:$E$20,MATCH($N210,'Usage and Coverage'!$C$6:$C$20,0)),""),5)="Refer","Usage class. ",""))&amp;IF($CX210="CHECK INPUTS","Incomplete inputs. ",""))))</f>
        <v/>
      </c>
      <c r="DB210" s="92"/>
      <c r="DC210" s="92"/>
      <c r="DD210" s="93"/>
      <c r="DE210" s="92"/>
      <c r="DF210" s="92"/>
      <c r="DG210" s="97" t="str">
        <f t="shared" si="51"/>
        <v/>
      </c>
      <c r="DH210" s="97" t="str">
        <f>IF($A210="","",IF(OR($CX210="REFER",$CX210="DECLINE"),COUNTIF($CX$5:$CX210,"REFER")+COUNTIF($CX$5:$CX210,"DECLINE"),""))</f>
        <v/>
      </c>
      <c r="DI210" s="92"/>
    </row>
    <row r="211" spans="1:113" x14ac:dyDescent="0.25">
      <c r="A211" s="92"/>
      <c r="B211" s="92"/>
      <c r="C211" s="93"/>
      <c r="D211" s="93"/>
      <c r="E211" s="94"/>
      <c r="F211" s="92"/>
      <c r="G211" s="92"/>
      <c r="H211" s="92"/>
      <c r="I211" s="92"/>
      <c r="J211" s="95"/>
      <c r="K211" s="92"/>
      <c r="L211" s="92"/>
      <c r="M211" s="92"/>
      <c r="N211" s="92"/>
      <c r="O211" s="92"/>
      <c r="P211" s="92"/>
      <c r="Q211" s="92"/>
      <c r="R211" s="92"/>
      <c r="S211" s="92"/>
      <c r="T211" s="92"/>
      <c r="U211" s="92"/>
      <c r="V211" s="92"/>
      <c r="W211" s="92"/>
      <c r="X211" s="92"/>
      <c r="Y211" s="92"/>
      <c r="Z211" s="92"/>
      <c r="AA211" s="92"/>
      <c r="AB211" s="92"/>
      <c r="AC211" s="92"/>
      <c r="AD211" s="92"/>
      <c r="AE211" s="92"/>
      <c r="AF211" s="92"/>
      <c r="AG211" s="92"/>
      <c r="AH211" s="92"/>
      <c r="AI211" s="92"/>
      <c r="AJ211" s="92"/>
      <c r="AK211" s="92"/>
      <c r="AL211" s="92"/>
      <c r="AM211" s="92"/>
      <c r="AN211" s="92"/>
      <c r="AO211" s="92"/>
      <c r="AP211" s="92"/>
      <c r="AQ211" s="96"/>
      <c r="AR211" s="97" t="str">
        <f t="shared" si="39"/>
        <v/>
      </c>
      <c r="AS211" s="97" t="str">
        <f>IF($A211="","",IF($AP211&lt;&gt;"",$AP211,IFERROR(INDEX('Cat Zone by ZIP'!$D$6:$D$856,MATCH($AR211,'Cat Zone by ZIP'!$B$6:$B$856,0)),IFERROR(INDEX('Cat Zone by ZIP'!$C$860:$C$910,MATCH($K211,'Cat Zone by ZIP'!$B$860:$B$910,0)),"NOT FOUND"))))</f>
        <v/>
      </c>
      <c r="AT211" s="97" t="str">
        <f>IF($A211="","",IF($AP211&lt;&gt;"","Override",IF(ISNUMBER(MATCH($AR211,'Cat Zone by ZIP'!$B$6:$B$856,0)),"ZIP-3","State default")))</f>
        <v/>
      </c>
      <c r="AU211" s="98" t="str">
        <f>IF($A211="","",IFERROR(INDEX('Natural Catastrophe'!$D$6:$D$17,MATCH($AS211,'Natural Catastrophe'!$B$6:$B$17,0)),"?"))</f>
        <v/>
      </c>
      <c r="AV211" s="98" t="str">
        <f>IF($A211="","",IFERROR(INDEX('Natural Catastrophe'!$C$21:$C$26,MATCH($AA211,'Natural Catastrophe'!$B$21:$B$26,0)),"?"))</f>
        <v/>
      </c>
      <c r="AW211" s="97" t="str">
        <f>IF($A211="","",IFERROR(INDEX('Base Rates'!$C$4:$I$4,MATCH(MAX($J211,'Technical Premium'!$C$18),'Base Rates'!$C$3:$I$3,1)),"?"))</f>
        <v/>
      </c>
      <c r="AX211" s="99" t="str">
        <f>IF($A211="","",IFERROR(INDEX('Base Rates'!$C$5:$I$16,MATCH($I211,'Base Rates'!$B$5:$B$16,0),MATCH(MAX($J211,'Technical Premium'!$C$18),'Base Rates'!$C$3:$I$3,1)),"?"))</f>
        <v/>
      </c>
      <c r="AY211" s="100" t="str">
        <f t="shared" si="40"/>
        <v/>
      </c>
      <c r="AZ211" s="97" t="str">
        <f>IF($A211="","",IFERROR(INDEX('Make Factors'!$G$5:$G$69,MATCH($F211,'Make Factors'!$B$5:$B$69,0)),"?"))</f>
        <v/>
      </c>
      <c r="BA211" s="97" t="str">
        <f>IF($A211="","",IFERROR(INDEX('Driver Factors'!$C$6:$C$15,MATCH($R211,'Driver Factors'!$B$6:$B$15,0)),"?"))</f>
        <v/>
      </c>
      <c r="BB211" s="97" t="str">
        <f>IF($A211="","",IFERROR(INDEX('Driver Factors'!$C$19:$C$24,MATCH($S211,'Driver Factors'!$B$19:$B$24,0)),"?"))</f>
        <v/>
      </c>
      <c r="BC211" s="97" t="str">
        <f>IF($A211="","",IFERROR(INDEX('Driver Factors'!$C$28:$C$36,MATCH($T211,'Driver Factors'!$B$28:$B$36,0)),"?"))</f>
        <v/>
      </c>
      <c r="BD211" s="97" t="str">
        <f>IF($A211="","",IFERROR(INDEX('Claims History'!$C$6:$C$15,MATCH($U211,'Claims History'!$B$6:$B$15,0)),"?"))</f>
        <v/>
      </c>
      <c r="BE211" s="97" t="str">
        <f>IF($A211="","",IFERROR(INDEX('Territory Factors'!$E$6:$E$56,MATCH($K211,'Territory Factors'!$B$6:$B$56,0)),"?"))</f>
        <v/>
      </c>
      <c r="BF211" s="97" t="str">
        <f>IF($A211="","",IFERROR(INDEX('City Accident Ratings'!$G$6:$G$54,MATCH($Z211,'City Accident Ratings'!$B$6:$B$54,0)),"?"))</f>
        <v/>
      </c>
      <c r="BG211" s="97" t="str">
        <f>IF($A211="","",IFERROR(INDEX('Usage and Coverage'!$D$6:$D$20,MATCH($N211,'Usage and Coverage'!$C$6:$C$20,0)),"?"))</f>
        <v/>
      </c>
      <c r="BH211" s="97" t="str">
        <f>IF($A211="","",IFERROR(INDEX('Usage and Coverage'!$C$24:$C$30,MATCH($O211,'Usage and Coverage'!$B$24:$B$30,0)),"?"))</f>
        <v/>
      </c>
      <c r="BI211" s="97" t="str">
        <f>IF($A211="","",IFERROR(INDEX('Usage and Coverage'!$C$34:$C$40,MATCH($P211,'Usage and Coverage'!$B$34:$B$40,0)),"?"))</f>
        <v/>
      </c>
      <c r="BJ211" s="97" t="str">
        <f>IF($A211="","",IFERROR(INDEX('Usage and Coverage'!$C$44:$C$49,MATCH($Q211,'Usage and Coverage'!$B$44:$B$49,0)),"?"))</f>
        <v/>
      </c>
      <c r="BK211" s="97" t="str">
        <f>IF($A211="","",IFERROR(INDEX(Deductibles!$C$6:$I$15,MATCH($W211,Deductibles!$B$6:$B$15,0),MATCH(MAX($J211,'Technical Premium'!$C$18),'Base Rates'!$C$3:$I$3,1)),"?"))</f>
        <v/>
      </c>
      <c r="BL211" s="97" t="str">
        <f>IF($A211="","",IFERROR(INDEX('Usage and Coverage'!$C$63:$C$66,MATCH($X211,'Usage and Coverage'!$B$63:$B$66,0)),"?"))</f>
        <v/>
      </c>
      <c r="BM211" s="97" t="str">
        <f>IF($A211="","",IFERROR(INDEX('Usage and Coverage'!$C$70:$C$75,MATCH($V211,'Usage and Coverage'!$B$70:$B$75,0)),"?"))</f>
        <v/>
      </c>
      <c r="BN211" s="97" t="str">
        <f>IF($A211="","",IF($AB211="",1,IFERROR(INDEX(Deductibles!$C$48:$C$51,MATCH($AB211,Deductibles!$B$48:$B$51,0)),"?")))</f>
        <v/>
      </c>
      <c r="BO211" s="97" t="str">
        <f>IF($A211="","",IF($AC211="",1,IFERROR(INDEX(Deductibles!$C$55:$C$57,MATCH($AC211,Deductibles!$B$55:$B$57,0)),"?")))</f>
        <v/>
      </c>
      <c r="BP211" s="97" t="str">
        <f>IF($A211="","",IF($AD211="",1,IFERROR(INDEX(Deductibles!$C$61:$C$63,MATCH($AD211,Deductibles!$B$61:$B$63,0)),"?")))</f>
        <v/>
      </c>
      <c r="BQ211" s="97" t="str">
        <f>IF($A211="","",IF($AE211="",1,IFERROR(INDEX(Deductibles!$C$67:$C$69,MATCH($AE211,Deductibles!$B$67:$B$69,0)),"?")))</f>
        <v/>
      </c>
      <c r="BR211" s="97" t="str">
        <f>IF($A211="","",IF($AF211="",1,IFERROR(INDEX(Deductibles!$C$73:$C$74,MATCH($AF211,Deductibles!$B$73:$B$74,0)),"?")))</f>
        <v/>
      </c>
      <c r="BS211" s="97" t="str">
        <f>IF($A211="","",IF($AG211="",1,IFERROR(INDEX('Sublimits and Parts'!$C$49:$C$52,MATCH($AG211,'Sublimits and Parts'!$B$49:$B$52,0)),"?")))</f>
        <v/>
      </c>
      <c r="BT211" s="97" t="str">
        <f>IF($A211="","",IF($AH211="",1,IFERROR(INDEX('Sublimits and Parts'!$C$56:$C$60,MATCH($AH211,'Sublimits and Parts'!$B$56:$B$60,0)),"?")))</f>
        <v/>
      </c>
      <c r="BU211" s="97" t="str">
        <f>IF($A211="","",IF($AI211="",1,IFERROR(INDEX('Sublimits and Parts'!$C$64:$C$67,MATCH($AI211,'Sublimits and Parts'!$B$64:$B$67,0)),"?")))</f>
        <v/>
      </c>
      <c r="BV211" s="97" t="str">
        <f>IF($A211="","",IF($AJ211="",1,IFERROR(INDEX('Sublimits and Parts'!$C$71:$C$74,MATCH($AJ211,'Sublimits and Parts'!$B$71:$B$74,0)),"?")))</f>
        <v/>
      </c>
      <c r="BW211" s="97" t="str">
        <f>IF($A211="","",IF($AK211="",1,IFERROR(INDEX('Sublimits and Parts'!$C$78:$C$80,MATCH($AK211,'Sublimits and Parts'!$B$78:$B$80,0)),"?")))</f>
        <v/>
      </c>
      <c r="BX211" s="97" t="str">
        <f>IF($A211="","",IF($AL211="",1,IFERROR(INDEX('Sublimits and Parts'!$C$84:$C$87,MATCH($AL211,'Sublimits and Parts'!$B$84:$B$87,0)),"?")))</f>
        <v/>
      </c>
      <c r="BY211" s="97" t="str">
        <f>IF($A211="","",IF($AM211="",1,IFERROR(INDEX('Sublimits and Parts'!$C$91:$C$94,MATCH($AM211,'Sublimits and Parts'!$B$91:$B$94,0)),"?")))</f>
        <v/>
      </c>
      <c r="BZ211" s="97" t="str">
        <f>IF($A211="","",IF($AN211="",1,IFERROR(INDEX('Sublimits and Parts'!$C$98:$C$101,MATCH($AN211,'Sublimits and Parts'!$B$98:$B$101,0)),"?")))</f>
        <v/>
      </c>
      <c r="CA211" s="97" t="str">
        <f>IF($A211="","",IF($AO211="",1,IFERROR(INDEX('Sublimits and Parts'!$C$105:$C$109,MATCH($AO211,'Sublimits and Parts'!$B$105:$B$109,0)),"?")))</f>
        <v/>
      </c>
      <c r="CB211" s="98" t="str">
        <f t="shared" si="41"/>
        <v/>
      </c>
      <c r="CC211" s="98" t="str">
        <f t="shared" si="42"/>
        <v/>
      </c>
      <c r="CD211" s="101" t="str">
        <f>IF($A211="","",IF(OR($CB211="?",$CC211="?"),"?",MIN($CB211*$CC211,'Technical Premium'!$C$17)))</f>
        <v/>
      </c>
      <c r="CE211" s="100" t="str">
        <f t="shared" si="43"/>
        <v/>
      </c>
      <c r="CF211" s="100" t="str">
        <f>IF($A211="","",IFERROR(INDEX('Territory Factors'!$F$6:$F$56,MATCH($K211,'Territory Factors'!$B$6:$B$56,0)),"?"))</f>
        <v/>
      </c>
      <c r="CG211" s="98" t="str">
        <f>IF($A211="","",IFERROR(INDEX('Usage and Coverage'!$C$79:$C$84,MATCH($Y211,'Usage and Coverage'!$B$79:$B$84,0)),"?"))</f>
        <v/>
      </c>
      <c r="CH211" s="100" t="str">
        <f>IFERROR(IF(ISNUMBER($CD211),$CF211*$CG211*MIN($BG211*$BA211*$BC211*$BD211*$BH211*$BF211,'Technical Premium'!$C$17),""),"")</f>
        <v/>
      </c>
      <c r="CI211" s="100" t="str">
        <f t="shared" si="44"/>
        <v/>
      </c>
      <c r="CJ211" s="100" t="str">
        <f>IFERROR($CI211*(1+'Technical Premium'!$C$5)*(1+'Technical Premium'!$C$6),"")</f>
        <v/>
      </c>
      <c r="CK211" s="100" t="str">
        <f>IFERROR($CE211*INDEX('Territory Factors'!$G$6:$G$56,MATCH($K211,'Territory Factors'!$B$6:$B$56,0))*$AU211*$AV211,"")</f>
        <v/>
      </c>
      <c r="CL211" s="100" t="str">
        <f>IFERROR(($CJ211+$CK211)*(1+'Technical Premium'!$C$7),"")</f>
        <v/>
      </c>
      <c r="CM211" s="102" t="str">
        <f>IFERROR($CL211/'Technical Premium'!$C$13,"")</f>
        <v/>
      </c>
      <c r="CN211" s="103" t="str">
        <f t="shared" si="45"/>
        <v/>
      </c>
      <c r="CO211" s="102" t="str">
        <f t="shared" si="46"/>
        <v/>
      </c>
      <c r="CP211" s="103" t="str">
        <f t="shared" si="47"/>
        <v/>
      </c>
      <c r="CQ211" s="104" t="str">
        <f t="shared" si="48"/>
        <v/>
      </c>
      <c r="CR211" s="100" t="str">
        <f>IF(ISNUMBER($CM211),'Technical Premium'!$C$14+IF($J211&gt;=1000000,'Technical Premium'!$C$15,0),"")</f>
        <v/>
      </c>
      <c r="CS211" s="100" t="str">
        <f>IFERROR(($CO211+$CR211)*(INDEX('Territory Factors'!$K$6:$K$56,MATCH($K211,'Territory Factors'!$B$6:$B$56,0))+'Commission Structure'!$C$21),"")</f>
        <v/>
      </c>
      <c r="CT211" s="102" t="str">
        <f t="shared" si="49"/>
        <v/>
      </c>
      <c r="CU211" s="100" t="str">
        <f>IFERROR($CO211*('Commission Structure'!$C$6+'Commission Structure'!$C$7),"")</f>
        <v/>
      </c>
      <c r="CV211" s="100" t="str">
        <f>IFERROR($CO211*'Commission Structure'!$C$5-$CU211,"")</f>
        <v/>
      </c>
      <c r="CW211" s="100" t="str">
        <f>IFERROR($CO211*(1-'Commission Structure'!$C$5),"")</f>
        <v/>
      </c>
      <c r="CX211" s="105" t="str">
        <f>IF($A211="","",IF(OR($CB211="?",$CC211="?",NOT(ISNUMBER($AU211))),"CHECK INPUTS",IF(OR($J211&lt;'Technical Premium'!$C$18,LEFT(IFERROR(INDEX('Driver Factors'!$D$6:$D$15,MATCH($R211,'Driver Factors'!$B$6:$B$15,0)),""),7)="DECLINE",LEFT(IFERROR(INDEX('Driver Factors'!$D$28:$D$36,MATCH($T211,'Driver Factors'!$B$28:$B$36,0)),""),7)="DECLINE",LEFT(IFERROR(INDEX('Claims History'!$D$6:$D$15,MATCH($U211,'Claims History'!$B$6:$B$15,0)),""),7)="DECLINE",LEFT(IFERROR(INDEX('Usage and Coverage'!$E$6:$E$20,MATCH($N211,'Usage and Coverage'!$C$6:$C$20,0)),""),7)="DECLINE"),"DECLINE",IF(OR($CD211&gt;2.5,$CD211&gt;='Technical Premium'!$C$17,$J211&gt;='Technical Premium'!$C$16,N($AQ211)&lt;'Technical Premium'!$C$19,N($AQ211)&gt;'Technical Premium'!$C$20,LEFT(IFERROR(INDEX('Driver Factors'!$D$6:$D$15,MATCH($R211,'Driver Factors'!$B$6:$B$15,0)),""),5)="Refer",LEFT(IFERROR(INDEX('Driver Factors'!$D$28:$D$36,MATCH($T211,'Driver Factors'!$B$28:$B$36,0)),""),5)="Refer",LEFT(IFERROR(INDEX('Claims History'!$D$6:$D$15,MATCH($U211,'Claims History'!$B$6:$B$15,0)),""),5)="Refer",LEFT(IFERROR(INDEX('Usage and Coverage'!$E$6:$E$20,MATCH($N211,'Usage and Coverage'!$C$6:$C$20,0)),""),5)="Refer"),"REFER","AUTO-BIND"))))</f>
        <v/>
      </c>
      <c r="CY211" s="106" t="str">
        <f t="shared" si="50"/>
        <v/>
      </c>
      <c r="CZ211" s="97" t="str">
        <f>IF($CY211="","",IF($CY211&lt;'Technical Premium'!$C$19,"BEYOND AUTHORITY",IF($CY211&gt;0.005,"Above technical",IF($CY211&lt;-0.005,"BELOW technical","At technical"))))</f>
        <v/>
      </c>
      <c r="DA211" s="97" t="str">
        <f>IF($A211="","",IF($CX211="AUTO-BIND","",TRIM(IF($J211&lt;'Technical Premium'!$C$18,"Below programme minimum agreed value. ","")&amp;IF(N($AQ211)&lt;'Technical Premium'!$C$19,"DISCOUNT AUTHORITY BREACH. ","")&amp;IF(N($AQ211)&gt;'Technical Premium'!$C$20,"Load authority breach. ","")&amp;IF($J211&gt;='Technical Premium'!$C$16,"Agreed value at or above auto-bind limit. ","")&amp;IF(AND(ISNUMBER($CD211),$CD211&gt;='Technical Premium'!$C$17),"Composite factor at cap. ","")&amp;IF(AND(ISNUMBER($CD211),$CD211&gt;2.5),"Composite factor above 2.50. ","")&amp;IF(LEFT(IFERROR(INDEX('Driver Factors'!$D$6:$D$15,MATCH($R211,'Driver Factors'!$B$6:$B$15,0)),""),7)="DECLINE","DECLINE - driver age. ",IF(LEFT(IFERROR(INDEX('Driver Factors'!$D$6:$D$15,MATCH($R211,'Driver Factors'!$B$6:$B$15,0)),""),5)="Refer","Driver age band. ",""))&amp;IF(LEFT(IFERROR(INDEX('Driver Factors'!$D$28:$D$36,MATCH($T211,'Driver Factors'!$B$28:$B$36,0)),""),7)="DECLINE","DECLINE - MVR. ",IF(LEFT(IFERROR(INDEX('Driver Factors'!$D$28:$D$36,MATCH($T211,'Driver Factors'!$B$28:$B$36,0)),""),5)="Refer","MVR record. ",""))&amp;IF(LEFT(IFERROR(INDEX('Claims History'!$D$6:$D$15,MATCH($U211,'Claims History'!$B$6:$B$15,0)),""),7)="DECLINE","DECLINE - claims. ",IF(LEFT(IFERROR(INDEX('Claims History'!$D$6:$D$15,MATCH($U211,'Claims History'!$B$6:$B$15,0)),""),5)="Refer","Claims history. ",""))&amp;IF(LEFT(IFERROR(INDEX('Usage and Coverage'!$E$6:$E$20,MATCH($N211,'Usage and Coverage'!$C$6:$C$20,0)),""),7)="DECLINE","DECLINE - usage class. ",IF(LEFT(IFERROR(INDEX('Usage and Coverage'!$E$6:$E$20,MATCH($N211,'Usage and Coverage'!$C$6:$C$20,0)),""),5)="Refer","Usage class. ",""))&amp;IF($CX211="CHECK INPUTS","Incomplete inputs. ",""))))</f>
        <v/>
      </c>
      <c r="DB211" s="92"/>
      <c r="DC211" s="92"/>
      <c r="DD211" s="93"/>
      <c r="DE211" s="92"/>
      <c r="DF211" s="92"/>
      <c r="DG211" s="97" t="str">
        <f t="shared" si="51"/>
        <v/>
      </c>
      <c r="DH211" s="97" t="str">
        <f>IF($A211="","",IF(OR($CX211="REFER",$CX211="DECLINE"),COUNTIF($CX$5:$CX211,"REFER")+COUNTIF($CX$5:$CX211,"DECLINE"),""))</f>
        <v/>
      </c>
      <c r="DI211" s="92"/>
    </row>
    <row r="212" spans="1:113" x14ac:dyDescent="0.25">
      <c r="A212" s="92"/>
      <c r="B212" s="92"/>
      <c r="C212" s="93"/>
      <c r="D212" s="93"/>
      <c r="E212" s="94"/>
      <c r="F212" s="92"/>
      <c r="G212" s="92"/>
      <c r="H212" s="92"/>
      <c r="I212" s="92"/>
      <c r="J212" s="95"/>
      <c r="K212" s="92"/>
      <c r="L212" s="92"/>
      <c r="M212" s="92"/>
      <c r="N212" s="92"/>
      <c r="O212" s="92"/>
      <c r="P212" s="92"/>
      <c r="Q212" s="92"/>
      <c r="R212" s="92"/>
      <c r="S212" s="92"/>
      <c r="T212" s="92"/>
      <c r="U212" s="92"/>
      <c r="V212" s="92"/>
      <c r="W212" s="92"/>
      <c r="X212" s="92"/>
      <c r="Y212" s="92"/>
      <c r="Z212" s="92"/>
      <c r="AA212" s="92"/>
      <c r="AB212" s="92"/>
      <c r="AC212" s="92"/>
      <c r="AD212" s="92"/>
      <c r="AE212" s="92"/>
      <c r="AF212" s="92"/>
      <c r="AG212" s="92"/>
      <c r="AH212" s="92"/>
      <c r="AI212" s="92"/>
      <c r="AJ212" s="92"/>
      <c r="AK212" s="92"/>
      <c r="AL212" s="92"/>
      <c r="AM212" s="92"/>
      <c r="AN212" s="92"/>
      <c r="AO212" s="92"/>
      <c r="AP212" s="92"/>
      <c r="AQ212" s="96"/>
      <c r="AR212" s="97" t="str">
        <f t="shared" si="39"/>
        <v/>
      </c>
      <c r="AS212" s="97" t="str">
        <f>IF($A212="","",IF($AP212&lt;&gt;"",$AP212,IFERROR(INDEX('Cat Zone by ZIP'!$D$6:$D$856,MATCH($AR212,'Cat Zone by ZIP'!$B$6:$B$856,0)),IFERROR(INDEX('Cat Zone by ZIP'!$C$860:$C$910,MATCH($K212,'Cat Zone by ZIP'!$B$860:$B$910,0)),"NOT FOUND"))))</f>
        <v/>
      </c>
      <c r="AT212" s="97" t="str">
        <f>IF($A212="","",IF($AP212&lt;&gt;"","Override",IF(ISNUMBER(MATCH($AR212,'Cat Zone by ZIP'!$B$6:$B$856,0)),"ZIP-3","State default")))</f>
        <v/>
      </c>
      <c r="AU212" s="98" t="str">
        <f>IF($A212="","",IFERROR(INDEX('Natural Catastrophe'!$D$6:$D$17,MATCH($AS212,'Natural Catastrophe'!$B$6:$B$17,0)),"?"))</f>
        <v/>
      </c>
      <c r="AV212" s="98" t="str">
        <f>IF($A212="","",IFERROR(INDEX('Natural Catastrophe'!$C$21:$C$26,MATCH($AA212,'Natural Catastrophe'!$B$21:$B$26,0)),"?"))</f>
        <v/>
      </c>
      <c r="AW212" s="97" t="str">
        <f>IF($A212="","",IFERROR(INDEX('Base Rates'!$C$4:$I$4,MATCH(MAX($J212,'Technical Premium'!$C$18),'Base Rates'!$C$3:$I$3,1)),"?"))</f>
        <v/>
      </c>
      <c r="AX212" s="99" t="str">
        <f>IF($A212="","",IFERROR(INDEX('Base Rates'!$C$5:$I$16,MATCH($I212,'Base Rates'!$B$5:$B$16,0),MATCH(MAX($J212,'Technical Premium'!$C$18),'Base Rates'!$C$3:$I$3,1)),"?"))</f>
        <v/>
      </c>
      <c r="AY212" s="100" t="str">
        <f t="shared" si="40"/>
        <v/>
      </c>
      <c r="AZ212" s="97" t="str">
        <f>IF($A212="","",IFERROR(INDEX('Make Factors'!$G$5:$G$69,MATCH($F212,'Make Factors'!$B$5:$B$69,0)),"?"))</f>
        <v/>
      </c>
      <c r="BA212" s="97" t="str">
        <f>IF($A212="","",IFERROR(INDEX('Driver Factors'!$C$6:$C$15,MATCH($R212,'Driver Factors'!$B$6:$B$15,0)),"?"))</f>
        <v/>
      </c>
      <c r="BB212" s="97" t="str">
        <f>IF($A212="","",IFERROR(INDEX('Driver Factors'!$C$19:$C$24,MATCH($S212,'Driver Factors'!$B$19:$B$24,0)),"?"))</f>
        <v/>
      </c>
      <c r="BC212" s="97" t="str">
        <f>IF($A212="","",IFERROR(INDEX('Driver Factors'!$C$28:$C$36,MATCH($T212,'Driver Factors'!$B$28:$B$36,0)),"?"))</f>
        <v/>
      </c>
      <c r="BD212" s="97" t="str">
        <f>IF($A212="","",IFERROR(INDEX('Claims History'!$C$6:$C$15,MATCH($U212,'Claims History'!$B$6:$B$15,0)),"?"))</f>
        <v/>
      </c>
      <c r="BE212" s="97" t="str">
        <f>IF($A212="","",IFERROR(INDEX('Territory Factors'!$E$6:$E$56,MATCH($K212,'Territory Factors'!$B$6:$B$56,0)),"?"))</f>
        <v/>
      </c>
      <c r="BF212" s="97" t="str">
        <f>IF($A212="","",IFERROR(INDEX('City Accident Ratings'!$G$6:$G$54,MATCH($Z212,'City Accident Ratings'!$B$6:$B$54,0)),"?"))</f>
        <v/>
      </c>
      <c r="BG212" s="97" t="str">
        <f>IF($A212="","",IFERROR(INDEX('Usage and Coverage'!$D$6:$D$20,MATCH($N212,'Usage and Coverage'!$C$6:$C$20,0)),"?"))</f>
        <v/>
      </c>
      <c r="BH212" s="97" t="str">
        <f>IF($A212="","",IFERROR(INDEX('Usage and Coverage'!$C$24:$C$30,MATCH($O212,'Usage and Coverage'!$B$24:$B$30,0)),"?"))</f>
        <v/>
      </c>
      <c r="BI212" s="97" t="str">
        <f>IF($A212="","",IFERROR(INDEX('Usage and Coverage'!$C$34:$C$40,MATCH($P212,'Usage and Coverage'!$B$34:$B$40,0)),"?"))</f>
        <v/>
      </c>
      <c r="BJ212" s="97" t="str">
        <f>IF($A212="","",IFERROR(INDEX('Usage and Coverage'!$C$44:$C$49,MATCH($Q212,'Usage and Coverage'!$B$44:$B$49,0)),"?"))</f>
        <v/>
      </c>
      <c r="BK212" s="97" t="str">
        <f>IF($A212="","",IFERROR(INDEX(Deductibles!$C$6:$I$15,MATCH($W212,Deductibles!$B$6:$B$15,0),MATCH(MAX($J212,'Technical Premium'!$C$18),'Base Rates'!$C$3:$I$3,1)),"?"))</f>
        <v/>
      </c>
      <c r="BL212" s="97" t="str">
        <f>IF($A212="","",IFERROR(INDEX('Usage and Coverage'!$C$63:$C$66,MATCH($X212,'Usage and Coverage'!$B$63:$B$66,0)),"?"))</f>
        <v/>
      </c>
      <c r="BM212" s="97" t="str">
        <f>IF($A212="","",IFERROR(INDEX('Usage and Coverage'!$C$70:$C$75,MATCH($V212,'Usage and Coverage'!$B$70:$B$75,0)),"?"))</f>
        <v/>
      </c>
      <c r="BN212" s="97" t="str">
        <f>IF($A212="","",IF($AB212="",1,IFERROR(INDEX(Deductibles!$C$48:$C$51,MATCH($AB212,Deductibles!$B$48:$B$51,0)),"?")))</f>
        <v/>
      </c>
      <c r="BO212" s="97" t="str">
        <f>IF($A212="","",IF($AC212="",1,IFERROR(INDEX(Deductibles!$C$55:$C$57,MATCH($AC212,Deductibles!$B$55:$B$57,0)),"?")))</f>
        <v/>
      </c>
      <c r="BP212" s="97" t="str">
        <f>IF($A212="","",IF($AD212="",1,IFERROR(INDEX(Deductibles!$C$61:$C$63,MATCH($AD212,Deductibles!$B$61:$B$63,0)),"?")))</f>
        <v/>
      </c>
      <c r="BQ212" s="97" t="str">
        <f>IF($A212="","",IF($AE212="",1,IFERROR(INDEX(Deductibles!$C$67:$C$69,MATCH($AE212,Deductibles!$B$67:$B$69,0)),"?")))</f>
        <v/>
      </c>
      <c r="BR212" s="97" t="str">
        <f>IF($A212="","",IF($AF212="",1,IFERROR(INDEX(Deductibles!$C$73:$C$74,MATCH($AF212,Deductibles!$B$73:$B$74,0)),"?")))</f>
        <v/>
      </c>
      <c r="BS212" s="97" t="str">
        <f>IF($A212="","",IF($AG212="",1,IFERROR(INDEX('Sublimits and Parts'!$C$49:$C$52,MATCH($AG212,'Sublimits and Parts'!$B$49:$B$52,0)),"?")))</f>
        <v/>
      </c>
      <c r="BT212" s="97" t="str">
        <f>IF($A212="","",IF($AH212="",1,IFERROR(INDEX('Sublimits and Parts'!$C$56:$C$60,MATCH($AH212,'Sublimits and Parts'!$B$56:$B$60,0)),"?")))</f>
        <v/>
      </c>
      <c r="BU212" s="97" t="str">
        <f>IF($A212="","",IF($AI212="",1,IFERROR(INDEX('Sublimits and Parts'!$C$64:$C$67,MATCH($AI212,'Sublimits and Parts'!$B$64:$B$67,0)),"?")))</f>
        <v/>
      </c>
      <c r="BV212" s="97" t="str">
        <f>IF($A212="","",IF($AJ212="",1,IFERROR(INDEX('Sublimits and Parts'!$C$71:$C$74,MATCH($AJ212,'Sublimits and Parts'!$B$71:$B$74,0)),"?")))</f>
        <v/>
      </c>
      <c r="BW212" s="97" t="str">
        <f>IF($A212="","",IF($AK212="",1,IFERROR(INDEX('Sublimits and Parts'!$C$78:$C$80,MATCH($AK212,'Sublimits and Parts'!$B$78:$B$80,0)),"?")))</f>
        <v/>
      </c>
      <c r="BX212" s="97" t="str">
        <f>IF($A212="","",IF($AL212="",1,IFERROR(INDEX('Sublimits and Parts'!$C$84:$C$87,MATCH($AL212,'Sublimits and Parts'!$B$84:$B$87,0)),"?")))</f>
        <v/>
      </c>
      <c r="BY212" s="97" t="str">
        <f>IF($A212="","",IF($AM212="",1,IFERROR(INDEX('Sublimits and Parts'!$C$91:$C$94,MATCH($AM212,'Sublimits and Parts'!$B$91:$B$94,0)),"?")))</f>
        <v/>
      </c>
      <c r="BZ212" s="97" t="str">
        <f>IF($A212="","",IF($AN212="",1,IFERROR(INDEX('Sublimits and Parts'!$C$98:$C$101,MATCH($AN212,'Sublimits and Parts'!$B$98:$B$101,0)),"?")))</f>
        <v/>
      </c>
      <c r="CA212" s="97" t="str">
        <f>IF($A212="","",IF($AO212="",1,IFERROR(INDEX('Sublimits and Parts'!$C$105:$C$109,MATCH($AO212,'Sublimits and Parts'!$B$105:$B$109,0)),"?")))</f>
        <v/>
      </c>
      <c r="CB212" s="98" t="str">
        <f t="shared" si="41"/>
        <v/>
      </c>
      <c r="CC212" s="98" t="str">
        <f t="shared" si="42"/>
        <v/>
      </c>
      <c r="CD212" s="101" t="str">
        <f>IF($A212="","",IF(OR($CB212="?",$CC212="?"),"?",MIN($CB212*$CC212,'Technical Premium'!$C$17)))</f>
        <v/>
      </c>
      <c r="CE212" s="100" t="str">
        <f t="shared" si="43"/>
        <v/>
      </c>
      <c r="CF212" s="100" t="str">
        <f>IF($A212="","",IFERROR(INDEX('Territory Factors'!$F$6:$F$56,MATCH($K212,'Territory Factors'!$B$6:$B$56,0)),"?"))</f>
        <v/>
      </c>
      <c r="CG212" s="98" t="str">
        <f>IF($A212="","",IFERROR(INDEX('Usage and Coverage'!$C$79:$C$84,MATCH($Y212,'Usage and Coverage'!$B$79:$B$84,0)),"?"))</f>
        <v/>
      </c>
      <c r="CH212" s="100" t="str">
        <f>IFERROR(IF(ISNUMBER($CD212),$CF212*$CG212*MIN($BG212*$BA212*$BC212*$BD212*$BH212*$BF212,'Technical Premium'!$C$17),""),"")</f>
        <v/>
      </c>
      <c r="CI212" s="100" t="str">
        <f t="shared" si="44"/>
        <v/>
      </c>
      <c r="CJ212" s="100" t="str">
        <f>IFERROR($CI212*(1+'Technical Premium'!$C$5)*(1+'Technical Premium'!$C$6),"")</f>
        <v/>
      </c>
      <c r="CK212" s="100" t="str">
        <f>IFERROR($CE212*INDEX('Territory Factors'!$G$6:$G$56,MATCH($K212,'Territory Factors'!$B$6:$B$56,0))*$AU212*$AV212,"")</f>
        <v/>
      </c>
      <c r="CL212" s="100" t="str">
        <f>IFERROR(($CJ212+$CK212)*(1+'Technical Premium'!$C$7),"")</f>
        <v/>
      </c>
      <c r="CM212" s="102" t="str">
        <f>IFERROR($CL212/'Technical Premium'!$C$13,"")</f>
        <v/>
      </c>
      <c r="CN212" s="103" t="str">
        <f t="shared" si="45"/>
        <v/>
      </c>
      <c r="CO212" s="102" t="str">
        <f t="shared" si="46"/>
        <v/>
      </c>
      <c r="CP212" s="103" t="str">
        <f t="shared" si="47"/>
        <v/>
      </c>
      <c r="CQ212" s="104" t="str">
        <f t="shared" si="48"/>
        <v/>
      </c>
      <c r="CR212" s="100" t="str">
        <f>IF(ISNUMBER($CM212),'Technical Premium'!$C$14+IF($J212&gt;=1000000,'Technical Premium'!$C$15,0),"")</f>
        <v/>
      </c>
      <c r="CS212" s="100" t="str">
        <f>IFERROR(($CO212+$CR212)*(INDEX('Territory Factors'!$K$6:$K$56,MATCH($K212,'Territory Factors'!$B$6:$B$56,0))+'Commission Structure'!$C$21),"")</f>
        <v/>
      </c>
      <c r="CT212" s="102" t="str">
        <f t="shared" si="49"/>
        <v/>
      </c>
      <c r="CU212" s="100" t="str">
        <f>IFERROR($CO212*('Commission Structure'!$C$6+'Commission Structure'!$C$7),"")</f>
        <v/>
      </c>
      <c r="CV212" s="100" t="str">
        <f>IFERROR($CO212*'Commission Structure'!$C$5-$CU212,"")</f>
        <v/>
      </c>
      <c r="CW212" s="100" t="str">
        <f>IFERROR($CO212*(1-'Commission Structure'!$C$5),"")</f>
        <v/>
      </c>
      <c r="CX212" s="105" t="str">
        <f>IF($A212="","",IF(OR($CB212="?",$CC212="?",NOT(ISNUMBER($AU212))),"CHECK INPUTS",IF(OR($J212&lt;'Technical Premium'!$C$18,LEFT(IFERROR(INDEX('Driver Factors'!$D$6:$D$15,MATCH($R212,'Driver Factors'!$B$6:$B$15,0)),""),7)="DECLINE",LEFT(IFERROR(INDEX('Driver Factors'!$D$28:$D$36,MATCH($T212,'Driver Factors'!$B$28:$B$36,0)),""),7)="DECLINE",LEFT(IFERROR(INDEX('Claims History'!$D$6:$D$15,MATCH($U212,'Claims History'!$B$6:$B$15,0)),""),7)="DECLINE",LEFT(IFERROR(INDEX('Usage and Coverage'!$E$6:$E$20,MATCH($N212,'Usage and Coverage'!$C$6:$C$20,0)),""),7)="DECLINE"),"DECLINE",IF(OR($CD212&gt;2.5,$CD212&gt;='Technical Premium'!$C$17,$J212&gt;='Technical Premium'!$C$16,N($AQ212)&lt;'Technical Premium'!$C$19,N($AQ212)&gt;'Technical Premium'!$C$20,LEFT(IFERROR(INDEX('Driver Factors'!$D$6:$D$15,MATCH($R212,'Driver Factors'!$B$6:$B$15,0)),""),5)="Refer",LEFT(IFERROR(INDEX('Driver Factors'!$D$28:$D$36,MATCH($T212,'Driver Factors'!$B$28:$B$36,0)),""),5)="Refer",LEFT(IFERROR(INDEX('Claims History'!$D$6:$D$15,MATCH($U212,'Claims History'!$B$6:$B$15,0)),""),5)="Refer",LEFT(IFERROR(INDEX('Usage and Coverage'!$E$6:$E$20,MATCH($N212,'Usage and Coverage'!$C$6:$C$20,0)),""),5)="Refer"),"REFER","AUTO-BIND"))))</f>
        <v/>
      </c>
      <c r="CY212" s="106" t="str">
        <f t="shared" si="50"/>
        <v/>
      </c>
      <c r="CZ212" s="97" t="str">
        <f>IF($CY212="","",IF($CY212&lt;'Technical Premium'!$C$19,"BEYOND AUTHORITY",IF($CY212&gt;0.005,"Above technical",IF($CY212&lt;-0.005,"BELOW technical","At technical"))))</f>
        <v/>
      </c>
      <c r="DA212" s="97" t="str">
        <f>IF($A212="","",IF($CX212="AUTO-BIND","",TRIM(IF($J212&lt;'Technical Premium'!$C$18,"Below programme minimum agreed value. ","")&amp;IF(N($AQ212)&lt;'Technical Premium'!$C$19,"DISCOUNT AUTHORITY BREACH. ","")&amp;IF(N($AQ212)&gt;'Technical Premium'!$C$20,"Load authority breach. ","")&amp;IF($J212&gt;='Technical Premium'!$C$16,"Agreed value at or above auto-bind limit. ","")&amp;IF(AND(ISNUMBER($CD212),$CD212&gt;='Technical Premium'!$C$17),"Composite factor at cap. ","")&amp;IF(AND(ISNUMBER($CD212),$CD212&gt;2.5),"Composite factor above 2.50. ","")&amp;IF(LEFT(IFERROR(INDEX('Driver Factors'!$D$6:$D$15,MATCH($R212,'Driver Factors'!$B$6:$B$15,0)),""),7)="DECLINE","DECLINE - driver age. ",IF(LEFT(IFERROR(INDEX('Driver Factors'!$D$6:$D$15,MATCH($R212,'Driver Factors'!$B$6:$B$15,0)),""),5)="Refer","Driver age band. ",""))&amp;IF(LEFT(IFERROR(INDEX('Driver Factors'!$D$28:$D$36,MATCH($T212,'Driver Factors'!$B$28:$B$36,0)),""),7)="DECLINE","DECLINE - MVR. ",IF(LEFT(IFERROR(INDEX('Driver Factors'!$D$28:$D$36,MATCH($T212,'Driver Factors'!$B$28:$B$36,0)),""),5)="Refer","MVR record. ",""))&amp;IF(LEFT(IFERROR(INDEX('Claims History'!$D$6:$D$15,MATCH($U212,'Claims History'!$B$6:$B$15,0)),""),7)="DECLINE","DECLINE - claims. ",IF(LEFT(IFERROR(INDEX('Claims History'!$D$6:$D$15,MATCH($U212,'Claims History'!$B$6:$B$15,0)),""),5)="Refer","Claims history. ",""))&amp;IF(LEFT(IFERROR(INDEX('Usage and Coverage'!$E$6:$E$20,MATCH($N212,'Usage and Coverage'!$C$6:$C$20,0)),""),7)="DECLINE","DECLINE - usage class. ",IF(LEFT(IFERROR(INDEX('Usage and Coverage'!$E$6:$E$20,MATCH($N212,'Usage and Coverage'!$C$6:$C$20,0)),""),5)="Refer","Usage class. ",""))&amp;IF($CX212="CHECK INPUTS","Incomplete inputs. ",""))))</f>
        <v/>
      </c>
      <c r="DB212" s="92"/>
      <c r="DC212" s="92"/>
      <c r="DD212" s="93"/>
      <c r="DE212" s="92"/>
      <c r="DF212" s="92"/>
      <c r="DG212" s="97" t="str">
        <f t="shared" si="51"/>
        <v/>
      </c>
      <c r="DH212" s="97" t="str">
        <f>IF($A212="","",IF(OR($CX212="REFER",$CX212="DECLINE"),COUNTIF($CX$5:$CX212,"REFER")+COUNTIF($CX$5:$CX212,"DECLINE"),""))</f>
        <v/>
      </c>
      <c r="DI212" s="92"/>
    </row>
    <row r="213" spans="1:113" x14ac:dyDescent="0.25">
      <c r="A213" s="92"/>
      <c r="B213" s="92"/>
      <c r="C213" s="93"/>
      <c r="D213" s="93"/>
      <c r="E213" s="94"/>
      <c r="F213" s="92"/>
      <c r="G213" s="92"/>
      <c r="H213" s="92"/>
      <c r="I213" s="92"/>
      <c r="J213" s="95"/>
      <c r="K213" s="92"/>
      <c r="L213" s="92"/>
      <c r="M213" s="92"/>
      <c r="N213" s="92"/>
      <c r="O213" s="92"/>
      <c r="P213" s="92"/>
      <c r="Q213" s="92"/>
      <c r="R213" s="92"/>
      <c r="S213" s="92"/>
      <c r="T213" s="92"/>
      <c r="U213" s="92"/>
      <c r="V213" s="92"/>
      <c r="W213" s="92"/>
      <c r="X213" s="92"/>
      <c r="Y213" s="92"/>
      <c r="Z213" s="92"/>
      <c r="AA213" s="92"/>
      <c r="AB213" s="92"/>
      <c r="AC213" s="92"/>
      <c r="AD213" s="92"/>
      <c r="AE213" s="92"/>
      <c r="AF213" s="92"/>
      <c r="AG213" s="92"/>
      <c r="AH213" s="92"/>
      <c r="AI213" s="92"/>
      <c r="AJ213" s="92"/>
      <c r="AK213" s="92"/>
      <c r="AL213" s="92"/>
      <c r="AM213" s="92"/>
      <c r="AN213" s="92"/>
      <c r="AO213" s="92"/>
      <c r="AP213" s="92"/>
      <c r="AQ213" s="96"/>
      <c r="AR213" s="97" t="str">
        <f t="shared" si="39"/>
        <v/>
      </c>
      <c r="AS213" s="97" t="str">
        <f>IF($A213="","",IF($AP213&lt;&gt;"",$AP213,IFERROR(INDEX('Cat Zone by ZIP'!$D$6:$D$856,MATCH($AR213,'Cat Zone by ZIP'!$B$6:$B$856,0)),IFERROR(INDEX('Cat Zone by ZIP'!$C$860:$C$910,MATCH($K213,'Cat Zone by ZIP'!$B$860:$B$910,0)),"NOT FOUND"))))</f>
        <v/>
      </c>
      <c r="AT213" s="97" t="str">
        <f>IF($A213="","",IF($AP213&lt;&gt;"","Override",IF(ISNUMBER(MATCH($AR213,'Cat Zone by ZIP'!$B$6:$B$856,0)),"ZIP-3","State default")))</f>
        <v/>
      </c>
      <c r="AU213" s="98" t="str">
        <f>IF($A213="","",IFERROR(INDEX('Natural Catastrophe'!$D$6:$D$17,MATCH($AS213,'Natural Catastrophe'!$B$6:$B$17,0)),"?"))</f>
        <v/>
      </c>
      <c r="AV213" s="98" t="str">
        <f>IF($A213="","",IFERROR(INDEX('Natural Catastrophe'!$C$21:$C$26,MATCH($AA213,'Natural Catastrophe'!$B$21:$B$26,0)),"?"))</f>
        <v/>
      </c>
      <c r="AW213" s="97" t="str">
        <f>IF($A213="","",IFERROR(INDEX('Base Rates'!$C$4:$I$4,MATCH(MAX($J213,'Technical Premium'!$C$18),'Base Rates'!$C$3:$I$3,1)),"?"))</f>
        <v/>
      </c>
      <c r="AX213" s="99" t="str">
        <f>IF($A213="","",IFERROR(INDEX('Base Rates'!$C$5:$I$16,MATCH($I213,'Base Rates'!$B$5:$B$16,0),MATCH(MAX($J213,'Technical Premium'!$C$18),'Base Rates'!$C$3:$I$3,1)),"?"))</f>
        <v/>
      </c>
      <c r="AY213" s="100" t="str">
        <f t="shared" si="40"/>
        <v/>
      </c>
      <c r="AZ213" s="97" t="str">
        <f>IF($A213="","",IFERROR(INDEX('Make Factors'!$G$5:$G$69,MATCH($F213,'Make Factors'!$B$5:$B$69,0)),"?"))</f>
        <v/>
      </c>
      <c r="BA213" s="97" t="str">
        <f>IF($A213="","",IFERROR(INDEX('Driver Factors'!$C$6:$C$15,MATCH($R213,'Driver Factors'!$B$6:$B$15,0)),"?"))</f>
        <v/>
      </c>
      <c r="BB213" s="97" t="str">
        <f>IF($A213="","",IFERROR(INDEX('Driver Factors'!$C$19:$C$24,MATCH($S213,'Driver Factors'!$B$19:$B$24,0)),"?"))</f>
        <v/>
      </c>
      <c r="BC213" s="97" t="str">
        <f>IF($A213="","",IFERROR(INDEX('Driver Factors'!$C$28:$C$36,MATCH($T213,'Driver Factors'!$B$28:$B$36,0)),"?"))</f>
        <v/>
      </c>
      <c r="BD213" s="97" t="str">
        <f>IF($A213="","",IFERROR(INDEX('Claims History'!$C$6:$C$15,MATCH($U213,'Claims History'!$B$6:$B$15,0)),"?"))</f>
        <v/>
      </c>
      <c r="BE213" s="97" t="str">
        <f>IF($A213="","",IFERROR(INDEX('Territory Factors'!$E$6:$E$56,MATCH($K213,'Territory Factors'!$B$6:$B$56,0)),"?"))</f>
        <v/>
      </c>
      <c r="BF213" s="97" t="str">
        <f>IF($A213="","",IFERROR(INDEX('City Accident Ratings'!$G$6:$G$54,MATCH($Z213,'City Accident Ratings'!$B$6:$B$54,0)),"?"))</f>
        <v/>
      </c>
      <c r="BG213" s="97" t="str">
        <f>IF($A213="","",IFERROR(INDEX('Usage and Coverage'!$D$6:$D$20,MATCH($N213,'Usage and Coverage'!$C$6:$C$20,0)),"?"))</f>
        <v/>
      </c>
      <c r="BH213" s="97" t="str">
        <f>IF($A213="","",IFERROR(INDEX('Usage and Coverage'!$C$24:$C$30,MATCH($O213,'Usage and Coverage'!$B$24:$B$30,0)),"?"))</f>
        <v/>
      </c>
      <c r="BI213" s="97" t="str">
        <f>IF($A213="","",IFERROR(INDEX('Usage and Coverage'!$C$34:$C$40,MATCH($P213,'Usage and Coverage'!$B$34:$B$40,0)),"?"))</f>
        <v/>
      </c>
      <c r="BJ213" s="97" t="str">
        <f>IF($A213="","",IFERROR(INDEX('Usage and Coverage'!$C$44:$C$49,MATCH($Q213,'Usage and Coverage'!$B$44:$B$49,0)),"?"))</f>
        <v/>
      </c>
      <c r="BK213" s="97" t="str">
        <f>IF($A213="","",IFERROR(INDEX(Deductibles!$C$6:$I$15,MATCH($W213,Deductibles!$B$6:$B$15,0),MATCH(MAX($J213,'Technical Premium'!$C$18),'Base Rates'!$C$3:$I$3,1)),"?"))</f>
        <v/>
      </c>
      <c r="BL213" s="97" t="str">
        <f>IF($A213="","",IFERROR(INDEX('Usage and Coverage'!$C$63:$C$66,MATCH($X213,'Usage and Coverage'!$B$63:$B$66,0)),"?"))</f>
        <v/>
      </c>
      <c r="BM213" s="97" t="str">
        <f>IF($A213="","",IFERROR(INDEX('Usage and Coverage'!$C$70:$C$75,MATCH($V213,'Usage and Coverage'!$B$70:$B$75,0)),"?"))</f>
        <v/>
      </c>
      <c r="BN213" s="97" t="str">
        <f>IF($A213="","",IF($AB213="",1,IFERROR(INDEX(Deductibles!$C$48:$C$51,MATCH($AB213,Deductibles!$B$48:$B$51,0)),"?")))</f>
        <v/>
      </c>
      <c r="BO213" s="97" t="str">
        <f>IF($A213="","",IF($AC213="",1,IFERROR(INDEX(Deductibles!$C$55:$C$57,MATCH($AC213,Deductibles!$B$55:$B$57,0)),"?")))</f>
        <v/>
      </c>
      <c r="BP213" s="97" t="str">
        <f>IF($A213="","",IF($AD213="",1,IFERROR(INDEX(Deductibles!$C$61:$C$63,MATCH($AD213,Deductibles!$B$61:$B$63,0)),"?")))</f>
        <v/>
      </c>
      <c r="BQ213" s="97" t="str">
        <f>IF($A213="","",IF($AE213="",1,IFERROR(INDEX(Deductibles!$C$67:$C$69,MATCH($AE213,Deductibles!$B$67:$B$69,0)),"?")))</f>
        <v/>
      </c>
      <c r="BR213" s="97" t="str">
        <f>IF($A213="","",IF($AF213="",1,IFERROR(INDEX(Deductibles!$C$73:$C$74,MATCH($AF213,Deductibles!$B$73:$B$74,0)),"?")))</f>
        <v/>
      </c>
      <c r="BS213" s="97" t="str">
        <f>IF($A213="","",IF($AG213="",1,IFERROR(INDEX('Sublimits and Parts'!$C$49:$C$52,MATCH($AG213,'Sublimits and Parts'!$B$49:$B$52,0)),"?")))</f>
        <v/>
      </c>
      <c r="BT213" s="97" t="str">
        <f>IF($A213="","",IF($AH213="",1,IFERROR(INDEX('Sublimits and Parts'!$C$56:$C$60,MATCH($AH213,'Sublimits and Parts'!$B$56:$B$60,0)),"?")))</f>
        <v/>
      </c>
      <c r="BU213" s="97" t="str">
        <f>IF($A213="","",IF($AI213="",1,IFERROR(INDEX('Sublimits and Parts'!$C$64:$C$67,MATCH($AI213,'Sublimits and Parts'!$B$64:$B$67,0)),"?")))</f>
        <v/>
      </c>
      <c r="BV213" s="97" t="str">
        <f>IF($A213="","",IF($AJ213="",1,IFERROR(INDEX('Sublimits and Parts'!$C$71:$C$74,MATCH($AJ213,'Sublimits and Parts'!$B$71:$B$74,0)),"?")))</f>
        <v/>
      </c>
      <c r="BW213" s="97" t="str">
        <f>IF($A213="","",IF($AK213="",1,IFERROR(INDEX('Sublimits and Parts'!$C$78:$C$80,MATCH($AK213,'Sublimits and Parts'!$B$78:$B$80,0)),"?")))</f>
        <v/>
      </c>
      <c r="BX213" s="97" t="str">
        <f>IF($A213="","",IF($AL213="",1,IFERROR(INDEX('Sublimits and Parts'!$C$84:$C$87,MATCH($AL213,'Sublimits and Parts'!$B$84:$B$87,0)),"?")))</f>
        <v/>
      </c>
      <c r="BY213" s="97" t="str">
        <f>IF($A213="","",IF($AM213="",1,IFERROR(INDEX('Sublimits and Parts'!$C$91:$C$94,MATCH($AM213,'Sublimits and Parts'!$B$91:$B$94,0)),"?")))</f>
        <v/>
      </c>
      <c r="BZ213" s="97" t="str">
        <f>IF($A213="","",IF($AN213="",1,IFERROR(INDEX('Sublimits and Parts'!$C$98:$C$101,MATCH($AN213,'Sublimits and Parts'!$B$98:$B$101,0)),"?")))</f>
        <v/>
      </c>
      <c r="CA213" s="97" t="str">
        <f>IF($A213="","",IF($AO213="",1,IFERROR(INDEX('Sublimits and Parts'!$C$105:$C$109,MATCH($AO213,'Sublimits and Parts'!$B$105:$B$109,0)),"?")))</f>
        <v/>
      </c>
      <c r="CB213" s="98" t="str">
        <f t="shared" si="41"/>
        <v/>
      </c>
      <c r="CC213" s="98" t="str">
        <f t="shared" si="42"/>
        <v/>
      </c>
      <c r="CD213" s="101" t="str">
        <f>IF($A213="","",IF(OR($CB213="?",$CC213="?"),"?",MIN($CB213*$CC213,'Technical Premium'!$C$17)))</f>
        <v/>
      </c>
      <c r="CE213" s="100" t="str">
        <f t="shared" si="43"/>
        <v/>
      </c>
      <c r="CF213" s="100" t="str">
        <f>IF($A213="","",IFERROR(INDEX('Territory Factors'!$F$6:$F$56,MATCH($K213,'Territory Factors'!$B$6:$B$56,0)),"?"))</f>
        <v/>
      </c>
      <c r="CG213" s="98" t="str">
        <f>IF($A213="","",IFERROR(INDEX('Usage and Coverage'!$C$79:$C$84,MATCH($Y213,'Usage and Coverage'!$B$79:$B$84,0)),"?"))</f>
        <v/>
      </c>
      <c r="CH213" s="100" t="str">
        <f>IFERROR(IF(ISNUMBER($CD213),$CF213*$CG213*MIN($BG213*$BA213*$BC213*$BD213*$BH213*$BF213,'Technical Premium'!$C$17),""),"")</f>
        <v/>
      </c>
      <c r="CI213" s="100" t="str">
        <f t="shared" si="44"/>
        <v/>
      </c>
      <c r="CJ213" s="100" t="str">
        <f>IFERROR($CI213*(1+'Technical Premium'!$C$5)*(1+'Technical Premium'!$C$6),"")</f>
        <v/>
      </c>
      <c r="CK213" s="100" t="str">
        <f>IFERROR($CE213*INDEX('Territory Factors'!$G$6:$G$56,MATCH($K213,'Territory Factors'!$B$6:$B$56,0))*$AU213*$AV213,"")</f>
        <v/>
      </c>
      <c r="CL213" s="100" t="str">
        <f>IFERROR(($CJ213+$CK213)*(1+'Technical Premium'!$C$7),"")</f>
        <v/>
      </c>
      <c r="CM213" s="102" t="str">
        <f>IFERROR($CL213/'Technical Premium'!$C$13,"")</f>
        <v/>
      </c>
      <c r="CN213" s="103" t="str">
        <f t="shared" si="45"/>
        <v/>
      </c>
      <c r="CO213" s="102" t="str">
        <f t="shared" si="46"/>
        <v/>
      </c>
      <c r="CP213" s="103" t="str">
        <f t="shared" si="47"/>
        <v/>
      </c>
      <c r="CQ213" s="104" t="str">
        <f t="shared" si="48"/>
        <v/>
      </c>
      <c r="CR213" s="100" t="str">
        <f>IF(ISNUMBER($CM213),'Technical Premium'!$C$14+IF($J213&gt;=1000000,'Technical Premium'!$C$15,0),"")</f>
        <v/>
      </c>
      <c r="CS213" s="100" t="str">
        <f>IFERROR(($CO213+$CR213)*(INDEX('Territory Factors'!$K$6:$K$56,MATCH($K213,'Territory Factors'!$B$6:$B$56,0))+'Commission Structure'!$C$21),"")</f>
        <v/>
      </c>
      <c r="CT213" s="102" t="str">
        <f t="shared" si="49"/>
        <v/>
      </c>
      <c r="CU213" s="100" t="str">
        <f>IFERROR($CO213*('Commission Structure'!$C$6+'Commission Structure'!$C$7),"")</f>
        <v/>
      </c>
      <c r="CV213" s="100" t="str">
        <f>IFERROR($CO213*'Commission Structure'!$C$5-$CU213,"")</f>
        <v/>
      </c>
      <c r="CW213" s="100" t="str">
        <f>IFERROR($CO213*(1-'Commission Structure'!$C$5),"")</f>
        <v/>
      </c>
      <c r="CX213" s="105" t="str">
        <f>IF($A213="","",IF(OR($CB213="?",$CC213="?",NOT(ISNUMBER($AU213))),"CHECK INPUTS",IF(OR($J213&lt;'Technical Premium'!$C$18,LEFT(IFERROR(INDEX('Driver Factors'!$D$6:$D$15,MATCH($R213,'Driver Factors'!$B$6:$B$15,0)),""),7)="DECLINE",LEFT(IFERROR(INDEX('Driver Factors'!$D$28:$D$36,MATCH($T213,'Driver Factors'!$B$28:$B$36,0)),""),7)="DECLINE",LEFT(IFERROR(INDEX('Claims History'!$D$6:$D$15,MATCH($U213,'Claims History'!$B$6:$B$15,0)),""),7)="DECLINE",LEFT(IFERROR(INDEX('Usage and Coverage'!$E$6:$E$20,MATCH($N213,'Usage and Coverage'!$C$6:$C$20,0)),""),7)="DECLINE"),"DECLINE",IF(OR($CD213&gt;2.5,$CD213&gt;='Technical Premium'!$C$17,$J213&gt;='Technical Premium'!$C$16,N($AQ213)&lt;'Technical Premium'!$C$19,N($AQ213)&gt;'Technical Premium'!$C$20,LEFT(IFERROR(INDEX('Driver Factors'!$D$6:$D$15,MATCH($R213,'Driver Factors'!$B$6:$B$15,0)),""),5)="Refer",LEFT(IFERROR(INDEX('Driver Factors'!$D$28:$D$36,MATCH($T213,'Driver Factors'!$B$28:$B$36,0)),""),5)="Refer",LEFT(IFERROR(INDEX('Claims History'!$D$6:$D$15,MATCH($U213,'Claims History'!$B$6:$B$15,0)),""),5)="Refer",LEFT(IFERROR(INDEX('Usage and Coverage'!$E$6:$E$20,MATCH($N213,'Usage and Coverage'!$C$6:$C$20,0)),""),5)="Refer"),"REFER","AUTO-BIND"))))</f>
        <v/>
      </c>
      <c r="CY213" s="106" t="str">
        <f t="shared" si="50"/>
        <v/>
      </c>
      <c r="CZ213" s="97" t="str">
        <f>IF($CY213="","",IF($CY213&lt;'Technical Premium'!$C$19,"BEYOND AUTHORITY",IF($CY213&gt;0.005,"Above technical",IF($CY213&lt;-0.005,"BELOW technical","At technical"))))</f>
        <v/>
      </c>
      <c r="DA213" s="97" t="str">
        <f>IF($A213="","",IF($CX213="AUTO-BIND","",TRIM(IF($J213&lt;'Technical Premium'!$C$18,"Below programme minimum agreed value. ","")&amp;IF(N($AQ213)&lt;'Technical Premium'!$C$19,"DISCOUNT AUTHORITY BREACH. ","")&amp;IF(N($AQ213)&gt;'Technical Premium'!$C$20,"Load authority breach. ","")&amp;IF($J213&gt;='Technical Premium'!$C$16,"Agreed value at or above auto-bind limit. ","")&amp;IF(AND(ISNUMBER($CD213),$CD213&gt;='Technical Premium'!$C$17),"Composite factor at cap. ","")&amp;IF(AND(ISNUMBER($CD213),$CD213&gt;2.5),"Composite factor above 2.50. ","")&amp;IF(LEFT(IFERROR(INDEX('Driver Factors'!$D$6:$D$15,MATCH($R213,'Driver Factors'!$B$6:$B$15,0)),""),7)="DECLINE","DECLINE - driver age. ",IF(LEFT(IFERROR(INDEX('Driver Factors'!$D$6:$D$15,MATCH($R213,'Driver Factors'!$B$6:$B$15,0)),""),5)="Refer","Driver age band. ",""))&amp;IF(LEFT(IFERROR(INDEX('Driver Factors'!$D$28:$D$36,MATCH($T213,'Driver Factors'!$B$28:$B$36,0)),""),7)="DECLINE","DECLINE - MVR. ",IF(LEFT(IFERROR(INDEX('Driver Factors'!$D$28:$D$36,MATCH($T213,'Driver Factors'!$B$28:$B$36,0)),""),5)="Refer","MVR record. ",""))&amp;IF(LEFT(IFERROR(INDEX('Claims History'!$D$6:$D$15,MATCH($U213,'Claims History'!$B$6:$B$15,0)),""),7)="DECLINE","DECLINE - claims. ",IF(LEFT(IFERROR(INDEX('Claims History'!$D$6:$D$15,MATCH($U213,'Claims History'!$B$6:$B$15,0)),""),5)="Refer","Claims history. ",""))&amp;IF(LEFT(IFERROR(INDEX('Usage and Coverage'!$E$6:$E$20,MATCH($N213,'Usage and Coverage'!$C$6:$C$20,0)),""),7)="DECLINE","DECLINE - usage class. ",IF(LEFT(IFERROR(INDEX('Usage and Coverage'!$E$6:$E$20,MATCH($N213,'Usage and Coverage'!$C$6:$C$20,0)),""),5)="Refer","Usage class. ",""))&amp;IF($CX213="CHECK INPUTS","Incomplete inputs. ",""))))</f>
        <v/>
      </c>
      <c r="DB213" s="92"/>
      <c r="DC213" s="92"/>
      <c r="DD213" s="93"/>
      <c r="DE213" s="92"/>
      <c r="DF213" s="92"/>
      <c r="DG213" s="97" t="str">
        <f t="shared" si="51"/>
        <v/>
      </c>
      <c r="DH213" s="97" t="str">
        <f>IF($A213="","",IF(OR($CX213="REFER",$CX213="DECLINE"),COUNTIF($CX$5:$CX213,"REFER")+COUNTIF($CX$5:$CX213,"DECLINE"),""))</f>
        <v/>
      </c>
      <c r="DI213" s="92"/>
    </row>
    <row r="214" spans="1:113" x14ac:dyDescent="0.25">
      <c r="A214" s="92"/>
      <c r="B214" s="92"/>
      <c r="C214" s="93"/>
      <c r="D214" s="93"/>
      <c r="E214" s="94"/>
      <c r="F214" s="92"/>
      <c r="G214" s="92"/>
      <c r="H214" s="92"/>
      <c r="I214" s="92"/>
      <c r="J214" s="95"/>
      <c r="K214" s="92"/>
      <c r="L214" s="92"/>
      <c r="M214" s="92"/>
      <c r="N214" s="92"/>
      <c r="O214" s="92"/>
      <c r="P214" s="92"/>
      <c r="Q214" s="92"/>
      <c r="R214" s="92"/>
      <c r="S214" s="92"/>
      <c r="T214" s="92"/>
      <c r="U214" s="92"/>
      <c r="V214" s="92"/>
      <c r="W214" s="92"/>
      <c r="X214" s="92"/>
      <c r="Y214" s="92"/>
      <c r="Z214" s="92"/>
      <c r="AA214" s="92"/>
      <c r="AB214" s="92"/>
      <c r="AC214" s="92"/>
      <c r="AD214" s="92"/>
      <c r="AE214" s="92"/>
      <c r="AF214" s="92"/>
      <c r="AG214" s="92"/>
      <c r="AH214" s="92"/>
      <c r="AI214" s="92"/>
      <c r="AJ214" s="92"/>
      <c r="AK214" s="92"/>
      <c r="AL214" s="92"/>
      <c r="AM214" s="92"/>
      <c r="AN214" s="92"/>
      <c r="AO214" s="92"/>
      <c r="AP214" s="92"/>
      <c r="AQ214" s="96"/>
      <c r="AR214" s="97" t="str">
        <f t="shared" si="39"/>
        <v/>
      </c>
      <c r="AS214" s="97" t="str">
        <f>IF($A214="","",IF($AP214&lt;&gt;"",$AP214,IFERROR(INDEX('Cat Zone by ZIP'!$D$6:$D$856,MATCH($AR214,'Cat Zone by ZIP'!$B$6:$B$856,0)),IFERROR(INDEX('Cat Zone by ZIP'!$C$860:$C$910,MATCH($K214,'Cat Zone by ZIP'!$B$860:$B$910,0)),"NOT FOUND"))))</f>
        <v/>
      </c>
      <c r="AT214" s="97" t="str">
        <f>IF($A214="","",IF($AP214&lt;&gt;"","Override",IF(ISNUMBER(MATCH($AR214,'Cat Zone by ZIP'!$B$6:$B$856,0)),"ZIP-3","State default")))</f>
        <v/>
      </c>
      <c r="AU214" s="98" t="str">
        <f>IF($A214="","",IFERROR(INDEX('Natural Catastrophe'!$D$6:$D$17,MATCH($AS214,'Natural Catastrophe'!$B$6:$B$17,0)),"?"))</f>
        <v/>
      </c>
      <c r="AV214" s="98" t="str">
        <f>IF($A214="","",IFERROR(INDEX('Natural Catastrophe'!$C$21:$C$26,MATCH($AA214,'Natural Catastrophe'!$B$21:$B$26,0)),"?"))</f>
        <v/>
      </c>
      <c r="AW214" s="97" t="str">
        <f>IF($A214="","",IFERROR(INDEX('Base Rates'!$C$4:$I$4,MATCH(MAX($J214,'Technical Premium'!$C$18),'Base Rates'!$C$3:$I$3,1)),"?"))</f>
        <v/>
      </c>
      <c r="AX214" s="99" t="str">
        <f>IF($A214="","",IFERROR(INDEX('Base Rates'!$C$5:$I$16,MATCH($I214,'Base Rates'!$B$5:$B$16,0),MATCH(MAX($J214,'Technical Premium'!$C$18),'Base Rates'!$C$3:$I$3,1)),"?"))</f>
        <v/>
      </c>
      <c r="AY214" s="100" t="str">
        <f t="shared" si="40"/>
        <v/>
      </c>
      <c r="AZ214" s="97" t="str">
        <f>IF($A214="","",IFERROR(INDEX('Make Factors'!$G$5:$G$69,MATCH($F214,'Make Factors'!$B$5:$B$69,0)),"?"))</f>
        <v/>
      </c>
      <c r="BA214" s="97" t="str">
        <f>IF($A214="","",IFERROR(INDEX('Driver Factors'!$C$6:$C$15,MATCH($R214,'Driver Factors'!$B$6:$B$15,0)),"?"))</f>
        <v/>
      </c>
      <c r="BB214" s="97" t="str">
        <f>IF($A214="","",IFERROR(INDEX('Driver Factors'!$C$19:$C$24,MATCH($S214,'Driver Factors'!$B$19:$B$24,0)),"?"))</f>
        <v/>
      </c>
      <c r="BC214" s="97" t="str">
        <f>IF($A214="","",IFERROR(INDEX('Driver Factors'!$C$28:$C$36,MATCH($T214,'Driver Factors'!$B$28:$B$36,0)),"?"))</f>
        <v/>
      </c>
      <c r="BD214" s="97" t="str">
        <f>IF($A214="","",IFERROR(INDEX('Claims History'!$C$6:$C$15,MATCH($U214,'Claims History'!$B$6:$B$15,0)),"?"))</f>
        <v/>
      </c>
      <c r="BE214" s="97" t="str">
        <f>IF($A214="","",IFERROR(INDEX('Territory Factors'!$E$6:$E$56,MATCH($K214,'Territory Factors'!$B$6:$B$56,0)),"?"))</f>
        <v/>
      </c>
      <c r="BF214" s="97" t="str">
        <f>IF($A214="","",IFERROR(INDEX('City Accident Ratings'!$G$6:$G$54,MATCH($Z214,'City Accident Ratings'!$B$6:$B$54,0)),"?"))</f>
        <v/>
      </c>
      <c r="BG214" s="97" t="str">
        <f>IF($A214="","",IFERROR(INDEX('Usage and Coverage'!$D$6:$D$20,MATCH($N214,'Usage and Coverage'!$C$6:$C$20,0)),"?"))</f>
        <v/>
      </c>
      <c r="BH214" s="97" t="str">
        <f>IF($A214="","",IFERROR(INDEX('Usage and Coverage'!$C$24:$C$30,MATCH($O214,'Usage and Coverage'!$B$24:$B$30,0)),"?"))</f>
        <v/>
      </c>
      <c r="BI214" s="97" t="str">
        <f>IF($A214="","",IFERROR(INDEX('Usage and Coverage'!$C$34:$C$40,MATCH($P214,'Usage and Coverage'!$B$34:$B$40,0)),"?"))</f>
        <v/>
      </c>
      <c r="BJ214" s="97" t="str">
        <f>IF($A214="","",IFERROR(INDEX('Usage and Coverage'!$C$44:$C$49,MATCH($Q214,'Usage and Coverage'!$B$44:$B$49,0)),"?"))</f>
        <v/>
      </c>
      <c r="BK214" s="97" t="str">
        <f>IF($A214="","",IFERROR(INDEX(Deductibles!$C$6:$I$15,MATCH($W214,Deductibles!$B$6:$B$15,0),MATCH(MAX($J214,'Technical Premium'!$C$18),'Base Rates'!$C$3:$I$3,1)),"?"))</f>
        <v/>
      </c>
      <c r="BL214" s="97" t="str">
        <f>IF($A214="","",IFERROR(INDEX('Usage and Coverage'!$C$63:$C$66,MATCH($X214,'Usage and Coverage'!$B$63:$B$66,0)),"?"))</f>
        <v/>
      </c>
      <c r="BM214" s="97" t="str">
        <f>IF($A214="","",IFERROR(INDEX('Usage and Coverage'!$C$70:$C$75,MATCH($V214,'Usage and Coverage'!$B$70:$B$75,0)),"?"))</f>
        <v/>
      </c>
      <c r="BN214" s="97" t="str">
        <f>IF($A214="","",IF($AB214="",1,IFERROR(INDEX(Deductibles!$C$48:$C$51,MATCH($AB214,Deductibles!$B$48:$B$51,0)),"?")))</f>
        <v/>
      </c>
      <c r="BO214" s="97" t="str">
        <f>IF($A214="","",IF($AC214="",1,IFERROR(INDEX(Deductibles!$C$55:$C$57,MATCH($AC214,Deductibles!$B$55:$B$57,0)),"?")))</f>
        <v/>
      </c>
      <c r="BP214" s="97" t="str">
        <f>IF($A214="","",IF($AD214="",1,IFERROR(INDEX(Deductibles!$C$61:$C$63,MATCH($AD214,Deductibles!$B$61:$B$63,0)),"?")))</f>
        <v/>
      </c>
      <c r="BQ214" s="97" t="str">
        <f>IF($A214="","",IF($AE214="",1,IFERROR(INDEX(Deductibles!$C$67:$C$69,MATCH($AE214,Deductibles!$B$67:$B$69,0)),"?")))</f>
        <v/>
      </c>
      <c r="BR214" s="97" t="str">
        <f>IF($A214="","",IF($AF214="",1,IFERROR(INDEX(Deductibles!$C$73:$C$74,MATCH($AF214,Deductibles!$B$73:$B$74,0)),"?")))</f>
        <v/>
      </c>
      <c r="BS214" s="97" t="str">
        <f>IF($A214="","",IF($AG214="",1,IFERROR(INDEX('Sublimits and Parts'!$C$49:$C$52,MATCH($AG214,'Sublimits and Parts'!$B$49:$B$52,0)),"?")))</f>
        <v/>
      </c>
      <c r="BT214" s="97" t="str">
        <f>IF($A214="","",IF($AH214="",1,IFERROR(INDEX('Sublimits and Parts'!$C$56:$C$60,MATCH($AH214,'Sublimits and Parts'!$B$56:$B$60,0)),"?")))</f>
        <v/>
      </c>
      <c r="BU214" s="97" t="str">
        <f>IF($A214="","",IF($AI214="",1,IFERROR(INDEX('Sublimits and Parts'!$C$64:$C$67,MATCH($AI214,'Sublimits and Parts'!$B$64:$B$67,0)),"?")))</f>
        <v/>
      </c>
      <c r="BV214" s="97" t="str">
        <f>IF($A214="","",IF($AJ214="",1,IFERROR(INDEX('Sublimits and Parts'!$C$71:$C$74,MATCH($AJ214,'Sublimits and Parts'!$B$71:$B$74,0)),"?")))</f>
        <v/>
      </c>
      <c r="BW214" s="97" t="str">
        <f>IF($A214="","",IF($AK214="",1,IFERROR(INDEX('Sublimits and Parts'!$C$78:$C$80,MATCH($AK214,'Sublimits and Parts'!$B$78:$B$80,0)),"?")))</f>
        <v/>
      </c>
      <c r="BX214" s="97" t="str">
        <f>IF($A214="","",IF($AL214="",1,IFERROR(INDEX('Sublimits and Parts'!$C$84:$C$87,MATCH($AL214,'Sublimits and Parts'!$B$84:$B$87,0)),"?")))</f>
        <v/>
      </c>
      <c r="BY214" s="97" t="str">
        <f>IF($A214="","",IF($AM214="",1,IFERROR(INDEX('Sublimits and Parts'!$C$91:$C$94,MATCH($AM214,'Sublimits and Parts'!$B$91:$B$94,0)),"?")))</f>
        <v/>
      </c>
      <c r="BZ214" s="97" t="str">
        <f>IF($A214="","",IF($AN214="",1,IFERROR(INDEX('Sublimits and Parts'!$C$98:$C$101,MATCH($AN214,'Sublimits and Parts'!$B$98:$B$101,0)),"?")))</f>
        <v/>
      </c>
      <c r="CA214" s="97" t="str">
        <f>IF($A214="","",IF($AO214="",1,IFERROR(INDEX('Sublimits and Parts'!$C$105:$C$109,MATCH($AO214,'Sublimits and Parts'!$B$105:$B$109,0)),"?")))</f>
        <v/>
      </c>
      <c r="CB214" s="98" t="str">
        <f t="shared" si="41"/>
        <v/>
      </c>
      <c r="CC214" s="98" t="str">
        <f t="shared" si="42"/>
        <v/>
      </c>
      <c r="CD214" s="101" t="str">
        <f>IF($A214="","",IF(OR($CB214="?",$CC214="?"),"?",MIN($CB214*$CC214,'Technical Premium'!$C$17)))</f>
        <v/>
      </c>
      <c r="CE214" s="100" t="str">
        <f t="shared" si="43"/>
        <v/>
      </c>
      <c r="CF214" s="100" t="str">
        <f>IF($A214="","",IFERROR(INDEX('Territory Factors'!$F$6:$F$56,MATCH($K214,'Territory Factors'!$B$6:$B$56,0)),"?"))</f>
        <v/>
      </c>
      <c r="CG214" s="98" t="str">
        <f>IF($A214="","",IFERROR(INDEX('Usage and Coverage'!$C$79:$C$84,MATCH($Y214,'Usage and Coverage'!$B$79:$B$84,0)),"?"))</f>
        <v/>
      </c>
      <c r="CH214" s="100" t="str">
        <f>IFERROR(IF(ISNUMBER($CD214),$CF214*$CG214*MIN($BG214*$BA214*$BC214*$BD214*$BH214*$BF214,'Technical Premium'!$C$17),""),"")</f>
        <v/>
      </c>
      <c r="CI214" s="100" t="str">
        <f t="shared" si="44"/>
        <v/>
      </c>
      <c r="CJ214" s="100" t="str">
        <f>IFERROR($CI214*(1+'Technical Premium'!$C$5)*(1+'Technical Premium'!$C$6),"")</f>
        <v/>
      </c>
      <c r="CK214" s="100" t="str">
        <f>IFERROR($CE214*INDEX('Territory Factors'!$G$6:$G$56,MATCH($K214,'Territory Factors'!$B$6:$B$56,0))*$AU214*$AV214,"")</f>
        <v/>
      </c>
      <c r="CL214" s="100" t="str">
        <f>IFERROR(($CJ214+$CK214)*(1+'Technical Premium'!$C$7),"")</f>
        <v/>
      </c>
      <c r="CM214" s="102" t="str">
        <f>IFERROR($CL214/'Technical Premium'!$C$13,"")</f>
        <v/>
      </c>
      <c r="CN214" s="103" t="str">
        <f t="shared" si="45"/>
        <v/>
      </c>
      <c r="CO214" s="102" t="str">
        <f t="shared" si="46"/>
        <v/>
      </c>
      <c r="CP214" s="103" t="str">
        <f t="shared" si="47"/>
        <v/>
      </c>
      <c r="CQ214" s="104" t="str">
        <f t="shared" si="48"/>
        <v/>
      </c>
      <c r="CR214" s="100" t="str">
        <f>IF(ISNUMBER($CM214),'Technical Premium'!$C$14+IF($J214&gt;=1000000,'Technical Premium'!$C$15,0),"")</f>
        <v/>
      </c>
      <c r="CS214" s="100" t="str">
        <f>IFERROR(($CO214+$CR214)*(INDEX('Territory Factors'!$K$6:$K$56,MATCH($K214,'Territory Factors'!$B$6:$B$56,0))+'Commission Structure'!$C$21),"")</f>
        <v/>
      </c>
      <c r="CT214" s="102" t="str">
        <f t="shared" si="49"/>
        <v/>
      </c>
      <c r="CU214" s="100" t="str">
        <f>IFERROR($CO214*('Commission Structure'!$C$6+'Commission Structure'!$C$7),"")</f>
        <v/>
      </c>
      <c r="CV214" s="100" t="str">
        <f>IFERROR($CO214*'Commission Structure'!$C$5-$CU214,"")</f>
        <v/>
      </c>
      <c r="CW214" s="100" t="str">
        <f>IFERROR($CO214*(1-'Commission Structure'!$C$5),"")</f>
        <v/>
      </c>
      <c r="CX214" s="105" t="str">
        <f>IF($A214="","",IF(OR($CB214="?",$CC214="?",NOT(ISNUMBER($AU214))),"CHECK INPUTS",IF(OR($J214&lt;'Technical Premium'!$C$18,LEFT(IFERROR(INDEX('Driver Factors'!$D$6:$D$15,MATCH($R214,'Driver Factors'!$B$6:$B$15,0)),""),7)="DECLINE",LEFT(IFERROR(INDEX('Driver Factors'!$D$28:$D$36,MATCH($T214,'Driver Factors'!$B$28:$B$36,0)),""),7)="DECLINE",LEFT(IFERROR(INDEX('Claims History'!$D$6:$D$15,MATCH($U214,'Claims History'!$B$6:$B$15,0)),""),7)="DECLINE",LEFT(IFERROR(INDEX('Usage and Coverage'!$E$6:$E$20,MATCH($N214,'Usage and Coverage'!$C$6:$C$20,0)),""),7)="DECLINE"),"DECLINE",IF(OR($CD214&gt;2.5,$CD214&gt;='Technical Premium'!$C$17,$J214&gt;='Technical Premium'!$C$16,N($AQ214)&lt;'Technical Premium'!$C$19,N($AQ214)&gt;'Technical Premium'!$C$20,LEFT(IFERROR(INDEX('Driver Factors'!$D$6:$D$15,MATCH($R214,'Driver Factors'!$B$6:$B$15,0)),""),5)="Refer",LEFT(IFERROR(INDEX('Driver Factors'!$D$28:$D$36,MATCH($T214,'Driver Factors'!$B$28:$B$36,0)),""),5)="Refer",LEFT(IFERROR(INDEX('Claims History'!$D$6:$D$15,MATCH($U214,'Claims History'!$B$6:$B$15,0)),""),5)="Refer",LEFT(IFERROR(INDEX('Usage and Coverage'!$E$6:$E$20,MATCH($N214,'Usage and Coverage'!$C$6:$C$20,0)),""),5)="Refer"),"REFER","AUTO-BIND"))))</f>
        <v/>
      </c>
      <c r="CY214" s="106" t="str">
        <f t="shared" si="50"/>
        <v/>
      </c>
      <c r="CZ214" s="97" t="str">
        <f>IF($CY214="","",IF($CY214&lt;'Technical Premium'!$C$19,"BEYOND AUTHORITY",IF($CY214&gt;0.005,"Above technical",IF($CY214&lt;-0.005,"BELOW technical","At technical"))))</f>
        <v/>
      </c>
      <c r="DA214" s="97" t="str">
        <f>IF($A214="","",IF($CX214="AUTO-BIND","",TRIM(IF($J214&lt;'Technical Premium'!$C$18,"Below programme minimum agreed value. ","")&amp;IF(N($AQ214)&lt;'Technical Premium'!$C$19,"DISCOUNT AUTHORITY BREACH. ","")&amp;IF(N($AQ214)&gt;'Technical Premium'!$C$20,"Load authority breach. ","")&amp;IF($J214&gt;='Technical Premium'!$C$16,"Agreed value at or above auto-bind limit. ","")&amp;IF(AND(ISNUMBER($CD214),$CD214&gt;='Technical Premium'!$C$17),"Composite factor at cap. ","")&amp;IF(AND(ISNUMBER($CD214),$CD214&gt;2.5),"Composite factor above 2.50. ","")&amp;IF(LEFT(IFERROR(INDEX('Driver Factors'!$D$6:$D$15,MATCH($R214,'Driver Factors'!$B$6:$B$15,0)),""),7)="DECLINE","DECLINE - driver age. ",IF(LEFT(IFERROR(INDEX('Driver Factors'!$D$6:$D$15,MATCH($R214,'Driver Factors'!$B$6:$B$15,0)),""),5)="Refer","Driver age band. ",""))&amp;IF(LEFT(IFERROR(INDEX('Driver Factors'!$D$28:$D$36,MATCH($T214,'Driver Factors'!$B$28:$B$36,0)),""),7)="DECLINE","DECLINE - MVR. ",IF(LEFT(IFERROR(INDEX('Driver Factors'!$D$28:$D$36,MATCH($T214,'Driver Factors'!$B$28:$B$36,0)),""),5)="Refer","MVR record. ",""))&amp;IF(LEFT(IFERROR(INDEX('Claims History'!$D$6:$D$15,MATCH($U214,'Claims History'!$B$6:$B$15,0)),""),7)="DECLINE","DECLINE - claims. ",IF(LEFT(IFERROR(INDEX('Claims History'!$D$6:$D$15,MATCH($U214,'Claims History'!$B$6:$B$15,0)),""),5)="Refer","Claims history. ",""))&amp;IF(LEFT(IFERROR(INDEX('Usage and Coverage'!$E$6:$E$20,MATCH($N214,'Usage and Coverage'!$C$6:$C$20,0)),""),7)="DECLINE","DECLINE - usage class. ",IF(LEFT(IFERROR(INDEX('Usage and Coverage'!$E$6:$E$20,MATCH($N214,'Usage and Coverage'!$C$6:$C$20,0)),""),5)="Refer","Usage class. ",""))&amp;IF($CX214="CHECK INPUTS","Incomplete inputs. ",""))))</f>
        <v/>
      </c>
      <c r="DB214" s="92"/>
      <c r="DC214" s="92"/>
      <c r="DD214" s="93"/>
      <c r="DE214" s="92"/>
      <c r="DF214" s="92"/>
      <c r="DG214" s="97" t="str">
        <f t="shared" si="51"/>
        <v/>
      </c>
      <c r="DH214" s="97" t="str">
        <f>IF($A214="","",IF(OR($CX214="REFER",$CX214="DECLINE"),COUNTIF($CX$5:$CX214,"REFER")+COUNTIF($CX$5:$CX214,"DECLINE"),""))</f>
        <v/>
      </c>
      <c r="DI214" s="92"/>
    </row>
    <row r="215" spans="1:113" x14ac:dyDescent="0.25">
      <c r="A215" s="92"/>
      <c r="B215" s="92"/>
      <c r="C215" s="93"/>
      <c r="D215" s="93"/>
      <c r="E215" s="94"/>
      <c r="F215" s="92"/>
      <c r="G215" s="92"/>
      <c r="H215" s="92"/>
      <c r="I215" s="92"/>
      <c r="J215" s="95"/>
      <c r="K215" s="92"/>
      <c r="L215" s="92"/>
      <c r="M215" s="92"/>
      <c r="N215" s="92"/>
      <c r="O215" s="92"/>
      <c r="P215" s="92"/>
      <c r="Q215" s="92"/>
      <c r="R215" s="92"/>
      <c r="S215" s="92"/>
      <c r="T215" s="92"/>
      <c r="U215" s="92"/>
      <c r="V215" s="92"/>
      <c r="W215" s="92"/>
      <c r="X215" s="92"/>
      <c r="Y215" s="92"/>
      <c r="Z215" s="92"/>
      <c r="AA215" s="92"/>
      <c r="AB215" s="92"/>
      <c r="AC215" s="92"/>
      <c r="AD215" s="92"/>
      <c r="AE215" s="92"/>
      <c r="AF215" s="92"/>
      <c r="AG215" s="92"/>
      <c r="AH215" s="92"/>
      <c r="AI215" s="92"/>
      <c r="AJ215" s="92"/>
      <c r="AK215" s="92"/>
      <c r="AL215" s="92"/>
      <c r="AM215" s="92"/>
      <c r="AN215" s="92"/>
      <c r="AO215" s="92"/>
      <c r="AP215" s="92"/>
      <c r="AQ215" s="96"/>
      <c r="AR215" s="97" t="str">
        <f t="shared" si="39"/>
        <v/>
      </c>
      <c r="AS215" s="97" t="str">
        <f>IF($A215="","",IF($AP215&lt;&gt;"",$AP215,IFERROR(INDEX('Cat Zone by ZIP'!$D$6:$D$856,MATCH($AR215,'Cat Zone by ZIP'!$B$6:$B$856,0)),IFERROR(INDEX('Cat Zone by ZIP'!$C$860:$C$910,MATCH($K215,'Cat Zone by ZIP'!$B$860:$B$910,0)),"NOT FOUND"))))</f>
        <v/>
      </c>
      <c r="AT215" s="97" t="str">
        <f>IF($A215="","",IF($AP215&lt;&gt;"","Override",IF(ISNUMBER(MATCH($AR215,'Cat Zone by ZIP'!$B$6:$B$856,0)),"ZIP-3","State default")))</f>
        <v/>
      </c>
      <c r="AU215" s="98" t="str">
        <f>IF($A215="","",IFERROR(INDEX('Natural Catastrophe'!$D$6:$D$17,MATCH($AS215,'Natural Catastrophe'!$B$6:$B$17,0)),"?"))</f>
        <v/>
      </c>
      <c r="AV215" s="98" t="str">
        <f>IF($A215="","",IFERROR(INDEX('Natural Catastrophe'!$C$21:$C$26,MATCH($AA215,'Natural Catastrophe'!$B$21:$B$26,0)),"?"))</f>
        <v/>
      </c>
      <c r="AW215" s="97" t="str">
        <f>IF($A215="","",IFERROR(INDEX('Base Rates'!$C$4:$I$4,MATCH(MAX($J215,'Technical Premium'!$C$18),'Base Rates'!$C$3:$I$3,1)),"?"))</f>
        <v/>
      </c>
      <c r="AX215" s="99" t="str">
        <f>IF($A215="","",IFERROR(INDEX('Base Rates'!$C$5:$I$16,MATCH($I215,'Base Rates'!$B$5:$B$16,0),MATCH(MAX($J215,'Technical Premium'!$C$18),'Base Rates'!$C$3:$I$3,1)),"?"))</f>
        <v/>
      </c>
      <c r="AY215" s="100" t="str">
        <f t="shared" si="40"/>
        <v/>
      </c>
      <c r="AZ215" s="97" t="str">
        <f>IF($A215="","",IFERROR(INDEX('Make Factors'!$G$5:$G$69,MATCH($F215,'Make Factors'!$B$5:$B$69,0)),"?"))</f>
        <v/>
      </c>
      <c r="BA215" s="97" t="str">
        <f>IF($A215="","",IFERROR(INDEX('Driver Factors'!$C$6:$C$15,MATCH($R215,'Driver Factors'!$B$6:$B$15,0)),"?"))</f>
        <v/>
      </c>
      <c r="BB215" s="97" t="str">
        <f>IF($A215="","",IFERROR(INDEX('Driver Factors'!$C$19:$C$24,MATCH($S215,'Driver Factors'!$B$19:$B$24,0)),"?"))</f>
        <v/>
      </c>
      <c r="BC215" s="97" t="str">
        <f>IF($A215="","",IFERROR(INDEX('Driver Factors'!$C$28:$C$36,MATCH($T215,'Driver Factors'!$B$28:$B$36,0)),"?"))</f>
        <v/>
      </c>
      <c r="BD215" s="97" t="str">
        <f>IF($A215="","",IFERROR(INDEX('Claims History'!$C$6:$C$15,MATCH($U215,'Claims History'!$B$6:$B$15,0)),"?"))</f>
        <v/>
      </c>
      <c r="BE215" s="97" t="str">
        <f>IF($A215="","",IFERROR(INDEX('Territory Factors'!$E$6:$E$56,MATCH($K215,'Territory Factors'!$B$6:$B$56,0)),"?"))</f>
        <v/>
      </c>
      <c r="BF215" s="97" t="str">
        <f>IF($A215="","",IFERROR(INDEX('City Accident Ratings'!$G$6:$G$54,MATCH($Z215,'City Accident Ratings'!$B$6:$B$54,0)),"?"))</f>
        <v/>
      </c>
      <c r="BG215" s="97" t="str">
        <f>IF($A215="","",IFERROR(INDEX('Usage and Coverage'!$D$6:$D$20,MATCH($N215,'Usage and Coverage'!$C$6:$C$20,0)),"?"))</f>
        <v/>
      </c>
      <c r="BH215" s="97" t="str">
        <f>IF($A215="","",IFERROR(INDEX('Usage and Coverage'!$C$24:$C$30,MATCH($O215,'Usage and Coverage'!$B$24:$B$30,0)),"?"))</f>
        <v/>
      </c>
      <c r="BI215" s="97" t="str">
        <f>IF($A215="","",IFERROR(INDEX('Usage and Coverage'!$C$34:$C$40,MATCH($P215,'Usage and Coverage'!$B$34:$B$40,0)),"?"))</f>
        <v/>
      </c>
      <c r="BJ215" s="97" t="str">
        <f>IF($A215="","",IFERROR(INDEX('Usage and Coverage'!$C$44:$C$49,MATCH($Q215,'Usage and Coverage'!$B$44:$B$49,0)),"?"))</f>
        <v/>
      </c>
      <c r="BK215" s="97" t="str">
        <f>IF($A215="","",IFERROR(INDEX(Deductibles!$C$6:$I$15,MATCH($W215,Deductibles!$B$6:$B$15,0),MATCH(MAX($J215,'Technical Premium'!$C$18),'Base Rates'!$C$3:$I$3,1)),"?"))</f>
        <v/>
      </c>
      <c r="BL215" s="97" t="str">
        <f>IF($A215="","",IFERROR(INDEX('Usage and Coverage'!$C$63:$C$66,MATCH($X215,'Usage and Coverage'!$B$63:$B$66,0)),"?"))</f>
        <v/>
      </c>
      <c r="BM215" s="97" t="str">
        <f>IF($A215="","",IFERROR(INDEX('Usage and Coverage'!$C$70:$C$75,MATCH($V215,'Usage and Coverage'!$B$70:$B$75,0)),"?"))</f>
        <v/>
      </c>
      <c r="BN215" s="97" t="str">
        <f>IF($A215="","",IF($AB215="",1,IFERROR(INDEX(Deductibles!$C$48:$C$51,MATCH($AB215,Deductibles!$B$48:$B$51,0)),"?")))</f>
        <v/>
      </c>
      <c r="BO215" s="97" t="str">
        <f>IF($A215="","",IF($AC215="",1,IFERROR(INDEX(Deductibles!$C$55:$C$57,MATCH($AC215,Deductibles!$B$55:$B$57,0)),"?")))</f>
        <v/>
      </c>
      <c r="BP215" s="97" t="str">
        <f>IF($A215="","",IF($AD215="",1,IFERROR(INDEX(Deductibles!$C$61:$C$63,MATCH($AD215,Deductibles!$B$61:$B$63,0)),"?")))</f>
        <v/>
      </c>
      <c r="BQ215" s="97" t="str">
        <f>IF($A215="","",IF($AE215="",1,IFERROR(INDEX(Deductibles!$C$67:$C$69,MATCH($AE215,Deductibles!$B$67:$B$69,0)),"?")))</f>
        <v/>
      </c>
      <c r="BR215" s="97" t="str">
        <f>IF($A215="","",IF($AF215="",1,IFERROR(INDEX(Deductibles!$C$73:$C$74,MATCH($AF215,Deductibles!$B$73:$B$74,0)),"?")))</f>
        <v/>
      </c>
      <c r="BS215" s="97" t="str">
        <f>IF($A215="","",IF($AG215="",1,IFERROR(INDEX('Sublimits and Parts'!$C$49:$C$52,MATCH($AG215,'Sublimits and Parts'!$B$49:$B$52,0)),"?")))</f>
        <v/>
      </c>
      <c r="BT215" s="97" t="str">
        <f>IF($A215="","",IF($AH215="",1,IFERROR(INDEX('Sublimits and Parts'!$C$56:$C$60,MATCH($AH215,'Sublimits and Parts'!$B$56:$B$60,0)),"?")))</f>
        <v/>
      </c>
      <c r="BU215" s="97" t="str">
        <f>IF($A215="","",IF($AI215="",1,IFERROR(INDEX('Sublimits and Parts'!$C$64:$C$67,MATCH($AI215,'Sublimits and Parts'!$B$64:$B$67,0)),"?")))</f>
        <v/>
      </c>
      <c r="BV215" s="97" t="str">
        <f>IF($A215="","",IF($AJ215="",1,IFERROR(INDEX('Sublimits and Parts'!$C$71:$C$74,MATCH($AJ215,'Sublimits and Parts'!$B$71:$B$74,0)),"?")))</f>
        <v/>
      </c>
      <c r="BW215" s="97" t="str">
        <f>IF($A215="","",IF($AK215="",1,IFERROR(INDEX('Sublimits and Parts'!$C$78:$C$80,MATCH($AK215,'Sublimits and Parts'!$B$78:$B$80,0)),"?")))</f>
        <v/>
      </c>
      <c r="BX215" s="97" t="str">
        <f>IF($A215="","",IF($AL215="",1,IFERROR(INDEX('Sublimits and Parts'!$C$84:$C$87,MATCH($AL215,'Sublimits and Parts'!$B$84:$B$87,0)),"?")))</f>
        <v/>
      </c>
      <c r="BY215" s="97" t="str">
        <f>IF($A215="","",IF($AM215="",1,IFERROR(INDEX('Sublimits and Parts'!$C$91:$C$94,MATCH($AM215,'Sublimits and Parts'!$B$91:$B$94,0)),"?")))</f>
        <v/>
      </c>
      <c r="BZ215" s="97" t="str">
        <f>IF($A215="","",IF($AN215="",1,IFERROR(INDEX('Sublimits and Parts'!$C$98:$C$101,MATCH($AN215,'Sublimits and Parts'!$B$98:$B$101,0)),"?")))</f>
        <v/>
      </c>
      <c r="CA215" s="97" t="str">
        <f>IF($A215="","",IF($AO215="",1,IFERROR(INDEX('Sublimits and Parts'!$C$105:$C$109,MATCH($AO215,'Sublimits and Parts'!$B$105:$B$109,0)),"?")))</f>
        <v/>
      </c>
      <c r="CB215" s="98" t="str">
        <f t="shared" si="41"/>
        <v/>
      </c>
      <c r="CC215" s="98" t="str">
        <f t="shared" si="42"/>
        <v/>
      </c>
      <c r="CD215" s="101" t="str">
        <f>IF($A215="","",IF(OR($CB215="?",$CC215="?"),"?",MIN($CB215*$CC215,'Technical Premium'!$C$17)))</f>
        <v/>
      </c>
      <c r="CE215" s="100" t="str">
        <f t="shared" si="43"/>
        <v/>
      </c>
      <c r="CF215" s="100" t="str">
        <f>IF($A215="","",IFERROR(INDEX('Territory Factors'!$F$6:$F$56,MATCH($K215,'Territory Factors'!$B$6:$B$56,0)),"?"))</f>
        <v/>
      </c>
      <c r="CG215" s="98" t="str">
        <f>IF($A215="","",IFERROR(INDEX('Usage and Coverage'!$C$79:$C$84,MATCH($Y215,'Usage and Coverage'!$B$79:$B$84,0)),"?"))</f>
        <v/>
      </c>
      <c r="CH215" s="100" t="str">
        <f>IFERROR(IF(ISNUMBER($CD215),$CF215*$CG215*MIN($BG215*$BA215*$BC215*$BD215*$BH215*$BF215,'Technical Premium'!$C$17),""),"")</f>
        <v/>
      </c>
      <c r="CI215" s="100" t="str">
        <f t="shared" si="44"/>
        <v/>
      </c>
      <c r="CJ215" s="100" t="str">
        <f>IFERROR($CI215*(1+'Technical Premium'!$C$5)*(1+'Technical Premium'!$C$6),"")</f>
        <v/>
      </c>
      <c r="CK215" s="100" t="str">
        <f>IFERROR($CE215*INDEX('Territory Factors'!$G$6:$G$56,MATCH($K215,'Territory Factors'!$B$6:$B$56,0))*$AU215*$AV215,"")</f>
        <v/>
      </c>
      <c r="CL215" s="100" t="str">
        <f>IFERROR(($CJ215+$CK215)*(1+'Technical Premium'!$C$7),"")</f>
        <v/>
      </c>
      <c r="CM215" s="102" t="str">
        <f>IFERROR($CL215/'Technical Premium'!$C$13,"")</f>
        <v/>
      </c>
      <c r="CN215" s="103" t="str">
        <f t="shared" si="45"/>
        <v/>
      </c>
      <c r="CO215" s="102" t="str">
        <f t="shared" si="46"/>
        <v/>
      </c>
      <c r="CP215" s="103" t="str">
        <f t="shared" si="47"/>
        <v/>
      </c>
      <c r="CQ215" s="104" t="str">
        <f t="shared" si="48"/>
        <v/>
      </c>
      <c r="CR215" s="100" t="str">
        <f>IF(ISNUMBER($CM215),'Technical Premium'!$C$14+IF($J215&gt;=1000000,'Technical Premium'!$C$15,0),"")</f>
        <v/>
      </c>
      <c r="CS215" s="100" t="str">
        <f>IFERROR(($CO215+$CR215)*(INDEX('Territory Factors'!$K$6:$K$56,MATCH($K215,'Territory Factors'!$B$6:$B$56,0))+'Commission Structure'!$C$21),"")</f>
        <v/>
      </c>
      <c r="CT215" s="102" t="str">
        <f t="shared" si="49"/>
        <v/>
      </c>
      <c r="CU215" s="100" t="str">
        <f>IFERROR($CO215*('Commission Structure'!$C$6+'Commission Structure'!$C$7),"")</f>
        <v/>
      </c>
      <c r="CV215" s="100" t="str">
        <f>IFERROR($CO215*'Commission Structure'!$C$5-$CU215,"")</f>
        <v/>
      </c>
      <c r="CW215" s="100" t="str">
        <f>IFERROR($CO215*(1-'Commission Structure'!$C$5),"")</f>
        <v/>
      </c>
      <c r="CX215" s="105" t="str">
        <f>IF($A215="","",IF(OR($CB215="?",$CC215="?",NOT(ISNUMBER($AU215))),"CHECK INPUTS",IF(OR($J215&lt;'Technical Premium'!$C$18,LEFT(IFERROR(INDEX('Driver Factors'!$D$6:$D$15,MATCH($R215,'Driver Factors'!$B$6:$B$15,0)),""),7)="DECLINE",LEFT(IFERROR(INDEX('Driver Factors'!$D$28:$D$36,MATCH($T215,'Driver Factors'!$B$28:$B$36,0)),""),7)="DECLINE",LEFT(IFERROR(INDEX('Claims History'!$D$6:$D$15,MATCH($U215,'Claims History'!$B$6:$B$15,0)),""),7)="DECLINE",LEFT(IFERROR(INDEX('Usage and Coverage'!$E$6:$E$20,MATCH($N215,'Usage and Coverage'!$C$6:$C$20,0)),""),7)="DECLINE"),"DECLINE",IF(OR($CD215&gt;2.5,$CD215&gt;='Technical Premium'!$C$17,$J215&gt;='Technical Premium'!$C$16,N($AQ215)&lt;'Technical Premium'!$C$19,N($AQ215)&gt;'Technical Premium'!$C$20,LEFT(IFERROR(INDEX('Driver Factors'!$D$6:$D$15,MATCH($R215,'Driver Factors'!$B$6:$B$15,0)),""),5)="Refer",LEFT(IFERROR(INDEX('Driver Factors'!$D$28:$D$36,MATCH($T215,'Driver Factors'!$B$28:$B$36,0)),""),5)="Refer",LEFT(IFERROR(INDEX('Claims History'!$D$6:$D$15,MATCH($U215,'Claims History'!$B$6:$B$15,0)),""),5)="Refer",LEFT(IFERROR(INDEX('Usage and Coverage'!$E$6:$E$20,MATCH($N215,'Usage and Coverage'!$C$6:$C$20,0)),""),5)="Refer"),"REFER","AUTO-BIND"))))</f>
        <v/>
      </c>
      <c r="CY215" s="106" t="str">
        <f t="shared" si="50"/>
        <v/>
      </c>
      <c r="CZ215" s="97" t="str">
        <f>IF($CY215="","",IF($CY215&lt;'Technical Premium'!$C$19,"BEYOND AUTHORITY",IF($CY215&gt;0.005,"Above technical",IF($CY215&lt;-0.005,"BELOW technical","At technical"))))</f>
        <v/>
      </c>
      <c r="DA215" s="97" t="str">
        <f>IF($A215="","",IF($CX215="AUTO-BIND","",TRIM(IF($J215&lt;'Technical Premium'!$C$18,"Below programme minimum agreed value. ","")&amp;IF(N($AQ215)&lt;'Technical Premium'!$C$19,"DISCOUNT AUTHORITY BREACH. ","")&amp;IF(N($AQ215)&gt;'Technical Premium'!$C$20,"Load authority breach. ","")&amp;IF($J215&gt;='Technical Premium'!$C$16,"Agreed value at or above auto-bind limit. ","")&amp;IF(AND(ISNUMBER($CD215),$CD215&gt;='Technical Premium'!$C$17),"Composite factor at cap. ","")&amp;IF(AND(ISNUMBER($CD215),$CD215&gt;2.5),"Composite factor above 2.50. ","")&amp;IF(LEFT(IFERROR(INDEX('Driver Factors'!$D$6:$D$15,MATCH($R215,'Driver Factors'!$B$6:$B$15,0)),""),7)="DECLINE","DECLINE - driver age. ",IF(LEFT(IFERROR(INDEX('Driver Factors'!$D$6:$D$15,MATCH($R215,'Driver Factors'!$B$6:$B$15,0)),""),5)="Refer","Driver age band. ",""))&amp;IF(LEFT(IFERROR(INDEX('Driver Factors'!$D$28:$D$36,MATCH($T215,'Driver Factors'!$B$28:$B$36,0)),""),7)="DECLINE","DECLINE - MVR. ",IF(LEFT(IFERROR(INDEX('Driver Factors'!$D$28:$D$36,MATCH($T215,'Driver Factors'!$B$28:$B$36,0)),""),5)="Refer","MVR record. ",""))&amp;IF(LEFT(IFERROR(INDEX('Claims History'!$D$6:$D$15,MATCH($U215,'Claims History'!$B$6:$B$15,0)),""),7)="DECLINE","DECLINE - claims. ",IF(LEFT(IFERROR(INDEX('Claims History'!$D$6:$D$15,MATCH($U215,'Claims History'!$B$6:$B$15,0)),""),5)="Refer","Claims history. ",""))&amp;IF(LEFT(IFERROR(INDEX('Usage and Coverage'!$E$6:$E$20,MATCH($N215,'Usage and Coverage'!$C$6:$C$20,0)),""),7)="DECLINE","DECLINE - usage class. ",IF(LEFT(IFERROR(INDEX('Usage and Coverage'!$E$6:$E$20,MATCH($N215,'Usage and Coverage'!$C$6:$C$20,0)),""),5)="Refer","Usage class. ",""))&amp;IF($CX215="CHECK INPUTS","Incomplete inputs. ",""))))</f>
        <v/>
      </c>
      <c r="DB215" s="92"/>
      <c r="DC215" s="92"/>
      <c r="DD215" s="93"/>
      <c r="DE215" s="92"/>
      <c r="DF215" s="92"/>
      <c r="DG215" s="97" t="str">
        <f t="shared" si="51"/>
        <v/>
      </c>
      <c r="DH215" s="97" t="str">
        <f>IF($A215="","",IF(OR($CX215="REFER",$CX215="DECLINE"),COUNTIF($CX$5:$CX215,"REFER")+COUNTIF($CX$5:$CX215,"DECLINE"),""))</f>
        <v/>
      </c>
      <c r="DI215" s="92"/>
    </row>
    <row r="216" spans="1:113" x14ac:dyDescent="0.25">
      <c r="A216" s="92"/>
      <c r="B216" s="92"/>
      <c r="C216" s="93"/>
      <c r="D216" s="93"/>
      <c r="E216" s="94"/>
      <c r="F216" s="92"/>
      <c r="G216" s="92"/>
      <c r="H216" s="92"/>
      <c r="I216" s="92"/>
      <c r="J216" s="95"/>
      <c r="K216" s="92"/>
      <c r="L216" s="92"/>
      <c r="M216" s="92"/>
      <c r="N216" s="92"/>
      <c r="O216" s="92"/>
      <c r="P216" s="92"/>
      <c r="Q216" s="92"/>
      <c r="R216" s="92"/>
      <c r="S216" s="92"/>
      <c r="T216" s="92"/>
      <c r="U216" s="92"/>
      <c r="V216" s="92"/>
      <c r="W216" s="92"/>
      <c r="X216" s="92"/>
      <c r="Y216" s="92"/>
      <c r="Z216" s="92"/>
      <c r="AA216" s="92"/>
      <c r="AB216" s="92"/>
      <c r="AC216" s="92"/>
      <c r="AD216" s="92"/>
      <c r="AE216" s="92"/>
      <c r="AF216" s="92"/>
      <c r="AG216" s="92"/>
      <c r="AH216" s="92"/>
      <c r="AI216" s="92"/>
      <c r="AJ216" s="92"/>
      <c r="AK216" s="92"/>
      <c r="AL216" s="92"/>
      <c r="AM216" s="92"/>
      <c r="AN216" s="92"/>
      <c r="AO216" s="92"/>
      <c r="AP216" s="92"/>
      <c r="AQ216" s="96"/>
      <c r="AR216" s="97" t="str">
        <f t="shared" si="39"/>
        <v/>
      </c>
      <c r="AS216" s="97" t="str">
        <f>IF($A216="","",IF($AP216&lt;&gt;"",$AP216,IFERROR(INDEX('Cat Zone by ZIP'!$D$6:$D$856,MATCH($AR216,'Cat Zone by ZIP'!$B$6:$B$856,0)),IFERROR(INDEX('Cat Zone by ZIP'!$C$860:$C$910,MATCH($K216,'Cat Zone by ZIP'!$B$860:$B$910,0)),"NOT FOUND"))))</f>
        <v/>
      </c>
      <c r="AT216" s="97" t="str">
        <f>IF($A216="","",IF($AP216&lt;&gt;"","Override",IF(ISNUMBER(MATCH($AR216,'Cat Zone by ZIP'!$B$6:$B$856,0)),"ZIP-3","State default")))</f>
        <v/>
      </c>
      <c r="AU216" s="98" t="str">
        <f>IF($A216="","",IFERROR(INDEX('Natural Catastrophe'!$D$6:$D$17,MATCH($AS216,'Natural Catastrophe'!$B$6:$B$17,0)),"?"))</f>
        <v/>
      </c>
      <c r="AV216" s="98" t="str">
        <f>IF($A216="","",IFERROR(INDEX('Natural Catastrophe'!$C$21:$C$26,MATCH($AA216,'Natural Catastrophe'!$B$21:$B$26,0)),"?"))</f>
        <v/>
      </c>
      <c r="AW216" s="97" t="str">
        <f>IF($A216="","",IFERROR(INDEX('Base Rates'!$C$4:$I$4,MATCH(MAX($J216,'Technical Premium'!$C$18),'Base Rates'!$C$3:$I$3,1)),"?"))</f>
        <v/>
      </c>
      <c r="AX216" s="99" t="str">
        <f>IF($A216="","",IFERROR(INDEX('Base Rates'!$C$5:$I$16,MATCH($I216,'Base Rates'!$B$5:$B$16,0),MATCH(MAX($J216,'Technical Premium'!$C$18),'Base Rates'!$C$3:$I$3,1)),"?"))</f>
        <v/>
      </c>
      <c r="AY216" s="100" t="str">
        <f t="shared" si="40"/>
        <v/>
      </c>
      <c r="AZ216" s="97" t="str">
        <f>IF($A216="","",IFERROR(INDEX('Make Factors'!$G$5:$G$69,MATCH($F216,'Make Factors'!$B$5:$B$69,0)),"?"))</f>
        <v/>
      </c>
      <c r="BA216" s="97" t="str">
        <f>IF($A216="","",IFERROR(INDEX('Driver Factors'!$C$6:$C$15,MATCH($R216,'Driver Factors'!$B$6:$B$15,0)),"?"))</f>
        <v/>
      </c>
      <c r="BB216" s="97" t="str">
        <f>IF($A216="","",IFERROR(INDEX('Driver Factors'!$C$19:$C$24,MATCH($S216,'Driver Factors'!$B$19:$B$24,0)),"?"))</f>
        <v/>
      </c>
      <c r="BC216" s="97" t="str">
        <f>IF($A216="","",IFERROR(INDEX('Driver Factors'!$C$28:$C$36,MATCH($T216,'Driver Factors'!$B$28:$B$36,0)),"?"))</f>
        <v/>
      </c>
      <c r="BD216" s="97" t="str">
        <f>IF($A216="","",IFERROR(INDEX('Claims History'!$C$6:$C$15,MATCH($U216,'Claims History'!$B$6:$B$15,0)),"?"))</f>
        <v/>
      </c>
      <c r="BE216" s="97" t="str">
        <f>IF($A216="","",IFERROR(INDEX('Territory Factors'!$E$6:$E$56,MATCH($K216,'Territory Factors'!$B$6:$B$56,0)),"?"))</f>
        <v/>
      </c>
      <c r="BF216" s="97" t="str">
        <f>IF($A216="","",IFERROR(INDEX('City Accident Ratings'!$G$6:$G$54,MATCH($Z216,'City Accident Ratings'!$B$6:$B$54,0)),"?"))</f>
        <v/>
      </c>
      <c r="BG216" s="97" t="str">
        <f>IF($A216="","",IFERROR(INDEX('Usage and Coverage'!$D$6:$D$20,MATCH($N216,'Usage and Coverage'!$C$6:$C$20,0)),"?"))</f>
        <v/>
      </c>
      <c r="BH216" s="97" t="str">
        <f>IF($A216="","",IFERROR(INDEX('Usage and Coverage'!$C$24:$C$30,MATCH($O216,'Usage and Coverage'!$B$24:$B$30,0)),"?"))</f>
        <v/>
      </c>
      <c r="BI216" s="97" t="str">
        <f>IF($A216="","",IFERROR(INDEX('Usage and Coverage'!$C$34:$C$40,MATCH($P216,'Usage and Coverage'!$B$34:$B$40,0)),"?"))</f>
        <v/>
      </c>
      <c r="BJ216" s="97" t="str">
        <f>IF($A216="","",IFERROR(INDEX('Usage and Coverage'!$C$44:$C$49,MATCH($Q216,'Usage and Coverage'!$B$44:$B$49,0)),"?"))</f>
        <v/>
      </c>
      <c r="BK216" s="97" t="str">
        <f>IF($A216="","",IFERROR(INDEX(Deductibles!$C$6:$I$15,MATCH($W216,Deductibles!$B$6:$B$15,0),MATCH(MAX($J216,'Technical Premium'!$C$18),'Base Rates'!$C$3:$I$3,1)),"?"))</f>
        <v/>
      </c>
      <c r="BL216" s="97" t="str">
        <f>IF($A216="","",IFERROR(INDEX('Usage and Coverage'!$C$63:$C$66,MATCH($X216,'Usage and Coverage'!$B$63:$B$66,0)),"?"))</f>
        <v/>
      </c>
      <c r="BM216" s="97" t="str">
        <f>IF($A216="","",IFERROR(INDEX('Usage and Coverage'!$C$70:$C$75,MATCH($V216,'Usage and Coverage'!$B$70:$B$75,0)),"?"))</f>
        <v/>
      </c>
      <c r="BN216" s="97" t="str">
        <f>IF($A216="","",IF($AB216="",1,IFERROR(INDEX(Deductibles!$C$48:$C$51,MATCH($AB216,Deductibles!$B$48:$B$51,0)),"?")))</f>
        <v/>
      </c>
      <c r="BO216" s="97" t="str">
        <f>IF($A216="","",IF($AC216="",1,IFERROR(INDEX(Deductibles!$C$55:$C$57,MATCH($AC216,Deductibles!$B$55:$B$57,0)),"?")))</f>
        <v/>
      </c>
      <c r="BP216" s="97" t="str">
        <f>IF($A216="","",IF($AD216="",1,IFERROR(INDEX(Deductibles!$C$61:$C$63,MATCH($AD216,Deductibles!$B$61:$B$63,0)),"?")))</f>
        <v/>
      </c>
      <c r="BQ216" s="97" t="str">
        <f>IF($A216="","",IF($AE216="",1,IFERROR(INDEX(Deductibles!$C$67:$C$69,MATCH($AE216,Deductibles!$B$67:$B$69,0)),"?")))</f>
        <v/>
      </c>
      <c r="BR216" s="97" t="str">
        <f>IF($A216="","",IF($AF216="",1,IFERROR(INDEX(Deductibles!$C$73:$C$74,MATCH($AF216,Deductibles!$B$73:$B$74,0)),"?")))</f>
        <v/>
      </c>
      <c r="BS216" s="97" t="str">
        <f>IF($A216="","",IF($AG216="",1,IFERROR(INDEX('Sublimits and Parts'!$C$49:$C$52,MATCH($AG216,'Sublimits and Parts'!$B$49:$B$52,0)),"?")))</f>
        <v/>
      </c>
      <c r="BT216" s="97" t="str">
        <f>IF($A216="","",IF($AH216="",1,IFERROR(INDEX('Sublimits and Parts'!$C$56:$C$60,MATCH($AH216,'Sublimits and Parts'!$B$56:$B$60,0)),"?")))</f>
        <v/>
      </c>
      <c r="BU216" s="97" t="str">
        <f>IF($A216="","",IF($AI216="",1,IFERROR(INDEX('Sublimits and Parts'!$C$64:$C$67,MATCH($AI216,'Sublimits and Parts'!$B$64:$B$67,0)),"?")))</f>
        <v/>
      </c>
      <c r="BV216" s="97" t="str">
        <f>IF($A216="","",IF($AJ216="",1,IFERROR(INDEX('Sublimits and Parts'!$C$71:$C$74,MATCH($AJ216,'Sublimits and Parts'!$B$71:$B$74,0)),"?")))</f>
        <v/>
      </c>
      <c r="BW216" s="97" t="str">
        <f>IF($A216="","",IF($AK216="",1,IFERROR(INDEX('Sublimits and Parts'!$C$78:$C$80,MATCH($AK216,'Sublimits and Parts'!$B$78:$B$80,0)),"?")))</f>
        <v/>
      </c>
      <c r="BX216" s="97" t="str">
        <f>IF($A216="","",IF($AL216="",1,IFERROR(INDEX('Sublimits and Parts'!$C$84:$C$87,MATCH($AL216,'Sublimits and Parts'!$B$84:$B$87,0)),"?")))</f>
        <v/>
      </c>
      <c r="BY216" s="97" t="str">
        <f>IF($A216="","",IF($AM216="",1,IFERROR(INDEX('Sublimits and Parts'!$C$91:$C$94,MATCH($AM216,'Sublimits and Parts'!$B$91:$B$94,0)),"?")))</f>
        <v/>
      </c>
      <c r="BZ216" s="97" t="str">
        <f>IF($A216="","",IF($AN216="",1,IFERROR(INDEX('Sublimits and Parts'!$C$98:$C$101,MATCH($AN216,'Sublimits and Parts'!$B$98:$B$101,0)),"?")))</f>
        <v/>
      </c>
      <c r="CA216" s="97" t="str">
        <f>IF($A216="","",IF($AO216="",1,IFERROR(INDEX('Sublimits and Parts'!$C$105:$C$109,MATCH($AO216,'Sublimits and Parts'!$B$105:$B$109,0)),"?")))</f>
        <v/>
      </c>
      <c r="CB216" s="98" t="str">
        <f t="shared" si="41"/>
        <v/>
      </c>
      <c r="CC216" s="98" t="str">
        <f t="shared" si="42"/>
        <v/>
      </c>
      <c r="CD216" s="101" t="str">
        <f>IF($A216="","",IF(OR($CB216="?",$CC216="?"),"?",MIN($CB216*$CC216,'Technical Premium'!$C$17)))</f>
        <v/>
      </c>
      <c r="CE216" s="100" t="str">
        <f t="shared" si="43"/>
        <v/>
      </c>
      <c r="CF216" s="100" t="str">
        <f>IF($A216="","",IFERROR(INDEX('Territory Factors'!$F$6:$F$56,MATCH($K216,'Territory Factors'!$B$6:$B$56,0)),"?"))</f>
        <v/>
      </c>
      <c r="CG216" s="98" t="str">
        <f>IF($A216="","",IFERROR(INDEX('Usage and Coverage'!$C$79:$C$84,MATCH($Y216,'Usage and Coverage'!$B$79:$B$84,0)),"?"))</f>
        <v/>
      </c>
      <c r="CH216" s="100" t="str">
        <f>IFERROR(IF(ISNUMBER($CD216),$CF216*$CG216*MIN($BG216*$BA216*$BC216*$BD216*$BH216*$BF216,'Technical Premium'!$C$17),""),"")</f>
        <v/>
      </c>
      <c r="CI216" s="100" t="str">
        <f t="shared" si="44"/>
        <v/>
      </c>
      <c r="CJ216" s="100" t="str">
        <f>IFERROR($CI216*(1+'Technical Premium'!$C$5)*(1+'Technical Premium'!$C$6),"")</f>
        <v/>
      </c>
      <c r="CK216" s="100" t="str">
        <f>IFERROR($CE216*INDEX('Territory Factors'!$G$6:$G$56,MATCH($K216,'Territory Factors'!$B$6:$B$56,0))*$AU216*$AV216,"")</f>
        <v/>
      </c>
      <c r="CL216" s="100" t="str">
        <f>IFERROR(($CJ216+$CK216)*(1+'Technical Premium'!$C$7),"")</f>
        <v/>
      </c>
      <c r="CM216" s="102" t="str">
        <f>IFERROR($CL216/'Technical Premium'!$C$13,"")</f>
        <v/>
      </c>
      <c r="CN216" s="103" t="str">
        <f t="shared" si="45"/>
        <v/>
      </c>
      <c r="CO216" s="102" t="str">
        <f t="shared" si="46"/>
        <v/>
      </c>
      <c r="CP216" s="103" t="str">
        <f t="shared" si="47"/>
        <v/>
      </c>
      <c r="CQ216" s="104" t="str">
        <f t="shared" si="48"/>
        <v/>
      </c>
      <c r="CR216" s="100" t="str">
        <f>IF(ISNUMBER($CM216),'Technical Premium'!$C$14+IF($J216&gt;=1000000,'Technical Premium'!$C$15,0),"")</f>
        <v/>
      </c>
      <c r="CS216" s="100" t="str">
        <f>IFERROR(($CO216+$CR216)*(INDEX('Territory Factors'!$K$6:$K$56,MATCH($K216,'Territory Factors'!$B$6:$B$56,0))+'Commission Structure'!$C$21),"")</f>
        <v/>
      </c>
      <c r="CT216" s="102" t="str">
        <f t="shared" si="49"/>
        <v/>
      </c>
      <c r="CU216" s="100" t="str">
        <f>IFERROR($CO216*('Commission Structure'!$C$6+'Commission Structure'!$C$7),"")</f>
        <v/>
      </c>
      <c r="CV216" s="100" t="str">
        <f>IFERROR($CO216*'Commission Structure'!$C$5-$CU216,"")</f>
        <v/>
      </c>
      <c r="CW216" s="100" t="str">
        <f>IFERROR($CO216*(1-'Commission Structure'!$C$5),"")</f>
        <v/>
      </c>
      <c r="CX216" s="105" t="str">
        <f>IF($A216="","",IF(OR($CB216="?",$CC216="?",NOT(ISNUMBER($AU216))),"CHECK INPUTS",IF(OR($J216&lt;'Technical Premium'!$C$18,LEFT(IFERROR(INDEX('Driver Factors'!$D$6:$D$15,MATCH($R216,'Driver Factors'!$B$6:$B$15,0)),""),7)="DECLINE",LEFT(IFERROR(INDEX('Driver Factors'!$D$28:$D$36,MATCH($T216,'Driver Factors'!$B$28:$B$36,0)),""),7)="DECLINE",LEFT(IFERROR(INDEX('Claims History'!$D$6:$D$15,MATCH($U216,'Claims History'!$B$6:$B$15,0)),""),7)="DECLINE",LEFT(IFERROR(INDEX('Usage and Coverage'!$E$6:$E$20,MATCH($N216,'Usage and Coverage'!$C$6:$C$20,0)),""),7)="DECLINE"),"DECLINE",IF(OR($CD216&gt;2.5,$CD216&gt;='Technical Premium'!$C$17,$J216&gt;='Technical Premium'!$C$16,N($AQ216)&lt;'Technical Premium'!$C$19,N($AQ216)&gt;'Technical Premium'!$C$20,LEFT(IFERROR(INDEX('Driver Factors'!$D$6:$D$15,MATCH($R216,'Driver Factors'!$B$6:$B$15,0)),""),5)="Refer",LEFT(IFERROR(INDEX('Driver Factors'!$D$28:$D$36,MATCH($T216,'Driver Factors'!$B$28:$B$36,0)),""),5)="Refer",LEFT(IFERROR(INDEX('Claims History'!$D$6:$D$15,MATCH($U216,'Claims History'!$B$6:$B$15,0)),""),5)="Refer",LEFT(IFERROR(INDEX('Usage and Coverage'!$E$6:$E$20,MATCH($N216,'Usage and Coverage'!$C$6:$C$20,0)),""),5)="Refer"),"REFER","AUTO-BIND"))))</f>
        <v/>
      </c>
      <c r="CY216" s="106" t="str">
        <f t="shared" si="50"/>
        <v/>
      </c>
      <c r="CZ216" s="97" t="str">
        <f>IF($CY216="","",IF($CY216&lt;'Technical Premium'!$C$19,"BEYOND AUTHORITY",IF($CY216&gt;0.005,"Above technical",IF($CY216&lt;-0.005,"BELOW technical","At technical"))))</f>
        <v/>
      </c>
      <c r="DA216" s="97" t="str">
        <f>IF($A216="","",IF($CX216="AUTO-BIND","",TRIM(IF($J216&lt;'Technical Premium'!$C$18,"Below programme minimum agreed value. ","")&amp;IF(N($AQ216)&lt;'Technical Premium'!$C$19,"DISCOUNT AUTHORITY BREACH. ","")&amp;IF(N($AQ216)&gt;'Technical Premium'!$C$20,"Load authority breach. ","")&amp;IF($J216&gt;='Technical Premium'!$C$16,"Agreed value at or above auto-bind limit. ","")&amp;IF(AND(ISNUMBER($CD216),$CD216&gt;='Technical Premium'!$C$17),"Composite factor at cap. ","")&amp;IF(AND(ISNUMBER($CD216),$CD216&gt;2.5),"Composite factor above 2.50. ","")&amp;IF(LEFT(IFERROR(INDEX('Driver Factors'!$D$6:$D$15,MATCH($R216,'Driver Factors'!$B$6:$B$15,0)),""),7)="DECLINE","DECLINE - driver age. ",IF(LEFT(IFERROR(INDEX('Driver Factors'!$D$6:$D$15,MATCH($R216,'Driver Factors'!$B$6:$B$15,0)),""),5)="Refer","Driver age band. ",""))&amp;IF(LEFT(IFERROR(INDEX('Driver Factors'!$D$28:$D$36,MATCH($T216,'Driver Factors'!$B$28:$B$36,0)),""),7)="DECLINE","DECLINE - MVR. ",IF(LEFT(IFERROR(INDEX('Driver Factors'!$D$28:$D$36,MATCH($T216,'Driver Factors'!$B$28:$B$36,0)),""),5)="Refer","MVR record. ",""))&amp;IF(LEFT(IFERROR(INDEX('Claims History'!$D$6:$D$15,MATCH($U216,'Claims History'!$B$6:$B$15,0)),""),7)="DECLINE","DECLINE - claims. ",IF(LEFT(IFERROR(INDEX('Claims History'!$D$6:$D$15,MATCH($U216,'Claims History'!$B$6:$B$15,0)),""),5)="Refer","Claims history. ",""))&amp;IF(LEFT(IFERROR(INDEX('Usage and Coverage'!$E$6:$E$20,MATCH($N216,'Usage and Coverage'!$C$6:$C$20,0)),""),7)="DECLINE","DECLINE - usage class. ",IF(LEFT(IFERROR(INDEX('Usage and Coverage'!$E$6:$E$20,MATCH($N216,'Usage and Coverage'!$C$6:$C$20,0)),""),5)="Refer","Usage class. ",""))&amp;IF($CX216="CHECK INPUTS","Incomplete inputs. ",""))))</f>
        <v/>
      </c>
      <c r="DB216" s="92"/>
      <c r="DC216" s="92"/>
      <c r="DD216" s="93"/>
      <c r="DE216" s="92"/>
      <c r="DF216" s="92"/>
      <c r="DG216" s="97" t="str">
        <f t="shared" si="51"/>
        <v/>
      </c>
      <c r="DH216" s="97" t="str">
        <f>IF($A216="","",IF(OR($CX216="REFER",$CX216="DECLINE"),COUNTIF($CX$5:$CX216,"REFER")+COUNTIF($CX$5:$CX216,"DECLINE"),""))</f>
        <v/>
      </c>
      <c r="DI216" s="92"/>
    </row>
    <row r="217" spans="1:113" x14ac:dyDescent="0.25">
      <c r="A217" s="92"/>
      <c r="B217" s="92"/>
      <c r="C217" s="93"/>
      <c r="D217" s="93"/>
      <c r="E217" s="94"/>
      <c r="F217" s="92"/>
      <c r="G217" s="92"/>
      <c r="H217" s="92"/>
      <c r="I217" s="92"/>
      <c r="J217" s="95"/>
      <c r="K217" s="92"/>
      <c r="L217" s="92"/>
      <c r="M217" s="92"/>
      <c r="N217" s="92"/>
      <c r="O217" s="92"/>
      <c r="P217" s="92"/>
      <c r="Q217" s="92"/>
      <c r="R217" s="92"/>
      <c r="S217" s="92"/>
      <c r="T217" s="92"/>
      <c r="U217" s="92"/>
      <c r="V217" s="92"/>
      <c r="W217" s="92"/>
      <c r="X217" s="92"/>
      <c r="Y217" s="92"/>
      <c r="Z217" s="92"/>
      <c r="AA217" s="92"/>
      <c r="AB217" s="92"/>
      <c r="AC217" s="92"/>
      <c r="AD217" s="92"/>
      <c r="AE217" s="92"/>
      <c r="AF217" s="92"/>
      <c r="AG217" s="92"/>
      <c r="AH217" s="92"/>
      <c r="AI217" s="92"/>
      <c r="AJ217" s="92"/>
      <c r="AK217" s="92"/>
      <c r="AL217" s="92"/>
      <c r="AM217" s="92"/>
      <c r="AN217" s="92"/>
      <c r="AO217" s="92"/>
      <c r="AP217" s="92"/>
      <c r="AQ217" s="96"/>
      <c r="AR217" s="97" t="str">
        <f t="shared" si="39"/>
        <v/>
      </c>
      <c r="AS217" s="97" t="str">
        <f>IF($A217="","",IF($AP217&lt;&gt;"",$AP217,IFERROR(INDEX('Cat Zone by ZIP'!$D$6:$D$856,MATCH($AR217,'Cat Zone by ZIP'!$B$6:$B$856,0)),IFERROR(INDEX('Cat Zone by ZIP'!$C$860:$C$910,MATCH($K217,'Cat Zone by ZIP'!$B$860:$B$910,0)),"NOT FOUND"))))</f>
        <v/>
      </c>
      <c r="AT217" s="97" t="str">
        <f>IF($A217="","",IF($AP217&lt;&gt;"","Override",IF(ISNUMBER(MATCH($AR217,'Cat Zone by ZIP'!$B$6:$B$856,0)),"ZIP-3","State default")))</f>
        <v/>
      </c>
      <c r="AU217" s="98" t="str">
        <f>IF($A217="","",IFERROR(INDEX('Natural Catastrophe'!$D$6:$D$17,MATCH($AS217,'Natural Catastrophe'!$B$6:$B$17,0)),"?"))</f>
        <v/>
      </c>
      <c r="AV217" s="98" t="str">
        <f>IF($A217="","",IFERROR(INDEX('Natural Catastrophe'!$C$21:$C$26,MATCH($AA217,'Natural Catastrophe'!$B$21:$B$26,0)),"?"))</f>
        <v/>
      </c>
      <c r="AW217" s="97" t="str">
        <f>IF($A217="","",IFERROR(INDEX('Base Rates'!$C$4:$I$4,MATCH(MAX($J217,'Technical Premium'!$C$18),'Base Rates'!$C$3:$I$3,1)),"?"))</f>
        <v/>
      </c>
      <c r="AX217" s="99" t="str">
        <f>IF($A217="","",IFERROR(INDEX('Base Rates'!$C$5:$I$16,MATCH($I217,'Base Rates'!$B$5:$B$16,0),MATCH(MAX($J217,'Technical Premium'!$C$18),'Base Rates'!$C$3:$I$3,1)),"?"))</f>
        <v/>
      </c>
      <c r="AY217" s="100" t="str">
        <f t="shared" si="40"/>
        <v/>
      </c>
      <c r="AZ217" s="97" t="str">
        <f>IF($A217="","",IFERROR(INDEX('Make Factors'!$G$5:$G$69,MATCH($F217,'Make Factors'!$B$5:$B$69,0)),"?"))</f>
        <v/>
      </c>
      <c r="BA217" s="97" t="str">
        <f>IF($A217="","",IFERROR(INDEX('Driver Factors'!$C$6:$C$15,MATCH($R217,'Driver Factors'!$B$6:$B$15,0)),"?"))</f>
        <v/>
      </c>
      <c r="BB217" s="97" t="str">
        <f>IF($A217="","",IFERROR(INDEX('Driver Factors'!$C$19:$C$24,MATCH($S217,'Driver Factors'!$B$19:$B$24,0)),"?"))</f>
        <v/>
      </c>
      <c r="BC217" s="97" t="str">
        <f>IF($A217="","",IFERROR(INDEX('Driver Factors'!$C$28:$C$36,MATCH($T217,'Driver Factors'!$B$28:$B$36,0)),"?"))</f>
        <v/>
      </c>
      <c r="BD217" s="97" t="str">
        <f>IF($A217="","",IFERROR(INDEX('Claims History'!$C$6:$C$15,MATCH($U217,'Claims History'!$B$6:$B$15,0)),"?"))</f>
        <v/>
      </c>
      <c r="BE217" s="97" t="str">
        <f>IF($A217="","",IFERROR(INDEX('Territory Factors'!$E$6:$E$56,MATCH($K217,'Territory Factors'!$B$6:$B$56,0)),"?"))</f>
        <v/>
      </c>
      <c r="BF217" s="97" t="str">
        <f>IF($A217="","",IFERROR(INDEX('City Accident Ratings'!$G$6:$G$54,MATCH($Z217,'City Accident Ratings'!$B$6:$B$54,0)),"?"))</f>
        <v/>
      </c>
      <c r="BG217" s="97" t="str">
        <f>IF($A217="","",IFERROR(INDEX('Usage and Coverage'!$D$6:$D$20,MATCH($N217,'Usage and Coverage'!$C$6:$C$20,0)),"?"))</f>
        <v/>
      </c>
      <c r="BH217" s="97" t="str">
        <f>IF($A217="","",IFERROR(INDEX('Usage and Coverage'!$C$24:$C$30,MATCH($O217,'Usage and Coverage'!$B$24:$B$30,0)),"?"))</f>
        <v/>
      </c>
      <c r="BI217" s="97" t="str">
        <f>IF($A217="","",IFERROR(INDEX('Usage and Coverage'!$C$34:$C$40,MATCH($P217,'Usage and Coverage'!$B$34:$B$40,0)),"?"))</f>
        <v/>
      </c>
      <c r="BJ217" s="97" t="str">
        <f>IF($A217="","",IFERROR(INDEX('Usage and Coverage'!$C$44:$C$49,MATCH($Q217,'Usage and Coverage'!$B$44:$B$49,0)),"?"))</f>
        <v/>
      </c>
      <c r="BK217" s="97" t="str">
        <f>IF($A217="","",IFERROR(INDEX(Deductibles!$C$6:$I$15,MATCH($W217,Deductibles!$B$6:$B$15,0),MATCH(MAX($J217,'Technical Premium'!$C$18),'Base Rates'!$C$3:$I$3,1)),"?"))</f>
        <v/>
      </c>
      <c r="BL217" s="97" t="str">
        <f>IF($A217="","",IFERROR(INDEX('Usage and Coverage'!$C$63:$C$66,MATCH($X217,'Usage and Coverage'!$B$63:$B$66,0)),"?"))</f>
        <v/>
      </c>
      <c r="BM217" s="97" t="str">
        <f>IF($A217="","",IFERROR(INDEX('Usage and Coverage'!$C$70:$C$75,MATCH($V217,'Usage and Coverage'!$B$70:$B$75,0)),"?"))</f>
        <v/>
      </c>
      <c r="BN217" s="97" t="str">
        <f>IF($A217="","",IF($AB217="",1,IFERROR(INDEX(Deductibles!$C$48:$C$51,MATCH($AB217,Deductibles!$B$48:$B$51,0)),"?")))</f>
        <v/>
      </c>
      <c r="BO217" s="97" t="str">
        <f>IF($A217="","",IF($AC217="",1,IFERROR(INDEX(Deductibles!$C$55:$C$57,MATCH($AC217,Deductibles!$B$55:$B$57,0)),"?")))</f>
        <v/>
      </c>
      <c r="BP217" s="97" t="str">
        <f>IF($A217="","",IF($AD217="",1,IFERROR(INDEX(Deductibles!$C$61:$C$63,MATCH($AD217,Deductibles!$B$61:$B$63,0)),"?")))</f>
        <v/>
      </c>
      <c r="BQ217" s="97" t="str">
        <f>IF($A217="","",IF($AE217="",1,IFERROR(INDEX(Deductibles!$C$67:$C$69,MATCH($AE217,Deductibles!$B$67:$B$69,0)),"?")))</f>
        <v/>
      </c>
      <c r="BR217" s="97" t="str">
        <f>IF($A217="","",IF($AF217="",1,IFERROR(INDEX(Deductibles!$C$73:$C$74,MATCH($AF217,Deductibles!$B$73:$B$74,0)),"?")))</f>
        <v/>
      </c>
      <c r="BS217" s="97" t="str">
        <f>IF($A217="","",IF($AG217="",1,IFERROR(INDEX('Sublimits and Parts'!$C$49:$C$52,MATCH($AG217,'Sublimits and Parts'!$B$49:$B$52,0)),"?")))</f>
        <v/>
      </c>
      <c r="BT217" s="97" t="str">
        <f>IF($A217="","",IF($AH217="",1,IFERROR(INDEX('Sublimits and Parts'!$C$56:$C$60,MATCH($AH217,'Sublimits and Parts'!$B$56:$B$60,0)),"?")))</f>
        <v/>
      </c>
      <c r="BU217" s="97" t="str">
        <f>IF($A217="","",IF($AI217="",1,IFERROR(INDEX('Sublimits and Parts'!$C$64:$C$67,MATCH($AI217,'Sublimits and Parts'!$B$64:$B$67,0)),"?")))</f>
        <v/>
      </c>
      <c r="BV217" s="97" t="str">
        <f>IF($A217="","",IF($AJ217="",1,IFERROR(INDEX('Sublimits and Parts'!$C$71:$C$74,MATCH($AJ217,'Sublimits and Parts'!$B$71:$B$74,0)),"?")))</f>
        <v/>
      </c>
      <c r="BW217" s="97" t="str">
        <f>IF($A217="","",IF($AK217="",1,IFERROR(INDEX('Sublimits and Parts'!$C$78:$C$80,MATCH($AK217,'Sublimits and Parts'!$B$78:$B$80,0)),"?")))</f>
        <v/>
      </c>
      <c r="BX217" s="97" t="str">
        <f>IF($A217="","",IF($AL217="",1,IFERROR(INDEX('Sublimits and Parts'!$C$84:$C$87,MATCH($AL217,'Sublimits and Parts'!$B$84:$B$87,0)),"?")))</f>
        <v/>
      </c>
      <c r="BY217" s="97" t="str">
        <f>IF($A217="","",IF($AM217="",1,IFERROR(INDEX('Sublimits and Parts'!$C$91:$C$94,MATCH($AM217,'Sublimits and Parts'!$B$91:$B$94,0)),"?")))</f>
        <v/>
      </c>
      <c r="BZ217" s="97" t="str">
        <f>IF($A217="","",IF($AN217="",1,IFERROR(INDEX('Sublimits and Parts'!$C$98:$C$101,MATCH($AN217,'Sublimits and Parts'!$B$98:$B$101,0)),"?")))</f>
        <v/>
      </c>
      <c r="CA217" s="97" t="str">
        <f>IF($A217="","",IF($AO217="",1,IFERROR(INDEX('Sublimits and Parts'!$C$105:$C$109,MATCH($AO217,'Sublimits and Parts'!$B$105:$B$109,0)),"?")))</f>
        <v/>
      </c>
      <c r="CB217" s="98" t="str">
        <f t="shared" si="41"/>
        <v/>
      </c>
      <c r="CC217" s="98" t="str">
        <f t="shared" si="42"/>
        <v/>
      </c>
      <c r="CD217" s="101" t="str">
        <f>IF($A217="","",IF(OR($CB217="?",$CC217="?"),"?",MIN($CB217*$CC217,'Technical Premium'!$C$17)))</f>
        <v/>
      </c>
      <c r="CE217" s="100" t="str">
        <f t="shared" si="43"/>
        <v/>
      </c>
      <c r="CF217" s="100" t="str">
        <f>IF($A217="","",IFERROR(INDEX('Territory Factors'!$F$6:$F$56,MATCH($K217,'Territory Factors'!$B$6:$B$56,0)),"?"))</f>
        <v/>
      </c>
      <c r="CG217" s="98" t="str">
        <f>IF($A217="","",IFERROR(INDEX('Usage and Coverage'!$C$79:$C$84,MATCH($Y217,'Usage and Coverage'!$B$79:$B$84,0)),"?"))</f>
        <v/>
      </c>
      <c r="CH217" s="100" t="str">
        <f>IFERROR(IF(ISNUMBER($CD217),$CF217*$CG217*MIN($BG217*$BA217*$BC217*$BD217*$BH217*$BF217,'Technical Premium'!$C$17),""),"")</f>
        <v/>
      </c>
      <c r="CI217" s="100" t="str">
        <f t="shared" si="44"/>
        <v/>
      </c>
      <c r="CJ217" s="100" t="str">
        <f>IFERROR($CI217*(1+'Technical Premium'!$C$5)*(1+'Technical Premium'!$C$6),"")</f>
        <v/>
      </c>
      <c r="CK217" s="100" t="str">
        <f>IFERROR($CE217*INDEX('Territory Factors'!$G$6:$G$56,MATCH($K217,'Territory Factors'!$B$6:$B$56,0))*$AU217*$AV217,"")</f>
        <v/>
      </c>
      <c r="CL217" s="100" t="str">
        <f>IFERROR(($CJ217+$CK217)*(1+'Technical Premium'!$C$7),"")</f>
        <v/>
      </c>
      <c r="CM217" s="102" t="str">
        <f>IFERROR($CL217/'Technical Premium'!$C$13,"")</f>
        <v/>
      </c>
      <c r="CN217" s="103" t="str">
        <f t="shared" si="45"/>
        <v/>
      </c>
      <c r="CO217" s="102" t="str">
        <f t="shared" si="46"/>
        <v/>
      </c>
      <c r="CP217" s="103" t="str">
        <f t="shared" si="47"/>
        <v/>
      </c>
      <c r="CQ217" s="104" t="str">
        <f t="shared" si="48"/>
        <v/>
      </c>
      <c r="CR217" s="100" t="str">
        <f>IF(ISNUMBER($CM217),'Technical Premium'!$C$14+IF($J217&gt;=1000000,'Technical Premium'!$C$15,0),"")</f>
        <v/>
      </c>
      <c r="CS217" s="100" t="str">
        <f>IFERROR(($CO217+$CR217)*(INDEX('Territory Factors'!$K$6:$K$56,MATCH($K217,'Territory Factors'!$B$6:$B$56,0))+'Commission Structure'!$C$21),"")</f>
        <v/>
      </c>
      <c r="CT217" s="102" t="str">
        <f t="shared" si="49"/>
        <v/>
      </c>
      <c r="CU217" s="100" t="str">
        <f>IFERROR($CO217*('Commission Structure'!$C$6+'Commission Structure'!$C$7),"")</f>
        <v/>
      </c>
      <c r="CV217" s="100" t="str">
        <f>IFERROR($CO217*'Commission Structure'!$C$5-$CU217,"")</f>
        <v/>
      </c>
      <c r="CW217" s="100" t="str">
        <f>IFERROR($CO217*(1-'Commission Structure'!$C$5),"")</f>
        <v/>
      </c>
      <c r="CX217" s="105" t="str">
        <f>IF($A217="","",IF(OR($CB217="?",$CC217="?",NOT(ISNUMBER($AU217))),"CHECK INPUTS",IF(OR($J217&lt;'Technical Premium'!$C$18,LEFT(IFERROR(INDEX('Driver Factors'!$D$6:$D$15,MATCH($R217,'Driver Factors'!$B$6:$B$15,0)),""),7)="DECLINE",LEFT(IFERROR(INDEX('Driver Factors'!$D$28:$D$36,MATCH($T217,'Driver Factors'!$B$28:$B$36,0)),""),7)="DECLINE",LEFT(IFERROR(INDEX('Claims History'!$D$6:$D$15,MATCH($U217,'Claims History'!$B$6:$B$15,0)),""),7)="DECLINE",LEFT(IFERROR(INDEX('Usage and Coverage'!$E$6:$E$20,MATCH($N217,'Usage and Coverage'!$C$6:$C$20,0)),""),7)="DECLINE"),"DECLINE",IF(OR($CD217&gt;2.5,$CD217&gt;='Technical Premium'!$C$17,$J217&gt;='Technical Premium'!$C$16,N($AQ217)&lt;'Technical Premium'!$C$19,N($AQ217)&gt;'Technical Premium'!$C$20,LEFT(IFERROR(INDEX('Driver Factors'!$D$6:$D$15,MATCH($R217,'Driver Factors'!$B$6:$B$15,0)),""),5)="Refer",LEFT(IFERROR(INDEX('Driver Factors'!$D$28:$D$36,MATCH($T217,'Driver Factors'!$B$28:$B$36,0)),""),5)="Refer",LEFT(IFERROR(INDEX('Claims History'!$D$6:$D$15,MATCH($U217,'Claims History'!$B$6:$B$15,0)),""),5)="Refer",LEFT(IFERROR(INDEX('Usage and Coverage'!$E$6:$E$20,MATCH($N217,'Usage and Coverage'!$C$6:$C$20,0)),""),5)="Refer"),"REFER","AUTO-BIND"))))</f>
        <v/>
      </c>
      <c r="CY217" s="106" t="str">
        <f t="shared" si="50"/>
        <v/>
      </c>
      <c r="CZ217" s="97" t="str">
        <f>IF($CY217="","",IF($CY217&lt;'Technical Premium'!$C$19,"BEYOND AUTHORITY",IF($CY217&gt;0.005,"Above technical",IF($CY217&lt;-0.005,"BELOW technical","At technical"))))</f>
        <v/>
      </c>
      <c r="DA217" s="97" t="str">
        <f>IF($A217="","",IF($CX217="AUTO-BIND","",TRIM(IF($J217&lt;'Technical Premium'!$C$18,"Below programme minimum agreed value. ","")&amp;IF(N($AQ217)&lt;'Technical Premium'!$C$19,"DISCOUNT AUTHORITY BREACH. ","")&amp;IF(N($AQ217)&gt;'Technical Premium'!$C$20,"Load authority breach. ","")&amp;IF($J217&gt;='Technical Premium'!$C$16,"Agreed value at or above auto-bind limit. ","")&amp;IF(AND(ISNUMBER($CD217),$CD217&gt;='Technical Premium'!$C$17),"Composite factor at cap. ","")&amp;IF(AND(ISNUMBER($CD217),$CD217&gt;2.5),"Composite factor above 2.50. ","")&amp;IF(LEFT(IFERROR(INDEX('Driver Factors'!$D$6:$D$15,MATCH($R217,'Driver Factors'!$B$6:$B$15,0)),""),7)="DECLINE","DECLINE - driver age. ",IF(LEFT(IFERROR(INDEX('Driver Factors'!$D$6:$D$15,MATCH($R217,'Driver Factors'!$B$6:$B$15,0)),""),5)="Refer","Driver age band. ",""))&amp;IF(LEFT(IFERROR(INDEX('Driver Factors'!$D$28:$D$36,MATCH($T217,'Driver Factors'!$B$28:$B$36,0)),""),7)="DECLINE","DECLINE - MVR. ",IF(LEFT(IFERROR(INDEX('Driver Factors'!$D$28:$D$36,MATCH($T217,'Driver Factors'!$B$28:$B$36,0)),""),5)="Refer","MVR record. ",""))&amp;IF(LEFT(IFERROR(INDEX('Claims History'!$D$6:$D$15,MATCH($U217,'Claims History'!$B$6:$B$15,0)),""),7)="DECLINE","DECLINE - claims. ",IF(LEFT(IFERROR(INDEX('Claims History'!$D$6:$D$15,MATCH($U217,'Claims History'!$B$6:$B$15,0)),""),5)="Refer","Claims history. ",""))&amp;IF(LEFT(IFERROR(INDEX('Usage and Coverage'!$E$6:$E$20,MATCH($N217,'Usage and Coverage'!$C$6:$C$20,0)),""),7)="DECLINE","DECLINE - usage class. ",IF(LEFT(IFERROR(INDEX('Usage and Coverage'!$E$6:$E$20,MATCH($N217,'Usage and Coverage'!$C$6:$C$20,0)),""),5)="Refer","Usage class. ",""))&amp;IF($CX217="CHECK INPUTS","Incomplete inputs. ",""))))</f>
        <v/>
      </c>
      <c r="DB217" s="92"/>
      <c r="DC217" s="92"/>
      <c r="DD217" s="93"/>
      <c r="DE217" s="92"/>
      <c r="DF217" s="92"/>
      <c r="DG217" s="97" t="str">
        <f t="shared" si="51"/>
        <v/>
      </c>
      <c r="DH217" s="97" t="str">
        <f>IF($A217="","",IF(OR($CX217="REFER",$CX217="DECLINE"),COUNTIF($CX$5:$CX217,"REFER")+COUNTIF($CX$5:$CX217,"DECLINE"),""))</f>
        <v/>
      </c>
      <c r="DI217" s="92"/>
    </row>
    <row r="218" spans="1:113" x14ac:dyDescent="0.25">
      <c r="A218" s="92"/>
      <c r="B218" s="92"/>
      <c r="C218" s="93"/>
      <c r="D218" s="93"/>
      <c r="E218" s="94"/>
      <c r="F218" s="92"/>
      <c r="G218" s="92"/>
      <c r="H218" s="92"/>
      <c r="I218" s="92"/>
      <c r="J218" s="95"/>
      <c r="K218" s="92"/>
      <c r="L218" s="92"/>
      <c r="M218" s="92"/>
      <c r="N218" s="92"/>
      <c r="O218" s="92"/>
      <c r="P218" s="92"/>
      <c r="Q218" s="92"/>
      <c r="R218" s="92"/>
      <c r="S218" s="92"/>
      <c r="T218" s="92"/>
      <c r="U218" s="92"/>
      <c r="V218" s="92"/>
      <c r="W218" s="92"/>
      <c r="X218" s="92"/>
      <c r="Y218" s="92"/>
      <c r="Z218" s="92"/>
      <c r="AA218" s="92"/>
      <c r="AB218" s="92"/>
      <c r="AC218" s="92"/>
      <c r="AD218" s="92"/>
      <c r="AE218" s="92"/>
      <c r="AF218" s="92"/>
      <c r="AG218" s="92"/>
      <c r="AH218" s="92"/>
      <c r="AI218" s="92"/>
      <c r="AJ218" s="92"/>
      <c r="AK218" s="92"/>
      <c r="AL218" s="92"/>
      <c r="AM218" s="92"/>
      <c r="AN218" s="92"/>
      <c r="AO218" s="92"/>
      <c r="AP218" s="92"/>
      <c r="AQ218" s="96"/>
      <c r="AR218" s="97" t="str">
        <f t="shared" si="39"/>
        <v/>
      </c>
      <c r="AS218" s="97" t="str">
        <f>IF($A218="","",IF($AP218&lt;&gt;"",$AP218,IFERROR(INDEX('Cat Zone by ZIP'!$D$6:$D$856,MATCH($AR218,'Cat Zone by ZIP'!$B$6:$B$856,0)),IFERROR(INDEX('Cat Zone by ZIP'!$C$860:$C$910,MATCH($K218,'Cat Zone by ZIP'!$B$860:$B$910,0)),"NOT FOUND"))))</f>
        <v/>
      </c>
      <c r="AT218" s="97" t="str">
        <f>IF($A218="","",IF($AP218&lt;&gt;"","Override",IF(ISNUMBER(MATCH($AR218,'Cat Zone by ZIP'!$B$6:$B$856,0)),"ZIP-3","State default")))</f>
        <v/>
      </c>
      <c r="AU218" s="98" t="str">
        <f>IF($A218="","",IFERROR(INDEX('Natural Catastrophe'!$D$6:$D$17,MATCH($AS218,'Natural Catastrophe'!$B$6:$B$17,0)),"?"))</f>
        <v/>
      </c>
      <c r="AV218" s="98" t="str">
        <f>IF($A218="","",IFERROR(INDEX('Natural Catastrophe'!$C$21:$C$26,MATCH($AA218,'Natural Catastrophe'!$B$21:$B$26,0)),"?"))</f>
        <v/>
      </c>
      <c r="AW218" s="97" t="str">
        <f>IF($A218="","",IFERROR(INDEX('Base Rates'!$C$4:$I$4,MATCH(MAX($J218,'Technical Premium'!$C$18),'Base Rates'!$C$3:$I$3,1)),"?"))</f>
        <v/>
      </c>
      <c r="AX218" s="99" t="str">
        <f>IF($A218="","",IFERROR(INDEX('Base Rates'!$C$5:$I$16,MATCH($I218,'Base Rates'!$B$5:$B$16,0),MATCH(MAX($J218,'Technical Premium'!$C$18),'Base Rates'!$C$3:$I$3,1)),"?"))</f>
        <v/>
      </c>
      <c r="AY218" s="100" t="str">
        <f t="shared" si="40"/>
        <v/>
      </c>
      <c r="AZ218" s="97" t="str">
        <f>IF($A218="","",IFERROR(INDEX('Make Factors'!$G$5:$G$69,MATCH($F218,'Make Factors'!$B$5:$B$69,0)),"?"))</f>
        <v/>
      </c>
      <c r="BA218" s="97" t="str">
        <f>IF($A218="","",IFERROR(INDEX('Driver Factors'!$C$6:$C$15,MATCH($R218,'Driver Factors'!$B$6:$B$15,0)),"?"))</f>
        <v/>
      </c>
      <c r="BB218" s="97" t="str">
        <f>IF($A218="","",IFERROR(INDEX('Driver Factors'!$C$19:$C$24,MATCH($S218,'Driver Factors'!$B$19:$B$24,0)),"?"))</f>
        <v/>
      </c>
      <c r="BC218" s="97" t="str">
        <f>IF($A218="","",IFERROR(INDEX('Driver Factors'!$C$28:$C$36,MATCH($T218,'Driver Factors'!$B$28:$B$36,0)),"?"))</f>
        <v/>
      </c>
      <c r="BD218" s="97" t="str">
        <f>IF($A218="","",IFERROR(INDEX('Claims History'!$C$6:$C$15,MATCH($U218,'Claims History'!$B$6:$B$15,0)),"?"))</f>
        <v/>
      </c>
      <c r="BE218" s="97" t="str">
        <f>IF($A218="","",IFERROR(INDEX('Territory Factors'!$E$6:$E$56,MATCH($K218,'Territory Factors'!$B$6:$B$56,0)),"?"))</f>
        <v/>
      </c>
      <c r="BF218" s="97" t="str">
        <f>IF($A218="","",IFERROR(INDEX('City Accident Ratings'!$G$6:$G$54,MATCH($Z218,'City Accident Ratings'!$B$6:$B$54,0)),"?"))</f>
        <v/>
      </c>
      <c r="BG218" s="97" t="str">
        <f>IF($A218="","",IFERROR(INDEX('Usage and Coverage'!$D$6:$D$20,MATCH($N218,'Usage and Coverage'!$C$6:$C$20,0)),"?"))</f>
        <v/>
      </c>
      <c r="BH218" s="97" t="str">
        <f>IF($A218="","",IFERROR(INDEX('Usage and Coverage'!$C$24:$C$30,MATCH($O218,'Usage and Coverage'!$B$24:$B$30,0)),"?"))</f>
        <v/>
      </c>
      <c r="BI218" s="97" t="str">
        <f>IF($A218="","",IFERROR(INDEX('Usage and Coverage'!$C$34:$C$40,MATCH($P218,'Usage and Coverage'!$B$34:$B$40,0)),"?"))</f>
        <v/>
      </c>
      <c r="BJ218" s="97" t="str">
        <f>IF($A218="","",IFERROR(INDEX('Usage and Coverage'!$C$44:$C$49,MATCH($Q218,'Usage and Coverage'!$B$44:$B$49,0)),"?"))</f>
        <v/>
      </c>
      <c r="BK218" s="97" t="str">
        <f>IF($A218="","",IFERROR(INDEX(Deductibles!$C$6:$I$15,MATCH($W218,Deductibles!$B$6:$B$15,0),MATCH(MAX($J218,'Technical Premium'!$C$18),'Base Rates'!$C$3:$I$3,1)),"?"))</f>
        <v/>
      </c>
      <c r="BL218" s="97" t="str">
        <f>IF($A218="","",IFERROR(INDEX('Usage and Coverage'!$C$63:$C$66,MATCH($X218,'Usage and Coverage'!$B$63:$B$66,0)),"?"))</f>
        <v/>
      </c>
      <c r="BM218" s="97" t="str">
        <f>IF($A218="","",IFERROR(INDEX('Usage and Coverage'!$C$70:$C$75,MATCH($V218,'Usage and Coverage'!$B$70:$B$75,0)),"?"))</f>
        <v/>
      </c>
      <c r="BN218" s="97" t="str">
        <f>IF($A218="","",IF($AB218="",1,IFERROR(INDEX(Deductibles!$C$48:$C$51,MATCH($AB218,Deductibles!$B$48:$B$51,0)),"?")))</f>
        <v/>
      </c>
      <c r="BO218" s="97" t="str">
        <f>IF($A218="","",IF($AC218="",1,IFERROR(INDEX(Deductibles!$C$55:$C$57,MATCH($AC218,Deductibles!$B$55:$B$57,0)),"?")))</f>
        <v/>
      </c>
      <c r="BP218" s="97" t="str">
        <f>IF($A218="","",IF($AD218="",1,IFERROR(INDEX(Deductibles!$C$61:$C$63,MATCH($AD218,Deductibles!$B$61:$B$63,0)),"?")))</f>
        <v/>
      </c>
      <c r="BQ218" s="97" t="str">
        <f>IF($A218="","",IF($AE218="",1,IFERROR(INDEX(Deductibles!$C$67:$C$69,MATCH($AE218,Deductibles!$B$67:$B$69,0)),"?")))</f>
        <v/>
      </c>
      <c r="BR218" s="97" t="str">
        <f>IF($A218="","",IF($AF218="",1,IFERROR(INDEX(Deductibles!$C$73:$C$74,MATCH($AF218,Deductibles!$B$73:$B$74,0)),"?")))</f>
        <v/>
      </c>
      <c r="BS218" s="97" t="str">
        <f>IF($A218="","",IF($AG218="",1,IFERROR(INDEX('Sublimits and Parts'!$C$49:$C$52,MATCH($AG218,'Sublimits and Parts'!$B$49:$B$52,0)),"?")))</f>
        <v/>
      </c>
      <c r="BT218" s="97" t="str">
        <f>IF($A218="","",IF($AH218="",1,IFERROR(INDEX('Sublimits and Parts'!$C$56:$C$60,MATCH($AH218,'Sublimits and Parts'!$B$56:$B$60,0)),"?")))</f>
        <v/>
      </c>
      <c r="BU218" s="97" t="str">
        <f>IF($A218="","",IF($AI218="",1,IFERROR(INDEX('Sublimits and Parts'!$C$64:$C$67,MATCH($AI218,'Sublimits and Parts'!$B$64:$B$67,0)),"?")))</f>
        <v/>
      </c>
      <c r="BV218" s="97" t="str">
        <f>IF($A218="","",IF($AJ218="",1,IFERROR(INDEX('Sublimits and Parts'!$C$71:$C$74,MATCH($AJ218,'Sublimits and Parts'!$B$71:$B$74,0)),"?")))</f>
        <v/>
      </c>
      <c r="BW218" s="97" t="str">
        <f>IF($A218="","",IF($AK218="",1,IFERROR(INDEX('Sublimits and Parts'!$C$78:$C$80,MATCH($AK218,'Sublimits and Parts'!$B$78:$B$80,0)),"?")))</f>
        <v/>
      </c>
      <c r="BX218" s="97" t="str">
        <f>IF($A218="","",IF($AL218="",1,IFERROR(INDEX('Sublimits and Parts'!$C$84:$C$87,MATCH($AL218,'Sublimits and Parts'!$B$84:$B$87,0)),"?")))</f>
        <v/>
      </c>
      <c r="BY218" s="97" t="str">
        <f>IF($A218="","",IF($AM218="",1,IFERROR(INDEX('Sublimits and Parts'!$C$91:$C$94,MATCH($AM218,'Sublimits and Parts'!$B$91:$B$94,0)),"?")))</f>
        <v/>
      </c>
      <c r="BZ218" s="97" t="str">
        <f>IF($A218="","",IF($AN218="",1,IFERROR(INDEX('Sublimits and Parts'!$C$98:$C$101,MATCH($AN218,'Sublimits and Parts'!$B$98:$B$101,0)),"?")))</f>
        <v/>
      </c>
      <c r="CA218" s="97" t="str">
        <f>IF($A218="","",IF($AO218="",1,IFERROR(INDEX('Sublimits and Parts'!$C$105:$C$109,MATCH($AO218,'Sublimits and Parts'!$B$105:$B$109,0)),"?")))</f>
        <v/>
      </c>
      <c r="CB218" s="98" t="str">
        <f t="shared" si="41"/>
        <v/>
      </c>
      <c r="CC218" s="98" t="str">
        <f t="shared" si="42"/>
        <v/>
      </c>
      <c r="CD218" s="101" t="str">
        <f>IF($A218="","",IF(OR($CB218="?",$CC218="?"),"?",MIN($CB218*$CC218,'Technical Premium'!$C$17)))</f>
        <v/>
      </c>
      <c r="CE218" s="100" t="str">
        <f t="shared" si="43"/>
        <v/>
      </c>
      <c r="CF218" s="100" t="str">
        <f>IF($A218="","",IFERROR(INDEX('Territory Factors'!$F$6:$F$56,MATCH($K218,'Territory Factors'!$B$6:$B$56,0)),"?"))</f>
        <v/>
      </c>
      <c r="CG218" s="98" t="str">
        <f>IF($A218="","",IFERROR(INDEX('Usage and Coverage'!$C$79:$C$84,MATCH($Y218,'Usage and Coverage'!$B$79:$B$84,0)),"?"))</f>
        <v/>
      </c>
      <c r="CH218" s="100" t="str">
        <f>IFERROR(IF(ISNUMBER($CD218),$CF218*$CG218*MIN($BG218*$BA218*$BC218*$BD218*$BH218*$BF218,'Technical Premium'!$C$17),""),"")</f>
        <v/>
      </c>
      <c r="CI218" s="100" t="str">
        <f t="shared" si="44"/>
        <v/>
      </c>
      <c r="CJ218" s="100" t="str">
        <f>IFERROR($CI218*(1+'Technical Premium'!$C$5)*(1+'Technical Premium'!$C$6),"")</f>
        <v/>
      </c>
      <c r="CK218" s="100" t="str">
        <f>IFERROR($CE218*INDEX('Territory Factors'!$G$6:$G$56,MATCH($K218,'Territory Factors'!$B$6:$B$56,0))*$AU218*$AV218,"")</f>
        <v/>
      </c>
      <c r="CL218" s="100" t="str">
        <f>IFERROR(($CJ218+$CK218)*(1+'Technical Premium'!$C$7),"")</f>
        <v/>
      </c>
      <c r="CM218" s="102" t="str">
        <f>IFERROR($CL218/'Technical Premium'!$C$13,"")</f>
        <v/>
      </c>
      <c r="CN218" s="103" t="str">
        <f t="shared" si="45"/>
        <v/>
      </c>
      <c r="CO218" s="102" t="str">
        <f t="shared" si="46"/>
        <v/>
      </c>
      <c r="CP218" s="103" t="str">
        <f t="shared" si="47"/>
        <v/>
      </c>
      <c r="CQ218" s="104" t="str">
        <f t="shared" si="48"/>
        <v/>
      </c>
      <c r="CR218" s="100" t="str">
        <f>IF(ISNUMBER($CM218),'Technical Premium'!$C$14+IF($J218&gt;=1000000,'Technical Premium'!$C$15,0),"")</f>
        <v/>
      </c>
      <c r="CS218" s="100" t="str">
        <f>IFERROR(($CO218+$CR218)*(INDEX('Territory Factors'!$K$6:$K$56,MATCH($K218,'Territory Factors'!$B$6:$B$56,0))+'Commission Structure'!$C$21),"")</f>
        <v/>
      </c>
      <c r="CT218" s="102" t="str">
        <f t="shared" si="49"/>
        <v/>
      </c>
      <c r="CU218" s="100" t="str">
        <f>IFERROR($CO218*('Commission Structure'!$C$6+'Commission Structure'!$C$7),"")</f>
        <v/>
      </c>
      <c r="CV218" s="100" t="str">
        <f>IFERROR($CO218*'Commission Structure'!$C$5-$CU218,"")</f>
        <v/>
      </c>
      <c r="CW218" s="100" t="str">
        <f>IFERROR($CO218*(1-'Commission Structure'!$C$5),"")</f>
        <v/>
      </c>
      <c r="CX218" s="105" t="str">
        <f>IF($A218="","",IF(OR($CB218="?",$CC218="?",NOT(ISNUMBER($AU218))),"CHECK INPUTS",IF(OR($J218&lt;'Technical Premium'!$C$18,LEFT(IFERROR(INDEX('Driver Factors'!$D$6:$D$15,MATCH($R218,'Driver Factors'!$B$6:$B$15,0)),""),7)="DECLINE",LEFT(IFERROR(INDEX('Driver Factors'!$D$28:$D$36,MATCH($T218,'Driver Factors'!$B$28:$B$36,0)),""),7)="DECLINE",LEFT(IFERROR(INDEX('Claims History'!$D$6:$D$15,MATCH($U218,'Claims History'!$B$6:$B$15,0)),""),7)="DECLINE",LEFT(IFERROR(INDEX('Usage and Coverage'!$E$6:$E$20,MATCH($N218,'Usage and Coverage'!$C$6:$C$20,0)),""),7)="DECLINE"),"DECLINE",IF(OR($CD218&gt;2.5,$CD218&gt;='Technical Premium'!$C$17,$J218&gt;='Technical Premium'!$C$16,N($AQ218)&lt;'Technical Premium'!$C$19,N($AQ218)&gt;'Technical Premium'!$C$20,LEFT(IFERROR(INDEX('Driver Factors'!$D$6:$D$15,MATCH($R218,'Driver Factors'!$B$6:$B$15,0)),""),5)="Refer",LEFT(IFERROR(INDEX('Driver Factors'!$D$28:$D$36,MATCH($T218,'Driver Factors'!$B$28:$B$36,0)),""),5)="Refer",LEFT(IFERROR(INDEX('Claims History'!$D$6:$D$15,MATCH($U218,'Claims History'!$B$6:$B$15,0)),""),5)="Refer",LEFT(IFERROR(INDEX('Usage and Coverage'!$E$6:$E$20,MATCH($N218,'Usage and Coverage'!$C$6:$C$20,0)),""),5)="Refer"),"REFER","AUTO-BIND"))))</f>
        <v/>
      </c>
      <c r="CY218" s="106" t="str">
        <f t="shared" si="50"/>
        <v/>
      </c>
      <c r="CZ218" s="97" t="str">
        <f>IF($CY218="","",IF($CY218&lt;'Technical Premium'!$C$19,"BEYOND AUTHORITY",IF($CY218&gt;0.005,"Above technical",IF($CY218&lt;-0.005,"BELOW technical","At technical"))))</f>
        <v/>
      </c>
      <c r="DA218" s="97" t="str">
        <f>IF($A218="","",IF($CX218="AUTO-BIND","",TRIM(IF($J218&lt;'Technical Premium'!$C$18,"Below programme minimum agreed value. ","")&amp;IF(N($AQ218)&lt;'Technical Premium'!$C$19,"DISCOUNT AUTHORITY BREACH. ","")&amp;IF(N($AQ218)&gt;'Technical Premium'!$C$20,"Load authority breach. ","")&amp;IF($J218&gt;='Technical Premium'!$C$16,"Agreed value at or above auto-bind limit. ","")&amp;IF(AND(ISNUMBER($CD218),$CD218&gt;='Technical Premium'!$C$17),"Composite factor at cap. ","")&amp;IF(AND(ISNUMBER($CD218),$CD218&gt;2.5),"Composite factor above 2.50. ","")&amp;IF(LEFT(IFERROR(INDEX('Driver Factors'!$D$6:$D$15,MATCH($R218,'Driver Factors'!$B$6:$B$15,0)),""),7)="DECLINE","DECLINE - driver age. ",IF(LEFT(IFERROR(INDEX('Driver Factors'!$D$6:$D$15,MATCH($R218,'Driver Factors'!$B$6:$B$15,0)),""),5)="Refer","Driver age band. ",""))&amp;IF(LEFT(IFERROR(INDEX('Driver Factors'!$D$28:$D$36,MATCH($T218,'Driver Factors'!$B$28:$B$36,0)),""),7)="DECLINE","DECLINE - MVR. ",IF(LEFT(IFERROR(INDEX('Driver Factors'!$D$28:$D$36,MATCH($T218,'Driver Factors'!$B$28:$B$36,0)),""),5)="Refer","MVR record. ",""))&amp;IF(LEFT(IFERROR(INDEX('Claims History'!$D$6:$D$15,MATCH($U218,'Claims History'!$B$6:$B$15,0)),""),7)="DECLINE","DECLINE - claims. ",IF(LEFT(IFERROR(INDEX('Claims History'!$D$6:$D$15,MATCH($U218,'Claims History'!$B$6:$B$15,0)),""),5)="Refer","Claims history. ",""))&amp;IF(LEFT(IFERROR(INDEX('Usage and Coverage'!$E$6:$E$20,MATCH($N218,'Usage and Coverage'!$C$6:$C$20,0)),""),7)="DECLINE","DECLINE - usage class. ",IF(LEFT(IFERROR(INDEX('Usage and Coverage'!$E$6:$E$20,MATCH($N218,'Usage and Coverage'!$C$6:$C$20,0)),""),5)="Refer","Usage class. ",""))&amp;IF($CX218="CHECK INPUTS","Incomplete inputs. ",""))))</f>
        <v/>
      </c>
      <c r="DB218" s="92"/>
      <c r="DC218" s="92"/>
      <c r="DD218" s="93"/>
      <c r="DE218" s="92"/>
      <c r="DF218" s="92"/>
      <c r="DG218" s="97" t="str">
        <f t="shared" si="51"/>
        <v/>
      </c>
      <c r="DH218" s="97" t="str">
        <f>IF($A218="","",IF(OR($CX218="REFER",$CX218="DECLINE"),COUNTIF($CX$5:$CX218,"REFER")+COUNTIF($CX$5:$CX218,"DECLINE"),""))</f>
        <v/>
      </c>
      <c r="DI218" s="92"/>
    </row>
    <row r="219" spans="1:113" x14ac:dyDescent="0.25">
      <c r="A219" s="92"/>
      <c r="B219" s="92"/>
      <c r="C219" s="93"/>
      <c r="D219" s="93"/>
      <c r="E219" s="94"/>
      <c r="F219" s="92"/>
      <c r="G219" s="92"/>
      <c r="H219" s="92"/>
      <c r="I219" s="92"/>
      <c r="J219" s="95"/>
      <c r="K219" s="92"/>
      <c r="L219" s="92"/>
      <c r="M219" s="92"/>
      <c r="N219" s="92"/>
      <c r="O219" s="92"/>
      <c r="P219" s="92"/>
      <c r="Q219" s="92"/>
      <c r="R219" s="92"/>
      <c r="S219" s="92"/>
      <c r="T219" s="92"/>
      <c r="U219" s="92"/>
      <c r="V219" s="92"/>
      <c r="W219" s="92"/>
      <c r="X219" s="92"/>
      <c r="Y219" s="92"/>
      <c r="Z219" s="92"/>
      <c r="AA219" s="92"/>
      <c r="AB219" s="92"/>
      <c r="AC219" s="92"/>
      <c r="AD219" s="92"/>
      <c r="AE219" s="92"/>
      <c r="AF219" s="92"/>
      <c r="AG219" s="92"/>
      <c r="AH219" s="92"/>
      <c r="AI219" s="92"/>
      <c r="AJ219" s="92"/>
      <c r="AK219" s="92"/>
      <c r="AL219" s="92"/>
      <c r="AM219" s="92"/>
      <c r="AN219" s="92"/>
      <c r="AO219" s="92"/>
      <c r="AP219" s="92"/>
      <c r="AQ219" s="96"/>
      <c r="AR219" s="97" t="str">
        <f t="shared" si="39"/>
        <v/>
      </c>
      <c r="AS219" s="97" t="str">
        <f>IF($A219="","",IF($AP219&lt;&gt;"",$AP219,IFERROR(INDEX('Cat Zone by ZIP'!$D$6:$D$856,MATCH($AR219,'Cat Zone by ZIP'!$B$6:$B$856,0)),IFERROR(INDEX('Cat Zone by ZIP'!$C$860:$C$910,MATCH($K219,'Cat Zone by ZIP'!$B$860:$B$910,0)),"NOT FOUND"))))</f>
        <v/>
      </c>
      <c r="AT219" s="97" t="str">
        <f>IF($A219="","",IF($AP219&lt;&gt;"","Override",IF(ISNUMBER(MATCH($AR219,'Cat Zone by ZIP'!$B$6:$B$856,0)),"ZIP-3","State default")))</f>
        <v/>
      </c>
      <c r="AU219" s="98" t="str">
        <f>IF($A219="","",IFERROR(INDEX('Natural Catastrophe'!$D$6:$D$17,MATCH($AS219,'Natural Catastrophe'!$B$6:$B$17,0)),"?"))</f>
        <v/>
      </c>
      <c r="AV219" s="98" t="str">
        <f>IF($A219="","",IFERROR(INDEX('Natural Catastrophe'!$C$21:$C$26,MATCH($AA219,'Natural Catastrophe'!$B$21:$B$26,0)),"?"))</f>
        <v/>
      </c>
      <c r="AW219" s="97" t="str">
        <f>IF($A219="","",IFERROR(INDEX('Base Rates'!$C$4:$I$4,MATCH(MAX($J219,'Technical Premium'!$C$18),'Base Rates'!$C$3:$I$3,1)),"?"))</f>
        <v/>
      </c>
      <c r="AX219" s="99" t="str">
        <f>IF($A219="","",IFERROR(INDEX('Base Rates'!$C$5:$I$16,MATCH($I219,'Base Rates'!$B$5:$B$16,0),MATCH(MAX($J219,'Technical Premium'!$C$18),'Base Rates'!$C$3:$I$3,1)),"?"))</f>
        <v/>
      </c>
      <c r="AY219" s="100" t="str">
        <f t="shared" si="40"/>
        <v/>
      </c>
      <c r="AZ219" s="97" t="str">
        <f>IF($A219="","",IFERROR(INDEX('Make Factors'!$G$5:$G$69,MATCH($F219,'Make Factors'!$B$5:$B$69,0)),"?"))</f>
        <v/>
      </c>
      <c r="BA219" s="97" t="str">
        <f>IF($A219="","",IFERROR(INDEX('Driver Factors'!$C$6:$C$15,MATCH($R219,'Driver Factors'!$B$6:$B$15,0)),"?"))</f>
        <v/>
      </c>
      <c r="BB219" s="97" t="str">
        <f>IF($A219="","",IFERROR(INDEX('Driver Factors'!$C$19:$C$24,MATCH($S219,'Driver Factors'!$B$19:$B$24,0)),"?"))</f>
        <v/>
      </c>
      <c r="BC219" s="97" t="str">
        <f>IF($A219="","",IFERROR(INDEX('Driver Factors'!$C$28:$C$36,MATCH($T219,'Driver Factors'!$B$28:$B$36,0)),"?"))</f>
        <v/>
      </c>
      <c r="BD219" s="97" t="str">
        <f>IF($A219="","",IFERROR(INDEX('Claims History'!$C$6:$C$15,MATCH($U219,'Claims History'!$B$6:$B$15,0)),"?"))</f>
        <v/>
      </c>
      <c r="BE219" s="97" t="str">
        <f>IF($A219="","",IFERROR(INDEX('Territory Factors'!$E$6:$E$56,MATCH($K219,'Territory Factors'!$B$6:$B$56,0)),"?"))</f>
        <v/>
      </c>
      <c r="BF219" s="97" t="str">
        <f>IF($A219="","",IFERROR(INDEX('City Accident Ratings'!$G$6:$G$54,MATCH($Z219,'City Accident Ratings'!$B$6:$B$54,0)),"?"))</f>
        <v/>
      </c>
      <c r="BG219" s="97" t="str">
        <f>IF($A219="","",IFERROR(INDEX('Usage and Coverage'!$D$6:$D$20,MATCH($N219,'Usage and Coverage'!$C$6:$C$20,0)),"?"))</f>
        <v/>
      </c>
      <c r="BH219" s="97" t="str">
        <f>IF($A219="","",IFERROR(INDEX('Usage and Coverage'!$C$24:$C$30,MATCH($O219,'Usage and Coverage'!$B$24:$B$30,0)),"?"))</f>
        <v/>
      </c>
      <c r="BI219" s="97" t="str">
        <f>IF($A219="","",IFERROR(INDEX('Usage and Coverage'!$C$34:$C$40,MATCH($P219,'Usage and Coverage'!$B$34:$B$40,0)),"?"))</f>
        <v/>
      </c>
      <c r="BJ219" s="97" t="str">
        <f>IF($A219="","",IFERROR(INDEX('Usage and Coverage'!$C$44:$C$49,MATCH($Q219,'Usage and Coverage'!$B$44:$B$49,0)),"?"))</f>
        <v/>
      </c>
      <c r="BK219" s="97" t="str">
        <f>IF($A219="","",IFERROR(INDEX(Deductibles!$C$6:$I$15,MATCH($W219,Deductibles!$B$6:$B$15,0),MATCH(MAX($J219,'Technical Premium'!$C$18),'Base Rates'!$C$3:$I$3,1)),"?"))</f>
        <v/>
      </c>
      <c r="BL219" s="97" t="str">
        <f>IF($A219="","",IFERROR(INDEX('Usage and Coverage'!$C$63:$C$66,MATCH($X219,'Usage and Coverage'!$B$63:$B$66,0)),"?"))</f>
        <v/>
      </c>
      <c r="BM219" s="97" t="str">
        <f>IF($A219="","",IFERROR(INDEX('Usage and Coverage'!$C$70:$C$75,MATCH($V219,'Usage and Coverage'!$B$70:$B$75,0)),"?"))</f>
        <v/>
      </c>
      <c r="BN219" s="97" t="str">
        <f>IF($A219="","",IF($AB219="",1,IFERROR(INDEX(Deductibles!$C$48:$C$51,MATCH($AB219,Deductibles!$B$48:$B$51,0)),"?")))</f>
        <v/>
      </c>
      <c r="BO219" s="97" t="str">
        <f>IF($A219="","",IF($AC219="",1,IFERROR(INDEX(Deductibles!$C$55:$C$57,MATCH($AC219,Deductibles!$B$55:$B$57,0)),"?")))</f>
        <v/>
      </c>
      <c r="BP219" s="97" t="str">
        <f>IF($A219="","",IF($AD219="",1,IFERROR(INDEX(Deductibles!$C$61:$C$63,MATCH($AD219,Deductibles!$B$61:$B$63,0)),"?")))</f>
        <v/>
      </c>
      <c r="BQ219" s="97" t="str">
        <f>IF($A219="","",IF($AE219="",1,IFERROR(INDEX(Deductibles!$C$67:$C$69,MATCH($AE219,Deductibles!$B$67:$B$69,0)),"?")))</f>
        <v/>
      </c>
      <c r="BR219" s="97" t="str">
        <f>IF($A219="","",IF($AF219="",1,IFERROR(INDEX(Deductibles!$C$73:$C$74,MATCH($AF219,Deductibles!$B$73:$B$74,0)),"?")))</f>
        <v/>
      </c>
      <c r="BS219" s="97" t="str">
        <f>IF($A219="","",IF($AG219="",1,IFERROR(INDEX('Sublimits and Parts'!$C$49:$C$52,MATCH($AG219,'Sublimits and Parts'!$B$49:$B$52,0)),"?")))</f>
        <v/>
      </c>
      <c r="BT219" s="97" t="str">
        <f>IF($A219="","",IF($AH219="",1,IFERROR(INDEX('Sublimits and Parts'!$C$56:$C$60,MATCH($AH219,'Sublimits and Parts'!$B$56:$B$60,0)),"?")))</f>
        <v/>
      </c>
      <c r="BU219" s="97" t="str">
        <f>IF($A219="","",IF($AI219="",1,IFERROR(INDEX('Sublimits and Parts'!$C$64:$C$67,MATCH($AI219,'Sublimits and Parts'!$B$64:$B$67,0)),"?")))</f>
        <v/>
      </c>
      <c r="BV219" s="97" t="str">
        <f>IF($A219="","",IF($AJ219="",1,IFERROR(INDEX('Sublimits and Parts'!$C$71:$C$74,MATCH($AJ219,'Sublimits and Parts'!$B$71:$B$74,0)),"?")))</f>
        <v/>
      </c>
      <c r="BW219" s="97" t="str">
        <f>IF($A219="","",IF($AK219="",1,IFERROR(INDEX('Sublimits and Parts'!$C$78:$C$80,MATCH($AK219,'Sublimits and Parts'!$B$78:$B$80,0)),"?")))</f>
        <v/>
      </c>
      <c r="BX219" s="97" t="str">
        <f>IF($A219="","",IF($AL219="",1,IFERROR(INDEX('Sublimits and Parts'!$C$84:$C$87,MATCH($AL219,'Sublimits and Parts'!$B$84:$B$87,0)),"?")))</f>
        <v/>
      </c>
      <c r="BY219" s="97" t="str">
        <f>IF($A219="","",IF($AM219="",1,IFERROR(INDEX('Sublimits and Parts'!$C$91:$C$94,MATCH($AM219,'Sublimits and Parts'!$B$91:$B$94,0)),"?")))</f>
        <v/>
      </c>
      <c r="BZ219" s="97" t="str">
        <f>IF($A219="","",IF($AN219="",1,IFERROR(INDEX('Sublimits and Parts'!$C$98:$C$101,MATCH($AN219,'Sublimits and Parts'!$B$98:$B$101,0)),"?")))</f>
        <v/>
      </c>
      <c r="CA219" s="97" t="str">
        <f>IF($A219="","",IF($AO219="",1,IFERROR(INDEX('Sublimits and Parts'!$C$105:$C$109,MATCH($AO219,'Sublimits and Parts'!$B$105:$B$109,0)),"?")))</f>
        <v/>
      </c>
      <c r="CB219" s="98" t="str">
        <f t="shared" si="41"/>
        <v/>
      </c>
      <c r="CC219" s="98" t="str">
        <f t="shared" si="42"/>
        <v/>
      </c>
      <c r="CD219" s="101" t="str">
        <f>IF($A219="","",IF(OR($CB219="?",$CC219="?"),"?",MIN($CB219*$CC219,'Technical Premium'!$C$17)))</f>
        <v/>
      </c>
      <c r="CE219" s="100" t="str">
        <f t="shared" si="43"/>
        <v/>
      </c>
      <c r="CF219" s="100" t="str">
        <f>IF($A219="","",IFERROR(INDEX('Territory Factors'!$F$6:$F$56,MATCH($K219,'Territory Factors'!$B$6:$B$56,0)),"?"))</f>
        <v/>
      </c>
      <c r="CG219" s="98" t="str">
        <f>IF($A219="","",IFERROR(INDEX('Usage and Coverage'!$C$79:$C$84,MATCH($Y219,'Usage and Coverage'!$B$79:$B$84,0)),"?"))</f>
        <v/>
      </c>
      <c r="CH219" s="100" t="str">
        <f>IFERROR(IF(ISNUMBER($CD219),$CF219*$CG219*MIN($BG219*$BA219*$BC219*$BD219*$BH219*$BF219,'Technical Premium'!$C$17),""),"")</f>
        <v/>
      </c>
      <c r="CI219" s="100" t="str">
        <f t="shared" si="44"/>
        <v/>
      </c>
      <c r="CJ219" s="100" t="str">
        <f>IFERROR($CI219*(1+'Technical Premium'!$C$5)*(1+'Technical Premium'!$C$6),"")</f>
        <v/>
      </c>
      <c r="CK219" s="100" t="str">
        <f>IFERROR($CE219*INDEX('Territory Factors'!$G$6:$G$56,MATCH($K219,'Territory Factors'!$B$6:$B$56,0))*$AU219*$AV219,"")</f>
        <v/>
      </c>
      <c r="CL219" s="100" t="str">
        <f>IFERROR(($CJ219+$CK219)*(1+'Technical Premium'!$C$7),"")</f>
        <v/>
      </c>
      <c r="CM219" s="102" t="str">
        <f>IFERROR($CL219/'Technical Premium'!$C$13,"")</f>
        <v/>
      </c>
      <c r="CN219" s="103" t="str">
        <f t="shared" si="45"/>
        <v/>
      </c>
      <c r="CO219" s="102" t="str">
        <f t="shared" si="46"/>
        <v/>
      </c>
      <c r="CP219" s="103" t="str">
        <f t="shared" si="47"/>
        <v/>
      </c>
      <c r="CQ219" s="104" t="str">
        <f t="shared" si="48"/>
        <v/>
      </c>
      <c r="CR219" s="100" t="str">
        <f>IF(ISNUMBER($CM219),'Technical Premium'!$C$14+IF($J219&gt;=1000000,'Technical Premium'!$C$15,0),"")</f>
        <v/>
      </c>
      <c r="CS219" s="100" t="str">
        <f>IFERROR(($CO219+$CR219)*(INDEX('Territory Factors'!$K$6:$K$56,MATCH($K219,'Territory Factors'!$B$6:$B$56,0))+'Commission Structure'!$C$21),"")</f>
        <v/>
      </c>
      <c r="CT219" s="102" t="str">
        <f t="shared" si="49"/>
        <v/>
      </c>
      <c r="CU219" s="100" t="str">
        <f>IFERROR($CO219*('Commission Structure'!$C$6+'Commission Structure'!$C$7),"")</f>
        <v/>
      </c>
      <c r="CV219" s="100" t="str">
        <f>IFERROR($CO219*'Commission Structure'!$C$5-$CU219,"")</f>
        <v/>
      </c>
      <c r="CW219" s="100" t="str">
        <f>IFERROR($CO219*(1-'Commission Structure'!$C$5),"")</f>
        <v/>
      </c>
      <c r="CX219" s="105" t="str">
        <f>IF($A219="","",IF(OR($CB219="?",$CC219="?",NOT(ISNUMBER($AU219))),"CHECK INPUTS",IF(OR($J219&lt;'Technical Premium'!$C$18,LEFT(IFERROR(INDEX('Driver Factors'!$D$6:$D$15,MATCH($R219,'Driver Factors'!$B$6:$B$15,0)),""),7)="DECLINE",LEFT(IFERROR(INDEX('Driver Factors'!$D$28:$D$36,MATCH($T219,'Driver Factors'!$B$28:$B$36,0)),""),7)="DECLINE",LEFT(IFERROR(INDEX('Claims History'!$D$6:$D$15,MATCH($U219,'Claims History'!$B$6:$B$15,0)),""),7)="DECLINE",LEFT(IFERROR(INDEX('Usage and Coverage'!$E$6:$E$20,MATCH($N219,'Usage and Coverage'!$C$6:$C$20,0)),""),7)="DECLINE"),"DECLINE",IF(OR($CD219&gt;2.5,$CD219&gt;='Technical Premium'!$C$17,$J219&gt;='Technical Premium'!$C$16,N($AQ219)&lt;'Technical Premium'!$C$19,N($AQ219)&gt;'Technical Premium'!$C$20,LEFT(IFERROR(INDEX('Driver Factors'!$D$6:$D$15,MATCH($R219,'Driver Factors'!$B$6:$B$15,0)),""),5)="Refer",LEFT(IFERROR(INDEX('Driver Factors'!$D$28:$D$36,MATCH($T219,'Driver Factors'!$B$28:$B$36,0)),""),5)="Refer",LEFT(IFERROR(INDEX('Claims History'!$D$6:$D$15,MATCH($U219,'Claims History'!$B$6:$B$15,0)),""),5)="Refer",LEFT(IFERROR(INDEX('Usage and Coverage'!$E$6:$E$20,MATCH($N219,'Usage and Coverage'!$C$6:$C$20,0)),""),5)="Refer"),"REFER","AUTO-BIND"))))</f>
        <v/>
      </c>
      <c r="CY219" s="106" t="str">
        <f t="shared" si="50"/>
        <v/>
      </c>
      <c r="CZ219" s="97" t="str">
        <f>IF($CY219="","",IF($CY219&lt;'Technical Premium'!$C$19,"BEYOND AUTHORITY",IF($CY219&gt;0.005,"Above technical",IF($CY219&lt;-0.005,"BELOW technical","At technical"))))</f>
        <v/>
      </c>
      <c r="DA219" s="97" t="str">
        <f>IF($A219="","",IF($CX219="AUTO-BIND","",TRIM(IF($J219&lt;'Technical Premium'!$C$18,"Below programme minimum agreed value. ","")&amp;IF(N($AQ219)&lt;'Technical Premium'!$C$19,"DISCOUNT AUTHORITY BREACH. ","")&amp;IF(N($AQ219)&gt;'Technical Premium'!$C$20,"Load authority breach. ","")&amp;IF($J219&gt;='Technical Premium'!$C$16,"Agreed value at or above auto-bind limit. ","")&amp;IF(AND(ISNUMBER($CD219),$CD219&gt;='Technical Premium'!$C$17),"Composite factor at cap. ","")&amp;IF(AND(ISNUMBER($CD219),$CD219&gt;2.5),"Composite factor above 2.50. ","")&amp;IF(LEFT(IFERROR(INDEX('Driver Factors'!$D$6:$D$15,MATCH($R219,'Driver Factors'!$B$6:$B$15,0)),""),7)="DECLINE","DECLINE - driver age. ",IF(LEFT(IFERROR(INDEX('Driver Factors'!$D$6:$D$15,MATCH($R219,'Driver Factors'!$B$6:$B$15,0)),""),5)="Refer","Driver age band. ",""))&amp;IF(LEFT(IFERROR(INDEX('Driver Factors'!$D$28:$D$36,MATCH($T219,'Driver Factors'!$B$28:$B$36,0)),""),7)="DECLINE","DECLINE - MVR. ",IF(LEFT(IFERROR(INDEX('Driver Factors'!$D$28:$D$36,MATCH($T219,'Driver Factors'!$B$28:$B$36,0)),""),5)="Refer","MVR record. ",""))&amp;IF(LEFT(IFERROR(INDEX('Claims History'!$D$6:$D$15,MATCH($U219,'Claims History'!$B$6:$B$15,0)),""),7)="DECLINE","DECLINE - claims. ",IF(LEFT(IFERROR(INDEX('Claims History'!$D$6:$D$15,MATCH($U219,'Claims History'!$B$6:$B$15,0)),""),5)="Refer","Claims history. ",""))&amp;IF(LEFT(IFERROR(INDEX('Usage and Coverage'!$E$6:$E$20,MATCH($N219,'Usage and Coverage'!$C$6:$C$20,0)),""),7)="DECLINE","DECLINE - usage class. ",IF(LEFT(IFERROR(INDEX('Usage and Coverage'!$E$6:$E$20,MATCH($N219,'Usage and Coverage'!$C$6:$C$20,0)),""),5)="Refer","Usage class. ",""))&amp;IF($CX219="CHECK INPUTS","Incomplete inputs. ",""))))</f>
        <v/>
      </c>
      <c r="DB219" s="92"/>
      <c r="DC219" s="92"/>
      <c r="DD219" s="93"/>
      <c r="DE219" s="92"/>
      <c r="DF219" s="92"/>
      <c r="DG219" s="97" t="str">
        <f t="shared" si="51"/>
        <v/>
      </c>
      <c r="DH219" s="97" t="str">
        <f>IF($A219="","",IF(OR($CX219="REFER",$CX219="DECLINE"),COUNTIF($CX$5:$CX219,"REFER")+COUNTIF($CX$5:$CX219,"DECLINE"),""))</f>
        <v/>
      </c>
      <c r="DI219" s="92"/>
    </row>
    <row r="220" spans="1:113" x14ac:dyDescent="0.25">
      <c r="A220" s="92"/>
      <c r="B220" s="92"/>
      <c r="C220" s="93"/>
      <c r="D220" s="93"/>
      <c r="E220" s="94"/>
      <c r="F220" s="92"/>
      <c r="G220" s="92"/>
      <c r="H220" s="92"/>
      <c r="I220" s="92"/>
      <c r="J220" s="95"/>
      <c r="K220" s="92"/>
      <c r="L220" s="92"/>
      <c r="M220" s="92"/>
      <c r="N220" s="92"/>
      <c r="O220" s="92"/>
      <c r="P220" s="92"/>
      <c r="Q220" s="92"/>
      <c r="R220" s="92"/>
      <c r="S220" s="92"/>
      <c r="T220" s="92"/>
      <c r="U220" s="92"/>
      <c r="V220" s="92"/>
      <c r="W220" s="92"/>
      <c r="X220" s="92"/>
      <c r="Y220" s="92"/>
      <c r="Z220" s="92"/>
      <c r="AA220" s="92"/>
      <c r="AB220" s="92"/>
      <c r="AC220" s="92"/>
      <c r="AD220" s="92"/>
      <c r="AE220" s="92"/>
      <c r="AF220" s="92"/>
      <c r="AG220" s="92"/>
      <c r="AH220" s="92"/>
      <c r="AI220" s="92"/>
      <c r="AJ220" s="92"/>
      <c r="AK220" s="92"/>
      <c r="AL220" s="92"/>
      <c r="AM220" s="92"/>
      <c r="AN220" s="92"/>
      <c r="AO220" s="92"/>
      <c r="AP220" s="92"/>
      <c r="AQ220" s="96"/>
      <c r="AR220" s="97" t="str">
        <f t="shared" si="39"/>
        <v/>
      </c>
      <c r="AS220" s="97" t="str">
        <f>IF($A220="","",IF($AP220&lt;&gt;"",$AP220,IFERROR(INDEX('Cat Zone by ZIP'!$D$6:$D$856,MATCH($AR220,'Cat Zone by ZIP'!$B$6:$B$856,0)),IFERROR(INDEX('Cat Zone by ZIP'!$C$860:$C$910,MATCH($K220,'Cat Zone by ZIP'!$B$860:$B$910,0)),"NOT FOUND"))))</f>
        <v/>
      </c>
      <c r="AT220" s="97" t="str">
        <f>IF($A220="","",IF($AP220&lt;&gt;"","Override",IF(ISNUMBER(MATCH($AR220,'Cat Zone by ZIP'!$B$6:$B$856,0)),"ZIP-3","State default")))</f>
        <v/>
      </c>
      <c r="AU220" s="98" t="str">
        <f>IF($A220="","",IFERROR(INDEX('Natural Catastrophe'!$D$6:$D$17,MATCH($AS220,'Natural Catastrophe'!$B$6:$B$17,0)),"?"))</f>
        <v/>
      </c>
      <c r="AV220" s="98" t="str">
        <f>IF($A220="","",IFERROR(INDEX('Natural Catastrophe'!$C$21:$C$26,MATCH($AA220,'Natural Catastrophe'!$B$21:$B$26,0)),"?"))</f>
        <v/>
      </c>
      <c r="AW220" s="97" t="str">
        <f>IF($A220="","",IFERROR(INDEX('Base Rates'!$C$4:$I$4,MATCH(MAX($J220,'Technical Premium'!$C$18),'Base Rates'!$C$3:$I$3,1)),"?"))</f>
        <v/>
      </c>
      <c r="AX220" s="99" t="str">
        <f>IF($A220="","",IFERROR(INDEX('Base Rates'!$C$5:$I$16,MATCH($I220,'Base Rates'!$B$5:$B$16,0),MATCH(MAX($J220,'Technical Premium'!$C$18),'Base Rates'!$C$3:$I$3,1)),"?"))</f>
        <v/>
      </c>
      <c r="AY220" s="100" t="str">
        <f t="shared" si="40"/>
        <v/>
      </c>
      <c r="AZ220" s="97" t="str">
        <f>IF($A220="","",IFERROR(INDEX('Make Factors'!$G$5:$G$69,MATCH($F220,'Make Factors'!$B$5:$B$69,0)),"?"))</f>
        <v/>
      </c>
      <c r="BA220" s="97" t="str">
        <f>IF($A220="","",IFERROR(INDEX('Driver Factors'!$C$6:$C$15,MATCH($R220,'Driver Factors'!$B$6:$B$15,0)),"?"))</f>
        <v/>
      </c>
      <c r="BB220" s="97" t="str">
        <f>IF($A220="","",IFERROR(INDEX('Driver Factors'!$C$19:$C$24,MATCH($S220,'Driver Factors'!$B$19:$B$24,0)),"?"))</f>
        <v/>
      </c>
      <c r="BC220" s="97" t="str">
        <f>IF($A220="","",IFERROR(INDEX('Driver Factors'!$C$28:$C$36,MATCH($T220,'Driver Factors'!$B$28:$B$36,0)),"?"))</f>
        <v/>
      </c>
      <c r="BD220" s="97" t="str">
        <f>IF($A220="","",IFERROR(INDEX('Claims History'!$C$6:$C$15,MATCH($U220,'Claims History'!$B$6:$B$15,0)),"?"))</f>
        <v/>
      </c>
      <c r="BE220" s="97" t="str">
        <f>IF($A220="","",IFERROR(INDEX('Territory Factors'!$E$6:$E$56,MATCH($K220,'Territory Factors'!$B$6:$B$56,0)),"?"))</f>
        <v/>
      </c>
      <c r="BF220" s="97" t="str">
        <f>IF($A220="","",IFERROR(INDEX('City Accident Ratings'!$G$6:$G$54,MATCH($Z220,'City Accident Ratings'!$B$6:$B$54,0)),"?"))</f>
        <v/>
      </c>
      <c r="BG220" s="97" t="str">
        <f>IF($A220="","",IFERROR(INDEX('Usage and Coverage'!$D$6:$D$20,MATCH($N220,'Usage and Coverage'!$C$6:$C$20,0)),"?"))</f>
        <v/>
      </c>
      <c r="BH220" s="97" t="str">
        <f>IF($A220="","",IFERROR(INDEX('Usage and Coverage'!$C$24:$C$30,MATCH($O220,'Usage and Coverage'!$B$24:$B$30,0)),"?"))</f>
        <v/>
      </c>
      <c r="BI220" s="97" t="str">
        <f>IF($A220="","",IFERROR(INDEX('Usage and Coverage'!$C$34:$C$40,MATCH($P220,'Usage and Coverage'!$B$34:$B$40,0)),"?"))</f>
        <v/>
      </c>
      <c r="BJ220" s="97" t="str">
        <f>IF($A220="","",IFERROR(INDEX('Usage and Coverage'!$C$44:$C$49,MATCH($Q220,'Usage and Coverage'!$B$44:$B$49,0)),"?"))</f>
        <v/>
      </c>
      <c r="BK220" s="97" t="str">
        <f>IF($A220="","",IFERROR(INDEX(Deductibles!$C$6:$I$15,MATCH($W220,Deductibles!$B$6:$B$15,0),MATCH(MAX($J220,'Technical Premium'!$C$18),'Base Rates'!$C$3:$I$3,1)),"?"))</f>
        <v/>
      </c>
      <c r="BL220" s="97" t="str">
        <f>IF($A220="","",IFERROR(INDEX('Usage and Coverage'!$C$63:$C$66,MATCH($X220,'Usage and Coverage'!$B$63:$B$66,0)),"?"))</f>
        <v/>
      </c>
      <c r="BM220" s="97" t="str">
        <f>IF($A220="","",IFERROR(INDEX('Usage and Coverage'!$C$70:$C$75,MATCH($V220,'Usage and Coverage'!$B$70:$B$75,0)),"?"))</f>
        <v/>
      </c>
      <c r="BN220" s="97" t="str">
        <f>IF($A220="","",IF($AB220="",1,IFERROR(INDEX(Deductibles!$C$48:$C$51,MATCH($AB220,Deductibles!$B$48:$B$51,0)),"?")))</f>
        <v/>
      </c>
      <c r="BO220" s="97" t="str">
        <f>IF($A220="","",IF($AC220="",1,IFERROR(INDEX(Deductibles!$C$55:$C$57,MATCH($AC220,Deductibles!$B$55:$B$57,0)),"?")))</f>
        <v/>
      </c>
      <c r="BP220" s="97" t="str">
        <f>IF($A220="","",IF($AD220="",1,IFERROR(INDEX(Deductibles!$C$61:$C$63,MATCH($AD220,Deductibles!$B$61:$B$63,0)),"?")))</f>
        <v/>
      </c>
      <c r="BQ220" s="97" t="str">
        <f>IF($A220="","",IF($AE220="",1,IFERROR(INDEX(Deductibles!$C$67:$C$69,MATCH($AE220,Deductibles!$B$67:$B$69,0)),"?")))</f>
        <v/>
      </c>
      <c r="BR220" s="97" t="str">
        <f>IF($A220="","",IF($AF220="",1,IFERROR(INDEX(Deductibles!$C$73:$C$74,MATCH($AF220,Deductibles!$B$73:$B$74,0)),"?")))</f>
        <v/>
      </c>
      <c r="BS220" s="97" t="str">
        <f>IF($A220="","",IF($AG220="",1,IFERROR(INDEX('Sublimits and Parts'!$C$49:$C$52,MATCH($AG220,'Sublimits and Parts'!$B$49:$B$52,0)),"?")))</f>
        <v/>
      </c>
      <c r="BT220" s="97" t="str">
        <f>IF($A220="","",IF($AH220="",1,IFERROR(INDEX('Sublimits and Parts'!$C$56:$C$60,MATCH($AH220,'Sublimits and Parts'!$B$56:$B$60,0)),"?")))</f>
        <v/>
      </c>
      <c r="BU220" s="97" t="str">
        <f>IF($A220="","",IF($AI220="",1,IFERROR(INDEX('Sublimits and Parts'!$C$64:$C$67,MATCH($AI220,'Sublimits and Parts'!$B$64:$B$67,0)),"?")))</f>
        <v/>
      </c>
      <c r="BV220" s="97" t="str">
        <f>IF($A220="","",IF($AJ220="",1,IFERROR(INDEX('Sublimits and Parts'!$C$71:$C$74,MATCH($AJ220,'Sublimits and Parts'!$B$71:$B$74,0)),"?")))</f>
        <v/>
      </c>
      <c r="BW220" s="97" t="str">
        <f>IF($A220="","",IF($AK220="",1,IFERROR(INDEX('Sublimits and Parts'!$C$78:$C$80,MATCH($AK220,'Sublimits and Parts'!$B$78:$B$80,0)),"?")))</f>
        <v/>
      </c>
      <c r="BX220" s="97" t="str">
        <f>IF($A220="","",IF($AL220="",1,IFERROR(INDEX('Sublimits and Parts'!$C$84:$C$87,MATCH($AL220,'Sublimits and Parts'!$B$84:$B$87,0)),"?")))</f>
        <v/>
      </c>
      <c r="BY220" s="97" t="str">
        <f>IF($A220="","",IF($AM220="",1,IFERROR(INDEX('Sublimits and Parts'!$C$91:$C$94,MATCH($AM220,'Sublimits and Parts'!$B$91:$B$94,0)),"?")))</f>
        <v/>
      </c>
      <c r="BZ220" s="97" t="str">
        <f>IF($A220="","",IF($AN220="",1,IFERROR(INDEX('Sublimits and Parts'!$C$98:$C$101,MATCH($AN220,'Sublimits and Parts'!$B$98:$B$101,0)),"?")))</f>
        <v/>
      </c>
      <c r="CA220" s="97" t="str">
        <f>IF($A220="","",IF($AO220="",1,IFERROR(INDEX('Sublimits and Parts'!$C$105:$C$109,MATCH($AO220,'Sublimits and Parts'!$B$105:$B$109,0)),"?")))</f>
        <v/>
      </c>
      <c r="CB220" s="98" t="str">
        <f t="shared" si="41"/>
        <v/>
      </c>
      <c r="CC220" s="98" t="str">
        <f t="shared" si="42"/>
        <v/>
      </c>
      <c r="CD220" s="101" t="str">
        <f>IF($A220="","",IF(OR($CB220="?",$CC220="?"),"?",MIN($CB220*$CC220,'Technical Premium'!$C$17)))</f>
        <v/>
      </c>
      <c r="CE220" s="100" t="str">
        <f t="shared" si="43"/>
        <v/>
      </c>
      <c r="CF220" s="100" t="str">
        <f>IF($A220="","",IFERROR(INDEX('Territory Factors'!$F$6:$F$56,MATCH($K220,'Territory Factors'!$B$6:$B$56,0)),"?"))</f>
        <v/>
      </c>
      <c r="CG220" s="98" t="str">
        <f>IF($A220="","",IFERROR(INDEX('Usage and Coverage'!$C$79:$C$84,MATCH($Y220,'Usage and Coverage'!$B$79:$B$84,0)),"?"))</f>
        <v/>
      </c>
      <c r="CH220" s="100" t="str">
        <f>IFERROR(IF(ISNUMBER($CD220),$CF220*$CG220*MIN($BG220*$BA220*$BC220*$BD220*$BH220*$BF220,'Technical Premium'!$C$17),""),"")</f>
        <v/>
      </c>
      <c r="CI220" s="100" t="str">
        <f t="shared" si="44"/>
        <v/>
      </c>
      <c r="CJ220" s="100" t="str">
        <f>IFERROR($CI220*(1+'Technical Premium'!$C$5)*(1+'Technical Premium'!$C$6),"")</f>
        <v/>
      </c>
      <c r="CK220" s="100" t="str">
        <f>IFERROR($CE220*INDEX('Territory Factors'!$G$6:$G$56,MATCH($K220,'Territory Factors'!$B$6:$B$56,0))*$AU220*$AV220,"")</f>
        <v/>
      </c>
      <c r="CL220" s="100" t="str">
        <f>IFERROR(($CJ220+$CK220)*(1+'Technical Premium'!$C$7),"")</f>
        <v/>
      </c>
      <c r="CM220" s="102" t="str">
        <f>IFERROR($CL220/'Technical Premium'!$C$13,"")</f>
        <v/>
      </c>
      <c r="CN220" s="103" t="str">
        <f t="shared" si="45"/>
        <v/>
      </c>
      <c r="CO220" s="102" t="str">
        <f t="shared" si="46"/>
        <v/>
      </c>
      <c r="CP220" s="103" t="str">
        <f t="shared" si="47"/>
        <v/>
      </c>
      <c r="CQ220" s="104" t="str">
        <f t="shared" si="48"/>
        <v/>
      </c>
      <c r="CR220" s="100" t="str">
        <f>IF(ISNUMBER($CM220),'Technical Premium'!$C$14+IF($J220&gt;=1000000,'Technical Premium'!$C$15,0),"")</f>
        <v/>
      </c>
      <c r="CS220" s="100" t="str">
        <f>IFERROR(($CO220+$CR220)*(INDEX('Territory Factors'!$K$6:$K$56,MATCH($K220,'Territory Factors'!$B$6:$B$56,0))+'Commission Structure'!$C$21),"")</f>
        <v/>
      </c>
      <c r="CT220" s="102" t="str">
        <f t="shared" si="49"/>
        <v/>
      </c>
      <c r="CU220" s="100" t="str">
        <f>IFERROR($CO220*('Commission Structure'!$C$6+'Commission Structure'!$C$7),"")</f>
        <v/>
      </c>
      <c r="CV220" s="100" t="str">
        <f>IFERROR($CO220*'Commission Structure'!$C$5-$CU220,"")</f>
        <v/>
      </c>
      <c r="CW220" s="100" t="str">
        <f>IFERROR($CO220*(1-'Commission Structure'!$C$5),"")</f>
        <v/>
      </c>
      <c r="CX220" s="105" t="str">
        <f>IF($A220="","",IF(OR($CB220="?",$CC220="?",NOT(ISNUMBER($AU220))),"CHECK INPUTS",IF(OR($J220&lt;'Technical Premium'!$C$18,LEFT(IFERROR(INDEX('Driver Factors'!$D$6:$D$15,MATCH($R220,'Driver Factors'!$B$6:$B$15,0)),""),7)="DECLINE",LEFT(IFERROR(INDEX('Driver Factors'!$D$28:$D$36,MATCH($T220,'Driver Factors'!$B$28:$B$36,0)),""),7)="DECLINE",LEFT(IFERROR(INDEX('Claims History'!$D$6:$D$15,MATCH($U220,'Claims History'!$B$6:$B$15,0)),""),7)="DECLINE",LEFT(IFERROR(INDEX('Usage and Coverage'!$E$6:$E$20,MATCH($N220,'Usage and Coverage'!$C$6:$C$20,0)),""),7)="DECLINE"),"DECLINE",IF(OR($CD220&gt;2.5,$CD220&gt;='Technical Premium'!$C$17,$J220&gt;='Technical Premium'!$C$16,N($AQ220)&lt;'Technical Premium'!$C$19,N($AQ220)&gt;'Technical Premium'!$C$20,LEFT(IFERROR(INDEX('Driver Factors'!$D$6:$D$15,MATCH($R220,'Driver Factors'!$B$6:$B$15,0)),""),5)="Refer",LEFT(IFERROR(INDEX('Driver Factors'!$D$28:$D$36,MATCH($T220,'Driver Factors'!$B$28:$B$36,0)),""),5)="Refer",LEFT(IFERROR(INDEX('Claims History'!$D$6:$D$15,MATCH($U220,'Claims History'!$B$6:$B$15,0)),""),5)="Refer",LEFT(IFERROR(INDEX('Usage and Coverage'!$E$6:$E$20,MATCH($N220,'Usage and Coverage'!$C$6:$C$20,0)),""),5)="Refer"),"REFER","AUTO-BIND"))))</f>
        <v/>
      </c>
      <c r="CY220" s="106" t="str">
        <f t="shared" si="50"/>
        <v/>
      </c>
      <c r="CZ220" s="97" t="str">
        <f>IF($CY220="","",IF($CY220&lt;'Technical Premium'!$C$19,"BEYOND AUTHORITY",IF($CY220&gt;0.005,"Above technical",IF($CY220&lt;-0.005,"BELOW technical","At technical"))))</f>
        <v/>
      </c>
      <c r="DA220" s="97" t="str">
        <f>IF($A220="","",IF($CX220="AUTO-BIND","",TRIM(IF($J220&lt;'Technical Premium'!$C$18,"Below programme minimum agreed value. ","")&amp;IF(N($AQ220)&lt;'Technical Premium'!$C$19,"DISCOUNT AUTHORITY BREACH. ","")&amp;IF(N($AQ220)&gt;'Technical Premium'!$C$20,"Load authority breach. ","")&amp;IF($J220&gt;='Technical Premium'!$C$16,"Agreed value at or above auto-bind limit. ","")&amp;IF(AND(ISNUMBER($CD220),$CD220&gt;='Technical Premium'!$C$17),"Composite factor at cap. ","")&amp;IF(AND(ISNUMBER($CD220),$CD220&gt;2.5),"Composite factor above 2.50. ","")&amp;IF(LEFT(IFERROR(INDEX('Driver Factors'!$D$6:$D$15,MATCH($R220,'Driver Factors'!$B$6:$B$15,0)),""),7)="DECLINE","DECLINE - driver age. ",IF(LEFT(IFERROR(INDEX('Driver Factors'!$D$6:$D$15,MATCH($R220,'Driver Factors'!$B$6:$B$15,0)),""),5)="Refer","Driver age band. ",""))&amp;IF(LEFT(IFERROR(INDEX('Driver Factors'!$D$28:$D$36,MATCH($T220,'Driver Factors'!$B$28:$B$36,0)),""),7)="DECLINE","DECLINE - MVR. ",IF(LEFT(IFERROR(INDEX('Driver Factors'!$D$28:$D$36,MATCH($T220,'Driver Factors'!$B$28:$B$36,0)),""),5)="Refer","MVR record. ",""))&amp;IF(LEFT(IFERROR(INDEX('Claims History'!$D$6:$D$15,MATCH($U220,'Claims History'!$B$6:$B$15,0)),""),7)="DECLINE","DECLINE - claims. ",IF(LEFT(IFERROR(INDEX('Claims History'!$D$6:$D$15,MATCH($U220,'Claims History'!$B$6:$B$15,0)),""),5)="Refer","Claims history. ",""))&amp;IF(LEFT(IFERROR(INDEX('Usage and Coverage'!$E$6:$E$20,MATCH($N220,'Usage and Coverage'!$C$6:$C$20,0)),""),7)="DECLINE","DECLINE - usage class. ",IF(LEFT(IFERROR(INDEX('Usage and Coverage'!$E$6:$E$20,MATCH($N220,'Usage and Coverage'!$C$6:$C$20,0)),""),5)="Refer","Usage class. ",""))&amp;IF($CX220="CHECK INPUTS","Incomplete inputs. ",""))))</f>
        <v/>
      </c>
      <c r="DB220" s="92"/>
      <c r="DC220" s="92"/>
      <c r="DD220" s="93"/>
      <c r="DE220" s="92"/>
      <c r="DF220" s="92"/>
      <c r="DG220" s="97" t="str">
        <f t="shared" si="51"/>
        <v/>
      </c>
      <c r="DH220" s="97" t="str">
        <f>IF($A220="","",IF(OR($CX220="REFER",$CX220="DECLINE"),COUNTIF($CX$5:$CX220,"REFER")+COUNTIF($CX$5:$CX220,"DECLINE"),""))</f>
        <v/>
      </c>
      <c r="DI220" s="92"/>
    </row>
    <row r="221" spans="1:113" x14ac:dyDescent="0.25">
      <c r="A221" s="92"/>
      <c r="B221" s="92"/>
      <c r="C221" s="93"/>
      <c r="D221" s="93"/>
      <c r="E221" s="94"/>
      <c r="F221" s="92"/>
      <c r="G221" s="92"/>
      <c r="H221" s="92"/>
      <c r="I221" s="92"/>
      <c r="J221" s="95"/>
      <c r="K221" s="92"/>
      <c r="L221" s="92"/>
      <c r="M221" s="92"/>
      <c r="N221" s="92"/>
      <c r="O221" s="92"/>
      <c r="P221" s="92"/>
      <c r="Q221" s="92"/>
      <c r="R221" s="92"/>
      <c r="S221" s="92"/>
      <c r="T221" s="92"/>
      <c r="U221" s="92"/>
      <c r="V221" s="92"/>
      <c r="W221" s="92"/>
      <c r="X221" s="92"/>
      <c r="Y221" s="92"/>
      <c r="Z221" s="92"/>
      <c r="AA221" s="92"/>
      <c r="AB221" s="92"/>
      <c r="AC221" s="92"/>
      <c r="AD221" s="92"/>
      <c r="AE221" s="92"/>
      <c r="AF221" s="92"/>
      <c r="AG221" s="92"/>
      <c r="AH221" s="92"/>
      <c r="AI221" s="92"/>
      <c r="AJ221" s="92"/>
      <c r="AK221" s="92"/>
      <c r="AL221" s="92"/>
      <c r="AM221" s="92"/>
      <c r="AN221" s="92"/>
      <c r="AO221" s="92"/>
      <c r="AP221" s="92"/>
      <c r="AQ221" s="96"/>
      <c r="AR221" s="97" t="str">
        <f t="shared" si="39"/>
        <v/>
      </c>
      <c r="AS221" s="97" t="str">
        <f>IF($A221="","",IF($AP221&lt;&gt;"",$AP221,IFERROR(INDEX('Cat Zone by ZIP'!$D$6:$D$856,MATCH($AR221,'Cat Zone by ZIP'!$B$6:$B$856,0)),IFERROR(INDEX('Cat Zone by ZIP'!$C$860:$C$910,MATCH($K221,'Cat Zone by ZIP'!$B$860:$B$910,0)),"NOT FOUND"))))</f>
        <v/>
      </c>
      <c r="AT221" s="97" t="str">
        <f>IF($A221="","",IF($AP221&lt;&gt;"","Override",IF(ISNUMBER(MATCH($AR221,'Cat Zone by ZIP'!$B$6:$B$856,0)),"ZIP-3","State default")))</f>
        <v/>
      </c>
      <c r="AU221" s="98" t="str">
        <f>IF($A221="","",IFERROR(INDEX('Natural Catastrophe'!$D$6:$D$17,MATCH($AS221,'Natural Catastrophe'!$B$6:$B$17,0)),"?"))</f>
        <v/>
      </c>
      <c r="AV221" s="98" t="str">
        <f>IF($A221="","",IFERROR(INDEX('Natural Catastrophe'!$C$21:$C$26,MATCH($AA221,'Natural Catastrophe'!$B$21:$B$26,0)),"?"))</f>
        <v/>
      </c>
      <c r="AW221" s="97" t="str">
        <f>IF($A221="","",IFERROR(INDEX('Base Rates'!$C$4:$I$4,MATCH(MAX($J221,'Technical Premium'!$C$18),'Base Rates'!$C$3:$I$3,1)),"?"))</f>
        <v/>
      </c>
      <c r="AX221" s="99" t="str">
        <f>IF($A221="","",IFERROR(INDEX('Base Rates'!$C$5:$I$16,MATCH($I221,'Base Rates'!$B$5:$B$16,0),MATCH(MAX($J221,'Technical Premium'!$C$18),'Base Rates'!$C$3:$I$3,1)),"?"))</f>
        <v/>
      </c>
      <c r="AY221" s="100" t="str">
        <f t="shared" si="40"/>
        <v/>
      </c>
      <c r="AZ221" s="97" t="str">
        <f>IF($A221="","",IFERROR(INDEX('Make Factors'!$G$5:$G$69,MATCH($F221,'Make Factors'!$B$5:$B$69,0)),"?"))</f>
        <v/>
      </c>
      <c r="BA221" s="97" t="str">
        <f>IF($A221="","",IFERROR(INDEX('Driver Factors'!$C$6:$C$15,MATCH($R221,'Driver Factors'!$B$6:$B$15,0)),"?"))</f>
        <v/>
      </c>
      <c r="BB221" s="97" t="str">
        <f>IF($A221="","",IFERROR(INDEX('Driver Factors'!$C$19:$C$24,MATCH($S221,'Driver Factors'!$B$19:$B$24,0)),"?"))</f>
        <v/>
      </c>
      <c r="BC221" s="97" t="str">
        <f>IF($A221="","",IFERROR(INDEX('Driver Factors'!$C$28:$C$36,MATCH($T221,'Driver Factors'!$B$28:$B$36,0)),"?"))</f>
        <v/>
      </c>
      <c r="BD221" s="97" t="str">
        <f>IF($A221="","",IFERROR(INDEX('Claims History'!$C$6:$C$15,MATCH($U221,'Claims History'!$B$6:$B$15,0)),"?"))</f>
        <v/>
      </c>
      <c r="BE221" s="97" t="str">
        <f>IF($A221="","",IFERROR(INDEX('Territory Factors'!$E$6:$E$56,MATCH($K221,'Territory Factors'!$B$6:$B$56,0)),"?"))</f>
        <v/>
      </c>
      <c r="BF221" s="97" t="str">
        <f>IF($A221="","",IFERROR(INDEX('City Accident Ratings'!$G$6:$G$54,MATCH($Z221,'City Accident Ratings'!$B$6:$B$54,0)),"?"))</f>
        <v/>
      </c>
      <c r="BG221" s="97" t="str">
        <f>IF($A221="","",IFERROR(INDEX('Usage and Coverage'!$D$6:$D$20,MATCH($N221,'Usage and Coverage'!$C$6:$C$20,0)),"?"))</f>
        <v/>
      </c>
      <c r="BH221" s="97" t="str">
        <f>IF($A221="","",IFERROR(INDEX('Usage and Coverage'!$C$24:$C$30,MATCH($O221,'Usage and Coverage'!$B$24:$B$30,0)),"?"))</f>
        <v/>
      </c>
      <c r="BI221" s="97" t="str">
        <f>IF($A221="","",IFERROR(INDEX('Usage and Coverage'!$C$34:$C$40,MATCH($P221,'Usage and Coverage'!$B$34:$B$40,0)),"?"))</f>
        <v/>
      </c>
      <c r="BJ221" s="97" t="str">
        <f>IF($A221="","",IFERROR(INDEX('Usage and Coverage'!$C$44:$C$49,MATCH($Q221,'Usage and Coverage'!$B$44:$B$49,0)),"?"))</f>
        <v/>
      </c>
      <c r="BK221" s="97" t="str">
        <f>IF($A221="","",IFERROR(INDEX(Deductibles!$C$6:$I$15,MATCH($W221,Deductibles!$B$6:$B$15,0),MATCH(MAX($J221,'Technical Premium'!$C$18),'Base Rates'!$C$3:$I$3,1)),"?"))</f>
        <v/>
      </c>
      <c r="BL221" s="97" t="str">
        <f>IF($A221="","",IFERROR(INDEX('Usage and Coverage'!$C$63:$C$66,MATCH($X221,'Usage and Coverage'!$B$63:$B$66,0)),"?"))</f>
        <v/>
      </c>
      <c r="BM221" s="97" t="str">
        <f>IF($A221="","",IFERROR(INDEX('Usage and Coverage'!$C$70:$C$75,MATCH($V221,'Usage and Coverage'!$B$70:$B$75,0)),"?"))</f>
        <v/>
      </c>
      <c r="BN221" s="97" t="str">
        <f>IF($A221="","",IF($AB221="",1,IFERROR(INDEX(Deductibles!$C$48:$C$51,MATCH($AB221,Deductibles!$B$48:$B$51,0)),"?")))</f>
        <v/>
      </c>
      <c r="BO221" s="97" t="str">
        <f>IF($A221="","",IF($AC221="",1,IFERROR(INDEX(Deductibles!$C$55:$C$57,MATCH($AC221,Deductibles!$B$55:$B$57,0)),"?")))</f>
        <v/>
      </c>
      <c r="BP221" s="97" t="str">
        <f>IF($A221="","",IF($AD221="",1,IFERROR(INDEX(Deductibles!$C$61:$C$63,MATCH($AD221,Deductibles!$B$61:$B$63,0)),"?")))</f>
        <v/>
      </c>
      <c r="BQ221" s="97" t="str">
        <f>IF($A221="","",IF($AE221="",1,IFERROR(INDEX(Deductibles!$C$67:$C$69,MATCH($AE221,Deductibles!$B$67:$B$69,0)),"?")))</f>
        <v/>
      </c>
      <c r="BR221" s="97" t="str">
        <f>IF($A221="","",IF($AF221="",1,IFERROR(INDEX(Deductibles!$C$73:$C$74,MATCH($AF221,Deductibles!$B$73:$B$74,0)),"?")))</f>
        <v/>
      </c>
      <c r="BS221" s="97" t="str">
        <f>IF($A221="","",IF($AG221="",1,IFERROR(INDEX('Sublimits and Parts'!$C$49:$C$52,MATCH($AG221,'Sublimits and Parts'!$B$49:$B$52,0)),"?")))</f>
        <v/>
      </c>
      <c r="BT221" s="97" t="str">
        <f>IF($A221="","",IF($AH221="",1,IFERROR(INDEX('Sublimits and Parts'!$C$56:$C$60,MATCH($AH221,'Sublimits and Parts'!$B$56:$B$60,0)),"?")))</f>
        <v/>
      </c>
      <c r="BU221" s="97" t="str">
        <f>IF($A221="","",IF($AI221="",1,IFERROR(INDEX('Sublimits and Parts'!$C$64:$C$67,MATCH($AI221,'Sublimits and Parts'!$B$64:$B$67,0)),"?")))</f>
        <v/>
      </c>
      <c r="BV221" s="97" t="str">
        <f>IF($A221="","",IF($AJ221="",1,IFERROR(INDEX('Sublimits and Parts'!$C$71:$C$74,MATCH($AJ221,'Sublimits and Parts'!$B$71:$B$74,0)),"?")))</f>
        <v/>
      </c>
      <c r="BW221" s="97" t="str">
        <f>IF($A221="","",IF($AK221="",1,IFERROR(INDEX('Sublimits and Parts'!$C$78:$C$80,MATCH($AK221,'Sublimits and Parts'!$B$78:$B$80,0)),"?")))</f>
        <v/>
      </c>
      <c r="BX221" s="97" t="str">
        <f>IF($A221="","",IF($AL221="",1,IFERROR(INDEX('Sublimits and Parts'!$C$84:$C$87,MATCH($AL221,'Sublimits and Parts'!$B$84:$B$87,0)),"?")))</f>
        <v/>
      </c>
      <c r="BY221" s="97" t="str">
        <f>IF($A221="","",IF($AM221="",1,IFERROR(INDEX('Sublimits and Parts'!$C$91:$C$94,MATCH($AM221,'Sublimits and Parts'!$B$91:$B$94,0)),"?")))</f>
        <v/>
      </c>
      <c r="BZ221" s="97" t="str">
        <f>IF($A221="","",IF($AN221="",1,IFERROR(INDEX('Sublimits and Parts'!$C$98:$C$101,MATCH($AN221,'Sublimits and Parts'!$B$98:$B$101,0)),"?")))</f>
        <v/>
      </c>
      <c r="CA221" s="97" t="str">
        <f>IF($A221="","",IF($AO221="",1,IFERROR(INDEX('Sublimits and Parts'!$C$105:$C$109,MATCH($AO221,'Sublimits and Parts'!$B$105:$B$109,0)),"?")))</f>
        <v/>
      </c>
      <c r="CB221" s="98" t="str">
        <f t="shared" si="41"/>
        <v/>
      </c>
      <c r="CC221" s="98" t="str">
        <f t="shared" si="42"/>
        <v/>
      </c>
      <c r="CD221" s="101" t="str">
        <f>IF($A221="","",IF(OR($CB221="?",$CC221="?"),"?",MIN($CB221*$CC221,'Technical Premium'!$C$17)))</f>
        <v/>
      </c>
      <c r="CE221" s="100" t="str">
        <f t="shared" si="43"/>
        <v/>
      </c>
      <c r="CF221" s="100" t="str">
        <f>IF($A221="","",IFERROR(INDEX('Territory Factors'!$F$6:$F$56,MATCH($K221,'Territory Factors'!$B$6:$B$56,0)),"?"))</f>
        <v/>
      </c>
      <c r="CG221" s="98" t="str">
        <f>IF($A221="","",IFERROR(INDEX('Usage and Coverage'!$C$79:$C$84,MATCH($Y221,'Usage and Coverage'!$B$79:$B$84,0)),"?"))</f>
        <v/>
      </c>
      <c r="CH221" s="100" t="str">
        <f>IFERROR(IF(ISNUMBER($CD221),$CF221*$CG221*MIN($BG221*$BA221*$BC221*$BD221*$BH221*$BF221,'Technical Premium'!$C$17),""),"")</f>
        <v/>
      </c>
      <c r="CI221" s="100" t="str">
        <f t="shared" si="44"/>
        <v/>
      </c>
      <c r="CJ221" s="100" t="str">
        <f>IFERROR($CI221*(1+'Technical Premium'!$C$5)*(1+'Technical Premium'!$C$6),"")</f>
        <v/>
      </c>
      <c r="CK221" s="100" t="str">
        <f>IFERROR($CE221*INDEX('Territory Factors'!$G$6:$G$56,MATCH($K221,'Territory Factors'!$B$6:$B$56,0))*$AU221*$AV221,"")</f>
        <v/>
      </c>
      <c r="CL221" s="100" t="str">
        <f>IFERROR(($CJ221+$CK221)*(1+'Technical Premium'!$C$7),"")</f>
        <v/>
      </c>
      <c r="CM221" s="102" t="str">
        <f>IFERROR($CL221/'Technical Premium'!$C$13,"")</f>
        <v/>
      </c>
      <c r="CN221" s="103" t="str">
        <f t="shared" si="45"/>
        <v/>
      </c>
      <c r="CO221" s="102" t="str">
        <f t="shared" si="46"/>
        <v/>
      </c>
      <c r="CP221" s="103" t="str">
        <f t="shared" si="47"/>
        <v/>
      </c>
      <c r="CQ221" s="104" t="str">
        <f t="shared" si="48"/>
        <v/>
      </c>
      <c r="CR221" s="100" t="str">
        <f>IF(ISNUMBER($CM221),'Technical Premium'!$C$14+IF($J221&gt;=1000000,'Technical Premium'!$C$15,0),"")</f>
        <v/>
      </c>
      <c r="CS221" s="100" t="str">
        <f>IFERROR(($CO221+$CR221)*(INDEX('Territory Factors'!$K$6:$K$56,MATCH($K221,'Territory Factors'!$B$6:$B$56,0))+'Commission Structure'!$C$21),"")</f>
        <v/>
      </c>
      <c r="CT221" s="102" t="str">
        <f t="shared" si="49"/>
        <v/>
      </c>
      <c r="CU221" s="100" t="str">
        <f>IFERROR($CO221*('Commission Structure'!$C$6+'Commission Structure'!$C$7),"")</f>
        <v/>
      </c>
      <c r="CV221" s="100" t="str">
        <f>IFERROR($CO221*'Commission Structure'!$C$5-$CU221,"")</f>
        <v/>
      </c>
      <c r="CW221" s="100" t="str">
        <f>IFERROR($CO221*(1-'Commission Structure'!$C$5),"")</f>
        <v/>
      </c>
      <c r="CX221" s="105" t="str">
        <f>IF($A221="","",IF(OR($CB221="?",$CC221="?",NOT(ISNUMBER($AU221))),"CHECK INPUTS",IF(OR($J221&lt;'Technical Premium'!$C$18,LEFT(IFERROR(INDEX('Driver Factors'!$D$6:$D$15,MATCH($R221,'Driver Factors'!$B$6:$B$15,0)),""),7)="DECLINE",LEFT(IFERROR(INDEX('Driver Factors'!$D$28:$D$36,MATCH($T221,'Driver Factors'!$B$28:$B$36,0)),""),7)="DECLINE",LEFT(IFERROR(INDEX('Claims History'!$D$6:$D$15,MATCH($U221,'Claims History'!$B$6:$B$15,0)),""),7)="DECLINE",LEFT(IFERROR(INDEX('Usage and Coverage'!$E$6:$E$20,MATCH($N221,'Usage and Coverage'!$C$6:$C$20,0)),""),7)="DECLINE"),"DECLINE",IF(OR($CD221&gt;2.5,$CD221&gt;='Technical Premium'!$C$17,$J221&gt;='Technical Premium'!$C$16,N($AQ221)&lt;'Technical Premium'!$C$19,N($AQ221)&gt;'Technical Premium'!$C$20,LEFT(IFERROR(INDEX('Driver Factors'!$D$6:$D$15,MATCH($R221,'Driver Factors'!$B$6:$B$15,0)),""),5)="Refer",LEFT(IFERROR(INDEX('Driver Factors'!$D$28:$D$36,MATCH($T221,'Driver Factors'!$B$28:$B$36,0)),""),5)="Refer",LEFT(IFERROR(INDEX('Claims History'!$D$6:$D$15,MATCH($U221,'Claims History'!$B$6:$B$15,0)),""),5)="Refer",LEFT(IFERROR(INDEX('Usage and Coverage'!$E$6:$E$20,MATCH($N221,'Usage and Coverage'!$C$6:$C$20,0)),""),5)="Refer"),"REFER","AUTO-BIND"))))</f>
        <v/>
      </c>
      <c r="CY221" s="106" t="str">
        <f t="shared" si="50"/>
        <v/>
      </c>
      <c r="CZ221" s="97" t="str">
        <f>IF($CY221="","",IF($CY221&lt;'Technical Premium'!$C$19,"BEYOND AUTHORITY",IF($CY221&gt;0.005,"Above technical",IF($CY221&lt;-0.005,"BELOW technical","At technical"))))</f>
        <v/>
      </c>
      <c r="DA221" s="97" t="str">
        <f>IF($A221="","",IF($CX221="AUTO-BIND","",TRIM(IF($J221&lt;'Technical Premium'!$C$18,"Below programme minimum agreed value. ","")&amp;IF(N($AQ221)&lt;'Technical Premium'!$C$19,"DISCOUNT AUTHORITY BREACH. ","")&amp;IF(N($AQ221)&gt;'Technical Premium'!$C$20,"Load authority breach. ","")&amp;IF($J221&gt;='Technical Premium'!$C$16,"Agreed value at or above auto-bind limit. ","")&amp;IF(AND(ISNUMBER($CD221),$CD221&gt;='Technical Premium'!$C$17),"Composite factor at cap. ","")&amp;IF(AND(ISNUMBER($CD221),$CD221&gt;2.5),"Composite factor above 2.50. ","")&amp;IF(LEFT(IFERROR(INDEX('Driver Factors'!$D$6:$D$15,MATCH($R221,'Driver Factors'!$B$6:$B$15,0)),""),7)="DECLINE","DECLINE - driver age. ",IF(LEFT(IFERROR(INDEX('Driver Factors'!$D$6:$D$15,MATCH($R221,'Driver Factors'!$B$6:$B$15,0)),""),5)="Refer","Driver age band. ",""))&amp;IF(LEFT(IFERROR(INDEX('Driver Factors'!$D$28:$D$36,MATCH($T221,'Driver Factors'!$B$28:$B$36,0)),""),7)="DECLINE","DECLINE - MVR. ",IF(LEFT(IFERROR(INDEX('Driver Factors'!$D$28:$D$36,MATCH($T221,'Driver Factors'!$B$28:$B$36,0)),""),5)="Refer","MVR record. ",""))&amp;IF(LEFT(IFERROR(INDEX('Claims History'!$D$6:$D$15,MATCH($U221,'Claims History'!$B$6:$B$15,0)),""),7)="DECLINE","DECLINE - claims. ",IF(LEFT(IFERROR(INDEX('Claims History'!$D$6:$D$15,MATCH($U221,'Claims History'!$B$6:$B$15,0)),""),5)="Refer","Claims history. ",""))&amp;IF(LEFT(IFERROR(INDEX('Usage and Coverage'!$E$6:$E$20,MATCH($N221,'Usage and Coverage'!$C$6:$C$20,0)),""),7)="DECLINE","DECLINE - usage class. ",IF(LEFT(IFERROR(INDEX('Usage and Coverage'!$E$6:$E$20,MATCH($N221,'Usage and Coverage'!$C$6:$C$20,0)),""),5)="Refer","Usage class. ",""))&amp;IF($CX221="CHECK INPUTS","Incomplete inputs. ",""))))</f>
        <v/>
      </c>
      <c r="DB221" s="92"/>
      <c r="DC221" s="92"/>
      <c r="DD221" s="93"/>
      <c r="DE221" s="92"/>
      <c r="DF221" s="92"/>
      <c r="DG221" s="97" t="str">
        <f t="shared" si="51"/>
        <v/>
      </c>
      <c r="DH221" s="97" t="str">
        <f>IF($A221="","",IF(OR($CX221="REFER",$CX221="DECLINE"),COUNTIF($CX$5:$CX221,"REFER")+COUNTIF($CX$5:$CX221,"DECLINE"),""))</f>
        <v/>
      </c>
      <c r="DI221" s="92"/>
    </row>
    <row r="222" spans="1:113" x14ac:dyDescent="0.25">
      <c r="A222" s="92"/>
      <c r="B222" s="92"/>
      <c r="C222" s="93"/>
      <c r="D222" s="93"/>
      <c r="E222" s="94"/>
      <c r="F222" s="92"/>
      <c r="G222" s="92"/>
      <c r="H222" s="92"/>
      <c r="I222" s="92"/>
      <c r="J222" s="95"/>
      <c r="K222" s="92"/>
      <c r="L222" s="92"/>
      <c r="M222" s="92"/>
      <c r="N222" s="92"/>
      <c r="O222" s="92"/>
      <c r="P222" s="92"/>
      <c r="Q222" s="92"/>
      <c r="R222" s="92"/>
      <c r="S222" s="92"/>
      <c r="T222" s="92"/>
      <c r="U222" s="92"/>
      <c r="V222" s="92"/>
      <c r="W222" s="92"/>
      <c r="X222" s="92"/>
      <c r="Y222" s="92"/>
      <c r="Z222" s="92"/>
      <c r="AA222" s="92"/>
      <c r="AB222" s="92"/>
      <c r="AC222" s="92"/>
      <c r="AD222" s="92"/>
      <c r="AE222" s="92"/>
      <c r="AF222" s="92"/>
      <c r="AG222" s="92"/>
      <c r="AH222" s="92"/>
      <c r="AI222" s="92"/>
      <c r="AJ222" s="92"/>
      <c r="AK222" s="92"/>
      <c r="AL222" s="92"/>
      <c r="AM222" s="92"/>
      <c r="AN222" s="92"/>
      <c r="AO222" s="92"/>
      <c r="AP222" s="92"/>
      <c r="AQ222" s="96"/>
      <c r="AR222" s="97" t="str">
        <f t="shared" si="39"/>
        <v/>
      </c>
      <c r="AS222" s="97" t="str">
        <f>IF($A222="","",IF($AP222&lt;&gt;"",$AP222,IFERROR(INDEX('Cat Zone by ZIP'!$D$6:$D$856,MATCH($AR222,'Cat Zone by ZIP'!$B$6:$B$856,0)),IFERROR(INDEX('Cat Zone by ZIP'!$C$860:$C$910,MATCH($K222,'Cat Zone by ZIP'!$B$860:$B$910,0)),"NOT FOUND"))))</f>
        <v/>
      </c>
      <c r="AT222" s="97" t="str">
        <f>IF($A222="","",IF($AP222&lt;&gt;"","Override",IF(ISNUMBER(MATCH($AR222,'Cat Zone by ZIP'!$B$6:$B$856,0)),"ZIP-3","State default")))</f>
        <v/>
      </c>
      <c r="AU222" s="98" t="str">
        <f>IF($A222="","",IFERROR(INDEX('Natural Catastrophe'!$D$6:$D$17,MATCH($AS222,'Natural Catastrophe'!$B$6:$B$17,0)),"?"))</f>
        <v/>
      </c>
      <c r="AV222" s="98" t="str">
        <f>IF($A222="","",IFERROR(INDEX('Natural Catastrophe'!$C$21:$C$26,MATCH($AA222,'Natural Catastrophe'!$B$21:$B$26,0)),"?"))</f>
        <v/>
      </c>
      <c r="AW222" s="97" t="str">
        <f>IF($A222="","",IFERROR(INDEX('Base Rates'!$C$4:$I$4,MATCH(MAX($J222,'Technical Premium'!$C$18),'Base Rates'!$C$3:$I$3,1)),"?"))</f>
        <v/>
      </c>
      <c r="AX222" s="99" t="str">
        <f>IF($A222="","",IFERROR(INDEX('Base Rates'!$C$5:$I$16,MATCH($I222,'Base Rates'!$B$5:$B$16,0),MATCH(MAX($J222,'Technical Premium'!$C$18),'Base Rates'!$C$3:$I$3,1)),"?"))</f>
        <v/>
      </c>
      <c r="AY222" s="100" t="str">
        <f t="shared" si="40"/>
        <v/>
      </c>
      <c r="AZ222" s="97" t="str">
        <f>IF($A222="","",IFERROR(INDEX('Make Factors'!$G$5:$G$69,MATCH($F222,'Make Factors'!$B$5:$B$69,0)),"?"))</f>
        <v/>
      </c>
      <c r="BA222" s="97" t="str">
        <f>IF($A222="","",IFERROR(INDEX('Driver Factors'!$C$6:$C$15,MATCH($R222,'Driver Factors'!$B$6:$B$15,0)),"?"))</f>
        <v/>
      </c>
      <c r="BB222" s="97" t="str">
        <f>IF($A222="","",IFERROR(INDEX('Driver Factors'!$C$19:$C$24,MATCH($S222,'Driver Factors'!$B$19:$B$24,0)),"?"))</f>
        <v/>
      </c>
      <c r="BC222" s="97" t="str">
        <f>IF($A222="","",IFERROR(INDEX('Driver Factors'!$C$28:$C$36,MATCH($T222,'Driver Factors'!$B$28:$B$36,0)),"?"))</f>
        <v/>
      </c>
      <c r="BD222" s="97" t="str">
        <f>IF($A222="","",IFERROR(INDEX('Claims History'!$C$6:$C$15,MATCH($U222,'Claims History'!$B$6:$B$15,0)),"?"))</f>
        <v/>
      </c>
      <c r="BE222" s="97" t="str">
        <f>IF($A222="","",IFERROR(INDEX('Territory Factors'!$E$6:$E$56,MATCH($K222,'Territory Factors'!$B$6:$B$56,0)),"?"))</f>
        <v/>
      </c>
      <c r="BF222" s="97" t="str">
        <f>IF($A222="","",IFERROR(INDEX('City Accident Ratings'!$G$6:$G$54,MATCH($Z222,'City Accident Ratings'!$B$6:$B$54,0)),"?"))</f>
        <v/>
      </c>
      <c r="BG222" s="97" t="str">
        <f>IF($A222="","",IFERROR(INDEX('Usage and Coverage'!$D$6:$D$20,MATCH($N222,'Usage and Coverage'!$C$6:$C$20,0)),"?"))</f>
        <v/>
      </c>
      <c r="BH222" s="97" t="str">
        <f>IF($A222="","",IFERROR(INDEX('Usage and Coverage'!$C$24:$C$30,MATCH($O222,'Usage and Coverage'!$B$24:$B$30,0)),"?"))</f>
        <v/>
      </c>
      <c r="BI222" s="97" t="str">
        <f>IF($A222="","",IFERROR(INDEX('Usage and Coverage'!$C$34:$C$40,MATCH($P222,'Usage and Coverage'!$B$34:$B$40,0)),"?"))</f>
        <v/>
      </c>
      <c r="BJ222" s="97" t="str">
        <f>IF($A222="","",IFERROR(INDEX('Usage and Coverage'!$C$44:$C$49,MATCH($Q222,'Usage and Coverage'!$B$44:$B$49,0)),"?"))</f>
        <v/>
      </c>
      <c r="BK222" s="97" t="str">
        <f>IF($A222="","",IFERROR(INDEX(Deductibles!$C$6:$I$15,MATCH($W222,Deductibles!$B$6:$B$15,0),MATCH(MAX($J222,'Technical Premium'!$C$18),'Base Rates'!$C$3:$I$3,1)),"?"))</f>
        <v/>
      </c>
      <c r="BL222" s="97" t="str">
        <f>IF($A222="","",IFERROR(INDEX('Usage and Coverage'!$C$63:$C$66,MATCH($X222,'Usage and Coverage'!$B$63:$B$66,0)),"?"))</f>
        <v/>
      </c>
      <c r="BM222" s="97" t="str">
        <f>IF($A222="","",IFERROR(INDEX('Usage and Coverage'!$C$70:$C$75,MATCH($V222,'Usage and Coverage'!$B$70:$B$75,0)),"?"))</f>
        <v/>
      </c>
      <c r="BN222" s="97" t="str">
        <f>IF($A222="","",IF($AB222="",1,IFERROR(INDEX(Deductibles!$C$48:$C$51,MATCH($AB222,Deductibles!$B$48:$B$51,0)),"?")))</f>
        <v/>
      </c>
      <c r="BO222" s="97" t="str">
        <f>IF($A222="","",IF($AC222="",1,IFERROR(INDEX(Deductibles!$C$55:$C$57,MATCH($AC222,Deductibles!$B$55:$B$57,0)),"?")))</f>
        <v/>
      </c>
      <c r="BP222" s="97" t="str">
        <f>IF($A222="","",IF($AD222="",1,IFERROR(INDEX(Deductibles!$C$61:$C$63,MATCH($AD222,Deductibles!$B$61:$B$63,0)),"?")))</f>
        <v/>
      </c>
      <c r="BQ222" s="97" t="str">
        <f>IF($A222="","",IF($AE222="",1,IFERROR(INDEX(Deductibles!$C$67:$C$69,MATCH($AE222,Deductibles!$B$67:$B$69,0)),"?")))</f>
        <v/>
      </c>
      <c r="BR222" s="97" t="str">
        <f>IF($A222="","",IF($AF222="",1,IFERROR(INDEX(Deductibles!$C$73:$C$74,MATCH($AF222,Deductibles!$B$73:$B$74,0)),"?")))</f>
        <v/>
      </c>
      <c r="BS222" s="97" t="str">
        <f>IF($A222="","",IF($AG222="",1,IFERROR(INDEX('Sublimits and Parts'!$C$49:$C$52,MATCH($AG222,'Sublimits and Parts'!$B$49:$B$52,0)),"?")))</f>
        <v/>
      </c>
      <c r="BT222" s="97" t="str">
        <f>IF($A222="","",IF($AH222="",1,IFERROR(INDEX('Sublimits and Parts'!$C$56:$C$60,MATCH($AH222,'Sublimits and Parts'!$B$56:$B$60,0)),"?")))</f>
        <v/>
      </c>
      <c r="BU222" s="97" t="str">
        <f>IF($A222="","",IF($AI222="",1,IFERROR(INDEX('Sublimits and Parts'!$C$64:$C$67,MATCH($AI222,'Sublimits and Parts'!$B$64:$B$67,0)),"?")))</f>
        <v/>
      </c>
      <c r="BV222" s="97" t="str">
        <f>IF($A222="","",IF($AJ222="",1,IFERROR(INDEX('Sublimits and Parts'!$C$71:$C$74,MATCH($AJ222,'Sublimits and Parts'!$B$71:$B$74,0)),"?")))</f>
        <v/>
      </c>
      <c r="BW222" s="97" t="str">
        <f>IF($A222="","",IF($AK222="",1,IFERROR(INDEX('Sublimits and Parts'!$C$78:$C$80,MATCH($AK222,'Sublimits and Parts'!$B$78:$B$80,0)),"?")))</f>
        <v/>
      </c>
      <c r="BX222" s="97" t="str">
        <f>IF($A222="","",IF($AL222="",1,IFERROR(INDEX('Sublimits and Parts'!$C$84:$C$87,MATCH($AL222,'Sublimits and Parts'!$B$84:$B$87,0)),"?")))</f>
        <v/>
      </c>
      <c r="BY222" s="97" t="str">
        <f>IF($A222="","",IF($AM222="",1,IFERROR(INDEX('Sublimits and Parts'!$C$91:$C$94,MATCH($AM222,'Sublimits and Parts'!$B$91:$B$94,0)),"?")))</f>
        <v/>
      </c>
      <c r="BZ222" s="97" t="str">
        <f>IF($A222="","",IF($AN222="",1,IFERROR(INDEX('Sublimits and Parts'!$C$98:$C$101,MATCH($AN222,'Sublimits and Parts'!$B$98:$B$101,0)),"?")))</f>
        <v/>
      </c>
      <c r="CA222" s="97" t="str">
        <f>IF($A222="","",IF($AO222="",1,IFERROR(INDEX('Sublimits and Parts'!$C$105:$C$109,MATCH($AO222,'Sublimits and Parts'!$B$105:$B$109,0)),"?")))</f>
        <v/>
      </c>
      <c r="CB222" s="98" t="str">
        <f t="shared" si="41"/>
        <v/>
      </c>
      <c r="CC222" s="98" t="str">
        <f t="shared" si="42"/>
        <v/>
      </c>
      <c r="CD222" s="101" t="str">
        <f>IF($A222="","",IF(OR($CB222="?",$CC222="?"),"?",MIN($CB222*$CC222,'Technical Premium'!$C$17)))</f>
        <v/>
      </c>
      <c r="CE222" s="100" t="str">
        <f t="shared" si="43"/>
        <v/>
      </c>
      <c r="CF222" s="100" t="str">
        <f>IF($A222="","",IFERROR(INDEX('Territory Factors'!$F$6:$F$56,MATCH($K222,'Territory Factors'!$B$6:$B$56,0)),"?"))</f>
        <v/>
      </c>
      <c r="CG222" s="98" t="str">
        <f>IF($A222="","",IFERROR(INDEX('Usage and Coverage'!$C$79:$C$84,MATCH($Y222,'Usage and Coverage'!$B$79:$B$84,0)),"?"))</f>
        <v/>
      </c>
      <c r="CH222" s="100" t="str">
        <f>IFERROR(IF(ISNUMBER($CD222),$CF222*$CG222*MIN($BG222*$BA222*$BC222*$BD222*$BH222*$BF222,'Technical Premium'!$C$17),""),"")</f>
        <v/>
      </c>
      <c r="CI222" s="100" t="str">
        <f t="shared" si="44"/>
        <v/>
      </c>
      <c r="CJ222" s="100" t="str">
        <f>IFERROR($CI222*(1+'Technical Premium'!$C$5)*(1+'Technical Premium'!$C$6),"")</f>
        <v/>
      </c>
      <c r="CK222" s="100" t="str">
        <f>IFERROR($CE222*INDEX('Territory Factors'!$G$6:$G$56,MATCH($K222,'Territory Factors'!$B$6:$B$56,0))*$AU222*$AV222,"")</f>
        <v/>
      </c>
      <c r="CL222" s="100" t="str">
        <f>IFERROR(($CJ222+$CK222)*(1+'Technical Premium'!$C$7),"")</f>
        <v/>
      </c>
      <c r="CM222" s="102" t="str">
        <f>IFERROR($CL222/'Technical Premium'!$C$13,"")</f>
        <v/>
      </c>
      <c r="CN222" s="103" t="str">
        <f t="shared" si="45"/>
        <v/>
      </c>
      <c r="CO222" s="102" t="str">
        <f t="shared" si="46"/>
        <v/>
      </c>
      <c r="CP222" s="103" t="str">
        <f t="shared" si="47"/>
        <v/>
      </c>
      <c r="CQ222" s="104" t="str">
        <f t="shared" si="48"/>
        <v/>
      </c>
      <c r="CR222" s="100" t="str">
        <f>IF(ISNUMBER($CM222),'Technical Premium'!$C$14+IF($J222&gt;=1000000,'Technical Premium'!$C$15,0),"")</f>
        <v/>
      </c>
      <c r="CS222" s="100" t="str">
        <f>IFERROR(($CO222+$CR222)*(INDEX('Territory Factors'!$K$6:$K$56,MATCH($K222,'Territory Factors'!$B$6:$B$56,0))+'Commission Structure'!$C$21),"")</f>
        <v/>
      </c>
      <c r="CT222" s="102" t="str">
        <f t="shared" si="49"/>
        <v/>
      </c>
      <c r="CU222" s="100" t="str">
        <f>IFERROR($CO222*('Commission Structure'!$C$6+'Commission Structure'!$C$7),"")</f>
        <v/>
      </c>
      <c r="CV222" s="100" t="str">
        <f>IFERROR($CO222*'Commission Structure'!$C$5-$CU222,"")</f>
        <v/>
      </c>
      <c r="CW222" s="100" t="str">
        <f>IFERROR($CO222*(1-'Commission Structure'!$C$5),"")</f>
        <v/>
      </c>
      <c r="CX222" s="105" t="str">
        <f>IF($A222="","",IF(OR($CB222="?",$CC222="?",NOT(ISNUMBER($AU222))),"CHECK INPUTS",IF(OR($J222&lt;'Technical Premium'!$C$18,LEFT(IFERROR(INDEX('Driver Factors'!$D$6:$D$15,MATCH($R222,'Driver Factors'!$B$6:$B$15,0)),""),7)="DECLINE",LEFT(IFERROR(INDEX('Driver Factors'!$D$28:$D$36,MATCH($T222,'Driver Factors'!$B$28:$B$36,0)),""),7)="DECLINE",LEFT(IFERROR(INDEX('Claims History'!$D$6:$D$15,MATCH($U222,'Claims History'!$B$6:$B$15,0)),""),7)="DECLINE",LEFT(IFERROR(INDEX('Usage and Coverage'!$E$6:$E$20,MATCH($N222,'Usage and Coverage'!$C$6:$C$20,0)),""),7)="DECLINE"),"DECLINE",IF(OR($CD222&gt;2.5,$CD222&gt;='Technical Premium'!$C$17,$J222&gt;='Technical Premium'!$C$16,N($AQ222)&lt;'Technical Premium'!$C$19,N($AQ222)&gt;'Technical Premium'!$C$20,LEFT(IFERROR(INDEX('Driver Factors'!$D$6:$D$15,MATCH($R222,'Driver Factors'!$B$6:$B$15,0)),""),5)="Refer",LEFT(IFERROR(INDEX('Driver Factors'!$D$28:$D$36,MATCH($T222,'Driver Factors'!$B$28:$B$36,0)),""),5)="Refer",LEFT(IFERROR(INDEX('Claims History'!$D$6:$D$15,MATCH($U222,'Claims History'!$B$6:$B$15,0)),""),5)="Refer",LEFT(IFERROR(INDEX('Usage and Coverage'!$E$6:$E$20,MATCH($N222,'Usage and Coverage'!$C$6:$C$20,0)),""),5)="Refer"),"REFER","AUTO-BIND"))))</f>
        <v/>
      </c>
      <c r="CY222" s="106" t="str">
        <f t="shared" si="50"/>
        <v/>
      </c>
      <c r="CZ222" s="97" t="str">
        <f>IF($CY222="","",IF($CY222&lt;'Technical Premium'!$C$19,"BEYOND AUTHORITY",IF($CY222&gt;0.005,"Above technical",IF($CY222&lt;-0.005,"BELOW technical","At technical"))))</f>
        <v/>
      </c>
      <c r="DA222" s="97" t="str">
        <f>IF($A222="","",IF($CX222="AUTO-BIND","",TRIM(IF($J222&lt;'Technical Premium'!$C$18,"Below programme minimum agreed value. ","")&amp;IF(N($AQ222)&lt;'Technical Premium'!$C$19,"DISCOUNT AUTHORITY BREACH. ","")&amp;IF(N($AQ222)&gt;'Technical Premium'!$C$20,"Load authority breach. ","")&amp;IF($J222&gt;='Technical Premium'!$C$16,"Agreed value at or above auto-bind limit. ","")&amp;IF(AND(ISNUMBER($CD222),$CD222&gt;='Technical Premium'!$C$17),"Composite factor at cap. ","")&amp;IF(AND(ISNUMBER($CD222),$CD222&gt;2.5),"Composite factor above 2.50. ","")&amp;IF(LEFT(IFERROR(INDEX('Driver Factors'!$D$6:$D$15,MATCH($R222,'Driver Factors'!$B$6:$B$15,0)),""),7)="DECLINE","DECLINE - driver age. ",IF(LEFT(IFERROR(INDEX('Driver Factors'!$D$6:$D$15,MATCH($R222,'Driver Factors'!$B$6:$B$15,0)),""),5)="Refer","Driver age band. ",""))&amp;IF(LEFT(IFERROR(INDEX('Driver Factors'!$D$28:$D$36,MATCH($T222,'Driver Factors'!$B$28:$B$36,0)),""),7)="DECLINE","DECLINE - MVR. ",IF(LEFT(IFERROR(INDEX('Driver Factors'!$D$28:$D$36,MATCH($T222,'Driver Factors'!$B$28:$B$36,0)),""),5)="Refer","MVR record. ",""))&amp;IF(LEFT(IFERROR(INDEX('Claims History'!$D$6:$D$15,MATCH($U222,'Claims History'!$B$6:$B$15,0)),""),7)="DECLINE","DECLINE - claims. ",IF(LEFT(IFERROR(INDEX('Claims History'!$D$6:$D$15,MATCH($U222,'Claims History'!$B$6:$B$15,0)),""),5)="Refer","Claims history. ",""))&amp;IF(LEFT(IFERROR(INDEX('Usage and Coverage'!$E$6:$E$20,MATCH($N222,'Usage and Coverage'!$C$6:$C$20,0)),""),7)="DECLINE","DECLINE - usage class. ",IF(LEFT(IFERROR(INDEX('Usage and Coverage'!$E$6:$E$20,MATCH($N222,'Usage and Coverage'!$C$6:$C$20,0)),""),5)="Refer","Usage class. ",""))&amp;IF($CX222="CHECK INPUTS","Incomplete inputs. ",""))))</f>
        <v/>
      </c>
      <c r="DB222" s="92"/>
      <c r="DC222" s="92"/>
      <c r="DD222" s="93"/>
      <c r="DE222" s="92"/>
      <c r="DF222" s="92"/>
      <c r="DG222" s="97" t="str">
        <f t="shared" si="51"/>
        <v/>
      </c>
      <c r="DH222" s="97" t="str">
        <f>IF($A222="","",IF(OR($CX222="REFER",$CX222="DECLINE"),COUNTIF($CX$5:$CX222,"REFER")+COUNTIF($CX$5:$CX222,"DECLINE"),""))</f>
        <v/>
      </c>
      <c r="DI222" s="92"/>
    </row>
    <row r="223" spans="1:113" x14ac:dyDescent="0.25">
      <c r="A223" s="92"/>
      <c r="B223" s="92"/>
      <c r="C223" s="93"/>
      <c r="D223" s="93"/>
      <c r="E223" s="94"/>
      <c r="F223" s="92"/>
      <c r="G223" s="92"/>
      <c r="H223" s="92"/>
      <c r="I223" s="92"/>
      <c r="J223" s="95"/>
      <c r="K223" s="92"/>
      <c r="L223" s="92"/>
      <c r="M223" s="92"/>
      <c r="N223" s="92"/>
      <c r="O223" s="92"/>
      <c r="P223" s="92"/>
      <c r="Q223" s="92"/>
      <c r="R223" s="92"/>
      <c r="S223" s="92"/>
      <c r="T223" s="92"/>
      <c r="U223" s="92"/>
      <c r="V223" s="92"/>
      <c r="W223" s="92"/>
      <c r="X223" s="92"/>
      <c r="Y223" s="92"/>
      <c r="Z223" s="92"/>
      <c r="AA223" s="92"/>
      <c r="AB223" s="92"/>
      <c r="AC223" s="92"/>
      <c r="AD223" s="92"/>
      <c r="AE223" s="92"/>
      <c r="AF223" s="92"/>
      <c r="AG223" s="92"/>
      <c r="AH223" s="92"/>
      <c r="AI223" s="92"/>
      <c r="AJ223" s="92"/>
      <c r="AK223" s="92"/>
      <c r="AL223" s="92"/>
      <c r="AM223" s="92"/>
      <c r="AN223" s="92"/>
      <c r="AO223" s="92"/>
      <c r="AP223" s="92"/>
      <c r="AQ223" s="96"/>
      <c r="AR223" s="97" t="str">
        <f t="shared" si="39"/>
        <v/>
      </c>
      <c r="AS223" s="97" t="str">
        <f>IF($A223="","",IF($AP223&lt;&gt;"",$AP223,IFERROR(INDEX('Cat Zone by ZIP'!$D$6:$D$856,MATCH($AR223,'Cat Zone by ZIP'!$B$6:$B$856,0)),IFERROR(INDEX('Cat Zone by ZIP'!$C$860:$C$910,MATCH($K223,'Cat Zone by ZIP'!$B$860:$B$910,0)),"NOT FOUND"))))</f>
        <v/>
      </c>
      <c r="AT223" s="97" t="str">
        <f>IF($A223="","",IF($AP223&lt;&gt;"","Override",IF(ISNUMBER(MATCH($AR223,'Cat Zone by ZIP'!$B$6:$B$856,0)),"ZIP-3","State default")))</f>
        <v/>
      </c>
      <c r="AU223" s="98" t="str">
        <f>IF($A223="","",IFERROR(INDEX('Natural Catastrophe'!$D$6:$D$17,MATCH($AS223,'Natural Catastrophe'!$B$6:$B$17,0)),"?"))</f>
        <v/>
      </c>
      <c r="AV223" s="98" t="str">
        <f>IF($A223="","",IFERROR(INDEX('Natural Catastrophe'!$C$21:$C$26,MATCH($AA223,'Natural Catastrophe'!$B$21:$B$26,0)),"?"))</f>
        <v/>
      </c>
      <c r="AW223" s="97" t="str">
        <f>IF($A223="","",IFERROR(INDEX('Base Rates'!$C$4:$I$4,MATCH(MAX($J223,'Technical Premium'!$C$18),'Base Rates'!$C$3:$I$3,1)),"?"))</f>
        <v/>
      </c>
      <c r="AX223" s="99" t="str">
        <f>IF($A223="","",IFERROR(INDEX('Base Rates'!$C$5:$I$16,MATCH($I223,'Base Rates'!$B$5:$B$16,0),MATCH(MAX($J223,'Technical Premium'!$C$18),'Base Rates'!$C$3:$I$3,1)),"?"))</f>
        <v/>
      </c>
      <c r="AY223" s="100" t="str">
        <f t="shared" si="40"/>
        <v/>
      </c>
      <c r="AZ223" s="97" t="str">
        <f>IF($A223="","",IFERROR(INDEX('Make Factors'!$G$5:$G$69,MATCH($F223,'Make Factors'!$B$5:$B$69,0)),"?"))</f>
        <v/>
      </c>
      <c r="BA223" s="97" t="str">
        <f>IF($A223="","",IFERROR(INDEX('Driver Factors'!$C$6:$C$15,MATCH($R223,'Driver Factors'!$B$6:$B$15,0)),"?"))</f>
        <v/>
      </c>
      <c r="BB223" s="97" t="str">
        <f>IF($A223="","",IFERROR(INDEX('Driver Factors'!$C$19:$C$24,MATCH($S223,'Driver Factors'!$B$19:$B$24,0)),"?"))</f>
        <v/>
      </c>
      <c r="BC223" s="97" t="str">
        <f>IF($A223="","",IFERROR(INDEX('Driver Factors'!$C$28:$C$36,MATCH($T223,'Driver Factors'!$B$28:$B$36,0)),"?"))</f>
        <v/>
      </c>
      <c r="BD223" s="97" t="str">
        <f>IF($A223="","",IFERROR(INDEX('Claims History'!$C$6:$C$15,MATCH($U223,'Claims History'!$B$6:$B$15,0)),"?"))</f>
        <v/>
      </c>
      <c r="BE223" s="97" t="str">
        <f>IF($A223="","",IFERROR(INDEX('Territory Factors'!$E$6:$E$56,MATCH($K223,'Territory Factors'!$B$6:$B$56,0)),"?"))</f>
        <v/>
      </c>
      <c r="BF223" s="97" t="str">
        <f>IF($A223="","",IFERROR(INDEX('City Accident Ratings'!$G$6:$G$54,MATCH($Z223,'City Accident Ratings'!$B$6:$B$54,0)),"?"))</f>
        <v/>
      </c>
      <c r="BG223" s="97" t="str">
        <f>IF($A223="","",IFERROR(INDEX('Usage and Coverage'!$D$6:$D$20,MATCH($N223,'Usage and Coverage'!$C$6:$C$20,0)),"?"))</f>
        <v/>
      </c>
      <c r="BH223" s="97" t="str">
        <f>IF($A223="","",IFERROR(INDEX('Usage and Coverage'!$C$24:$C$30,MATCH($O223,'Usage and Coverage'!$B$24:$B$30,0)),"?"))</f>
        <v/>
      </c>
      <c r="BI223" s="97" t="str">
        <f>IF($A223="","",IFERROR(INDEX('Usage and Coverage'!$C$34:$C$40,MATCH($P223,'Usage and Coverage'!$B$34:$B$40,0)),"?"))</f>
        <v/>
      </c>
      <c r="BJ223" s="97" t="str">
        <f>IF($A223="","",IFERROR(INDEX('Usage and Coverage'!$C$44:$C$49,MATCH($Q223,'Usage and Coverage'!$B$44:$B$49,0)),"?"))</f>
        <v/>
      </c>
      <c r="BK223" s="97" t="str">
        <f>IF($A223="","",IFERROR(INDEX(Deductibles!$C$6:$I$15,MATCH($W223,Deductibles!$B$6:$B$15,0),MATCH(MAX($J223,'Technical Premium'!$C$18),'Base Rates'!$C$3:$I$3,1)),"?"))</f>
        <v/>
      </c>
      <c r="BL223" s="97" t="str">
        <f>IF($A223="","",IFERROR(INDEX('Usage and Coverage'!$C$63:$C$66,MATCH($X223,'Usage and Coverage'!$B$63:$B$66,0)),"?"))</f>
        <v/>
      </c>
      <c r="BM223" s="97" t="str">
        <f>IF($A223="","",IFERROR(INDEX('Usage and Coverage'!$C$70:$C$75,MATCH($V223,'Usage and Coverage'!$B$70:$B$75,0)),"?"))</f>
        <v/>
      </c>
      <c r="BN223" s="97" t="str">
        <f>IF($A223="","",IF($AB223="",1,IFERROR(INDEX(Deductibles!$C$48:$C$51,MATCH($AB223,Deductibles!$B$48:$B$51,0)),"?")))</f>
        <v/>
      </c>
      <c r="BO223" s="97" t="str">
        <f>IF($A223="","",IF($AC223="",1,IFERROR(INDEX(Deductibles!$C$55:$C$57,MATCH($AC223,Deductibles!$B$55:$B$57,0)),"?")))</f>
        <v/>
      </c>
      <c r="BP223" s="97" t="str">
        <f>IF($A223="","",IF($AD223="",1,IFERROR(INDEX(Deductibles!$C$61:$C$63,MATCH($AD223,Deductibles!$B$61:$B$63,0)),"?")))</f>
        <v/>
      </c>
      <c r="BQ223" s="97" t="str">
        <f>IF($A223="","",IF($AE223="",1,IFERROR(INDEX(Deductibles!$C$67:$C$69,MATCH($AE223,Deductibles!$B$67:$B$69,0)),"?")))</f>
        <v/>
      </c>
      <c r="BR223" s="97" t="str">
        <f>IF($A223="","",IF($AF223="",1,IFERROR(INDEX(Deductibles!$C$73:$C$74,MATCH($AF223,Deductibles!$B$73:$B$74,0)),"?")))</f>
        <v/>
      </c>
      <c r="BS223" s="97" t="str">
        <f>IF($A223="","",IF($AG223="",1,IFERROR(INDEX('Sublimits and Parts'!$C$49:$C$52,MATCH($AG223,'Sublimits and Parts'!$B$49:$B$52,0)),"?")))</f>
        <v/>
      </c>
      <c r="BT223" s="97" t="str">
        <f>IF($A223="","",IF($AH223="",1,IFERROR(INDEX('Sublimits and Parts'!$C$56:$C$60,MATCH($AH223,'Sublimits and Parts'!$B$56:$B$60,0)),"?")))</f>
        <v/>
      </c>
      <c r="BU223" s="97" t="str">
        <f>IF($A223="","",IF($AI223="",1,IFERROR(INDEX('Sublimits and Parts'!$C$64:$C$67,MATCH($AI223,'Sublimits and Parts'!$B$64:$B$67,0)),"?")))</f>
        <v/>
      </c>
      <c r="BV223" s="97" t="str">
        <f>IF($A223="","",IF($AJ223="",1,IFERROR(INDEX('Sublimits and Parts'!$C$71:$C$74,MATCH($AJ223,'Sublimits and Parts'!$B$71:$B$74,0)),"?")))</f>
        <v/>
      </c>
      <c r="BW223" s="97" t="str">
        <f>IF($A223="","",IF($AK223="",1,IFERROR(INDEX('Sublimits and Parts'!$C$78:$C$80,MATCH($AK223,'Sublimits and Parts'!$B$78:$B$80,0)),"?")))</f>
        <v/>
      </c>
      <c r="BX223" s="97" t="str">
        <f>IF($A223="","",IF($AL223="",1,IFERROR(INDEX('Sublimits and Parts'!$C$84:$C$87,MATCH($AL223,'Sublimits and Parts'!$B$84:$B$87,0)),"?")))</f>
        <v/>
      </c>
      <c r="BY223" s="97" t="str">
        <f>IF($A223="","",IF($AM223="",1,IFERROR(INDEX('Sublimits and Parts'!$C$91:$C$94,MATCH($AM223,'Sublimits and Parts'!$B$91:$B$94,0)),"?")))</f>
        <v/>
      </c>
      <c r="BZ223" s="97" t="str">
        <f>IF($A223="","",IF($AN223="",1,IFERROR(INDEX('Sublimits and Parts'!$C$98:$C$101,MATCH($AN223,'Sublimits and Parts'!$B$98:$B$101,0)),"?")))</f>
        <v/>
      </c>
      <c r="CA223" s="97" t="str">
        <f>IF($A223="","",IF($AO223="",1,IFERROR(INDEX('Sublimits and Parts'!$C$105:$C$109,MATCH($AO223,'Sublimits and Parts'!$B$105:$B$109,0)),"?")))</f>
        <v/>
      </c>
      <c r="CB223" s="98" t="str">
        <f t="shared" si="41"/>
        <v/>
      </c>
      <c r="CC223" s="98" t="str">
        <f t="shared" si="42"/>
        <v/>
      </c>
      <c r="CD223" s="101" t="str">
        <f>IF($A223="","",IF(OR($CB223="?",$CC223="?"),"?",MIN($CB223*$CC223,'Technical Premium'!$C$17)))</f>
        <v/>
      </c>
      <c r="CE223" s="100" t="str">
        <f t="shared" si="43"/>
        <v/>
      </c>
      <c r="CF223" s="100" t="str">
        <f>IF($A223="","",IFERROR(INDEX('Territory Factors'!$F$6:$F$56,MATCH($K223,'Territory Factors'!$B$6:$B$56,0)),"?"))</f>
        <v/>
      </c>
      <c r="CG223" s="98" t="str">
        <f>IF($A223="","",IFERROR(INDEX('Usage and Coverage'!$C$79:$C$84,MATCH($Y223,'Usage and Coverage'!$B$79:$B$84,0)),"?"))</f>
        <v/>
      </c>
      <c r="CH223" s="100" t="str">
        <f>IFERROR(IF(ISNUMBER($CD223),$CF223*$CG223*MIN($BG223*$BA223*$BC223*$BD223*$BH223*$BF223,'Technical Premium'!$C$17),""),"")</f>
        <v/>
      </c>
      <c r="CI223" s="100" t="str">
        <f t="shared" si="44"/>
        <v/>
      </c>
      <c r="CJ223" s="100" t="str">
        <f>IFERROR($CI223*(1+'Technical Premium'!$C$5)*(1+'Technical Premium'!$C$6),"")</f>
        <v/>
      </c>
      <c r="CK223" s="100" t="str">
        <f>IFERROR($CE223*INDEX('Territory Factors'!$G$6:$G$56,MATCH($K223,'Territory Factors'!$B$6:$B$56,0))*$AU223*$AV223,"")</f>
        <v/>
      </c>
      <c r="CL223" s="100" t="str">
        <f>IFERROR(($CJ223+$CK223)*(1+'Technical Premium'!$C$7),"")</f>
        <v/>
      </c>
      <c r="CM223" s="102" t="str">
        <f>IFERROR($CL223/'Technical Premium'!$C$13,"")</f>
        <v/>
      </c>
      <c r="CN223" s="103" t="str">
        <f t="shared" si="45"/>
        <v/>
      </c>
      <c r="CO223" s="102" t="str">
        <f t="shared" si="46"/>
        <v/>
      </c>
      <c r="CP223" s="103" t="str">
        <f t="shared" si="47"/>
        <v/>
      </c>
      <c r="CQ223" s="104" t="str">
        <f t="shared" si="48"/>
        <v/>
      </c>
      <c r="CR223" s="100" t="str">
        <f>IF(ISNUMBER($CM223),'Technical Premium'!$C$14+IF($J223&gt;=1000000,'Technical Premium'!$C$15,0),"")</f>
        <v/>
      </c>
      <c r="CS223" s="100" t="str">
        <f>IFERROR(($CO223+$CR223)*(INDEX('Territory Factors'!$K$6:$K$56,MATCH($K223,'Territory Factors'!$B$6:$B$56,0))+'Commission Structure'!$C$21),"")</f>
        <v/>
      </c>
      <c r="CT223" s="102" t="str">
        <f t="shared" si="49"/>
        <v/>
      </c>
      <c r="CU223" s="100" t="str">
        <f>IFERROR($CO223*('Commission Structure'!$C$6+'Commission Structure'!$C$7),"")</f>
        <v/>
      </c>
      <c r="CV223" s="100" t="str">
        <f>IFERROR($CO223*'Commission Structure'!$C$5-$CU223,"")</f>
        <v/>
      </c>
      <c r="CW223" s="100" t="str">
        <f>IFERROR($CO223*(1-'Commission Structure'!$C$5),"")</f>
        <v/>
      </c>
      <c r="CX223" s="105" t="str">
        <f>IF($A223="","",IF(OR($CB223="?",$CC223="?",NOT(ISNUMBER($AU223))),"CHECK INPUTS",IF(OR($J223&lt;'Technical Premium'!$C$18,LEFT(IFERROR(INDEX('Driver Factors'!$D$6:$D$15,MATCH($R223,'Driver Factors'!$B$6:$B$15,0)),""),7)="DECLINE",LEFT(IFERROR(INDEX('Driver Factors'!$D$28:$D$36,MATCH($T223,'Driver Factors'!$B$28:$B$36,0)),""),7)="DECLINE",LEFT(IFERROR(INDEX('Claims History'!$D$6:$D$15,MATCH($U223,'Claims History'!$B$6:$B$15,0)),""),7)="DECLINE",LEFT(IFERROR(INDEX('Usage and Coverage'!$E$6:$E$20,MATCH($N223,'Usage and Coverage'!$C$6:$C$20,0)),""),7)="DECLINE"),"DECLINE",IF(OR($CD223&gt;2.5,$CD223&gt;='Technical Premium'!$C$17,$J223&gt;='Technical Premium'!$C$16,N($AQ223)&lt;'Technical Premium'!$C$19,N($AQ223)&gt;'Technical Premium'!$C$20,LEFT(IFERROR(INDEX('Driver Factors'!$D$6:$D$15,MATCH($R223,'Driver Factors'!$B$6:$B$15,0)),""),5)="Refer",LEFT(IFERROR(INDEX('Driver Factors'!$D$28:$D$36,MATCH($T223,'Driver Factors'!$B$28:$B$36,0)),""),5)="Refer",LEFT(IFERROR(INDEX('Claims History'!$D$6:$D$15,MATCH($U223,'Claims History'!$B$6:$B$15,0)),""),5)="Refer",LEFT(IFERROR(INDEX('Usage and Coverage'!$E$6:$E$20,MATCH($N223,'Usage and Coverage'!$C$6:$C$20,0)),""),5)="Refer"),"REFER","AUTO-BIND"))))</f>
        <v/>
      </c>
      <c r="CY223" s="106" t="str">
        <f t="shared" si="50"/>
        <v/>
      </c>
      <c r="CZ223" s="97" t="str">
        <f>IF($CY223="","",IF($CY223&lt;'Technical Premium'!$C$19,"BEYOND AUTHORITY",IF($CY223&gt;0.005,"Above technical",IF($CY223&lt;-0.005,"BELOW technical","At technical"))))</f>
        <v/>
      </c>
      <c r="DA223" s="97" t="str">
        <f>IF($A223="","",IF($CX223="AUTO-BIND","",TRIM(IF($J223&lt;'Technical Premium'!$C$18,"Below programme minimum agreed value. ","")&amp;IF(N($AQ223)&lt;'Technical Premium'!$C$19,"DISCOUNT AUTHORITY BREACH. ","")&amp;IF(N($AQ223)&gt;'Technical Premium'!$C$20,"Load authority breach. ","")&amp;IF($J223&gt;='Technical Premium'!$C$16,"Agreed value at or above auto-bind limit. ","")&amp;IF(AND(ISNUMBER($CD223),$CD223&gt;='Technical Premium'!$C$17),"Composite factor at cap. ","")&amp;IF(AND(ISNUMBER($CD223),$CD223&gt;2.5),"Composite factor above 2.50. ","")&amp;IF(LEFT(IFERROR(INDEX('Driver Factors'!$D$6:$D$15,MATCH($R223,'Driver Factors'!$B$6:$B$15,0)),""),7)="DECLINE","DECLINE - driver age. ",IF(LEFT(IFERROR(INDEX('Driver Factors'!$D$6:$D$15,MATCH($R223,'Driver Factors'!$B$6:$B$15,0)),""),5)="Refer","Driver age band. ",""))&amp;IF(LEFT(IFERROR(INDEX('Driver Factors'!$D$28:$D$36,MATCH($T223,'Driver Factors'!$B$28:$B$36,0)),""),7)="DECLINE","DECLINE - MVR. ",IF(LEFT(IFERROR(INDEX('Driver Factors'!$D$28:$D$36,MATCH($T223,'Driver Factors'!$B$28:$B$36,0)),""),5)="Refer","MVR record. ",""))&amp;IF(LEFT(IFERROR(INDEX('Claims History'!$D$6:$D$15,MATCH($U223,'Claims History'!$B$6:$B$15,0)),""),7)="DECLINE","DECLINE - claims. ",IF(LEFT(IFERROR(INDEX('Claims History'!$D$6:$D$15,MATCH($U223,'Claims History'!$B$6:$B$15,0)),""),5)="Refer","Claims history. ",""))&amp;IF(LEFT(IFERROR(INDEX('Usage and Coverage'!$E$6:$E$20,MATCH($N223,'Usage and Coverage'!$C$6:$C$20,0)),""),7)="DECLINE","DECLINE - usage class. ",IF(LEFT(IFERROR(INDEX('Usage and Coverage'!$E$6:$E$20,MATCH($N223,'Usage and Coverage'!$C$6:$C$20,0)),""),5)="Refer","Usage class. ",""))&amp;IF($CX223="CHECK INPUTS","Incomplete inputs. ",""))))</f>
        <v/>
      </c>
      <c r="DB223" s="92"/>
      <c r="DC223" s="92"/>
      <c r="DD223" s="93"/>
      <c r="DE223" s="92"/>
      <c r="DF223" s="92"/>
      <c r="DG223" s="97" t="str">
        <f t="shared" si="51"/>
        <v/>
      </c>
      <c r="DH223" s="97" t="str">
        <f>IF($A223="","",IF(OR($CX223="REFER",$CX223="DECLINE"),COUNTIF($CX$5:$CX223,"REFER")+COUNTIF($CX$5:$CX223,"DECLINE"),""))</f>
        <v/>
      </c>
      <c r="DI223" s="92"/>
    </row>
    <row r="224" spans="1:113" x14ac:dyDescent="0.25">
      <c r="A224" s="92"/>
      <c r="B224" s="92"/>
      <c r="C224" s="93"/>
      <c r="D224" s="93"/>
      <c r="E224" s="94"/>
      <c r="F224" s="92"/>
      <c r="G224" s="92"/>
      <c r="H224" s="92"/>
      <c r="I224" s="92"/>
      <c r="J224" s="95"/>
      <c r="K224" s="92"/>
      <c r="L224" s="92"/>
      <c r="M224" s="92"/>
      <c r="N224" s="92"/>
      <c r="O224" s="92"/>
      <c r="P224" s="92"/>
      <c r="Q224" s="92"/>
      <c r="R224" s="92"/>
      <c r="S224" s="92"/>
      <c r="T224" s="92"/>
      <c r="U224" s="92"/>
      <c r="V224" s="92"/>
      <c r="W224" s="92"/>
      <c r="X224" s="92"/>
      <c r="Y224" s="92"/>
      <c r="Z224" s="92"/>
      <c r="AA224" s="92"/>
      <c r="AB224" s="92"/>
      <c r="AC224" s="92"/>
      <c r="AD224" s="92"/>
      <c r="AE224" s="92"/>
      <c r="AF224" s="92"/>
      <c r="AG224" s="92"/>
      <c r="AH224" s="92"/>
      <c r="AI224" s="92"/>
      <c r="AJ224" s="92"/>
      <c r="AK224" s="92"/>
      <c r="AL224" s="92"/>
      <c r="AM224" s="92"/>
      <c r="AN224" s="92"/>
      <c r="AO224" s="92"/>
      <c r="AP224" s="92"/>
      <c r="AQ224" s="96"/>
      <c r="AR224" s="97" t="str">
        <f t="shared" si="39"/>
        <v/>
      </c>
      <c r="AS224" s="97" t="str">
        <f>IF($A224="","",IF($AP224&lt;&gt;"",$AP224,IFERROR(INDEX('Cat Zone by ZIP'!$D$6:$D$856,MATCH($AR224,'Cat Zone by ZIP'!$B$6:$B$856,0)),IFERROR(INDEX('Cat Zone by ZIP'!$C$860:$C$910,MATCH($K224,'Cat Zone by ZIP'!$B$860:$B$910,0)),"NOT FOUND"))))</f>
        <v/>
      </c>
      <c r="AT224" s="97" t="str">
        <f>IF($A224="","",IF($AP224&lt;&gt;"","Override",IF(ISNUMBER(MATCH($AR224,'Cat Zone by ZIP'!$B$6:$B$856,0)),"ZIP-3","State default")))</f>
        <v/>
      </c>
      <c r="AU224" s="98" t="str">
        <f>IF($A224="","",IFERROR(INDEX('Natural Catastrophe'!$D$6:$D$17,MATCH($AS224,'Natural Catastrophe'!$B$6:$B$17,0)),"?"))</f>
        <v/>
      </c>
      <c r="AV224" s="98" t="str">
        <f>IF($A224="","",IFERROR(INDEX('Natural Catastrophe'!$C$21:$C$26,MATCH($AA224,'Natural Catastrophe'!$B$21:$B$26,0)),"?"))</f>
        <v/>
      </c>
      <c r="AW224" s="97" t="str">
        <f>IF($A224="","",IFERROR(INDEX('Base Rates'!$C$4:$I$4,MATCH(MAX($J224,'Technical Premium'!$C$18),'Base Rates'!$C$3:$I$3,1)),"?"))</f>
        <v/>
      </c>
      <c r="AX224" s="99" t="str">
        <f>IF($A224="","",IFERROR(INDEX('Base Rates'!$C$5:$I$16,MATCH($I224,'Base Rates'!$B$5:$B$16,0),MATCH(MAX($J224,'Technical Premium'!$C$18),'Base Rates'!$C$3:$I$3,1)),"?"))</f>
        <v/>
      </c>
      <c r="AY224" s="100" t="str">
        <f t="shared" si="40"/>
        <v/>
      </c>
      <c r="AZ224" s="97" t="str">
        <f>IF($A224="","",IFERROR(INDEX('Make Factors'!$G$5:$G$69,MATCH($F224,'Make Factors'!$B$5:$B$69,0)),"?"))</f>
        <v/>
      </c>
      <c r="BA224" s="97" t="str">
        <f>IF($A224="","",IFERROR(INDEX('Driver Factors'!$C$6:$C$15,MATCH($R224,'Driver Factors'!$B$6:$B$15,0)),"?"))</f>
        <v/>
      </c>
      <c r="BB224" s="97" t="str">
        <f>IF($A224="","",IFERROR(INDEX('Driver Factors'!$C$19:$C$24,MATCH($S224,'Driver Factors'!$B$19:$B$24,0)),"?"))</f>
        <v/>
      </c>
      <c r="BC224" s="97" t="str">
        <f>IF($A224="","",IFERROR(INDEX('Driver Factors'!$C$28:$C$36,MATCH($T224,'Driver Factors'!$B$28:$B$36,0)),"?"))</f>
        <v/>
      </c>
      <c r="BD224" s="97" t="str">
        <f>IF($A224="","",IFERROR(INDEX('Claims History'!$C$6:$C$15,MATCH($U224,'Claims History'!$B$6:$B$15,0)),"?"))</f>
        <v/>
      </c>
      <c r="BE224" s="97" t="str">
        <f>IF($A224="","",IFERROR(INDEX('Territory Factors'!$E$6:$E$56,MATCH($K224,'Territory Factors'!$B$6:$B$56,0)),"?"))</f>
        <v/>
      </c>
      <c r="BF224" s="97" t="str">
        <f>IF($A224="","",IFERROR(INDEX('City Accident Ratings'!$G$6:$G$54,MATCH($Z224,'City Accident Ratings'!$B$6:$B$54,0)),"?"))</f>
        <v/>
      </c>
      <c r="BG224" s="97" t="str">
        <f>IF($A224="","",IFERROR(INDEX('Usage and Coverage'!$D$6:$D$20,MATCH($N224,'Usage and Coverage'!$C$6:$C$20,0)),"?"))</f>
        <v/>
      </c>
      <c r="BH224" s="97" t="str">
        <f>IF($A224="","",IFERROR(INDEX('Usage and Coverage'!$C$24:$C$30,MATCH($O224,'Usage and Coverage'!$B$24:$B$30,0)),"?"))</f>
        <v/>
      </c>
      <c r="BI224" s="97" t="str">
        <f>IF($A224="","",IFERROR(INDEX('Usage and Coverage'!$C$34:$C$40,MATCH($P224,'Usage and Coverage'!$B$34:$B$40,0)),"?"))</f>
        <v/>
      </c>
      <c r="BJ224" s="97" t="str">
        <f>IF($A224="","",IFERROR(INDEX('Usage and Coverage'!$C$44:$C$49,MATCH($Q224,'Usage and Coverage'!$B$44:$B$49,0)),"?"))</f>
        <v/>
      </c>
      <c r="BK224" s="97" t="str">
        <f>IF($A224="","",IFERROR(INDEX(Deductibles!$C$6:$I$15,MATCH($W224,Deductibles!$B$6:$B$15,0),MATCH(MAX($J224,'Technical Premium'!$C$18),'Base Rates'!$C$3:$I$3,1)),"?"))</f>
        <v/>
      </c>
      <c r="BL224" s="97" t="str">
        <f>IF($A224="","",IFERROR(INDEX('Usage and Coverage'!$C$63:$C$66,MATCH($X224,'Usage and Coverage'!$B$63:$B$66,0)),"?"))</f>
        <v/>
      </c>
      <c r="BM224" s="97" t="str">
        <f>IF($A224="","",IFERROR(INDEX('Usage and Coverage'!$C$70:$C$75,MATCH($V224,'Usage and Coverage'!$B$70:$B$75,0)),"?"))</f>
        <v/>
      </c>
      <c r="BN224" s="97" t="str">
        <f>IF($A224="","",IF($AB224="",1,IFERROR(INDEX(Deductibles!$C$48:$C$51,MATCH($AB224,Deductibles!$B$48:$B$51,0)),"?")))</f>
        <v/>
      </c>
      <c r="BO224" s="97" t="str">
        <f>IF($A224="","",IF($AC224="",1,IFERROR(INDEX(Deductibles!$C$55:$C$57,MATCH($AC224,Deductibles!$B$55:$B$57,0)),"?")))</f>
        <v/>
      </c>
      <c r="BP224" s="97" t="str">
        <f>IF($A224="","",IF($AD224="",1,IFERROR(INDEX(Deductibles!$C$61:$C$63,MATCH($AD224,Deductibles!$B$61:$B$63,0)),"?")))</f>
        <v/>
      </c>
      <c r="BQ224" s="97" t="str">
        <f>IF($A224="","",IF($AE224="",1,IFERROR(INDEX(Deductibles!$C$67:$C$69,MATCH($AE224,Deductibles!$B$67:$B$69,0)),"?")))</f>
        <v/>
      </c>
      <c r="BR224" s="97" t="str">
        <f>IF($A224="","",IF($AF224="",1,IFERROR(INDEX(Deductibles!$C$73:$C$74,MATCH($AF224,Deductibles!$B$73:$B$74,0)),"?")))</f>
        <v/>
      </c>
      <c r="BS224" s="97" t="str">
        <f>IF($A224="","",IF($AG224="",1,IFERROR(INDEX('Sublimits and Parts'!$C$49:$C$52,MATCH($AG224,'Sublimits and Parts'!$B$49:$B$52,0)),"?")))</f>
        <v/>
      </c>
      <c r="BT224" s="97" t="str">
        <f>IF($A224="","",IF($AH224="",1,IFERROR(INDEX('Sublimits and Parts'!$C$56:$C$60,MATCH($AH224,'Sublimits and Parts'!$B$56:$B$60,0)),"?")))</f>
        <v/>
      </c>
      <c r="BU224" s="97" t="str">
        <f>IF($A224="","",IF($AI224="",1,IFERROR(INDEX('Sublimits and Parts'!$C$64:$C$67,MATCH($AI224,'Sublimits and Parts'!$B$64:$B$67,0)),"?")))</f>
        <v/>
      </c>
      <c r="BV224" s="97" t="str">
        <f>IF($A224="","",IF($AJ224="",1,IFERROR(INDEX('Sublimits and Parts'!$C$71:$C$74,MATCH($AJ224,'Sublimits and Parts'!$B$71:$B$74,0)),"?")))</f>
        <v/>
      </c>
      <c r="BW224" s="97" t="str">
        <f>IF($A224="","",IF($AK224="",1,IFERROR(INDEX('Sublimits and Parts'!$C$78:$C$80,MATCH($AK224,'Sublimits and Parts'!$B$78:$B$80,0)),"?")))</f>
        <v/>
      </c>
      <c r="BX224" s="97" t="str">
        <f>IF($A224="","",IF($AL224="",1,IFERROR(INDEX('Sublimits and Parts'!$C$84:$C$87,MATCH($AL224,'Sublimits and Parts'!$B$84:$B$87,0)),"?")))</f>
        <v/>
      </c>
      <c r="BY224" s="97" t="str">
        <f>IF($A224="","",IF($AM224="",1,IFERROR(INDEX('Sublimits and Parts'!$C$91:$C$94,MATCH($AM224,'Sublimits and Parts'!$B$91:$B$94,0)),"?")))</f>
        <v/>
      </c>
      <c r="BZ224" s="97" t="str">
        <f>IF($A224="","",IF($AN224="",1,IFERROR(INDEX('Sublimits and Parts'!$C$98:$C$101,MATCH($AN224,'Sublimits and Parts'!$B$98:$B$101,0)),"?")))</f>
        <v/>
      </c>
      <c r="CA224" s="97" t="str">
        <f>IF($A224="","",IF($AO224="",1,IFERROR(INDEX('Sublimits and Parts'!$C$105:$C$109,MATCH($AO224,'Sublimits and Parts'!$B$105:$B$109,0)),"?")))</f>
        <v/>
      </c>
      <c r="CB224" s="98" t="str">
        <f t="shared" si="41"/>
        <v/>
      </c>
      <c r="CC224" s="98" t="str">
        <f t="shared" si="42"/>
        <v/>
      </c>
      <c r="CD224" s="101" t="str">
        <f>IF($A224="","",IF(OR($CB224="?",$CC224="?"),"?",MIN($CB224*$CC224,'Technical Premium'!$C$17)))</f>
        <v/>
      </c>
      <c r="CE224" s="100" t="str">
        <f t="shared" si="43"/>
        <v/>
      </c>
      <c r="CF224" s="100" t="str">
        <f>IF($A224="","",IFERROR(INDEX('Territory Factors'!$F$6:$F$56,MATCH($K224,'Territory Factors'!$B$6:$B$56,0)),"?"))</f>
        <v/>
      </c>
      <c r="CG224" s="98" t="str">
        <f>IF($A224="","",IFERROR(INDEX('Usage and Coverage'!$C$79:$C$84,MATCH($Y224,'Usage and Coverage'!$B$79:$B$84,0)),"?"))</f>
        <v/>
      </c>
      <c r="CH224" s="100" t="str">
        <f>IFERROR(IF(ISNUMBER($CD224),$CF224*$CG224*MIN($BG224*$BA224*$BC224*$BD224*$BH224*$BF224,'Technical Premium'!$C$17),""),"")</f>
        <v/>
      </c>
      <c r="CI224" s="100" t="str">
        <f t="shared" si="44"/>
        <v/>
      </c>
      <c r="CJ224" s="100" t="str">
        <f>IFERROR($CI224*(1+'Technical Premium'!$C$5)*(1+'Technical Premium'!$C$6),"")</f>
        <v/>
      </c>
      <c r="CK224" s="100" t="str">
        <f>IFERROR($CE224*INDEX('Territory Factors'!$G$6:$G$56,MATCH($K224,'Territory Factors'!$B$6:$B$56,0))*$AU224*$AV224,"")</f>
        <v/>
      </c>
      <c r="CL224" s="100" t="str">
        <f>IFERROR(($CJ224+$CK224)*(1+'Technical Premium'!$C$7),"")</f>
        <v/>
      </c>
      <c r="CM224" s="102" t="str">
        <f>IFERROR($CL224/'Technical Premium'!$C$13,"")</f>
        <v/>
      </c>
      <c r="CN224" s="103" t="str">
        <f t="shared" si="45"/>
        <v/>
      </c>
      <c r="CO224" s="102" t="str">
        <f t="shared" si="46"/>
        <v/>
      </c>
      <c r="CP224" s="103" t="str">
        <f t="shared" si="47"/>
        <v/>
      </c>
      <c r="CQ224" s="104" t="str">
        <f t="shared" si="48"/>
        <v/>
      </c>
      <c r="CR224" s="100" t="str">
        <f>IF(ISNUMBER($CM224),'Technical Premium'!$C$14+IF($J224&gt;=1000000,'Technical Premium'!$C$15,0),"")</f>
        <v/>
      </c>
      <c r="CS224" s="100" t="str">
        <f>IFERROR(($CO224+$CR224)*(INDEX('Territory Factors'!$K$6:$K$56,MATCH($K224,'Territory Factors'!$B$6:$B$56,0))+'Commission Structure'!$C$21),"")</f>
        <v/>
      </c>
      <c r="CT224" s="102" t="str">
        <f t="shared" si="49"/>
        <v/>
      </c>
      <c r="CU224" s="100" t="str">
        <f>IFERROR($CO224*('Commission Structure'!$C$6+'Commission Structure'!$C$7),"")</f>
        <v/>
      </c>
      <c r="CV224" s="100" t="str">
        <f>IFERROR($CO224*'Commission Structure'!$C$5-$CU224,"")</f>
        <v/>
      </c>
      <c r="CW224" s="100" t="str">
        <f>IFERROR($CO224*(1-'Commission Structure'!$C$5),"")</f>
        <v/>
      </c>
      <c r="CX224" s="105" t="str">
        <f>IF($A224="","",IF(OR($CB224="?",$CC224="?",NOT(ISNUMBER($AU224))),"CHECK INPUTS",IF(OR($J224&lt;'Technical Premium'!$C$18,LEFT(IFERROR(INDEX('Driver Factors'!$D$6:$D$15,MATCH($R224,'Driver Factors'!$B$6:$B$15,0)),""),7)="DECLINE",LEFT(IFERROR(INDEX('Driver Factors'!$D$28:$D$36,MATCH($T224,'Driver Factors'!$B$28:$B$36,0)),""),7)="DECLINE",LEFT(IFERROR(INDEX('Claims History'!$D$6:$D$15,MATCH($U224,'Claims History'!$B$6:$B$15,0)),""),7)="DECLINE",LEFT(IFERROR(INDEX('Usage and Coverage'!$E$6:$E$20,MATCH($N224,'Usage and Coverage'!$C$6:$C$20,0)),""),7)="DECLINE"),"DECLINE",IF(OR($CD224&gt;2.5,$CD224&gt;='Technical Premium'!$C$17,$J224&gt;='Technical Premium'!$C$16,N($AQ224)&lt;'Technical Premium'!$C$19,N($AQ224)&gt;'Technical Premium'!$C$20,LEFT(IFERROR(INDEX('Driver Factors'!$D$6:$D$15,MATCH($R224,'Driver Factors'!$B$6:$B$15,0)),""),5)="Refer",LEFT(IFERROR(INDEX('Driver Factors'!$D$28:$D$36,MATCH($T224,'Driver Factors'!$B$28:$B$36,0)),""),5)="Refer",LEFT(IFERROR(INDEX('Claims History'!$D$6:$D$15,MATCH($U224,'Claims History'!$B$6:$B$15,0)),""),5)="Refer",LEFT(IFERROR(INDEX('Usage and Coverage'!$E$6:$E$20,MATCH($N224,'Usage and Coverage'!$C$6:$C$20,0)),""),5)="Refer"),"REFER","AUTO-BIND"))))</f>
        <v/>
      </c>
      <c r="CY224" s="106" t="str">
        <f t="shared" si="50"/>
        <v/>
      </c>
      <c r="CZ224" s="97" t="str">
        <f>IF($CY224="","",IF($CY224&lt;'Technical Premium'!$C$19,"BEYOND AUTHORITY",IF($CY224&gt;0.005,"Above technical",IF($CY224&lt;-0.005,"BELOW technical","At technical"))))</f>
        <v/>
      </c>
      <c r="DA224" s="97" t="str">
        <f>IF($A224="","",IF($CX224="AUTO-BIND","",TRIM(IF($J224&lt;'Technical Premium'!$C$18,"Below programme minimum agreed value. ","")&amp;IF(N($AQ224)&lt;'Technical Premium'!$C$19,"DISCOUNT AUTHORITY BREACH. ","")&amp;IF(N($AQ224)&gt;'Technical Premium'!$C$20,"Load authority breach. ","")&amp;IF($J224&gt;='Technical Premium'!$C$16,"Agreed value at or above auto-bind limit. ","")&amp;IF(AND(ISNUMBER($CD224),$CD224&gt;='Technical Premium'!$C$17),"Composite factor at cap. ","")&amp;IF(AND(ISNUMBER($CD224),$CD224&gt;2.5),"Composite factor above 2.50. ","")&amp;IF(LEFT(IFERROR(INDEX('Driver Factors'!$D$6:$D$15,MATCH($R224,'Driver Factors'!$B$6:$B$15,0)),""),7)="DECLINE","DECLINE - driver age. ",IF(LEFT(IFERROR(INDEX('Driver Factors'!$D$6:$D$15,MATCH($R224,'Driver Factors'!$B$6:$B$15,0)),""),5)="Refer","Driver age band. ",""))&amp;IF(LEFT(IFERROR(INDEX('Driver Factors'!$D$28:$D$36,MATCH($T224,'Driver Factors'!$B$28:$B$36,0)),""),7)="DECLINE","DECLINE - MVR. ",IF(LEFT(IFERROR(INDEX('Driver Factors'!$D$28:$D$36,MATCH($T224,'Driver Factors'!$B$28:$B$36,0)),""),5)="Refer","MVR record. ",""))&amp;IF(LEFT(IFERROR(INDEX('Claims History'!$D$6:$D$15,MATCH($U224,'Claims History'!$B$6:$B$15,0)),""),7)="DECLINE","DECLINE - claims. ",IF(LEFT(IFERROR(INDEX('Claims History'!$D$6:$D$15,MATCH($U224,'Claims History'!$B$6:$B$15,0)),""),5)="Refer","Claims history. ",""))&amp;IF(LEFT(IFERROR(INDEX('Usage and Coverage'!$E$6:$E$20,MATCH($N224,'Usage and Coverage'!$C$6:$C$20,0)),""),7)="DECLINE","DECLINE - usage class. ",IF(LEFT(IFERROR(INDEX('Usage and Coverage'!$E$6:$E$20,MATCH($N224,'Usage and Coverage'!$C$6:$C$20,0)),""),5)="Refer","Usage class. ",""))&amp;IF($CX224="CHECK INPUTS","Incomplete inputs. ",""))))</f>
        <v/>
      </c>
      <c r="DB224" s="92"/>
      <c r="DC224" s="92"/>
      <c r="DD224" s="93"/>
      <c r="DE224" s="92"/>
      <c r="DF224" s="92"/>
      <c r="DG224" s="97" t="str">
        <f t="shared" si="51"/>
        <v/>
      </c>
      <c r="DH224" s="97" t="str">
        <f>IF($A224="","",IF(OR($CX224="REFER",$CX224="DECLINE"),COUNTIF($CX$5:$CX224,"REFER")+COUNTIF($CX$5:$CX224,"DECLINE"),""))</f>
        <v/>
      </c>
      <c r="DI224" s="92"/>
    </row>
    <row r="225" spans="1:113" x14ac:dyDescent="0.25">
      <c r="A225" s="92"/>
      <c r="B225" s="92"/>
      <c r="C225" s="93"/>
      <c r="D225" s="93"/>
      <c r="E225" s="94"/>
      <c r="F225" s="92"/>
      <c r="G225" s="92"/>
      <c r="H225" s="92"/>
      <c r="I225" s="92"/>
      <c r="J225" s="95"/>
      <c r="K225" s="92"/>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92"/>
      <c r="AI225" s="92"/>
      <c r="AJ225" s="92"/>
      <c r="AK225" s="92"/>
      <c r="AL225" s="92"/>
      <c r="AM225" s="92"/>
      <c r="AN225" s="92"/>
      <c r="AO225" s="92"/>
      <c r="AP225" s="92"/>
      <c r="AQ225" s="96"/>
      <c r="AR225" s="97" t="str">
        <f t="shared" si="39"/>
        <v/>
      </c>
      <c r="AS225" s="97" t="str">
        <f>IF($A225="","",IF($AP225&lt;&gt;"",$AP225,IFERROR(INDEX('Cat Zone by ZIP'!$D$6:$D$856,MATCH($AR225,'Cat Zone by ZIP'!$B$6:$B$856,0)),IFERROR(INDEX('Cat Zone by ZIP'!$C$860:$C$910,MATCH($K225,'Cat Zone by ZIP'!$B$860:$B$910,0)),"NOT FOUND"))))</f>
        <v/>
      </c>
      <c r="AT225" s="97" t="str">
        <f>IF($A225="","",IF($AP225&lt;&gt;"","Override",IF(ISNUMBER(MATCH($AR225,'Cat Zone by ZIP'!$B$6:$B$856,0)),"ZIP-3","State default")))</f>
        <v/>
      </c>
      <c r="AU225" s="98" t="str">
        <f>IF($A225="","",IFERROR(INDEX('Natural Catastrophe'!$D$6:$D$17,MATCH($AS225,'Natural Catastrophe'!$B$6:$B$17,0)),"?"))</f>
        <v/>
      </c>
      <c r="AV225" s="98" t="str">
        <f>IF($A225="","",IFERROR(INDEX('Natural Catastrophe'!$C$21:$C$26,MATCH($AA225,'Natural Catastrophe'!$B$21:$B$26,0)),"?"))</f>
        <v/>
      </c>
      <c r="AW225" s="97" t="str">
        <f>IF($A225="","",IFERROR(INDEX('Base Rates'!$C$4:$I$4,MATCH(MAX($J225,'Technical Premium'!$C$18),'Base Rates'!$C$3:$I$3,1)),"?"))</f>
        <v/>
      </c>
      <c r="AX225" s="99" t="str">
        <f>IF($A225="","",IFERROR(INDEX('Base Rates'!$C$5:$I$16,MATCH($I225,'Base Rates'!$B$5:$B$16,0),MATCH(MAX($J225,'Technical Premium'!$C$18),'Base Rates'!$C$3:$I$3,1)),"?"))</f>
        <v/>
      </c>
      <c r="AY225" s="100" t="str">
        <f t="shared" si="40"/>
        <v/>
      </c>
      <c r="AZ225" s="97" t="str">
        <f>IF($A225="","",IFERROR(INDEX('Make Factors'!$G$5:$G$69,MATCH($F225,'Make Factors'!$B$5:$B$69,0)),"?"))</f>
        <v/>
      </c>
      <c r="BA225" s="97" t="str">
        <f>IF($A225="","",IFERROR(INDEX('Driver Factors'!$C$6:$C$15,MATCH($R225,'Driver Factors'!$B$6:$B$15,0)),"?"))</f>
        <v/>
      </c>
      <c r="BB225" s="97" t="str">
        <f>IF($A225="","",IFERROR(INDEX('Driver Factors'!$C$19:$C$24,MATCH($S225,'Driver Factors'!$B$19:$B$24,0)),"?"))</f>
        <v/>
      </c>
      <c r="BC225" s="97" t="str">
        <f>IF($A225="","",IFERROR(INDEX('Driver Factors'!$C$28:$C$36,MATCH($T225,'Driver Factors'!$B$28:$B$36,0)),"?"))</f>
        <v/>
      </c>
      <c r="BD225" s="97" t="str">
        <f>IF($A225="","",IFERROR(INDEX('Claims History'!$C$6:$C$15,MATCH($U225,'Claims History'!$B$6:$B$15,0)),"?"))</f>
        <v/>
      </c>
      <c r="BE225" s="97" t="str">
        <f>IF($A225="","",IFERROR(INDEX('Territory Factors'!$E$6:$E$56,MATCH($K225,'Territory Factors'!$B$6:$B$56,0)),"?"))</f>
        <v/>
      </c>
      <c r="BF225" s="97" t="str">
        <f>IF($A225="","",IFERROR(INDEX('City Accident Ratings'!$G$6:$G$54,MATCH($Z225,'City Accident Ratings'!$B$6:$B$54,0)),"?"))</f>
        <v/>
      </c>
      <c r="BG225" s="97" t="str">
        <f>IF($A225="","",IFERROR(INDEX('Usage and Coverage'!$D$6:$D$20,MATCH($N225,'Usage and Coverage'!$C$6:$C$20,0)),"?"))</f>
        <v/>
      </c>
      <c r="BH225" s="97" t="str">
        <f>IF($A225="","",IFERROR(INDEX('Usage and Coverage'!$C$24:$C$30,MATCH($O225,'Usage and Coverage'!$B$24:$B$30,0)),"?"))</f>
        <v/>
      </c>
      <c r="BI225" s="97" t="str">
        <f>IF($A225="","",IFERROR(INDEX('Usage and Coverage'!$C$34:$C$40,MATCH($P225,'Usage and Coverage'!$B$34:$B$40,0)),"?"))</f>
        <v/>
      </c>
      <c r="BJ225" s="97" t="str">
        <f>IF($A225="","",IFERROR(INDEX('Usage and Coverage'!$C$44:$C$49,MATCH($Q225,'Usage and Coverage'!$B$44:$B$49,0)),"?"))</f>
        <v/>
      </c>
      <c r="BK225" s="97" t="str">
        <f>IF($A225="","",IFERROR(INDEX(Deductibles!$C$6:$I$15,MATCH($W225,Deductibles!$B$6:$B$15,0),MATCH(MAX($J225,'Technical Premium'!$C$18),'Base Rates'!$C$3:$I$3,1)),"?"))</f>
        <v/>
      </c>
      <c r="BL225" s="97" t="str">
        <f>IF($A225="","",IFERROR(INDEX('Usage and Coverage'!$C$63:$C$66,MATCH($X225,'Usage and Coverage'!$B$63:$B$66,0)),"?"))</f>
        <v/>
      </c>
      <c r="BM225" s="97" t="str">
        <f>IF($A225="","",IFERROR(INDEX('Usage and Coverage'!$C$70:$C$75,MATCH($V225,'Usage and Coverage'!$B$70:$B$75,0)),"?"))</f>
        <v/>
      </c>
      <c r="BN225" s="97" t="str">
        <f>IF($A225="","",IF($AB225="",1,IFERROR(INDEX(Deductibles!$C$48:$C$51,MATCH($AB225,Deductibles!$B$48:$B$51,0)),"?")))</f>
        <v/>
      </c>
      <c r="BO225" s="97" t="str">
        <f>IF($A225="","",IF($AC225="",1,IFERROR(INDEX(Deductibles!$C$55:$C$57,MATCH($AC225,Deductibles!$B$55:$B$57,0)),"?")))</f>
        <v/>
      </c>
      <c r="BP225" s="97" t="str">
        <f>IF($A225="","",IF($AD225="",1,IFERROR(INDEX(Deductibles!$C$61:$C$63,MATCH($AD225,Deductibles!$B$61:$B$63,0)),"?")))</f>
        <v/>
      </c>
      <c r="BQ225" s="97" t="str">
        <f>IF($A225="","",IF($AE225="",1,IFERROR(INDEX(Deductibles!$C$67:$C$69,MATCH($AE225,Deductibles!$B$67:$B$69,0)),"?")))</f>
        <v/>
      </c>
      <c r="BR225" s="97" t="str">
        <f>IF($A225="","",IF($AF225="",1,IFERROR(INDEX(Deductibles!$C$73:$C$74,MATCH($AF225,Deductibles!$B$73:$B$74,0)),"?")))</f>
        <v/>
      </c>
      <c r="BS225" s="97" t="str">
        <f>IF($A225="","",IF($AG225="",1,IFERROR(INDEX('Sublimits and Parts'!$C$49:$C$52,MATCH($AG225,'Sublimits and Parts'!$B$49:$B$52,0)),"?")))</f>
        <v/>
      </c>
      <c r="BT225" s="97" t="str">
        <f>IF($A225="","",IF($AH225="",1,IFERROR(INDEX('Sublimits and Parts'!$C$56:$C$60,MATCH($AH225,'Sublimits and Parts'!$B$56:$B$60,0)),"?")))</f>
        <v/>
      </c>
      <c r="BU225" s="97" t="str">
        <f>IF($A225="","",IF($AI225="",1,IFERROR(INDEX('Sublimits and Parts'!$C$64:$C$67,MATCH($AI225,'Sublimits and Parts'!$B$64:$B$67,0)),"?")))</f>
        <v/>
      </c>
      <c r="BV225" s="97" t="str">
        <f>IF($A225="","",IF($AJ225="",1,IFERROR(INDEX('Sublimits and Parts'!$C$71:$C$74,MATCH($AJ225,'Sublimits and Parts'!$B$71:$B$74,0)),"?")))</f>
        <v/>
      </c>
      <c r="BW225" s="97" t="str">
        <f>IF($A225="","",IF($AK225="",1,IFERROR(INDEX('Sublimits and Parts'!$C$78:$C$80,MATCH($AK225,'Sublimits and Parts'!$B$78:$B$80,0)),"?")))</f>
        <v/>
      </c>
      <c r="BX225" s="97" t="str">
        <f>IF($A225="","",IF($AL225="",1,IFERROR(INDEX('Sublimits and Parts'!$C$84:$C$87,MATCH($AL225,'Sublimits and Parts'!$B$84:$B$87,0)),"?")))</f>
        <v/>
      </c>
      <c r="BY225" s="97" t="str">
        <f>IF($A225="","",IF($AM225="",1,IFERROR(INDEX('Sublimits and Parts'!$C$91:$C$94,MATCH($AM225,'Sublimits and Parts'!$B$91:$B$94,0)),"?")))</f>
        <v/>
      </c>
      <c r="BZ225" s="97" t="str">
        <f>IF($A225="","",IF($AN225="",1,IFERROR(INDEX('Sublimits and Parts'!$C$98:$C$101,MATCH($AN225,'Sublimits and Parts'!$B$98:$B$101,0)),"?")))</f>
        <v/>
      </c>
      <c r="CA225" s="97" t="str">
        <f>IF($A225="","",IF($AO225="",1,IFERROR(INDEX('Sublimits and Parts'!$C$105:$C$109,MATCH($AO225,'Sublimits and Parts'!$B$105:$B$109,0)),"?")))</f>
        <v/>
      </c>
      <c r="CB225" s="98" t="str">
        <f t="shared" si="41"/>
        <v/>
      </c>
      <c r="CC225" s="98" t="str">
        <f t="shared" si="42"/>
        <v/>
      </c>
      <c r="CD225" s="101" t="str">
        <f>IF($A225="","",IF(OR($CB225="?",$CC225="?"),"?",MIN($CB225*$CC225,'Technical Premium'!$C$17)))</f>
        <v/>
      </c>
      <c r="CE225" s="100" t="str">
        <f t="shared" si="43"/>
        <v/>
      </c>
      <c r="CF225" s="100" t="str">
        <f>IF($A225="","",IFERROR(INDEX('Territory Factors'!$F$6:$F$56,MATCH($K225,'Territory Factors'!$B$6:$B$56,0)),"?"))</f>
        <v/>
      </c>
      <c r="CG225" s="98" t="str">
        <f>IF($A225="","",IFERROR(INDEX('Usage and Coverage'!$C$79:$C$84,MATCH($Y225,'Usage and Coverage'!$B$79:$B$84,0)),"?"))</f>
        <v/>
      </c>
      <c r="CH225" s="100" t="str">
        <f>IFERROR(IF(ISNUMBER($CD225),$CF225*$CG225*MIN($BG225*$BA225*$BC225*$BD225*$BH225*$BF225,'Technical Premium'!$C$17),""),"")</f>
        <v/>
      </c>
      <c r="CI225" s="100" t="str">
        <f t="shared" si="44"/>
        <v/>
      </c>
      <c r="CJ225" s="100" t="str">
        <f>IFERROR($CI225*(1+'Technical Premium'!$C$5)*(1+'Technical Premium'!$C$6),"")</f>
        <v/>
      </c>
      <c r="CK225" s="100" t="str">
        <f>IFERROR($CE225*INDEX('Territory Factors'!$G$6:$G$56,MATCH($K225,'Territory Factors'!$B$6:$B$56,0))*$AU225*$AV225,"")</f>
        <v/>
      </c>
      <c r="CL225" s="100" t="str">
        <f>IFERROR(($CJ225+$CK225)*(1+'Technical Premium'!$C$7),"")</f>
        <v/>
      </c>
      <c r="CM225" s="102" t="str">
        <f>IFERROR($CL225/'Technical Premium'!$C$13,"")</f>
        <v/>
      </c>
      <c r="CN225" s="103" t="str">
        <f t="shared" si="45"/>
        <v/>
      </c>
      <c r="CO225" s="102" t="str">
        <f t="shared" si="46"/>
        <v/>
      </c>
      <c r="CP225" s="103" t="str">
        <f t="shared" si="47"/>
        <v/>
      </c>
      <c r="CQ225" s="104" t="str">
        <f t="shared" si="48"/>
        <v/>
      </c>
      <c r="CR225" s="100" t="str">
        <f>IF(ISNUMBER($CM225),'Technical Premium'!$C$14+IF($J225&gt;=1000000,'Technical Premium'!$C$15,0),"")</f>
        <v/>
      </c>
      <c r="CS225" s="100" t="str">
        <f>IFERROR(($CO225+$CR225)*(INDEX('Territory Factors'!$K$6:$K$56,MATCH($K225,'Territory Factors'!$B$6:$B$56,0))+'Commission Structure'!$C$21),"")</f>
        <v/>
      </c>
      <c r="CT225" s="102" t="str">
        <f t="shared" si="49"/>
        <v/>
      </c>
      <c r="CU225" s="100" t="str">
        <f>IFERROR($CO225*('Commission Structure'!$C$6+'Commission Structure'!$C$7),"")</f>
        <v/>
      </c>
      <c r="CV225" s="100" t="str">
        <f>IFERROR($CO225*'Commission Structure'!$C$5-$CU225,"")</f>
        <v/>
      </c>
      <c r="CW225" s="100" t="str">
        <f>IFERROR($CO225*(1-'Commission Structure'!$C$5),"")</f>
        <v/>
      </c>
      <c r="CX225" s="105" t="str">
        <f>IF($A225="","",IF(OR($CB225="?",$CC225="?",NOT(ISNUMBER($AU225))),"CHECK INPUTS",IF(OR($J225&lt;'Technical Premium'!$C$18,LEFT(IFERROR(INDEX('Driver Factors'!$D$6:$D$15,MATCH($R225,'Driver Factors'!$B$6:$B$15,0)),""),7)="DECLINE",LEFT(IFERROR(INDEX('Driver Factors'!$D$28:$D$36,MATCH($T225,'Driver Factors'!$B$28:$B$36,0)),""),7)="DECLINE",LEFT(IFERROR(INDEX('Claims History'!$D$6:$D$15,MATCH($U225,'Claims History'!$B$6:$B$15,0)),""),7)="DECLINE",LEFT(IFERROR(INDEX('Usage and Coverage'!$E$6:$E$20,MATCH($N225,'Usage and Coverage'!$C$6:$C$20,0)),""),7)="DECLINE"),"DECLINE",IF(OR($CD225&gt;2.5,$CD225&gt;='Technical Premium'!$C$17,$J225&gt;='Technical Premium'!$C$16,N($AQ225)&lt;'Technical Premium'!$C$19,N($AQ225)&gt;'Technical Premium'!$C$20,LEFT(IFERROR(INDEX('Driver Factors'!$D$6:$D$15,MATCH($R225,'Driver Factors'!$B$6:$B$15,0)),""),5)="Refer",LEFT(IFERROR(INDEX('Driver Factors'!$D$28:$D$36,MATCH($T225,'Driver Factors'!$B$28:$B$36,0)),""),5)="Refer",LEFT(IFERROR(INDEX('Claims History'!$D$6:$D$15,MATCH($U225,'Claims History'!$B$6:$B$15,0)),""),5)="Refer",LEFT(IFERROR(INDEX('Usage and Coverage'!$E$6:$E$20,MATCH($N225,'Usage and Coverage'!$C$6:$C$20,0)),""),5)="Refer"),"REFER","AUTO-BIND"))))</f>
        <v/>
      </c>
      <c r="CY225" s="106" t="str">
        <f t="shared" si="50"/>
        <v/>
      </c>
      <c r="CZ225" s="97" t="str">
        <f>IF($CY225="","",IF($CY225&lt;'Technical Premium'!$C$19,"BEYOND AUTHORITY",IF($CY225&gt;0.005,"Above technical",IF($CY225&lt;-0.005,"BELOW technical","At technical"))))</f>
        <v/>
      </c>
      <c r="DA225" s="97" t="str">
        <f>IF($A225="","",IF($CX225="AUTO-BIND","",TRIM(IF($J225&lt;'Technical Premium'!$C$18,"Below programme minimum agreed value. ","")&amp;IF(N($AQ225)&lt;'Technical Premium'!$C$19,"DISCOUNT AUTHORITY BREACH. ","")&amp;IF(N($AQ225)&gt;'Technical Premium'!$C$20,"Load authority breach. ","")&amp;IF($J225&gt;='Technical Premium'!$C$16,"Agreed value at or above auto-bind limit. ","")&amp;IF(AND(ISNUMBER($CD225),$CD225&gt;='Technical Premium'!$C$17),"Composite factor at cap. ","")&amp;IF(AND(ISNUMBER($CD225),$CD225&gt;2.5),"Composite factor above 2.50. ","")&amp;IF(LEFT(IFERROR(INDEX('Driver Factors'!$D$6:$D$15,MATCH($R225,'Driver Factors'!$B$6:$B$15,0)),""),7)="DECLINE","DECLINE - driver age. ",IF(LEFT(IFERROR(INDEX('Driver Factors'!$D$6:$D$15,MATCH($R225,'Driver Factors'!$B$6:$B$15,0)),""),5)="Refer","Driver age band. ",""))&amp;IF(LEFT(IFERROR(INDEX('Driver Factors'!$D$28:$D$36,MATCH($T225,'Driver Factors'!$B$28:$B$36,0)),""),7)="DECLINE","DECLINE - MVR. ",IF(LEFT(IFERROR(INDEX('Driver Factors'!$D$28:$D$36,MATCH($T225,'Driver Factors'!$B$28:$B$36,0)),""),5)="Refer","MVR record. ",""))&amp;IF(LEFT(IFERROR(INDEX('Claims History'!$D$6:$D$15,MATCH($U225,'Claims History'!$B$6:$B$15,0)),""),7)="DECLINE","DECLINE - claims. ",IF(LEFT(IFERROR(INDEX('Claims History'!$D$6:$D$15,MATCH($U225,'Claims History'!$B$6:$B$15,0)),""),5)="Refer","Claims history. ",""))&amp;IF(LEFT(IFERROR(INDEX('Usage and Coverage'!$E$6:$E$20,MATCH($N225,'Usage and Coverage'!$C$6:$C$20,0)),""),7)="DECLINE","DECLINE - usage class. ",IF(LEFT(IFERROR(INDEX('Usage and Coverage'!$E$6:$E$20,MATCH($N225,'Usage and Coverage'!$C$6:$C$20,0)),""),5)="Refer","Usage class. ",""))&amp;IF($CX225="CHECK INPUTS","Incomplete inputs. ",""))))</f>
        <v/>
      </c>
      <c r="DB225" s="92"/>
      <c r="DC225" s="92"/>
      <c r="DD225" s="93"/>
      <c r="DE225" s="92"/>
      <c r="DF225" s="92"/>
      <c r="DG225" s="97" t="str">
        <f t="shared" si="51"/>
        <v/>
      </c>
      <c r="DH225" s="97" t="str">
        <f>IF($A225="","",IF(OR($CX225="REFER",$CX225="DECLINE"),COUNTIF($CX$5:$CX225,"REFER")+COUNTIF($CX$5:$CX225,"DECLINE"),""))</f>
        <v/>
      </c>
      <c r="DI225" s="92"/>
    </row>
    <row r="226" spans="1:113" x14ac:dyDescent="0.25">
      <c r="A226" s="92"/>
      <c r="B226" s="92"/>
      <c r="C226" s="93"/>
      <c r="D226" s="93"/>
      <c r="E226" s="94"/>
      <c r="F226" s="92"/>
      <c r="G226" s="92"/>
      <c r="H226" s="92"/>
      <c r="I226" s="92"/>
      <c r="J226" s="95"/>
      <c r="K226" s="92"/>
      <c r="L226" s="92"/>
      <c r="M226" s="92"/>
      <c r="N226" s="92"/>
      <c r="O226" s="92"/>
      <c r="P226" s="92"/>
      <c r="Q226" s="92"/>
      <c r="R226" s="92"/>
      <c r="S226" s="92"/>
      <c r="T226" s="92"/>
      <c r="U226" s="92"/>
      <c r="V226" s="92"/>
      <c r="W226" s="92"/>
      <c r="X226" s="92"/>
      <c r="Y226" s="92"/>
      <c r="Z226" s="92"/>
      <c r="AA226" s="92"/>
      <c r="AB226" s="92"/>
      <c r="AC226" s="92"/>
      <c r="AD226" s="92"/>
      <c r="AE226" s="92"/>
      <c r="AF226" s="92"/>
      <c r="AG226" s="92"/>
      <c r="AH226" s="92"/>
      <c r="AI226" s="92"/>
      <c r="AJ226" s="92"/>
      <c r="AK226" s="92"/>
      <c r="AL226" s="92"/>
      <c r="AM226" s="92"/>
      <c r="AN226" s="92"/>
      <c r="AO226" s="92"/>
      <c r="AP226" s="92"/>
      <c r="AQ226" s="96"/>
      <c r="AR226" s="97" t="str">
        <f t="shared" si="39"/>
        <v/>
      </c>
      <c r="AS226" s="97" t="str">
        <f>IF($A226="","",IF($AP226&lt;&gt;"",$AP226,IFERROR(INDEX('Cat Zone by ZIP'!$D$6:$D$856,MATCH($AR226,'Cat Zone by ZIP'!$B$6:$B$856,0)),IFERROR(INDEX('Cat Zone by ZIP'!$C$860:$C$910,MATCH($K226,'Cat Zone by ZIP'!$B$860:$B$910,0)),"NOT FOUND"))))</f>
        <v/>
      </c>
      <c r="AT226" s="97" t="str">
        <f>IF($A226="","",IF($AP226&lt;&gt;"","Override",IF(ISNUMBER(MATCH($AR226,'Cat Zone by ZIP'!$B$6:$B$856,0)),"ZIP-3","State default")))</f>
        <v/>
      </c>
      <c r="AU226" s="98" t="str">
        <f>IF($A226="","",IFERROR(INDEX('Natural Catastrophe'!$D$6:$D$17,MATCH($AS226,'Natural Catastrophe'!$B$6:$B$17,0)),"?"))</f>
        <v/>
      </c>
      <c r="AV226" s="98" t="str">
        <f>IF($A226="","",IFERROR(INDEX('Natural Catastrophe'!$C$21:$C$26,MATCH($AA226,'Natural Catastrophe'!$B$21:$B$26,0)),"?"))</f>
        <v/>
      </c>
      <c r="AW226" s="97" t="str">
        <f>IF($A226="","",IFERROR(INDEX('Base Rates'!$C$4:$I$4,MATCH(MAX($J226,'Technical Premium'!$C$18),'Base Rates'!$C$3:$I$3,1)),"?"))</f>
        <v/>
      </c>
      <c r="AX226" s="99" t="str">
        <f>IF($A226="","",IFERROR(INDEX('Base Rates'!$C$5:$I$16,MATCH($I226,'Base Rates'!$B$5:$B$16,0),MATCH(MAX($J226,'Technical Premium'!$C$18),'Base Rates'!$C$3:$I$3,1)),"?"))</f>
        <v/>
      </c>
      <c r="AY226" s="100" t="str">
        <f t="shared" si="40"/>
        <v/>
      </c>
      <c r="AZ226" s="97" t="str">
        <f>IF($A226="","",IFERROR(INDEX('Make Factors'!$G$5:$G$69,MATCH($F226,'Make Factors'!$B$5:$B$69,0)),"?"))</f>
        <v/>
      </c>
      <c r="BA226" s="97" t="str">
        <f>IF($A226="","",IFERROR(INDEX('Driver Factors'!$C$6:$C$15,MATCH($R226,'Driver Factors'!$B$6:$B$15,0)),"?"))</f>
        <v/>
      </c>
      <c r="BB226" s="97" t="str">
        <f>IF($A226="","",IFERROR(INDEX('Driver Factors'!$C$19:$C$24,MATCH($S226,'Driver Factors'!$B$19:$B$24,0)),"?"))</f>
        <v/>
      </c>
      <c r="BC226" s="97" t="str">
        <f>IF($A226="","",IFERROR(INDEX('Driver Factors'!$C$28:$C$36,MATCH($T226,'Driver Factors'!$B$28:$B$36,0)),"?"))</f>
        <v/>
      </c>
      <c r="BD226" s="97" t="str">
        <f>IF($A226="","",IFERROR(INDEX('Claims History'!$C$6:$C$15,MATCH($U226,'Claims History'!$B$6:$B$15,0)),"?"))</f>
        <v/>
      </c>
      <c r="BE226" s="97" t="str">
        <f>IF($A226="","",IFERROR(INDEX('Territory Factors'!$E$6:$E$56,MATCH($K226,'Territory Factors'!$B$6:$B$56,0)),"?"))</f>
        <v/>
      </c>
      <c r="BF226" s="97" t="str">
        <f>IF($A226="","",IFERROR(INDEX('City Accident Ratings'!$G$6:$G$54,MATCH($Z226,'City Accident Ratings'!$B$6:$B$54,0)),"?"))</f>
        <v/>
      </c>
      <c r="BG226" s="97" t="str">
        <f>IF($A226="","",IFERROR(INDEX('Usage and Coverage'!$D$6:$D$20,MATCH($N226,'Usage and Coverage'!$C$6:$C$20,0)),"?"))</f>
        <v/>
      </c>
      <c r="BH226" s="97" t="str">
        <f>IF($A226="","",IFERROR(INDEX('Usage and Coverage'!$C$24:$C$30,MATCH($O226,'Usage and Coverage'!$B$24:$B$30,0)),"?"))</f>
        <v/>
      </c>
      <c r="BI226" s="97" t="str">
        <f>IF($A226="","",IFERROR(INDEX('Usage and Coverage'!$C$34:$C$40,MATCH($P226,'Usage and Coverage'!$B$34:$B$40,0)),"?"))</f>
        <v/>
      </c>
      <c r="BJ226" s="97" t="str">
        <f>IF($A226="","",IFERROR(INDEX('Usage and Coverage'!$C$44:$C$49,MATCH($Q226,'Usage and Coverage'!$B$44:$B$49,0)),"?"))</f>
        <v/>
      </c>
      <c r="BK226" s="97" t="str">
        <f>IF($A226="","",IFERROR(INDEX(Deductibles!$C$6:$I$15,MATCH($W226,Deductibles!$B$6:$B$15,0),MATCH(MAX($J226,'Technical Premium'!$C$18),'Base Rates'!$C$3:$I$3,1)),"?"))</f>
        <v/>
      </c>
      <c r="BL226" s="97" t="str">
        <f>IF($A226="","",IFERROR(INDEX('Usage and Coverage'!$C$63:$C$66,MATCH($X226,'Usage and Coverage'!$B$63:$B$66,0)),"?"))</f>
        <v/>
      </c>
      <c r="BM226" s="97" t="str">
        <f>IF($A226="","",IFERROR(INDEX('Usage and Coverage'!$C$70:$C$75,MATCH($V226,'Usage and Coverage'!$B$70:$B$75,0)),"?"))</f>
        <v/>
      </c>
      <c r="BN226" s="97" t="str">
        <f>IF($A226="","",IF($AB226="",1,IFERROR(INDEX(Deductibles!$C$48:$C$51,MATCH($AB226,Deductibles!$B$48:$B$51,0)),"?")))</f>
        <v/>
      </c>
      <c r="BO226" s="97" t="str">
        <f>IF($A226="","",IF($AC226="",1,IFERROR(INDEX(Deductibles!$C$55:$C$57,MATCH($AC226,Deductibles!$B$55:$B$57,0)),"?")))</f>
        <v/>
      </c>
      <c r="BP226" s="97" t="str">
        <f>IF($A226="","",IF($AD226="",1,IFERROR(INDEX(Deductibles!$C$61:$C$63,MATCH($AD226,Deductibles!$B$61:$B$63,0)),"?")))</f>
        <v/>
      </c>
      <c r="BQ226" s="97" t="str">
        <f>IF($A226="","",IF($AE226="",1,IFERROR(INDEX(Deductibles!$C$67:$C$69,MATCH($AE226,Deductibles!$B$67:$B$69,0)),"?")))</f>
        <v/>
      </c>
      <c r="BR226" s="97" t="str">
        <f>IF($A226="","",IF($AF226="",1,IFERROR(INDEX(Deductibles!$C$73:$C$74,MATCH($AF226,Deductibles!$B$73:$B$74,0)),"?")))</f>
        <v/>
      </c>
      <c r="BS226" s="97" t="str">
        <f>IF($A226="","",IF($AG226="",1,IFERROR(INDEX('Sublimits and Parts'!$C$49:$C$52,MATCH($AG226,'Sublimits and Parts'!$B$49:$B$52,0)),"?")))</f>
        <v/>
      </c>
      <c r="BT226" s="97" t="str">
        <f>IF($A226="","",IF($AH226="",1,IFERROR(INDEX('Sublimits and Parts'!$C$56:$C$60,MATCH($AH226,'Sublimits and Parts'!$B$56:$B$60,0)),"?")))</f>
        <v/>
      </c>
      <c r="BU226" s="97" t="str">
        <f>IF($A226="","",IF($AI226="",1,IFERROR(INDEX('Sublimits and Parts'!$C$64:$C$67,MATCH($AI226,'Sublimits and Parts'!$B$64:$B$67,0)),"?")))</f>
        <v/>
      </c>
      <c r="BV226" s="97" t="str">
        <f>IF($A226="","",IF($AJ226="",1,IFERROR(INDEX('Sublimits and Parts'!$C$71:$C$74,MATCH($AJ226,'Sublimits and Parts'!$B$71:$B$74,0)),"?")))</f>
        <v/>
      </c>
      <c r="BW226" s="97" t="str">
        <f>IF($A226="","",IF($AK226="",1,IFERROR(INDEX('Sublimits and Parts'!$C$78:$C$80,MATCH($AK226,'Sublimits and Parts'!$B$78:$B$80,0)),"?")))</f>
        <v/>
      </c>
      <c r="BX226" s="97" t="str">
        <f>IF($A226="","",IF($AL226="",1,IFERROR(INDEX('Sublimits and Parts'!$C$84:$C$87,MATCH($AL226,'Sublimits and Parts'!$B$84:$B$87,0)),"?")))</f>
        <v/>
      </c>
      <c r="BY226" s="97" t="str">
        <f>IF($A226="","",IF($AM226="",1,IFERROR(INDEX('Sublimits and Parts'!$C$91:$C$94,MATCH($AM226,'Sublimits and Parts'!$B$91:$B$94,0)),"?")))</f>
        <v/>
      </c>
      <c r="BZ226" s="97" t="str">
        <f>IF($A226="","",IF($AN226="",1,IFERROR(INDEX('Sublimits and Parts'!$C$98:$C$101,MATCH($AN226,'Sublimits and Parts'!$B$98:$B$101,0)),"?")))</f>
        <v/>
      </c>
      <c r="CA226" s="97" t="str">
        <f>IF($A226="","",IF($AO226="",1,IFERROR(INDEX('Sublimits and Parts'!$C$105:$C$109,MATCH($AO226,'Sublimits and Parts'!$B$105:$B$109,0)),"?")))</f>
        <v/>
      </c>
      <c r="CB226" s="98" t="str">
        <f t="shared" si="41"/>
        <v/>
      </c>
      <c r="CC226" s="98" t="str">
        <f t="shared" si="42"/>
        <v/>
      </c>
      <c r="CD226" s="101" t="str">
        <f>IF($A226="","",IF(OR($CB226="?",$CC226="?"),"?",MIN($CB226*$CC226,'Technical Premium'!$C$17)))</f>
        <v/>
      </c>
      <c r="CE226" s="100" t="str">
        <f t="shared" si="43"/>
        <v/>
      </c>
      <c r="CF226" s="100" t="str">
        <f>IF($A226="","",IFERROR(INDEX('Territory Factors'!$F$6:$F$56,MATCH($K226,'Territory Factors'!$B$6:$B$56,0)),"?"))</f>
        <v/>
      </c>
      <c r="CG226" s="98" t="str">
        <f>IF($A226="","",IFERROR(INDEX('Usage and Coverage'!$C$79:$C$84,MATCH($Y226,'Usage and Coverage'!$B$79:$B$84,0)),"?"))</f>
        <v/>
      </c>
      <c r="CH226" s="100" t="str">
        <f>IFERROR(IF(ISNUMBER($CD226),$CF226*$CG226*MIN($BG226*$BA226*$BC226*$BD226*$BH226*$BF226,'Technical Premium'!$C$17),""),"")</f>
        <v/>
      </c>
      <c r="CI226" s="100" t="str">
        <f t="shared" si="44"/>
        <v/>
      </c>
      <c r="CJ226" s="100" t="str">
        <f>IFERROR($CI226*(1+'Technical Premium'!$C$5)*(1+'Technical Premium'!$C$6),"")</f>
        <v/>
      </c>
      <c r="CK226" s="100" t="str">
        <f>IFERROR($CE226*INDEX('Territory Factors'!$G$6:$G$56,MATCH($K226,'Territory Factors'!$B$6:$B$56,0))*$AU226*$AV226,"")</f>
        <v/>
      </c>
      <c r="CL226" s="100" t="str">
        <f>IFERROR(($CJ226+$CK226)*(1+'Technical Premium'!$C$7),"")</f>
        <v/>
      </c>
      <c r="CM226" s="102" t="str">
        <f>IFERROR($CL226/'Technical Premium'!$C$13,"")</f>
        <v/>
      </c>
      <c r="CN226" s="103" t="str">
        <f t="shared" si="45"/>
        <v/>
      </c>
      <c r="CO226" s="102" t="str">
        <f t="shared" si="46"/>
        <v/>
      </c>
      <c r="CP226" s="103" t="str">
        <f t="shared" si="47"/>
        <v/>
      </c>
      <c r="CQ226" s="104" t="str">
        <f t="shared" si="48"/>
        <v/>
      </c>
      <c r="CR226" s="100" t="str">
        <f>IF(ISNUMBER($CM226),'Technical Premium'!$C$14+IF($J226&gt;=1000000,'Technical Premium'!$C$15,0),"")</f>
        <v/>
      </c>
      <c r="CS226" s="100" t="str">
        <f>IFERROR(($CO226+$CR226)*(INDEX('Territory Factors'!$K$6:$K$56,MATCH($K226,'Territory Factors'!$B$6:$B$56,0))+'Commission Structure'!$C$21),"")</f>
        <v/>
      </c>
      <c r="CT226" s="102" t="str">
        <f t="shared" si="49"/>
        <v/>
      </c>
      <c r="CU226" s="100" t="str">
        <f>IFERROR($CO226*('Commission Structure'!$C$6+'Commission Structure'!$C$7),"")</f>
        <v/>
      </c>
      <c r="CV226" s="100" t="str">
        <f>IFERROR($CO226*'Commission Structure'!$C$5-$CU226,"")</f>
        <v/>
      </c>
      <c r="CW226" s="100" t="str">
        <f>IFERROR($CO226*(1-'Commission Structure'!$C$5),"")</f>
        <v/>
      </c>
      <c r="CX226" s="105" t="str">
        <f>IF($A226="","",IF(OR($CB226="?",$CC226="?",NOT(ISNUMBER($AU226))),"CHECK INPUTS",IF(OR($J226&lt;'Technical Premium'!$C$18,LEFT(IFERROR(INDEX('Driver Factors'!$D$6:$D$15,MATCH($R226,'Driver Factors'!$B$6:$B$15,0)),""),7)="DECLINE",LEFT(IFERROR(INDEX('Driver Factors'!$D$28:$D$36,MATCH($T226,'Driver Factors'!$B$28:$B$36,0)),""),7)="DECLINE",LEFT(IFERROR(INDEX('Claims History'!$D$6:$D$15,MATCH($U226,'Claims History'!$B$6:$B$15,0)),""),7)="DECLINE",LEFT(IFERROR(INDEX('Usage and Coverage'!$E$6:$E$20,MATCH($N226,'Usage and Coverage'!$C$6:$C$20,0)),""),7)="DECLINE"),"DECLINE",IF(OR($CD226&gt;2.5,$CD226&gt;='Technical Premium'!$C$17,$J226&gt;='Technical Premium'!$C$16,N($AQ226)&lt;'Technical Premium'!$C$19,N($AQ226)&gt;'Technical Premium'!$C$20,LEFT(IFERROR(INDEX('Driver Factors'!$D$6:$D$15,MATCH($R226,'Driver Factors'!$B$6:$B$15,0)),""),5)="Refer",LEFT(IFERROR(INDEX('Driver Factors'!$D$28:$D$36,MATCH($T226,'Driver Factors'!$B$28:$B$36,0)),""),5)="Refer",LEFT(IFERROR(INDEX('Claims History'!$D$6:$D$15,MATCH($U226,'Claims History'!$B$6:$B$15,0)),""),5)="Refer",LEFT(IFERROR(INDEX('Usage and Coverage'!$E$6:$E$20,MATCH($N226,'Usage and Coverage'!$C$6:$C$20,0)),""),5)="Refer"),"REFER","AUTO-BIND"))))</f>
        <v/>
      </c>
      <c r="CY226" s="106" t="str">
        <f t="shared" si="50"/>
        <v/>
      </c>
      <c r="CZ226" s="97" t="str">
        <f>IF($CY226="","",IF($CY226&lt;'Technical Premium'!$C$19,"BEYOND AUTHORITY",IF($CY226&gt;0.005,"Above technical",IF($CY226&lt;-0.005,"BELOW technical","At technical"))))</f>
        <v/>
      </c>
      <c r="DA226" s="97" t="str">
        <f>IF($A226="","",IF($CX226="AUTO-BIND","",TRIM(IF($J226&lt;'Technical Premium'!$C$18,"Below programme minimum agreed value. ","")&amp;IF(N($AQ226)&lt;'Technical Premium'!$C$19,"DISCOUNT AUTHORITY BREACH. ","")&amp;IF(N($AQ226)&gt;'Technical Premium'!$C$20,"Load authority breach. ","")&amp;IF($J226&gt;='Technical Premium'!$C$16,"Agreed value at or above auto-bind limit. ","")&amp;IF(AND(ISNUMBER($CD226),$CD226&gt;='Technical Premium'!$C$17),"Composite factor at cap. ","")&amp;IF(AND(ISNUMBER($CD226),$CD226&gt;2.5),"Composite factor above 2.50. ","")&amp;IF(LEFT(IFERROR(INDEX('Driver Factors'!$D$6:$D$15,MATCH($R226,'Driver Factors'!$B$6:$B$15,0)),""),7)="DECLINE","DECLINE - driver age. ",IF(LEFT(IFERROR(INDEX('Driver Factors'!$D$6:$D$15,MATCH($R226,'Driver Factors'!$B$6:$B$15,0)),""),5)="Refer","Driver age band. ",""))&amp;IF(LEFT(IFERROR(INDEX('Driver Factors'!$D$28:$D$36,MATCH($T226,'Driver Factors'!$B$28:$B$36,0)),""),7)="DECLINE","DECLINE - MVR. ",IF(LEFT(IFERROR(INDEX('Driver Factors'!$D$28:$D$36,MATCH($T226,'Driver Factors'!$B$28:$B$36,0)),""),5)="Refer","MVR record. ",""))&amp;IF(LEFT(IFERROR(INDEX('Claims History'!$D$6:$D$15,MATCH($U226,'Claims History'!$B$6:$B$15,0)),""),7)="DECLINE","DECLINE - claims. ",IF(LEFT(IFERROR(INDEX('Claims History'!$D$6:$D$15,MATCH($U226,'Claims History'!$B$6:$B$15,0)),""),5)="Refer","Claims history. ",""))&amp;IF(LEFT(IFERROR(INDEX('Usage and Coverage'!$E$6:$E$20,MATCH($N226,'Usage and Coverage'!$C$6:$C$20,0)),""),7)="DECLINE","DECLINE - usage class. ",IF(LEFT(IFERROR(INDEX('Usage and Coverage'!$E$6:$E$20,MATCH($N226,'Usage and Coverage'!$C$6:$C$20,0)),""),5)="Refer","Usage class. ",""))&amp;IF($CX226="CHECK INPUTS","Incomplete inputs. ",""))))</f>
        <v/>
      </c>
      <c r="DB226" s="92"/>
      <c r="DC226" s="92"/>
      <c r="DD226" s="93"/>
      <c r="DE226" s="92"/>
      <c r="DF226" s="92"/>
      <c r="DG226" s="97" t="str">
        <f t="shared" si="51"/>
        <v/>
      </c>
      <c r="DH226" s="97" t="str">
        <f>IF($A226="","",IF(OR($CX226="REFER",$CX226="DECLINE"),COUNTIF($CX$5:$CX226,"REFER")+COUNTIF($CX$5:$CX226,"DECLINE"),""))</f>
        <v/>
      </c>
      <c r="DI226" s="92"/>
    </row>
    <row r="227" spans="1:113" x14ac:dyDescent="0.25">
      <c r="A227" s="92"/>
      <c r="B227" s="92"/>
      <c r="C227" s="93"/>
      <c r="D227" s="93"/>
      <c r="E227" s="94"/>
      <c r="F227" s="92"/>
      <c r="G227" s="92"/>
      <c r="H227" s="92"/>
      <c r="I227" s="92"/>
      <c r="J227" s="95"/>
      <c r="K227" s="92"/>
      <c r="L227" s="92"/>
      <c r="M227" s="92"/>
      <c r="N227" s="92"/>
      <c r="O227" s="92"/>
      <c r="P227" s="92"/>
      <c r="Q227" s="92"/>
      <c r="R227" s="92"/>
      <c r="S227" s="92"/>
      <c r="T227" s="92"/>
      <c r="U227" s="92"/>
      <c r="V227" s="92"/>
      <c r="W227" s="92"/>
      <c r="X227" s="92"/>
      <c r="Y227" s="92"/>
      <c r="Z227" s="92"/>
      <c r="AA227" s="92"/>
      <c r="AB227" s="92"/>
      <c r="AC227" s="92"/>
      <c r="AD227" s="92"/>
      <c r="AE227" s="92"/>
      <c r="AF227" s="92"/>
      <c r="AG227" s="92"/>
      <c r="AH227" s="92"/>
      <c r="AI227" s="92"/>
      <c r="AJ227" s="92"/>
      <c r="AK227" s="92"/>
      <c r="AL227" s="92"/>
      <c r="AM227" s="92"/>
      <c r="AN227" s="92"/>
      <c r="AO227" s="92"/>
      <c r="AP227" s="92"/>
      <c r="AQ227" s="96"/>
      <c r="AR227" s="97" t="str">
        <f t="shared" si="39"/>
        <v/>
      </c>
      <c r="AS227" s="97" t="str">
        <f>IF($A227="","",IF($AP227&lt;&gt;"",$AP227,IFERROR(INDEX('Cat Zone by ZIP'!$D$6:$D$856,MATCH($AR227,'Cat Zone by ZIP'!$B$6:$B$856,0)),IFERROR(INDEX('Cat Zone by ZIP'!$C$860:$C$910,MATCH($K227,'Cat Zone by ZIP'!$B$860:$B$910,0)),"NOT FOUND"))))</f>
        <v/>
      </c>
      <c r="AT227" s="97" t="str">
        <f>IF($A227="","",IF($AP227&lt;&gt;"","Override",IF(ISNUMBER(MATCH($AR227,'Cat Zone by ZIP'!$B$6:$B$856,0)),"ZIP-3","State default")))</f>
        <v/>
      </c>
      <c r="AU227" s="98" t="str">
        <f>IF($A227="","",IFERROR(INDEX('Natural Catastrophe'!$D$6:$D$17,MATCH($AS227,'Natural Catastrophe'!$B$6:$B$17,0)),"?"))</f>
        <v/>
      </c>
      <c r="AV227" s="98" t="str">
        <f>IF($A227="","",IFERROR(INDEX('Natural Catastrophe'!$C$21:$C$26,MATCH($AA227,'Natural Catastrophe'!$B$21:$B$26,0)),"?"))</f>
        <v/>
      </c>
      <c r="AW227" s="97" t="str">
        <f>IF($A227="","",IFERROR(INDEX('Base Rates'!$C$4:$I$4,MATCH(MAX($J227,'Technical Premium'!$C$18),'Base Rates'!$C$3:$I$3,1)),"?"))</f>
        <v/>
      </c>
      <c r="AX227" s="99" t="str">
        <f>IF($A227="","",IFERROR(INDEX('Base Rates'!$C$5:$I$16,MATCH($I227,'Base Rates'!$B$5:$B$16,0),MATCH(MAX($J227,'Technical Premium'!$C$18),'Base Rates'!$C$3:$I$3,1)),"?"))</f>
        <v/>
      </c>
      <c r="AY227" s="100" t="str">
        <f t="shared" si="40"/>
        <v/>
      </c>
      <c r="AZ227" s="97" t="str">
        <f>IF($A227="","",IFERROR(INDEX('Make Factors'!$G$5:$G$69,MATCH($F227,'Make Factors'!$B$5:$B$69,0)),"?"))</f>
        <v/>
      </c>
      <c r="BA227" s="97" t="str">
        <f>IF($A227="","",IFERROR(INDEX('Driver Factors'!$C$6:$C$15,MATCH($R227,'Driver Factors'!$B$6:$B$15,0)),"?"))</f>
        <v/>
      </c>
      <c r="BB227" s="97" t="str">
        <f>IF($A227="","",IFERROR(INDEX('Driver Factors'!$C$19:$C$24,MATCH($S227,'Driver Factors'!$B$19:$B$24,0)),"?"))</f>
        <v/>
      </c>
      <c r="BC227" s="97" t="str">
        <f>IF($A227="","",IFERROR(INDEX('Driver Factors'!$C$28:$C$36,MATCH($T227,'Driver Factors'!$B$28:$B$36,0)),"?"))</f>
        <v/>
      </c>
      <c r="BD227" s="97" t="str">
        <f>IF($A227="","",IFERROR(INDEX('Claims History'!$C$6:$C$15,MATCH($U227,'Claims History'!$B$6:$B$15,0)),"?"))</f>
        <v/>
      </c>
      <c r="BE227" s="97" t="str">
        <f>IF($A227="","",IFERROR(INDEX('Territory Factors'!$E$6:$E$56,MATCH($K227,'Territory Factors'!$B$6:$B$56,0)),"?"))</f>
        <v/>
      </c>
      <c r="BF227" s="97" t="str">
        <f>IF($A227="","",IFERROR(INDEX('City Accident Ratings'!$G$6:$G$54,MATCH($Z227,'City Accident Ratings'!$B$6:$B$54,0)),"?"))</f>
        <v/>
      </c>
      <c r="BG227" s="97" t="str">
        <f>IF($A227="","",IFERROR(INDEX('Usage and Coverage'!$D$6:$D$20,MATCH($N227,'Usage and Coverage'!$C$6:$C$20,0)),"?"))</f>
        <v/>
      </c>
      <c r="BH227" s="97" t="str">
        <f>IF($A227="","",IFERROR(INDEX('Usage and Coverage'!$C$24:$C$30,MATCH($O227,'Usage and Coverage'!$B$24:$B$30,0)),"?"))</f>
        <v/>
      </c>
      <c r="BI227" s="97" t="str">
        <f>IF($A227="","",IFERROR(INDEX('Usage and Coverage'!$C$34:$C$40,MATCH($P227,'Usage and Coverage'!$B$34:$B$40,0)),"?"))</f>
        <v/>
      </c>
      <c r="BJ227" s="97" t="str">
        <f>IF($A227="","",IFERROR(INDEX('Usage and Coverage'!$C$44:$C$49,MATCH($Q227,'Usage and Coverage'!$B$44:$B$49,0)),"?"))</f>
        <v/>
      </c>
      <c r="BK227" s="97" t="str">
        <f>IF($A227="","",IFERROR(INDEX(Deductibles!$C$6:$I$15,MATCH($W227,Deductibles!$B$6:$B$15,0),MATCH(MAX($J227,'Technical Premium'!$C$18),'Base Rates'!$C$3:$I$3,1)),"?"))</f>
        <v/>
      </c>
      <c r="BL227" s="97" t="str">
        <f>IF($A227="","",IFERROR(INDEX('Usage and Coverage'!$C$63:$C$66,MATCH($X227,'Usage and Coverage'!$B$63:$B$66,0)),"?"))</f>
        <v/>
      </c>
      <c r="BM227" s="97" t="str">
        <f>IF($A227="","",IFERROR(INDEX('Usage and Coverage'!$C$70:$C$75,MATCH($V227,'Usage and Coverage'!$B$70:$B$75,0)),"?"))</f>
        <v/>
      </c>
      <c r="BN227" s="97" t="str">
        <f>IF($A227="","",IF($AB227="",1,IFERROR(INDEX(Deductibles!$C$48:$C$51,MATCH($AB227,Deductibles!$B$48:$B$51,0)),"?")))</f>
        <v/>
      </c>
      <c r="BO227" s="97" t="str">
        <f>IF($A227="","",IF($AC227="",1,IFERROR(INDEX(Deductibles!$C$55:$C$57,MATCH($AC227,Deductibles!$B$55:$B$57,0)),"?")))</f>
        <v/>
      </c>
      <c r="BP227" s="97" t="str">
        <f>IF($A227="","",IF($AD227="",1,IFERROR(INDEX(Deductibles!$C$61:$C$63,MATCH($AD227,Deductibles!$B$61:$B$63,0)),"?")))</f>
        <v/>
      </c>
      <c r="BQ227" s="97" t="str">
        <f>IF($A227="","",IF($AE227="",1,IFERROR(INDEX(Deductibles!$C$67:$C$69,MATCH($AE227,Deductibles!$B$67:$B$69,0)),"?")))</f>
        <v/>
      </c>
      <c r="BR227" s="97" t="str">
        <f>IF($A227="","",IF($AF227="",1,IFERROR(INDEX(Deductibles!$C$73:$C$74,MATCH($AF227,Deductibles!$B$73:$B$74,0)),"?")))</f>
        <v/>
      </c>
      <c r="BS227" s="97" t="str">
        <f>IF($A227="","",IF($AG227="",1,IFERROR(INDEX('Sublimits and Parts'!$C$49:$C$52,MATCH($AG227,'Sublimits and Parts'!$B$49:$B$52,0)),"?")))</f>
        <v/>
      </c>
      <c r="BT227" s="97" t="str">
        <f>IF($A227="","",IF($AH227="",1,IFERROR(INDEX('Sublimits and Parts'!$C$56:$C$60,MATCH($AH227,'Sublimits and Parts'!$B$56:$B$60,0)),"?")))</f>
        <v/>
      </c>
      <c r="BU227" s="97" t="str">
        <f>IF($A227="","",IF($AI227="",1,IFERROR(INDEX('Sublimits and Parts'!$C$64:$C$67,MATCH($AI227,'Sublimits and Parts'!$B$64:$B$67,0)),"?")))</f>
        <v/>
      </c>
      <c r="BV227" s="97" t="str">
        <f>IF($A227="","",IF($AJ227="",1,IFERROR(INDEX('Sublimits and Parts'!$C$71:$C$74,MATCH($AJ227,'Sublimits and Parts'!$B$71:$B$74,0)),"?")))</f>
        <v/>
      </c>
      <c r="BW227" s="97" t="str">
        <f>IF($A227="","",IF($AK227="",1,IFERROR(INDEX('Sublimits and Parts'!$C$78:$C$80,MATCH($AK227,'Sublimits and Parts'!$B$78:$B$80,0)),"?")))</f>
        <v/>
      </c>
      <c r="BX227" s="97" t="str">
        <f>IF($A227="","",IF($AL227="",1,IFERROR(INDEX('Sublimits and Parts'!$C$84:$C$87,MATCH($AL227,'Sublimits and Parts'!$B$84:$B$87,0)),"?")))</f>
        <v/>
      </c>
      <c r="BY227" s="97" t="str">
        <f>IF($A227="","",IF($AM227="",1,IFERROR(INDEX('Sublimits and Parts'!$C$91:$C$94,MATCH($AM227,'Sublimits and Parts'!$B$91:$B$94,0)),"?")))</f>
        <v/>
      </c>
      <c r="BZ227" s="97" t="str">
        <f>IF($A227="","",IF($AN227="",1,IFERROR(INDEX('Sublimits and Parts'!$C$98:$C$101,MATCH($AN227,'Sublimits and Parts'!$B$98:$B$101,0)),"?")))</f>
        <v/>
      </c>
      <c r="CA227" s="97" t="str">
        <f>IF($A227="","",IF($AO227="",1,IFERROR(INDEX('Sublimits and Parts'!$C$105:$C$109,MATCH($AO227,'Sublimits and Parts'!$B$105:$B$109,0)),"?")))</f>
        <v/>
      </c>
      <c r="CB227" s="98" t="str">
        <f t="shared" si="41"/>
        <v/>
      </c>
      <c r="CC227" s="98" t="str">
        <f t="shared" si="42"/>
        <v/>
      </c>
      <c r="CD227" s="101" t="str">
        <f>IF($A227="","",IF(OR($CB227="?",$CC227="?"),"?",MIN($CB227*$CC227,'Technical Premium'!$C$17)))</f>
        <v/>
      </c>
      <c r="CE227" s="100" t="str">
        <f t="shared" si="43"/>
        <v/>
      </c>
      <c r="CF227" s="100" t="str">
        <f>IF($A227="","",IFERROR(INDEX('Territory Factors'!$F$6:$F$56,MATCH($K227,'Territory Factors'!$B$6:$B$56,0)),"?"))</f>
        <v/>
      </c>
      <c r="CG227" s="98" t="str">
        <f>IF($A227="","",IFERROR(INDEX('Usage and Coverage'!$C$79:$C$84,MATCH($Y227,'Usage and Coverage'!$B$79:$B$84,0)),"?"))</f>
        <v/>
      </c>
      <c r="CH227" s="100" t="str">
        <f>IFERROR(IF(ISNUMBER($CD227),$CF227*$CG227*MIN($BG227*$BA227*$BC227*$BD227*$BH227*$BF227,'Technical Premium'!$C$17),""),"")</f>
        <v/>
      </c>
      <c r="CI227" s="100" t="str">
        <f t="shared" si="44"/>
        <v/>
      </c>
      <c r="CJ227" s="100" t="str">
        <f>IFERROR($CI227*(1+'Technical Premium'!$C$5)*(1+'Technical Premium'!$C$6),"")</f>
        <v/>
      </c>
      <c r="CK227" s="100" t="str">
        <f>IFERROR($CE227*INDEX('Territory Factors'!$G$6:$G$56,MATCH($K227,'Territory Factors'!$B$6:$B$56,0))*$AU227*$AV227,"")</f>
        <v/>
      </c>
      <c r="CL227" s="100" t="str">
        <f>IFERROR(($CJ227+$CK227)*(1+'Technical Premium'!$C$7),"")</f>
        <v/>
      </c>
      <c r="CM227" s="102" t="str">
        <f>IFERROR($CL227/'Technical Premium'!$C$13,"")</f>
        <v/>
      </c>
      <c r="CN227" s="103" t="str">
        <f t="shared" si="45"/>
        <v/>
      </c>
      <c r="CO227" s="102" t="str">
        <f t="shared" si="46"/>
        <v/>
      </c>
      <c r="CP227" s="103" t="str">
        <f t="shared" si="47"/>
        <v/>
      </c>
      <c r="CQ227" s="104" t="str">
        <f t="shared" si="48"/>
        <v/>
      </c>
      <c r="CR227" s="100" t="str">
        <f>IF(ISNUMBER($CM227),'Technical Premium'!$C$14+IF($J227&gt;=1000000,'Technical Premium'!$C$15,0),"")</f>
        <v/>
      </c>
      <c r="CS227" s="100" t="str">
        <f>IFERROR(($CO227+$CR227)*(INDEX('Territory Factors'!$K$6:$K$56,MATCH($K227,'Territory Factors'!$B$6:$B$56,0))+'Commission Structure'!$C$21),"")</f>
        <v/>
      </c>
      <c r="CT227" s="102" t="str">
        <f t="shared" si="49"/>
        <v/>
      </c>
      <c r="CU227" s="100" t="str">
        <f>IFERROR($CO227*('Commission Structure'!$C$6+'Commission Structure'!$C$7),"")</f>
        <v/>
      </c>
      <c r="CV227" s="100" t="str">
        <f>IFERROR($CO227*'Commission Structure'!$C$5-$CU227,"")</f>
        <v/>
      </c>
      <c r="CW227" s="100" t="str">
        <f>IFERROR($CO227*(1-'Commission Structure'!$C$5),"")</f>
        <v/>
      </c>
      <c r="CX227" s="105" t="str">
        <f>IF($A227="","",IF(OR($CB227="?",$CC227="?",NOT(ISNUMBER($AU227))),"CHECK INPUTS",IF(OR($J227&lt;'Technical Premium'!$C$18,LEFT(IFERROR(INDEX('Driver Factors'!$D$6:$D$15,MATCH($R227,'Driver Factors'!$B$6:$B$15,0)),""),7)="DECLINE",LEFT(IFERROR(INDEX('Driver Factors'!$D$28:$D$36,MATCH($T227,'Driver Factors'!$B$28:$B$36,0)),""),7)="DECLINE",LEFT(IFERROR(INDEX('Claims History'!$D$6:$D$15,MATCH($U227,'Claims History'!$B$6:$B$15,0)),""),7)="DECLINE",LEFT(IFERROR(INDEX('Usage and Coverage'!$E$6:$E$20,MATCH($N227,'Usage and Coverage'!$C$6:$C$20,0)),""),7)="DECLINE"),"DECLINE",IF(OR($CD227&gt;2.5,$CD227&gt;='Technical Premium'!$C$17,$J227&gt;='Technical Premium'!$C$16,N($AQ227)&lt;'Technical Premium'!$C$19,N($AQ227)&gt;'Technical Premium'!$C$20,LEFT(IFERROR(INDEX('Driver Factors'!$D$6:$D$15,MATCH($R227,'Driver Factors'!$B$6:$B$15,0)),""),5)="Refer",LEFT(IFERROR(INDEX('Driver Factors'!$D$28:$D$36,MATCH($T227,'Driver Factors'!$B$28:$B$36,0)),""),5)="Refer",LEFT(IFERROR(INDEX('Claims History'!$D$6:$D$15,MATCH($U227,'Claims History'!$B$6:$B$15,0)),""),5)="Refer",LEFT(IFERROR(INDEX('Usage and Coverage'!$E$6:$E$20,MATCH($N227,'Usage and Coverage'!$C$6:$C$20,0)),""),5)="Refer"),"REFER","AUTO-BIND"))))</f>
        <v/>
      </c>
      <c r="CY227" s="106" t="str">
        <f t="shared" si="50"/>
        <v/>
      </c>
      <c r="CZ227" s="97" t="str">
        <f>IF($CY227="","",IF($CY227&lt;'Technical Premium'!$C$19,"BEYOND AUTHORITY",IF($CY227&gt;0.005,"Above technical",IF($CY227&lt;-0.005,"BELOW technical","At technical"))))</f>
        <v/>
      </c>
      <c r="DA227" s="97" t="str">
        <f>IF($A227="","",IF($CX227="AUTO-BIND","",TRIM(IF($J227&lt;'Technical Premium'!$C$18,"Below programme minimum agreed value. ","")&amp;IF(N($AQ227)&lt;'Technical Premium'!$C$19,"DISCOUNT AUTHORITY BREACH. ","")&amp;IF(N($AQ227)&gt;'Technical Premium'!$C$20,"Load authority breach. ","")&amp;IF($J227&gt;='Technical Premium'!$C$16,"Agreed value at or above auto-bind limit. ","")&amp;IF(AND(ISNUMBER($CD227),$CD227&gt;='Technical Premium'!$C$17),"Composite factor at cap. ","")&amp;IF(AND(ISNUMBER($CD227),$CD227&gt;2.5),"Composite factor above 2.50. ","")&amp;IF(LEFT(IFERROR(INDEX('Driver Factors'!$D$6:$D$15,MATCH($R227,'Driver Factors'!$B$6:$B$15,0)),""),7)="DECLINE","DECLINE - driver age. ",IF(LEFT(IFERROR(INDEX('Driver Factors'!$D$6:$D$15,MATCH($R227,'Driver Factors'!$B$6:$B$15,0)),""),5)="Refer","Driver age band. ",""))&amp;IF(LEFT(IFERROR(INDEX('Driver Factors'!$D$28:$D$36,MATCH($T227,'Driver Factors'!$B$28:$B$36,0)),""),7)="DECLINE","DECLINE - MVR. ",IF(LEFT(IFERROR(INDEX('Driver Factors'!$D$28:$D$36,MATCH($T227,'Driver Factors'!$B$28:$B$36,0)),""),5)="Refer","MVR record. ",""))&amp;IF(LEFT(IFERROR(INDEX('Claims History'!$D$6:$D$15,MATCH($U227,'Claims History'!$B$6:$B$15,0)),""),7)="DECLINE","DECLINE - claims. ",IF(LEFT(IFERROR(INDEX('Claims History'!$D$6:$D$15,MATCH($U227,'Claims History'!$B$6:$B$15,0)),""),5)="Refer","Claims history. ",""))&amp;IF(LEFT(IFERROR(INDEX('Usage and Coverage'!$E$6:$E$20,MATCH($N227,'Usage and Coverage'!$C$6:$C$20,0)),""),7)="DECLINE","DECLINE - usage class. ",IF(LEFT(IFERROR(INDEX('Usage and Coverage'!$E$6:$E$20,MATCH($N227,'Usage and Coverage'!$C$6:$C$20,0)),""),5)="Refer","Usage class. ",""))&amp;IF($CX227="CHECK INPUTS","Incomplete inputs. ",""))))</f>
        <v/>
      </c>
      <c r="DB227" s="92"/>
      <c r="DC227" s="92"/>
      <c r="DD227" s="93"/>
      <c r="DE227" s="92"/>
      <c r="DF227" s="92"/>
      <c r="DG227" s="97" t="str">
        <f t="shared" si="51"/>
        <v/>
      </c>
      <c r="DH227" s="97" t="str">
        <f>IF($A227="","",IF(OR($CX227="REFER",$CX227="DECLINE"),COUNTIF($CX$5:$CX227,"REFER")+COUNTIF($CX$5:$CX227,"DECLINE"),""))</f>
        <v/>
      </c>
      <c r="DI227" s="92"/>
    </row>
    <row r="228" spans="1:113" x14ac:dyDescent="0.25">
      <c r="A228" s="92"/>
      <c r="B228" s="92"/>
      <c r="C228" s="93"/>
      <c r="D228" s="93"/>
      <c r="E228" s="94"/>
      <c r="F228" s="92"/>
      <c r="G228" s="92"/>
      <c r="H228" s="92"/>
      <c r="I228" s="92"/>
      <c r="J228" s="95"/>
      <c r="K228" s="92"/>
      <c r="L228" s="92"/>
      <c r="M228" s="92"/>
      <c r="N228" s="92"/>
      <c r="O228" s="92"/>
      <c r="P228" s="92"/>
      <c r="Q228" s="92"/>
      <c r="R228" s="92"/>
      <c r="S228" s="92"/>
      <c r="T228" s="92"/>
      <c r="U228" s="92"/>
      <c r="V228" s="92"/>
      <c r="W228" s="92"/>
      <c r="X228" s="92"/>
      <c r="Y228" s="92"/>
      <c r="Z228" s="92"/>
      <c r="AA228" s="92"/>
      <c r="AB228" s="92"/>
      <c r="AC228" s="92"/>
      <c r="AD228" s="92"/>
      <c r="AE228" s="92"/>
      <c r="AF228" s="92"/>
      <c r="AG228" s="92"/>
      <c r="AH228" s="92"/>
      <c r="AI228" s="92"/>
      <c r="AJ228" s="92"/>
      <c r="AK228" s="92"/>
      <c r="AL228" s="92"/>
      <c r="AM228" s="92"/>
      <c r="AN228" s="92"/>
      <c r="AO228" s="92"/>
      <c r="AP228" s="92"/>
      <c r="AQ228" s="96"/>
      <c r="AR228" s="97" t="str">
        <f t="shared" si="39"/>
        <v/>
      </c>
      <c r="AS228" s="97" t="str">
        <f>IF($A228="","",IF($AP228&lt;&gt;"",$AP228,IFERROR(INDEX('Cat Zone by ZIP'!$D$6:$D$856,MATCH($AR228,'Cat Zone by ZIP'!$B$6:$B$856,0)),IFERROR(INDEX('Cat Zone by ZIP'!$C$860:$C$910,MATCH($K228,'Cat Zone by ZIP'!$B$860:$B$910,0)),"NOT FOUND"))))</f>
        <v/>
      </c>
      <c r="AT228" s="97" t="str">
        <f>IF($A228="","",IF($AP228&lt;&gt;"","Override",IF(ISNUMBER(MATCH($AR228,'Cat Zone by ZIP'!$B$6:$B$856,0)),"ZIP-3","State default")))</f>
        <v/>
      </c>
      <c r="AU228" s="98" t="str">
        <f>IF($A228="","",IFERROR(INDEX('Natural Catastrophe'!$D$6:$D$17,MATCH($AS228,'Natural Catastrophe'!$B$6:$B$17,0)),"?"))</f>
        <v/>
      </c>
      <c r="AV228" s="98" t="str">
        <f>IF($A228="","",IFERROR(INDEX('Natural Catastrophe'!$C$21:$C$26,MATCH($AA228,'Natural Catastrophe'!$B$21:$B$26,0)),"?"))</f>
        <v/>
      </c>
      <c r="AW228" s="97" t="str">
        <f>IF($A228="","",IFERROR(INDEX('Base Rates'!$C$4:$I$4,MATCH(MAX($J228,'Technical Premium'!$C$18),'Base Rates'!$C$3:$I$3,1)),"?"))</f>
        <v/>
      </c>
      <c r="AX228" s="99" t="str">
        <f>IF($A228="","",IFERROR(INDEX('Base Rates'!$C$5:$I$16,MATCH($I228,'Base Rates'!$B$5:$B$16,0),MATCH(MAX($J228,'Technical Premium'!$C$18),'Base Rates'!$C$3:$I$3,1)),"?"))</f>
        <v/>
      </c>
      <c r="AY228" s="100" t="str">
        <f t="shared" si="40"/>
        <v/>
      </c>
      <c r="AZ228" s="97" t="str">
        <f>IF($A228="","",IFERROR(INDEX('Make Factors'!$G$5:$G$69,MATCH($F228,'Make Factors'!$B$5:$B$69,0)),"?"))</f>
        <v/>
      </c>
      <c r="BA228" s="97" t="str">
        <f>IF($A228="","",IFERROR(INDEX('Driver Factors'!$C$6:$C$15,MATCH($R228,'Driver Factors'!$B$6:$B$15,0)),"?"))</f>
        <v/>
      </c>
      <c r="BB228" s="97" t="str">
        <f>IF($A228="","",IFERROR(INDEX('Driver Factors'!$C$19:$C$24,MATCH($S228,'Driver Factors'!$B$19:$B$24,0)),"?"))</f>
        <v/>
      </c>
      <c r="BC228" s="97" t="str">
        <f>IF($A228="","",IFERROR(INDEX('Driver Factors'!$C$28:$C$36,MATCH($T228,'Driver Factors'!$B$28:$B$36,0)),"?"))</f>
        <v/>
      </c>
      <c r="BD228" s="97" t="str">
        <f>IF($A228="","",IFERROR(INDEX('Claims History'!$C$6:$C$15,MATCH($U228,'Claims History'!$B$6:$B$15,0)),"?"))</f>
        <v/>
      </c>
      <c r="BE228" s="97" t="str">
        <f>IF($A228="","",IFERROR(INDEX('Territory Factors'!$E$6:$E$56,MATCH($K228,'Territory Factors'!$B$6:$B$56,0)),"?"))</f>
        <v/>
      </c>
      <c r="BF228" s="97" t="str">
        <f>IF($A228="","",IFERROR(INDEX('City Accident Ratings'!$G$6:$G$54,MATCH($Z228,'City Accident Ratings'!$B$6:$B$54,0)),"?"))</f>
        <v/>
      </c>
      <c r="BG228" s="97" t="str">
        <f>IF($A228="","",IFERROR(INDEX('Usage and Coverage'!$D$6:$D$20,MATCH($N228,'Usage and Coverage'!$C$6:$C$20,0)),"?"))</f>
        <v/>
      </c>
      <c r="BH228" s="97" t="str">
        <f>IF($A228="","",IFERROR(INDEX('Usage and Coverage'!$C$24:$C$30,MATCH($O228,'Usage and Coverage'!$B$24:$B$30,0)),"?"))</f>
        <v/>
      </c>
      <c r="BI228" s="97" t="str">
        <f>IF($A228="","",IFERROR(INDEX('Usage and Coverage'!$C$34:$C$40,MATCH($P228,'Usage and Coverage'!$B$34:$B$40,0)),"?"))</f>
        <v/>
      </c>
      <c r="BJ228" s="97" t="str">
        <f>IF($A228="","",IFERROR(INDEX('Usage and Coverage'!$C$44:$C$49,MATCH($Q228,'Usage and Coverage'!$B$44:$B$49,0)),"?"))</f>
        <v/>
      </c>
      <c r="BK228" s="97" t="str">
        <f>IF($A228="","",IFERROR(INDEX(Deductibles!$C$6:$I$15,MATCH($W228,Deductibles!$B$6:$B$15,0),MATCH(MAX($J228,'Technical Premium'!$C$18),'Base Rates'!$C$3:$I$3,1)),"?"))</f>
        <v/>
      </c>
      <c r="BL228" s="97" t="str">
        <f>IF($A228="","",IFERROR(INDEX('Usage and Coverage'!$C$63:$C$66,MATCH($X228,'Usage and Coverage'!$B$63:$B$66,0)),"?"))</f>
        <v/>
      </c>
      <c r="BM228" s="97" t="str">
        <f>IF($A228="","",IFERROR(INDEX('Usage and Coverage'!$C$70:$C$75,MATCH($V228,'Usage and Coverage'!$B$70:$B$75,0)),"?"))</f>
        <v/>
      </c>
      <c r="BN228" s="97" t="str">
        <f>IF($A228="","",IF($AB228="",1,IFERROR(INDEX(Deductibles!$C$48:$C$51,MATCH($AB228,Deductibles!$B$48:$B$51,0)),"?")))</f>
        <v/>
      </c>
      <c r="BO228" s="97" t="str">
        <f>IF($A228="","",IF($AC228="",1,IFERROR(INDEX(Deductibles!$C$55:$C$57,MATCH($AC228,Deductibles!$B$55:$B$57,0)),"?")))</f>
        <v/>
      </c>
      <c r="BP228" s="97" t="str">
        <f>IF($A228="","",IF($AD228="",1,IFERROR(INDEX(Deductibles!$C$61:$C$63,MATCH($AD228,Deductibles!$B$61:$B$63,0)),"?")))</f>
        <v/>
      </c>
      <c r="BQ228" s="97" t="str">
        <f>IF($A228="","",IF($AE228="",1,IFERROR(INDEX(Deductibles!$C$67:$C$69,MATCH($AE228,Deductibles!$B$67:$B$69,0)),"?")))</f>
        <v/>
      </c>
      <c r="BR228" s="97" t="str">
        <f>IF($A228="","",IF($AF228="",1,IFERROR(INDEX(Deductibles!$C$73:$C$74,MATCH($AF228,Deductibles!$B$73:$B$74,0)),"?")))</f>
        <v/>
      </c>
      <c r="BS228" s="97" t="str">
        <f>IF($A228="","",IF($AG228="",1,IFERROR(INDEX('Sublimits and Parts'!$C$49:$C$52,MATCH($AG228,'Sublimits and Parts'!$B$49:$B$52,0)),"?")))</f>
        <v/>
      </c>
      <c r="BT228" s="97" t="str">
        <f>IF($A228="","",IF($AH228="",1,IFERROR(INDEX('Sublimits and Parts'!$C$56:$C$60,MATCH($AH228,'Sublimits and Parts'!$B$56:$B$60,0)),"?")))</f>
        <v/>
      </c>
      <c r="BU228" s="97" t="str">
        <f>IF($A228="","",IF($AI228="",1,IFERROR(INDEX('Sublimits and Parts'!$C$64:$C$67,MATCH($AI228,'Sublimits and Parts'!$B$64:$B$67,0)),"?")))</f>
        <v/>
      </c>
      <c r="BV228" s="97" t="str">
        <f>IF($A228="","",IF($AJ228="",1,IFERROR(INDEX('Sublimits and Parts'!$C$71:$C$74,MATCH($AJ228,'Sublimits and Parts'!$B$71:$B$74,0)),"?")))</f>
        <v/>
      </c>
      <c r="BW228" s="97" t="str">
        <f>IF($A228="","",IF($AK228="",1,IFERROR(INDEX('Sublimits and Parts'!$C$78:$C$80,MATCH($AK228,'Sublimits and Parts'!$B$78:$B$80,0)),"?")))</f>
        <v/>
      </c>
      <c r="BX228" s="97" t="str">
        <f>IF($A228="","",IF($AL228="",1,IFERROR(INDEX('Sublimits and Parts'!$C$84:$C$87,MATCH($AL228,'Sublimits and Parts'!$B$84:$B$87,0)),"?")))</f>
        <v/>
      </c>
      <c r="BY228" s="97" t="str">
        <f>IF($A228="","",IF($AM228="",1,IFERROR(INDEX('Sublimits and Parts'!$C$91:$C$94,MATCH($AM228,'Sublimits and Parts'!$B$91:$B$94,0)),"?")))</f>
        <v/>
      </c>
      <c r="BZ228" s="97" t="str">
        <f>IF($A228="","",IF($AN228="",1,IFERROR(INDEX('Sublimits and Parts'!$C$98:$C$101,MATCH($AN228,'Sublimits and Parts'!$B$98:$B$101,0)),"?")))</f>
        <v/>
      </c>
      <c r="CA228" s="97" t="str">
        <f>IF($A228="","",IF($AO228="",1,IFERROR(INDEX('Sublimits and Parts'!$C$105:$C$109,MATCH($AO228,'Sublimits and Parts'!$B$105:$B$109,0)),"?")))</f>
        <v/>
      </c>
      <c r="CB228" s="98" t="str">
        <f t="shared" si="41"/>
        <v/>
      </c>
      <c r="CC228" s="98" t="str">
        <f t="shared" si="42"/>
        <v/>
      </c>
      <c r="CD228" s="101" t="str">
        <f>IF($A228="","",IF(OR($CB228="?",$CC228="?"),"?",MIN($CB228*$CC228,'Technical Premium'!$C$17)))</f>
        <v/>
      </c>
      <c r="CE228" s="100" t="str">
        <f t="shared" si="43"/>
        <v/>
      </c>
      <c r="CF228" s="100" t="str">
        <f>IF($A228="","",IFERROR(INDEX('Territory Factors'!$F$6:$F$56,MATCH($K228,'Territory Factors'!$B$6:$B$56,0)),"?"))</f>
        <v/>
      </c>
      <c r="CG228" s="98" t="str">
        <f>IF($A228="","",IFERROR(INDEX('Usage and Coverage'!$C$79:$C$84,MATCH($Y228,'Usage and Coverage'!$B$79:$B$84,0)),"?"))</f>
        <v/>
      </c>
      <c r="CH228" s="100" t="str">
        <f>IFERROR(IF(ISNUMBER($CD228),$CF228*$CG228*MIN($BG228*$BA228*$BC228*$BD228*$BH228*$BF228,'Technical Premium'!$C$17),""),"")</f>
        <v/>
      </c>
      <c r="CI228" s="100" t="str">
        <f t="shared" si="44"/>
        <v/>
      </c>
      <c r="CJ228" s="100" t="str">
        <f>IFERROR($CI228*(1+'Technical Premium'!$C$5)*(1+'Technical Premium'!$C$6),"")</f>
        <v/>
      </c>
      <c r="CK228" s="100" t="str">
        <f>IFERROR($CE228*INDEX('Territory Factors'!$G$6:$G$56,MATCH($K228,'Territory Factors'!$B$6:$B$56,0))*$AU228*$AV228,"")</f>
        <v/>
      </c>
      <c r="CL228" s="100" t="str">
        <f>IFERROR(($CJ228+$CK228)*(1+'Technical Premium'!$C$7),"")</f>
        <v/>
      </c>
      <c r="CM228" s="102" t="str">
        <f>IFERROR($CL228/'Technical Premium'!$C$13,"")</f>
        <v/>
      </c>
      <c r="CN228" s="103" t="str">
        <f t="shared" si="45"/>
        <v/>
      </c>
      <c r="CO228" s="102" t="str">
        <f t="shared" si="46"/>
        <v/>
      </c>
      <c r="CP228" s="103" t="str">
        <f t="shared" si="47"/>
        <v/>
      </c>
      <c r="CQ228" s="104" t="str">
        <f t="shared" si="48"/>
        <v/>
      </c>
      <c r="CR228" s="100" t="str">
        <f>IF(ISNUMBER($CM228),'Technical Premium'!$C$14+IF($J228&gt;=1000000,'Technical Premium'!$C$15,0),"")</f>
        <v/>
      </c>
      <c r="CS228" s="100" t="str">
        <f>IFERROR(($CO228+$CR228)*(INDEX('Territory Factors'!$K$6:$K$56,MATCH($K228,'Territory Factors'!$B$6:$B$56,0))+'Commission Structure'!$C$21),"")</f>
        <v/>
      </c>
      <c r="CT228" s="102" t="str">
        <f t="shared" si="49"/>
        <v/>
      </c>
      <c r="CU228" s="100" t="str">
        <f>IFERROR($CO228*('Commission Structure'!$C$6+'Commission Structure'!$C$7),"")</f>
        <v/>
      </c>
      <c r="CV228" s="100" t="str">
        <f>IFERROR($CO228*'Commission Structure'!$C$5-$CU228,"")</f>
        <v/>
      </c>
      <c r="CW228" s="100" t="str">
        <f>IFERROR($CO228*(1-'Commission Structure'!$C$5),"")</f>
        <v/>
      </c>
      <c r="CX228" s="105" t="str">
        <f>IF($A228="","",IF(OR($CB228="?",$CC228="?",NOT(ISNUMBER($AU228))),"CHECK INPUTS",IF(OR($J228&lt;'Technical Premium'!$C$18,LEFT(IFERROR(INDEX('Driver Factors'!$D$6:$D$15,MATCH($R228,'Driver Factors'!$B$6:$B$15,0)),""),7)="DECLINE",LEFT(IFERROR(INDEX('Driver Factors'!$D$28:$D$36,MATCH($T228,'Driver Factors'!$B$28:$B$36,0)),""),7)="DECLINE",LEFT(IFERROR(INDEX('Claims History'!$D$6:$D$15,MATCH($U228,'Claims History'!$B$6:$B$15,0)),""),7)="DECLINE",LEFT(IFERROR(INDEX('Usage and Coverage'!$E$6:$E$20,MATCH($N228,'Usage and Coverage'!$C$6:$C$20,0)),""),7)="DECLINE"),"DECLINE",IF(OR($CD228&gt;2.5,$CD228&gt;='Technical Premium'!$C$17,$J228&gt;='Technical Premium'!$C$16,N($AQ228)&lt;'Technical Premium'!$C$19,N($AQ228)&gt;'Technical Premium'!$C$20,LEFT(IFERROR(INDEX('Driver Factors'!$D$6:$D$15,MATCH($R228,'Driver Factors'!$B$6:$B$15,0)),""),5)="Refer",LEFT(IFERROR(INDEX('Driver Factors'!$D$28:$D$36,MATCH($T228,'Driver Factors'!$B$28:$B$36,0)),""),5)="Refer",LEFT(IFERROR(INDEX('Claims History'!$D$6:$D$15,MATCH($U228,'Claims History'!$B$6:$B$15,0)),""),5)="Refer",LEFT(IFERROR(INDEX('Usage and Coverage'!$E$6:$E$20,MATCH($N228,'Usage and Coverage'!$C$6:$C$20,0)),""),5)="Refer"),"REFER","AUTO-BIND"))))</f>
        <v/>
      </c>
      <c r="CY228" s="106" t="str">
        <f t="shared" si="50"/>
        <v/>
      </c>
      <c r="CZ228" s="97" t="str">
        <f>IF($CY228="","",IF($CY228&lt;'Technical Premium'!$C$19,"BEYOND AUTHORITY",IF($CY228&gt;0.005,"Above technical",IF($CY228&lt;-0.005,"BELOW technical","At technical"))))</f>
        <v/>
      </c>
      <c r="DA228" s="97" t="str">
        <f>IF($A228="","",IF($CX228="AUTO-BIND","",TRIM(IF($J228&lt;'Technical Premium'!$C$18,"Below programme minimum agreed value. ","")&amp;IF(N($AQ228)&lt;'Technical Premium'!$C$19,"DISCOUNT AUTHORITY BREACH. ","")&amp;IF(N($AQ228)&gt;'Technical Premium'!$C$20,"Load authority breach. ","")&amp;IF($J228&gt;='Technical Premium'!$C$16,"Agreed value at or above auto-bind limit. ","")&amp;IF(AND(ISNUMBER($CD228),$CD228&gt;='Technical Premium'!$C$17),"Composite factor at cap. ","")&amp;IF(AND(ISNUMBER($CD228),$CD228&gt;2.5),"Composite factor above 2.50. ","")&amp;IF(LEFT(IFERROR(INDEX('Driver Factors'!$D$6:$D$15,MATCH($R228,'Driver Factors'!$B$6:$B$15,0)),""),7)="DECLINE","DECLINE - driver age. ",IF(LEFT(IFERROR(INDEX('Driver Factors'!$D$6:$D$15,MATCH($R228,'Driver Factors'!$B$6:$B$15,0)),""),5)="Refer","Driver age band. ",""))&amp;IF(LEFT(IFERROR(INDEX('Driver Factors'!$D$28:$D$36,MATCH($T228,'Driver Factors'!$B$28:$B$36,0)),""),7)="DECLINE","DECLINE - MVR. ",IF(LEFT(IFERROR(INDEX('Driver Factors'!$D$28:$D$36,MATCH($T228,'Driver Factors'!$B$28:$B$36,0)),""),5)="Refer","MVR record. ",""))&amp;IF(LEFT(IFERROR(INDEX('Claims History'!$D$6:$D$15,MATCH($U228,'Claims History'!$B$6:$B$15,0)),""),7)="DECLINE","DECLINE - claims. ",IF(LEFT(IFERROR(INDEX('Claims History'!$D$6:$D$15,MATCH($U228,'Claims History'!$B$6:$B$15,0)),""),5)="Refer","Claims history. ",""))&amp;IF(LEFT(IFERROR(INDEX('Usage and Coverage'!$E$6:$E$20,MATCH($N228,'Usage and Coverage'!$C$6:$C$20,0)),""),7)="DECLINE","DECLINE - usage class. ",IF(LEFT(IFERROR(INDEX('Usage and Coverage'!$E$6:$E$20,MATCH($N228,'Usage and Coverage'!$C$6:$C$20,0)),""),5)="Refer","Usage class. ",""))&amp;IF($CX228="CHECK INPUTS","Incomplete inputs. ",""))))</f>
        <v/>
      </c>
      <c r="DB228" s="92"/>
      <c r="DC228" s="92"/>
      <c r="DD228" s="93"/>
      <c r="DE228" s="92"/>
      <c r="DF228" s="92"/>
      <c r="DG228" s="97" t="str">
        <f t="shared" si="51"/>
        <v/>
      </c>
      <c r="DH228" s="97" t="str">
        <f>IF($A228="","",IF(OR($CX228="REFER",$CX228="DECLINE"),COUNTIF($CX$5:$CX228,"REFER")+COUNTIF($CX$5:$CX228,"DECLINE"),""))</f>
        <v/>
      </c>
      <c r="DI228" s="92"/>
    </row>
    <row r="229" spans="1:113" x14ac:dyDescent="0.25">
      <c r="A229" s="92"/>
      <c r="B229" s="92"/>
      <c r="C229" s="93"/>
      <c r="D229" s="93"/>
      <c r="E229" s="94"/>
      <c r="F229" s="92"/>
      <c r="G229" s="92"/>
      <c r="H229" s="92"/>
      <c r="I229" s="92"/>
      <c r="J229" s="95"/>
      <c r="K229" s="92"/>
      <c r="L229" s="92"/>
      <c r="M229" s="92"/>
      <c r="N229" s="92"/>
      <c r="O229" s="92"/>
      <c r="P229" s="92"/>
      <c r="Q229" s="92"/>
      <c r="R229" s="92"/>
      <c r="S229" s="92"/>
      <c r="T229" s="92"/>
      <c r="U229" s="92"/>
      <c r="V229" s="92"/>
      <c r="W229" s="92"/>
      <c r="X229" s="92"/>
      <c r="Y229" s="92"/>
      <c r="Z229" s="92"/>
      <c r="AA229" s="92"/>
      <c r="AB229" s="92"/>
      <c r="AC229" s="92"/>
      <c r="AD229" s="92"/>
      <c r="AE229" s="92"/>
      <c r="AF229" s="92"/>
      <c r="AG229" s="92"/>
      <c r="AH229" s="92"/>
      <c r="AI229" s="92"/>
      <c r="AJ229" s="92"/>
      <c r="AK229" s="92"/>
      <c r="AL229" s="92"/>
      <c r="AM229" s="92"/>
      <c r="AN229" s="92"/>
      <c r="AO229" s="92"/>
      <c r="AP229" s="92"/>
      <c r="AQ229" s="96"/>
      <c r="AR229" s="97" t="str">
        <f t="shared" si="39"/>
        <v/>
      </c>
      <c r="AS229" s="97" t="str">
        <f>IF($A229="","",IF($AP229&lt;&gt;"",$AP229,IFERROR(INDEX('Cat Zone by ZIP'!$D$6:$D$856,MATCH($AR229,'Cat Zone by ZIP'!$B$6:$B$856,0)),IFERROR(INDEX('Cat Zone by ZIP'!$C$860:$C$910,MATCH($K229,'Cat Zone by ZIP'!$B$860:$B$910,0)),"NOT FOUND"))))</f>
        <v/>
      </c>
      <c r="AT229" s="97" t="str">
        <f>IF($A229="","",IF($AP229&lt;&gt;"","Override",IF(ISNUMBER(MATCH($AR229,'Cat Zone by ZIP'!$B$6:$B$856,0)),"ZIP-3","State default")))</f>
        <v/>
      </c>
      <c r="AU229" s="98" t="str">
        <f>IF($A229="","",IFERROR(INDEX('Natural Catastrophe'!$D$6:$D$17,MATCH($AS229,'Natural Catastrophe'!$B$6:$B$17,0)),"?"))</f>
        <v/>
      </c>
      <c r="AV229" s="98" t="str">
        <f>IF($A229="","",IFERROR(INDEX('Natural Catastrophe'!$C$21:$C$26,MATCH($AA229,'Natural Catastrophe'!$B$21:$B$26,0)),"?"))</f>
        <v/>
      </c>
      <c r="AW229" s="97" t="str">
        <f>IF($A229="","",IFERROR(INDEX('Base Rates'!$C$4:$I$4,MATCH(MAX($J229,'Technical Premium'!$C$18),'Base Rates'!$C$3:$I$3,1)),"?"))</f>
        <v/>
      </c>
      <c r="AX229" s="99" t="str">
        <f>IF($A229="","",IFERROR(INDEX('Base Rates'!$C$5:$I$16,MATCH($I229,'Base Rates'!$B$5:$B$16,0),MATCH(MAX($J229,'Technical Premium'!$C$18),'Base Rates'!$C$3:$I$3,1)),"?"))</f>
        <v/>
      </c>
      <c r="AY229" s="100" t="str">
        <f t="shared" si="40"/>
        <v/>
      </c>
      <c r="AZ229" s="97" t="str">
        <f>IF($A229="","",IFERROR(INDEX('Make Factors'!$G$5:$G$69,MATCH($F229,'Make Factors'!$B$5:$B$69,0)),"?"))</f>
        <v/>
      </c>
      <c r="BA229" s="97" t="str">
        <f>IF($A229="","",IFERROR(INDEX('Driver Factors'!$C$6:$C$15,MATCH($R229,'Driver Factors'!$B$6:$B$15,0)),"?"))</f>
        <v/>
      </c>
      <c r="BB229" s="97" t="str">
        <f>IF($A229="","",IFERROR(INDEX('Driver Factors'!$C$19:$C$24,MATCH($S229,'Driver Factors'!$B$19:$B$24,0)),"?"))</f>
        <v/>
      </c>
      <c r="BC229" s="97" t="str">
        <f>IF($A229="","",IFERROR(INDEX('Driver Factors'!$C$28:$C$36,MATCH($T229,'Driver Factors'!$B$28:$B$36,0)),"?"))</f>
        <v/>
      </c>
      <c r="BD229" s="97" t="str">
        <f>IF($A229="","",IFERROR(INDEX('Claims History'!$C$6:$C$15,MATCH($U229,'Claims History'!$B$6:$B$15,0)),"?"))</f>
        <v/>
      </c>
      <c r="BE229" s="97" t="str">
        <f>IF($A229="","",IFERROR(INDEX('Territory Factors'!$E$6:$E$56,MATCH($K229,'Territory Factors'!$B$6:$B$56,0)),"?"))</f>
        <v/>
      </c>
      <c r="BF229" s="97" t="str">
        <f>IF($A229="","",IFERROR(INDEX('City Accident Ratings'!$G$6:$G$54,MATCH($Z229,'City Accident Ratings'!$B$6:$B$54,0)),"?"))</f>
        <v/>
      </c>
      <c r="BG229" s="97" t="str">
        <f>IF($A229="","",IFERROR(INDEX('Usage and Coverage'!$D$6:$D$20,MATCH($N229,'Usage and Coverage'!$C$6:$C$20,0)),"?"))</f>
        <v/>
      </c>
      <c r="BH229" s="97" t="str">
        <f>IF($A229="","",IFERROR(INDEX('Usage and Coverage'!$C$24:$C$30,MATCH($O229,'Usage and Coverage'!$B$24:$B$30,0)),"?"))</f>
        <v/>
      </c>
      <c r="BI229" s="97" t="str">
        <f>IF($A229="","",IFERROR(INDEX('Usage and Coverage'!$C$34:$C$40,MATCH($P229,'Usage and Coverage'!$B$34:$B$40,0)),"?"))</f>
        <v/>
      </c>
      <c r="BJ229" s="97" t="str">
        <f>IF($A229="","",IFERROR(INDEX('Usage and Coverage'!$C$44:$C$49,MATCH($Q229,'Usage and Coverage'!$B$44:$B$49,0)),"?"))</f>
        <v/>
      </c>
      <c r="BK229" s="97" t="str">
        <f>IF($A229="","",IFERROR(INDEX(Deductibles!$C$6:$I$15,MATCH($W229,Deductibles!$B$6:$B$15,0),MATCH(MAX($J229,'Technical Premium'!$C$18),'Base Rates'!$C$3:$I$3,1)),"?"))</f>
        <v/>
      </c>
      <c r="BL229" s="97" t="str">
        <f>IF($A229="","",IFERROR(INDEX('Usage and Coverage'!$C$63:$C$66,MATCH($X229,'Usage and Coverage'!$B$63:$B$66,0)),"?"))</f>
        <v/>
      </c>
      <c r="BM229" s="97" t="str">
        <f>IF($A229="","",IFERROR(INDEX('Usage and Coverage'!$C$70:$C$75,MATCH($V229,'Usage and Coverage'!$B$70:$B$75,0)),"?"))</f>
        <v/>
      </c>
      <c r="BN229" s="97" t="str">
        <f>IF($A229="","",IF($AB229="",1,IFERROR(INDEX(Deductibles!$C$48:$C$51,MATCH($AB229,Deductibles!$B$48:$B$51,0)),"?")))</f>
        <v/>
      </c>
      <c r="BO229" s="97" t="str">
        <f>IF($A229="","",IF($AC229="",1,IFERROR(INDEX(Deductibles!$C$55:$C$57,MATCH($AC229,Deductibles!$B$55:$B$57,0)),"?")))</f>
        <v/>
      </c>
      <c r="BP229" s="97" t="str">
        <f>IF($A229="","",IF($AD229="",1,IFERROR(INDEX(Deductibles!$C$61:$C$63,MATCH($AD229,Deductibles!$B$61:$B$63,0)),"?")))</f>
        <v/>
      </c>
      <c r="BQ229" s="97" t="str">
        <f>IF($A229="","",IF($AE229="",1,IFERROR(INDEX(Deductibles!$C$67:$C$69,MATCH($AE229,Deductibles!$B$67:$B$69,0)),"?")))</f>
        <v/>
      </c>
      <c r="BR229" s="97" t="str">
        <f>IF($A229="","",IF($AF229="",1,IFERROR(INDEX(Deductibles!$C$73:$C$74,MATCH($AF229,Deductibles!$B$73:$B$74,0)),"?")))</f>
        <v/>
      </c>
      <c r="BS229" s="97" t="str">
        <f>IF($A229="","",IF($AG229="",1,IFERROR(INDEX('Sublimits and Parts'!$C$49:$C$52,MATCH($AG229,'Sublimits and Parts'!$B$49:$B$52,0)),"?")))</f>
        <v/>
      </c>
      <c r="BT229" s="97" t="str">
        <f>IF($A229="","",IF($AH229="",1,IFERROR(INDEX('Sublimits and Parts'!$C$56:$C$60,MATCH($AH229,'Sublimits and Parts'!$B$56:$B$60,0)),"?")))</f>
        <v/>
      </c>
      <c r="BU229" s="97" t="str">
        <f>IF($A229="","",IF($AI229="",1,IFERROR(INDEX('Sublimits and Parts'!$C$64:$C$67,MATCH($AI229,'Sublimits and Parts'!$B$64:$B$67,0)),"?")))</f>
        <v/>
      </c>
      <c r="BV229" s="97" t="str">
        <f>IF($A229="","",IF($AJ229="",1,IFERROR(INDEX('Sublimits and Parts'!$C$71:$C$74,MATCH($AJ229,'Sublimits and Parts'!$B$71:$B$74,0)),"?")))</f>
        <v/>
      </c>
      <c r="BW229" s="97" t="str">
        <f>IF($A229="","",IF($AK229="",1,IFERROR(INDEX('Sublimits and Parts'!$C$78:$C$80,MATCH($AK229,'Sublimits and Parts'!$B$78:$B$80,0)),"?")))</f>
        <v/>
      </c>
      <c r="BX229" s="97" t="str">
        <f>IF($A229="","",IF($AL229="",1,IFERROR(INDEX('Sublimits and Parts'!$C$84:$C$87,MATCH($AL229,'Sublimits and Parts'!$B$84:$B$87,0)),"?")))</f>
        <v/>
      </c>
      <c r="BY229" s="97" t="str">
        <f>IF($A229="","",IF($AM229="",1,IFERROR(INDEX('Sublimits and Parts'!$C$91:$C$94,MATCH($AM229,'Sublimits and Parts'!$B$91:$B$94,0)),"?")))</f>
        <v/>
      </c>
      <c r="BZ229" s="97" t="str">
        <f>IF($A229="","",IF($AN229="",1,IFERROR(INDEX('Sublimits and Parts'!$C$98:$C$101,MATCH($AN229,'Sublimits and Parts'!$B$98:$B$101,0)),"?")))</f>
        <v/>
      </c>
      <c r="CA229" s="97" t="str">
        <f>IF($A229="","",IF($AO229="",1,IFERROR(INDEX('Sublimits and Parts'!$C$105:$C$109,MATCH($AO229,'Sublimits and Parts'!$B$105:$B$109,0)),"?")))</f>
        <v/>
      </c>
      <c r="CB229" s="98" t="str">
        <f t="shared" si="41"/>
        <v/>
      </c>
      <c r="CC229" s="98" t="str">
        <f t="shared" si="42"/>
        <v/>
      </c>
      <c r="CD229" s="101" t="str">
        <f>IF($A229="","",IF(OR($CB229="?",$CC229="?"),"?",MIN($CB229*$CC229,'Technical Premium'!$C$17)))</f>
        <v/>
      </c>
      <c r="CE229" s="100" t="str">
        <f t="shared" si="43"/>
        <v/>
      </c>
      <c r="CF229" s="100" t="str">
        <f>IF($A229="","",IFERROR(INDEX('Territory Factors'!$F$6:$F$56,MATCH($K229,'Territory Factors'!$B$6:$B$56,0)),"?"))</f>
        <v/>
      </c>
      <c r="CG229" s="98" t="str">
        <f>IF($A229="","",IFERROR(INDEX('Usage and Coverage'!$C$79:$C$84,MATCH($Y229,'Usage and Coverage'!$B$79:$B$84,0)),"?"))</f>
        <v/>
      </c>
      <c r="CH229" s="100" t="str">
        <f>IFERROR(IF(ISNUMBER($CD229),$CF229*$CG229*MIN($BG229*$BA229*$BC229*$BD229*$BH229*$BF229,'Technical Premium'!$C$17),""),"")</f>
        <v/>
      </c>
      <c r="CI229" s="100" t="str">
        <f t="shared" si="44"/>
        <v/>
      </c>
      <c r="CJ229" s="100" t="str">
        <f>IFERROR($CI229*(1+'Technical Premium'!$C$5)*(1+'Technical Premium'!$C$6),"")</f>
        <v/>
      </c>
      <c r="CK229" s="100" t="str">
        <f>IFERROR($CE229*INDEX('Territory Factors'!$G$6:$G$56,MATCH($K229,'Territory Factors'!$B$6:$B$56,0))*$AU229*$AV229,"")</f>
        <v/>
      </c>
      <c r="CL229" s="100" t="str">
        <f>IFERROR(($CJ229+$CK229)*(1+'Technical Premium'!$C$7),"")</f>
        <v/>
      </c>
      <c r="CM229" s="102" t="str">
        <f>IFERROR($CL229/'Technical Premium'!$C$13,"")</f>
        <v/>
      </c>
      <c r="CN229" s="103" t="str">
        <f t="shared" si="45"/>
        <v/>
      </c>
      <c r="CO229" s="102" t="str">
        <f t="shared" si="46"/>
        <v/>
      </c>
      <c r="CP229" s="103" t="str">
        <f t="shared" si="47"/>
        <v/>
      </c>
      <c r="CQ229" s="104" t="str">
        <f t="shared" si="48"/>
        <v/>
      </c>
      <c r="CR229" s="100" t="str">
        <f>IF(ISNUMBER($CM229),'Technical Premium'!$C$14+IF($J229&gt;=1000000,'Technical Premium'!$C$15,0),"")</f>
        <v/>
      </c>
      <c r="CS229" s="100" t="str">
        <f>IFERROR(($CO229+$CR229)*(INDEX('Territory Factors'!$K$6:$K$56,MATCH($K229,'Territory Factors'!$B$6:$B$56,0))+'Commission Structure'!$C$21),"")</f>
        <v/>
      </c>
      <c r="CT229" s="102" t="str">
        <f t="shared" si="49"/>
        <v/>
      </c>
      <c r="CU229" s="100" t="str">
        <f>IFERROR($CO229*('Commission Structure'!$C$6+'Commission Structure'!$C$7),"")</f>
        <v/>
      </c>
      <c r="CV229" s="100" t="str">
        <f>IFERROR($CO229*'Commission Structure'!$C$5-$CU229,"")</f>
        <v/>
      </c>
      <c r="CW229" s="100" t="str">
        <f>IFERROR($CO229*(1-'Commission Structure'!$C$5),"")</f>
        <v/>
      </c>
      <c r="CX229" s="105" t="str">
        <f>IF($A229="","",IF(OR($CB229="?",$CC229="?",NOT(ISNUMBER($AU229))),"CHECK INPUTS",IF(OR($J229&lt;'Technical Premium'!$C$18,LEFT(IFERROR(INDEX('Driver Factors'!$D$6:$D$15,MATCH($R229,'Driver Factors'!$B$6:$B$15,0)),""),7)="DECLINE",LEFT(IFERROR(INDEX('Driver Factors'!$D$28:$D$36,MATCH($T229,'Driver Factors'!$B$28:$B$36,0)),""),7)="DECLINE",LEFT(IFERROR(INDEX('Claims History'!$D$6:$D$15,MATCH($U229,'Claims History'!$B$6:$B$15,0)),""),7)="DECLINE",LEFT(IFERROR(INDEX('Usage and Coverage'!$E$6:$E$20,MATCH($N229,'Usage and Coverage'!$C$6:$C$20,0)),""),7)="DECLINE"),"DECLINE",IF(OR($CD229&gt;2.5,$CD229&gt;='Technical Premium'!$C$17,$J229&gt;='Technical Premium'!$C$16,N($AQ229)&lt;'Technical Premium'!$C$19,N($AQ229)&gt;'Technical Premium'!$C$20,LEFT(IFERROR(INDEX('Driver Factors'!$D$6:$D$15,MATCH($R229,'Driver Factors'!$B$6:$B$15,0)),""),5)="Refer",LEFT(IFERROR(INDEX('Driver Factors'!$D$28:$D$36,MATCH($T229,'Driver Factors'!$B$28:$B$36,0)),""),5)="Refer",LEFT(IFERROR(INDEX('Claims History'!$D$6:$D$15,MATCH($U229,'Claims History'!$B$6:$B$15,0)),""),5)="Refer",LEFT(IFERROR(INDEX('Usage and Coverage'!$E$6:$E$20,MATCH($N229,'Usage and Coverage'!$C$6:$C$20,0)),""),5)="Refer"),"REFER","AUTO-BIND"))))</f>
        <v/>
      </c>
      <c r="CY229" s="106" t="str">
        <f t="shared" si="50"/>
        <v/>
      </c>
      <c r="CZ229" s="97" t="str">
        <f>IF($CY229="","",IF($CY229&lt;'Technical Premium'!$C$19,"BEYOND AUTHORITY",IF($CY229&gt;0.005,"Above technical",IF($CY229&lt;-0.005,"BELOW technical","At technical"))))</f>
        <v/>
      </c>
      <c r="DA229" s="97" t="str">
        <f>IF($A229="","",IF($CX229="AUTO-BIND","",TRIM(IF($J229&lt;'Technical Premium'!$C$18,"Below programme minimum agreed value. ","")&amp;IF(N($AQ229)&lt;'Technical Premium'!$C$19,"DISCOUNT AUTHORITY BREACH. ","")&amp;IF(N($AQ229)&gt;'Technical Premium'!$C$20,"Load authority breach. ","")&amp;IF($J229&gt;='Technical Premium'!$C$16,"Agreed value at or above auto-bind limit. ","")&amp;IF(AND(ISNUMBER($CD229),$CD229&gt;='Technical Premium'!$C$17),"Composite factor at cap. ","")&amp;IF(AND(ISNUMBER($CD229),$CD229&gt;2.5),"Composite factor above 2.50. ","")&amp;IF(LEFT(IFERROR(INDEX('Driver Factors'!$D$6:$D$15,MATCH($R229,'Driver Factors'!$B$6:$B$15,0)),""),7)="DECLINE","DECLINE - driver age. ",IF(LEFT(IFERROR(INDEX('Driver Factors'!$D$6:$D$15,MATCH($R229,'Driver Factors'!$B$6:$B$15,0)),""),5)="Refer","Driver age band. ",""))&amp;IF(LEFT(IFERROR(INDEX('Driver Factors'!$D$28:$D$36,MATCH($T229,'Driver Factors'!$B$28:$B$36,0)),""),7)="DECLINE","DECLINE - MVR. ",IF(LEFT(IFERROR(INDEX('Driver Factors'!$D$28:$D$36,MATCH($T229,'Driver Factors'!$B$28:$B$36,0)),""),5)="Refer","MVR record. ",""))&amp;IF(LEFT(IFERROR(INDEX('Claims History'!$D$6:$D$15,MATCH($U229,'Claims History'!$B$6:$B$15,0)),""),7)="DECLINE","DECLINE - claims. ",IF(LEFT(IFERROR(INDEX('Claims History'!$D$6:$D$15,MATCH($U229,'Claims History'!$B$6:$B$15,0)),""),5)="Refer","Claims history. ",""))&amp;IF(LEFT(IFERROR(INDEX('Usage and Coverage'!$E$6:$E$20,MATCH($N229,'Usage and Coverage'!$C$6:$C$20,0)),""),7)="DECLINE","DECLINE - usage class. ",IF(LEFT(IFERROR(INDEX('Usage and Coverage'!$E$6:$E$20,MATCH($N229,'Usage and Coverage'!$C$6:$C$20,0)),""),5)="Refer","Usage class. ",""))&amp;IF($CX229="CHECK INPUTS","Incomplete inputs. ",""))))</f>
        <v/>
      </c>
      <c r="DB229" s="92"/>
      <c r="DC229" s="92"/>
      <c r="DD229" s="93"/>
      <c r="DE229" s="92"/>
      <c r="DF229" s="92"/>
      <c r="DG229" s="97" t="str">
        <f t="shared" si="51"/>
        <v/>
      </c>
      <c r="DH229" s="97" t="str">
        <f>IF($A229="","",IF(OR($CX229="REFER",$CX229="DECLINE"),COUNTIF($CX$5:$CX229,"REFER")+COUNTIF($CX$5:$CX229,"DECLINE"),""))</f>
        <v/>
      </c>
      <c r="DI229" s="92"/>
    </row>
    <row r="230" spans="1:113" x14ac:dyDescent="0.25">
      <c r="A230" s="92"/>
      <c r="B230" s="92"/>
      <c r="C230" s="93"/>
      <c r="D230" s="93"/>
      <c r="E230" s="94"/>
      <c r="F230" s="92"/>
      <c r="G230" s="92"/>
      <c r="H230" s="92"/>
      <c r="I230" s="92"/>
      <c r="J230" s="95"/>
      <c r="K230" s="92"/>
      <c r="L230" s="92"/>
      <c r="M230" s="92"/>
      <c r="N230" s="92"/>
      <c r="O230" s="92"/>
      <c r="P230" s="92"/>
      <c r="Q230" s="92"/>
      <c r="R230" s="92"/>
      <c r="S230" s="92"/>
      <c r="T230" s="92"/>
      <c r="U230" s="92"/>
      <c r="V230" s="92"/>
      <c r="W230" s="92"/>
      <c r="X230" s="92"/>
      <c r="Y230" s="92"/>
      <c r="Z230" s="92"/>
      <c r="AA230" s="92"/>
      <c r="AB230" s="92"/>
      <c r="AC230" s="92"/>
      <c r="AD230" s="92"/>
      <c r="AE230" s="92"/>
      <c r="AF230" s="92"/>
      <c r="AG230" s="92"/>
      <c r="AH230" s="92"/>
      <c r="AI230" s="92"/>
      <c r="AJ230" s="92"/>
      <c r="AK230" s="92"/>
      <c r="AL230" s="92"/>
      <c r="AM230" s="92"/>
      <c r="AN230" s="92"/>
      <c r="AO230" s="92"/>
      <c r="AP230" s="92"/>
      <c r="AQ230" s="96"/>
      <c r="AR230" s="97" t="str">
        <f t="shared" si="39"/>
        <v/>
      </c>
      <c r="AS230" s="97" t="str">
        <f>IF($A230="","",IF($AP230&lt;&gt;"",$AP230,IFERROR(INDEX('Cat Zone by ZIP'!$D$6:$D$856,MATCH($AR230,'Cat Zone by ZIP'!$B$6:$B$856,0)),IFERROR(INDEX('Cat Zone by ZIP'!$C$860:$C$910,MATCH($K230,'Cat Zone by ZIP'!$B$860:$B$910,0)),"NOT FOUND"))))</f>
        <v/>
      </c>
      <c r="AT230" s="97" t="str">
        <f>IF($A230="","",IF($AP230&lt;&gt;"","Override",IF(ISNUMBER(MATCH($AR230,'Cat Zone by ZIP'!$B$6:$B$856,0)),"ZIP-3","State default")))</f>
        <v/>
      </c>
      <c r="AU230" s="98" t="str">
        <f>IF($A230="","",IFERROR(INDEX('Natural Catastrophe'!$D$6:$D$17,MATCH($AS230,'Natural Catastrophe'!$B$6:$B$17,0)),"?"))</f>
        <v/>
      </c>
      <c r="AV230" s="98" t="str">
        <f>IF($A230="","",IFERROR(INDEX('Natural Catastrophe'!$C$21:$C$26,MATCH($AA230,'Natural Catastrophe'!$B$21:$B$26,0)),"?"))</f>
        <v/>
      </c>
      <c r="AW230" s="97" t="str">
        <f>IF($A230="","",IFERROR(INDEX('Base Rates'!$C$4:$I$4,MATCH(MAX($J230,'Technical Premium'!$C$18),'Base Rates'!$C$3:$I$3,1)),"?"))</f>
        <v/>
      </c>
      <c r="AX230" s="99" t="str">
        <f>IF($A230="","",IFERROR(INDEX('Base Rates'!$C$5:$I$16,MATCH($I230,'Base Rates'!$B$5:$B$16,0),MATCH(MAX($J230,'Technical Premium'!$C$18),'Base Rates'!$C$3:$I$3,1)),"?"))</f>
        <v/>
      </c>
      <c r="AY230" s="100" t="str">
        <f t="shared" si="40"/>
        <v/>
      </c>
      <c r="AZ230" s="97" t="str">
        <f>IF($A230="","",IFERROR(INDEX('Make Factors'!$G$5:$G$69,MATCH($F230,'Make Factors'!$B$5:$B$69,0)),"?"))</f>
        <v/>
      </c>
      <c r="BA230" s="97" t="str">
        <f>IF($A230="","",IFERROR(INDEX('Driver Factors'!$C$6:$C$15,MATCH($R230,'Driver Factors'!$B$6:$B$15,0)),"?"))</f>
        <v/>
      </c>
      <c r="BB230" s="97" t="str">
        <f>IF($A230="","",IFERROR(INDEX('Driver Factors'!$C$19:$C$24,MATCH($S230,'Driver Factors'!$B$19:$B$24,0)),"?"))</f>
        <v/>
      </c>
      <c r="BC230" s="97" t="str">
        <f>IF($A230="","",IFERROR(INDEX('Driver Factors'!$C$28:$C$36,MATCH($T230,'Driver Factors'!$B$28:$B$36,0)),"?"))</f>
        <v/>
      </c>
      <c r="BD230" s="97" t="str">
        <f>IF($A230="","",IFERROR(INDEX('Claims History'!$C$6:$C$15,MATCH($U230,'Claims History'!$B$6:$B$15,0)),"?"))</f>
        <v/>
      </c>
      <c r="BE230" s="97" t="str">
        <f>IF($A230="","",IFERROR(INDEX('Territory Factors'!$E$6:$E$56,MATCH($K230,'Territory Factors'!$B$6:$B$56,0)),"?"))</f>
        <v/>
      </c>
      <c r="BF230" s="97" t="str">
        <f>IF($A230="","",IFERROR(INDEX('City Accident Ratings'!$G$6:$G$54,MATCH($Z230,'City Accident Ratings'!$B$6:$B$54,0)),"?"))</f>
        <v/>
      </c>
      <c r="BG230" s="97" t="str">
        <f>IF($A230="","",IFERROR(INDEX('Usage and Coverage'!$D$6:$D$20,MATCH($N230,'Usage and Coverage'!$C$6:$C$20,0)),"?"))</f>
        <v/>
      </c>
      <c r="BH230" s="97" t="str">
        <f>IF($A230="","",IFERROR(INDEX('Usage and Coverage'!$C$24:$C$30,MATCH($O230,'Usage and Coverage'!$B$24:$B$30,0)),"?"))</f>
        <v/>
      </c>
      <c r="BI230" s="97" t="str">
        <f>IF($A230="","",IFERROR(INDEX('Usage and Coverage'!$C$34:$C$40,MATCH($P230,'Usage and Coverage'!$B$34:$B$40,0)),"?"))</f>
        <v/>
      </c>
      <c r="BJ230" s="97" t="str">
        <f>IF($A230="","",IFERROR(INDEX('Usage and Coverage'!$C$44:$C$49,MATCH($Q230,'Usage and Coverage'!$B$44:$B$49,0)),"?"))</f>
        <v/>
      </c>
      <c r="BK230" s="97" t="str">
        <f>IF($A230="","",IFERROR(INDEX(Deductibles!$C$6:$I$15,MATCH($W230,Deductibles!$B$6:$B$15,0),MATCH(MAX($J230,'Technical Premium'!$C$18),'Base Rates'!$C$3:$I$3,1)),"?"))</f>
        <v/>
      </c>
      <c r="BL230" s="97" t="str">
        <f>IF($A230="","",IFERROR(INDEX('Usage and Coverage'!$C$63:$C$66,MATCH($X230,'Usage and Coverage'!$B$63:$B$66,0)),"?"))</f>
        <v/>
      </c>
      <c r="BM230" s="97" t="str">
        <f>IF($A230="","",IFERROR(INDEX('Usage and Coverage'!$C$70:$C$75,MATCH($V230,'Usage and Coverage'!$B$70:$B$75,0)),"?"))</f>
        <v/>
      </c>
      <c r="BN230" s="97" t="str">
        <f>IF($A230="","",IF($AB230="",1,IFERROR(INDEX(Deductibles!$C$48:$C$51,MATCH($AB230,Deductibles!$B$48:$B$51,0)),"?")))</f>
        <v/>
      </c>
      <c r="BO230" s="97" t="str">
        <f>IF($A230="","",IF($AC230="",1,IFERROR(INDEX(Deductibles!$C$55:$C$57,MATCH($AC230,Deductibles!$B$55:$B$57,0)),"?")))</f>
        <v/>
      </c>
      <c r="BP230" s="97" t="str">
        <f>IF($A230="","",IF($AD230="",1,IFERROR(INDEX(Deductibles!$C$61:$C$63,MATCH($AD230,Deductibles!$B$61:$B$63,0)),"?")))</f>
        <v/>
      </c>
      <c r="BQ230" s="97" t="str">
        <f>IF($A230="","",IF($AE230="",1,IFERROR(INDEX(Deductibles!$C$67:$C$69,MATCH($AE230,Deductibles!$B$67:$B$69,0)),"?")))</f>
        <v/>
      </c>
      <c r="BR230" s="97" t="str">
        <f>IF($A230="","",IF($AF230="",1,IFERROR(INDEX(Deductibles!$C$73:$C$74,MATCH($AF230,Deductibles!$B$73:$B$74,0)),"?")))</f>
        <v/>
      </c>
      <c r="BS230" s="97" t="str">
        <f>IF($A230="","",IF($AG230="",1,IFERROR(INDEX('Sublimits and Parts'!$C$49:$C$52,MATCH($AG230,'Sublimits and Parts'!$B$49:$B$52,0)),"?")))</f>
        <v/>
      </c>
      <c r="BT230" s="97" t="str">
        <f>IF($A230="","",IF($AH230="",1,IFERROR(INDEX('Sublimits and Parts'!$C$56:$C$60,MATCH($AH230,'Sublimits and Parts'!$B$56:$B$60,0)),"?")))</f>
        <v/>
      </c>
      <c r="BU230" s="97" t="str">
        <f>IF($A230="","",IF($AI230="",1,IFERROR(INDEX('Sublimits and Parts'!$C$64:$C$67,MATCH($AI230,'Sublimits and Parts'!$B$64:$B$67,0)),"?")))</f>
        <v/>
      </c>
      <c r="BV230" s="97" t="str">
        <f>IF($A230="","",IF($AJ230="",1,IFERROR(INDEX('Sublimits and Parts'!$C$71:$C$74,MATCH($AJ230,'Sublimits and Parts'!$B$71:$B$74,0)),"?")))</f>
        <v/>
      </c>
      <c r="BW230" s="97" t="str">
        <f>IF($A230="","",IF($AK230="",1,IFERROR(INDEX('Sublimits and Parts'!$C$78:$C$80,MATCH($AK230,'Sublimits and Parts'!$B$78:$B$80,0)),"?")))</f>
        <v/>
      </c>
      <c r="BX230" s="97" t="str">
        <f>IF($A230="","",IF($AL230="",1,IFERROR(INDEX('Sublimits and Parts'!$C$84:$C$87,MATCH($AL230,'Sublimits and Parts'!$B$84:$B$87,0)),"?")))</f>
        <v/>
      </c>
      <c r="BY230" s="97" t="str">
        <f>IF($A230="","",IF($AM230="",1,IFERROR(INDEX('Sublimits and Parts'!$C$91:$C$94,MATCH($AM230,'Sublimits and Parts'!$B$91:$B$94,0)),"?")))</f>
        <v/>
      </c>
      <c r="BZ230" s="97" t="str">
        <f>IF($A230="","",IF($AN230="",1,IFERROR(INDEX('Sublimits and Parts'!$C$98:$C$101,MATCH($AN230,'Sublimits and Parts'!$B$98:$B$101,0)),"?")))</f>
        <v/>
      </c>
      <c r="CA230" s="97" t="str">
        <f>IF($A230="","",IF($AO230="",1,IFERROR(INDEX('Sublimits and Parts'!$C$105:$C$109,MATCH($AO230,'Sublimits and Parts'!$B$105:$B$109,0)),"?")))</f>
        <v/>
      </c>
      <c r="CB230" s="98" t="str">
        <f t="shared" si="41"/>
        <v/>
      </c>
      <c r="CC230" s="98" t="str">
        <f t="shared" si="42"/>
        <v/>
      </c>
      <c r="CD230" s="101" t="str">
        <f>IF($A230="","",IF(OR($CB230="?",$CC230="?"),"?",MIN($CB230*$CC230,'Technical Premium'!$C$17)))</f>
        <v/>
      </c>
      <c r="CE230" s="100" t="str">
        <f t="shared" si="43"/>
        <v/>
      </c>
      <c r="CF230" s="100" t="str">
        <f>IF($A230="","",IFERROR(INDEX('Territory Factors'!$F$6:$F$56,MATCH($K230,'Territory Factors'!$B$6:$B$56,0)),"?"))</f>
        <v/>
      </c>
      <c r="CG230" s="98" t="str">
        <f>IF($A230="","",IFERROR(INDEX('Usage and Coverage'!$C$79:$C$84,MATCH($Y230,'Usage and Coverage'!$B$79:$B$84,0)),"?"))</f>
        <v/>
      </c>
      <c r="CH230" s="100" t="str">
        <f>IFERROR(IF(ISNUMBER($CD230),$CF230*$CG230*MIN($BG230*$BA230*$BC230*$BD230*$BH230*$BF230,'Technical Premium'!$C$17),""),"")</f>
        <v/>
      </c>
      <c r="CI230" s="100" t="str">
        <f t="shared" si="44"/>
        <v/>
      </c>
      <c r="CJ230" s="100" t="str">
        <f>IFERROR($CI230*(1+'Technical Premium'!$C$5)*(1+'Technical Premium'!$C$6),"")</f>
        <v/>
      </c>
      <c r="CK230" s="100" t="str">
        <f>IFERROR($CE230*INDEX('Territory Factors'!$G$6:$G$56,MATCH($K230,'Territory Factors'!$B$6:$B$56,0))*$AU230*$AV230,"")</f>
        <v/>
      </c>
      <c r="CL230" s="100" t="str">
        <f>IFERROR(($CJ230+$CK230)*(1+'Technical Premium'!$C$7),"")</f>
        <v/>
      </c>
      <c r="CM230" s="102" t="str">
        <f>IFERROR($CL230/'Technical Premium'!$C$13,"")</f>
        <v/>
      </c>
      <c r="CN230" s="103" t="str">
        <f t="shared" si="45"/>
        <v/>
      </c>
      <c r="CO230" s="102" t="str">
        <f t="shared" si="46"/>
        <v/>
      </c>
      <c r="CP230" s="103" t="str">
        <f t="shared" si="47"/>
        <v/>
      </c>
      <c r="CQ230" s="104" t="str">
        <f t="shared" si="48"/>
        <v/>
      </c>
      <c r="CR230" s="100" t="str">
        <f>IF(ISNUMBER($CM230),'Technical Premium'!$C$14+IF($J230&gt;=1000000,'Technical Premium'!$C$15,0),"")</f>
        <v/>
      </c>
      <c r="CS230" s="100" t="str">
        <f>IFERROR(($CO230+$CR230)*(INDEX('Territory Factors'!$K$6:$K$56,MATCH($K230,'Territory Factors'!$B$6:$B$56,0))+'Commission Structure'!$C$21),"")</f>
        <v/>
      </c>
      <c r="CT230" s="102" t="str">
        <f t="shared" si="49"/>
        <v/>
      </c>
      <c r="CU230" s="100" t="str">
        <f>IFERROR($CO230*('Commission Structure'!$C$6+'Commission Structure'!$C$7),"")</f>
        <v/>
      </c>
      <c r="CV230" s="100" t="str">
        <f>IFERROR($CO230*'Commission Structure'!$C$5-$CU230,"")</f>
        <v/>
      </c>
      <c r="CW230" s="100" t="str">
        <f>IFERROR($CO230*(1-'Commission Structure'!$C$5),"")</f>
        <v/>
      </c>
      <c r="CX230" s="105" t="str">
        <f>IF($A230="","",IF(OR($CB230="?",$CC230="?",NOT(ISNUMBER($AU230))),"CHECK INPUTS",IF(OR($J230&lt;'Technical Premium'!$C$18,LEFT(IFERROR(INDEX('Driver Factors'!$D$6:$D$15,MATCH($R230,'Driver Factors'!$B$6:$B$15,0)),""),7)="DECLINE",LEFT(IFERROR(INDEX('Driver Factors'!$D$28:$D$36,MATCH($T230,'Driver Factors'!$B$28:$B$36,0)),""),7)="DECLINE",LEFT(IFERROR(INDEX('Claims History'!$D$6:$D$15,MATCH($U230,'Claims History'!$B$6:$B$15,0)),""),7)="DECLINE",LEFT(IFERROR(INDEX('Usage and Coverage'!$E$6:$E$20,MATCH($N230,'Usage and Coverage'!$C$6:$C$20,0)),""),7)="DECLINE"),"DECLINE",IF(OR($CD230&gt;2.5,$CD230&gt;='Technical Premium'!$C$17,$J230&gt;='Technical Premium'!$C$16,N($AQ230)&lt;'Technical Premium'!$C$19,N($AQ230)&gt;'Technical Premium'!$C$20,LEFT(IFERROR(INDEX('Driver Factors'!$D$6:$D$15,MATCH($R230,'Driver Factors'!$B$6:$B$15,0)),""),5)="Refer",LEFT(IFERROR(INDEX('Driver Factors'!$D$28:$D$36,MATCH($T230,'Driver Factors'!$B$28:$B$36,0)),""),5)="Refer",LEFT(IFERROR(INDEX('Claims History'!$D$6:$D$15,MATCH($U230,'Claims History'!$B$6:$B$15,0)),""),5)="Refer",LEFT(IFERROR(INDEX('Usage and Coverage'!$E$6:$E$20,MATCH($N230,'Usage and Coverage'!$C$6:$C$20,0)),""),5)="Refer"),"REFER","AUTO-BIND"))))</f>
        <v/>
      </c>
      <c r="CY230" s="106" t="str">
        <f t="shared" si="50"/>
        <v/>
      </c>
      <c r="CZ230" s="97" t="str">
        <f>IF($CY230="","",IF($CY230&lt;'Technical Premium'!$C$19,"BEYOND AUTHORITY",IF($CY230&gt;0.005,"Above technical",IF($CY230&lt;-0.005,"BELOW technical","At technical"))))</f>
        <v/>
      </c>
      <c r="DA230" s="97" t="str">
        <f>IF($A230="","",IF($CX230="AUTO-BIND","",TRIM(IF($J230&lt;'Technical Premium'!$C$18,"Below programme minimum agreed value. ","")&amp;IF(N($AQ230)&lt;'Technical Premium'!$C$19,"DISCOUNT AUTHORITY BREACH. ","")&amp;IF(N($AQ230)&gt;'Technical Premium'!$C$20,"Load authority breach. ","")&amp;IF($J230&gt;='Technical Premium'!$C$16,"Agreed value at or above auto-bind limit. ","")&amp;IF(AND(ISNUMBER($CD230),$CD230&gt;='Technical Premium'!$C$17),"Composite factor at cap. ","")&amp;IF(AND(ISNUMBER($CD230),$CD230&gt;2.5),"Composite factor above 2.50. ","")&amp;IF(LEFT(IFERROR(INDEX('Driver Factors'!$D$6:$D$15,MATCH($R230,'Driver Factors'!$B$6:$B$15,0)),""),7)="DECLINE","DECLINE - driver age. ",IF(LEFT(IFERROR(INDEX('Driver Factors'!$D$6:$D$15,MATCH($R230,'Driver Factors'!$B$6:$B$15,0)),""),5)="Refer","Driver age band. ",""))&amp;IF(LEFT(IFERROR(INDEX('Driver Factors'!$D$28:$D$36,MATCH($T230,'Driver Factors'!$B$28:$B$36,0)),""),7)="DECLINE","DECLINE - MVR. ",IF(LEFT(IFERROR(INDEX('Driver Factors'!$D$28:$D$36,MATCH($T230,'Driver Factors'!$B$28:$B$36,0)),""),5)="Refer","MVR record. ",""))&amp;IF(LEFT(IFERROR(INDEX('Claims History'!$D$6:$D$15,MATCH($U230,'Claims History'!$B$6:$B$15,0)),""),7)="DECLINE","DECLINE - claims. ",IF(LEFT(IFERROR(INDEX('Claims History'!$D$6:$D$15,MATCH($U230,'Claims History'!$B$6:$B$15,0)),""),5)="Refer","Claims history. ",""))&amp;IF(LEFT(IFERROR(INDEX('Usage and Coverage'!$E$6:$E$20,MATCH($N230,'Usage and Coverage'!$C$6:$C$20,0)),""),7)="DECLINE","DECLINE - usage class. ",IF(LEFT(IFERROR(INDEX('Usage and Coverage'!$E$6:$E$20,MATCH($N230,'Usage and Coverage'!$C$6:$C$20,0)),""),5)="Refer","Usage class. ",""))&amp;IF($CX230="CHECK INPUTS","Incomplete inputs. ",""))))</f>
        <v/>
      </c>
      <c r="DB230" s="92"/>
      <c r="DC230" s="92"/>
      <c r="DD230" s="93"/>
      <c r="DE230" s="92"/>
      <c r="DF230" s="92"/>
      <c r="DG230" s="97" t="str">
        <f t="shared" si="51"/>
        <v/>
      </c>
      <c r="DH230" s="97" t="str">
        <f>IF($A230="","",IF(OR($CX230="REFER",$CX230="DECLINE"),COUNTIF($CX$5:$CX230,"REFER")+COUNTIF($CX$5:$CX230,"DECLINE"),""))</f>
        <v/>
      </c>
      <c r="DI230" s="92"/>
    </row>
    <row r="231" spans="1:113" x14ac:dyDescent="0.25">
      <c r="A231" s="92"/>
      <c r="B231" s="92"/>
      <c r="C231" s="93"/>
      <c r="D231" s="93"/>
      <c r="E231" s="94"/>
      <c r="F231" s="92"/>
      <c r="G231" s="92"/>
      <c r="H231" s="92"/>
      <c r="I231" s="92"/>
      <c r="J231" s="95"/>
      <c r="K231" s="92"/>
      <c r="L231" s="92"/>
      <c r="M231" s="92"/>
      <c r="N231" s="92"/>
      <c r="O231" s="92"/>
      <c r="P231" s="92"/>
      <c r="Q231" s="92"/>
      <c r="R231" s="92"/>
      <c r="S231" s="92"/>
      <c r="T231" s="92"/>
      <c r="U231" s="92"/>
      <c r="V231" s="92"/>
      <c r="W231" s="92"/>
      <c r="X231" s="92"/>
      <c r="Y231" s="92"/>
      <c r="Z231" s="92"/>
      <c r="AA231" s="92"/>
      <c r="AB231" s="92"/>
      <c r="AC231" s="92"/>
      <c r="AD231" s="92"/>
      <c r="AE231" s="92"/>
      <c r="AF231" s="92"/>
      <c r="AG231" s="92"/>
      <c r="AH231" s="92"/>
      <c r="AI231" s="92"/>
      <c r="AJ231" s="92"/>
      <c r="AK231" s="92"/>
      <c r="AL231" s="92"/>
      <c r="AM231" s="92"/>
      <c r="AN231" s="92"/>
      <c r="AO231" s="92"/>
      <c r="AP231" s="92"/>
      <c r="AQ231" s="96"/>
      <c r="AR231" s="97" t="str">
        <f t="shared" si="39"/>
        <v/>
      </c>
      <c r="AS231" s="97" t="str">
        <f>IF($A231="","",IF($AP231&lt;&gt;"",$AP231,IFERROR(INDEX('Cat Zone by ZIP'!$D$6:$D$856,MATCH($AR231,'Cat Zone by ZIP'!$B$6:$B$856,0)),IFERROR(INDEX('Cat Zone by ZIP'!$C$860:$C$910,MATCH($K231,'Cat Zone by ZIP'!$B$860:$B$910,0)),"NOT FOUND"))))</f>
        <v/>
      </c>
      <c r="AT231" s="97" t="str">
        <f>IF($A231="","",IF($AP231&lt;&gt;"","Override",IF(ISNUMBER(MATCH($AR231,'Cat Zone by ZIP'!$B$6:$B$856,0)),"ZIP-3","State default")))</f>
        <v/>
      </c>
      <c r="AU231" s="98" t="str">
        <f>IF($A231="","",IFERROR(INDEX('Natural Catastrophe'!$D$6:$D$17,MATCH($AS231,'Natural Catastrophe'!$B$6:$B$17,0)),"?"))</f>
        <v/>
      </c>
      <c r="AV231" s="98" t="str">
        <f>IF($A231="","",IFERROR(INDEX('Natural Catastrophe'!$C$21:$C$26,MATCH($AA231,'Natural Catastrophe'!$B$21:$B$26,0)),"?"))</f>
        <v/>
      </c>
      <c r="AW231" s="97" t="str">
        <f>IF($A231="","",IFERROR(INDEX('Base Rates'!$C$4:$I$4,MATCH(MAX($J231,'Technical Premium'!$C$18),'Base Rates'!$C$3:$I$3,1)),"?"))</f>
        <v/>
      </c>
      <c r="AX231" s="99" t="str">
        <f>IF($A231="","",IFERROR(INDEX('Base Rates'!$C$5:$I$16,MATCH($I231,'Base Rates'!$B$5:$B$16,0),MATCH(MAX($J231,'Technical Premium'!$C$18),'Base Rates'!$C$3:$I$3,1)),"?"))</f>
        <v/>
      </c>
      <c r="AY231" s="100" t="str">
        <f t="shared" si="40"/>
        <v/>
      </c>
      <c r="AZ231" s="97" t="str">
        <f>IF($A231="","",IFERROR(INDEX('Make Factors'!$G$5:$G$69,MATCH($F231,'Make Factors'!$B$5:$B$69,0)),"?"))</f>
        <v/>
      </c>
      <c r="BA231" s="97" t="str">
        <f>IF($A231="","",IFERROR(INDEX('Driver Factors'!$C$6:$C$15,MATCH($R231,'Driver Factors'!$B$6:$B$15,0)),"?"))</f>
        <v/>
      </c>
      <c r="BB231" s="97" t="str">
        <f>IF($A231="","",IFERROR(INDEX('Driver Factors'!$C$19:$C$24,MATCH($S231,'Driver Factors'!$B$19:$B$24,0)),"?"))</f>
        <v/>
      </c>
      <c r="BC231" s="97" t="str">
        <f>IF($A231="","",IFERROR(INDEX('Driver Factors'!$C$28:$C$36,MATCH($T231,'Driver Factors'!$B$28:$B$36,0)),"?"))</f>
        <v/>
      </c>
      <c r="BD231" s="97" t="str">
        <f>IF($A231="","",IFERROR(INDEX('Claims History'!$C$6:$C$15,MATCH($U231,'Claims History'!$B$6:$B$15,0)),"?"))</f>
        <v/>
      </c>
      <c r="BE231" s="97" t="str">
        <f>IF($A231="","",IFERROR(INDEX('Territory Factors'!$E$6:$E$56,MATCH($K231,'Territory Factors'!$B$6:$B$56,0)),"?"))</f>
        <v/>
      </c>
      <c r="BF231" s="97" t="str">
        <f>IF($A231="","",IFERROR(INDEX('City Accident Ratings'!$G$6:$G$54,MATCH($Z231,'City Accident Ratings'!$B$6:$B$54,0)),"?"))</f>
        <v/>
      </c>
      <c r="BG231" s="97" t="str">
        <f>IF($A231="","",IFERROR(INDEX('Usage and Coverage'!$D$6:$D$20,MATCH($N231,'Usage and Coverage'!$C$6:$C$20,0)),"?"))</f>
        <v/>
      </c>
      <c r="BH231" s="97" t="str">
        <f>IF($A231="","",IFERROR(INDEX('Usage and Coverage'!$C$24:$C$30,MATCH($O231,'Usage and Coverage'!$B$24:$B$30,0)),"?"))</f>
        <v/>
      </c>
      <c r="BI231" s="97" t="str">
        <f>IF($A231="","",IFERROR(INDEX('Usage and Coverage'!$C$34:$C$40,MATCH($P231,'Usage and Coverage'!$B$34:$B$40,0)),"?"))</f>
        <v/>
      </c>
      <c r="BJ231" s="97" t="str">
        <f>IF($A231="","",IFERROR(INDEX('Usage and Coverage'!$C$44:$C$49,MATCH($Q231,'Usage and Coverage'!$B$44:$B$49,0)),"?"))</f>
        <v/>
      </c>
      <c r="BK231" s="97" t="str">
        <f>IF($A231="","",IFERROR(INDEX(Deductibles!$C$6:$I$15,MATCH($W231,Deductibles!$B$6:$B$15,0),MATCH(MAX($J231,'Technical Premium'!$C$18),'Base Rates'!$C$3:$I$3,1)),"?"))</f>
        <v/>
      </c>
      <c r="BL231" s="97" t="str">
        <f>IF($A231="","",IFERROR(INDEX('Usage and Coverage'!$C$63:$C$66,MATCH($X231,'Usage and Coverage'!$B$63:$B$66,0)),"?"))</f>
        <v/>
      </c>
      <c r="BM231" s="97" t="str">
        <f>IF($A231="","",IFERROR(INDEX('Usage and Coverage'!$C$70:$C$75,MATCH($V231,'Usage and Coverage'!$B$70:$B$75,0)),"?"))</f>
        <v/>
      </c>
      <c r="BN231" s="97" t="str">
        <f>IF($A231="","",IF($AB231="",1,IFERROR(INDEX(Deductibles!$C$48:$C$51,MATCH($AB231,Deductibles!$B$48:$B$51,0)),"?")))</f>
        <v/>
      </c>
      <c r="BO231" s="97" t="str">
        <f>IF($A231="","",IF($AC231="",1,IFERROR(INDEX(Deductibles!$C$55:$C$57,MATCH($AC231,Deductibles!$B$55:$B$57,0)),"?")))</f>
        <v/>
      </c>
      <c r="BP231" s="97" t="str">
        <f>IF($A231="","",IF($AD231="",1,IFERROR(INDEX(Deductibles!$C$61:$C$63,MATCH($AD231,Deductibles!$B$61:$B$63,0)),"?")))</f>
        <v/>
      </c>
      <c r="BQ231" s="97" t="str">
        <f>IF($A231="","",IF($AE231="",1,IFERROR(INDEX(Deductibles!$C$67:$C$69,MATCH($AE231,Deductibles!$B$67:$B$69,0)),"?")))</f>
        <v/>
      </c>
      <c r="BR231" s="97" t="str">
        <f>IF($A231="","",IF($AF231="",1,IFERROR(INDEX(Deductibles!$C$73:$C$74,MATCH($AF231,Deductibles!$B$73:$B$74,0)),"?")))</f>
        <v/>
      </c>
      <c r="BS231" s="97" t="str">
        <f>IF($A231="","",IF($AG231="",1,IFERROR(INDEX('Sublimits and Parts'!$C$49:$C$52,MATCH($AG231,'Sublimits and Parts'!$B$49:$B$52,0)),"?")))</f>
        <v/>
      </c>
      <c r="BT231" s="97" t="str">
        <f>IF($A231="","",IF($AH231="",1,IFERROR(INDEX('Sublimits and Parts'!$C$56:$C$60,MATCH($AH231,'Sublimits and Parts'!$B$56:$B$60,0)),"?")))</f>
        <v/>
      </c>
      <c r="BU231" s="97" t="str">
        <f>IF($A231="","",IF($AI231="",1,IFERROR(INDEX('Sublimits and Parts'!$C$64:$C$67,MATCH($AI231,'Sublimits and Parts'!$B$64:$B$67,0)),"?")))</f>
        <v/>
      </c>
      <c r="BV231" s="97" t="str">
        <f>IF($A231="","",IF($AJ231="",1,IFERROR(INDEX('Sublimits and Parts'!$C$71:$C$74,MATCH($AJ231,'Sublimits and Parts'!$B$71:$B$74,0)),"?")))</f>
        <v/>
      </c>
      <c r="BW231" s="97" t="str">
        <f>IF($A231="","",IF($AK231="",1,IFERROR(INDEX('Sublimits and Parts'!$C$78:$C$80,MATCH($AK231,'Sublimits and Parts'!$B$78:$B$80,0)),"?")))</f>
        <v/>
      </c>
      <c r="BX231" s="97" t="str">
        <f>IF($A231="","",IF($AL231="",1,IFERROR(INDEX('Sublimits and Parts'!$C$84:$C$87,MATCH($AL231,'Sublimits and Parts'!$B$84:$B$87,0)),"?")))</f>
        <v/>
      </c>
      <c r="BY231" s="97" t="str">
        <f>IF($A231="","",IF($AM231="",1,IFERROR(INDEX('Sublimits and Parts'!$C$91:$C$94,MATCH($AM231,'Sublimits and Parts'!$B$91:$B$94,0)),"?")))</f>
        <v/>
      </c>
      <c r="BZ231" s="97" t="str">
        <f>IF($A231="","",IF($AN231="",1,IFERROR(INDEX('Sublimits and Parts'!$C$98:$C$101,MATCH($AN231,'Sublimits and Parts'!$B$98:$B$101,0)),"?")))</f>
        <v/>
      </c>
      <c r="CA231" s="97" t="str">
        <f>IF($A231="","",IF($AO231="",1,IFERROR(INDEX('Sublimits and Parts'!$C$105:$C$109,MATCH($AO231,'Sublimits and Parts'!$B$105:$B$109,0)),"?")))</f>
        <v/>
      </c>
      <c r="CB231" s="98" t="str">
        <f t="shared" si="41"/>
        <v/>
      </c>
      <c r="CC231" s="98" t="str">
        <f t="shared" si="42"/>
        <v/>
      </c>
      <c r="CD231" s="101" t="str">
        <f>IF($A231="","",IF(OR($CB231="?",$CC231="?"),"?",MIN($CB231*$CC231,'Technical Premium'!$C$17)))</f>
        <v/>
      </c>
      <c r="CE231" s="100" t="str">
        <f t="shared" si="43"/>
        <v/>
      </c>
      <c r="CF231" s="100" t="str">
        <f>IF($A231="","",IFERROR(INDEX('Territory Factors'!$F$6:$F$56,MATCH($K231,'Territory Factors'!$B$6:$B$56,0)),"?"))</f>
        <v/>
      </c>
      <c r="CG231" s="98" t="str">
        <f>IF($A231="","",IFERROR(INDEX('Usage and Coverage'!$C$79:$C$84,MATCH($Y231,'Usage and Coverage'!$B$79:$B$84,0)),"?"))</f>
        <v/>
      </c>
      <c r="CH231" s="100" t="str">
        <f>IFERROR(IF(ISNUMBER($CD231),$CF231*$CG231*MIN($BG231*$BA231*$BC231*$BD231*$BH231*$BF231,'Technical Premium'!$C$17),""),"")</f>
        <v/>
      </c>
      <c r="CI231" s="100" t="str">
        <f t="shared" si="44"/>
        <v/>
      </c>
      <c r="CJ231" s="100" t="str">
        <f>IFERROR($CI231*(1+'Technical Premium'!$C$5)*(1+'Technical Premium'!$C$6),"")</f>
        <v/>
      </c>
      <c r="CK231" s="100" t="str">
        <f>IFERROR($CE231*INDEX('Territory Factors'!$G$6:$G$56,MATCH($K231,'Territory Factors'!$B$6:$B$56,0))*$AU231*$AV231,"")</f>
        <v/>
      </c>
      <c r="CL231" s="100" t="str">
        <f>IFERROR(($CJ231+$CK231)*(1+'Technical Premium'!$C$7),"")</f>
        <v/>
      </c>
      <c r="CM231" s="102" t="str">
        <f>IFERROR($CL231/'Technical Premium'!$C$13,"")</f>
        <v/>
      </c>
      <c r="CN231" s="103" t="str">
        <f t="shared" si="45"/>
        <v/>
      </c>
      <c r="CO231" s="102" t="str">
        <f t="shared" si="46"/>
        <v/>
      </c>
      <c r="CP231" s="103" t="str">
        <f t="shared" si="47"/>
        <v/>
      </c>
      <c r="CQ231" s="104" t="str">
        <f t="shared" si="48"/>
        <v/>
      </c>
      <c r="CR231" s="100" t="str">
        <f>IF(ISNUMBER($CM231),'Technical Premium'!$C$14+IF($J231&gt;=1000000,'Technical Premium'!$C$15,0),"")</f>
        <v/>
      </c>
      <c r="CS231" s="100" t="str">
        <f>IFERROR(($CO231+$CR231)*(INDEX('Territory Factors'!$K$6:$K$56,MATCH($K231,'Territory Factors'!$B$6:$B$56,0))+'Commission Structure'!$C$21),"")</f>
        <v/>
      </c>
      <c r="CT231" s="102" t="str">
        <f t="shared" si="49"/>
        <v/>
      </c>
      <c r="CU231" s="100" t="str">
        <f>IFERROR($CO231*('Commission Structure'!$C$6+'Commission Structure'!$C$7),"")</f>
        <v/>
      </c>
      <c r="CV231" s="100" t="str">
        <f>IFERROR($CO231*'Commission Structure'!$C$5-$CU231,"")</f>
        <v/>
      </c>
      <c r="CW231" s="100" t="str">
        <f>IFERROR($CO231*(1-'Commission Structure'!$C$5),"")</f>
        <v/>
      </c>
      <c r="CX231" s="105" t="str">
        <f>IF($A231="","",IF(OR($CB231="?",$CC231="?",NOT(ISNUMBER($AU231))),"CHECK INPUTS",IF(OR($J231&lt;'Technical Premium'!$C$18,LEFT(IFERROR(INDEX('Driver Factors'!$D$6:$D$15,MATCH($R231,'Driver Factors'!$B$6:$B$15,0)),""),7)="DECLINE",LEFT(IFERROR(INDEX('Driver Factors'!$D$28:$D$36,MATCH($T231,'Driver Factors'!$B$28:$B$36,0)),""),7)="DECLINE",LEFT(IFERROR(INDEX('Claims History'!$D$6:$D$15,MATCH($U231,'Claims History'!$B$6:$B$15,0)),""),7)="DECLINE",LEFT(IFERROR(INDEX('Usage and Coverage'!$E$6:$E$20,MATCH($N231,'Usage and Coverage'!$C$6:$C$20,0)),""),7)="DECLINE"),"DECLINE",IF(OR($CD231&gt;2.5,$CD231&gt;='Technical Premium'!$C$17,$J231&gt;='Technical Premium'!$C$16,N($AQ231)&lt;'Technical Premium'!$C$19,N($AQ231)&gt;'Technical Premium'!$C$20,LEFT(IFERROR(INDEX('Driver Factors'!$D$6:$D$15,MATCH($R231,'Driver Factors'!$B$6:$B$15,0)),""),5)="Refer",LEFT(IFERROR(INDEX('Driver Factors'!$D$28:$D$36,MATCH($T231,'Driver Factors'!$B$28:$B$36,0)),""),5)="Refer",LEFT(IFERROR(INDEX('Claims History'!$D$6:$D$15,MATCH($U231,'Claims History'!$B$6:$B$15,0)),""),5)="Refer",LEFT(IFERROR(INDEX('Usage and Coverage'!$E$6:$E$20,MATCH($N231,'Usage and Coverage'!$C$6:$C$20,0)),""),5)="Refer"),"REFER","AUTO-BIND"))))</f>
        <v/>
      </c>
      <c r="CY231" s="106" t="str">
        <f t="shared" si="50"/>
        <v/>
      </c>
      <c r="CZ231" s="97" t="str">
        <f>IF($CY231="","",IF($CY231&lt;'Technical Premium'!$C$19,"BEYOND AUTHORITY",IF($CY231&gt;0.005,"Above technical",IF($CY231&lt;-0.005,"BELOW technical","At technical"))))</f>
        <v/>
      </c>
      <c r="DA231" s="97" t="str">
        <f>IF($A231="","",IF($CX231="AUTO-BIND","",TRIM(IF($J231&lt;'Technical Premium'!$C$18,"Below programme minimum agreed value. ","")&amp;IF(N($AQ231)&lt;'Technical Premium'!$C$19,"DISCOUNT AUTHORITY BREACH. ","")&amp;IF(N($AQ231)&gt;'Technical Premium'!$C$20,"Load authority breach. ","")&amp;IF($J231&gt;='Technical Premium'!$C$16,"Agreed value at or above auto-bind limit. ","")&amp;IF(AND(ISNUMBER($CD231),$CD231&gt;='Technical Premium'!$C$17),"Composite factor at cap. ","")&amp;IF(AND(ISNUMBER($CD231),$CD231&gt;2.5),"Composite factor above 2.50. ","")&amp;IF(LEFT(IFERROR(INDEX('Driver Factors'!$D$6:$D$15,MATCH($R231,'Driver Factors'!$B$6:$B$15,0)),""),7)="DECLINE","DECLINE - driver age. ",IF(LEFT(IFERROR(INDEX('Driver Factors'!$D$6:$D$15,MATCH($R231,'Driver Factors'!$B$6:$B$15,0)),""),5)="Refer","Driver age band. ",""))&amp;IF(LEFT(IFERROR(INDEX('Driver Factors'!$D$28:$D$36,MATCH($T231,'Driver Factors'!$B$28:$B$36,0)),""),7)="DECLINE","DECLINE - MVR. ",IF(LEFT(IFERROR(INDEX('Driver Factors'!$D$28:$D$36,MATCH($T231,'Driver Factors'!$B$28:$B$36,0)),""),5)="Refer","MVR record. ",""))&amp;IF(LEFT(IFERROR(INDEX('Claims History'!$D$6:$D$15,MATCH($U231,'Claims History'!$B$6:$B$15,0)),""),7)="DECLINE","DECLINE - claims. ",IF(LEFT(IFERROR(INDEX('Claims History'!$D$6:$D$15,MATCH($U231,'Claims History'!$B$6:$B$15,0)),""),5)="Refer","Claims history. ",""))&amp;IF(LEFT(IFERROR(INDEX('Usage and Coverage'!$E$6:$E$20,MATCH($N231,'Usage and Coverage'!$C$6:$C$20,0)),""),7)="DECLINE","DECLINE - usage class. ",IF(LEFT(IFERROR(INDEX('Usage and Coverage'!$E$6:$E$20,MATCH($N231,'Usage and Coverage'!$C$6:$C$20,0)),""),5)="Refer","Usage class. ",""))&amp;IF($CX231="CHECK INPUTS","Incomplete inputs. ",""))))</f>
        <v/>
      </c>
      <c r="DB231" s="92"/>
      <c r="DC231" s="92"/>
      <c r="DD231" s="93"/>
      <c r="DE231" s="92"/>
      <c r="DF231" s="92"/>
      <c r="DG231" s="97" t="str">
        <f t="shared" si="51"/>
        <v/>
      </c>
      <c r="DH231" s="97" t="str">
        <f>IF($A231="","",IF(OR($CX231="REFER",$CX231="DECLINE"),COUNTIF($CX$5:$CX231,"REFER")+COUNTIF($CX$5:$CX231,"DECLINE"),""))</f>
        <v/>
      </c>
      <c r="DI231" s="92"/>
    </row>
    <row r="232" spans="1:113" x14ac:dyDescent="0.25">
      <c r="A232" s="92"/>
      <c r="B232" s="92"/>
      <c r="C232" s="93"/>
      <c r="D232" s="93"/>
      <c r="E232" s="94"/>
      <c r="F232" s="92"/>
      <c r="G232" s="92"/>
      <c r="H232" s="92"/>
      <c r="I232" s="92"/>
      <c r="J232" s="95"/>
      <c r="K232" s="92"/>
      <c r="L232" s="92"/>
      <c r="M232" s="92"/>
      <c r="N232" s="92"/>
      <c r="O232" s="92"/>
      <c r="P232" s="92"/>
      <c r="Q232" s="92"/>
      <c r="R232" s="92"/>
      <c r="S232" s="92"/>
      <c r="T232" s="92"/>
      <c r="U232" s="92"/>
      <c r="V232" s="92"/>
      <c r="W232" s="92"/>
      <c r="X232" s="92"/>
      <c r="Y232" s="92"/>
      <c r="Z232" s="92"/>
      <c r="AA232" s="92"/>
      <c r="AB232" s="92"/>
      <c r="AC232" s="92"/>
      <c r="AD232" s="92"/>
      <c r="AE232" s="92"/>
      <c r="AF232" s="92"/>
      <c r="AG232" s="92"/>
      <c r="AH232" s="92"/>
      <c r="AI232" s="92"/>
      <c r="AJ232" s="92"/>
      <c r="AK232" s="92"/>
      <c r="AL232" s="92"/>
      <c r="AM232" s="92"/>
      <c r="AN232" s="92"/>
      <c r="AO232" s="92"/>
      <c r="AP232" s="92"/>
      <c r="AQ232" s="96"/>
      <c r="AR232" s="97" t="str">
        <f t="shared" si="39"/>
        <v/>
      </c>
      <c r="AS232" s="97" t="str">
        <f>IF($A232="","",IF($AP232&lt;&gt;"",$AP232,IFERROR(INDEX('Cat Zone by ZIP'!$D$6:$D$856,MATCH($AR232,'Cat Zone by ZIP'!$B$6:$B$856,0)),IFERROR(INDEX('Cat Zone by ZIP'!$C$860:$C$910,MATCH($K232,'Cat Zone by ZIP'!$B$860:$B$910,0)),"NOT FOUND"))))</f>
        <v/>
      </c>
      <c r="AT232" s="97" t="str">
        <f>IF($A232="","",IF($AP232&lt;&gt;"","Override",IF(ISNUMBER(MATCH($AR232,'Cat Zone by ZIP'!$B$6:$B$856,0)),"ZIP-3","State default")))</f>
        <v/>
      </c>
      <c r="AU232" s="98" t="str">
        <f>IF($A232="","",IFERROR(INDEX('Natural Catastrophe'!$D$6:$D$17,MATCH($AS232,'Natural Catastrophe'!$B$6:$B$17,0)),"?"))</f>
        <v/>
      </c>
      <c r="AV232" s="98" t="str">
        <f>IF($A232="","",IFERROR(INDEX('Natural Catastrophe'!$C$21:$C$26,MATCH($AA232,'Natural Catastrophe'!$B$21:$B$26,0)),"?"))</f>
        <v/>
      </c>
      <c r="AW232" s="97" t="str">
        <f>IF($A232="","",IFERROR(INDEX('Base Rates'!$C$4:$I$4,MATCH(MAX($J232,'Technical Premium'!$C$18),'Base Rates'!$C$3:$I$3,1)),"?"))</f>
        <v/>
      </c>
      <c r="AX232" s="99" t="str">
        <f>IF($A232="","",IFERROR(INDEX('Base Rates'!$C$5:$I$16,MATCH($I232,'Base Rates'!$B$5:$B$16,0),MATCH(MAX($J232,'Technical Premium'!$C$18),'Base Rates'!$C$3:$I$3,1)),"?"))</f>
        <v/>
      </c>
      <c r="AY232" s="100" t="str">
        <f t="shared" si="40"/>
        <v/>
      </c>
      <c r="AZ232" s="97" t="str">
        <f>IF($A232="","",IFERROR(INDEX('Make Factors'!$G$5:$G$69,MATCH($F232,'Make Factors'!$B$5:$B$69,0)),"?"))</f>
        <v/>
      </c>
      <c r="BA232" s="97" t="str">
        <f>IF($A232="","",IFERROR(INDEX('Driver Factors'!$C$6:$C$15,MATCH($R232,'Driver Factors'!$B$6:$B$15,0)),"?"))</f>
        <v/>
      </c>
      <c r="BB232" s="97" t="str">
        <f>IF($A232="","",IFERROR(INDEX('Driver Factors'!$C$19:$C$24,MATCH($S232,'Driver Factors'!$B$19:$B$24,0)),"?"))</f>
        <v/>
      </c>
      <c r="BC232" s="97" t="str">
        <f>IF($A232="","",IFERROR(INDEX('Driver Factors'!$C$28:$C$36,MATCH($T232,'Driver Factors'!$B$28:$B$36,0)),"?"))</f>
        <v/>
      </c>
      <c r="BD232" s="97" t="str">
        <f>IF($A232="","",IFERROR(INDEX('Claims History'!$C$6:$C$15,MATCH($U232,'Claims History'!$B$6:$B$15,0)),"?"))</f>
        <v/>
      </c>
      <c r="BE232" s="97" t="str">
        <f>IF($A232="","",IFERROR(INDEX('Territory Factors'!$E$6:$E$56,MATCH($K232,'Territory Factors'!$B$6:$B$56,0)),"?"))</f>
        <v/>
      </c>
      <c r="BF232" s="97" t="str">
        <f>IF($A232="","",IFERROR(INDEX('City Accident Ratings'!$G$6:$G$54,MATCH($Z232,'City Accident Ratings'!$B$6:$B$54,0)),"?"))</f>
        <v/>
      </c>
      <c r="BG232" s="97" t="str">
        <f>IF($A232="","",IFERROR(INDEX('Usage and Coverage'!$D$6:$D$20,MATCH($N232,'Usage and Coverage'!$C$6:$C$20,0)),"?"))</f>
        <v/>
      </c>
      <c r="BH232" s="97" t="str">
        <f>IF($A232="","",IFERROR(INDEX('Usage and Coverage'!$C$24:$C$30,MATCH($O232,'Usage and Coverage'!$B$24:$B$30,0)),"?"))</f>
        <v/>
      </c>
      <c r="BI232" s="97" t="str">
        <f>IF($A232="","",IFERROR(INDEX('Usage and Coverage'!$C$34:$C$40,MATCH($P232,'Usage and Coverage'!$B$34:$B$40,0)),"?"))</f>
        <v/>
      </c>
      <c r="BJ232" s="97" t="str">
        <f>IF($A232="","",IFERROR(INDEX('Usage and Coverage'!$C$44:$C$49,MATCH($Q232,'Usage and Coverage'!$B$44:$B$49,0)),"?"))</f>
        <v/>
      </c>
      <c r="BK232" s="97" t="str">
        <f>IF($A232="","",IFERROR(INDEX(Deductibles!$C$6:$I$15,MATCH($W232,Deductibles!$B$6:$B$15,0),MATCH(MAX($J232,'Technical Premium'!$C$18),'Base Rates'!$C$3:$I$3,1)),"?"))</f>
        <v/>
      </c>
      <c r="BL232" s="97" t="str">
        <f>IF($A232="","",IFERROR(INDEX('Usage and Coverage'!$C$63:$C$66,MATCH($X232,'Usage and Coverage'!$B$63:$B$66,0)),"?"))</f>
        <v/>
      </c>
      <c r="BM232" s="97" t="str">
        <f>IF($A232="","",IFERROR(INDEX('Usage and Coverage'!$C$70:$C$75,MATCH($V232,'Usage and Coverage'!$B$70:$B$75,0)),"?"))</f>
        <v/>
      </c>
      <c r="BN232" s="97" t="str">
        <f>IF($A232="","",IF($AB232="",1,IFERROR(INDEX(Deductibles!$C$48:$C$51,MATCH($AB232,Deductibles!$B$48:$B$51,0)),"?")))</f>
        <v/>
      </c>
      <c r="BO232" s="97" t="str">
        <f>IF($A232="","",IF($AC232="",1,IFERROR(INDEX(Deductibles!$C$55:$C$57,MATCH($AC232,Deductibles!$B$55:$B$57,0)),"?")))</f>
        <v/>
      </c>
      <c r="BP232" s="97" t="str">
        <f>IF($A232="","",IF($AD232="",1,IFERROR(INDEX(Deductibles!$C$61:$C$63,MATCH($AD232,Deductibles!$B$61:$B$63,0)),"?")))</f>
        <v/>
      </c>
      <c r="BQ232" s="97" t="str">
        <f>IF($A232="","",IF($AE232="",1,IFERROR(INDEX(Deductibles!$C$67:$C$69,MATCH($AE232,Deductibles!$B$67:$B$69,0)),"?")))</f>
        <v/>
      </c>
      <c r="BR232" s="97" t="str">
        <f>IF($A232="","",IF($AF232="",1,IFERROR(INDEX(Deductibles!$C$73:$C$74,MATCH($AF232,Deductibles!$B$73:$B$74,0)),"?")))</f>
        <v/>
      </c>
      <c r="BS232" s="97" t="str">
        <f>IF($A232="","",IF($AG232="",1,IFERROR(INDEX('Sublimits and Parts'!$C$49:$C$52,MATCH($AG232,'Sublimits and Parts'!$B$49:$B$52,0)),"?")))</f>
        <v/>
      </c>
      <c r="BT232" s="97" t="str">
        <f>IF($A232="","",IF($AH232="",1,IFERROR(INDEX('Sublimits and Parts'!$C$56:$C$60,MATCH($AH232,'Sublimits and Parts'!$B$56:$B$60,0)),"?")))</f>
        <v/>
      </c>
      <c r="BU232" s="97" t="str">
        <f>IF($A232="","",IF($AI232="",1,IFERROR(INDEX('Sublimits and Parts'!$C$64:$C$67,MATCH($AI232,'Sublimits and Parts'!$B$64:$B$67,0)),"?")))</f>
        <v/>
      </c>
      <c r="BV232" s="97" t="str">
        <f>IF($A232="","",IF($AJ232="",1,IFERROR(INDEX('Sublimits and Parts'!$C$71:$C$74,MATCH($AJ232,'Sublimits and Parts'!$B$71:$B$74,0)),"?")))</f>
        <v/>
      </c>
      <c r="BW232" s="97" t="str">
        <f>IF($A232="","",IF($AK232="",1,IFERROR(INDEX('Sublimits and Parts'!$C$78:$C$80,MATCH($AK232,'Sublimits and Parts'!$B$78:$B$80,0)),"?")))</f>
        <v/>
      </c>
      <c r="BX232" s="97" t="str">
        <f>IF($A232="","",IF($AL232="",1,IFERROR(INDEX('Sublimits and Parts'!$C$84:$C$87,MATCH($AL232,'Sublimits and Parts'!$B$84:$B$87,0)),"?")))</f>
        <v/>
      </c>
      <c r="BY232" s="97" t="str">
        <f>IF($A232="","",IF($AM232="",1,IFERROR(INDEX('Sublimits and Parts'!$C$91:$C$94,MATCH($AM232,'Sublimits and Parts'!$B$91:$B$94,0)),"?")))</f>
        <v/>
      </c>
      <c r="BZ232" s="97" t="str">
        <f>IF($A232="","",IF($AN232="",1,IFERROR(INDEX('Sublimits and Parts'!$C$98:$C$101,MATCH($AN232,'Sublimits and Parts'!$B$98:$B$101,0)),"?")))</f>
        <v/>
      </c>
      <c r="CA232" s="97" t="str">
        <f>IF($A232="","",IF($AO232="",1,IFERROR(INDEX('Sublimits and Parts'!$C$105:$C$109,MATCH($AO232,'Sublimits and Parts'!$B$105:$B$109,0)),"?")))</f>
        <v/>
      </c>
      <c r="CB232" s="98" t="str">
        <f t="shared" si="41"/>
        <v/>
      </c>
      <c r="CC232" s="98" t="str">
        <f t="shared" si="42"/>
        <v/>
      </c>
      <c r="CD232" s="101" t="str">
        <f>IF($A232="","",IF(OR($CB232="?",$CC232="?"),"?",MIN($CB232*$CC232,'Technical Premium'!$C$17)))</f>
        <v/>
      </c>
      <c r="CE232" s="100" t="str">
        <f t="shared" si="43"/>
        <v/>
      </c>
      <c r="CF232" s="100" t="str">
        <f>IF($A232="","",IFERROR(INDEX('Territory Factors'!$F$6:$F$56,MATCH($K232,'Territory Factors'!$B$6:$B$56,0)),"?"))</f>
        <v/>
      </c>
      <c r="CG232" s="98" t="str">
        <f>IF($A232="","",IFERROR(INDEX('Usage and Coverage'!$C$79:$C$84,MATCH($Y232,'Usage and Coverage'!$B$79:$B$84,0)),"?"))</f>
        <v/>
      </c>
      <c r="CH232" s="100" t="str">
        <f>IFERROR(IF(ISNUMBER($CD232),$CF232*$CG232*MIN($BG232*$BA232*$BC232*$BD232*$BH232*$BF232,'Technical Premium'!$C$17),""),"")</f>
        <v/>
      </c>
      <c r="CI232" s="100" t="str">
        <f t="shared" si="44"/>
        <v/>
      </c>
      <c r="CJ232" s="100" t="str">
        <f>IFERROR($CI232*(1+'Technical Premium'!$C$5)*(1+'Technical Premium'!$C$6),"")</f>
        <v/>
      </c>
      <c r="CK232" s="100" t="str">
        <f>IFERROR($CE232*INDEX('Territory Factors'!$G$6:$G$56,MATCH($K232,'Territory Factors'!$B$6:$B$56,0))*$AU232*$AV232,"")</f>
        <v/>
      </c>
      <c r="CL232" s="100" t="str">
        <f>IFERROR(($CJ232+$CK232)*(1+'Technical Premium'!$C$7),"")</f>
        <v/>
      </c>
      <c r="CM232" s="102" t="str">
        <f>IFERROR($CL232/'Technical Premium'!$C$13,"")</f>
        <v/>
      </c>
      <c r="CN232" s="103" t="str">
        <f t="shared" si="45"/>
        <v/>
      </c>
      <c r="CO232" s="102" t="str">
        <f t="shared" si="46"/>
        <v/>
      </c>
      <c r="CP232" s="103" t="str">
        <f t="shared" si="47"/>
        <v/>
      </c>
      <c r="CQ232" s="104" t="str">
        <f t="shared" si="48"/>
        <v/>
      </c>
      <c r="CR232" s="100" t="str">
        <f>IF(ISNUMBER($CM232),'Technical Premium'!$C$14+IF($J232&gt;=1000000,'Technical Premium'!$C$15,0),"")</f>
        <v/>
      </c>
      <c r="CS232" s="100" t="str">
        <f>IFERROR(($CO232+$CR232)*(INDEX('Territory Factors'!$K$6:$K$56,MATCH($K232,'Territory Factors'!$B$6:$B$56,0))+'Commission Structure'!$C$21),"")</f>
        <v/>
      </c>
      <c r="CT232" s="102" t="str">
        <f t="shared" si="49"/>
        <v/>
      </c>
      <c r="CU232" s="100" t="str">
        <f>IFERROR($CO232*('Commission Structure'!$C$6+'Commission Structure'!$C$7),"")</f>
        <v/>
      </c>
      <c r="CV232" s="100" t="str">
        <f>IFERROR($CO232*'Commission Structure'!$C$5-$CU232,"")</f>
        <v/>
      </c>
      <c r="CW232" s="100" t="str">
        <f>IFERROR($CO232*(1-'Commission Structure'!$C$5),"")</f>
        <v/>
      </c>
      <c r="CX232" s="105" t="str">
        <f>IF($A232="","",IF(OR($CB232="?",$CC232="?",NOT(ISNUMBER($AU232))),"CHECK INPUTS",IF(OR($J232&lt;'Technical Premium'!$C$18,LEFT(IFERROR(INDEX('Driver Factors'!$D$6:$D$15,MATCH($R232,'Driver Factors'!$B$6:$B$15,0)),""),7)="DECLINE",LEFT(IFERROR(INDEX('Driver Factors'!$D$28:$D$36,MATCH($T232,'Driver Factors'!$B$28:$B$36,0)),""),7)="DECLINE",LEFT(IFERROR(INDEX('Claims History'!$D$6:$D$15,MATCH($U232,'Claims History'!$B$6:$B$15,0)),""),7)="DECLINE",LEFT(IFERROR(INDEX('Usage and Coverage'!$E$6:$E$20,MATCH($N232,'Usage and Coverage'!$C$6:$C$20,0)),""),7)="DECLINE"),"DECLINE",IF(OR($CD232&gt;2.5,$CD232&gt;='Technical Premium'!$C$17,$J232&gt;='Technical Premium'!$C$16,N($AQ232)&lt;'Technical Premium'!$C$19,N($AQ232)&gt;'Technical Premium'!$C$20,LEFT(IFERROR(INDEX('Driver Factors'!$D$6:$D$15,MATCH($R232,'Driver Factors'!$B$6:$B$15,0)),""),5)="Refer",LEFT(IFERROR(INDEX('Driver Factors'!$D$28:$D$36,MATCH($T232,'Driver Factors'!$B$28:$B$36,0)),""),5)="Refer",LEFT(IFERROR(INDEX('Claims History'!$D$6:$D$15,MATCH($U232,'Claims History'!$B$6:$B$15,0)),""),5)="Refer",LEFT(IFERROR(INDEX('Usage and Coverage'!$E$6:$E$20,MATCH($N232,'Usage and Coverage'!$C$6:$C$20,0)),""),5)="Refer"),"REFER","AUTO-BIND"))))</f>
        <v/>
      </c>
      <c r="CY232" s="106" t="str">
        <f t="shared" si="50"/>
        <v/>
      </c>
      <c r="CZ232" s="97" t="str">
        <f>IF($CY232="","",IF($CY232&lt;'Technical Premium'!$C$19,"BEYOND AUTHORITY",IF($CY232&gt;0.005,"Above technical",IF($CY232&lt;-0.005,"BELOW technical","At technical"))))</f>
        <v/>
      </c>
      <c r="DA232" s="97" t="str">
        <f>IF($A232="","",IF($CX232="AUTO-BIND","",TRIM(IF($J232&lt;'Technical Premium'!$C$18,"Below programme minimum agreed value. ","")&amp;IF(N($AQ232)&lt;'Technical Premium'!$C$19,"DISCOUNT AUTHORITY BREACH. ","")&amp;IF(N($AQ232)&gt;'Technical Premium'!$C$20,"Load authority breach. ","")&amp;IF($J232&gt;='Technical Premium'!$C$16,"Agreed value at or above auto-bind limit. ","")&amp;IF(AND(ISNUMBER($CD232),$CD232&gt;='Technical Premium'!$C$17),"Composite factor at cap. ","")&amp;IF(AND(ISNUMBER($CD232),$CD232&gt;2.5),"Composite factor above 2.50. ","")&amp;IF(LEFT(IFERROR(INDEX('Driver Factors'!$D$6:$D$15,MATCH($R232,'Driver Factors'!$B$6:$B$15,0)),""),7)="DECLINE","DECLINE - driver age. ",IF(LEFT(IFERROR(INDEX('Driver Factors'!$D$6:$D$15,MATCH($R232,'Driver Factors'!$B$6:$B$15,0)),""),5)="Refer","Driver age band. ",""))&amp;IF(LEFT(IFERROR(INDEX('Driver Factors'!$D$28:$D$36,MATCH($T232,'Driver Factors'!$B$28:$B$36,0)),""),7)="DECLINE","DECLINE - MVR. ",IF(LEFT(IFERROR(INDEX('Driver Factors'!$D$28:$D$36,MATCH($T232,'Driver Factors'!$B$28:$B$36,0)),""),5)="Refer","MVR record. ",""))&amp;IF(LEFT(IFERROR(INDEX('Claims History'!$D$6:$D$15,MATCH($U232,'Claims History'!$B$6:$B$15,0)),""),7)="DECLINE","DECLINE - claims. ",IF(LEFT(IFERROR(INDEX('Claims History'!$D$6:$D$15,MATCH($U232,'Claims History'!$B$6:$B$15,0)),""),5)="Refer","Claims history. ",""))&amp;IF(LEFT(IFERROR(INDEX('Usage and Coverage'!$E$6:$E$20,MATCH($N232,'Usage and Coverage'!$C$6:$C$20,0)),""),7)="DECLINE","DECLINE - usage class. ",IF(LEFT(IFERROR(INDEX('Usage and Coverage'!$E$6:$E$20,MATCH($N232,'Usage and Coverage'!$C$6:$C$20,0)),""),5)="Refer","Usage class. ",""))&amp;IF($CX232="CHECK INPUTS","Incomplete inputs. ",""))))</f>
        <v/>
      </c>
      <c r="DB232" s="92"/>
      <c r="DC232" s="92"/>
      <c r="DD232" s="93"/>
      <c r="DE232" s="92"/>
      <c r="DF232" s="92"/>
      <c r="DG232" s="97" t="str">
        <f t="shared" si="51"/>
        <v/>
      </c>
      <c r="DH232" s="97" t="str">
        <f>IF($A232="","",IF(OR($CX232="REFER",$CX232="DECLINE"),COUNTIF($CX$5:$CX232,"REFER")+COUNTIF($CX$5:$CX232,"DECLINE"),""))</f>
        <v/>
      </c>
      <c r="DI232" s="92"/>
    </row>
    <row r="233" spans="1:113" x14ac:dyDescent="0.25">
      <c r="A233" s="92"/>
      <c r="B233" s="92"/>
      <c r="C233" s="93"/>
      <c r="D233" s="93"/>
      <c r="E233" s="94"/>
      <c r="F233" s="92"/>
      <c r="G233" s="92"/>
      <c r="H233" s="92"/>
      <c r="I233" s="92"/>
      <c r="J233" s="95"/>
      <c r="K233" s="92"/>
      <c r="L233" s="92"/>
      <c r="M233" s="92"/>
      <c r="N233" s="92"/>
      <c r="O233" s="92"/>
      <c r="P233" s="92"/>
      <c r="Q233" s="92"/>
      <c r="R233" s="92"/>
      <c r="S233" s="92"/>
      <c r="T233" s="92"/>
      <c r="U233" s="92"/>
      <c r="V233" s="92"/>
      <c r="W233" s="92"/>
      <c r="X233" s="92"/>
      <c r="Y233" s="92"/>
      <c r="Z233" s="92"/>
      <c r="AA233" s="92"/>
      <c r="AB233" s="92"/>
      <c r="AC233" s="92"/>
      <c r="AD233" s="92"/>
      <c r="AE233" s="92"/>
      <c r="AF233" s="92"/>
      <c r="AG233" s="92"/>
      <c r="AH233" s="92"/>
      <c r="AI233" s="92"/>
      <c r="AJ233" s="92"/>
      <c r="AK233" s="92"/>
      <c r="AL233" s="92"/>
      <c r="AM233" s="92"/>
      <c r="AN233" s="92"/>
      <c r="AO233" s="92"/>
      <c r="AP233" s="92"/>
      <c r="AQ233" s="96"/>
      <c r="AR233" s="97" t="str">
        <f t="shared" si="39"/>
        <v/>
      </c>
      <c r="AS233" s="97" t="str">
        <f>IF($A233="","",IF($AP233&lt;&gt;"",$AP233,IFERROR(INDEX('Cat Zone by ZIP'!$D$6:$D$856,MATCH($AR233,'Cat Zone by ZIP'!$B$6:$B$856,0)),IFERROR(INDEX('Cat Zone by ZIP'!$C$860:$C$910,MATCH($K233,'Cat Zone by ZIP'!$B$860:$B$910,0)),"NOT FOUND"))))</f>
        <v/>
      </c>
      <c r="AT233" s="97" t="str">
        <f>IF($A233="","",IF($AP233&lt;&gt;"","Override",IF(ISNUMBER(MATCH($AR233,'Cat Zone by ZIP'!$B$6:$B$856,0)),"ZIP-3","State default")))</f>
        <v/>
      </c>
      <c r="AU233" s="98" t="str">
        <f>IF($A233="","",IFERROR(INDEX('Natural Catastrophe'!$D$6:$D$17,MATCH($AS233,'Natural Catastrophe'!$B$6:$B$17,0)),"?"))</f>
        <v/>
      </c>
      <c r="AV233" s="98" t="str">
        <f>IF($A233="","",IFERROR(INDEX('Natural Catastrophe'!$C$21:$C$26,MATCH($AA233,'Natural Catastrophe'!$B$21:$B$26,0)),"?"))</f>
        <v/>
      </c>
      <c r="AW233" s="97" t="str">
        <f>IF($A233="","",IFERROR(INDEX('Base Rates'!$C$4:$I$4,MATCH(MAX($J233,'Technical Premium'!$C$18),'Base Rates'!$C$3:$I$3,1)),"?"))</f>
        <v/>
      </c>
      <c r="AX233" s="99" t="str">
        <f>IF($A233="","",IFERROR(INDEX('Base Rates'!$C$5:$I$16,MATCH($I233,'Base Rates'!$B$5:$B$16,0),MATCH(MAX($J233,'Technical Premium'!$C$18),'Base Rates'!$C$3:$I$3,1)),"?"))</f>
        <v/>
      </c>
      <c r="AY233" s="100" t="str">
        <f t="shared" si="40"/>
        <v/>
      </c>
      <c r="AZ233" s="97" t="str">
        <f>IF($A233="","",IFERROR(INDEX('Make Factors'!$G$5:$G$69,MATCH($F233,'Make Factors'!$B$5:$B$69,0)),"?"))</f>
        <v/>
      </c>
      <c r="BA233" s="97" t="str">
        <f>IF($A233="","",IFERROR(INDEX('Driver Factors'!$C$6:$C$15,MATCH($R233,'Driver Factors'!$B$6:$B$15,0)),"?"))</f>
        <v/>
      </c>
      <c r="BB233" s="97" t="str">
        <f>IF($A233="","",IFERROR(INDEX('Driver Factors'!$C$19:$C$24,MATCH($S233,'Driver Factors'!$B$19:$B$24,0)),"?"))</f>
        <v/>
      </c>
      <c r="BC233" s="97" t="str">
        <f>IF($A233="","",IFERROR(INDEX('Driver Factors'!$C$28:$C$36,MATCH($T233,'Driver Factors'!$B$28:$B$36,0)),"?"))</f>
        <v/>
      </c>
      <c r="BD233" s="97" t="str">
        <f>IF($A233="","",IFERROR(INDEX('Claims History'!$C$6:$C$15,MATCH($U233,'Claims History'!$B$6:$B$15,0)),"?"))</f>
        <v/>
      </c>
      <c r="BE233" s="97" t="str">
        <f>IF($A233="","",IFERROR(INDEX('Territory Factors'!$E$6:$E$56,MATCH($K233,'Territory Factors'!$B$6:$B$56,0)),"?"))</f>
        <v/>
      </c>
      <c r="BF233" s="97" t="str">
        <f>IF($A233="","",IFERROR(INDEX('City Accident Ratings'!$G$6:$G$54,MATCH($Z233,'City Accident Ratings'!$B$6:$B$54,0)),"?"))</f>
        <v/>
      </c>
      <c r="BG233" s="97" t="str">
        <f>IF($A233="","",IFERROR(INDEX('Usage and Coverage'!$D$6:$D$20,MATCH($N233,'Usage and Coverage'!$C$6:$C$20,0)),"?"))</f>
        <v/>
      </c>
      <c r="BH233" s="97" t="str">
        <f>IF($A233="","",IFERROR(INDEX('Usage and Coverage'!$C$24:$C$30,MATCH($O233,'Usage and Coverage'!$B$24:$B$30,0)),"?"))</f>
        <v/>
      </c>
      <c r="BI233" s="97" t="str">
        <f>IF($A233="","",IFERROR(INDEX('Usage and Coverage'!$C$34:$C$40,MATCH($P233,'Usage and Coverage'!$B$34:$B$40,0)),"?"))</f>
        <v/>
      </c>
      <c r="BJ233" s="97" t="str">
        <f>IF($A233="","",IFERROR(INDEX('Usage and Coverage'!$C$44:$C$49,MATCH($Q233,'Usage and Coverage'!$B$44:$B$49,0)),"?"))</f>
        <v/>
      </c>
      <c r="BK233" s="97" t="str">
        <f>IF($A233="","",IFERROR(INDEX(Deductibles!$C$6:$I$15,MATCH($W233,Deductibles!$B$6:$B$15,0),MATCH(MAX($J233,'Technical Premium'!$C$18),'Base Rates'!$C$3:$I$3,1)),"?"))</f>
        <v/>
      </c>
      <c r="BL233" s="97" t="str">
        <f>IF($A233="","",IFERROR(INDEX('Usage and Coverage'!$C$63:$C$66,MATCH($X233,'Usage and Coverage'!$B$63:$B$66,0)),"?"))</f>
        <v/>
      </c>
      <c r="BM233" s="97" t="str">
        <f>IF($A233="","",IFERROR(INDEX('Usage and Coverage'!$C$70:$C$75,MATCH($V233,'Usage and Coverage'!$B$70:$B$75,0)),"?"))</f>
        <v/>
      </c>
      <c r="BN233" s="97" t="str">
        <f>IF($A233="","",IF($AB233="",1,IFERROR(INDEX(Deductibles!$C$48:$C$51,MATCH($AB233,Deductibles!$B$48:$B$51,0)),"?")))</f>
        <v/>
      </c>
      <c r="BO233" s="97" t="str">
        <f>IF($A233="","",IF($AC233="",1,IFERROR(INDEX(Deductibles!$C$55:$C$57,MATCH($AC233,Deductibles!$B$55:$B$57,0)),"?")))</f>
        <v/>
      </c>
      <c r="BP233" s="97" t="str">
        <f>IF($A233="","",IF($AD233="",1,IFERROR(INDEX(Deductibles!$C$61:$C$63,MATCH($AD233,Deductibles!$B$61:$B$63,0)),"?")))</f>
        <v/>
      </c>
      <c r="BQ233" s="97" t="str">
        <f>IF($A233="","",IF($AE233="",1,IFERROR(INDEX(Deductibles!$C$67:$C$69,MATCH($AE233,Deductibles!$B$67:$B$69,0)),"?")))</f>
        <v/>
      </c>
      <c r="BR233" s="97" t="str">
        <f>IF($A233="","",IF($AF233="",1,IFERROR(INDEX(Deductibles!$C$73:$C$74,MATCH($AF233,Deductibles!$B$73:$B$74,0)),"?")))</f>
        <v/>
      </c>
      <c r="BS233" s="97" t="str">
        <f>IF($A233="","",IF($AG233="",1,IFERROR(INDEX('Sublimits and Parts'!$C$49:$C$52,MATCH($AG233,'Sublimits and Parts'!$B$49:$B$52,0)),"?")))</f>
        <v/>
      </c>
      <c r="BT233" s="97" t="str">
        <f>IF($A233="","",IF($AH233="",1,IFERROR(INDEX('Sublimits and Parts'!$C$56:$C$60,MATCH($AH233,'Sublimits and Parts'!$B$56:$B$60,0)),"?")))</f>
        <v/>
      </c>
      <c r="BU233" s="97" t="str">
        <f>IF($A233="","",IF($AI233="",1,IFERROR(INDEX('Sublimits and Parts'!$C$64:$C$67,MATCH($AI233,'Sublimits and Parts'!$B$64:$B$67,0)),"?")))</f>
        <v/>
      </c>
      <c r="BV233" s="97" t="str">
        <f>IF($A233="","",IF($AJ233="",1,IFERROR(INDEX('Sublimits and Parts'!$C$71:$C$74,MATCH($AJ233,'Sublimits and Parts'!$B$71:$B$74,0)),"?")))</f>
        <v/>
      </c>
      <c r="BW233" s="97" t="str">
        <f>IF($A233="","",IF($AK233="",1,IFERROR(INDEX('Sublimits and Parts'!$C$78:$C$80,MATCH($AK233,'Sublimits and Parts'!$B$78:$B$80,0)),"?")))</f>
        <v/>
      </c>
      <c r="BX233" s="97" t="str">
        <f>IF($A233="","",IF($AL233="",1,IFERROR(INDEX('Sublimits and Parts'!$C$84:$C$87,MATCH($AL233,'Sublimits and Parts'!$B$84:$B$87,0)),"?")))</f>
        <v/>
      </c>
      <c r="BY233" s="97" t="str">
        <f>IF($A233="","",IF($AM233="",1,IFERROR(INDEX('Sublimits and Parts'!$C$91:$C$94,MATCH($AM233,'Sublimits and Parts'!$B$91:$B$94,0)),"?")))</f>
        <v/>
      </c>
      <c r="BZ233" s="97" t="str">
        <f>IF($A233="","",IF($AN233="",1,IFERROR(INDEX('Sublimits and Parts'!$C$98:$C$101,MATCH($AN233,'Sublimits and Parts'!$B$98:$B$101,0)),"?")))</f>
        <v/>
      </c>
      <c r="CA233" s="97" t="str">
        <f>IF($A233="","",IF($AO233="",1,IFERROR(INDEX('Sublimits and Parts'!$C$105:$C$109,MATCH($AO233,'Sublimits and Parts'!$B$105:$B$109,0)),"?")))</f>
        <v/>
      </c>
      <c r="CB233" s="98" t="str">
        <f t="shared" si="41"/>
        <v/>
      </c>
      <c r="CC233" s="98" t="str">
        <f t="shared" si="42"/>
        <v/>
      </c>
      <c r="CD233" s="101" t="str">
        <f>IF($A233="","",IF(OR($CB233="?",$CC233="?"),"?",MIN($CB233*$CC233,'Technical Premium'!$C$17)))</f>
        <v/>
      </c>
      <c r="CE233" s="100" t="str">
        <f t="shared" si="43"/>
        <v/>
      </c>
      <c r="CF233" s="100" t="str">
        <f>IF($A233="","",IFERROR(INDEX('Territory Factors'!$F$6:$F$56,MATCH($K233,'Territory Factors'!$B$6:$B$56,0)),"?"))</f>
        <v/>
      </c>
      <c r="CG233" s="98" t="str">
        <f>IF($A233="","",IFERROR(INDEX('Usage and Coverage'!$C$79:$C$84,MATCH($Y233,'Usage and Coverage'!$B$79:$B$84,0)),"?"))</f>
        <v/>
      </c>
      <c r="CH233" s="100" t="str">
        <f>IFERROR(IF(ISNUMBER($CD233),$CF233*$CG233*MIN($BG233*$BA233*$BC233*$BD233*$BH233*$BF233,'Technical Premium'!$C$17),""),"")</f>
        <v/>
      </c>
      <c r="CI233" s="100" t="str">
        <f t="shared" si="44"/>
        <v/>
      </c>
      <c r="CJ233" s="100" t="str">
        <f>IFERROR($CI233*(1+'Technical Premium'!$C$5)*(1+'Technical Premium'!$C$6),"")</f>
        <v/>
      </c>
      <c r="CK233" s="100" t="str">
        <f>IFERROR($CE233*INDEX('Territory Factors'!$G$6:$G$56,MATCH($K233,'Territory Factors'!$B$6:$B$56,0))*$AU233*$AV233,"")</f>
        <v/>
      </c>
      <c r="CL233" s="100" t="str">
        <f>IFERROR(($CJ233+$CK233)*(1+'Technical Premium'!$C$7),"")</f>
        <v/>
      </c>
      <c r="CM233" s="102" t="str">
        <f>IFERROR($CL233/'Technical Premium'!$C$13,"")</f>
        <v/>
      </c>
      <c r="CN233" s="103" t="str">
        <f t="shared" si="45"/>
        <v/>
      </c>
      <c r="CO233" s="102" t="str">
        <f t="shared" si="46"/>
        <v/>
      </c>
      <c r="CP233" s="103" t="str">
        <f t="shared" si="47"/>
        <v/>
      </c>
      <c r="CQ233" s="104" t="str">
        <f t="shared" si="48"/>
        <v/>
      </c>
      <c r="CR233" s="100" t="str">
        <f>IF(ISNUMBER($CM233),'Technical Premium'!$C$14+IF($J233&gt;=1000000,'Technical Premium'!$C$15,0),"")</f>
        <v/>
      </c>
      <c r="CS233" s="100" t="str">
        <f>IFERROR(($CO233+$CR233)*(INDEX('Territory Factors'!$K$6:$K$56,MATCH($K233,'Territory Factors'!$B$6:$B$56,0))+'Commission Structure'!$C$21),"")</f>
        <v/>
      </c>
      <c r="CT233" s="102" t="str">
        <f t="shared" si="49"/>
        <v/>
      </c>
      <c r="CU233" s="100" t="str">
        <f>IFERROR($CO233*('Commission Structure'!$C$6+'Commission Structure'!$C$7),"")</f>
        <v/>
      </c>
      <c r="CV233" s="100" t="str">
        <f>IFERROR($CO233*'Commission Structure'!$C$5-$CU233,"")</f>
        <v/>
      </c>
      <c r="CW233" s="100" t="str">
        <f>IFERROR($CO233*(1-'Commission Structure'!$C$5),"")</f>
        <v/>
      </c>
      <c r="CX233" s="105" t="str">
        <f>IF($A233="","",IF(OR($CB233="?",$CC233="?",NOT(ISNUMBER($AU233))),"CHECK INPUTS",IF(OR($J233&lt;'Technical Premium'!$C$18,LEFT(IFERROR(INDEX('Driver Factors'!$D$6:$D$15,MATCH($R233,'Driver Factors'!$B$6:$B$15,0)),""),7)="DECLINE",LEFT(IFERROR(INDEX('Driver Factors'!$D$28:$D$36,MATCH($T233,'Driver Factors'!$B$28:$B$36,0)),""),7)="DECLINE",LEFT(IFERROR(INDEX('Claims History'!$D$6:$D$15,MATCH($U233,'Claims History'!$B$6:$B$15,0)),""),7)="DECLINE",LEFT(IFERROR(INDEX('Usage and Coverage'!$E$6:$E$20,MATCH($N233,'Usage and Coverage'!$C$6:$C$20,0)),""),7)="DECLINE"),"DECLINE",IF(OR($CD233&gt;2.5,$CD233&gt;='Technical Premium'!$C$17,$J233&gt;='Technical Premium'!$C$16,N($AQ233)&lt;'Technical Premium'!$C$19,N($AQ233)&gt;'Technical Premium'!$C$20,LEFT(IFERROR(INDEX('Driver Factors'!$D$6:$D$15,MATCH($R233,'Driver Factors'!$B$6:$B$15,0)),""),5)="Refer",LEFT(IFERROR(INDEX('Driver Factors'!$D$28:$D$36,MATCH($T233,'Driver Factors'!$B$28:$B$36,0)),""),5)="Refer",LEFT(IFERROR(INDEX('Claims History'!$D$6:$D$15,MATCH($U233,'Claims History'!$B$6:$B$15,0)),""),5)="Refer",LEFT(IFERROR(INDEX('Usage and Coverage'!$E$6:$E$20,MATCH($N233,'Usage and Coverage'!$C$6:$C$20,0)),""),5)="Refer"),"REFER","AUTO-BIND"))))</f>
        <v/>
      </c>
      <c r="CY233" s="106" t="str">
        <f t="shared" si="50"/>
        <v/>
      </c>
      <c r="CZ233" s="97" t="str">
        <f>IF($CY233="","",IF($CY233&lt;'Technical Premium'!$C$19,"BEYOND AUTHORITY",IF($CY233&gt;0.005,"Above technical",IF($CY233&lt;-0.005,"BELOW technical","At technical"))))</f>
        <v/>
      </c>
      <c r="DA233" s="97" t="str">
        <f>IF($A233="","",IF($CX233="AUTO-BIND","",TRIM(IF($J233&lt;'Technical Premium'!$C$18,"Below programme minimum agreed value. ","")&amp;IF(N($AQ233)&lt;'Technical Premium'!$C$19,"DISCOUNT AUTHORITY BREACH. ","")&amp;IF(N($AQ233)&gt;'Technical Premium'!$C$20,"Load authority breach. ","")&amp;IF($J233&gt;='Technical Premium'!$C$16,"Agreed value at or above auto-bind limit. ","")&amp;IF(AND(ISNUMBER($CD233),$CD233&gt;='Technical Premium'!$C$17),"Composite factor at cap. ","")&amp;IF(AND(ISNUMBER($CD233),$CD233&gt;2.5),"Composite factor above 2.50. ","")&amp;IF(LEFT(IFERROR(INDEX('Driver Factors'!$D$6:$D$15,MATCH($R233,'Driver Factors'!$B$6:$B$15,0)),""),7)="DECLINE","DECLINE - driver age. ",IF(LEFT(IFERROR(INDEX('Driver Factors'!$D$6:$D$15,MATCH($R233,'Driver Factors'!$B$6:$B$15,0)),""),5)="Refer","Driver age band. ",""))&amp;IF(LEFT(IFERROR(INDEX('Driver Factors'!$D$28:$D$36,MATCH($T233,'Driver Factors'!$B$28:$B$36,0)),""),7)="DECLINE","DECLINE - MVR. ",IF(LEFT(IFERROR(INDEX('Driver Factors'!$D$28:$D$36,MATCH($T233,'Driver Factors'!$B$28:$B$36,0)),""),5)="Refer","MVR record. ",""))&amp;IF(LEFT(IFERROR(INDEX('Claims History'!$D$6:$D$15,MATCH($U233,'Claims History'!$B$6:$B$15,0)),""),7)="DECLINE","DECLINE - claims. ",IF(LEFT(IFERROR(INDEX('Claims History'!$D$6:$D$15,MATCH($U233,'Claims History'!$B$6:$B$15,0)),""),5)="Refer","Claims history. ",""))&amp;IF(LEFT(IFERROR(INDEX('Usage and Coverage'!$E$6:$E$20,MATCH($N233,'Usage and Coverage'!$C$6:$C$20,0)),""),7)="DECLINE","DECLINE - usage class. ",IF(LEFT(IFERROR(INDEX('Usage and Coverage'!$E$6:$E$20,MATCH($N233,'Usage and Coverage'!$C$6:$C$20,0)),""),5)="Refer","Usage class. ",""))&amp;IF($CX233="CHECK INPUTS","Incomplete inputs. ",""))))</f>
        <v/>
      </c>
      <c r="DB233" s="92"/>
      <c r="DC233" s="92"/>
      <c r="DD233" s="93"/>
      <c r="DE233" s="92"/>
      <c r="DF233" s="92"/>
      <c r="DG233" s="97" t="str">
        <f t="shared" si="51"/>
        <v/>
      </c>
      <c r="DH233" s="97" t="str">
        <f>IF($A233="","",IF(OR($CX233="REFER",$CX233="DECLINE"),COUNTIF($CX$5:$CX233,"REFER")+COUNTIF($CX$5:$CX233,"DECLINE"),""))</f>
        <v/>
      </c>
      <c r="DI233" s="92"/>
    </row>
    <row r="234" spans="1:113" x14ac:dyDescent="0.25">
      <c r="A234" s="92"/>
      <c r="B234" s="92"/>
      <c r="C234" s="93"/>
      <c r="D234" s="93"/>
      <c r="E234" s="94"/>
      <c r="F234" s="92"/>
      <c r="G234" s="92"/>
      <c r="H234" s="92"/>
      <c r="I234" s="92"/>
      <c r="J234" s="95"/>
      <c r="K234" s="92"/>
      <c r="L234" s="92"/>
      <c r="M234" s="92"/>
      <c r="N234" s="92"/>
      <c r="O234" s="92"/>
      <c r="P234" s="92"/>
      <c r="Q234" s="92"/>
      <c r="R234" s="92"/>
      <c r="S234" s="92"/>
      <c r="T234" s="92"/>
      <c r="U234" s="92"/>
      <c r="V234" s="92"/>
      <c r="W234" s="92"/>
      <c r="X234" s="92"/>
      <c r="Y234" s="92"/>
      <c r="Z234" s="92"/>
      <c r="AA234" s="92"/>
      <c r="AB234" s="92"/>
      <c r="AC234" s="92"/>
      <c r="AD234" s="92"/>
      <c r="AE234" s="92"/>
      <c r="AF234" s="92"/>
      <c r="AG234" s="92"/>
      <c r="AH234" s="92"/>
      <c r="AI234" s="92"/>
      <c r="AJ234" s="92"/>
      <c r="AK234" s="92"/>
      <c r="AL234" s="92"/>
      <c r="AM234" s="92"/>
      <c r="AN234" s="92"/>
      <c r="AO234" s="92"/>
      <c r="AP234" s="92"/>
      <c r="AQ234" s="96"/>
      <c r="AR234" s="97" t="str">
        <f t="shared" si="39"/>
        <v/>
      </c>
      <c r="AS234" s="97" t="str">
        <f>IF($A234="","",IF($AP234&lt;&gt;"",$AP234,IFERROR(INDEX('Cat Zone by ZIP'!$D$6:$D$856,MATCH($AR234,'Cat Zone by ZIP'!$B$6:$B$856,0)),IFERROR(INDEX('Cat Zone by ZIP'!$C$860:$C$910,MATCH($K234,'Cat Zone by ZIP'!$B$860:$B$910,0)),"NOT FOUND"))))</f>
        <v/>
      </c>
      <c r="AT234" s="97" t="str">
        <f>IF($A234="","",IF($AP234&lt;&gt;"","Override",IF(ISNUMBER(MATCH($AR234,'Cat Zone by ZIP'!$B$6:$B$856,0)),"ZIP-3","State default")))</f>
        <v/>
      </c>
      <c r="AU234" s="98" t="str">
        <f>IF($A234="","",IFERROR(INDEX('Natural Catastrophe'!$D$6:$D$17,MATCH($AS234,'Natural Catastrophe'!$B$6:$B$17,0)),"?"))</f>
        <v/>
      </c>
      <c r="AV234" s="98" t="str">
        <f>IF($A234="","",IFERROR(INDEX('Natural Catastrophe'!$C$21:$C$26,MATCH($AA234,'Natural Catastrophe'!$B$21:$B$26,0)),"?"))</f>
        <v/>
      </c>
      <c r="AW234" s="97" t="str">
        <f>IF($A234="","",IFERROR(INDEX('Base Rates'!$C$4:$I$4,MATCH(MAX($J234,'Technical Premium'!$C$18),'Base Rates'!$C$3:$I$3,1)),"?"))</f>
        <v/>
      </c>
      <c r="AX234" s="99" t="str">
        <f>IF($A234="","",IFERROR(INDEX('Base Rates'!$C$5:$I$16,MATCH($I234,'Base Rates'!$B$5:$B$16,0),MATCH(MAX($J234,'Technical Premium'!$C$18),'Base Rates'!$C$3:$I$3,1)),"?"))</f>
        <v/>
      </c>
      <c r="AY234" s="100" t="str">
        <f t="shared" si="40"/>
        <v/>
      </c>
      <c r="AZ234" s="97" t="str">
        <f>IF($A234="","",IFERROR(INDEX('Make Factors'!$G$5:$G$69,MATCH($F234,'Make Factors'!$B$5:$B$69,0)),"?"))</f>
        <v/>
      </c>
      <c r="BA234" s="97" t="str">
        <f>IF($A234="","",IFERROR(INDEX('Driver Factors'!$C$6:$C$15,MATCH($R234,'Driver Factors'!$B$6:$B$15,0)),"?"))</f>
        <v/>
      </c>
      <c r="BB234" s="97" t="str">
        <f>IF($A234="","",IFERROR(INDEX('Driver Factors'!$C$19:$C$24,MATCH($S234,'Driver Factors'!$B$19:$B$24,0)),"?"))</f>
        <v/>
      </c>
      <c r="BC234" s="97" t="str">
        <f>IF($A234="","",IFERROR(INDEX('Driver Factors'!$C$28:$C$36,MATCH($T234,'Driver Factors'!$B$28:$B$36,0)),"?"))</f>
        <v/>
      </c>
      <c r="BD234" s="97" t="str">
        <f>IF($A234="","",IFERROR(INDEX('Claims History'!$C$6:$C$15,MATCH($U234,'Claims History'!$B$6:$B$15,0)),"?"))</f>
        <v/>
      </c>
      <c r="BE234" s="97" t="str">
        <f>IF($A234="","",IFERROR(INDEX('Territory Factors'!$E$6:$E$56,MATCH($K234,'Territory Factors'!$B$6:$B$56,0)),"?"))</f>
        <v/>
      </c>
      <c r="BF234" s="97" t="str">
        <f>IF($A234="","",IFERROR(INDEX('City Accident Ratings'!$G$6:$G$54,MATCH($Z234,'City Accident Ratings'!$B$6:$B$54,0)),"?"))</f>
        <v/>
      </c>
      <c r="BG234" s="97" t="str">
        <f>IF($A234="","",IFERROR(INDEX('Usage and Coverage'!$D$6:$D$20,MATCH($N234,'Usage and Coverage'!$C$6:$C$20,0)),"?"))</f>
        <v/>
      </c>
      <c r="BH234" s="97" t="str">
        <f>IF($A234="","",IFERROR(INDEX('Usage and Coverage'!$C$24:$C$30,MATCH($O234,'Usage and Coverage'!$B$24:$B$30,0)),"?"))</f>
        <v/>
      </c>
      <c r="BI234" s="97" t="str">
        <f>IF($A234="","",IFERROR(INDEX('Usage and Coverage'!$C$34:$C$40,MATCH($P234,'Usage and Coverage'!$B$34:$B$40,0)),"?"))</f>
        <v/>
      </c>
      <c r="BJ234" s="97" t="str">
        <f>IF($A234="","",IFERROR(INDEX('Usage and Coverage'!$C$44:$C$49,MATCH($Q234,'Usage and Coverage'!$B$44:$B$49,0)),"?"))</f>
        <v/>
      </c>
      <c r="BK234" s="97" t="str">
        <f>IF($A234="","",IFERROR(INDEX(Deductibles!$C$6:$I$15,MATCH($W234,Deductibles!$B$6:$B$15,0),MATCH(MAX($J234,'Technical Premium'!$C$18),'Base Rates'!$C$3:$I$3,1)),"?"))</f>
        <v/>
      </c>
      <c r="BL234" s="97" t="str">
        <f>IF($A234="","",IFERROR(INDEX('Usage and Coverage'!$C$63:$C$66,MATCH($X234,'Usage and Coverage'!$B$63:$B$66,0)),"?"))</f>
        <v/>
      </c>
      <c r="BM234" s="97" t="str">
        <f>IF($A234="","",IFERROR(INDEX('Usage and Coverage'!$C$70:$C$75,MATCH($V234,'Usage and Coverage'!$B$70:$B$75,0)),"?"))</f>
        <v/>
      </c>
      <c r="BN234" s="97" t="str">
        <f>IF($A234="","",IF($AB234="",1,IFERROR(INDEX(Deductibles!$C$48:$C$51,MATCH($AB234,Deductibles!$B$48:$B$51,0)),"?")))</f>
        <v/>
      </c>
      <c r="BO234" s="97" t="str">
        <f>IF($A234="","",IF($AC234="",1,IFERROR(INDEX(Deductibles!$C$55:$C$57,MATCH($AC234,Deductibles!$B$55:$B$57,0)),"?")))</f>
        <v/>
      </c>
      <c r="BP234" s="97" t="str">
        <f>IF($A234="","",IF($AD234="",1,IFERROR(INDEX(Deductibles!$C$61:$C$63,MATCH($AD234,Deductibles!$B$61:$B$63,0)),"?")))</f>
        <v/>
      </c>
      <c r="BQ234" s="97" t="str">
        <f>IF($A234="","",IF($AE234="",1,IFERROR(INDEX(Deductibles!$C$67:$C$69,MATCH($AE234,Deductibles!$B$67:$B$69,0)),"?")))</f>
        <v/>
      </c>
      <c r="BR234" s="97" t="str">
        <f>IF($A234="","",IF($AF234="",1,IFERROR(INDEX(Deductibles!$C$73:$C$74,MATCH($AF234,Deductibles!$B$73:$B$74,0)),"?")))</f>
        <v/>
      </c>
      <c r="BS234" s="97" t="str">
        <f>IF($A234="","",IF($AG234="",1,IFERROR(INDEX('Sublimits and Parts'!$C$49:$C$52,MATCH($AG234,'Sublimits and Parts'!$B$49:$B$52,0)),"?")))</f>
        <v/>
      </c>
      <c r="BT234" s="97" t="str">
        <f>IF($A234="","",IF($AH234="",1,IFERROR(INDEX('Sublimits and Parts'!$C$56:$C$60,MATCH($AH234,'Sublimits and Parts'!$B$56:$B$60,0)),"?")))</f>
        <v/>
      </c>
      <c r="BU234" s="97" t="str">
        <f>IF($A234="","",IF($AI234="",1,IFERROR(INDEX('Sublimits and Parts'!$C$64:$C$67,MATCH($AI234,'Sublimits and Parts'!$B$64:$B$67,0)),"?")))</f>
        <v/>
      </c>
      <c r="BV234" s="97" t="str">
        <f>IF($A234="","",IF($AJ234="",1,IFERROR(INDEX('Sublimits and Parts'!$C$71:$C$74,MATCH($AJ234,'Sublimits and Parts'!$B$71:$B$74,0)),"?")))</f>
        <v/>
      </c>
      <c r="BW234" s="97" t="str">
        <f>IF($A234="","",IF($AK234="",1,IFERROR(INDEX('Sublimits and Parts'!$C$78:$C$80,MATCH($AK234,'Sublimits and Parts'!$B$78:$B$80,0)),"?")))</f>
        <v/>
      </c>
      <c r="BX234" s="97" t="str">
        <f>IF($A234="","",IF($AL234="",1,IFERROR(INDEX('Sublimits and Parts'!$C$84:$C$87,MATCH($AL234,'Sublimits and Parts'!$B$84:$B$87,0)),"?")))</f>
        <v/>
      </c>
      <c r="BY234" s="97" t="str">
        <f>IF($A234="","",IF($AM234="",1,IFERROR(INDEX('Sublimits and Parts'!$C$91:$C$94,MATCH($AM234,'Sublimits and Parts'!$B$91:$B$94,0)),"?")))</f>
        <v/>
      </c>
      <c r="BZ234" s="97" t="str">
        <f>IF($A234="","",IF($AN234="",1,IFERROR(INDEX('Sublimits and Parts'!$C$98:$C$101,MATCH($AN234,'Sublimits and Parts'!$B$98:$B$101,0)),"?")))</f>
        <v/>
      </c>
      <c r="CA234" s="97" t="str">
        <f>IF($A234="","",IF($AO234="",1,IFERROR(INDEX('Sublimits and Parts'!$C$105:$C$109,MATCH($AO234,'Sublimits and Parts'!$B$105:$B$109,0)),"?")))</f>
        <v/>
      </c>
      <c r="CB234" s="98" t="str">
        <f t="shared" si="41"/>
        <v/>
      </c>
      <c r="CC234" s="98" t="str">
        <f t="shared" si="42"/>
        <v/>
      </c>
      <c r="CD234" s="101" t="str">
        <f>IF($A234="","",IF(OR($CB234="?",$CC234="?"),"?",MIN($CB234*$CC234,'Technical Premium'!$C$17)))</f>
        <v/>
      </c>
      <c r="CE234" s="100" t="str">
        <f t="shared" si="43"/>
        <v/>
      </c>
      <c r="CF234" s="100" t="str">
        <f>IF($A234="","",IFERROR(INDEX('Territory Factors'!$F$6:$F$56,MATCH($K234,'Territory Factors'!$B$6:$B$56,0)),"?"))</f>
        <v/>
      </c>
      <c r="CG234" s="98" t="str">
        <f>IF($A234="","",IFERROR(INDEX('Usage and Coverage'!$C$79:$C$84,MATCH($Y234,'Usage and Coverage'!$B$79:$B$84,0)),"?"))</f>
        <v/>
      </c>
      <c r="CH234" s="100" t="str">
        <f>IFERROR(IF(ISNUMBER($CD234),$CF234*$CG234*MIN($BG234*$BA234*$BC234*$BD234*$BH234*$BF234,'Technical Premium'!$C$17),""),"")</f>
        <v/>
      </c>
      <c r="CI234" s="100" t="str">
        <f t="shared" si="44"/>
        <v/>
      </c>
      <c r="CJ234" s="100" t="str">
        <f>IFERROR($CI234*(1+'Technical Premium'!$C$5)*(1+'Technical Premium'!$C$6),"")</f>
        <v/>
      </c>
      <c r="CK234" s="100" t="str">
        <f>IFERROR($CE234*INDEX('Territory Factors'!$G$6:$G$56,MATCH($K234,'Territory Factors'!$B$6:$B$56,0))*$AU234*$AV234,"")</f>
        <v/>
      </c>
      <c r="CL234" s="100" t="str">
        <f>IFERROR(($CJ234+$CK234)*(1+'Technical Premium'!$C$7),"")</f>
        <v/>
      </c>
      <c r="CM234" s="102" t="str">
        <f>IFERROR($CL234/'Technical Premium'!$C$13,"")</f>
        <v/>
      </c>
      <c r="CN234" s="103" t="str">
        <f t="shared" si="45"/>
        <v/>
      </c>
      <c r="CO234" s="102" t="str">
        <f t="shared" si="46"/>
        <v/>
      </c>
      <c r="CP234" s="103" t="str">
        <f t="shared" si="47"/>
        <v/>
      </c>
      <c r="CQ234" s="104" t="str">
        <f t="shared" si="48"/>
        <v/>
      </c>
      <c r="CR234" s="100" t="str">
        <f>IF(ISNUMBER($CM234),'Technical Premium'!$C$14+IF($J234&gt;=1000000,'Technical Premium'!$C$15,0),"")</f>
        <v/>
      </c>
      <c r="CS234" s="100" t="str">
        <f>IFERROR(($CO234+$CR234)*(INDEX('Territory Factors'!$K$6:$K$56,MATCH($K234,'Territory Factors'!$B$6:$B$56,0))+'Commission Structure'!$C$21),"")</f>
        <v/>
      </c>
      <c r="CT234" s="102" t="str">
        <f t="shared" si="49"/>
        <v/>
      </c>
      <c r="CU234" s="100" t="str">
        <f>IFERROR($CO234*('Commission Structure'!$C$6+'Commission Structure'!$C$7),"")</f>
        <v/>
      </c>
      <c r="CV234" s="100" t="str">
        <f>IFERROR($CO234*'Commission Structure'!$C$5-$CU234,"")</f>
        <v/>
      </c>
      <c r="CW234" s="100" t="str">
        <f>IFERROR($CO234*(1-'Commission Structure'!$C$5),"")</f>
        <v/>
      </c>
      <c r="CX234" s="105" t="str">
        <f>IF($A234="","",IF(OR($CB234="?",$CC234="?",NOT(ISNUMBER($AU234))),"CHECK INPUTS",IF(OR($J234&lt;'Technical Premium'!$C$18,LEFT(IFERROR(INDEX('Driver Factors'!$D$6:$D$15,MATCH($R234,'Driver Factors'!$B$6:$B$15,0)),""),7)="DECLINE",LEFT(IFERROR(INDEX('Driver Factors'!$D$28:$D$36,MATCH($T234,'Driver Factors'!$B$28:$B$36,0)),""),7)="DECLINE",LEFT(IFERROR(INDEX('Claims History'!$D$6:$D$15,MATCH($U234,'Claims History'!$B$6:$B$15,0)),""),7)="DECLINE",LEFT(IFERROR(INDEX('Usage and Coverage'!$E$6:$E$20,MATCH($N234,'Usage and Coverage'!$C$6:$C$20,0)),""),7)="DECLINE"),"DECLINE",IF(OR($CD234&gt;2.5,$CD234&gt;='Technical Premium'!$C$17,$J234&gt;='Technical Premium'!$C$16,N($AQ234)&lt;'Technical Premium'!$C$19,N($AQ234)&gt;'Technical Premium'!$C$20,LEFT(IFERROR(INDEX('Driver Factors'!$D$6:$D$15,MATCH($R234,'Driver Factors'!$B$6:$B$15,0)),""),5)="Refer",LEFT(IFERROR(INDEX('Driver Factors'!$D$28:$D$36,MATCH($T234,'Driver Factors'!$B$28:$B$36,0)),""),5)="Refer",LEFT(IFERROR(INDEX('Claims History'!$D$6:$D$15,MATCH($U234,'Claims History'!$B$6:$B$15,0)),""),5)="Refer",LEFT(IFERROR(INDEX('Usage and Coverage'!$E$6:$E$20,MATCH($N234,'Usage and Coverage'!$C$6:$C$20,0)),""),5)="Refer"),"REFER","AUTO-BIND"))))</f>
        <v/>
      </c>
      <c r="CY234" s="106" t="str">
        <f t="shared" si="50"/>
        <v/>
      </c>
      <c r="CZ234" s="97" t="str">
        <f>IF($CY234="","",IF($CY234&lt;'Technical Premium'!$C$19,"BEYOND AUTHORITY",IF($CY234&gt;0.005,"Above technical",IF($CY234&lt;-0.005,"BELOW technical","At technical"))))</f>
        <v/>
      </c>
      <c r="DA234" s="97" t="str">
        <f>IF($A234="","",IF($CX234="AUTO-BIND","",TRIM(IF($J234&lt;'Technical Premium'!$C$18,"Below programme minimum agreed value. ","")&amp;IF(N($AQ234)&lt;'Technical Premium'!$C$19,"DISCOUNT AUTHORITY BREACH. ","")&amp;IF(N($AQ234)&gt;'Technical Premium'!$C$20,"Load authority breach. ","")&amp;IF($J234&gt;='Technical Premium'!$C$16,"Agreed value at or above auto-bind limit. ","")&amp;IF(AND(ISNUMBER($CD234),$CD234&gt;='Technical Premium'!$C$17),"Composite factor at cap. ","")&amp;IF(AND(ISNUMBER($CD234),$CD234&gt;2.5),"Composite factor above 2.50. ","")&amp;IF(LEFT(IFERROR(INDEX('Driver Factors'!$D$6:$D$15,MATCH($R234,'Driver Factors'!$B$6:$B$15,0)),""),7)="DECLINE","DECLINE - driver age. ",IF(LEFT(IFERROR(INDEX('Driver Factors'!$D$6:$D$15,MATCH($R234,'Driver Factors'!$B$6:$B$15,0)),""),5)="Refer","Driver age band. ",""))&amp;IF(LEFT(IFERROR(INDEX('Driver Factors'!$D$28:$D$36,MATCH($T234,'Driver Factors'!$B$28:$B$36,0)),""),7)="DECLINE","DECLINE - MVR. ",IF(LEFT(IFERROR(INDEX('Driver Factors'!$D$28:$D$36,MATCH($T234,'Driver Factors'!$B$28:$B$36,0)),""),5)="Refer","MVR record. ",""))&amp;IF(LEFT(IFERROR(INDEX('Claims History'!$D$6:$D$15,MATCH($U234,'Claims History'!$B$6:$B$15,0)),""),7)="DECLINE","DECLINE - claims. ",IF(LEFT(IFERROR(INDEX('Claims History'!$D$6:$D$15,MATCH($U234,'Claims History'!$B$6:$B$15,0)),""),5)="Refer","Claims history. ",""))&amp;IF(LEFT(IFERROR(INDEX('Usage and Coverage'!$E$6:$E$20,MATCH($N234,'Usage and Coverage'!$C$6:$C$20,0)),""),7)="DECLINE","DECLINE - usage class. ",IF(LEFT(IFERROR(INDEX('Usage and Coverage'!$E$6:$E$20,MATCH($N234,'Usage and Coverage'!$C$6:$C$20,0)),""),5)="Refer","Usage class. ",""))&amp;IF($CX234="CHECK INPUTS","Incomplete inputs. ",""))))</f>
        <v/>
      </c>
      <c r="DB234" s="92"/>
      <c r="DC234" s="92"/>
      <c r="DD234" s="93"/>
      <c r="DE234" s="92"/>
      <c r="DF234" s="92"/>
      <c r="DG234" s="97" t="str">
        <f t="shared" si="51"/>
        <v/>
      </c>
      <c r="DH234" s="97" t="str">
        <f>IF($A234="","",IF(OR($CX234="REFER",$CX234="DECLINE"),COUNTIF($CX$5:$CX234,"REFER")+COUNTIF($CX$5:$CX234,"DECLINE"),""))</f>
        <v/>
      </c>
      <c r="DI234" s="92"/>
    </row>
    <row r="235" spans="1:113" x14ac:dyDescent="0.25">
      <c r="A235" s="92"/>
      <c r="B235" s="92"/>
      <c r="C235" s="93"/>
      <c r="D235" s="93"/>
      <c r="E235" s="94"/>
      <c r="F235" s="92"/>
      <c r="G235" s="92"/>
      <c r="H235" s="92"/>
      <c r="I235" s="92"/>
      <c r="J235" s="95"/>
      <c r="K235" s="92"/>
      <c r="L235" s="92"/>
      <c r="M235" s="92"/>
      <c r="N235" s="92"/>
      <c r="O235" s="92"/>
      <c r="P235" s="92"/>
      <c r="Q235" s="92"/>
      <c r="R235" s="92"/>
      <c r="S235" s="92"/>
      <c r="T235" s="92"/>
      <c r="U235" s="92"/>
      <c r="V235" s="92"/>
      <c r="W235" s="92"/>
      <c r="X235" s="92"/>
      <c r="Y235" s="92"/>
      <c r="Z235" s="92"/>
      <c r="AA235" s="92"/>
      <c r="AB235" s="92"/>
      <c r="AC235" s="92"/>
      <c r="AD235" s="92"/>
      <c r="AE235" s="92"/>
      <c r="AF235" s="92"/>
      <c r="AG235" s="92"/>
      <c r="AH235" s="92"/>
      <c r="AI235" s="92"/>
      <c r="AJ235" s="92"/>
      <c r="AK235" s="92"/>
      <c r="AL235" s="92"/>
      <c r="AM235" s="92"/>
      <c r="AN235" s="92"/>
      <c r="AO235" s="92"/>
      <c r="AP235" s="92"/>
      <c r="AQ235" s="96"/>
      <c r="AR235" s="97" t="str">
        <f t="shared" si="39"/>
        <v/>
      </c>
      <c r="AS235" s="97" t="str">
        <f>IF($A235="","",IF($AP235&lt;&gt;"",$AP235,IFERROR(INDEX('Cat Zone by ZIP'!$D$6:$D$856,MATCH($AR235,'Cat Zone by ZIP'!$B$6:$B$856,0)),IFERROR(INDEX('Cat Zone by ZIP'!$C$860:$C$910,MATCH($K235,'Cat Zone by ZIP'!$B$860:$B$910,0)),"NOT FOUND"))))</f>
        <v/>
      </c>
      <c r="AT235" s="97" t="str">
        <f>IF($A235="","",IF($AP235&lt;&gt;"","Override",IF(ISNUMBER(MATCH($AR235,'Cat Zone by ZIP'!$B$6:$B$856,0)),"ZIP-3","State default")))</f>
        <v/>
      </c>
      <c r="AU235" s="98" t="str">
        <f>IF($A235="","",IFERROR(INDEX('Natural Catastrophe'!$D$6:$D$17,MATCH($AS235,'Natural Catastrophe'!$B$6:$B$17,0)),"?"))</f>
        <v/>
      </c>
      <c r="AV235" s="98" t="str">
        <f>IF($A235="","",IFERROR(INDEX('Natural Catastrophe'!$C$21:$C$26,MATCH($AA235,'Natural Catastrophe'!$B$21:$B$26,0)),"?"))</f>
        <v/>
      </c>
      <c r="AW235" s="97" t="str">
        <f>IF($A235="","",IFERROR(INDEX('Base Rates'!$C$4:$I$4,MATCH(MAX($J235,'Technical Premium'!$C$18),'Base Rates'!$C$3:$I$3,1)),"?"))</f>
        <v/>
      </c>
      <c r="AX235" s="99" t="str">
        <f>IF($A235="","",IFERROR(INDEX('Base Rates'!$C$5:$I$16,MATCH($I235,'Base Rates'!$B$5:$B$16,0),MATCH(MAX($J235,'Technical Premium'!$C$18),'Base Rates'!$C$3:$I$3,1)),"?"))</f>
        <v/>
      </c>
      <c r="AY235" s="100" t="str">
        <f t="shared" si="40"/>
        <v/>
      </c>
      <c r="AZ235" s="97" t="str">
        <f>IF($A235="","",IFERROR(INDEX('Make Factors'!$G$5:$G$69,MATCH($F235,'Make Factors'!$B$5:$B$69,0)),"?"))</f>
        <v/>
      </c>
      <c r="BA235" s="97" t="str">
        <f>IF($A235="","",IFERROR(INDEX('Driver Factors'!$C$6:$C$15,MATCH($R235,'Driver Factors'!$B$6:$B$15,0)),"?"))</f>
        <v/>
      </c>
      <c r="BB235" s="97" t="str">
        <f>IF($A235="","",IFERROR(INDEX('Driver Factors'!$C$19:$C$24,MATCH($S235,'Driver Factors'!$B$19:$B$24,0)),"?"))</f>
        <v/>
      </c>
      <c r="BC235" s="97" t="str">
        <f>IF($A235="","",IFERROR(INDEX('Driver Factors'!$C$28:$C$36,MATCH($T235,'Driver Factors'!$B$28:$B$36,0)),"?"))</f>
        <v/>
      </c>
      <c r="BD235" s="97" t="str">
        <f>IF($A235="","",IFERROR(INDEX('Claims History'!$C$6:$C$15,MATCH($U235,'Claims History'!$B$6:$B$15,0)),"?"))</f>
        <v/>
      </c>
      <c r="BE235" s="97" t="str">
        <f>IF($A235="","",IFERROR(INDEX('Territory Factors'!$E$6:$E$56,MATCH($K235,'Territory Factors'!$B$6:$B$56,0)),"?"))</f>
        <v/>
      </c>
      <c r="BF235" s="97" t="str">
        <f>IF($A235="","",IFERROR(INDEX('City Accident Ratings'!$G$6:$G$54,MATCH($Z235,'City Accident Ratings'!$B$6:$B$54,0)),"?"))</f>
        <v/>
      </c>
      <c r="BG235" s="97" t="str">
        <f>IF($A235="","",IFERROR(INDEX('Usage and Coverage'!$D$6:$D$20,MATCH($N235,'Usage and Coverage'!$C$6:$C$20,0)),"?"))</f>
        <v/>
      </c>
      <c r="BH235" s="97" t="str">
        <f>IF($A235="","",IFERROR(INDEX('Usage and Coverage'!$C$24:$C$30,MATCH($O235,'Usage and Coverage'!$B$24:$B$30,0)),"?"))</f>
        <v/>
      </c>
      <c r="BI235" s="97" t="str">
        <f>IF($A235="","",IFERROR(INDEX('Usage and Coverage'!$C$34:$C$40,MATCH($P235,'Usage and Coverage'!$B$34:$B$40,0)),"?"))</f>
        <v/>
      </c>
      <c r="BJ235" s="97" t="str">
        <f>IF($A235="","",IFERROR(INDEX('Usage and Coverage'!$C$44:$C$49,MATCH($Q235,'Usage and Coverage'!$B$44:$B$49,0)),"?"))</f>
        <v/>
      </c>
      <c r="BK235" s="97" t="str">
        <f>IF($A235="","",IFERROR(INDEX(Deductibles!$C$6:$I$15,MATCH($W235,Deductibles!$B$6:$B$15,0),MATCH(MAX($J235,'Technical Premium'!$C$18),'Base Rates'!$C$3:$I$3,1)),"?"))</f>
        <v/>
      </c>
      <c r="BL235" s="97" t="str">
        <f>IF($A235="","",IFERROR(INDEX('Usage and Coverage'!$C$63:$C$66,MATCH($X235,'Usage and Coverage'!$B$63:$B$66,0)),"?"))</f>
        <v/>
      </c>
      <c r="BM235" s="97" t="str">
        <f>IF($A235="","",IFERROR(INDEX('Usage and Coverage'!$C$70:$C$75,MATCH($V235,'Usage and Coverage'!$B$70:$B$75,0)),"?"))</f>
        <v/>
      </c>
      <c r="BN235" s="97" t="str">
        <f>IF($A235="","",IF($AB235="",1,IFERROR(INDEX(Deductibles!$C$48:$C$51,MATCH($AB235,Deductibles!$B$48:$B$51,0)),"?")))</f>
        <v/>
      </c>
      <c r="BO235" s="97" t="str">
        <f>IF($A235="","",IF($AC235="",1,IFERROR(INDEX(Deductibles!$C$55:$C$57,MATCH($AC235,Deductibles!$B$55:$B$57,0)),"?")))</f>
        <v/>
      </c>
      <c r="BP235" s="97" t="str">
        <f>IF($A235="","",IF($AD235="",1,IFERROR(INDEX(Deductibles!$C$61:$C$63,MATCH($AD235,Deductibles!$B$61:$B$63,0)),"?")))</f>
        <v/>
      </c>
      <c r="BQ235" s="97" t="str">
        <f>IF($A235="","",IF($AE235="",1,IFERROR(INDEX(Deductibles!$C$67:$C$69,MATCH($AE235,Deductibles!$B$67:$B$69,0)),"?")))</f>
        <v/>
      </c>
      <c r="BR235" s="97" t="str">
        <f>IF($A235="","",IF($AF235="",1,IFERROR(INDEX(Deductibles!$C$73:$C$74,MATCH($AF235,Deductibles!$B$73:$B$74,0)),"?")))</f>
        <v/>
      </c>
      <c r="BS235" s="97" t="str">
        <f>IF($A235="","",IF($AG235="",1,IFERROR(INDEX('Sublimits and Parts'!$C$49:$C$52,MATCH($AG235,'Sublimits and Parts'!$B$49:$B$52,0)),"?")))</f>
        <v/>
      </c>
      <c r="BT235" s="97" t="str">
        <f>IF($A235="","",IF($AH235="",1,IFERROR(INDEX('Sublimits and Parts'!$C$56:$C$60,MATCH($AH235,'Sublimits and Parts'!$B$56:$B$60,0)),"?")))</f>
        <v/>
      </c>
      <c r="BU235" s="97" t="str">
        <f>IF($A235="","",IF($AI235="",1,IFERROR(INDEX('Sublimits and Parts'!$C$64:$C$67,MATCH($AI235,'Sublimits and Parts'!$B$64:$B$67,0)),"?")))</f>
        <v/>
      </c>
      <c r="BV235" s="97" t="str">
        <f>IF($A235="","",IF($AJ235="",1,IFERROR(INDEX('Sublimits and Parts'!$C$71:$C$74,MATCH($AJ235,'Sublimits and Parts'!$B$71:$B$74,0)),"?")))</f>
        <v/>
      </c>
      <c r="BW235" s="97" t="str">
        <f>IF($A235="","",IF($AK235="",1,IFERROR(INDEX('Sublimits and Parts'!$C$78:$C$80,MATCH($AK235,'Sublimits and Parts'!$B$78:$B$80,0)),"?")))</f>
        <v/>
      </c>
      <c r="BX235" s="97" t="str">
        <f>IF($A235="","",IF($AL235="",1,IFERROR(INDEX('Sublimits and Parts'!$C$84:$C$87,MATCH($AL235,'Sublimits and Parts'!$B$84:$B$87,0)),"?")))</f>
        <v/>
      </c>
      <c r="BY235" s="97" t="str">
        <f>IF($A235="","",IF($AM235="",1,IFERROR(INDEX('Sublimits and Parts'!$C$91:$C$94,MATCH($AM235,'Sublimits and Parts'!$B$91:$B$94,0)),"?")))</f>
        <v/>
      </c>
      <c r="BZ235" s="97" t="str">
        <f>IF($A235="","",IF($AN235="",1,IFERROR(INDEX('Sublimits and Parts'!$C$98:$C$101,MATCH($AN235,'Sublimits and Parts'!$B$98:$B$101,0)),"?")))</f>
        <v/>
      </c>
      <c r="CA235" s="97" t="str">
        <f>IF($A235="","",IF($AO235="",1,IFERROR(INDEX('Sublimits and Parts'!$C$105:$C$109,MATCH($AO235,'Sublimits and Parts'!$B$105:$B$109,0)),"?")))</f>
        <v/>
      </c>
      <c r="CB235" s="98" t="str">
        <f t="shared" si="41"/>
        <v/>
      </c>
      <c r="CC235" s="98" t="str">
        <f t="shared" si="42"/>
        <v/>
      </c>
      <c r="CD235" s="101" t="str">
        <f>IF($A235="","",IF(OR($CB235="?",$CC235="?"),"?",MIN($CB235*$CC235,'Technical Premium'!$C$17)))</f>
        <v/>
      </c>
      <c r="CE235" s="100" t="str">
        <f t="shared" si="43"/>
        <v/>
      </c>
      <c r="CF235" s="100" t="str">
        <f>IF($A235="","",IFERROR(INDEX('Territory Factors'!$F$6:$F$56,MATCH($K235,'Territory Factors'!$B$6:$B$56,0)),"?"))</f>
        <v/>
      </c>
      <c r="CG235" s="98" t="str">
        <f>IF($A235="","",IFERROR(INDEX('Usage and Coverage'!$C$79:$C$84,MATCH($Y235,'Usage and Coverage'!$B$79:$B$84,0)),"?"))</f>
        <v/>
      </c>
      <c r="CH235" s="100" t="str">
        <f>IFERROR(IF(ISNUMBER($CD235),$CF235*$CG235*MIN($BG235*$BA235*$BC235*$BD235*$BH235*$BF235,'Technical Premium'!$C$17),""),"")</f>
        <v/>
      </c>
      <c r="CI235" s="100" t="str">
        <f t="shared" si="44"/>
        <v/>
      </c>
      <c r="CJ235" s="100" t="str">
        <f>IFERROR($CI235*(1+'Technical Premium'!$C$5)*(1+'Technical Premium'!$C$6),"")</f>
        <v/>
      </c>
      <c r="CK235" s="100" t="str">
        <f>IFERROR($CE235*INDEX('Territory Factors'!$G$6:$G$56,MATCH($K235,'Territory Factors'!$B$6:$B$56,0))*$AU235*$AV235,"")</f>
        <v/>
      </c>
      <c r="CL235" s="100" t="str">
        <f>IFERROR(($CJ235+$CK235)*(1+'Technical Premium'!$C$7),"")</f>
        <v/>
      </c>
      <c r="CM235" s="102" t="str">
        <f>IFERROR($CL235/'Technical Premium'!$C$13,"")</f>
        <v/>
      </c>
      <c r="CN235" s="103" t="str">
        <f t="shared" si="45"/>
        <v/>
      </c>
      <c r="CO235" s="102" t="str">
        <f t="shared" si="46"/>
        <v/>
      </c>
      <c r="CP235" s="103" t="str">
        <f t="shared" si="47"/>
        <v/>
      </c>
      <c r="CQ235" s="104" t="str">
        <f t="shared" si="48"/>
        <v/>
      </c>
      <c r="CR235" s="100" t="str">
        <f>IF(ISNUMBER($CM235),'Technical Premium'!$C$14+IF($J235&gt;=1000000,'Technical Premium'!$C$15,0),"")</f>
        <v/>
      </c>
      <c r="CS235" s="100" t="str">
        <f>IFERROR(($CO235+$CR235)*(INDEX('Territory Factors'!$K$6:$K$56,MATCH($K235,'Territory Factors'!$B$6:$B$56,0))+'Commission Structure'!$C$21),"")</f>
        <v/>
      </c>
      <c r="CT235" s="102" t="str">
        <f t="shared" si="49"/>
        <v/>
      </c>
      <c r="CU235" s="100" t="str">
        <f>IFERROR($CO235*('Commission Structure'!$C$6+'Commission Structure'!$C$7),"")</f>
        <v/>
      </c>
      <c r="CV235" s="100" t="str">
        <f>IFERROR($CO235*'Commission Structure'!$C$5-$CU235,"")</f>
        <v/>
      </c>
      <c r="CW235" s="100" t="str">
        <f>IFERROR($CO235*(1-'Commission Structure'!$C$5),"")</f>
        <v/>
      </c>
      <c r="CX235" s="105" t="str">
        <f>IF($A235="","",IF(OR($CB235="?",$CC235="?",NOT(ISNUMBER($AU235))),"CHECK INPUTS",IF(OR($J235&lt;'Technical Premium'!$C$18,LEFT(IFERROR(INDEX('Driver Factors'!$D$6:$D$15,MATCH($R235,'Driver Factors'!$B$6:$B$15,0)),""),7)="DECLINE",LEFT(IFERROR(INDEX('Driver Factors'!$D$28:$D$36,MATCH($T235,'Driver Factors'!$B$28:$B$36,0)),""),7)="DECLINE",LEFT(IFERROR(INDEX('Claims History'!$D$6:$D$15,MATCH($U235,'Claims History'!$B$6:$B$15,0)),""),7)="DECLINE",LEFT(IFERROR(INDEX('Usage and Coverage'!$E$6:$E$20,MATCH($N235,'Usage and Coverage'!$C$6:$C$20,0)),""),7)="DECLINE"),"DECLINE",IF(OR($CD235&gt;2.5,$CD235&gt;='Technical Premium'!$C$17,$J235&gt;='Technical Premium'!$C$16,N($AQ235)&lt;'Technical Premium'!$C$19,N($AQ235)&gt;'Technical Premium'!$C$20,LEFT(IFERROR(INDEX('Driver Factors'!$D$6:$D$15,MATCH($R235,'Driver Factors'!$B$6:$B$15,0)),""),5)="Refer",LEFT(IFERROR(INDEX('Driver Factors'!$D$28:$D$36,MATCH($T235,'Driver Factors'!$B$28:$B$36,0)),""),5)="Refer",LEFT(IFERROR(INDEX('Claims History'!$D$6:$D$15,MATCH($U235,'Claims History'!$B$6:$B$15,0)),""),5)="Refer",LEFT(IFERROR(INDEX('Usage and Coverage'!$E$6:$E$20,MATCH($N235,'Usage and Coverage'!$C$6:$C$20,0)),""),5)="Refer"),"REFER","AUTO-BIND"))))</f>
        <v/>
      </c>
      <c r="CY235" s="106" t="str">
        <f t="shared" si="50"/>
        <v/>
      </c>
      <c r="CZ235" s="97" t="str">
        <f>IF($CY235="","",IF($CY235&lt;'Technical Premium'!$C$19,"BEYOND AUTHORITY",IF($CY235&gt;0.005,"Above technical",IF($CY235&lt;-0.005,"BELOW technical","At technical"))))</f>
        <v/>
      </c>
      <c r="DA235" s="97" t="str">
        <f>IF($A235="","",IF($CX235="AUTO-BIND","",TRIM(IF($J235&lt;'Technical Premium'!$C$18,"Below programme minimum agreed value. ","")&amp;IF(N($AQ235)&lt;'Technical Premium'!$C$19,"DISCOUNT AUTHORITY BREACH. ","")&amp;IF(N($AQ235)&gt;'Technical Premium'!$C$20,"Load authority breach. ","")&amp;IF($J235&gt;='Technical Premium'!$C$16,"Agreed value at or above auto-bind limit. ","")&amp;IF(AND(ISNUMBER($CD235),$CD235&gt;='Technical Premium'!$C$17),"Composite factor at cap. ","")&amp;IF(AND(ISNUMBER($CD235),$CD235&gt;2.5),"Composite factor above 2.50. ","")&amp;IF(LEFT(IFERROR(INDEX('Driver Factors'!$D$6:$D$15,MATCH($R235,'Driver Factors'!$B$6:$B$15,0)),""),7)="DECLINE","DECLINE - driver age. ",IF(LEFT(IFERROR(INDEX('Driver Factors'!$D$6:$D$15,MATCH($R235,'Driver Factors'!$B$6:$B$15,0)),""),5)="Refer","Driver age band. ",""))&amp;IF(LEFT(IFERROR(INDEX('Driver Factors'!$D$28:$D$36,MATCH($T235,'Driver Factors'!$B$28:$B$36,0)),""),7)="DECLINE","DECLINE - MVR. ",IF(LEFT(IFERROR(INDEX('Driver Factors'!$D$28:$D$36,MATCH($T235,'Driver Factors'!$B$28:$B$36,0)),""),5)="Refer","MVR record. ",""))&amp;IF(LEFT(IFERROR(INDEX('Claims History'!$D$6:$D$15,MATCH($U235,'Claims History'!$B$6:$B$15,0)),""),7)="DECLINE","DECLINE - claims. ",IF(LEFT(IFERROR(INDEX('Claims History'!$D$6:$D$15,MATCH($U235,'Claims History'!$B$6:$B$15,0)),""),5)="Refer","Claims history. ",""))&amp;IF(LEFT(IFERROR(INDEX('Usage and Coverage'!$E$6:$E$20,MATCH($N235,'Usage and Coverage'!$C$6:$C$20,0)),""),7)="DECLINE","DECLINE - usage class. ",IF(LEFT(IFERROR(INDEX('Usage and Coverage'!$E$6:$E$20,MATCH($N235,'Usage and Coverage'!$C$6:$C$20,0)),""),5)="Refer","Usage class. ",""))&amp;IF($CX235="CHECK INPUTS","Incomplete inputs. ",""))))</f>
        <v/>
      </c>
      <c r="DB235" s="92"/>
      <c r="DC235" s="92"/>
      <c r="DD235" s="93"/>
      <c r="DE235" s="92"/>
      <c r="DF235" s="92"/>
      <c r="DG235" s="97" t="str">
        <f t="shared" si="51"/>
        <v/>
      </c>
      <c r="DH235" s="97" t="str">
        <f>IF($A235="","",IF(OR($CX235="REFER",$CX235="DECLINE"),COUNTIF($CX$5:$CX235,"REFER")+COUNTIF($CX$5:$CX235,"DECLINE"),""))</f>
        <v/>
      </c>
      <c r="DI235" s="92"/>
    </row>
    <row r="236" spans="1:113" x14ac:dyDescent="0.25">
      <c r="A236" s="92"/>
      <c r="B236" s="92"/>
      <c r="C236" s="93"/>
      <c r="D236" s="93"/>
      <c r="E236" s="94"/>
      <c r="F236" s="92"/>
      <c r="G236" s="92"/>
      <c r="H236" s="92"/>
      <c r="I236" s="92"/>
      <c r="J236" s="95"/>
      <c r="K236" s="92"/>
      <c r="L236" s="92"/>
      <c r="M236" s="92"/>
      <c r="N236" s="92"/>
      <c r="O236" s="92"/>
      <c r="P236" s="92"/>
      <c r="Q236" s="92"/>
      <c r="R236" s="92"/>
      <c r="S236" s="92"/>
      <c r="T236" s="92"/>
      <c r="U236" s="92"/>
      <c r="V236" s="92"/>
      <c r="W236" s="92"/>
      <c r="X236" s="92"/>
      <c r="Y236" s="92"/>
      <c r="Z236" s="92"/>
      <c r="AA236" s="92"/>
      <c r="AB236" s="92"/>
      <c r="AC236" s="92"/>
      <c r="AD236" s="92"/>
      <c r="AE236" s="92"/>
      <c r="AF236" s="92"/>
      <c r="AG236" s="92"/>
      <c r="AH236" s="92"/>
      <c r="AI236" s="92"/>
      <c r="AJ236" s="92"/>
      <c r="AK236" s="92"/>
      <c r="AL236" s="92"/>
      <c r="AM236" s="92"/>
      <c r="AN236" s="92"/>
      <c r="AO236" s="92"/>
      <c r="AP236" s="92"/>
      <c r="AQ236" s="96"/>
      <c r="AR236" s="97" t="str">
        <f t="shared" si="39"/>
        <v/>
      </c>
      <c r="AS236" s="97" t="str">
        <f>IF($A236="","",IF($AP236&lt;&gt;"",$AP236,IFERROR(INDEX('Cat Zone by ZIP'!$D$6:$D$856,MATCH($AR236,'Cat Zone by ZIP'!$B$6:$B$856,0)),IFERROR(INDEX('Cat Zone by ZIP'!$C$860:$C$910,MATCH($K236,'Cat Zone by ZIP'!$B$860:$B$910,0)),"NOT FOUND"))))</f>
        <v/>
      </c>
      <c r="AT236" s="97" t="str">
        <f>IF($A236="","",IF($AP236&lt;&gt;"","Override",IF(ISNUMBER(MATCH($AR236,'Cat Zone by ZIP'!$B$6:$B$856,0)),"ZIP-3","State default")))</f>
        <v/>
      </c>
      <c r="AU236" s="98" t="str">
        <f>IF($A236="","",IFERROR(INDEX('Natural Catastrophe'!$D$6:$D$17,MATCH($AS236,'Natural Catastrophe'!$B$6:$B$17,0)),"?"))</f>
        <v/>
      </c>
      <c r="AV236" s="98" t="str">
        <f>IF($A236="","",IFERROR(INDEX('Natural Catastrophe'!$C$21:$C$26,MATCH($AA236,'Natural Catastrophe'!$B$21:$B$26,0)),"?"))</f>
        <v/>
      </c>
      <c r="AW236" s="97" t="str">
        <f>IF($A236="","",IFERROR(INDEX('Base Rates'!$C$4:$I$4,MATCH(MAX($J236,'Technical Premium'!$C$18),'Base Rates'!$C$3:$I$3,1)),"?"))</f>
        <v/>
      </c>
      <c r="AX236" s="99" t="str">
        <f>IF($A236="","",IFERROR(INDEX('Base Rates'!$C$5:$I$16,MATCH($I236,'Base Rates'!$B$5:$B$16,0),MATCH(MAX($J236,'Technical Premium'!$C$18),'Base Rates'!$C$3:$I$3,1)),"?"))</f>
        <v/>
      </c>
      <c r="AY236" s="100" t="str">
        <f t="shared" si="40"/>
        <v/>
      </c>
      <c r="AZ236" s="97" t="str">
        <f>IF($A236="","",IFERROR(INDEX('Make Factors'!$G$5:$G$69,MATCH($F236,'Make Factors'!$B$5:$B$69,0)),"?"))</f>
        <v/>
      </c>
      <c r="BA236" s="97" t="str">
        <f>IF($A236="","",IFERROR(INDEX('Driver Factors'!$C$6:$C$15,MATCH($R236,'Driver Factors'!$B$6:$B$15,0)),"?"))</f>
        <v/>
      </c>
      <c r="BB236" s="97" t="str">
        <f>IF($A236="","",IFERROR(INDEX('Driver Factors'!$C$19:$C$24,MATCH($S236,'Driver Factors'!$B$19:$B$24,0)),"?"))</f>
        <v/>
      </c>
      <c r="BC236" s="97" t="str">
        <f>IF($A236="","",IFERROR(INDEX('Driver Factors'!$C$28:$C$36,MATCH($T236,'Driver Factors'!$B$28:$B$36,0)),"?"))</f>
        <v/>
      </c>
      <c r="BD236" s="97" t="str">
        <f>IF($A236="","",IFERROR(INDEX('Claims History'!$C$6:$C$15,MATCH($U236,'Claims History'!$B$6:$B$15,0)),"?"))</f>
        <v/>
      </c>
      <c r="BE236" s="97" t="str">
        <f>IF($A236="","",IFERROR(INDEX('Territory Factors'!$E$6:$E$56,MATCH($K236,'Territory Factors'!$B$6:$B$56,0)),"?"))</f>
        <v/>
      </c>
      <c r="BF236" s="97" t="str">
        <f>IF($A236="","",IFERROR(INDEX('City Accident Ratings'!$G$6:$G$54,MATCH($Z236,'City Accident Ratings'!$B$6:$B$54,0)),"?"))</f>
        <v/>
      </c>
      <c r="BG236" s="97" t="str">
        <f>IF($A236="","",IFERROR(INDEX('Usage and Coverage'!$D$6:$D$20,MATCH($N236,'Usage and Coverage'!$C$6:$C$20,0)),"?"))</f>
        <v/>
      </c>
      <c r="BH236" s="97" t="str">
        <f>IF($A236="","",IFERROR(INDEX('Usage and Coverage'!$C$24:$C$30,MATCH($O236,'Usage and Coverage'!$B$24:$B$30,0)),"?"))</f>
        <v/>
      </c>
      <c r="BI236" s="97" t="str">
        <f>IF($A236="","",IFERROR(INDEX('Usage and Coverage'!$C$34:$C$40,MATCH($P236,'Usage and Coverage'!$B$34:$B$40,0)),"?"))</f>
        <v/>
      </c>
      <c r="BJ236" s="97" t="str">
        <f>IF($A236="","",IFERROR(INDEX('Usage and Coverage'!$C$44:$C$49,MATCH($Q236,'Usage and Coverage'!$B$44:$B$49,0)),"?"))</f>
        <v/>
      </c>
      <c r="BK236" s="97" t="str">
        <f>IF($A236="","",IFERROR(INDEX(Deductibles!$C$6:$I$15,MATCH($W236,Deductibles!$B$6:$B$15,0),MATCH(MAX($J236,'Technical Premium'!$C$18),'Base Rates'!$C$3:$I$3,1)),"?"))</f>
        <v/>
      </c>
      <c r="BL236" s="97" t="str">
        <f>IF($A236="","",IFERROR(INDEX('Usage and Coverage'!$C$63:$C$66,MATCH($X236,'Usage and Coverage'!$B$63:$B$66,0)),"?"))</f>
        <v/>
      </c>
      <c r="BM236" s="97" t="str">
        <f>IF($A236="","",IFERROR(INDEX('Usage and Coverage'!$C$70:$C$75,MATCH($V236,'Usage and Coverage'!$B$70:$B$75,0)),"?"))</f>
        <v/>
      </c>
      <c r="BN236" s="97" t="str">
        <f>IF($A236="","",IF($AB236="",1,IFERROR(INDEX(Deductibles!$C$48:$C$51,MATCH($AB236,Deductibles!$B$48:$B$51,0)),"?")))</f>
        <v/>
      </c>
      <c r="BO236" s="97" t="str">
        <f>IF($A236="","",IF($AC236="",1,IFERROR(INDEX(Deductibles!$C$55:$C$57,MATCH($AC236,Deductibles!$B$55:$B$57,0)),"?")))</f>
        <v/>
      </c>
      <c r="BP236" s="97" t="str">
        <f>IF($A236="","",IF($AD236="",1,IFERROR(INDEX(Deductibles!$C$61:$C$63,MATCH($AD236,Deductibles!$B$61:$B$63,0)),"?")))</f>
        <v/>
      </c>
      <c r="BQ236" s="97" t="str">
        <f>IF($A236="","",IF($AE236="",1,IFERROR(INDEX(Deductibles!$C$67:$C$69,MATCH($AE236,Deductibles!$B$67:$B$69,0)),"?")))</f>
        <v/>
      </c>
      <c r="BR236" s="97" t="str">
        <f>IF($A236="","",IF($AF236="",1,IFERROR(INDEX(Deductibles!$C$73:$C$74,MATCH($AF236,Deductibles!$B$73:$B$74,0)),"?")))</f>
        <v/>
      </c>
      <c r="BS236" s="97" t="str">
        <f>IF($A236="","",IF($AG236="",1,IFERROR(INDEX('Sublimits and Parts'!$C$49:$C$52,MATCH($AG236,'Sublimits and Parts'!$B$49:$B$52,0)),"?")))</f>
        <v/>
      </c>
      <c r="BT236" s="97" t="str">
        <f>IF($A236="","",IF($AH236="",1,IFERROR(INDEX('Sublimits and Parts'!$C$56:$C$60,MATCH($AH236,'Sublimits and Parts'!$B$56:$B$60,0)),"?")))</f>
        <v/>
      </c>
      <c r="BU236" s="97" t="str">
        <f>IF($A236="","",IF($AI236="",1,IFERROR(INDEX('Sublimits and Parts'!$C$64:$C$67,MATCH($AI236,'Sublimits and Parts'!$B$64:$B$67,0)),"?")))</f>
        <v/>
      </c>
      <c r="BV236" s="97" t="str">
        <f>IF($A236="","",IF($AJ236="",1,IFERROR(INDEX('Sublimits and Parts'!$C$71:$C$74,MATCH($AJ236,'Sublimits and Parts'!$B$71:$B$74,0)),"?")))</f>
        <v/>
      </c>
      <c r="BW236" s="97" t="str">
        <f>IF($A236="","",IF($AK236="",1,IFERROR(INDEX('Sublimits and Parts'!$C$78:$C$80,MATCH($AK236,'Sublimits and Parts'!$B$78:$B$80,0)),"?")))</f>
        <v/>
      </c>
      <c r="BX236" s="97" t="str">
        <f>IF($A236="","",IF($AL236="",1,IFERROR(INDEX('Sublimits and Parts'!$C$84:$C$87,MATCH($AL236,'Sublimits and Parts'!$B$84:$B$87,0)),"?")))</f>
        <v/>
      </c>
      <c r="BY236" s="97" t="str">
        <f>IF($A236="","",IF($AM236="",1,IFERROR(INDEX('Sublimits and Parts'!$C$91:$C$94,MATCH($AM236,'Sublimits and Parts'!$B$91:$B$94,0)),"?")))</f>
        <v/>
      </c>
      <c r="BZ236" s="97" t="str">
        <f>IF($A236="","",IF($AN236="",1,IFERROR(INDEX('Sublimits and Parts'!$C$98:$C$101,MATCH($AN236,'Sublimits and Parts'!$B$98:$B$101,0)),"?")))</f>
        <v/>
      </c>
      <c r="CA236" s="97" t="str">
        <f>IF($A236="","",IF($AO236="",1,IFERROR(INDEX('Sublimits and Parts'!$C$105:$C$109,MATCH($AO236,'Sublimits and Parts'!$B$105:$B$109,0)),"?")))</f>
        <v/>
      </c>
      <c r="CB236" s="98" t="str">
        <f t="shared" si="41"/>
        <v/>
      </c>
      <c r="CC236" s="98" t="str">
        <f t="shared" si="42"/>
        <v/>
      </c>
      <c r="CD236" s="101" t="str">
        <f>IF($A236="","",IF(OR($CB236="?",$CC236="?"),"?",MIN($CB236*$CC236,'Technical Premium'!$C$17)))</f>
        <v/>
      </c>
      <c r="CE236" s="100" t="str">
        <f t="shared" si="43"/>
        <v/>
      </c>
      <c r="CF236" s="100" t="str">
        <f>IF($A236="","",IFERROR(INDEX('Territory Factors'!$F$6:$F$56,MATCH($K236,'Territory Factors'!$B$6:$B$56,0)),"?"))</f>
        <v/>
      </c>
      <c r="CG236" s="98" t="str">
        <f>IF($A236="","",IFERROR(INDEX('Usage and Coverage'!$C$79:$C$84,MATCH($Y236,'Usage and Coverage'!$B$79:$B$84,0)),"?"))</f>
        <v/>
      </c>
      <c r="CH236" s="100" t="str">
        <f>IFERROR(IF(ISNUMBER($CD236),$CF236*$CG236*MIN($BG236*$BA236*$BC236*$BD236*$BH236*$BF236,'Technical Premium'!$C$17),""),"")</f>
        <v/>
      </c>
      <c r="CI236" s="100" t="str">
        <f t="shared" si="44"/>
        <v/>
      </c>
      <c r="CJ236" s="100" t="str">
        <f>IFERROR($CI236*(1+'Technical Premium'!$C$5)*(1+'Technical Premium'!$C$6),"")</f>
        <v/>
      </c>
      <c r="CK236" s="100" t="str">
        <f>IFERROR($CE236*INDEX('Territory Factors'!$G$6:$G$56,MATCH($K236,'Territory Factors'!$B$6:$B$56,0))*$AU236*$AV236,"")</f>
        <v/>
      </c>
      <c r="CL236" s="100" t="str">
        <f>IFERROR(($CJ236+$CK236)*(1+'Technical Premium'!$C$7),"")</f>
        <v/>
      </c>
      <c r="CM236" s="102" t="str">
        <f>IFERROR($CL236/'Technical Premium'!$C$13,"")</f>
        <v/>
      </c>
      <c r="CN236" s="103" t="str">
        <f t="shared" si="45"/>
        <v/>
      </c>
      <c r="CO236" s="102" t="str">
        <f t="shared" si="46"/>
        <v/>
      </c>
      <c r="CP236" s="103" t="str">
        <f t="shared" si="47"/>
        <v/>
      </c>
      <c r="CQ236" s="104" t="str">
        <f t="shared" si="48"/>
        <v/>
      </c>
      <c r="CR236" s="100" t="str">
        <f>IF(ISNUMBER($CM236),'Technical Premium'!$C$14+IF($J236&gt;=1000000,'Technical Premium'!$C$15,0),"")</f>
        <v/>
      </c>
      <c r="CS236" s="100" t="str">
        <f>IFERROR(($CO236+$CR236)*(INDEX('Territory Factors'!$K$6:$K$56,MATCH($K236,'Territory Factors'!$B$6:$B$56,0))+'Commission Structure'!$C$21),"")</f>
        <v/>
      </c>
      <c r="CT236" s="102" t="str">
        <f t="shared" si="49"/>
        <v/>
      </c>
      <c r="CU236" s="100" t="str">
        <f>IFERROR($CO236*('Commission Structure'!$C$6+'Commission Structure'!$C$7),"")</f>
        <v/>
      </c>
      <c r="CV236" s="100" t="str">
        <f>IFERROR($CO236*'Commission Structure'!$C$5-$CU236,"")</f>
        <v/>
      </c>
      <c r="CW236" s="100" t="str">
        <f>IFERROR($CO236*(1-'Commission Structure'!$C$5),"")</f>
        <v/>
      </c>
      <c r="CX236" s="105" t="str">
        <f>IF($A236="","",IF(OR($CB236="?",$CC236="?",NOT(ISNUMBER($AU236))),"CHECK INPUTS",IF(OR($J236&lt;'Technical Premium'!$C$18,LEFT(IFERROR(INDEX('Driver Factors'!$D$6:$D$15,MATCH($R236,'Driver Factors'!$B$6:$B$15,0)),""),7)="DECLINE",LEFT(IFERROR(INDEX('Driver Factors'!$D$28:$D$36,MATCH($T236,'Driver Factors'!$B$28:$B$36,0)),""),7)="DECLINE",LEFT(IFERROR(INDEX('Claims History'!$D$6:$D$15,MATCH($U236,'Claims History'!$B$6:$B$15,0)),""),7)="DECLINE",LEFT(IFERROR(INDEX('Usage and Coverage'!$E$6:$E$20,MATCH($N236,'Usage and Coverage'!$C$6:$C$20,0)),""),7)="DECLINE"),"DECLINE",IF(OR($CD236&gt;2.5,$CD236&gt;='Technical Premium'!$C$17,$J236&gt;='Technical Premium'!$C$16,N($AQ236)&lt;'Technical Premium'!$C$19,N($AQ236)&gt;'Technical Premium'!$C$20,LEFT(IFERROR(INDEX('Driver Factors'!$D$6:$D$15,MATCH($R236,'Driver Factors'!$B$6:$B$15,0)),""),5)="Refer",LEFT(IFERROR(INDEX('Driver Factors'!$D$28:$D$36,MATCH($T236,'Driver Factors'!$B$28:$B$36,0)),""),5)="Refer",LEFT(IFERROR(INDEX('Claims History'!$D$6:$D$15,MATCH($U236,'Claims History'!$B$6:$B$15,0)),""),5)="Refer",LEFT(IFERROR(INDEX('Usage and Coverage'!$E$6:$E$20,MATCH($N236,'Usage and Coverage'!$C$6:$C$20,0)),""),5)="Refer"),"REFER","AUTO-BIND"))))</f>
        <v/>
      </c>
      <c r="CY236" s="106" t="str">
        <f t="shared" si="50"/>
        <v/>
      </c>
      <c r="CZ236" s="97" t="str">
        <f>IF($CY236="","",IF($CY236&lt;'Technical Premium'!$C$19,"BEYOND AUTHORITY",IF($CY236&gt;0.005,"Above technical",IF($CY236&lt;-0.005,"BELOW technical","At technical"))))</f>
        <v/>
      </c>
      <c r="DA236" s="97" t="str">
        <f>IF($A236="","",IF($CX236="AUTO-BIND","",TRIM(IF($J236&lt;'Technical Premium'!$C$18,"Below programme minimum agreed value. ","")&amp;IF(N($AQ236)&lt;'Technical Premium'!$C$19,"DISCOUNT AUTHORITY BREACH. ","")&amp;IF(N($AQ236)&gt;'Technical Premium'!$C$20,"Load authority breach. ","")&amp;IF($J236&gt;='Technical Premium'!$C$16,"Agreed value at or above auto-bind limit. ","")&amp;IF(AND(ISNUMBER($CD236),$CD236&gt;='Technical Premium'!$C$17),"Composite factor at cap. ","")&amp;IF(AND(ISNUMBER($CD236),$CD236&gt;2.5),"Composite factor above 2.50. ","")&amp;IF(LEFT(IFERROR(INDEX('Driver Factors'!$D$6:$D$15,MATCH($R236,'Driver Factors'!$B$6:$B$15,0)),""),7)="DECLINE","DECLINE - driver age. ",IF(LEFT(IFERROR(INDEX('Driver Factors'!$D$6:$D$15,MATCH($R236,'Driver Factors'!$B$6:$B$15,0)),""),5)="Refer","Driver age band. ",""))&amp;IF(LEFT(IFERROR(INDEX('Driver Factors'!$D$28:$D$36,MATCH($T236,'Driver Factors'!$B$28:$B$36,0)),""),7)="DECLINE","DECLINE - MVR. ",IF(LEFT(IFERROR(INDEX('Driver Factors'!$D$28:$D$36,MATCH($T236,'Driver Factors'!$B$28:$B$36,0)),""),5)="Refer","MVR record. ",""))&amp;IF(LEFT(IFERROR(INDEX('Claims History'!$D$6:$D$15,MATCH($U236,'Claims History'!$B$6:$B$15,0)),""),7)="DECLINE","DECLINE - claims. ",IF(LEFT(IFERROR(INDEX('Claims History'!$D$6:$D$15,MATCH($U236,'Claims History'!$B$6:$B$15,0)),""),5)="Refer","Claims history. ",""))&amp;IF(LEFT(IFERROR(INDEX('Usage and Coverage'!$E$6:$E$20,MATCH($N236,'Usage and Coverage'!$C$6:$C$20,0)),""),7)="DECLINE","DECLINE - usage class. ",IF(LEFT(IFERROR(INDEX('Usage and Coverage'!$E$6:$E$20,MATCH($N236,'Usage and Coverage'!$C$6:$C$20,0)),""),5)="Refer","Usage class. ",""))&amp;IF($CX236="CHECK INPUTS","Incomplete inputs. ",""))))</f>
        <v/>
      </c>
      <c r="DB236" s="92"/>
      <c r="DC236" s="92"/>
      <c r="DD236" s="93"/>
      <c r="DE236" s="92"/>
      <c r="DF236" s="92"/>
      <c r="DG236" s="97" t="str">
        <f t="shared" si="51"/>
        <v/>
      </c>
      <c r="DH236" s="97" t="str">
        <f>IF($A236="","",IF(OR($CX236="REFER",$CX236="DECLINE"),COUNTIF($CX$5:$CX236,"REFER")+COUNTIF($CX$5:$CX236,"DECLINE"),""))</f>
        <v/>
      </c>
      <c r="DI236" s="92"/>
    </row>
    <row r="237" spans="1:113" x14ac:dyDescent="0.25">
      <c r="A237" s="92"/>
      <c r="B237" s="92"/>
      <c r="C237" s="93"/>
      <c r="D237" s="93"/>
      <c r="E237" s="94"/>
      <c r="F237" s="92"/>
      <c r="G237" s="92"/>
      <c r="H237" s="92"/>
      <c r="I237" s="92"/>
      <c r="J237" s="95"/>
      <c r="K237" s="92"/>
      <c r="L237" s="92"/>
      <c r="M237" s="92"/>
      <c r="N237" s="92"/>
      <c r="O237" s="92"/>
      <c r="P237" s="92"/>
      <c r="Q237" s="92"/>
      <c r="R237" s="92"/>
      <c r="S237" s="92"/>
      <c r="T237" s="92"/>
      <c r="U237" s="92"/>
      <c r="V237" s="92"/>
      <c r="W237" s="92"/>
      <c r="X237" s="92"/>
      <c r="Y237" s="92"/>
      <c r="Z237" s="92"/>
      <c r="AA237" s="92"/>
      <c r="AB237" s="92"/>
      <c r="AC237" s="92"/>
      <c r="AD237" s="92"/>
      <c r="AE237" s="92"/>
      <c r="AF237" s="92"/>
      <c r="AG237" s="92"/>
      <c r="AH237" s="92"/>
      <c r="AI237" s="92"/>
      <c r="AJ237" s="92"/>
      <c r="AK237" s="92"/>
      <c r="AL237" s="92"/>
      <c r="AM237" s="92"/>
      <c r="AN237" s="92"/>
      <c r="AO237" s="92"/>
      <c r="AP237" s="92"/>
      <c r="AQ237" s="96"/>
      <c r="AR237" s="97" t="str">
        <f t="shared" si="39"/>
        <v/>
      </c>
      <c r="AS237" s="97" t="str">
        <f>IF($A237="","",IF($AP237&lt;&gt;"",$AP237,IFERROR(INDEX('Cat Zone by ZIP'!$D$6:$D$856,MATCH($AR237,'Cat Zone by ZIP'!$B$6:$B$856,0)),IFERROR(INDEX('Cat Zone by ZIP'!$C$860:$C$910,MATCH($K237,'Cat Zone by ZIP'!$B$860:$B$910,0)),"NOT FOUND"))))</f>
        <v/>
      </c>
      <c r="AT237" s="97" t="str">
        <f>IF($A237="","",IF($AP237&lt;&gt;"","Override",IF(ISNUMBER(MATCH($AR237,'Cat Zone by ZIP'!$B$6:$B$856,0)),"ZIP-3","State default")))</f>
        <v/>
      </c>
      <c r="AU237" s="98" t="str">
        <f>IF($A237="","",IFERROR(INDEX('Natural Catastrophe'!$D$6:$D$17,MATCH($AS237,'Natural Catastrophe'!$B$6:$B$17,0)),"?"))</f>
        <v/>
      </c>
      <c r="AV237" s="98" t="str">
        <f>IF($A237="","",IFERROR(INDEX('Natural Catastrophe'!$C$21:$C$26,MATCH($AA237,'Natural Catastrophe'!$B$21:$B$26,0)),"?"))</f>
        <v/>
      </c>
      <c r="AW237" s="97" t="str">
        <f>IF($A237="","",IFERROR(INDEX('Base Rates'!$C$4:$I$4,MATCH(MAX($J237,'Technical Premium'!$C$18),'Base Rates'!$C$3:$I$3,1)),"?"))</f>
        <v/>
      </c>
      <c r="AX237" s="99" t="str">
        <f>IF($A237="","",IFERROR(INDEX('Base Rates'!$C$5:$I$16,MATCH($I237,'Base Rates'!$B$5:$B$16,0),MATCH(MAX($J237,'Technical Premium'!$C$18),'Base Rates'!$C$3:$I$3,1)),"?"))</f>
        <v/>
      </c>
      <c r="AY237" s="100" t="str">
        <f t="shared" si="40"/>
        <v/>
      </c>
      <c r="AZ237" s="97" t="str">
        <f>IF($A237="","",IFERROR(INDEX('Make Factors'!$G$5:$G$69,MATCH($F237,'Make Factors'!$B$5:$B$69,0)),"?"))</f>
        <v/>
      </c>
      <c r="BA237" s="97" t="str">
        <f>IF($A237="","",IFERROR(INDEX('Driver Factors'!$C$6:$C$15,MATCH($R237,'Driver Factors'!$B$6:$B$15,0)),"?"))</f>
        <v/>
      </c>
      <c r="BB237" s="97" t="str">
        <f>IF($A237="","",IFERROR(INDEX('Driver Factors'!$C$19:$C$24,MATCH($S237,'Driver Factors'!$B$19:$B$24,0)),"?"))</f>
        <v/>
      </c>
      <c r="BC237" s="97" t="str">
        <f>IF($A237="","",IFERROR(INDEX('Driver Factors'!$C$28:$C$36,MATCH($T237,'Driver Factors'!$B$28:$B$36,0)),"?"))</f>
        <v/>
      </c>
      <c r="BD237" s="97" t="str">
        <f>IF($A237="","",IFERROR(INDEX('Claims History'!$C$6:$C$15,MATCH($U237,'Claims History'!$B$6:$B$15,0)),"?"))</f>
        <v/>
      </c>
      <c r="BE237" s="97" t="str">
        <f>IF($A237="","",IFERROR(INDEX('Territory Factors'!$E$6:$E$56,MATCH($K237,'Territory Factors'!$B$6:$B$56,0)),"?"))</f>
        <v/>
      </c>
      <c r="BF237" s="97" t="str">
        <f>IF($A237="","",IFERROR(INDEX('City Accident Ratings'!$G$6:$G$54,MATCH($Z237,'City Accident Ratings'!$B$6:$B$54,0)),"?"))</f>
        <v/>
      </c>
      <c r="BG237" s="97" t="str">
        <f>IF($A237="","",IFERROR(INDEX('Usage and Coverage'!$D$6:$D$20,MATCH($N237,'Usage and Coverage'!$C$6:$C$20,0)),"?"))</f>
        <v/>
      </c>
      <c r="BH237" s="97" t="str">
        <f>IF($A237="","",IFERROR(INDEX('Usage and Coverage'!$C$24:$C$30,MATCH($O237,'Usage and Coverage'!$B$24:$B$30,0)),"?"))</f>
        <v/>
      </c>
      <c r="BI237" s="97" t="str">
        <f>IF($A237="","",IFERROR(INDEX('Usage and Coverage'!$C$34:$C$40,MATCH($P237,'Usage and Coverage'!$B$34:$B$40,0)),"?"))</f>
        <v/>
      </c>
      <c r="BJ237" s="97" t="str">
        <f>IF($A237="","",IFERROR(INDEX('Usage and Coverage'!$C$44:$C$49,MATCH($Q237,'Usage and Coverage'!$B$44:$B$49,0)),"?"))</f>
        <v/>
      </c>
      <c r="BK237" s="97" t="str">
        <f>IF($A237="","",IFERROR(INDEX(Deductibles!$C$6:$I$15,MATCH($W237,Deductibles!$B$6:$B$15,0),MATCH(MAX($J237,'Technical Premium'!$C$18),'Base Rates'!$C$3:$I$3,1)),"?"))</f>
        <v/>
      </c>
      <c r="BL237" s="97" t="str">
        <f>IF($A237="","",IFERROR(INDEX('Usage and Coverage'!$C$63:$C$66,MATCH($X237,'Usage and Coverage'!$B$63:$B$66,0)),"?"))</f>
        <v/>
      </c>
      <c r="BM237" s="97" t="str">
        <f>IF($A237="","",IFERROR(INDEX('Usage and Coverage'!$C$70:$C$75,MATCH($V237,'Usage and Coverage'!$B$70:$B$75,0)),"?"))</f>
        <v/>
      </c>
      <c r="BN237" s="97" t="str">
        <f>IF($A237="","",IF($AB237="",1,IFERROR(INDEX(Deductibles!$C$48:$C$51,MATCH($AB237,Deductibles!$B$48:$B$51,0)),"?")))</f>
        <v/>
      </c>
      <c r="BO237" s="97" t="str">
        <f>IF($A237="","",IF($AC237="",1,IFERROR(INDEX(Deductibles!$C$55:$C$57,MATCH($AC237,Deductibles!$B$55:$B$57,0)),"?")))</f>
        <v/>
      </c>
      <c r="BP237" s="97" t="str">
        <f>IF($A237="","",IF($AD237="",1,IFERROR(INDEX(Deductibles!$C$61:$C$63,MATCH($AD237,Deductibles!$B$61:$B$63,0)),"?")))</f>
        <v/>
      </c>
      <c r="BQ237" s="97" t="str">
        <f>IF($A237="","",IF($AE237="",1,IFERROR(INDEX(Deductibles!$C$67:$C$69,MATCH($AE237,Deductibles!$B$67:$B$69,0)),"?")))</f>
        <v/>
      </c>
      <c r="BR237" s="97" t="str">
        <f>IF($A237="","",IF($AF237="",1,IFERROR(INDEX(Deductibles!$C$73:$C$74,MATCH($AF237,Deductibles!$B$73:$B$74,0)),"?")))</f>
        <v/>
      </c>
      <c r="BS237" s="97" t="str">
        <f>IF($A237="","",IF($AG237="",1,IFERROR(INDEX('Sublimits and Parts'!$C$49:$C$52,MATCH($AG237,'Sublimits and Parts'!$B$49:$B$52,0)),"?")))</f>
        <v/>
      </c>
      <c r="BT237" s="97" t="str">
        <f>IF($A237="","",IF($AH237="",1,IFERROR(INDEX('Sublimits and Parts'!$C$56:$C$60,MATCH($AH237,'Sublimits and Parts'!$B$56:$B$60,0)),"?")))</f>
        <v/>
      </c>
      <c r="BU237" s="97" t="str">
        <f>IF($A237="","",IF($AI237="",1,IFERROR(INDEX('Sublimits and Parts'!$C$64:$C$67,MATCH($AI237,'Sublimits and Parts'!$B$64:$B$67,0)),"?")))</f>
        <v/>
      </c>
      <c r="BV237" s="97" t="str">
        <f>IF($A237="","",IF($AJ237="",1,IFERROR(INDEX('Sublimits and Parts'!$C$71:$C$74,MATCH($AJ237,'Sublimits and Parts'!$B$71:$B$74,0)),"?")))</f>
        <v/>
      </c>
      <c r="BW237" s="97" t="str">
        <f>IF($A237="","",IF($AK237="",1,IFERROR(INDEX('Sublimits and Parts'!$C$78:$C$80,MATCH($AK237,'Sublimits and Parts'!$B$78:$B$80,0)),"?")))</f>
        <v/>
      </c>
      <c r="BX237" s="97" t="str">
        <f>IF($A237="","",IF($AL237="",1,IFERROR(INDEX('Sublimits and Parts'!$C$84:$C$87,MATCH($AL237,'Sublimits and Parts'!$B$84:$B$87,0)),"?")))</f>
        <v/>
      </c>
      <c r="BY237" s="97" t="str">
        <f>IF($A237="","",IF($AM237="",1,IFERROR(INDEX('Sublimits and Parts'!$C$91:$C$94,MATCH($AM237,'Sublimits and Parts'!$B$91:$B$94,0)),"?")))</f>
        <v/>
      </c>
      <c r="BZ237" s="97" t="str">
        <f>IF($A237="","",IF($AN237="",1,IFERROR(INDEX('Sublimits and Parts'!$C$98:$C$101,MATCH($AN237,'Sublimits and Parts'!$B$98:$B$101,0)),"?")))</f>
        <v/>
      </c>
      <c r="CA237" s="97" t="str">
        <f>IF($A237="","",IF($AO237="",1,IFERROR(INDEX('Sublimits and Parts'!$C$105:$C$109,MATCH($AO237,'Sublimits and Parts'!$B$105:$B$109,0)),"?")))</f>
        <v/>
      </c>
      <c r="CB237" s="98" t="str">
        <f t="shared" si="41"/>
        <v/>
      </c>
      <c r="CC237" s="98" t="str">
        <f t="shared" si="42"/>
        <v/>
      </c>
      <c r="CD237" s="101" t="str">
        <f>IF($A237="","",IF(OR($CB237="?",$CC237="?"),"?",MIN($CB237*$CC237,'Technical Premium'!$C$17)))</f>
        <v/>
      </c>
      <c r="CE237" s="100" t="str">
        <f t="shared" si="43"/>
        <v/>
      </c>
      <c r="CF237" s="100" t="str">
        <f>IF($A237="","",IFERROR(INDEX('Territory Factors'!$F$6:$F$56,MATCH($K237,'Territory Factors'!$B$6:$B$56,0)),"?"))</f>
        <v/>
      </c>
      <c r="CG237" s="98" t="str">
        <f>IF($A237="","",IFERROR(INDEX('Usage and Coverage'!$C$79:$C$84,MATCH($Y237,'Usage and Coverage'!$B$79:$B$84,0)),"?"))</f>
        <v/>
      </c>
      <c r="CH237" s="100" t="str">
        <f>IFERROR(IF(ISNUMBER($CD237),$CF237*$CG237*MIN($BG237*$BA237*$BC237*$BD237*$BH237*$BF237,'Technical Premium'!$C$17),""),"")</f>
        <v/>
      </c>
      <c r="CI237" s="100" t="str">
        <f t="shared" si="44"/>
        <v/>
      </c>
      <c r="CJ237" s="100" t="str">
        <f>IFERROR($CI237*(1+'Technical Premium'!$C$5)*(1+'Technical Premium'!$C$6),"")</f>
        <v/>
      </c>
      <c r="CK237" s="100" t="str">
        <f>IFERROR($CE237*INDEX('Territory Factors'!$G$6:$G$56,MATCH($K237,'Territory Factors'!$B$6:$B$56,0))*$AU237*$AV237,"")</f>
        <v/>
      </c>
      <c r="CL237" s="100" t="str">
        <f>IFERROR(($CJ237+$CK237)*(1+'Technical Premium'!$C$7),"")</f>
        <v/>
      </c>
      <c r="CM237" s="102" t="str">
        <f>IFERROR($CL237/'Technical Premium'!$C$13,"")</f>
        <v/>
      </c>
      <c r="CN237" s="103" t="str">
        <f t="shared" si="45"/>
        <v/>
      </c>
      <c r="CO237" s="102" t="str">
        <f t="shared" si="46"/>
        <v/>
      </c>
      <c r="CP237" s="103" t="str">
        <f t="shared" si="47"/>
        <v/>
      </c>
      <c r="CQ237" s="104" t="str">
        <f t="shared" si="48"/>
        <v/>
      </c>
      <c r="CR237" s="100" t="str">
        <f>IF(ISNUMBER($CM237),'Technical Premium'!$C$14+IF($J237&gt;=1000000,'Technical Premium'!$C$15,0),"")</f>
        <v/>
      </c>
      <c r="CS237" s="100" t="str">
        <f>IFERROR(($CO237+$CR237)*(INDEX('Territory Factors'!$K$6:$K$56,MATCH($K237,'Territory Factors'!$B$6:$B$56,0))+'Commission Structure'!$C$21),"")</f>
        <v/>
      </c>
      <c r="CT237" s="102" t="str">
        <f t="shared" si="49"/>
        <v/>
      </c>
      <c r="CU237" s="100" t="str">
        <f>IFERROR($CO237*('Commission Structure'!$C$6+'Commission Structure'!$C$7),"")</f>
        <v/>
      </c>
      <c r="CV237" s="100" t="str">
        <f>IFERROR($CO237*'Commission Structure'!$C$5-$CU237,"")</f>
        <v/>
      </c>
      <c r="CW237" s="100" t="str">
        <f>IFERROR($CO237*(1-'Commission Structure'!$C$5),"")</f>
        <v/>
      </c>
      <c r="CX237" s="105" t="str">
        <f>IF($A237="","",IF(OR($CB237="?",$CC237="?",NOT(ISNUMBER($AU237))),"CHECK INPUTS",IF(OR($J237&lt;'Technical Premium'!$C$18,LEFT(IFERROR(INDEX('Driver Factors'!$D$6:$D$15,MATCH($R237,'Driver Factors'!$B$6:$B$15,0)),""),7)="DECLINE",LEFT(IFERROR(INDEX('Driver Factors'!$D$28:$D$36,MATCH($T237,'Driver Factors'!$B$28:$B$36,0)),""),7)="DECLINE",LEFT(IFERROR(INDEX('Claims History'!$D$6:$D$15,MATCH($U237,'Claims History'!$B$6:$B$15,0)),""),7)="DECLINE",LEFT(IFERROR(INDEX('Usage and Coverage'!$E$6:$E$20,MATCH($N237,'Usage and Coverage'!$C$6:$C$20,0)),""),7)="DECLINE"),"DECLINE",IF(OR($CD237&gt;2.5,$CD237&gt;='Technical Premium'!$C$17,$J237&gt;='Technical Premium'!$C$16,N($AQ237)&lt;'Technical Premium'!$C$19,N($AQ237)&gt;'Technical Premium'!$C$20,LEFT(IFERROR(INDEX('Driver Factors'!$D$6:$D$15,MATCH($R237,'Driver Factors'!$B$6:$B$15,0)),""),5)="Refer",LEFT(IFERROR(INDEX('Driver Factors'!$D$28:$D$36,MATCH($T237,'Driver Factors'!$B$28:$B$36,0)),""),5)="Refer",LEFT(IFERROR(INDEX('Claims History'!$D$6:$D$15,MATCH($U237,'Claims History'!$B$6:$B$15,0)),""),5)="Refer",LEFT(IFERROR(INDEX('Usage and Coverage'!$E$6:$E$20,MATCH($N237,'Usage and Coverage'!$C$6:$C$20,0)),""),5)="Refer"),"REFER","AUTO-BIND"))))</f>
        <v/>
      </c>
      <c r="CY237" s="106" t="str">
        <f t="shared" si="50"/>
        <v/>
      </c>
      <c r="CZ237" s="97" t="str">
        <f>IF($CY237="","",IF($CY237&lt;'Technical Premium'!$C$19,"BEYOND AUTHORITY",IF($CY237&gt;0.005,"Above technical",IF($CY237&lt;-0.005,"BELOW technical","At technical"))))</f>
        <v/>
      </c>
      <c r="DA237" s="97" t="str">
        <f>IF($A237="","",IF($CX237="AUTO-BIND","",TRIM(IF($J237&lt;'Technical Premium'!$C$18,"Below programme minimum agreed value. ","")&amp;IF(N($AQ237)&lt;'Technical Premium'!$C$19,"DISCOUNT AUTHORITY BREACH. ","")&amp;IF(N($AQ237)&gt;'Technical Premium'!$C$20,"Load authority breach. ","")&amp;IF($J237&gt;='Technical Premium'!$C$16,"Agreed value at or above auto-bind limit. ","")&amp;IF(AND(ISNUMBER($CD237),$CD237&gt;='Technical Premium'!$C$17),"Composite factor at cap. ","")&amp;IF(AND(ISNUMBER($CD237),$CD237&gt;2.5),"Composite factor above 2.50. ","")&amp;IF(LEFT(IFERROR(INDEX('Driver Factors'!$D$6:$D$15,MATCH($R237,'Driver Factors'!$B$6:$B$15,0)),""),7)="DECLINE","DECLINE - driver age. ",IF(LEFT(IFERROR(INDEX('Driver Factors'!$D$6:$D$15,MATCH($R237,'Driver Factors'!$B$6:$B$15,0)),""),5)="Refer","Driver age band. ",""))&amp;IF(LEFT(IFERROR(INDEX('Driver Factors'!$D$28:$D$36,MATCH($T237,'Driver Factors'!$B$28:$B$36,0)),""),7)="DECLINE","DECLINE - MVR. ",IF(LEFT(IFERROR(INDEX('Driver Factors'!$D$28:$D$36,MATCH($T237,'Driver Factors'!$B$28:$B$36,0)),""),5)="Refer","MVR record. ",""))&amp;IF(LEFT(IFERROR(INDEX('Claims History'!$D$6:$D$15,MATCH($U237,'Claims History'!$B$6:$B$15,0)),""),7)="DECLINE","DECLINE - claims. ",IF(LEFT(IFERROR(INDEX('Claims History'!$D$6:$D$15,MATCH($U237,'Claims History'!$B$6:$B$15,0)),""),5)="Refer","Claims history. ",""))&amp;IF(LEFT(IFERROR(INDEX('Usage and Coverage'!$E$6:$E$20,MATCH($N237,'Usage and Coverage'!$C$6:$C$20,0)),""),7)="DECLINE","DECLINE - usage class. ",IF(LEFT(IFERROR(INDEX('Usage and Coverage'!$E$6:$E$20,MATCH($N237,'Usage and Coverage'!$C$6:$C$20,0)),""),5)="Refer","Usage class. ",""))&amp;IF($CX237="CHECK INPUTS","Incomplete inputs. ",""))))</f>
        <v/>
      </c>
      <c r="DB237" s="92"/>
      <c r="DC237" s="92"/>
      <c r="DD237" s="93"/>
      <c r="DE237" s="92"/>
      <c r="DF237" s="92"/>
      <c r="DG237" s="97" t="str">
        <f t="shared" si="51"/>
        <v/>
      </c>
      <c r="DH237" s="97" t="str">
        <f>IF($A237="","",IF(OR($CX237="REFER",$CX237="DECLINE"),COUNTIF($CX$5:$CX237,"REFER")+COUNTIF($CX$5:$CX237,"DECLINE"),""))</f>
        <v/>
      </c>
      <c r="DI237" s="92"/>
    </row>
    <row r="238" spans="1:113" x14ac:dyDescent="0.25">
      <c r="A238" s="92"/>
      <c r="B238" s="92"/>
      <c r="C238" s="93"/>
      <c r="D238" s="93"/>
      <c r="E238" s="94"/>
      <c r="F238" s="92"/>
      <c r="G238" s="92"/>
      <c r="H238" s="92"/>
      <c r="I238" s="92"/>
      <c r="J238" s="95"/>
      <c r="K238" s="92"/>
      <c r="L238" s="92"/>
      <c r="M238" s="92"/>
      <c r="N238" s="92"/>
      <c r="O238" s="92"/>
      <c r="P238" s="92"/>
      <c r="Q238" s="92"/>
      <c r="R238" s="92"/>
      <c r="S238" s="92"/>
      <c r="T238" s="92"/>
      <c r="U238" s="92"/>
      <c r="V238" s="92"/>
      <c r="W238" s="92"/>
      <c r="X238" s="92"/>
      <c r="Y238" s="92"/>
      <c r="Z238" s="92"/>
      <c r="AA238" s="92"/>
      <c r="AB238" s="92"/>
      <c r="AC238" s="92"/>
      <c r="AD238" s="92"/>
      <c r="AE238" s="92"/>
      <c r="AF238" s="92"/>
      <c r="AG238" s="92"/>
      <c r="AH238" s="92"/>
      <c r="AI238" s="92"/>
      <c r="AJ238" s="92"/>
      <c r="AK238" s="92"/>
      <c r="AL238" s="92"/>
      <c r="AM238" s="92"/>
      <c r="AN238" s="92"/>
      <c r="AO238" s="92"/>
      <c r="AP238" s="92"/>
      <c r="AQ238" s="96"/>
      <c r="AR238" s="97" t="str">
        <f t="shared" si="39"/>
        <v/>
      </c>
      <c r="AS238" s="97" t="str">
        <f>IF($A238="","",IF($AP238&lt;&gt;"",$AP238,IFERROR(INDEX('Cat Zone by ZIP'!$D$6:$D$856,MATCH($AR238,'Cat Zone by ZIP'!$B$6:$B$856,0)),IFERROR(INDEX('Cat Zone by ZIP'!$C$860:$C$910,MATCH($K238,'Cat Zone by ZIP'!$B$860:$B$910,0)),"NOT FOUND"))))</f>
        <v/>
      </c>
      <c r="AT238" s="97" t="str">
        <f>IF($A238="","",IF($AP238&lt;&gt;"","Override",IF(ISNUMBER(MATCH($AR238,'Cat Zone by ZIP'!$B$6:$B$856,0)),"ZIP-3","State default")))</f>
        <v/>
      </c>
      <c r="AU238" s="98" t="str">
        <f>IF($A238="","",IFERROR(INDEX('Natural Catastrophe'!$D$6:$D$17,MATCH($AS238,'Natural Catastrophe'!$B$6:$B$17,0)),"?"))</f>
        <v/>
      </c>
      <c r="AV238" s="98" t="str">
        <f>IF($A238="","",IFERROR(INDEX('Natural Catastrophe'!$C$21:$C$26,MATCH($AA238,'Natural Catastrophe'!$B$21:$B$26,0)),"?"))</f>
        <v/>
      </c>
      <c r="AW238" s="97" t="str">
        <f>IF($A238="","",IFERROR(INDEX('Base Rates'!$C$4:$I$4,MATCH(MAX($J238,'Technical Premium'!$C$18),'Base Rates'!$C$3:$I$3,1)),"?"))</f>
        <v/>
      </c>
      <c r="AX238" s="99" t="str">
        <f>IF($A238="","",IFERROR(INDEX('Base Rates'!$C$5:$I$16,MATCH($I238,'Base Rates'!$B$5:$B$16,0),MATCH(MAX($J238,'Technical Premium'!$C$18),'Base Rates'!$C$3:$I$3,1)),"?"))</f>
        <v/>
      </c>
      <c r="AY238" s="100" t="str">
        <f t="shared" si="40"/>
        <v/>
      </c>
      <c r="AZ238" s="97" t="str">
        <f>IF($A238="","",IFERROR(INDEX('Make Factors'!$G$5:$G$69,MATCH($F238,'Make Factors'!$B$5:$B$69,0)),"?"))</f>
        <v/>
      </c>
      <c r="BA238" s="97" t="str">
        <f>IF($A238="","",IFERROR(INDEX('Driver Factors'!$C$6:$C$15,MATCH($R238,'Driver Factors'!$B$6:$B$15,0)),"?"))</f>
        <v/>
      </c>
      <c r="BB238" s="97" t="str">
        <f>IF($A238="","",IFERROR(INDEX('Driver Factors'!$C$19:$C$24,MATCH($S238,'Driver Factors'!$B$19:$B$24,0)),"?"))</f>
        <v/>
      </c>
      <c r="BC238" s="97" t="str">
        <f>IF($A238="","",IFERROR(INDEX('Driver Factors'!$C$28:$C$36,MATCH($T238,'Driver Factors'!$B$28:$B$36,0)),"?"))</f>
        <v/>
      </c>
      <c r="BD238" s="97" t="str">
        <f>IF($A238="","",IFERROR(INDEX('Claims History'!$C$6:$C$15,MATCH($U238,'Claims History'!$B$6:$B$15,0)),"?"))</f>
        <v/>
      </c>
      <c r="BE238" s="97" t="str">
        <f>IF($A238="","",IFERROR(INDEX('Territory Factors'!$E$6:$E$56,MATCH($K238,'Territory Factors'!$B$6:$B$56,0)),"?"))</f>
        <v/>
      </c>
      <c r="BF238" s="97" t="str">
        <f>IF($A238="","",IFERROR(INDEX('City Accident Ratings'!$G$6:$G$54,MATCH($Z238,'City Accident Ratings'!$B$6:$B$54,0)),"?"))</f>
        <v/>
      </c>
      <c r="BG238" s="97" t="str">
        <f>IF($A238="","",IFERROR(INDEX('Usage and Coverage'!$D$6:$D$20,MATCH($N238,'Usage and Coverage'!$C$6:$C$20,0)),"?"))</f>
        <v/>
      </c>
      <c r="BH238" s="97" t="str">
        <f>IF($A238="","",IFERROR(INDEX('Usage and Coverage'!$C$24:$C$30,MATCH($O238,'Usage and Coverage'!$B$24:$B$30,0)),"?"))</f>
        <v/>
      </c>
      <c r="BI238" s="97" t="str">
        <f>IF($A238="","",IFERROR(INDEX('Usage and Coverage'!$C$34:$C$40,MATCH($P238,'Usage and Coverage'!$B$34:$B$40,0)),"?"))</f>
        <v/>
      </c>
      <c r="BJ238" s="97" t="str">
        <f>IF($A238="","",IFERROR(INDEX('Usage and Coverage'!$C$44:$C$49,MATCH($Q238,'Usage and Coverage'!$B$44:$B$49,0)),"?"))</f>
        <v/>
      </c>
      <c r="BK238" s="97" t="str">
        <f>IF($A238="","",IFERROR(INDEX(Deductibles!$C$6:$I$15,MATCH($W238,Deductibles!$B$6:$B$15,0),MATCH(MAX($J238,'Technical Premium'!$C$18),'Base Rates'!$C$3:$I$3,1)),"?"))</f>
        <v/>
      </c>
      <c r="BL238" s="97" t="str">
        <f>IF($A238="","",IFERROR(INDEX('Usage and Coverage'!$C$63:$C$66,MATCH($X238,'Usage and Coverage'!$B$63:$B$66,0)),"?"))</f>
        <v/>
      </c>
      <c r="BM238" s="97" t="str">
        <f>IF($A238="","",IFERROR(INDEX('Usage and Coverage'!$C$70:$C$75,MATCH($V238,'Usage and Coverage'!$B$70:$B$75,0)),"?"))</f>
        <v/>
      </c>
      <c r="BN238" s="97" t="str">
        <f>IF($A238="","",IF($AB238="",1,IFERROR(INDEX(Deductibles!$C$48:$C$51,MATCH($AB238,Deductibles!$B$48:$B$51,0)),"?")))</f>
        <v/>
      </c>
      <c r="BO238" s="97" t="str">
        <f>IF($A238="","",IF($AC238="",1,IFERROR(INDEX(Deductibles!$C$55:$C$57,MATCH($AC238,Deductibles!$B$55:$B$57,0)),"?")))</f>
        <v/>
      </c>
      <c r="BP238" s="97" t="str">
        <f>IF($A238="","",IF($AD238="",1,IFERROR(INDEX(Deductibles!$C$61:$C$63,MATCH($AD238,Deductibles!$B$61:$B$63,0)),"?")))</f>
        <v/>
      </c>
      <c r="BQ238" s="97" t="str">
        <f>IF($A238="","",IF($AE238="",1,IFERROR(INDEX(Deductibles!$C$67:$C$69,MATCH($AE238,Deductibles!$B$67:$B$69,0)),"?")))</f>
        <v/>
      </c>
      <c r="BR238" s="97" t="str">
        <f>IF($A238="","",IF($AF238="",1,IFERROR(INDEX(Deductibles!$C$73:$C$74,MATCH($AF238,Deductibles!$B$73:$B$74,0)),"?")))</f>
        <v/>
      </c>
      <c r="BS238" s="97" t="str">
        <f>IF($A238="","",IF($AG238="",1,IFERROR(INDEX('Sublimits and Parts'!$C$49:$C$52,MATCH($AG238,'Sublimits and Parts'!$B$49:$B$52,0)),"?")))</f>
        <v/>
      </c>
      <c r="BT238" s="97" t="str">
        <f>IF($A238="","",IF($AH238="",1,IFERROR(INDEX('Sublimits and Parts'!$C$56:$C$60,MATCH($AH238,'Sublimits and Parts'!$B$56:$B$60,0)),"?")))</f>
        <v/>
      </c>
      <c r="BU238" s="97" t="str">
        <f>IF($A238="","",IF($AI238="",1,IFERROR(INDEX('Sublimits and Parts'!$C$64:$C$67,MATCH($AI238,'Sublimits and Parts'!$B$64:$B$67,0)),"?")))</f>
        <v/>
      </c>
      <c r="BV238" s="97" t="str">
        <f>IF($A238="","",IF($AJ238="",1,IFERROR(INDEX('Sublimits and Parts'!$C$71:$C$74,MATCH($AJ238,'Sublimits and Parts'!$B$71:$B$74,0)),"?")))</f>
        <v/>
      </c>
      <c r="BW238" s="97" t="str">
        <f>IF($A238="","",IF($AK238="",1,IFERROR(INDEX('Sublimits and Parts'!$C$78:$C$80,MATCH($AK238,'Sublimits and Parts'!$B$78:$B$80,0)),"?")))</f>
        <v/>
      </c>
      <c r="BX238" s="97" t="str">
        <f>IF($A238="","",IF($AL238="",1,IFERROR(INDEX('Sublimits and Parts'!$C$84:$C$87,MATCH($AL238,'Sublimits and Parts'!$B$84:$B$87,0)),"?")))</f>
        <v/>
      </c>
      <c r="BY238" s="97" t="str">
        <f>IF($A238="","",IF($AM238="",1,IFERROR(INDEX('Sublimits and Parts'!$C$91:$C$94,MATCH($AM238,'Sublimits and Parts'!$B$91:$B$94,0)),"?")))</f>
        <v/>
      </c>
      <c r="BZ238" s="97" t="str">
        <f>IF($A238="","",IF($AN238="",1,IFERROR(INDEX('Sublimits and Parts'!$C$98:$C$101,MATCH($AN238,'Sublimits and Parts'!$B$98:$B$101,0)),"?")))</f>
        <v/>
      </c>
      <c r="CA238" s="97" t="str">
        <f>IF($A238="","",IF($AO238="",1,IFERROR(INDEX('Sublimits and Parts'!$C$105:$C$109,MATCH($AO238,'Sublimits and Parts'!$B$105:$B$109,0)),"?")))</f>
        <v/>
      </c>
      <c r="CB238" s="98" t="str">
        <f t="shared" si="41"/>
        <v/>
      </c>
      <c r="CC238" s="98" t="str">
        <f t="shared" si="42"/>
        <v/>
      </c>
      <c r="CD238" s="101" t="str">
        <f>IF($A238="","",IF(OR($CB238="?",$CC238="?"),"?",MIN($CB238*$CC238,'Technical Premium'!$C$17)))</f>
        <v/>
      </c>
      <c r="CE238" s="100" t="str">
        <f t="shared" si="43"/>
        <v/>
      </c>
      <c r="CF238" s="100" t="str">
        <f>IF($A238="","",IFERROR(INDEX('Territory Factors'!$F$6:$F$56,MATCH($K238,'Territory Factors'!$B$6:$B$56,0)),"?"))</f>
        <v/>
      </c>
      <c r="CG238" s="98" t="str">
        <f>IF($A238="","",IFERROR(INDEX('Usage and Coverage'!$C$79:$C$84,MATCH($Y238,'Usage and Coverage'!$B$79:$B$84,0)),"?"))</f>
        <v/>
      </c>
      <c r="CH238" s="100" t="str">
        <f>IFERROR(IF(ISNUMBER($CD238),$CF238*$CG238*MIN($BG238*$BA238*$BC238*$BD238*$BH238*$BF238,'Technical Premium'!$C$17),""),"")</f>
        <v/>
      </c>
      <c r="CI238" s="100" t="str">
        <f t="shared" si="44"/>
        <v/>
      </c>
      <c r="CJ238" s="100" t="str">
        <f>IFERROR($CI238*(1+'Technical Premium'!$C$5)*(1+'Technical Premium'!$C$6),"")</f>
        <v/>
      </c>
      <c r="CK238" s="100" t="str">
        <f>IFERROR($CE238*INDEX('Territory Factors'!$G$6:$G$56,MATCH($K238,'Territory Factors'!$B$6:$B$56,0))*$AU238*$AV238,"")</f>
        <v/>
      </c>
      <c r="CL238" s="100" t="str">
        <f>IFERROR(($CJ238+$CK238)*(1+'Technical Premium'!$C$7),"")</f>
        <v/>
      </c>
      <c r="CM238" s="102" t="str">
        <f>IFERROR($CL238/'Technical Premium'!$C$13,"")</f>
        <v/>
      </c>
      <c r="CN238" s="103" t="str">
        <f t="shared" si="45"/>
        <v/>
      </c>
      <c r="CO238" s="102" t="str">
        <f t="shared" si="46"/>
        <v/>
      </c>
      <c r="CP238" s="103" t="str">
        <f t="shared" si="47"/>
        <v/>
      </c>
      <c r="CQ238" s="104" t="str">
        <f t="shared" si="48"/>
        <v/>
      </c>
      <c r="CR238" s="100" t="str">
        <f>IF(ISNUMBER($CM238),'Technical Premium'!$C$14+IF($J238&gt;=1000000,'Technical Premium'!$C$15,0),"")</f>
        <v/>
      </c>
      <c r="CS238" s="100" t="str">
        <f>IFERROR(($CO238+$CR238)*(INDEX('Territory Factors'!$K$6:$K$56,MATCH($K238,'Territory Factors'!$B$6:$B$56,0))+'Commission Structure'!$C$21),"")</f>
        <v/>
      </c>
      <c r="CT238" s="102" t="str">
        <f t="shared" si="49"/>
        <v/>
      </c>
      <c r="CU238" s="100" t="str">
        <f>IFERROR($CO238*('Commission Structure'!$C$6+'Commission Structure'!$C$7),"")</f>
        <v/>
      </c>
      <c r="CV238" s="100" t="str">
        <f>IFERROR($CO238*'Commission Structure'!$C$5-$CU238,"")</f>
        <v/>
      </c>
      <c r="CW238" s="100" t="str">
        <f>IFERROR($CO238*(1-'Commission Structure'!$C$5),"")</f>
        <v/>
      </c>
      <c r="CX238" s="105" t="str">
        <f>IF($A238="","",IF(OR($CB238="?",$CC238="?",NOT(ISNUMBER($AU238))),"CHECK INPUTS",IF(OR($J238&lt;'Technical Premium'!$C$18,LEFT(IFERROR(INDEX('Driver Factors'!$D$6:$D$15,MATCH($R238,'Driver Factors'!$B$6:$B$15,0)),""),7)="DECLINE",LEFT(IFERROR(INDEX('Driver Factors'!$D$28:$D$36,MATCH($T238,'Driver Factors'!$B$28:$B$36,0)),""),7)="DECLINE",LEFT(IFERROR(INDEX('Claims History'!$D$6:$D$15,MATCH($U238,'Claims History'!$B$6:$B$15,0)),""),7)="DECLINE",LEFT(IFERROR(INDEX('Usage and Coverage'!$E$6:$E$20,MATCH($N238,'Usage and Coverage'!$C$6:$C$20,0)),""),7)="DECLINE"),"DECLINE",IF(OR($CD238&gt;2.5,$CD238&gt;='Technical Premium'!$C$17,$J238&gt;='Technical Premium'!$C$16,N($AQ238)&lt;'Technical Premium'!$C$19,N($AQ238)&gt;'Technical Premium'!$C$20,LEFT(IFERROR(INDEX('Driver Factors'!$D$6:$D$15,MATCH($R238,'Driver Factors'!$B$6:$B$15,0)),""),5)="Refer",LEFT(IFERROR(INDEX('Driver Factors'!$D$28:$D$36,MATCH($T238,'Driver Factors'!$B$28:$B$36,0)),""),5)="Refer",LEFT(IFERROR(INDEX('Claims History'!$D$6:$D$15,MATCH($U238,'Claims History'!$B$6:$B$15,0)),""),5)="Refer",LEFT(IFERROR(INDEX('Usage and Coverage'!$E$6:$E$20,MATCH($N238,'Usage and Coverage'!$C$6:$C$20,0)),""),5)="Refer"),"REFER","AUTO-BIND"))))</f>
        <v/>
      </c>
      <c r="CY238" s="106" t="str">
        <f t="shared" si="50"/>
        <v/>
      </c>
      <c r="CZ238" s="97" t="str">
        <f>IF($CY238="","",IF($CY238&lt;'Technical Premium'!$C$19,"BEYOND AUTHORITY",IF($CY238&gt;0.005,"Above technical",IF($CY238&lt;-0.005,"BELOW technical","At technical"))))</f>
        <v/>
      </c>
      <c r="DA238" s="97" t="str">
        <f>IF($A238="","",IF($CX238="AUTO-BIND","",TRIM(IF($J238&lt;'Technical Premium'!$C$18,"Below programme minimum agreed value. ","")&amp;IF(N($AQ238)&lt;'Technical Premium'!$C$19,"DISCOUNT AUTHORITY BREACH. ","")&amp;IF(N($AQ238)&gt;'Technical Premium'!$C$20,"Load authority breach. ","")&amp;IF($J238&gt;='Technical Premium'!$C$16,"Agreed value at or above auto-bind limit. ","")&amp;IF(AND(ISNUMBER($CD238),$CD238&gt;='Technical Premium'!$C$17),"Composite factor at cap. ","")&amp;IF(AND(ISNUMBER($CD238),$CD238&gt;2.5),"Composite factor above 2.50. ","")&amp;IF(LEFT(IFERROR(INDEX('Driver Factors'!$D$6:$D$15,MATCH($R238,'Driver Factors'!$B$6:$B$15,0)),""),7)="DECLINE","DECLINE - driver age. ",IF(LEFT(IFERROR(INDEX('Driver Factors'!$D$6:$D$15,MATCH($R238,'Driver Factors'!$B$6:$B$15,0)),""),5)="Refer","Driver age band. ",""))&amp;IF(LEFT(IFERROR(INDEX('Driver Factors'!$D$28:$D$36,MATCH($T238,'Driver Factors'!$B$28:$B$36,0)),""),7)="DECLINE","DECLINE - MVR. ",IF(LEFT(IFERROR(INDEX('Driver Factors'!$D$28:$D$36,MATCH($T238,'Driver Factors'!$B$28:$B$36,0)),""),5)="Refer","MVR record. ",""))&amp;IF(LEFT(IFERROR(INDEX('Claims History'!$D$6:$D$15,MATCH($U238,'Claims History'!$B$6:$B$15,0)),""),7)="DECLINE","DECLINE - claims. ",IF(LEFT(IFERROR(INDEX('Claims History'!$D$6:$D$15,MATCH($U238,'Claims History'!$B$6:$B$15,0)),""),5)="Refer","Claims history. ",""))&amp;IF(LEFT(IFERROR(INDEX('Usage and Coverage'!$E$6:$E$20,MATCH($N238,'Usage and Coverage'!$C$6:$C$20,0)),""),7)="DECLINE","DECLINE - usage class. ",IF(LEFT(IFERROR(INDEX('Usage and Coverage'!$E$6:$E$20,MATCH($N238,'Usage and Coverage'!$C$6:$C$20,0)),""),5)="Refer","Usage class. ",""))&amp;IF($CX238="CHECK INPUTS","Incomplete inputs. ",""))))</f>
        <v/>
      </c>
      <c r="DB238" s="92"/>
      <c r="DC238" s="92"/>
      <c r="DD238" s="93"/>
      <c r="DE238" s="92"/>
      <c r="DF238" s="92"/>
      <c r="DG238" s="97" t="str">
        <f t="shared" si="51"/>
        <v/>
      </c>
      <c r="DH238" s="97" t="str">
        <f>IF($A238="","",IF(OR($CX238="REFER",$CX238="DECLINE"),COUNTIF($CX$5:$CX238,"REFER")+COUNTIF($CX$5:$CX238,"DECLINE"),""))</f>
        <v/>
      </c>
      <c r="DI238" s="92"/>
    </row>
    <row r="239" spans="1:113" x14ac:dyDescent="0.25">
      <c r="A239" s="92"/>
      <c r="B239" s="92"/>
      <c r="C239" s="93"/>
      <c r="D239" s="93"/>
      <c r="E239" s="94"/>
      <c r="F239" s="92"/>
      <c r="G239" s="92"/>
      <c r="H239" s="92"/>
      <c r="I239" s="92"/>
      <c r="J239" s="95"/>
      <c r="K239" s="92"/>
      <c r="L239" s="92"/>
      <c r="M239" s="92"/>
      <c r="N239" s="92"/>
      <c r="O239" s="92"/>
      <c r="P239" s="92"/>
      <c r="Q239" s="92"/>
      <c r="R239" s="92"/>
      <c r="S239" s="92"/>
      <c r="T239" s="92"/>
      <c r="U239" s="92"/>
      <c r="V239" s="92"/>
      <c r="W239" s="92"/>
      <c r="X239" s="92"/>
      <c r="Y239" s="92"/>
      <c r="Z239" s="92"/>
      <c r="AA239" s="92"/>
      <c r="AB239" s="92"/>
      <c r="AC239" s="92"/>
      <c r="AD239" s="92"/>
      <c r="AE239" s="92"/>
      <c r="AF239" s="92"/>
      <c r="AG239" s="92"/>
      <c r="AH239" s="92"/>
      <c r="AI239" s="92"/>
      <c r="AJ239" s="92"/>
      <c r="AK239" s="92"/>
      <c r="AL239" s="92"/>
      <c r="AM239" s="92"/>
      <c r="AN239" s="92"/>
      <c r="AO239" s="92"/>
      <c r="AP239" s="92"/>
      <c r="AQ239" s="96"/>
      <c r="AR239" s="97" t="str">
        <f t="shared" si="39"/>
        <v/>
      </c>
      <c r="AS239" s="97" t="str">
        <f>IF($A239="","",IF($AP239&lt;&gt;"",$AP239,IFERROR(INDEX('Cat Zone by ZIP'!$D$6:$D$856,MATCH($AR239,'Cat Zone by ZIP'!$B$6:$B$856,0)),IFERROR(INDEX('Cat Zone by ZIP'!$C$860:$C$910,MATCH($K239,'Cat Zone by ZIP'!$B$860:$B$910,0)),"NOT FOUND"))))</f>
        <v/>
      </c>
      <c r="AT239" s="97" t="str">
        <f>IF($A239="","",IF($AP239&lt;&gt;"","Override",IF(ISNUMBER(MATCH($AR239,'Cat Zone by ZIP'!$B$6:$B$856,0)),"ZIP-3","State default")))</f>
        <v/>
      </c>
      <c r="AU239" s="98" t="str">
        <f>IF($A239="","",IFERROR(INDEX('Natural Catastrophe'!$D$6:$D$17,MATCH($AS239,'Natural Catastrophe'!$B$6:$B$17,0)),"?"))</f>
        <v/>
      </c>
      <c r="AV239" s="98" t="str">
        <f>IF($A239="","",IFERROR(INDEX('Natural Catastrophe'!$C$21:$C$26,MATCH($AA239,'Natural Catastrophe'!$B$21:$B$26,0)),"?"))</f>
        <v/>
      </c>
      <c r="AW239" s="97" t="str">
        <f>IF($A239="","",IFERROR(INDEX('Base Rates'!$C$4:$I$4,MATCH(MAX($J239,'Technical Premium'!$C$18),'Base Rates'!$C$3:$I$3,1)),"?"))</f>
        <v/>
      </c>
      <c r="AX239" s="99" t="str">
        <f>IF($A239="","",IFERROR(INDEX('Base Rates'!$C$5:$I$16,MATCH($I239,'Base Rates'!$B$5:$B$16,0),MATCH(MAX($J239,'Technical Premium'!$C$18),'Base Rates'!$C$3:$I$3,1)),"?"))</f>
        <v/>
      </c>
      <c r="AY239" s="100" t="str">
        <f t="shared" si="40"/>
        <v/>
      </c>
      <c r="AZ239" s="97" t="str">
        <f>IF($A239="","",IFERROR(INDEX('Make Factors'!$G$5:$G$69,MATCH($F239,'Make Factors'!$B$5:$B$69,0)),"?"))</f>
        <v/>
      </c>
      <c r="BA239" s="97" t="str">
        <f>IF($A239="","",IFERROR(INDEX('Driver Factors'!$C$6:$C$15,MATCH($R239,'Driver Factors'!$B$6:$B$15,0)),"?"))</f>
        <v/>
      </c>
      <c r="BB239" s="97" t="str">
        <f>IF($A239="","",IFERROR(INDEX('Driver Factors'!$C$19:$C$24,MATCH($S239,'Driver Factors'!$B$19:$B$24,0)),"?"))</f>
        <v/>
      </c>
      <c r="BC239" s="97" t="str">
        <f>IF($A239="","",IFERROR(INDEX('Driver Factors'!$C$28:$C$36,MATCH($T239,'Driver Factors'!$B$28:$B$36,0)),"?"))</f>
        <v/>
      </c>
      <c r="BD239" s="97" t="str">
        <f>IF($A239="","",IFERROR(INDEX('Claims History'!$C$6:$C$15,MATCH($U239,'Claims History'!$B$6:$B$15,0)),"?"))</f>
        <v/>
      </c>
      <c r="BE239" s="97" t="str">
        <f>IF($A239="","",IFERROR(INDEX('Territory Factors'!$E$6:$E$56,MATCH($K239,'Territory Factors'!$B$6:$B$56,0)),"?"))</f>
        <v/>
      </c>
      <c r="BF239" s="97" t="str">
        <f>IF($A239="","",IFERROR(INDEX('City Accident Ratings'!$G$6:$G$54,MATCH($Z239,'City Accident Ratings'!$B$6:$B$54,0)),"?"))</f>
        <v/>
      </c>
      <c r="BG239" s="97" t="str">
        <f>IF($A239="","",IFERROR(INDEX('Usage and Coverage'!$D$6:$D$20,MATCH($N239,'Usage and Coverage'!$C$6:$C$20,0)),"?"))</f>
        <v/>
      </c>
      <c r="BH239" s="97" t="str">
        <f>IF($A239="","",IFERROR(INDEX('Usage and Coverage'!$C$24:$C$30,MATCH($O239,'Usage and Coverage'!$B$24:$B$30,0)),"?"))</f>
        <v/>
      </c>
      <c r="BI239" s="97" t="str">
        <f>IF($A239="","",IFERROR(INDEX('Usage and Coverage'!$C$34:$C$40,MATCH($P239,'Usage and Coverage'!$B$34:$B$40,0)),"?"))</f>
        <v/>
      </c>
      <c r="BJ239" s="97" t="str">
        <f>IF($A239="","",IFERROR(INDEX('Usage and Coverage'!$C$44:$C$49,MATCH($Q239,'Usage and Coverage'!$B$44:$B$49,0)),"?"))</f>
        <v/>
      </c>
      <c r="BK239" s="97" t="str">
        <f>IF($A239="","",IFERROR(INDEX(Deductibles!$C$6:$I$15,MATCH($W239,Deductibles!$B$6:$B$15,0),MATCH(MAX($J239,'Technical Premium'!$C$18),'Base Rates'!$C$3:$I$3,1)),"?"))</f>
        <v/>
      </c>
      <c r="BL239" s="97" t="str">
        <f>IF($A239="","",IFERROR(INDEX('Usage and Coverage'!$C$63:$C$66,MATCH($X239,'Usage and Coverage'!$B$63:$B$66,0)),"?"))</f>
        <v/>
      </c>
      <c r="BM239" s="97" t="str">
        <f>IF($A239="","",IFERROR(INDEX('Usage and Coverage'!$C$70:$C$75,MATCH($V239,'Usage and Coverage'!$B$70:$B$75,0)),"?"))</f>
        <v/>
      </c>
      <c r="BN239" s="97" t="str">
        <f>IF($A239="","",IF($AB239="",1,IFERROR(INDEX(Deductibles!$C$48:$C$51,MATCH($AB239,Deductibles!$B$48:$B$51,0)),"?")))</f>
        <v/>
      </c>
      <c r="BO239" s="97" t="str">
        <f>IF($A239="","",IF($AC239="",1,IFERROR(INDEX(Deductibles!$C$55:$C$57,MATCH($AC239,Deductibles!$B$55:$B$57,0)),"?")))</f>
        <v/>
      </c>
      <c r="BP239" s="97" t="str">
        <f>IF($A239="","",IF($AD239="",1,IFERROR(INDEX(Deductibles!$C$61:$C$63,MATCH($AD239,Deductibles!$B$61:$B$63,0)),"?")))</f>
        <v/>
      </c>
      <c r="BQ239" s="97" t="str">
        <f>IF($A239="","",IF($AE239="",1,IFERROR(INDEX(Deductibles!$C$67:$C$69,MATCH($AE239,Deductibles!$B$67:$B$69,0)),"?")))</f>
        <v/>
      </c>
      <c r="BR239" s="97" t="str">
        <f>IF($A239="","",IF($AF239="",1,IFERROR(INDEX(Deductibles!$C$73:$C$74,MATCH($AF239,Deductibles!$B$73:$B$74,0)),"?")))</f>
        <v/>
      </c>
      <c r="BS239" s="97" t="str">
        <f>IF($A239="","",IF($AG239="",1,IFERROR(INDEX('Sublimits and Parts'!$C$49:$C$52,MATCH($AG239,'Sublimits and Parts'!$B$49:$B$52,0)),"?")))</f>
        <v/>
      </c>
      <c r="BT239" s="97" t="str">
        <f>IF($A239="","",IF($AH239="",1,IFERROR(INDEX('Sublimits and Parts'!$C$56:$C$60,MATCH($AH239,'Sublimits and Parts'!$B$56:$B$60,0)),"?")))</f>
        <v/>
      </c>
      <c r="BU239" s="97" t="str">
        <f>IF($A239="","",IF($AI239="",1,IFERROR(INDEX('Sublimits and Parts'!$C$64:$C$67,MATCH($AI239,'Sublimits and Parts'!$B$64:$B$67,0)),"?")))</f>
        <v/>
      </c>
      <c r="BV239" s="97" t="str">
        <f>IF($A239="","",IF($AJ239="",1,IFERROR(INDEX('Sublimits and Parts'!$C$71:$C$74,MATCH($AJ239,'Sublimits and Parts'!$B$71:$B$74,0)),"?")))</f>
        <v/>
      </c>
      <c r="BW239" s="97" t="str">
        <f>IF($A239="","",IF($AK239="",1,IFERROR(INDEX('Sublimits and Parts'!$C$78:$C$80,MATCH($AK239,'Sublimits and Parts'!$B$78:$B$80,0)),"?")))</f>
        <v/>
      </c>
      <c r="BX239" s="97" t="str">
        <f>IF($A239="","",IF($AL239="",1,IFERROR(INDEX('Sublimits and Parts'!$C$84:$C$87,MATCH($AL239,'Sublimits and Parts'!$B$84:$B$87,0)),"?")))</f>
        <v/>
      </c>
      <c r="BY239" s="97" t="str">
        <f>IF($A239="","",IF($AM239="",1,IFERROR(INDEX('Sublimits and Parts'!$C$91:$C$94,MATCH($AM239,'Sublimits and Parts'!$B$91:$B$94,0)),"?")))</f>
        <v/>
      </c>
      <c r="BZ239" s="97" t="str">
        <f>IF($A239="","",IF($AN239="",1,IFERROR(INDEX('Sublimits and Parts'!$C$98:$C$101,MATCH($AN239,'Sublimits and Parts'!$B$98:$B$101,0)),"?")))</f>
        <v/>
      </c>
      <c r="CA239" s="97" t="str">
        <f>IF($A239="","",IF($AO239="",1,IFERROR(INDEX('Sublimits and Parts'!$C$105:$C$109,MATCH($AO239,'Sublimits and Parts'!$B$105:$B$109,0)),"?")))</f>
        <v/>
      </c>
      <c r="CB239" s="98" t="str">
        <f t="shared" si="41"/>
        <v/>
      </c>
      <c r="CC239" s="98" t="str">
        <f t="shared" si="42"/>
        <v/>
      </c>
      <c r="CD239" s="101" t="str">
        <f>IF($A239="","",IF(OR($CB239="?",$CC239="?"),"?",MIN($CB239*$CC239,'Technical Premium'!$C$17)))</f>
        <v/>
      </c>
      <c r="CE239" s="100" t="str">
        <f t="shared" si="43"/>
        <v/>
      </c>
      <c r="CF239" s="100" t="str">
        <f>IF($A239="","",IFERROR(INDEX('Territory Factors'!$F$6:$F$56,MATCH($K239,'Territory Factors'!$B$6:$B$56,0)),"?"))</f>
        <v/>
      </c>
      <c r="CG239" s="98" t="str">
        <f>IF($A239="","",IFERROR(INDEX('Usage and Coverage'!$C$79:$C$84,MATCH($Y239,'Usage and Coverage'!$B$79:$B$84,0)),"?"))</f>
        <v/>
      </c>
      <c r="CH239" s="100" t="str">
        <f>IFERROR(IF(ISNUMBER($CD239),$CF239*$CG239*MIN($BG239*$BA239*$BC239*$BD239*$BH239*$BF239,'Technical Premium'!$C$17),""),"")</f>
        <v/>
      </c>
      <c r="CI239" s="100" t="str">
        <f t="shared" si="44"/>
        <v/>
      </c>
      <c r="CJ239" s="100" t="str">
        <f>IFERROR($CI239*(1+'Technical Premium'!$C$5)*(1+'Technical Premium'!$C$6),"")</f>
        <v/>
      </c>
      <c r="CK239" s="100" t="str">
        <f>IFERROR($CE239*INDEX('Territory Factors'!$G$6:$G$56,MATCH($K239,'Territory Factors'!$B$6:$B$56,0))*$AU239*$AV239,"")</f>
        <v/>
      </c>
      <c r="CL239" s="100" t="str">
        <f>IFERROR(($CJ239+$CK239)*(1+'Technical Premium'!$C$7),"")</f>
        <v/>
      </c>
      <c r="CM239" s="102" t="str">
        <f>IFERROR($CL239/'Technical Premium'!$C$13,"")</f>
        <v/>
      </c>
      <c r="CN239" s="103" t="str">
        <f t="shared" si="45"/>
        <v/>
      </c>
      <c r="CO239" s="102" t="str">
        <f t="shared" si="46"/>
        <v/>
      </c>
      <c r="CP239" s="103" t="str">
        <f t="shared" si="47"/>
        <v/>
      </c>
      <c r="CQ239" s="104" t="str">
        <f t="shared" si="48"/>
        <v/>
      </c>
      <c r="CR239" s="100" t="str">
        <f>IF(ISNUMBER($CM239),'Technical Premium'!$C$14+IF($J239&gt;=1000000,'Technical Premium'!$C$15,0),"")</f>
        <v/>
      </c>
      <c r="CS239" s="100" t="str">
        <f>IFERROR(($CO239+$CR239)*(INDEX('Territory Factors'!$K$6:$K$56,MATCH($K239,'Territory Factors'!$B$6:$B$56,0))+'Commission Structure'!$C$21),"")</f>
        <v/>
      </c>
      <c r="CT239" s="102" t="str">
        <f t="shared" si="49"/>
        <v/>
      </c>
      <c r="CU239" s="100" t="str">
        <f>IFERROR($CO239*('Commission Structure'!$C$6+'Commission Structure'!$C$7),"")</f>
        <v/>
      </c>
      <c r="CV239" s="100" t="str">
        <f>IFERROR($CO239*'Commission Structure'!$C$5-$CU239,"")</f>
        <v/>
      </c>
      <c r="CW239" s="100" t="str">
        <f>IFERROR($CO239*(1-'Commission Structure'!$C$5),"")</f>
        <v/>
      </c>
      <c r="CX239" s="105" t="str">
        <f>IF($A239="","",IF(OR($CB239="?",$CC239="?",NOT(ISNUMBER($AU239))),"CHECK INPUTS",IF(OR($J239&lt;'Technical Premium'!$C$18,LEFT(IFERROR(INDEX('Driver Factors'!$D$6:$D$15,MATCH($R239,'Driver Factors'!$B$6:$B$15,0)),""),7)="DECLINE",LEFT(IFERROR(INDEX('Driver Factors'!$D$28:$D$36,MATCH($T239,'Driver Factors'!$B$28:$B$36,0)),""),7)="DECLINE",LEFT(IFERROR(INDEX('Claims History'!$D$6:$D$15,MATCH($U239,'Claims History'!$B$6:$B$15,0)),""),7)="DECLINE",LEFT(IFERROR(INDEX('Usage and Coverage'!$E$6:$E$20,MATCH($N239,'Usage and Coverage'!$C$6:$C$20,0)),""),7)="DECLINE"),"DECLINE",IF(OR($CD239&gt;2.5,$CD239&gt;='Technical Premium'!$C$17,$J239&gt;='Technical Premium'!$C$16,N($AQ239)&lt;'Technical Premium'!$C$19,N($AQ239)&gt;'Technical Premium'!$C$20,LEFT(IFERROR(INDEX('Driver Factors'!$D$6:$D$15,MATCH($R239,'Driver Factors'!$B$6:$B$15,0)),""),5)="Refer",LEFT(IFERROR(INDEX('Driver Factors'!$D$28:$D$36,MATCH($T239,'Driver Factors'!$B$28:$B$36,0)),""),5)="Refer",LEFT(IFERROR(INDEX('Claims History'!$D$6:$D$15,MATCH($U239,'Claims History'!$B$6:$B$15,0)),""),5)="Refer",LEFT(IFERROR(INDEX('Usage and Coverage'!$E$6:$E$20,MATCH($N239,'Usage and Coverage'!$C$6:$C$20,0)),""),5)="Refer"),"REFER","AUTO-BIND"))))</f>
        <v/>
      </c>
      <c r="CY239" s="106" t="str">
        <f t="shared" si="50"/>
        <v/>
      </c>
      <c r="CZ239" s="97" t="str">
        <f>IF($CY239="","",IF($CY239&lt;'Technical Premium'!$C$19,"BEYOND AUTHORITY",IF($CY239&gt;0.005,"Above technical",IF($CY239&lt;-0.005,"BELOW technical","At technical"))))</f>
        <v/>
      </c>
      <c r="DA239" s="97" t="str">
        <f>IF($A239="","",IF($CX239="AUTO-BIND","",TRIM(IF($J239&lt;'Technical Premium'!$C$18,"Below programme minimum agreed value. ","")&amp;IF(N($AQ239)&lt;'Technical Premium'!$C$19,"DISCOUNT AUTHORITY BREACH. ","")&amp;IF(N($AQ239)&gt;'Technical Premium'!$C$20,"Load authority breach. ","")&amp;IF($J239&gt;='Technical Premium'!$C$16,"Agreed value at or above auto-bind limit. ","")&amp;IF(AND(ISNUMBER($CD239),$CD239&gt;='Technical Premium'!$C$17),"Composite factor at cap. ","")&amp;IF(AND(ISNUMBER($CD239),$CD239&gt;2.5),"Composite factor above 2.50. ","")&amp;IF(LEFT(IFERROR(INDEX('Driver Factors'!$D$6:$D$15,MATCH($R239,'Driver Factors'!$B$6:$B$15,0)),""),7)="DECLINE","DECLINE - driver age. ",IF(LEFT(IFERROR(INDEX('Driver Factors'!$D$6:$D$15,MATCH($R239,'Driver Factors'!$B$6:$B$15,0)),""),5)="Refer","Driver age band. ",""))&amp;IF(LEFT(IFERROR(INDEX('Driver Factors'!$D$28:$D$36,MATCH($T239,'Driver Factors'!$B$28:$B$36,0)),""),7)="DECLINE","DECLINE - MVR. ",IF(LEFT(IFERROR(INDEX('Driver Factors'!$D$28:$D$36,MATCH($T239,'Driver Factors'!$B$28:$B$36,0)),""),5)="Refer","MVR record. ",""))&amp;IF(LEFT(IFERROR(INDEX('Claims History'!$D$6:$D$15,MATCH($U239,'Claims History'!$B$6:$B$15,0)),""),7)="DECLINE","DECLINE - claims. ",IF(LEFT(IFERROR(INDEX('Claims History'!$D$6:$D$15,MATCH($U239,'Claims History'!$B$6:$B$15,0)),""),5)="Refer","Claims history. ",""))&amp;IF(LEFT(IFERROR(INDEX('Usage and Coverage'!$E$6:$E$20,MATCH($N239,'Usage and Coverage'!$C$6:$C$20,0)),""),7)="DECLINE","DECLINE - usage class. ",IF(LEFT(IFERROR(INDEX('Usage and Coverage'!$E$6:$E$20,MATCH($N239,'Usage and Coverage'!$C$6:$C$20,0)),""),5)="Refer","Usage class. ",""))&amp;IF($CX239="CHECK INPUTS","Incomplete inputs. ",""))))</f>
        <v/>
      </c>
      <c r="DB239" s="92"/>
      <c r="DC239" s="92"/>
      <c r="DD239" s="93"/>
      <c r="DE239" s="92"/>
      <c r="DF239" s="92"/>
      <c r="DG239" s="97" t="str">
        <f t="shared" si="51"/>
        <v/>
      </c>
      <c r="DH239" s="97" t="str">
        <f>IF($A239="","",IF(OR($CX239="REFER",$CX239="DECLINE"),COUNTIF($CX$5:$CX239,"REFER")+COUNTIF($CX$5:$CX239,"DECLINE"),""))</f>
        <v/>
      </c>
      <c r="DI239" s="92"/>
    </row>
    <row r="240" spans="1:113" x14ac:dyDescent="0.25">
      <c r="A240" s="92"/>
      <c r="B240" s="92"/>
      <c r="C240" s="93"/>
      <c r="D240" s="93"/>
      <c r="E240" s="94"/>
      <c r="F240" s="92"/>
      <c r="G240" s="92"/>
      <c r="H240" s="92"/>
      <c r="I240" s="92"/>
      <c r="J240" s="95"/>
      <c r="K240" s="92"/>
      <c r="L240" s="92"/>
      <c r="M240" s="92"/>
      <c r="N240" s="92"/>
      <c r="O240" s="92"/>
      <c r="P240" s="92"/>
      <c r="Q240" s="92"/>
      <c r="R240" s="92"/>
      <c r="S240" s="92"/>
      <c r="T240" s="92"/>
      <c r="U240" s="92"/>
      <c r="V240" s="92"/>
      <c r="W240" s="92"/>
      <c r="X240" s="92"/>
      <c r="Y240" s="92"/>
      <c r="Z240" s="92"/>
      <c r="AA240" s="92"/>
      <c r="AB240" s="92"/>
      <c r="AC240" s="92"/>
      <c r="AD240" s="92"/>
      <c r="AE240" s="92"/>
      <c r="AF240" s="92"/>
      <c r="AG240" s="92"/>
      <c r="AH240" s="92"/>
      <c r="AI240" s="92"/>
      <c r="AJ240" s="92"/>
      <c r="AK240" s="92"/>
      <c r="AL240" s="92"/>
      <c r="AM240" s="92"/>
      <c r="AN240" s="92"/>
      <c r="AO240" s="92"/>
      <c r="AP240" s="92"/>
      <c r="AQ240" s="96"/>
      <c r="AR240" s="97" t="str">
        <f t="shared" si="39"/>
        <v/>
      </c>
      <c r="AS240" s="97" t="str">
        <f>IF($A240="","",IF($AP240&lt;&gt;"",$AP240,IFERROR(INDEX('Cat Zone by ZIP'!$D$6:$D$856,MATCH($AR240,'Cat Zone by ZIP'!$B$6:$B$856,0)),IFERROR(INDEX('Cat Zone by ZIP'!$C$860:$C$910,MATCH($K240,'Cat Zone by ZIP'!$B$860:$B$910,0)),"NOT FOUND"))))</f>
        <v/>
      </c>
      <c r="AT240" s="97" t="str">
        <f>IF($A240="","",IF($AP240&lt;&gt;"","Override",IF(ISNUMBER(MATCH($AR240,'Cat Zone by ZIP'!$B$6:$B$856,0)),"ZIP-3","State default")))</f>
        <v/>
      </c>
      <c r="AU240" s="98" t="str">
        <f>IF($A240="","",IFERROR(INDEX('Natural Catastrophe'!$D$6:$D$17,MATCH($AS240,'Natural Catastrophe'!$B$6:$B$17,0)),"?"))</f>
        <v/>
      </c>
      <c r="AV240" s="98" t="str">
        <f>IF($A240="","",IFERROR(INDEX('Natural Catastrophe'!$C$21:$C$26,MATCH($AA240,'Natural Catastrophe'!$B$21:$B$26,0)),"?"))</f>
        <v/>
      </c>
      <c r="AW240" s="97" t="str">
        <f>IF($A240="","",IFERROR(INDEX('Base Rates'!$C$4:$I$4,MATCH(MAX($J240,'Technical Premium'!$C$18),'Base Rates'!$C$3:$I$3,1)),"?"))</f>
        <v/>
      </c>
      <c r="AX240" s="99" t="str">
        <f>IF($A240="","",IFERROR(INDEX('Base Rates'!$C$5:$I$16,MATCH($I240,'Base Rates'!$B$5:$B$16,0),MATCH(MAX($J240,'Technical Premium'!$C$18),'Base Rates'!$C$3:$I$3,1)),"?"))</f>
        <v/>
      </c>
      <c r="AY240" s="100" t="str">
        <f t="shared" si="40"/>
        <v/>
      </c>
      <c r="AZ240" s="97" t="str">
        <f>IF($A240="","",IFERROR(INDEX('Make Factors'!$G$5:$G$69,MATCH($F240,'Make Factors'!$B$5:$B$69,0)),"?"))</f>
        <v/>
      </c>
      <c r="BA240" s="97" t="str">
        <f>IF($A240="","",IFERROR(INDEX('Driver Factors'!$C$6:$C$15,MATCH($R240,'Driver Factors'!$B$6:$B$15,0)),"?"))</f>
        <v/>
      </c>
      <c r="BB240" s="97" t="str">
        <f>IF($A240="","",IFERROR(INDEX('Driver Factors'!$C$19:$C$24,MATCH($S240,'Driver Factors'!$B$19:$B$24,0)),"?"))</f>
        <v/>
      </c>
      <c r="BC240" s="97" t="str">
        <f>IF($A240="","",IFERROR(INDEX('Driver Factors'!$C$28:$C$36,MATCH($T240,'Driver Factors'!$B$28:$B$36,0)),"?"))</f>
        <v/>
      </c>
      <c r="BD240" s="97" t="str">
        <f>IF($A240="","",IFERROR(INDEX('Claims History'!$C$6:$C$15,MATCH($U240,'Claims History'!$B$6:$B$15,0)),"?"))</f>
        <v/>
      </c>
      <c r="BE240" s="97" t="str">
        <f>IF($A240="","",IFERROR(INDEX('Territory Factors'!$E$6:$E$56,MATCH($K240,'Territory Factors'!$B$6:$B$56,0)),"?"))</f>
        <v/>
      </c>
      <c r="BF240" s="97" t="str">
        <f>IF($A240="","",IFERROR(INDEX('City Accident Ratings'!$G$6:$G$54,MATCH($Z240,'City Accident Ratings'!$B$6:$B$54,0)),"?"))</f>
        <v/>
      </c>
      <c r="BG240" s="97" t="str">
        <f>IF($A240="","",IFERROR(INDEX('Usage and Coverage'!$D$6:$D$20,MATCH($N240,'Usage and Coverage'!$C$6:$C$20,0)),"?"))</f>
        <v/>
      </c>
      <c r="BH240" s="97" t="str">
        <f>IF($A240="","",IFERROR(INDEX('Usage and Coverage'!$C$24:$C$30,MATCH($O240,'Usage and Coverage'!$B$24:$B$30,0)),"?"))</f>
        <v/>
      </c>
      <c r="BI240" s="97" t="str">
        <f>IF($A240="","",IFERROR(INDEX('Usage and Coverage'!$C$34:$C$40,MATCH($P240,'Usage and Coverage'!$B$34:$B$40,0)),"?"))</f>
        <v/>
      </c>
      <c r="BJ240" s="97" t="str">
        <f>IF($A240="","",IFERROR(INDEX('Usage and Coverage'!$C$44:$C$49,MATCH($Q240,'Usage and Coverage'!$B$44:$B$49,0)),"?"))</f>
        <v/>
      </c>
      <c r="BK240" s="97" t="str">
        <f>IF($A240="","",IFERROR(INDEX(Deductibles!$C$6:$I$15,MATCH($W240,Deductibles!$B$6:$B$15,0),MATCH(MAX($J240,'Technical Premium'!$C$18),'Base Rates'!$C$3:$I$3,1)),"?"))</f>
        <v/>
      </c>
      <c r="BL240" s="97" t="str">
        <f>IF($A240="","",IFERROR(INDEX('Usage and Coverage'!$C$63:$C$66,MATCH($X240,'Usage and Coverage'!$B$63:$B$66,0)),"?"))</f>
        <v/>
      </c>
      <c r="BM240" s="97" t="str">
        <f>IF($A240="","",IFERROR(INDEX('Usage and Coverage'!$C$70:$C$75,MATCH($V240,'Usage and Coverage'!$B$70:$B$75,0)),"?"))</f>
        <v/>
      </c>
      <c r="BN240" s="97" t="str">
        <f>IF($A240="","",IF($AB240="",1,IFERROR(INDEX(Deductibles!$C$48:$C$51,MATCH($AB240,Deductibles!$B$48:$B$51,0)),"?")))</f>
        <v/>
      </c>
      <c r="BO240" s="97" t="str">
        <f>IF($A240="","",IF($AC240="",1,IFERROR(INDEX(Deductibles!$C$55:$C$57,MATCH($AC240,Deductibles!$B$55:$B$57,0)),"?")))</f>
        <v/>
      </c>
      <c r="BP240" s="97" t="str">
        <f>IF($A240="","",IF($AD240="",1,IFERROR(INDEX(Deductibles!$C$61:$C$63,MATCH($AD240,Deductibles!$B$61:$B$63,0)),"?")))</f>
        <v/>
      </c>
      <c r="BQ240" s="97" t="str">
        <f>IF($A240="","",IF($AE240="",1,IFERROR(INDEX(Deductibles!$C$67:$C$69,MATCH($AE240,Deductibles!$B$67:$B$69,0)),"?")))</f>
        <v/>
      </c>
      <c r="BR240" s="97" t="str">
        <f>IF($A240="","",IF($AF240="",1,IFERROR(INDEX(Deductibles!$C$73:$C$74,MATCH($AF240,Deductibles!$B$73:$B$74,0)),"?")))</f>
        <v/>
      </c>
      <c r="BS240" s="97" t="str">
        <f>IF($A240="","",IF($AG240="",1,IFERROR(INDEX('Sublimits and Parts'!$C$49:$C$52,MATCH($AG240,'Sublimits and Parts'!$B$49:$B$52,0)),"?")))</f>
        <v/>
      </c>
      <c r="BT240" s="97" t="str">
        <f>IF($A240="","",IF($AH240="",1,IFERROR(INDEX('Sublimits and Parts'!$C$56:$C$60,MATCH($AH240,'Sublimits and Parts'!$B$56:$B$60,0)),"?")))</f>
        <v/>
      </c>
      <c r="BU240" s="97" t="str">
        <f>IF($A240="","",IF($AI240="",1,IFERROR(INDEX('Sublimits and Parts'!$C$64:$C$67,MATCH($AI240,'Sublimits and Parts'!$B$64:$B$67,0)),"?")))</f>
        <v/>
      </c>
      <c r="BV240" s="97" t="str">
        <f>IF($A240="","",IF($AJ240="",1,IFERROR(INDEX('Sublimits and Parts'!$C$71:$C$74,MATCH($AJ240,'Sublimits and Parts'!$B$71:$B$74,0)),"?")))</f>
        <v/>
      </c>
      <c r="BW240" s="97" t="str">
        <f>IF($A240="","",IF($AK240="",1,IFERROR(INDEX('Sublimits and Parts'!$C$78:$C$80,MATCH($AK240,'Sublimits and Parts'!$B$78:$B$80,0)),"?")))</f>
        <v/>
      </c>
      <c r="BX240" s="97" t="str">
        <f>IF($A240="","",IF($AL240="",1,IFERROR(INDEX('Sublimits and Parts'!$C$84:$C$87,MATCH($AL240,'Sublimits and Parts'!$B$84:$B$87,0)),"?")))</f>
        <v/>
      </c>
      <c r="BY240" s="97" t="str">
        <f>IF($A240="","",IF($AM240="",1,IFERROR(INDEX('Sublimits and Parts'!$C$91:$C$94,MATCH($AM240,'Sublimits and Parts'!$B$91:$B$94,0)),"?")))</f>
        <v/>
      </c>
      <c r="BZ240" s="97" t="str">
        <f>IF($A240="","",IF($AN240="",1,IFERROR(INDEX('Sublimits and Parts'!$C$98:$C$101,MATCH($AN240,'Sublimits and Parts'!$B$98:$B$101,0)),"?")))</f>
        <v/>
      </c>
      <c r="CA240" s="97" t="str">
        <f>IF($A240="","",IF($AO240="",1,IFERROR(INDEX('Sublimits and Parts'!$C$105:$C$109,MATCH($AO240,'Sublimits and Parts'!$B$105:$B$109,0)),"?")))</f>
        <v/>
      </c>
      <c r="CB240" s="98" t="str">
        <f t="shared" si="41"/>
        <v/>
      </c>
      <c r="CC240" s="98" t="str">
        <f t="shared" si="42"/>
        <v/>
      </c>
      <c r="CD240" s="101" t="str">
        <f>IF($A240="","",IF(OR($CB240="?",$CC240="?"),"?",MIN($CB240*$CC240,'Technical Premium'!$C$17)))</f>
        <v/>
      </c>
      <c r="CE240" s="100" t="str">
        <f t="shared" si="43"/>
        <v/>
      </c>
      <c r="CF240" s="100" t="str">
        <f>IF($A240="","",IFERROR(INDEX('Territory Factors'!$F$6:$F$56,MATCH($K240,'Territory Factors'!$B$6:$B$56,0)),"?"))</f>
        <v/>
      </c>
      <c r="CG240" s="98" t="str">
        <f>IF($A240="","",IFERROR(INDEX('Usage and Coverage'!$C$79:$C$84,MATCH($Y240,'Usage and Coverage'!$B$79:$B$84,0)),"?"))</f>
        <v/>
      </c>
      <c r="CH240" s="100" t="str">
        <f>IFERROR(IF(ISNUMBER($CD240),$CF240*$CG240*MIN($BG240*$BA240*$BC240*$BD240*$BH240*$BF240,'Technical Premium'!$C$17),""),"")</f>
        <v/>
      </c>
      <c r="CI240" s="100" t="str">
        <f t="shared" si="44"/>
        <v/>
      </c>
      <c r="CJ240" s="100" t="str">
        <f>IFERROR($CI240*(1+'Technical Premium'!$C$5)*(1+'Technical Premium'!$C$6),"")</f>
        <v/>
      </c>
      <c r="CK240" s="100" t="str">
        <f>IFERROR($CE240*INDEX('Territory Factors'!$G$6:$G$56,MATCH($K240,'Territory Factors'!$B$6:$B$56,0))*$AU240*$AV240,"")</f>
        <v/>
      </c>
      <c r="CL240" s="100" t="str">
        <f>IFERROR(($CJ240+$CK240)*(1+'Technical Premium'!$C$7),"")</f>
        <v/>
      </c>
      <c r="CM240" s="102" t="str">
        <f>IFERROR($CL240/'Technical Premium'!$C$13,"")</f>
        <v/>
      </c>
      <c r="CN240" s="103" t="str">
        <f t="shared" si="45"/>
        <v/>
      </c>
      <c r="CO240" s="102" t="str">
        <f t="shared" si="46"/>
        <v/>
      </c>
      <c r="CP240" s="103" t="str">
        <f t="shared" si="47"/>
        <v/>
      </c>
      <c r="CQ240" s="104" t="str">
        <f t="shared" si="48"/>
        <v/>
      </c>
      <c r="CR240" s="100" t="str">
        <f>IF(ISNUMBER($CM240),'Technical Premium'!$C$14+IF($J240&gt;=1000000,'Technical Premium'!$C$15,0),"")</f>
        <v/>
      </c>
      <c r="CS240" s="100" t="str">
        <f>IFERROR(($CO240+$CR240)*(INDEX('Territory Factors'!$K$6:$K$56,MATCH($K240,'Territory Factors'!$B$6:$B$56,0))+'Commission Structure'!$C$21),"")</f>
        <v/>
      </c>
      <c r="CT240" s="102" t="str">
        <f t="shared" si="49"/>
        <v/>
      </c>
      <c r="CU240" s="100" t="str">
        <f>IFERROR($CO240*('Commission Structure'!$C$6+'Commission Structure'!$C$7),"")</f>
        <v/>
      </c>
      <c r="CV240" s="100" t="str">
        <f>IFERROR($CO240*'Commission Structure'!$C$5-$CU240,"")</f>
        <v/>
      </c>
      <c r="CW240" s="100" t="str">
        <f>IFERROR($CO240*(1-'Commission Structure'!$C$5),"")</f>
        <v/>
      </c>
      <c r="CX240" s="105" t="str">
        <f>IF($A240="","",IF(OR($CB240="?",$CC240="?",NOT(ISNUMBER($AU240))),"CHECK INPUTS",IF(OR($J240&lt;'Technical Premium'!$C$18,LEFT(IFERROR(INDEX('Driver Factors'!$D$6:$D$15,MATCH($R240,'Driver Factors'!$B$6:$B$15,0)),""),7)="DECLINE",LEFT(IFERROR(INDEX('Driver Factors'!$D$28:$D$36,MATCH($T240,'Driver Factors'!$B$28:$B$36,0)),""),7)="DECLINE",LEFT(IFERROR(INDEX('Claims History'!$D$6:$D$15,MATCH($U240,'Claims History'!$B$6:$B$15,0)),""),7)="DECLINE",LEFT(IFERROR(INDEX('Usage and Coverage'!$E$6:$E$20,MATCH($N240,'Usage and Coverage'!$C$6:$C$20,0)),""),7)="DECLINE"),"DECLINE",IF(OR($CD240&gt;2.5,$CD240&gt;='Technical Premium'!$C$17,$J240&gt;='Technical Premium'!$C$16,N($AQ240)&lt;'Technical Premium'!$C$19,N($AQ240)&gt;'Technical Premium'!$C$20,LEFT(IFERROR(INDEX('Driver Factors'!$D$6:$D$15,MATCH($R240,'Driver Factors'!$B$6:$B$15,0)),""),5)="Refer",LEFT(IFERROR(INDEX('Driver Factors'!$D$28:$D$36,MATCH($T240,'Driver Factors'!$B$28:$B$36,0)),""),5)="Refer",LEFT(IFERROR(INDEX('Claims History'!$D$6:$D$15,MATCH($U240,'Claims History'!$B$6:$B$15,0)),""),5)="Refer",LEFT(IFERROR(INDEX('Usage and Coverage'!$E$6:$E$20,MATCH($N240,'Usage and Coverage'!$C$6:$C$20,0)),""),5)="Refer"),"REFER","AUTO-BIND"))))</f>
        <v/>
      </c>
      <c r="CY240" s="106" t="str">
        <f t="shared" si="50"/>
        <v/>
      </c>
      <c r="CZ240" s="97" t="str">
        <f>IF($CY240="","",IF($CY240&lt;'Technical Premium'!$C$19,"BEYOND AUTHORITY",IF($CY240&gt;0.005,"Above technical",IF($CY240&lt;-0.005,"BELOW technical","At technical"))))</f>
        <v/>
      </c>
      <c r="DA240" s="97" t="str">
        <f>IF($A240="","",IF($CX240="AUTO-BIND","",TRIM(IF($J240&lt;'Technical Premium'!$C$18,"Below programme minimum agreed value. ","")&amp;IF(N($AQ240)&lt;'Technical Premium'!$C$19,"DISCOUNT AUTHORITY BREACH. ","")&amp;IF(N($AQ240)&gt;'Technical Premium'!$C$20,"Load authority breach. ","")&amp;IF($J240&gt;='Technical Premium'!$C$16,"Agreed value at or above auto-bind limit. ","")&amp;IF(AND(ISNUMBER($CD240),$CD240&gt;='Technical Premium'!$C$17),"Composite factor at cap. ","")&amp;IF(AND(ISNUMBER($CD240),$CD240&gt;2.5),"Composite factor above 2.50. ","")&amp;IF(LEFT(IFERROR(INDEX('Driver Factors'!$D$6:$D$15,MATCH($R240,'Driver Factors'!$B$6:$B$15,0)),""),7)="DECLINE","DECLINE - driver age. ",IF(LEFT(IFERROR(INDEX('Driver Factors'!$D$6:$D$15,MATCH($R240,'Driver Factors'!$B$6:$B$15,0)),""),5)="Refer","Driver age band. ",""))&amp;IF(LEFT(IFERROR(INDEX('Driver Factors'!$D$28:$D$36,MATCH($T240,'Driver Factors'!$B$28:$B$36,0)),""),7)="DECLINE","DECLINE - MVR. ",IF(LEFT(IFERROR(INDEX('Driver Factors'!$D$28:$D$36,MATCH($T240,'Driver Factors'!$B$28:$B$36,0)),""),5)="Refer","MVR record. ",""))&amp;IF(LEFT(IFERROR(INDEX('Claims History'!$D$6:$D$15,MATCH($U240,'Claims History'!$B$6:$B$15,0)),""),7)="DECLINE","DECLINE - claims. ",IF(LEFT(IFERROR(INDEX('Claims History'!$D$6:$D$15,MATCH($U240,'Claims History'!$B$6:$B$15,0)),""),5)="Refer","Claims history. ",""))&amp;IF(LEFT(IFERROR(INDEX('Usage and Coverage'!$E$6:$E$20,MATCH($N240,'Usage and Coverage'!$C$6:$C$20,0)),""),7)="DECLINE","DECLINE - usage class. ",IF(LEFT(IFERROR(INDEX('Usage and Coverage'!$E$6:$E$20,MATCH($N240,'Usage and Coverage'!$C$6:$C$20,0)),""),5)="Refer","Usage class. ",""))&amp;IF($CX240="CHECK INPUTS","Incomplete inputs. ",""))))</f>
        <v/>
      </c>
      <c r="DB240" s="92"/>
      <c r="DC240" s="92"/>
      <c r="DD240" s="93"/>
      <c r="DE240" s="92"/>
      <c r="DF240" s="92"/>
      <c r="DG240" s="97" t="str">
        <f t="shared" si="51"/>
        <v/>
      </c>
      <c r="DH240" s="97" t="str">
        <f>IF($A240="","",IF(OR($CX240="REFER",$CX240="DECLINE"),COUNTIF($CX$5:$CX240,"REFER")+COUNTIF($CX$5:$CX240,"DECLINE"),""))</f>
        <v/>
      </c>
      <c r="DI240" s="92"/>
    </row>
    <row r="241" spans="1:113" x14ac:dyDescent="0.25">
      <c r="A241" s="92"/>
      <c r="B241" s="92"/>
      <c r="C241" s="93"/>
      <c r="D241" s="93"/>
      <c r="E241" s="94"/>
      <c r="F241" s="92"/>
      <c r="G241" s="92"/>
      <c r="H241" s="92"/>
      <c r="I241" s="92"/>
      <c r="J241" s="95"/>
      <c r="K241" s="92"/>
      <c r="L241" s="92"/>
      <c r="M241" s="92"/>
      <c r="N241" s="92"/>
      <c r="O241" s="92"/>
      <c r="P241" s="92"/>
      <c r="Q241" s="92"/>
      <c r="R241" s="92"/>
      <c r="S241" s="92"/>
      <c r="T241" s="92"/>
      <c r="U241" s="92"/>
      <c r="V241" s="92"/>
      <c r="W241" s="92"/>
      <c r="X241" s="92"/>
      <c r="Y241" s="92"/>
      <c r="Z241" s="92"/>
      <c r="AA241" s="92"/>
      <c r="AB241" s="92"/>
      <c r="AC241" s="92"/>
      <c r="AD241" s="92"/>
      <c r="AE241" s="92"/>
      <c r="AF241" s="92"/>
      <c r="AG241" s="92"/>
      <c r="AH241" s="92"/>
      <c r="AI241" s="92"/>
      <c r="AJ241" s="92"/>
      <c r="AK241" s="92"/>
      <c r="AL241" s="92"/>
      <c r="AM241" s="92"/>
      <c r="AN241" s="92"/>
      <c r="AO241" s="92"/>
      <c r="AP241" s="92"/>
      <c r="AQ241" s="96"/>
      <c r="AR241" s="97" t="str">
        <f t="shared" si="39"/>
        <v/>
      </c>
      <c r="AS241" s="97" t="str">
        <f>IF($A241="","",IF($AP241&lt;&gt;"",$AP241,IFERROR(INDEX('Cat Zone by ZIP'!$D$6:$D$856,MATCH($AR241,'Cat Zone by ZIP'!$B$6:$B$856,0)),IFERROR(INDEX('Cat Zone by ZIP'!$C$860:$C$910,MATCH($K241,'Cat Zone by ZIP'!$B$860:$B$910,0)),"NOT FOUND"))))</f>
        <v/>
      </c>
      <c r="AT241" s="97" t="str">
        <f>IF($A241="","",IF($AP241&lt;&gt;"","Override",IF(ISNUMBER(MATCH($AR241,'Cat Zone by ZIP'!$B$6:$B$856,0)),"ZIP-3","State default")))</f>
        <v/>
      </c>
      <c r="AU241" s="98" t="str">
        <f>IF($A241="","",IFERROR(INDEX('Natural Catastrophe'!$D$6:$D$17,MATCH($AS241,'Natural Catastrophe'!$B$6:$B$17,0)),"?"))</f>
        <v/>
      </c>
      <c r="AV241" s="98" t="str">
        <f>IF($A241="","",IFERROR(INDEX('Natural Catastrophe'!$C$21:$C$26,MATCH($AA241,'Natural Catastrophe'!$B$21:$B$26,0)),"?"))</f>
        <v/>
      </c>
      <c r="AW241" s="97" t="str">
        <f>IF($A241="","",IFERROR(INDEX('Base Rates'!$C$4:$I$4,MATCH(MAX($J241,'Technical Premium'!$C$18),'Base Rates'!$C$3:$I$3,1)),"?"))</f>
        <v/>
      </c>
      <c r="AX241" s="99" t="str">
        <f>IF($A241="","",IFERROR(INDEX('Base Rates'!$C$5:$I$16,MATCH($I241,'Base Rates'!$B$5:$B$16,0),MATCH(MAX($J241,'Technical Premium'!$C$18),'Base Rates'!$C$3:$I$3,1)),"?"))</f>
        <v/>
      </c>
      <c r="AY241" s="100" t="str">
        <f t="shared" si="40"/>
        <v/>
      </c>
      <c r="AZ241" s="97" t="str">
        <f>IF($A241="","",IFERROR(INDEX('Make Factors'!$G$5:$G$69,MATCH($F241,'Make Factors'!$B$5:$B$69,0)),"?"))</f>
        <v/>
      </c>
      <c r="BA241" s="97" t="str">
        <f>IF($A241="","",IFERROR(INDEX('Driver Factors'!$C$6:$C$15,MATCH($R241,'Driver Factors'!$B$6:$B$15,0)),"?"))</f>
        <v/>
      </c>
      <c r="BB241" s="97" t="str">
        <f>IF($A241="","",IFERROR(INDEX('Driver Factors'!$C$19:$C$24,MATCH($S241,'Driver Factors'!$B$19:$B$24,0)),"?"))</f>
        <v/>
      </c>
      <c r="BC241" s="97" t="str">
        <f>IF($A241="","",IFERROR(INDEX('Driver Factors'!$C$28:$C$36,MATCH($T241,'Driver Factors'!$B$28:$B$36,0)),"?"))</f>
        <v/>
      </c>
      <c r="BD241" s="97" t="str">
        <f>IF($A241="","",IFERROR(INDEX('Claims History'!$C$6:$C$15,MATCH($U241,'Claims History'!$B$6:$B$15,0)),"?"))</f>
        <v/>
      </c>
      <c r="BE241" s="97" t="str">
        <f>IF($A241="","",IFERROR(INDEX('Territory Factors'!$E$6:$E$56,MATCH($K241,'Territory Factors'!$B$6:$B$56,0)),"?"))</f>
        <v/>
      </c>
      <c r="BF241" s="97" t="str">
        <f>IF($A241="","",IFERROR(INDEX('City Accident Ratings'!$G$6:$G$54,MATCH($Z241,'City Accident Ratings'!$B$6:$B$54,0)),"?"))</f>
        <v/>
      </c>
      <c r="BG241" s="97" t="str">
        <f>IF($A241="","",IFERROR(INDEX('Usage and Coverage'!$D$6:$D$20,MATCH($N241,'Usage and Coverage'!$C$6:$C$20,0)),"?"))</f>
        <v/>
      </c>
      <c r="BH241" s="97" t="str">
        <f>IF($A241="","",IFERROR(INDEX('Usage and Coverage'!$C$24:$C$30,MATCH($O241,'Usage and Coverage'!$B$24:$B$30,0)),"?"))</f>
        <v/>
      </c>
      <c r="BI241" s="97" t="str">
        <f>IF($A241="","",IFERROR(INDEX('Usage and Coverage'!$C$34:$C$40,MATCH($P241,'Usage and Coverage'!$B$34:$B$40,0)),"?"))</f>
        <v/>
      </c>
      <c r="BJ241" s="97" t="str">
        <f>IF($A241="","",IFERROR(INDEX('Usage and Coverage'!$C$44:$C$49,MATCH($Q241,'Usage and Coverage'!$B$44:$B$49,0)),"?"))</f>
        <v/>
      </c>
      <c r="BK241" s="97" t="str">
        <f>IF($A241="","",IFERROR(INDEX(Deductibles!$C$6:$I$15,MATCH($W241,Deductibles!$B$6:$B$15,0),MATCH(MAX($J241,'Technical Premium'!$C$18),'Base Rates'!$C$3:$I$3,1)),"?"))</f>
        <v/>
      </c>
      <c r="BL241" s="97" t="str">
        <f>IF($A241="","",IFERROR(INDEX('Usage and Coverage'!$C$63:$C$66,MATCH($X241,'Usage and Coverage'!$B$63:$B$66,0)),"?"))</f>
        <v/>
      </c>
      <c r="BM241" s="97" t="str">
        <f>IF($A241="","",IFERROR(INDEX('Usage and Coverage'!$C$70:$C$75,MATCH($V241,'Usage and Coverage'!$B$70:$B$75,0)),"?"))</f>
        <v/>
      </c>
      <c r="BN241" s="97" t="str">
        <f>IF($A241="","",IF($AB241="",1,IFERROR(INDEX(Deductibles!$C$48:$C$51,MATCH($AB241,Deductibles!$B$48:$B$51,0)),"?")))</f>
        <v/>
      </c>
      <c r="BO241" s="97" t="str">
        <f>IF($A241="","",IF($AC241="",1,IFERROR(INDEX(Deductibles!$C$55:$C$57,MATCH($AC241,Deductibles!$B$55:$B$57,0)),"?")))</f>
        <v/>
      </c>
      <c r="BP241" s="97" t="str">
        <f>IF($A241="","",IF($AD241="",1,IFERROR(INDEX(Deductibles!$C$61:$C$63,MATCH($AD241,Deductibles!$B$61:$B$63,0)),"?")))</f>
        <v/>
      </c>
      <c r="BQ241" s="97" t="str">
        <f>IF($A241="","",IF($AE241="",1,IFERROR(INDEX(Deductibles!$C$67:$C$69,MATCH($AE241,Deductibles!$B$67:$B$69,0)),"?")))</f>
        <v/>
      </c>
      <c r="BR241" s="97" t="str">
        <f>IF($A241="","",IF($AF241="",1,IFERROR(INDEX(Deductibles!$C$73:$C$74,MATCH($AF241,Deductibles!$B$73:$B$74,0)),"?")))</f>
        <v/>
      </c>
      <c r="BS241" s="97" t="str">
        <f>IF($A241="","",IF($AG241="",1,IFERROR(INDEX('Sublimits and Parts'!$C$49:$C$52,MATCH($AG241,'Sublimits and Parts'!$B$49:$B$52,0)),"?")))</f>
        <v/>
      </c>
      <c r="BT241" s="97" t="str">
        <f>IF($A241="","",IF($AH241="",1,IFERROR(INDEX('Sublimits and Parts'!$C$56:$C$60,MATCH($AH241,'Sublimits and Parts'!$B$56:$B$60,0)),"?")))</f>
        <v/>
      </c>
      <c r="BU241" s="97" t="str">
        <f>IF($A241="","",IF($AI241="",1,IFERROR(INDEX('Sublimits and Parts'!$C$64:$C$67,MATCH($AI241,'Sublimits and Parts'!$B$64:$B$67,0)),"?")))</f>
        <v/>
      </c>
      <c r="BV241" s="97" t="str">
        <f>IF($A241="","",IF($AJ241="",1,IFERROR(INDEX('Sublimits and Parts'!$C$71:$C$74,MATCH($AJ241,'Sublimits and Parts'!$B$71:$B$74,0)),"?")))</f>
        <v/>
      </c>
      <c r="BW241" s="97" t="str">
        <f>IF($A241="","",IF($AK241="",1,IFERROR(INDEX('Sublimits and Parts'!$C$78:$C$80,MATCH($AK241,'Sublimits and Parts'!$B$78:$B$80,0)),"?")))</f>
        <v/>
      </c>
      <c r="BX241" s="97" t="str">
        <f>IF($A241="","",IF($AL241="",1,IFERROR(INDEX('Sublimits and Parts'!$C$84:$C$87,MATCH($AL241,'Sublimits and Parts'!$B$84:$B$87,0)),"?")))</f>
        <v/>
      </c>
      <c r="BY241" s="97" t="str">
        <f>IF($A241="","",IF($AM241="",1,IFERROR(INDEX('Sublimits and Parts'!$C$91:$C$94,MATCH($AM241,'Sublimits and Parts'!$B$91:$B$94,0)),"?")))</f>
        <v/>
      </c>
      <c r="BZ241" s="97" t="str">
        <f>IF($A241="","",IF($AN241="",1,IFERROR(INDEX('Sublimits and Parts'!$C$98:$C$101,MATCH($AN241,'Sublimits and Parts'!$B$98:$B$101,0)),"?")))</f>
        <v/>
      </c>
      <c r="CA241" s="97" t="str">
        <f>IF($A241="","",IF($AO241="",1,IFERROR(INDEX('Sublimits and Parts'!$C$105:$C$109,MATCH($AO241,'Sublimits and Parts'!$B$105:$B$109,0)),"?")))</f>
        <v/>
      </c>
      <c r="CB241" s="98" t="str">
        <f t="shared" si="41"/>
        <v/>
      </c>
      <c r="CC241" s="98" t="str">
        <f t="shared" si="42"/>
        <v/>
      </c>
      <c r="CD241" s="101" t="str">
        <f>IF($A241="","",IF(OR($CB241="?",$CC241="?"),"?",MIN($CB241*$CC241,'Technical Premium'!$C$17)))</f>
        <v/>
      </c>
      <c r="CE241" s="100" t="str">
        <f t="shared" si="43"/>
        <v/>
      </c>
      <c r="CF241" s="100" t="str">
        <f>IF($A241="","",IFERROR(INDEX('Territory Factors'!$F$6:$F$56,MATCH($K241,'Territory Factors'!$B$6:$B$56,0)),"?"))</f>
        <v/>
      </c>
      <c r="CG241" s="98" t="str">
        <f>IF($A241="","",IFERROR(INDEX('Usage and Coverage'!$C$79:$C$84,MATCH($Y241,'Usage and Coverage'!$B$79:$B$84,0)),"?"))</f>
        <v/>
      </c>
      <c r="CH241" s="100" t="str">
        <f>IFERROR(IF(ISNUMBER($CD241),$CF241*$CG241*MIN($BG241*$BA241*$BC241*$BD241*$BH241*$BF241,'Technical Premium'!$C$17),""),"")</f>
        <v/>
      </c>
      <c r="CI241" s="100" t="str">
        <f t="shared" si="44"/>
        <v/>
      </c>
      <c r="CJ241" s="100" t="str">
        <f>IFERROR($CI241*(1+'Technical Premium'!$C$5)*(1+'Technical Premium'!$C$6),"")</f>
        <v/>
      </c>
      <c r="CK241" s="100" t="str">
        <f>IFERROR($CE241*INDEX('Territory Factors'!$G$6:$G$56,MATCH($K241,'Territory Factors'!$B$6:$B$56,0))*$AU241*$AV241,"")</f>
        <v/>
      </c>
      <c r="CL241" s="100" t="str">
        <f>IFERROR(($CJ241+$CK241)*(1+'Technical Premium'!$C$7),"")</f>
        <v/>
      </c>
      <c r="CM241" s="102" t="str">
        <f>IFERROR($CL241/'Technical Premium'!$C$13,"")</f>
        <v/>
      </c>
      <c r="CN241" s="103" t="str">
        <f t="shared" si="45"/>
        <v/>
      </c>
      <c r="CO241" s="102" t="str">
        <f t="shared" si="46"/>
        <v/>
      </c>
      <c r="CP241" s="103" t="str">
        <f t="shared" si="47"/>
        <v/>
      </c>
      <c r="CQ241" s="104" t="str">
        <f t="shared" si="48"/>
        <v/>
      </c>
      <c r="CR241" s="100" t="str">
        <f>IF(ISNUMBER($CM241),'Technical Premium'!$C$14+IF($J241&gt;=1000000,'Technical Premium'!$C$15,0),"")</f>
        <v/>
      </c>
      <c r="CS241" s="100" t="str">
        <f>IFERROR(($CO241+$CR241)*(INDEX('Territory Factors'!$K$6:$K$56,MATCH($K241,'Territory Factors'!$B$6:$B$56,0))+'Commission Structure'!$C$21),"")</f>
        <v/>
      </c>
      <c r="CT241" s="102" t="str">
        <f t="shared" si="49"/>
        <v/>
      </c>
      <c r="CU241" s="100" t="str">
        <f>IFERROR($CO241*('Commission Structure'!$C$6+'Commission Structure'!$C$7),"")</f>
        <v/>
      </c>
      <c r="CV241" s="100" t="str">
        <f>IFERROR($CO241*'Commission Structure'!$C$5-$CU241,"")</f>
        <v/>
      </c>
      <c r="CW241" s="100" t="str">
        <f>IFERROR($CO241*(1-'Commission Structure'!$C$5),"")</f>
        <v/>
      </c>
      <c r="CX241" s="105" t="str">
        <f>IF($A241="","",IF(OR($CB241="?",$CC241="?",NOT(ISNUMBER($AU241))),"CHECK INPUTS",IF(OR($J241&lt;'Technical Premium'!$C$18,LEFT(IFERROR(INDEX('Driver Factors'!$D$6:$D$15,MATCH($R241,'Driver Factors'!$B$6:$B$15,0)),""),7)="DECLINE",LEFT(IFERROR(INDEX('Driver Factors'!$D$28:$D$36,MATCH($T241,'Driver Factors'!$B$28:$B$36,0)),""),7)="DECLINE",LEFT(IFERROR(INDEX('Claims History'!$D$6:$D$15,MATCH($U241,'Claims History'!$B$6:$B$15,0)),""),7)="DECLINE",LEFT(IFERROR(INDEX('Usage and Coverage'!$E$6:$E$20,MATCH($N241,'Usage and Coverage'!$C$6:$C$20,0)),""),7)="DECLINE"),"DECLINE",IF(OR($CD241&gt;2.5,$CD241&gt;='Technical Premium'!$C$17,$J241&gt;='Technical Premium'!$C$16,N($AQ241)&lt;'Technical Premium'!$C$19,N($AQ241)&gt;'Technical Premium'!$C$20,LEFT(IFERROR(INDEX('Driver Factors'!$D$6:$D$15,MATCH($R241,'Driver Factors'!$B$6:$B$15,0)),""),5)="Refer",LEFT(IFERROR(INDEX('Driver Factors'!$D$28:$D$36,MATCH($T241,'Driver Factors'!$B$28:$B$36,0)),""),5)="Refer",LEFT(IFERROR(INDEX('Claims History'!$D$6:$D$15,MATCH($U241,'Claims History'!$B$6:$B$15,0)),""),5)="Refer",LEFT(IFERROR(INDEX('Usage and Coverage'!$E$6:$E$20,MATCH($N241,'Usage and Coverage'!$C$6:$C$20,0)),""),5)="Refer"),"REFER","AUTO-BIND"))))</f>
        <v/>
      </c>
      <c r="CY241" s="106" t="str">
        <f t="shared" si="50"/>
        <v/>
      </c>
      <c r="CZ241" s="97" t="str">
        <f>IF($CY241="","",IF($CY241&lt;'Technical Premium'!$C$19,"BEYOND AUTHORITY",IF($CY241&gt;0.005,"Above technical",IF($CY241&lt;-0.005,"BELOW technical","At technical"))))</f>
        <v/>
      </c>
      <c r="DA241" s="97" t="str">
        <f>IF($A241="","",IF($CX241="AUTO-BIND","",TRIM(IF($J241&lt;'Technical Premium'!$C$18,"Below programme minimum agreed value. ","")&amp;IF(N($AQ241)&lt;'Technical Premium'!$C$19,"DISCOUNT AUTHORITY BREACH. ","")&amp;IF(N($AQ241)&gt;'Technical Premium'!$C$20,"Load authority breach. ","")&amp;IF($J241&gt;='Technical Premium'!$C$16,"Agreed value at or above auto-bind limit. ","")&amp;IF(AND(ISNUMBER($CD241),$CD241&gt;='Technical Premium'!$C$17),"Composite factor at cap. ","")&amp;IF(AND(ISNUMBER($CD241),$CD241&gt;2.5),"Composite factor above 2.50. ","")&amp;IF(LEFT(IFERROR(INDEX('Driver Factors'!$D$6:$D$15,MATCH($R241,'Driver Factors'!$B$6:$B$15,0)),""),7)="DECLINE","DECLINE - driver age. ",IF(LEFT(IFERROR(INDEX('Driver Factors'!$D$6:$D$15,MATCH($R241,'Driver Factors'!$B$6:$B$15,0)),""),5)="Refer","Driver age band. ",""))&amp;IF(LEFT(IFERROR(INDEX('Driver Factors'!$D$28:$D$36,MATCH($T241,'Driver Factors'!$B$28:$B$36,0)),""),7)="DECLINE","DECLINE - MVR. ",IF(LEFT(IFERROR(INDEX('Driver Factors'!$D$28:$D$36,MATCH($T241,'Driver Factors'!$B$28:$B$36,0)),""),5)="Refer","MVR record. ",""))&amp;IF(LEFT(IFERROR(INDEX('Claims History'!$D$6:$D$15,MATCH($U241,'Claims History'!$B$6:$B$15,0)),""),7)="DECLINE","DECLINE - claims. ",IF(LEFT(IFERROR(INDEX('Claims History'!$D$6:$D$15,MATCH($U241,'Claims History'!$B$6:$B$15,0)),""),5)="Refer","Claims history. ",""))&amp;IF(LEFT(IFERROR(INDEX('Usage and Coverage'!$E$6:$E$20,MATCH($N241,'Usage and Coverage'!$C$6:$C$20,0)),""),7)="DECLINE","DECLINE - usage class. ",IF(LEFT(IFERROR(INDEX('Usage and Coverage'!$E$6:$E$20,MATCH($N241,'Usage and Coverage'!$C$6:$C$20,0)),""),5)="Refer","Usage class. ",""))&amp;IF($CX241="CHECK INPUTS","Incomplete inputs. ",""))))</f>
        <v/>
      </c>
      <c r="DB241" s="92"/>
      <c r="DC241" s="92"/>
      <c r="DD241" s="93"/>
      <c r="DE241" s="92"/>
      <c r="DF241" s="92"/>
      <c r="DG241" s="97" t="str">
        <f t="shared" si="51"/>
        <v/>
      </c>
      <c r="DH241" s="97" t="str">
        <f>IF($A241="","",IF(OR($CX241="REFER",$CX241="DECLINE"),COUNTIF($CX$5:$CX241,"REFER")+COUNTIF($CX$5:$CX241,"DECLINE"),""))</f>
        <v/>
      </c>
      <c r="DI241" s="92"/>
    </row>
    <row r="242" spans="1:113" x14ac:dyDescent="0.25">
      <c r="A242" s="92"/>
      <c r="B242" s="92"/>
      <c r="C242" s="93"/>
      <c r="D242" s="93"/>
      <c r="E242" s="94"/>
      <c r="F242" s="92"/>
      <c r="G242" s="92"/>
      <c r="H242" s="92"/>
      <c r="I242" s="92"/>
      <c r="J242" s="95"/>
      <c r="K242" s="92"/>
      <c r="L242" s="92"/>
      <c r="M242" s="92"/>
      <c r="N242" s="92"/>
      <c r="O242" s="92"/>
      <c r="P242" s="92"/>
      <c r="Q242" s="92"/>
      <c r="R242" s="92"/>
      <c r="S242" s="92"/>
      <c r="T242" s="92"/>
      <c r="U242" s="92"/>
      <c r="V242" s="92"/>
      <c r="W242" s="92"/>
      <c r="X242" s="92"/>
      <c r="Y242" s="92"/>
      <c r="Z242" s="92"/>
      <c r="AA242" s="92"/>
      <c r="AB242" s="92"/>
      <c r="AC242" s="92"/>
      <c r="AD242" s="92"/>
      <c r="AE242" s="92"/>
      <c r="AF242" s="92"/>
      <c r="AG242" s="92"/>
      <c r="AH242" s="92"/>
      <c r="AI242" s="92"/>
      <c r="AJ242" s="92"/>
      <c r="AK242" s="92"/>
      <c r="AL242" s="92"/>
      <c r="AM242" s="92"/>
      <c r="AN242" s="92"/>
      <c r="AO242" s="92"/>
      <c r="AP242" s="92"/>
      <c r="AQ242" s="96"/>
      <c r="AR242" s="97" t="str">
        <f t="shared" si="39"/>
        <v/>
      </c>
      <c r="AS242" s="97" t="str">
        <f>IF($A242="","",IF($AP242&lt;&gt;"",$AP242,IFERROR(INDEX('Cat Zone by ZIP'!$D$6:$D$856,MATCH($AR242,'Cat Zone by ZIP'!$B$6:$B$856,0)),IFERROR(INDEX('Cat Zone by ZIP'!$C$860:$C$910,MATCH($K242,'Cat Zone by ZIP'!$B$860:$B$910,0)),"NOT FOUND"))))</f>
        <v/>
      </c>
      <c r="AT242" s="97" t="str">
        <f>IF($A242="","",IF($AP242&lt;&gt;"","Override",IF(ISNUMBER(MATCH($AR242,'Cat Zone by ZIP'!$B$6:$B$856,0)),"ZIP-3","State default")))</f>
        <v/>
      </c>
      <c r="AU242" s="98" t="str">
        <f>IF($A242="","",IFERROR(INDEX('Natural Catastrophe'!$D$6:$D$17,MATCH($AS242,'Natural Catastrophe'!$B$6:$B$17,0)),"?"))</f>
        <v/>
      </c>
      <c r="AV242" s="98" t="str">
        <f>IF($A242="","",IFERROR(INDEX('Natural Catastrophe'!$C$21:$C$26,MATCH($AA242,'Natural Catastrophe'!$B$21:$B$26,0)),"?"))</f>
        <v/>
      </c>
      <c r="AW242" s="97" t="str">
        <f>IF($A242="","",IFERROR(INDEX('Base Rates'!$C$4:$I$4,MATCH(MAX($J242,'Technical Premium'!$C$18),'Base Rates'!$C$3:$I$3,1)),"?"))</f>
        <v/>
      </c>
      <c r="AX242" s="99" t="str">
        <f>IF($A242="","",IFERROR(INDEX('Base Rates'!$C$5:$I$16,MATCH($I242,'Base Rates'!$B$5:$B$16,0),MATCH(MAX($J242,'Technical Premium'!$C$18),'Base Rates'!$C$3:$I$3,1)),"?"))</f>
        <v/>
      </c>
      <c r="AY242" s="100" t="str">
        <f t="shared" si="40"/>
        <v/>
      </c>
      <c r="AZ242" s="97" t="str">
        <f>IF($A242="","",IFERROR(INDEX('Make Factors'!$G$5:$G$69,MATCH($F242,'Make Factors'!$B$5:$B$69,0)),"?"))</f>
        <v/>
      </c>
      <c r="BA242" s="97" t="str">
        <f>IF($A242="","",IFERROR(INDEX('Driver Factors'!$C$6:$C$15,MATCH($R242,'Driver Factors'!$B$6:$B$15,0)),"?"))</f>
        <v/>
      </c>
      <c r="BB242" s="97" t="str">
        <f>IF($A242="","",IFERROR(INDEX('Driver Factors'!$C$19:$C$24,MATCH($S242,'Driver Factors'!$B$19:$B$24,0)),"?"))</f>
        <v/>
      </c>
      <c r="BC242" s="97" t="str">
        <f>IF($A242="","",IFERROR(INDEX('Driver Factors'!$C$28:$C$36,MATCH($T242,'Driver Factors'!$B$28:$B$36,0)),"?"))</f>
        <v/>
      </c>
      <c r="BD242" s="97" t="str">
        <f>IF($A242="","",IFERROR(INDEX('Claims History'!$C$6:$C$15,MATCH($U242,'Claims History'!$B$6:$B$15,0)),"?"))</f>
        <v/>
      </c>
      <c r="BE242" s="97" t="str">
        <f>IF($A242="","",IFERROR(INDEX('Territory Factors'!$E$6:$E$56,MATCH($K242,'Territory Factors'!$B$6:$B$56,0)),"?"))</f>
        <v/>
      </c>
      <c r="BF242" s="97" t="str">
        <f>IF($A242="","",IFERROR(INDEX('City Accident Ratings'!$G$6:$G$54,MATCH($Z242,'City Accident Ratings'!$B$6:$B$54,0)),"?"))</f>
        <v/>
      </c>
      <c r="BG242" s="97" t="str">
        <f>IF($A242="","",IFERROR(INDEX('Usage and Coverage'!$D$6:$D$20,MATCH($N242,'Usage and Coverage'!$C$6:$C$20,0)),"?"))</f>
        <v/>
      </c>
      <c r="BH242" s="97" t="str">
        <f>IF($A242="","",IFERROR(INDEX('Usage and Coverage'!$C$24:$C$30,MATCH($O242,'Usage and Coverage'!$B$24:$B$30,0)),"?"))</f>
        <v/>
      </c>
      <c r="BI242" s="97" t="str">
        <f>IF($A242="","",IFERROR(INDEX('Usage and Coverage'!$C$34:$C$40,MATCH($P242,'Usage and Coverage'!$B$34:$B$40,0)),"?"))</f>
        <v/>
      </c>
      <c r="BJ242" s="97" t="str">
        <f>IF($A242="","",IFERROR(INDEX('Usage and Coverage'!$C$44:$C$49,MATCH($Q242,'Usage and Coverage'!$B$44:$B$49,0)),"?"))</f>
        <v/>
      </c>
      <c r="BK242" s="97" t="str">
        <f>IF($A242="","",IFERROR(INDEX(Deductibles!$C$6:$I$15,MATCH($W242,Deductibles!$B$6:$B$15,0),MATCH(MAX($J242,'Technical Premium'!$C$18),'Base Rates'!$C$3:$I$3,1)),"?"))</f>
        <v/>
      </c>
      <c r="BL242" s="97" t="str">
        <f>IF($A242="","",IFERROR(INDEX('Usage and Coverage'!$C$63:$C$66,MATCH($X242,'Usage and Coverage'!$B$63:$B$66,0)),"?"))</f>
        <v/>
      </c>
      <c r="BM242" s="97" t="str">
        <f>IF($A242="","",IFERROR(INDEX('Usage and Coverage'!$C$70:$C$75,MATCH($V242,'Usage and Coverage'!$B$70:$B$75,0)),"?"))</f>
        <v/>
      </c>
      <c r="BN242" s="97" t="str">
        <f>IF($A242="","",IF($AB242="",1,IFERROR(INDEX(Deductibles!$C$48:$C$51,MATCH($AB242,Deductibles!$B$48:$B$51,0)),"?")))</f>
        <v/>
      </c>
      <c r="BO242" s="97" t="str">
        <f>IF($A242="","",IF($AC242="",1,IFERROR(INDEX(Deductibles!$C$55:$C$57,MATCH($AC242,Deductibles!$B$55:$B$57,0)),"?")))</f>
        <v/>
      </c>
      <c r="BP242" s="97" t="str">
        <f>IF($A242="","",IF($AD242="",1,IFERROR(INDEX(Deductibles!$C$61:$C$63,MATCH($AD242,Deductibles!$B$61:$B$63,0)),"?")))</f>
        <v/>
      </c>
      <c r="BQ242" s="97" t="str">
        <f>IF($A242="","",IF($AE242="",1,IFERROR(INDEX(Deductibles!$C$67:$C$69,MATCH($AE242,Deductibles!$B$67:$B$69,0)),"?")))</f>
        <v/>
      </c>
      <c r="BR242" s="97" t="str">
        <f>IF($A242="","",IF($AF242="",1,IFERROR(INDEX(Deductibles!$C$73:$C$74,MATCH($AF242,Deductibles!$B$73:$B$74,0)),"?")))</f>
        <v/>
      </c>
      <c r="BS242" s="97" t="str">
        <f>IF($A242="","",IF($AG242="",1,IFERROR(INDEX('Sublimits and Parts'!$C$49:$C$52,MATCH($AG242,'Sublimits and Parts'!$B$49:$B$52,0)),"?")))</f>
        <v/>
      </c>
      <c r="BT242" s="97" t="str">
        <f>IF($A242="","",IF($AH242="",1,IFERROR(INDEX('Sublimits and Parts'!$C$56:$C$60,MATCH($AH242,'Sublimits and Parts'!$B$56:$B$60,0)),"?")))</f>
        <v/>
      </c>
      <c r="BU242" s="97" t="str">
        <f>IF($A242="","",IF($AI242="",1,IFERROR(INDEX('Sublimits and Parts'!$C$64:$C$67,MATCH($AI242,'Sublimits and Parts'!$B$64:$B$67,0)),"?")))</f>
        <v/>
      </c>
      <c r="BV242" s="97" t="str">
        <f>IF($A242="","",IF($AJ242="",1,IFERROR(INDEX('Sublimits and Parts'!$C$71:$C$74,MATCH($AJ242,'Sublimits and Parts'!$B$71:$B$74,0)),"?")))</f>
        <v/>
      </c>
      <c r="BW242" s="97" t="str">
        <f>IF($A242="","",IF($AK242="",1,IFERROR(INDEX('Sublimits and Parts'!$C$78:$C$80,MATCH($AK242,'Sublimits and Parts'!$B$78:$B$80,0)),"?")))</f>
        <v/>
      </c>
      <c r="BX242" s="97" t="str">
        <f>IF($A242="","",IF($AL242="",1,IFERROR(INDEX('Sublimits and Parts'!$C$84:$C$87,MATCH($AL242,'Sublimits and Parts'!$B$84:$B$87,0)),"?")))</f>
        <v/>
      </c>
      <c r="BY242" s="97" t="str">
        <f>IF($A242="","",IF($AM242="",1,IFERROR(INDEX('Sublimits and Parts'!$C$91:$C$94,MATCH($AM242,'Sublimits and Parts'!$B$91:$B$94,0)),"?")))</f>
        <v/>
      </c>
      <c r="BZ242" s="97" t="str">
        <f>IF($A242="","",IF($AN242="",1,IFERROR(INDEX('Sublimits and Parts'!$C$98:$C$101,MATCH($AN242,'Sublimits and Parts'!$B$98:$B$101,0)),"?")))</f>
        <v/>
      </c>
      <c r="CA242" s="97" t="str">
        <f>IF($A242="","",IF($AO242="",1,IFERROR(INDEX('Sublimits and Parts'!$C$105:$C$109,MATCH($AO242,'Sublimits and Parts'!$B$105:$B$109,0)),"?")))</f>
        <v/>
      </c>
      <c r="CB242" s="98" t="str">
        <f t="shared" si="41"/>
        <v/>
      </c>
      <c r="CC242" s="98" t="str">
        <f t="shared" si="42"/>
        <v/>
      </c>
      <c r="CD242" s="101" t="str">
        <f>IF($A242="","",IF(OR($CB242="?",$CC242="?"),"?",MIN($CB242*$CC242,'Technical Premium'!$C$17)))</f>
        <v/>
      </c>
      <c r="CE242" s="100" t="str">
        <f t="shared" si="43"/>
        <v/>
      </c>
      <c r="CF242" s="100" t="str">
        <f>IF($A242="","",IFERROR(INDEX('Territory Factors'!$F$6:$F$56,MATCH($K242,'Territory Factors'!$B$6:$B$56,0)),"?"))</f>
        <v/>
      </c>
      <c r="CG242" s="98" t="str">
        <f>IF($A242="","",IFERROR(INDEX('Usage and Coverage'!$C$79:$C$84,MATCH($Y242,'Usage and Coverage'!$B$79:$B$84,0)),"?"))</f>
        <v/>
      </c>
      <c r="CH242" s="100" t="str">
        <f>IFERROR(IF(ISNUMBER($CD242),$CF242*$CG242*MIN($BG242*$BA242*$BC242*$BD242*$BH242*$BF242,'Technical Premium'!$C$17),""),"")</f>
        <v/>
      </c>
      <c r="CI242" s="100" t="str">
        <f t="shared" si="44"/>
        <v/>
      </c>
      <c r="CJ242" s="100" t="str">
        <f>IFERROR($CI242*(1+'Technical Premium'!$C$5)*(1+'Technical Premium'!$C$6),"")</f>
        <v/>
      </c>
      <c r="CK242" s="100" t="str">
        <f>IFERROR($CE242*INDEX('Territory Factors'!$G$6:$G$56,MATCH($K242,'Territory Factors'!$B$6:$B$56,0))*$AU242*$AV242,"")</f>
        <v/>
      </c>
      <c r="CL242" s="100" t="str">
        <f>IFERROR(($CJ242+$CK242)*(1+'Technical Premium'!$C$7),"")</f>
        <v/>
      </c>
      <c r="CM242" s="102" t="str">
        <f>IFERROR($CL242/'Technical Premium'!$C$13,"")</f>
        <v/>
      </c>
      <c r="CN242" s="103" t="str">
        <f t="shared" si="45"/>
        <v/>
      </c>
      <c r="CO242" s="102" t="str">
        <f t="shared" si="46"/>
        <v/>
      </c>
      <c r="CP242" s="103" t="str">
        <f t="shared" si="47"/>
        <v/>
      </c>
      <c r="CQ242" s="104" t="str">
        <f t="shared" si="48"/>
        <v/>
      </c>
      <c r="CR242" s="100" t="str">
        <f>IF(ISNUMBER($CM242),'Technical Premium'!$C$14+IF($J242&gt;=1000000,'Technical Premium'!$C$15,0),"")</f>
        <v/>
      </c>
      <c r="CS242" s="100" t="str">
        <f>IFERROR(($CO242+$CR242)*(INDEX('Territory Factors'!$K$6:$K$56,MATCH($K242,'Territory Factors'!$B$6:$B$56,0))+'Commission Structure'!$C$21),"")</f>
        <v/>
      </c>
      <c r="CT242" s="102" t="str">
        <f t="shared" si="49"/>
        <v/>
      </c>
      <c r="CU242" s="100" t="str">
        <f>IFERROR($CO242*('Commission Structure'!$C$6+'Commission Structure'!$C$7),"")</f>
        <v/>
      </c>
      <c r="CV242" s="100" t="str">
        <f>IFERROR($CO242*'Commission Structure'!$C$5-$CU242,"")</f>
        <v/>
      </c>
      <c r="CW242" s="100" t="str">
        <f>IFERROR($CO242*(1-'Commission Structure'!$C$5),"")</f>
        <v/>
      </c>
      <c r="CX242" s="105" t="str">
        <f>IF($A242="","",IF(OR($CB242="?",$CC242="?",NOT(ISNUMBER($AU242))),"CHECK INPUTS",IF(OR($J242&lt;'Technical Premium'!$C$18,LEFT(IFERROR(INDEX('Driver Factors'!$D$6:$D$15,MATCH($R242,'Driver Factors'!$B$6:$B$15,0)),""),7)="DECLINE",LEFT(IFERROR(INDEX('Driver Factors'!$D$28:$D$36,MATCH($T242,'Driver Factors'!$B$28:$B$36,0)),""),7)="DECLINE",LEFT(IFERROR(INDEX('Claims History'!$D$6:$D$15,MATCH($U242,'Claims History'!$B$6:$B$15,0)),""),7)="DECLINE",LEFT(IFERROR(INDEX('Usage and Coverage'!$E$6:$E$20,MATCH($N242,'Usage and Coverage'!$C$6:$C$20,0)),""),7)="DECLINE"),"DECLINE",IF(OR($CD242&gt;2.5,$CD242&gt;='Technical Premium'!$C$17,$J242&gt;='Technical Premium'!$C$16,N($AQ242)&lt;'Technical Premium'!$C$19,N($AQ242)&gt;'Technical Premium'!$C$20,LEFT(IFERROR(INDEX('Driver Factors'!$D$6:$D$15,MATCH($R242,'Driver Factors'!$B$6:$B$15,0)),""),5)="Refer",LEFT(IFERROR(INDEX('Driver Factors'!$D$28:$D$36,MATCH($T242,'Driver Factors'!$B$28:$B$36,0)),""),5)="Refer",LEFT(IFERROR(INDEX('Claims History'!$D$6:$D$15,MATCH($U242,'Claims History'!$B$6:$B$15,0)),""),5)="Refer",LEFT(IFERROR(INDEX('Usage and Coverage'!$E$6:$E$20,MATCH($N242,'Usage and Coverage'!$C$6:$C$20,0)),""),5)="Refer"),"REFER","AUTO-BIND"))))</f>
        <v/>
      </c>
      <c r="CY242" s="106" t="str">
        <f t="shared" si="50"/>
        <v/>
      </c>
      <c r="CZ242" s="97" t="str">
        <f>IF($CY242="","",IF($CY242&lt;'Technical Premium'!$C$19,"BEYOND AUTHORITY",IF($CY242&gt;0.005,"Above technical",IF($CY242&lt;-0.005,"BELOW technical","At technical"))))</f>
        <v/>
      </c>
      <c r="DA242" s="97" t="str">
        <f>IF($A242="","",IF($CX242="AUTO-BIND","",TRIM(IF($J242&lt;'Technical Premium'!$C$18,"Below programme minimum agreed value. ","")&amp;IF(N($AQ242)&lt;'Technical Premium'!$C$19,"DISCOUNT AUTHORITY BREACH. ","")&amp;IF(N($AQ242)&gt;'Technical Premium'!$C$20,"Load authority breach. ","")&amp;IF($J242&gt;='Technical Premium'!$C$16,"Agreed value at or above auto-bind limit. ","")&amp;IF(AND(ISNUMBER($CD242),$CD242&gt;='Technical Premium'!$C$17),"Composite factor at cap. ","")&amp;IF(AND(ISNUMBER($CD242),$CD242&gt;2.5),"Composite factor above 2.50. ","")&amp;IF(LEFT(IFERROR(INDEX('Driver Factors'!$D$6:$D$15,MATCH($R242,'Driver Factors'!$B$6:$B$15,0)),""),7)="DECLINE","DECLINE - driver age. ",IF(LEFT(IFERROR(INDEX('Driver Factors'!$D$6:$D$15,MATCH($R242,'Driver Factors'!$B$6:$B$15,0)),""),5)="Refer","Driver age band. ",""))&amp;IF(LEFT(IFERROR(INDEX('Driver Factors'!$D$28:$D$36,MATCH($T242,'Driver Factors'!$B$28:$B$36,0)),""),7)="DECLINE","DECLINE - MVR. ",IF(LEFT(IFERROR(INDEX('Driver Factors'!$D$28:$D$36,MATCH($T242,'Driver Factors'!$B$28:$B$36,0)),""),5)="Refer","MVR record. ",""))&amp;IF(LEFT(IFERROR(INDEX('Claims History'!$D$6:$D$15,MATCH($U242,'Claims History'!$B$6:$B$15,0)),""),7)="DECLINE","DECLINE - claims. ",IF(LEFT(IFERROR(INDEX('Claims History'!$D$6:$D$15,MATCH($U242,'Claims History'!$B$6:$B$15,0)),""),5)="Refer","Claims history. ",""))&amp;IF(LEFT(IFERROR(INDEX('Usage and Coverage'!$E$6:$E$20,MATCH($N242,'Usage and Coverage'!$C$6:$C$20,0)),""),7)="DECLINE","DECLINE - usage class. ",IF(LEFT(IFERROR(INDEX('Usage and Coverage'!$E$6:$E$20,MATCH($N242,'Usage and Coverage'!$C$6:$C$20,0)),""),5)="Refer","Usage class. ",""))&amp;IF($CX242="CHECK INPUTS","Incomplete inputs. ",""))))</f>
        <v/>
      </c>
      <c r="DB242" s="92"/>
      <c r="DC242" s="92"/>
      <c r="DD242" s="93"/>
      <c r="DE242" s="92"/>
      <c r="DF242" s="92"/>
      <c r="DG242" s="97" t="str">
        <f t="shared" si="51"/>
        <v/>
      </c>
      <c r="DH242" s="97" t="str">
        <f>IF($A242="","",IF(OR($CX242="REFER",$CX242="DECLINE"),COUNTIF($CX$5:$CX242,"REFER")+COUNTIF($CX$5:$CX242,"DECLINE"),""))</f>
        <v/>
      </c>
      <c r="DI242" s="92"/>
    </row>
    <row r="243" spans="1:113" x14ac:dyDescent="0.25">
      <c r="A243" s="92"/>
      <c r="B243" s="92"/>
      <c r="C243" s="93"/>
      <c r="D243" s="93"/>
      <c r="E243" s="94"/>
      <c r="F243" s="92"/>
      <c r="G243" s="92"/>
      <c r="H243" s="92"/>
      <c r="I243" s="92"/>
      <c r="J243" s="95"/>
      <c r="K243" s="92"/>
      <c r="L243" s="92"/>
      <c r="M243" s="92"/>
      <c r="N243" s="92"/>
      <c r="O243" s="92"/>
      <c r="P243" s="92"/>
      <c r="Q243" s="92"/>
      <c r="R243" s="92"/>
      <c r="S243" s="92"/>
      <c r="T243" s="92"/>
      <c r="U243" s="92"/>
      <c r="V243" s="92"/>
      <c r="W243" s="92"/>
      <c r="X243" s="92"/>
      <c r="Y243" s="92"/>
      <c r="Z243" s="92"/>
      <c r="AA243" s="92"/>
      <c r="AB243" s="92"/>
      <c r="AC243" s="92"/>
      <c r="AD243" s="92"/>
      <c r="AE243" s="92"/>
      <c r="AF243" s="92"/>
      <c r="AG243" s="92"/>
      <c r="AH243" s="92"/>
      <c r="AI243" s="92"/>
      <c r="AJ243" s="92"/>
      <c r="AK243" s="92"/>
      <c r="AL243" s="92"/>
      <c r="AM243" s="92"/>
      <c r="AN243" s="92"/>
      <c r="AO243" s="92"/>
      <c r="AP243" s="92"/>
      <c r="AQ243" s="96"/>
      <c r="AR243" s="97" t="str">
        <f t="shared" si="39"/>
        <v/>
      </c>
      <c r="AS243" s="97" t="str">
        <f>IF($A243="","",IF($AP243&lt;&gt;"",$AP243,IFERROR(INDEX('Cat Zone by ZIP'!$D$6:$D$856,MATCH($AR243,'Cat Zone by ZIP'!$B$6:$B$856,0)),IFERROR(INDEX('Cat Zone by ZIP'!$C$860:$C$910,MATCH($K243,'Cat Zone by ZIP'!$B$860:$B$910,0)),"NOT FOUND"))))</f>
        <v/>
      </c>
      <c r="AT243" s="97" t="str">
        <f>IF($A243="","",IF($AP243&lt;&gt;"","Override",IF(ISNUMBER(MATCH($AR243,'Cat Zone by ZIP'!$B$6:$B$856,0)),"ZIP-3","State default")))</f>
        <v/>
      </c>
      <c r="AU243" s="98" t="str">
        <f>IF($A243="","",IFERROR(INDEX('Natural Catastrophe'!$D$6:$D$17,MATCH($AS243,'Natural Catastrophe'!$B$6:$B$17,0)),"?"))</f>
        <v/>
      </c>
      <c r="AV243" s="98" t="str">
        <f>IF($A243="","",IFERROR(INDEX('Natural Catastrophe'!$C$21:$C$26,MATCH($AA243,'Natural Catastrophe'!$B$21:$B$26,0)),"?"))</f>
        <v/>
      </c>
      <c r="AW243" s="97" t="str">
        <f>IF($A243="","",IFERROR(INDEX('Base Rates'!$C$4:$I$4,MATCH(MAX($J243,'Technical Premium'!$C$18),'Base Rates'!$C$3:$I$3,1)),"?"))</f>
        <v/>
      </c>
      <c r="AX243" s="99" t="str">
        <f>IF($A243="","",IFERROR(INDEX('Base Rates'!$C$5:$I$16,MATCH($I243,'Base Rates'!$B$5:$B$16,0),MATCH(MAX($J243,'Technical Premium'!$C$18),'Base Rates'!$C$3:$I$3,1)),"?"))</f>
        <v/>
      </c>
      <c r="AY243" s="100" t="str">
        <f t="shared" si="40"/>
        <v/>
      </c>
      <c r="AZ243" s="97" t="str">
        <f>IF($A243="","",IFERROR(INDEX('Make Factors'!$G$5:$G$69,MATCH($F243,'Make Factors'!$B$5:$B$69,0)),"?"))</f>
        <v/>
      </c>
      <c r="BA243" s="97" t="str">
        <f>IF($A243="","",IFERROR(INDEX('Driver Factors'!$C$6:$C$15,MATCH($R243,'Driver Factors'!$B$6:$B$15,0)),"?"))</f>
        <v/>
      </c>
      <c r="BB243" s="97" t="str">
        <f>IF($A243="","",IFERROR(INDEX('Driver Factors'!$C$19:$C$24,MATCH($S243,'Driver Factors'!$B$19:$B$24,0)),"?"))</f>
        <v/>
      </c>
      <c r="BC243" s="97" t="str">
        <f>IF($A243="","",IFERROR(INDEX('Driver Factors'!$C$28:$C$36,MATCH($T243,'Driver Factors'!$B$28:$B$36,0)),"?"))</f>
        <v/>
      </c>
      <c r="BD243" s="97" t="str">
        <f>IF($A243="","",IFERROR(INDEX('Claims History'!$C$6:$C$15,MATCH($U243,'Claims History'!$B$6:$B$15,0)),"?"))</f>
        <v/>
      </c>
      <c r="BE243" s="97" t="str">
        <f>IF($A243="","",IFERROR(INDEX('Territory Factors'!$E$6:$E$56,MATCH($K243,'Territory Factors'!$B$6:$B$56,0)),"?"))</f>
        <v/>
      </c>
      <c r="BF243" s="97" t="str">
        <f>IF($A243="","",IFERROR(INDEX('City Accident Ratings'!$G$6:$G$54,MATCH($Z243,'City Accident Ratings'!$B$6:$B$54,0)),"?"))</f>
        <v/>
      </c>
      <c r="BG243" s="97" t="str">
        <f>IF($A243="","",IFERROR(INDEX('Usage and Coverage'!$D$6:$D$20,MATCH($N243,'Usage and Coverage'!$C$6:$C$20,0)),"?"))</f>
        <v/>
      </c>
      <c r="BH243" s="97" t="str">
        <f>IF($A243="","",IFERROR(INDEX('Usage and Coverage'!$C$24:$C$30,MATCH($O243,'Usage and Coverage'!$B$24:$B$30,0)),"?"))</f>
        <v/>
      </c>
      <c r="BI243" s="97" t="str">
        <f>IF($A243="","",IFERROR(INDEX('Usage and Coverage'!$C$34:$C$40,MATCH($P243,'Usage and Coverage'!$B$34:$B$40,0)),"?"))</f>
        <v/>
      </c>
      <c r="BJ243" s="97" t="str">
        <f>IF($A243="","",IFERROR(INDEX('Usage and Coverage'!$C$44:$C$49,MATCH($Q243,'Usage and Coverage'!$B$44:$B$49,0)),"?"))</f>
        <v/>
      </c>
      <c r="BK243" s="97" t="str">
        <f>IF($A243="","",IFERROR(INDEX(Deductibles!$C$6:$I$15,MATCH($W243,Deductibles!$B$6:$B$15,0),MATCH(MAX($J243,'Technical Premium'!$C$18),'Base Rates'!$C$3:$I$3,1)),"?"))</f>
        <v/>
      </c>
      <c r="BL243" s="97" t="str">
        <f>IF($A243="","",IFERROR(INDEX('Usage and Coverage'!$C$63:$C$66,MATCH($X243,'Usage and Coverage'!$B$63:$B$66,0)),"?"))</f>
        <v/>
      </c>
      <c r="BM243" s="97" t="str">
        <f>IF($A243="","",IFERROR(INDEX('Usage and Coverage'!$C$70:$C$75,MATCH($V243,'Usage and Coverage'!$B$70:$B$75,0)),"?"))</f>
        <v/>
      </c>
      <c r="BN243" s="97" t="str">
        <f>IF($A243="","",IF($AB243="",1,IFERROR(INDEX(Deductibles!$C$48:$C$51,MATCH($AB243,Deductibles!$B$48:$B$51,0)),"?")))</f>
        <v/>
      </c>
      <c r="BO243" s="97" t="str">
        <f>IF($A243="","",IF($AC243="",1,IFERROR(INDEX(Deductibles!$C$55:$C$57,MATCH($AC243,Deductibles!$B$55:$B$57,0)),"?")))</f>
        <v/>
      </c>
      <c r="BP243" s="97" t="str">
        <f>IF($A243="","",IF($AD243="",1,IFERROR(INDEX(Deductibles!$C$61:$C$63,MATCH($AD243,Deductibles!$B$61:$B$63,0)),"?")))</f>
        <v/>
      </c>
      <c r="BQ243" s="97" t="str">
        <f>IF($A243="","",IF($AE243="",1,IFERROR(INDEX(Deductibles!$C$67:$C$69,MATCH($AE243,Deductibles!$B$67:$B$69,0)),"?")))</f>
        <v/>
      </c>
      <c r="BR243" s="97" t="str">
        <f>IF($A243="","",IF($AF243="",1,IFERROR(INDEX(Deductibles!$C$73:$C$74,MATCH($AF243,Deductibles!$B$73:$B$74,0)),"?")))</f>
        <v/>
      </c>
      <c r="BS243" s="97" t="str">
        <f>IF($A243="","",IF($AG243="",1,IFERROR(INDEX('Sublimits and Parts'!$C$49:$C$52,MATCH($AG243,'Sublimits and Parts'!$B$49:$B$52,0)),"?")))</f>
        <v/>
      </c>
      <c r="BT243" s="97" t="str">
        <f>IF($A243="","",IF($AH243="",1,IFERROR(INDEX('Sublimits and Parts'!$C$56:$C$60,MATCH($AH243,'Sublimits and Parts'!$B$56:$B$60,0)),"?")))</f>
        <v/>
      </c>
      <c r="BU243" s="97" t="str">
        <f>IF($A243="","",IF($AI243="",1,IFERROR(INDEX('Sublimits and Parts'!$C$64:$C$67,MATCH($AI243,'Sublimits and Parts'!$B$64:$B$67,0)),"?")))</f>
        <v/>
      </c>
      <c r="BV243" s="97" t="str">
        <f>IF($A243="","",IF($AJ243="",1,IFERROR(INDEX('Sublimits and Parts'!$C$71:$C$74,MATCH($AJ243,'Sublimits and Parts'!$B$71:$B$74,0)),"?")))</f>
        <v/>
      </c>
      <c r="BW243" s="97" t="str">
        <f>IF($A243="","",IF($AK243="",1,IFERROR(INDEX('Sublimits and Parts'!$C$78:$C$80,MATCH($AK243,'Sublimits and Parts'!$B$78:$B$80,0)),"?")))</f>
        <v/>
      </c>
      <c r="BX243" s="97" t="str">
        <f>IF($A243="","",IF($AL243="",1,IFERROR(INDEX('Sublimits and Parts'!$C$84:$C$87,MATCH($AL243,'Sublimits and Parts'!$B$84:$B$87,0)),"?")))</f>
        <v/>
      </c>
      <c r="BY243" s="97" t="str">
        <f>IF($A243="","",IF($AM243="",1,IFERROR(INDEX('Sublimits and Parts'!$C$91:$C$94,MATCH($AM243,'Sublimits and Parts'!$B$91:$B$94,0)),"?")))</f>
        <v/>
      </c>
      <c r="BZ243" s="97" t="str">
        <f>IF($A243="","",IF($AN243="",1,IFERROR(INDEX('Sublimits and Parts'!$C$98:$C$101,MATCH($AN243,'Sublimits and Parts'!$B$98:$B$101,0)),"?")))</f>
        <v/>
      </c>
      <c r="CA243" s="97" t="str">
        <f>IF($A243="","",IF($AO243="",1,IFERROR(INDEX('Sublimits and Parts'!$C$105:$C$109,MATCH($AO243,'Sublimits and Parts'!$B$105:$B$109,0)),"?")))</f>
        <v/>
      </c>
      <c r="CB243" s="98" t="str">
        <f t="shared" si="41"/>
        <v/>
      </c>
      <c r="CC243" s="98" t="str">
        <f t="shared" si="42"/>
        <v/>
      </c>
      <c r="CD243" s="101" t="str">
        <f>IF($A243="","",IF(OR($CB243="?",$CC243="?"),"?",MIN($CB243*$CC243,'Technical Premium'!$C$17)))</f>
        <v/>
      </c>
      <c r="CE243" s="100" t="str">
        <f t="shared" si="43"/>
        <v/>
      </c>
      <c r="CF243" s="100" t="str">
        <f>IF($A243="","",IFERROR(INDEX('Territory Factors'!$F$6:$F$56,MATCH($K243,'Territory Factors'!$B$6:$B$56,0)),"?"))</f>
        <v/>
      </c>
      <c r="CG243" s="98" t="str">
        <f>IF($A243="","",IFERROR(INDEX('Usage and Coverage'!$C$79:$C$84,MATCH($Y243,'Usage and Coverage'!$B$79:$B$84,0)),"?"))</f>
        <v/>
      </c>
      <c r="CH243" s="100" t="str">
        <f>IFERROR(IF(ISNUMBER($CD243),$CF243*$CG243*MIN($BG243*$BA243*$BC243*$BD243*$BH243*$BF243,'Technical Premium'!$C$17),""),"")</f>
        <v/>
      </c>
      <c r="CI243" s="100" t="str">
        <f t="shared" si="44"/>
        <v/>
      </c>
      <c r="CJ243" s="100" t="str">
        <f>IFERROR($CI243*(1+'Technical Premium'!$C$5)*(1+'Technical Premium'!$C$6),"")</f>
        <v/>
      </c>
      <c r="CK243" s="100" t="str">
        <f>IFERROR($CE243*INDEX('Territory Factors'!$G$6:$G$56,MATCH($K243,'Territory Factors'!$B$6:$B$56,0))*$AU243*$AV243,"")</f>
        <v/>
      </c>
      <c r="CL243" s="100" t="str">
        <f>IFERROR(($CJ243+$CK243)*(1+'Technical Premium'!$C$7),"")</f>
        <v/>
      </c>
      <c r="CM243" s="102" t="str">
        <f>IFERROR($CL243/'Technical Premium'!$C$13,"")</f>
        <v/>
      </c>
      <c r="CN243" s="103" t="str">
        <f t="shared" si="45"/>
        <v/>
      </c>
      <c r="CO243" s="102" t="str">
        <f t="shared" si="46"/>
        <v/>
      </c>
      <c r="CP243" s="103" t="str">
        <f t="shared" si="47"/>
        <v/>
      </c>
      <c r="CQ243" s="104" t="str">
        <f t="shared" si="48"/>
        <v/>
      </c>
      <c r="CR243" s="100" t="str">
        <f>IF(ISNUMBER($CM243),'Technical Premium'!$C$14+IF($J243&gt;=1000000,'Technical Premium'!$C$15,0),"")</f>
        <v/>
      </c>
      <c r="CS243" s="100" t="str">
        <f>IFERROR(($CO243+$CR243)*(INDEX('Territory Factors'!$K$6:$K$56,MATCH($K243,'Territory Factors'!$B$6:$B$56,0))+'Commission Structure'!$C$21),"")</f>
        <v/>
      </c>
      <c r="CT243" s="102" t="str">
        <f t="shared" si="49"/>
        <v/>
      </c>
      <c r="CU243" s="100" t="str">
        <f>IFERROR($CO243*('Commission Structure'!$C$6+'Commission Structure'!$C$7),"")</f>
        <v/>
      </c>
      <c r="CV243" s="100" t="str">
        <f>IFERROR($CO243*'Commission Structure'!$C$5-$CU243,"")</f>
        <v/>
      </c>
      <c r="CW243" s="100" t="str">
        <f>IFERROR($CO243*(1-'Commission Structure'!$C$5),"")</f>
        <v/>
      </c>
      <c r="CX243" s="105" t="str">
        <f>IF($A243="","",IF(OR($CB243="?",$CC243="?",NOT(ISNUMBER($AU243))),"CHECK INPUTS",IF(OR($J243&lt;'Technical Premium'!$C$18,LEFT(IFERROR(INDEX('Driver Factors'!$D$6:$D$15,MATCH($R243,'Driver Factors'!$B$6:$B$15,0)),""),7)="DECLINE",LEFT(IFERROR(INDEX('Driver Factors'!$D$28:$D$36,MATCH($T243,'Driver Factors'!$B$28:$B$36,0)),""),7)="DECLINE",LEFT(IFERROR(INDEX('Claims History'!$D$6:$D$15,MATCH($U243,'Claims History'!$B$6:$B$15,0)),""),7)="DECLINE",LEFT(IFERROR(INDEX('Usage and Coverage'!$E$6:$E$20,MATCH($N243,'Usage and Coverage'!$C$6:$C$20,0)),""),7)="DECLINE"),"DECLINE",IF(OR($CD243&gt;2.5,$CD243&gt;='Technical Premium'!$C$17,$J243&gt;='Technical Premium'!$C$16,N($AQ243)&lt;'Technical Premium'!$C$19,N($AQ243)&gt;'Technical Premium'!$C$20,LEFT(IFERROR(INDEX('Driver Factors'!$D$6:$D$15,MATCH($R243,'Driver Factors'!$B$6:$B$15,0)),""),5)="Refer",LEFT(IFERROR(INDEX('Driver Factors'!$D$28:$D$36,MATCH($T243,'Driver Factors'!$B$28:$B$36,0)),""),5)="Refer",LEFT(IFERROR(INDEX('Claims History'!$D$6:$D$15,MATCH($U243,'Claims History'!$B$6:$B$15,0)),""),5)="Refer",LEFT(IFERROR(INDEX('Usage and Coverage'!$E$6:$E$20,MATCH($N243,'Usage and Coverage'!$C$6:$C$20,0)),""),5)="Refer"),"REFER","AUTO-BIND"))))</f>
        <v/>
      </c>
      <c r="CY243" s="106" t="str">
        <f t="shared" si="50"/>
        <v/>
      </c>
      <c r="CZ243" s="97" t="str">
        <f>IF($CY243="","",IF($CY243&lt;'Technical Premium'!$C$19,"BEYOND AUTHORITY",IF($CY243&gt;0.005,"Above technical",IF($CY243&lt;-0.005,"BELOW technical","At technical"))))</f>
        <v/>
      </c>
      <c r="DA243" s="97" t="str">
        <f>IF($A243="","",IF($CX243="AUTO-BIND","",TRIM(IF($J243&lt;'Technical Premium'!$C$18,"Below programme minimum agreed value. ","")&amp;IF(N($AQ243)&lt;'Technical Premium'!$C$19,"DISCOUNT AUTHORITY BREACH. ","")&amp;IF(N($AQ243)&gt;'Technical Premium'!$C$20,"Load authority breach. ","")&amp;IF($J243&gt;='Technical Premium'!$C$16,"Agreed value at or above auto-bind limit. ","")&amp;IF(AND(ISNUMBER($CD243),$CD243&gt;='Technical Premium'!$C$17),"Composite factor at cap. ","")&amp;IF(AND(ISNUMBER($CD243),$CD243&gt;2.5),"Composite factor above 2.50. ","")&amp;IF(LEFT(IFERROR(INDEX('Driver Factors'!$D$6:$D$15,MATCH($R243,'Driver Factors'!$B$6:$B$15,0)),""),7)="DECLINE","DECLINE - driver age. ",IF(LEFT(IFERROR(INDEX('Driver Factors'!$D$6:$D$15,MATCH($R243,'Driver Factors'!$B$6:$B$15,0)),""),5)="Refer","Driver age band. ",""))&amp;IF(LEFT(IFERROR(INDEX('Driver Factors'!$D$28:$D$36,MATCH($T243,'Driver Factors'!$B$28:$B$36,0)),""),7)="DECLINE","DECLINE - MVR. ",IF(LEFT(IFERROR(INDEX('Driver Factors'!$D$28:$D$36,MATCH($T243,'Driver Factors'!$B$28:$B$36,0)),""),5)="Refer","MVR record. ",""))&amp;IF(LEFT(IFERROR(INDEX('Claims History'!$D$6:$D$15,MATCH($U243,'Claims History'!$B$6:$B$15,0)),""),7)="DECLINE","DECLINE - claims. ",IF(LEFT(IFERROR(INDEX('Claims History'!$D$6:$D$15,MATCH($U243,'Claims History'!$B$6:$B$15,0)),""),5)="Refer","Claims history. ",""))&amp;IF(LEFT(IFERROR(INDEX('Usage and Coverage'!$E$6:$E$20,MATCH($N243,'Usage and Coverage'!$C$6:$C$20,0)),""),7)="DECLINE","DECLINE - usage class. ",IF(LEFT(IFERROR(INDEX('Usage and Coverage'!$E$6:$E$20,MATCH($N243,'Usage and Coverage'!$C$6:$C$20,0)),""),5)="Refer","Usage class. ",""))&amp;IF($CX243="CHECK INPUTS","Incomplete inputs. ",""))))</f>
        <v/>
      </c>
      <c r="DB243" s="92"/>
      <c r="DC243" s="92"/>
      <c r="DD243" s="93"/>
      <c r="DE243" s="92"/>
      <c r="DF243" s="92"/>
      <c r="DG243" s="97" t="str">
        <f t="shared" si="51"/>
        <v/>
      </c>
      <c r="DH243" s="97" t="str">
        <f>IF($A243="","",IF(OR($CX243="REFER",$CX243="DECLINE"),COUNTIF($CX$5:$CX243,"REFER")+COUNTIF($CX$5:$CX243,"DECLINE"),""))</f>
        <v/>
      </c>
      <c r="DI243" s="92"/>
    </row>
    <row r="244" spans="1:113" x14ac:dyDescent="0.25">
      <c r="A244" s="92"/>
      <c r="B244" s="92"/>
      <c r="C244" s="93"/>
      <c r="D244" s="93"/>
      <c r="E244" s="94"/>
      <c r="F244" s="92"/>
      <c r="G244" s="92"/>
      <c r="H244" s="92"/>
      <c r="I244" s="92"/>
      <c r="J244" s="95"/>
      <c r="K244" s="92"/>
      <c r="L244" s="92"/>
      <c r="M244" s="92"/>
      <c r="N244" s="92"/>
      <c r="O244" s="92"/>
      <c r="P244" s="92"/>
      <c r="Q244" s="92"/>
      <c r="R244" s="92"/>
      <c r="S244" s="92"/>
      <c r="T244" s="92"/>
      <c r="U244" s="92"/>
      <c r="V244" s="92"/>
      <c r="W244" s="92"/>
      <c r="X244" s="92"/>
      <c r="Y244" s="92"/>
      <c r="Z244" s="92"/>
      <c r="AA244" s="92"/>
      <c r="AB244" s="92"/>
      <c r="AC244" s="92"/>
      <c r="AD244" s="92"/>
      <c r="AE244" s="92"/>
      <c r="AF244" s="92"/>
      <c r="AG244" s="92"/>
      <c r="AH244" s="92"/>
      <c r="AI244" s="92"/>
      <c r="AJ244" s="92"/>
      <c r="AK244" s="92"/>
      <c r="AL244" s="92"/>
      <c r="AM244" s="92"/>
      <c r="AN244" s="92"/>
      <c r="AO244" s="92"/>
      <c r="AP244" s="92"/>
      <c r="AQ244" s="96"/>
      <c r="AR244" s="97" t="str">
        <f t="shared" si="39"/>
        <v/>
      </c>
      <c r="AS244" s="97" t="str">
        <f>IF($A244="","",IF($AP244&lt;&gt;"",$AP244,IFERROR(INDEX('Cat Zone by ZIP'!$D$6:$D$856,MATCH($AR244,'Cat Zone by ZIP'!$B$6:$B$856,0)),IFERROR(INDEX('Cat Zone by ZIP'!$C$860:$C$910,MATCH($K244,'Cat Zone by ZIP'!$B$860:$B$910,0)),"NOT FOUND"))))</f>
        <v/>
      </c>
      <c r="AT244" s="97" t="str">
        <f>IF($A244="","",IF($AP244&lt;&gt;"","Override",IF(ISNUMBER(MATCH($AR244,'Cat Zone by ZIP'!$B$6:$B$856,0)),"ZIP-3","State default")))</f>
        <v/>
      </c>
      <c r="AU244" s="98" t="str">
        <f>IF($A244="","",IFERROR(INDEX('Natural Catastrophe'!$D$6:$D$17,MATCH($AS244,'Natural Catastrophe'!$B$6:$B$17,0)),"?"))</f>
        <v/>
      </c>
      <c r="AV244" s="98" t="str">
        <f>IF($A244="","",IFERROR(INDEX('Natural Catastrophe'!$C$21:$C$26,MATCH($AA244,'Natural Catastrophe'!$B$21:$B$26,0)),"?"))</f>
        <v/>
      </c>
      <c r="AW244" s="97" t="str">
        <f>IF($A244="","",IFERROR(INDEX('Base Rates'!$C$4:$I$4,MATCH(MAX($J244,'Technical Premium'!$C$18),'Base Rates'!$C$3:$I$3,1)),"?"))</f>
        <v/>
      </c>
      <c r="AX244" s="99" t="str">
        <f>IF($A244="","",IFERROR(INDEX('Base Rates'!$C$5:$I$16,MATCH($I244,'Base Rates'!$B$5:$B$16,0),MATCH(MAX($J244,'Technical Premium'!$C$18),'Base Rates'!$C$3:$I$3,1)),"?"))</f>
        <v/>
      </c>
      <c r="AY244" s="100" t="str">
        <f t="shared" si="40"/>
        <v/>
      </c>
      <c r="AZ244" s="97" t="str">
        <f>IF($A244="","",IFERROR(INDEX('Make Factors'!$G$5:$G$69,MATCH($F244,'Make Factors'!$B$5:$B$69,0)),"?"))</f>
        <v/>
      </c>
      <c r="BA244" s="97" t="str">
        <f>IF($A244="","",IFERROR(INDEX('Driver Factors'!$C$6:$C$15,MATCH($R244,'Driver Factors'!$B$6:$B$15,0)),"?"))</f>
        <v/>
      </c>
      <c r="BB244" s="97" t="str">
        <f>IF($A244="","",IFERROR(INDEX('Driver Factors'!$C$19:$C$24,MATCH($S244,'Driver Factors'!$B$19:$B$24,0)),"?"))</f>
        <v/>
      </c>
      <c r="BC244" s="97" t="str">
        <f>IF($A244="","",IFERROR(INDEX('Driver Factors'!$C$28:$C$36,MATCH($T244,'Driver Factors'!$B$28:$B$36,0)),"?"))</f>
        <v/>
      </c>
      <c r="BD244" s="97" t="str">
        <f>IF($A244="","",IFERROR(INDEX('Claims History'!$C$6:$C$15,MATCH($U244,'Claims History'!$B$6:$B$15,0)),"?"))</f>
        <v/>
      </c>
      <c r="BE244" s="97" t="str">
        <f>IF($A244="","",IFERROR(INDEX('Territory Factors'!$E$6:$E$56,MATCH($K244,'Territory Factors'!$B$6:$B$56,0)),"?"))</f>
        <v/>
      </c>
      <c r="BF244" s="97" t="str">
        <f>IF($A244="","",IFERROR(INDEX('City Accident Ratings'!$G$6:$G$54,MATCH($Z244,'City Accident Ratings'!$B$6:$B$54,0)),"?"))</f>
        <v/>
      </c>
      <c r="BG244" s="97" t="str">
        <f>IF($A244="","",IFERROR(INDEX('Usage and Coverage'!$D$6:$D$20,MATCH($N244,'Usage and Coverage'!$C$6:$C$20,0)),"?"))</f>
        <v/>
      </c>
      <c r="BH244" s="97" t="str">
        <f>IF($A244="","",IFERROR(INDEX('Usage and Coverage'!$C$24:$C$30,MATCH($O244,'Usage and Coverage'!$B$24:$B$30,0)),"?"))</f>
        <v/>
      </c>
      <c r="BI244" s="97" t="str">
        <f>IF($A244="","",IFERROR(INDEX('Usage and Coverage'!$C$34:$C$40,MATCH($P244,'Usage and Coverage'!$B$34:$B$40,0)),"?"))</f>
        <v/>
      </c>
      <c r="BJ244" s="97" t="str">
        <f>IF($A244="","",IFERROR(INDEX('Usage and Coverage'!$C$44:$C$49,MATCH($Q244,'Usage and Coverage'!$B$44:$B$49,0)),"?"))</f>
        <v/>
      </c>
      <c r="BK244" s="97" t="str">
        <f>IF($A244="","",IFERROR(INDEX(Deductibles!$C$6:$I$15,MATCH($W244,Deductibles!$B$6:$B$15,0),MATCH(MAX($J244,'Technical Premium'!$C$18),'Base Rates'!$C$3:$I$3,1)),"?"))</f>
        <v/>
      </c>
      <c r="BL244" s="97" t="str">
        <f>IF($A244="","",IFERROR(INDEX('Usage and Coverage'!$C$63:$C$66,MATCH($X244,'Usage and Coverage'!$B$63:$B$66,0)),"?"))</f>
        <v/>
      </c>
      <c r="BM244" s="97" t="str">
        <f>IF($A244="","",IFERROR(INDEX('Usage and Coverage'!$C$70:$C$75,MATCH($V244,'Usage and Coverage'!$B$70:$B$75,0)),"?"))</f>
        <v/>
      </c>
      <c r="BN244" s="97" t="str">
        <f>IF($A244="","",IF($AB244="",1,IFERROR(INDEX(Deductibles!$C$48:$C$51,MATCH($AB244,Deductibles!$B$48:$B$51,0)),"?")))</f>
        <v/>
      </c>
      <c r="BO244" s="97" t="str">
        <f>IF($A244="","",IF($AC244="",1,IFERROR(INDEX(Deductibles!$C$55:$C$57,MATCH($AC244,Deductibles!$B$55:$B$57,0)),"?")))</f>
        <v/>
      </c>
      <c r="BP244" s="97" t="str">
        <f>IF($A244="","",IF($AD244="",1,IFERROR(INDEX(Deductibles!$C$61:$C$63,MATCH($AD244,Deductibles!$B$61:$B$63,0)),"?")))</f>
        <v/>
      </c>
      <c r="BQ244" s="97" t="str">
        <f>IF($A244="","",IF($AE244="",1,IFERROR(INDEX(Deductibles!$C$67:$C$69,MATCH($AE244,Deductibles!$B$67:$B$69,0)),"?")))</f>
        <v/>
      </c>
      <c r="BR244" s="97" t="str">
        <f>IF($A244="","",IF($AF244="",1,IFERROR(INDEX(Deductibles!$C$73:$C$74,MATCH($AF244,Deductibles!$B$73:$B$74,0)),"?")))</f>
        <v/>
      </c>
      <c r="BS244" s="97" t="str">
        <f>IF($A244="","",IF($AG244="",1,IFERROR(INDEX('Sublimits and Parts'!$C$49:$C$52,MATCH($AG244,'Sublimits and Parts'!$B$49:$B$52,0)),"?")))</f>
        <v/>
      </c>
      <c r="BT244" s="97" t="str">
        <f>IF($A244="","",IF($AH244="",1,IFERROR(INDEX('Sublimits and Parts'!$C$56:$C$60,MATCH($AH244,'Sublimits and Parts'!$B$56:$B$60,0)),"?")))</f>
        <v/>
      </c>
      <c r="BU244" s="97" t="str">
        <f>IF($A244="","",IF($AI244="",1,IFERROR(INDEX('Sublimits and Parts'!$C$64:$C$67,MATCH($AI244,'Sublimits and Parts'!$B$64:$B$67,0)),"?")))</f>
        <v/>
      </c>
      <c r="BV244" s="97" t="str">
        <f>IF($A244="","",IF($AJ244="",1,IFERROR(INDEX('Sublimits and Parts'!$C$71:$C$74,MATCH($AJ244,'Sublimits and Parts'!$B$71:$B$74,0)),"?")))</f>
        <v/>
      </c>
      <c r="BW244" s="97" t="str">
        <f>IF($A244="","",IF($AK244="",1,IFERROR(INDEX('Sublimits and Parts'!$C$78:$C$80,MATCH($AK244,'Sublimits and Parts'!$B$78:$B$80,0)),"?")))</f>
        <v/>
      </c>
      <c r="BX244" s="97" t="str">
        <f>IF($A244="","",IF($AL244="",1,IFERROR(INDEX('Sublimits and Parts'!$C$84:$C$87,MATCH($AL244,'Sublimits and Parts'!$B$84:$B$87,0)),"?")))</f>
        <v/>
      </c>
      <c r="BY244" s="97" t="str">
        <f>IF($A244="","",IF($AM244="",1,IFERROR(INDEX('Sublimits and Parts'!$C$91:$C$94,MATCH($AM244,'Sublimits and Parts'!$B$91:$B$94,0)),"?")))</f>
        <v/>
      </c>
      <c r="BZ244" s="97" t="str">
        <f>IF($A244="","",IF($AN244="",1,IFERROR(INDEX('Sublimits and Parts'!$C$98:$C$101,MATCH($AN244,'Sublimits and Parts'!$B$98:$B$101,0)),"?")))</f>
        <v/>
      </c>
      <c r="CA244" s="97" t="str">
        <f>IF($A244="","",IF($AO244="",1,IFERROR(INDEX('Sublimits and Parts'!$C$105:$C$109,MATCH($AO244,'Sublimits and Parts'!$B$105:$B$109,0)),"?")))</f>
        <v/>
      </c>
      <c r="CB244" s="98" t="str">
        <f t="shared" si="41"/>
        <v/>
      </c>
      <c r="CC244" s="98" t="str">
        <f t="shared" si="42"/>
        <v/>
      </c>
      <c r="CD244" s="101" t="str">
        <f>IF($A244="","",IF(OR($CB244="?",$CC244="?"),"?",MIN($CB244*$CC244,'Technical Premium'!$C$17)))</f>
        <v/>
      </c>
      <c r="CE244" s="100" t="str">
        <f t="shared" si="43"/>
        <v/>
      </c>
      <c r="CF244" s="100" t="str">
        <f>IF($A244="","",IFERROR(INDEX('Territory Factors'!$F$6:$F$56,MATCH($K244,'Territory Factors'!$B$6:$B$56,0)),"?"))</f>
        <v/>
      </c>
      <c r="CG244" s="98" t="str">
        <f>IF($A244="","",IFERROR(INDEX('Usage and Coverage'!$C$79:$C$84,MATCH($Y244,'Usage and Coverage'!$B$79:$B$84,0)),"?"))</f>
        <v/>
      </c>
      <c r="CH244" s="100" t="str">
        <f>IFERROR(IF(ISNUMBER($CD244),$CF244*$CG244*MIN($BG244*$BA244*$BC244*$BD244*$BH244*$BF244,'Technical Premium'!$C$17),""),"")</f>
        <v/>
      </c>
      <c r="CI244" s="100" t="str">
        <f t="shared" si="44"/>
        <v/>
      </c>
      <c r="CJ244" s="100" t="str">
        <f>IFERROR($CI244*(1+'Technical Premium'!$C$5)*(1+'Technical Premium'!$C$6),"")</f>
        <v/>
      </c>
      <c r="CK244" s="100" t="str">
        <f>IFERROR($CE244*INDEX('Territory Factors'!$G$6:$G$56,MATCH($K244,'Territory Factors'!$B$6:$B$56,0))*$AU244*$AV244,"")</f>
        <v/>
      </c>
      <c r="CL244" s="100" t="str">
        <f>IFERROR(($CJ244+$CK244)*(1+'Technical Premium'!$C$7),"")</f>
        <v/>
      </c>
      <c r="CM244" s="102" t="str">
        <f>IFERROR($CL244/'Technical Premium'!$C$13,"")</f>
        <v/>
      </c>
      <c r="CN244" s="103" t="str">
        <f t="shared" si="45"/>
        <v/>
      </c>
      <c r="CO244" s="102" t="str">
        <f t="shared" si="46"/>
        <v/>
      </c>
      <c r="CP244" s="103" t="str">
        <f t="shared" si="47"/>
        <v/>
      </c>
      <c r="CQ244" s="104" t="str">
        <f t="shared" si="48"/>
        <v/>
      </c>
      <c r="CR244" s="100" t="str">
        <f>IF(ISNUMBER($CM244),'Technical Premium'!$C$14+IF($J244&gt;=1000000,'Technical Premium'!$C$15,0),"")</f>
        <v/>
      </c>
      <c r="CS244" s="100" t="str">
        <f>IFERROR(($CO244+$CR244)*(INDEX('Territory Factors'!$K$6:$K$56,MATCH($K244,'Territory Factors'!$B$6:$B$56,0))+'Commission Structure'!$C$21),"")</f>
        <v/>
      </c>
      <c r="CT244" s="102" t="str">
        <f t="shared" si="49"/>
        <v/>
      </c>
      <c r="CU244" s="100" t="str">
        <f>IFERROR($CO244*('Commission Structure'!$C$6+'Commission Structure'!$C$7),"")</f>
        <v/>
      </c>
      <c r="CV244" s="100" t="str">
        <f>IFERROR($CO244*'Commission Structure'!$C$5-$CU244,"")</f>
        <v/>
      </c>
      <c r="CW244" s="100" t="str">
        <f>IFERROR($CO244*(1-'Commission Structure'!$C$5),"")</f>
        <v/>
      </c>
      <c r="CX244" s="105" t="str">
        <f>IF($A244="","",IF(OR($CB244="?",$CC244="?",NOT(ISNUMBER($AU244))),"CHECK INPUTS",IF(OR($J244&lt;'Technical Premium'!$C$18,LEFT(IFERROR(INDEX('Driver Factors'!$D$6:$D$15,MATCH($R244,'Driver Factors'!$B$6:$B$15,0)),""),7)="DECLINE",LEFT(IFERROR(INDEX('Driver Factors'!$D$28:$D$36,MATCH($T244,'Driver Factors'!$B$28:$B$36,0)),""),7)="DECLINE",LEFT(IFERROR(INDEX('Claims History'!$D$6:$D$15,MATCH($U244,'Claims History'!$B$6:$B$15,0)),""),7)="DECLINE",LEFT(IFERROR(INDEX('Usage and Coverage'!$E$6:$E$20,MATCH($N244,'Usage and Coverage'!$C$6:$C$20,0)),""),7)="DECLINE"),"DECLINE",IF(OR($CD244&gt;2.5,$CD244&gt;='Technical Premium'!$C$17,$J244&gt;='Technical Premium'!$C$16,N($AQ244)&lt;'Technical Premium'!$C$19,N($AQ244)&gt;'Technical Premium'!$C$20,LEFT(IFERROR(INDEX('Driver Factors'!$D$6:$D$15,MATCH($R244,'Driver Factors'!$B$6:$B$15,0)),""),5)="Refer",LEFT(IFERROR(INDEX('Driver Factors'!$D$28:$D$36,MATCH($T244,'Driver Factors'!$B$28:$B$36,0)),""),5)="Refer",LEFT(IFERROR(INDEX('Claims History'!$D$6:$D$15,MATCH($U244,'Claims History'!$B$6:$B$15,0)),""),5)="Refer",LEFT(IFERROR(INDEX('Usage and Coverage'!$E$6:$E$20,MATCH($N244,'Usage and Coverage'!$C$6:$C$20,0)),""),5)="Refer"),"REFER","AUTO-BIND"))))</f>
        <v/>
      </c>
      <c r="CY244" s="106" t="str">
        <f t="shared" si="50"/>
        <v/>
      </c>
      <c r="CZ244" s="97" t="str">
        <f>IF($CY244="","",IF($CY244&lt;'Technical Premium'!$C$19,"BEYOND AUTHORITY",IF($CY244&gt;0.005,"Above technical",IF($CY244&lt;-0.005,"BELOW technical","At technical"))))</f>
        <v/>
      </c>
      <c r="DA244" s="97" t="str">
        <f>IF($A244="","",IF($CX244="AUTO-BIND","",TRIM(IF($J244&lt;'Technical Premium'!$C$18,"Below programme minimum agreed value. ","")&amp;IF(N($AQ244)&lt;'Technical Premium'!$C$19,"DISCOUNT AUTHORITY BREACH. ","")&amp;IF(N($AQ244)&gt;'Technical Premium'!$C$20,"Load authority breach. ","")&amp;IF($J244&gt;='Technical Premium'!$C$16,"Agreed value at or above auto-bind limit. ","")&amp;IF(AND(ISNUMBER($CD244),$CD244&gt;='Technical Premium'!$C$17),"Composite factor at cap. ","")&amp;IF(AND(ISNUMBER($CD244),$CD244&gt;2.5),"Composite factor above 2.50. ","")&amp;IF(LEFT(IFERROR(INDEX('Driver Factors'!$D$6:$D$15,MATCH($R244,'Driver Factors'!$B$6:$B$15,0)),""),7)="DECLINE","DECLINE - driver age. ",IF(LEFT(IFERROR(INDEX('Driver Factors'!$D$6:$D$15,MATCH($R244,'Driver Factors'!$B$6:$B$15,0)),""),5)="Refer","Driver age band. ",""))&amp;IF(LEFT(IFERROR(INDEX('Driver Factors'!$D$28:$D$36,MATCH($T244,'Driver Factors'!$B$28:$B$36,0)),""),7)="DECLINE","DECLINE - MVR. ",IF(LEFT(IFERROR(INDEX('Driver Factors'!$D$28:$D$36,MATCH($T244,'Driver Factors'!$B$28:$B$36,0)),""),5)="Refer","MVR record. ",""))&amp;IF(LEFT(IFERROR(INDEX('Claims History'!$D$6:$D$15,MATCH($U244,'Claims History'!$B$6:$B$15,0)),""),7)="DECLINE","DECLINE - claims. ",IF(LEFT(IFERROR(INDEX('Claims History'!$D$6:$D$15,MATCH($U244,'Claims History'!$B$6:$B$15,0)),""),5)="Refer","Claims history. ",""))&amp;IF(LEFT(IFERROR(INDEX('Usage and Coverage'!$E$6:$E$20,MATCH($N244,'Usage and Coverage'!$C$6:$C$20,0)),""),7)="DECLINE","DECLINE - usage class. ",IF(LEFT(IFERROR(INDEX('Usage and Coverage'!$E$6:$E$20,MATCH($N244,'Usage and Coverage'!$C$6:$C$20,0)),""),5)="Refer","Usage class. ",""))&amp;IF($CX244="CHECK INPUTS","Incomplete inputs. ",""))))</f>
        <v/>
      </c>
      <c r="DB244" s="92"/>
      <c r="DC244" s="92"/>
      <c r="DD244" s="93"/>
      <c r="DE244" s="92"/>
      <c r="DF244" s="92"/>
      <c r="DG244" s="97" t="str">
        <f t="shared" si="51"/>
        <v/>
      </c>
      <c r="DH244" s="97" t="str">
        <f>IF($A244="","",IF(OR($CX244="REFER",$CX244="DECLINE"),COUNTIF($CX$5:$CX244,"REFER")+COUNTIF($CX$5:$CX244,"DECLINE"),""))</f>
        <v/>
      </c>
      <c r="DI244" s="92"/>
    </row>
    <row r="245" spans="1:113" x14ac:dyDescent="0.25">
      <c r="A245" s="92"/>
      <c r="B245" s="92"/>
      <c r="C245" s="93"/>
      <c r="D245" s="93"/>
      <c r="E245" s="94"/>
      <c r="F245" s="92"/>
      <c r="G245" s="92"/>
      <c r="H245" s="92"/>
      <c r="I245" s="92"/>
      <c r="J245" s="95"/>
      <c r="K245" s="92"/>
      <c r="L245" s="92"/>
      <c r="M245" s="92"/>
      <c r="N245" s="92"/>
      <c r="O245" s="92"/>
      <c r="P245" s="92"/>
      <c r="Q245" s="92"/>
      <c r="R245" s="92"/>
      <c r="S245" s="92"/>
      <c r="T245" s="92"/>
      <c r="U245" s="92"/>
      <c r="V245" s="92"/>
      <c r="W245" s="92"/>
      <c r="X245" s="92"/>
      <c r="Y245" s="92"/>
      <c r="Z245" s="92"/>
      <c r="AA245" s="92"/>
      <c r="AB245" s="92"/>
      <c r="AC245" s="92"/>
      <c r="AD245" s="92"/>
      <c r="AE245" s="92"/>
      <c r="AF245" s="92"/>
      <c r="AG245" s="92"/>
      <c r="AH245" s="92"/>
      <c r="AI245" s="92"/>
      <c r="AJ245" s="92"/>
      <c r="AK245" s="92"/>
      <c r="AL245" s="92"/>
      <c r="AM245" s="92"/>
      <c r="AN245" s="92"/>
      <c r="AO245" s="92"/>
      <c r="AP245" s="92"/>
      <c r="AQ245" s="96"/>
      <c r="AR245" s="97" t="str">
        <f t="shared" si="39"/>
        <v/>
      </c>
      <c r="AS245" s="97" t="str">
        <f>IF($A245="","",IF($AP245&lt;&gt;"",$AP245,IFERROR(INDEX('Cat Zone by ZIP'!$D$6:$D$856,MATCH($AR245,'Cat Zone by ZIP'!$B$6:$B$856,0)),IFERROR(INDEX('Cat Zone by ZIP'!$C$860:$C$910,MATCH($K245,'Cat Zone by ZIP'!$B$860:$B$910,0)),"NOT FOUND"))))</f>
        <v/>
      </c>
      <c r="AT245" s="97" t="str">
        <f>IF($A245="","",IF($AP245&lt;&gt;"","Override",IF(ISNUMBER(MATCH($AR245,'Cat Zone by ZIP'!$B$6:$B$856,0)),"ZIP-3","State default")))</f>
        <v/>
      </c>
      <c r="AU245" s="98" t="str">
        <f>IF($A245="","",IFERROR(INDEX('Natural Catastrophe'!$D$6:$D$17,MATCH($AS245,'Natural Catastrophe'!$B$6:$B$17,0)),"?"))</f>
        <v/>
      </c>
      <c r="AV245" s="98" t="str">
        <f>IF($A245="","",IFERROR(INDEX('Natural Catastrophe'!$C$21:$C$26,MATCH($AA245,'Natural Catastrophe'!$B$21:$B$26,0)),"?"))</f>
        <v/>
      </c>
      <c r="AW245" s="97" t="str">
        <f>IF($A245="","",IFERROR(INDEX('Base Rates'!$C$4:$I$4,MATCH(MAX($J245,'Technical Premium'!$C$18),'Base Rates'!$C$3:$I$3,1)),"?"))</f>
        <v/>
      </c>
      <c r="AX245" s="99" t="str">
        <f>IF($A245="","",IFERROR(INDEX('Base Rates'!$C$5:$I$16,MATCH($I245,'Base Rates'!$B$5:$B$16,0),MATCH(MAX($J245,'Technical Premium'!$C$18),'Base Rates'!$C$3:$I$3,1)),"?"))</f>
        <v/>
      </c>
      <c r="AY245" s="100" t="str">
        <f t="shared" si="40"/>
        <v/>
      </c>
      <c r="AZ245" s="97" t="str">
        <f>IF($A245="","",IFERROR(INDEX('Make Factors'!$G$5:$G$69,MATCH($F245,'Make Factors'!$B$5:$B$69,0)),"?"))</f>
        <v/>
      </c>
      <c r="BA245" s="97" t="str">
        <f>IF($A245="","",IFERROR(INDEX('Driver Factors'!$C$6:$C$15,MATCH($R245,'Driver Factors'!$B$6:$B$15,0)),"?"))</f>
        <v/>
      </c>
      <c r="BB245" s="97" t="str">
        <f>IF($A245="","",IFERROR(INDEX('Driver Factors'!$C$19:$C$24,MATCH($S245,'Driver Factors'!$B$19:$B$24,0)),"?"))</f>
        <v/>
      </c>
      <c r="BC245" s="97" t="str">
        <f>IF($A245="","",IFERROR(INDEX('Driver Factors'!$C$28:$C$36,MATCH($T245,'Driver Factors'!$B$28:$B$36,0)),"?"))</f>
        <v/>
      </c>
      <c r="BD245" s="97" t="str">
        <f>IF($A245="","",IFERROR(INDEX('Claims History'!$C$6:$C$15,MATCH($U245,'Claims History'!$B$6:$B$15,0)),"?"))</f>
        <v/>
      </c>
      <c r="BE245" s="97" t="str">
        <f>IF($A245="","",IFERROR(INDEX('Territory Factors'!$E$6:$E$56,MATCH($K245,'Territory Factors'!$B$6:$B$56,0)),"?"))</f>
        <v/>
      </c>
      <c r="BF245" s="97" t="str">
        <f>IF($A245="","",IFERROR(INDEX('City Accident Ratings'!$G$6:$G$54,MATCH($Z245,'City Accident Ratings'!$B$6:$B$54,0)),"?"))</f>
        <v/>
      </c>
      <c r="BG245" s="97" t="str">
        <f>IF($A245="","",IFERROR(INDEX('Usage and Coverage'!$D$6:$D$20,MATCH($N245,'Usage and Coverage'!$C$6:$C$20,0)),"?"))</f>
        <v/>
      </c>
      <c r="BH245" s="97" t="str">
        <f>IF($A245="","",IFERROR(INDEX('Usage and Coverage'!$C$24:$C$30,MATCH($O245,'Usage and Coverage'!$B$24:$B$30,0)),"?"))</f>
        <v/>
      </c>
      <c r="BI245" s="97" t="str">
        <f>IF($A245="","",IFERROR(INDEX('Usage and Coverage'!$C$34:$C$40,MATCH($P245,'Usage and Coverage'!$B$34:$B$40,0)),"?"))</f>
        <v/>
      </c>
      <c r="BJ245" s="97" t="str">
        <f>IF($A245="","",IFERROR(INDEX('Usage and Coverage'!$C$44:$C$49,MATCH($Q245,'Usage and Coverage'!$B$44:$B$49,0)),"?"))</f>
        <v/>
      </c>
      <c r="BK245" s="97" t="str">
        <f>IF($A245="","",IFERROR(INDEX(Deductibles!$C$6:$I$15,MATCH($W245,Deductibles!$B$6:$B$15,0),MATCH(MAX($J245,'Technical Premium'!$C$18),'Base Rates'!$C$3:$I$3,1)),"?"))</f>
        <v/>
      </c>
      <c r="BL245" s="97" t="str">
        <f>IF($A245="","",IFERROR(INDEX('Usage and Coverage'!$C$63:$C$66,MATCH($X245,'Usage and Coverage'!$B$63:$B$66,0)),"?"))</f>
        <v/>
      </c>
      <c r="BM245" s="97" t="str">
        <f>IF($A245="","",IFERROR(INDEX('Usage and Coverage'!$C$70:$C$75,MATCH($V245,'Usage and Coverage'!$B$70:$B$75,0)),"?"))</f>
        <v/>
      </c>
      <c r="BN245" s="97" t="str">
        <f>IF($A245="","",IF($AB245="",1,IFERROR(INDEX(Deductibles!$C$48:$C$51,MATCH($AB245,Deductibles!$B$48:$B$51,0)),"?")))</f>
        <v/>
      </c>
      <c r="BO245" s="97" t="str">
        <f>IF($A245="","",IF($AC245="",1,IFERROR(INDEX(Deductibles!$C$55:$C$57,MATCH($AC245,Deductibles!$B$55:$B$57,0)),"?")))</f>
        <v/>
      </c>
      <c r="BP245" s="97" t="str">
        <f>IF($A245="","",IF($AD245="",1,IFERROR(INDEX(Deductibles!$C$61:$C$63,MATCH($AD245,Deductibles!$B$61:$B$63,0)),"?")))</f>
        <v/>
      </c>
      <c r="BQ245" s="97" t="str">
        <f>IF($A245="","",IF($AE245="",1,IFERROR(INDEX(Deductibles!$C$67:$C$69,MATCH($AE245,Deductibles!$B$67:$B$69,0)),"?")))</f>
        <v/>
      </c>
      <c r="BR245" s="97" t="str">
        <f>IF($A245="","",IF($AF245="",1,IFERROR(INDEX(Deductibles!$C$73:$C$74,MATCH($AF245,Deductibles!$B$73:$B$74,0)),"?")))</f>
        <v/>
      </c>
      <c r="BS245" s="97" t="str">
        <f>IF($A245="","",IF($AG245="",1,IFERROR(INDEX('Sublimits and Parts'!$C$49:$C$52,MATCH($AG245,'Sublimits and Parts'!$B$49:$B$52,0)),"?")))</f>
        <v/>
      </c>
      <c r="BT245" s="97" t="str">
        <f>IF($A245="","",IF($AH245="",1,IFERROR(INDEX('Sublimits and Parts'!$C$56:$C$60,MATCH($AH245,'Sublimits and Parts'!$B$56:$B$60,0)),"?")))</f>
        <v/>
      </c>
      <c r="BU245" s="97" t="str">
        <f>IF($A245="","",IF($AI245="",1,IFERROR(INDEX('Sublimits and Parts'!$C$64:$C$67,MATCH($AI245,'Sublimits and Parts'!$B$64:$B$67,0)),"?")))</f>
        <v/>
      </c>
      <c r="BV245" s="97" t="str">
        <f>IF($A245="","",IF($AJ245="",1,IFERROR(INDEX('Sublimits and Parts'!$C$71:$C$74,MATCH($AJ245,'Sublimits and Parts'!$B$71:$B$74,0)),"?")))</f>
        <v/>
      </c>
      <c r="BW245" s="97" t="str">
        <f>IF($A245="","",IF($AK245="",1,IFERROR(INDEX('Sublimits and Parts'!$C$78:$C$80,MATCH($AK245,'Sublimits and Parts'!$B$78:$B$80,0)),"?")))</f>
        <v/>
      </c>
      <c r="BX245" s="97" t="str">
        <f>IF($A245="","",IF($AL245="",1,IFERROR(INDEX('Sublimits and Parts'!$C$84:$C$87,MATCH($AL245,'Sublimits and Parts'!$B$84:$B$87,0)),"?")))</f>
        <v/>
      </c>
      <c r="BY245" s="97" t="str">
        <f>IF($A245="","",IF($AM245="",1,IFERROR(INDEX('Sublimits and Parts'!$C$91:$C$94,MATCH($AM245,'Sublimits and Parts'!$B$91:$B$94,0)),"?")))</f>
        <v/>
      </c>
      <c r="BZ245" s="97" t="str">
        <f>IF($A245="","",IF($AN245="",1,IFERROR(INDEX('Sublimits and Parts'!$C$98:$C$101,MATCH($AN245,'Sublimits and Parts'!$B$98:$B$101,0)),"?")))</f>
        <v/>
      </c>
      <c r="CA245" s="97" t="str">
        <f>IF($A245="","",IF($AO245="",1,IFERROR(INDEX('Sublimits and Parts'!$C$105:$C$109,MATCH($AO245,'Sublimits and Parts'!$B$105:$B$109,0)),"?")))</f>
        <v/>
      </c>
      <c r="CB245" s="98" t="str">
        <f t="shared" si="41"/>
        <v/>
      </c>
      <c r="CC245" s="98" t="str">
        <f t="shared" si="42"/>
        <v/>
      </c>
      <c r="CD245" s="101" t="str">
        <f>IF($A245="","",IF(OR($CB245="?",$CC245="?"),"?",MIN($CB245*$CC245,'Technical Premium'!$C$17)))</f>
        <v/>
      </c>
      <c r="CE245" s="100" t="str">
        <f t="shared" si="43"/>
        <v/>
      </c>
      <c r="CF245" s="100" t="str">
        <f>IF($A245="","",IFERROR(INDEX('Territory Factors'!$F$6:$F$56,MATCH($K245,'Territory Factors'!$B$6:$B$56,0)),"?"))</f>
        <v/>
      </c>
      <c r="CG245" s="98" t="str">
        <f>IF($A245="","",IFERROR(INDEX('Usage and Coverage'!$C$79:$C$84,MATCH($Y245,'Usage and Coverage'!$B$79:$B$84,0)),"?"))</f>
        <v/>
      </c>
      <c r="CH245" s="100" t="str">
        <f>IFERROR(IF(ISNUMBER($CD245),$CF245*$CG245*MIN($BG245*$BA245*$BC245*$BD245*$BH245*$BF245,'Technical Premium'!$C$17),""),"")</f>
        <v/>
      </c>
      <c r="CI245" s="100" t="str">
        <f t="shared" si="44"/>
        <v/>
      </c>
      <c r="CJ245" s="100" t="str">
        <f>IFERROR($CI245*(1+'Technical Premium'!$C$5)*(1+'Technical Premium'!$C$6),"")</f>
        <v/>
      </c>
      <c r="CK245" s="100" t="str">
        <f>IFERROR($CE245*INDEX('Territory Factors'!$G$6:$G$56,MATCH($K245,'Territory Factors'!$B$6:$B$56,0))*$AU245*$AV245,"")</f>
        <v/>
      </c>
      <c r="CL245" s="100" t="str">
        <f>IFERROR(($CJ245+$CK245)*(1+'Technical Premium'!$C$7),"")</f>
        <v/>
      </c>
      <c r="CM245" s="102" t="str">
        <f>IFERROR($CL245/'Technical Premium'!$C$13,"")</f>
        <v/>
      </c>
      <c r="CN245" s="103" t="str">
        <f t="shared" si="45"/>
        <v/>
      </c>
      <c r="CO245" s="102" t="str">
        <f t="shared" si="46"/>
        <v/>
      </c>
      <c r="CP245" s="103" t="str">
        <f t="shared" si="47"/>
        <v/>
      </c>
      <c r="CQ245" s="104" t="str">
        <f t="shared" si="48"/>
        <v/>
      </c>
      <c r="CR245" s="100" t="str">
        <f>IF(ISNUMBER($CM245),'Technical Premium'!$C$14+IF($J245&gt;=1000000,'Technical Premium'!$C$15,0),"")</f>
        <v/>
      </c>
      <c r="CS245" s="100" t="str">
        <f>IFERROR(($CO245+$CR245)*(INDEX('Territory Factors'!$K$6:$K$56,MATCH($K245,'Territory Factors'!$B$6:$B$56,0))+'Commission Structure'!$C$21),"")</f>
        <v/>
      </c>
      <c r="CT245" s="102" t="str">
        <f t="shared" si="49"/>
        <v/>
      </c>
      <c r="CU245" s="100" t="str">
        <f>IFERROR($CO245*('Commission Structure'!$C$6+'Commission Structure'!$C$7),"")</f>
        <v/>
      </c>
      <c r="CV245" s="100" t="str">
        <f>IFERROR($CO245*'Commission Structure'!$C$5-$CU245,"")</f>
        <v/>
      </c>
      <c r="CW245" s="100" t="str">
        <f>IFERROR($CO245*(1-'Commission Structure'!$C$5),"")</f>
        <v/>
      </c>
      <c r="CX245" s="105" t="str">
        <f>IF($A245="","",IF(OR($CB245="?",$CC245="?",NOT(ISNUMBER($AU245))),"CHECK INPUTS",IF(OR($J245&lt;'Technical Premium'!$C$18,LEFT(IFERROR(INDEX('Driver Factors'!$D$6:$D$15,MATCH($R245,'Driver Factors'!$B$6:$B$15,0)),""),7)="DECLINE",LEFT(IFERROR(INDEX('Driver Factors'!$D$28:$D$36,MATCH($T245,'Driver Factors'!$B$28:$B$36,0)),""),7)="DECLINE",LEFT(IFERROR(INDEX('Claims History'!$D$6:$D$15,MATCH($U245,'Claims History'!$B$6:$B$15,0)),""),7)="DECLINE",LEFT(IFERROR(INDEX('Usage and Coverage'!$E$6:$E$20,MATCH($N245,'Usage and Coverage'!$C$6:$C$20,0)),""),7)="DECLINE"),"DECLINE",IF(OR($CD245&gt;2.5,$CD245&gt;='Technical Premium'!$C$17,$J245&gt;='Technical Premium'!$C$16,N($AQ245)&lt;'Technical Premium'!$C$19,N($AQ245)&gt;'Technical Premium'!$C$20,LEFT(IFERROR(INDEX('Driver Factors'!$D$6:$D$15,MATCH($R245,'Driver Factors'!$B$6:$B$15,0)),""),5)="Refer",LEFT(IFERROR(INDEX('Driver Factors'!$D$28:$D$36,MATCH($T245,'Driver Factors'!$B$28:$B$36,0)),""),5)="Refer",LEFT(IFERROR(INDEX('Claims History'!$D$6:$D$15,MATCH($U245,'Claims History'!$B$6:$B$15,0)),""),5)="Refer",LEFT(IFERROR(INDEX('Usage and Coverage'!$E$6:$E$20,MATCH($N245,'Usage and Coverage'!$C$6:$C$20,0)),""),5)="Refer"),"REFER","AUTO-BIND"))))</f>
        <v/>
      </c>
      <c r="CY245" s="106" t="str">
        <f t="shared" si="50"/>
        <v/>
      </c>
      <c r="CZ245" s="97" t="str">
        <f>IF($CY245="","",IF($CY245&lt;'Technical Premium'!$C$19,"BEYOND AUTHORITY",IF($CY245&gt;0.005,"Above technical",IF($CY245&lt;-0.005,"BELOW technical","At technical"))))</f>
        <v/>
      </c>
      <c r="DA245" s="97" t="str">
        <f>IF($A245="","",IF($CX245="AUTO-BIND","",TRIM(IF($J245&lt;'Technical Premium'!$C$18,"Below programme minimum agreed value. ","")&amp;IF(N($AQ245)&lt;'Technical Premium'!$C$19,"DISCOUNT AUTHORITY BREACH. ","")&amp;IF(N($AQ245)&gt;'Technical Premium'!$C$20,"Load authority breach. ","")&amp;IF($J245&gt;='Technical Premium'!$C$16,"Agreed value at or above auto-bind limit. ","")&amp;IF(AND(ISNUMBER($CD245),$CD245&gt;='Technical Premium'!$C$17),"Composite factor at cap. ","")&amp;IF(AND(ISNUMBER($CD245),$CD245&gt;2.5),"Composite factor above 2.50. ","")&amp;IF(LEFT(IFERROR(INDEX('Driver Factors'!$D$6:$D$15,MATCH($R245,'Driver Factors'!$B$6:$B$15,0)),""),7)="DECLINE","DECLINE - driver age. ",IF(LEFT(IFERROR(INDEX('Driver Factors'!$D$6:$D$15,MATCH($R245,'Driver Factors'!$B$6:$B$15,0)),""),5)="Refer","Driver age band. ",""))&amp;IF(LEFT(IFERROR(INDEX('Driver Factors'!$D$28:$D$36,MATCH($T245,'Driver Factors'!$B$28:$B$36,0)),""),7)="DECLINE","DECLINE - MVR. ",IF(LEFT(IFERROR(INDEX('Driver Factors'!$D$28:$D$36,MATCH($T245,'Driver Factors'!$B$28:$B$36,0)),""),5)="Refer","MVR record. ",""))&amp;IF(LEFT(IFERROR(INDEX('Claims History'!$D$6:$D$15,MATCH($U245,'Claims History'!$B$6:$B$15,0)),""),7)="DECLINE","DECLINE - claims. ",IF(LEFT(IFERROR(INDEX('Claims History'!$D$6:$D$15,MATCH($U245,'Claims History'!$B$6:$B$15,0)),""),5)="Refer","Claims history. ",""))&amp;IF(LEFT(IFERROR(INDEX('Usage and Coverage'!$E$6:$E$20,MATCH($N245,'Usage and Coverage'!$C$6:$C$20,0)),""),7)="DECLINE","DECLINE - usage class. ",IF(LEFT(IFERROR(INDEX('Usage and Coverage'!$E$6:$E$20,MATCH($N245,'Usage and Coverage'!$C$6:$C$20,0)),""),5)="Refer","Usage class. ",""))&amp;IF($CX245="CHECK INPUTS","Incomplete inputs. ",""))))</f>
        <v/>
      </c>
      <c r="DB245" s="92"/>
      <c r="DC245" s="92"/>
      <c r="DD245" s="93"/>
      <c r="DE245" s="92"/>
      <c r="DF245" s="92"/>
      <c r="DG245" s="97" t="str">
        <f t="shared" si="51"/>
        <v/>
      </c>
      <c r="DH245" s="97" t="str">
        <f>IF($A245="","",IF(OR($CX245="REFER",$CX245="DECLINE"),COUNTIF($CX$5:$CX245,"REFER")+COUNTIF($CX$5:$CX245,"DECLINE"),""))</f>
        <v/>
      </c>
      <c r="DI245" s="92"/>
    </row>
    <row r="246" spans="1:113" x14ac:dyDescent="0.25">
      <c r="A246" s="92"/>
      <c r="B246" s="92"/>
      <c r="C246" s="93"/>
      <c r="D246" s="93"/>
      <c r="E246" s="94"/>
      <c r="F246" s="92"/>
      <c r="G246" s="92"/>
      <c r="H246" s="92"/>
      <c r="I246" s="92"/>
      <c r="J246" s="95"/>
      <c r="K246" s="92"/>
      <c r="L246" s="92"/>
      <c r="M246" s="92"/>
      <c r="N246" s="92"/>
      <c r="O246" s="92"/>
      <c r="P246" s="92"/>
      <c r="Q246" s="92"/>
      <c r="R246" s="92"/>
      <c r="S246" s="92"/>
      <c r="T246" s="92"/>
      <c r="U246" s="92"/>
      <c r="V246" s="92"/>
      <c r="W246" s="92"/>
      <c r="X246" s="92"/>
      <c r="Y246" s="92"/>
      <c r="Z246" s="92"/>
      <c r="AA246" s="92"/>
      <c r="AB246" s="92"/>
      <c r="AC246" s="92"/>
      <c r="AD246" s="92"/>
      <c r="AE246" s="92"/>
      <c r="AF246" s="92"/>
      <c r="AG246" s="92"/>
      <c r="AH246" s="92"/>
      <c r="AI246" s="92"/>
      <c r="AJ246" s="92"/>
      <c r="AK246" s="92"/>
      <c r="AL246" s="92"/>
      <c r="AM246" s="92"/>
      <c r="AN246" s="92"/>
      <c r="AO246" s="92"/>
      <c r="AP246" s="92"/>
      <c r="AQ246" s="96"/>
      <c r="AR246" s="97" t="str">
        <f t="shared" si="39"/>
        <v/>
      </c>
      <c r="AS246" s="97" t="str">
        <f>IF($A246="","",IF($AP246&lt;&gt;"",$AP246,IFERROR(INDEX('Cat Zone by ZIP'!$D$6:$D$856,MATCH($AR246,'Cat Zone by ZIP'!$B$6:$B$856,0)),IFERROR(INDEX('Cat Zone by ZIP'!$C$860:$C$910,MATCH($K246,'Cat Zone by ZIP'!$B$860:$B$910,0)),"NOT FOUND"))))</f>
        <v/>
      </c>
      <c r="AT246" s="97" t="str">
        <f>IF($A246="","",IF($AP246&lt;&gt;"","Override",IF(ISNUMBER(MATCH($AR246,'Cat Zone by ZIP'!$B$6:$B$856,0)),"ZIP-3","State default")))</f>
        <v/>
      </c>
      <c r="AU246" s="98" t="str">
        <f>IF($A246="","",IFERROR(INDEX('Natural Catastrophe'!$D$6:$D$17,MATCH($AS246,'Natural Catastrophe'!$B$6:$B$17,0)),"?"))</f>
        <v/>
      </c>
      <c r="AV246" s="98" t="str">
        <f>IF($A246="","",IFERROR(INDEX('Natural Catastrophe'!$C$21:$C$26,MATCH($AA246,'Natural Catastrophe'!$B$21:$B$26,0)),"?"))</f>
        <v/>
      </c>
      <c r="AW246" s="97" t="str">
        <f>IF($A246="","",IFERROR(INDEX('Base Rates'!$C$4:$I$4,MATCH(MAX($J246,'Technical Premium'!$C$18),'Base Rates'!$C$3:$I$3,1)),"?"))</f>
        <v/>
      </c>
      <c r="AX246" s="99" t="str">
        <f>IF($A246="","",IFERROR(INDEX('Base Rates'!$C$5:$I$16,MATCH($I246,'Base Rates'!$B$5:$B$16,0),MATCH(MAX($J246,'Technical Premium'!$C$18),'Base Rates'!$C$3:$I$3,1)),"?"))</f>
        <v/>
      </c>
      <c r="AY246" s="100" t="str">
        <f t="shared" si="40"/>
        <v/>
      </c>
      <c r="AZ246" s="97" t="str">
        <f>IF($A246="","",IFERROR(INDEX('Make Factors'!$G$5:$G$69,MATCH($F246,'Make Factors'!$B$5:$B$69,0)),"?"))</f>
        <v/>
      </c>
      <c r="BA246" s="97" t="str">
        <f>IF($A246="","",IFERROR(INDEX('Driver Factors'!$C$6:$C$15,MATCH($R246,'Driver Factors'!$B$6:$B$15,0)),"?"))</f>
        <v/>
      </c>
      <c r="BB246" s="97" t="str">
        <f>IF($A246="","",IFERROR(INDEX('Driver Factors'!$C$19:$C$24,MATCH($S246,'Driver Factors'!$B$19:$B$24,0)),"?"))</f>
        <v/>
      </c>
      <c r="BC246" s="97" t="str">
        <f>IF($A246="","",IFERROR(INDEX('Driver Factors'!$C$28:$C$36,MATCH($T246,'Driver Factors'!$B$28:$B$36,0)),"?"))</f>
        <v/>
      </c>
      <c r="BD246" s="97" t="str">
        <f>IF($A246="","",IFERROR(INDEX('Claims History'!$C$6:$C$15,MATCH($U246,'Claims History'!$B$6:$B$15,0)),"?"))</f>
        <v/>
      </c>
      <c r="BE246" s="97" t="str">
        <f>IF($A246="","",IFERROR(INDEX('Territory Factors'!$E$6:$E$56,MATCH($K246,'Territory Factors'!$B$6:$B$56,0)),"?"))</f>
        <v/>
      </c>
      <c r="BF246" s="97" t="str">
        <f>IF($A246="","",IFERROR(INDEX('City Accident Ratings'!$G$6:$G$54,MATCH($Z246,'City Accident Ratings'!$B$6:$B$54,0)),"?"))</f>
        <v/>
      </c>
      <c r="BG246" s="97" t="str">
        <f>IF($A246="","",IFERROR(INDEX('Usage and Coverage'!$D$6:$D$20,MATCH($N246,'Usage and Coverage'!$C$6:$C$20,0)),"?"))</f>
        <v/>
      </c>
      <c r="BH246" s="97" t="str">
        <f>IF($A246="","",IFERROR(INDEX('Usage and Coverage'!$C$24:$C$30,MATCH($O246,'Usage and Coverage'!$B$24:$B$30,0)),"?"))</f>
        <v/>
      </c>
      <c r="BI246" s="97" t="str">
        <f>IF($A246="","",IFERROR(INDEX('Usage and Coverage'!$C$34:$C$40,MATCH($P246,'Usage and Coverage'!$B$34:$B$40,0)),"?"))</f>
        <v/>
      </c>
      <c r="BJ246" s="97" t="str">
        <f>IF($A246="","",IFERROR(INDEX('Usage and Coverage'!$C$44:$C$49,MATCH($Q246,'Usage and Coverage'!$B$44:$B$49,0)),"?"))</f>
        <v/>
      </c>
      <c r="BK246" s="97" t="str">
        <f>IF($A246="","",IFERROR(INDEX(Deductibles!$C$6:$I$15,MATCH($W246,Deductibles!$B$6:$B$15,0),MATCH(MAX($J246,'Technical Premium'!$C$18),'Base Rates'!$C$3:$I$3,1)),"?"))</f>
        <v/>
      </c>
      <c r="BL246" s="97" t="str">
        <f>IF($A246="","",IFERROR(INDEX('Usage and Coverage'!$C$63:$C$66,MATCH($X246,'Usage and Coverage'!$B$63:$B$66,0)),"?"))</f>
        <v/>
      </c>
      <c r="BM246" s="97" t="str">
        <f>IF($A246="","",IFERROR(INDEX('Usage and Coverage'!$C$70:$C$75,MATCH($V246,'Usage and Coverage'!$B$70:$B$75,0)),"?"))</f>
        <v/>
      </c>
      <c r="BN246" s="97" t="str">
        <f>IF($A246="","",IF($AB246="",1,IFERROR(INDEX(Deductibles!$C$48:$C$51,MATCH($AB246,Deductibles!$B$48:$B$51,0)),"?")))</f>
        <v/>
      </c>
      <c r="BO246" s="97" t="str">
        <f>IF($A246="","",IF($AC246="",1,IFERROR(INDEX(Deductibles!$C$55:$C$57,MATCH($AC246,Deductibles!$B$55:$B$57,0)),"?")))</f>
        <v/>
      </c>
      <c r="BP246" s="97" t="str">
        <f>IF($A246="","",IF($AD246="",1,IFERROR(INDEX(Deductibles!$C$61:$C$63,MATCH($AD246,Deductibles!$B$61:$B$63,0)),"?")))</f>
        <v/>
      </c>
      <c r="BQ246" s="97" t="str">
        <f>IF($A246="","",IF($AE246="",1,IFERROR(INDEX(Deductibles!$C$67:$C$69,MATCH($AE246,Deductibles!$B$67:$B$69,0)),"?")))</f>
        <v/>
      </c>
      <c r="BR246" s="97" t="str">
        <f>IF($A246="","",IF($AF246="",1,IFERROR(INDEX(Deductibles!$C$73:$C$74,MATCH($AF246,Deductibles!$B$73:$B$74,0)),"?")))</f>
        <v/>
      </c>
      <c r="BS246" s="97" t="str">
        <f>IF($A246="","",IF($AG246="",1,IFERROR(INDEX('Sublimits and Parts'!$C$49:$C$52,MATCH($AG246,'Sublimits and Parts'!$B$49:$B$52,0)),"?")))</f>
        <v/>
      </c>
      <c r="BT246" s="97" t="str">
        <f>IF($A246="","",IF($AH246="",1,IFERROR(INDEX('Sublimits and Parts'!$C$56:$C$60,MATCH($AH246,'Sublimits and Parts'!$B$56:$B$60,0)),"?")))</f>
        <v/>
      </c>
      <c r="BU246" s="97" t="str">
        <f>IF($A246="","",IF($AI246="",1,IFERROR(INDEX('Sublimits and Parts'!$C$64:$C$67,MATCH($AI246,'Sublimits and Parts'!$B$64:$B$67,0)),"?")))</f>
        <v/>
      </c>
      <c r="BV246" s="97" t="str">
        <f>IF($A246="","",IF($AJ246="",1,IFERROR(INDEX('Sublimits and Parts'!$C$71:$C$74,MATCH($AJ246,'Sublimits and Parts'!$B$71:$B$74,0)),"?")))</f>
        <v/>
      </c>
      <c r="BW246" s="97" t="str">
        <f>IF($A246="","",IF($AK246="",1,IFERROR(INDEX('Sublimits and Parts'!$C$78:$C$80,MATCH($AK246,'Sublimits and Parts'!$B$78:$B$80,0)),"?")))</f>
        <v/>
      </c>
      <c r="BX246" s="97" t="str">
        <f>IF($A246="","",IF($AL246="",1,IFERROR(INDEX('Sublimits and Parts'!$C$84:$C$87,MATCH($AL246,'Sublimits and Parts'!$B$84:$B$87,0)),"?")))</f>
        <v/>
      </c>
      <c r="BY246" s="97" t="str">
        <f>IF($A246="","",IF($AM246="",1,IFERROR(INDEX('Sublimits and Parts'!$C$91:$C$94,MATCH($AM246,'Sublimits and Parts'!$B$91:$B$94,0)),"?")))</f>
        <v/>
      </c>
      <c r="BZ246" s="97" t="str">
        <f>IF($A246="","",IF($AN246="",1,IFERROR(INDEX('Sublimits and Parts'!$C$98:$C$101,MATCH($AN246,'Sublimits and Parts'!$B$98:$B$101,0)),"?")))</f>
        <v/>
      </c>
      <c r="CA246" s="97" t="str">
        <f>IF($A246="","",IF($AO246="",1,IFERROR(INDEX('Sublimits and Parts'!$C$105:$C$109,MATCH($AO246,'Sublimits and Parts'!$B$105:$B$109,0)),"?")))</f>
        <v/>
      </c>
      <c r="CB246" s="98" t="str">
        <f t="shared" si="41"/>
        <v/>
      </c>
      <c r="CC246" s="98" t="str">
        <f t="shared" si="42"/>
        <v/>
      </c>
      <c r="CD246" s="101" t="str">
        <f>IF($A246="","",IF(OR($CB246="?",$CC246="?"),"?",MIN($CB246*$CC246,'Technical Premium'!$C$17)))</f>
        <v/>
      </c>
      <c r="CE246" s="100" t="str">
        <f t="shared" si="43"/>
        <v/>
      </c>
      <c r="CF246" s="100" t="str">
        <f>IF($A246="","",IFERROR(INDEX('Territory Factors'!$F$6:$F$56,MATCH($K246,'Territory Factors'!$B$6:$B$56,0)),"?"))</f>
        <v/>
      </c>
      <c r="CG246" s="98" t="str">
        <f>IF($A246="","",IFERROR(INDEX('Usage and Coverage'!$C$79:$C$84,MATCH($Y246,'Usage and Coverage'!$B$79:$B$84,0)),"?"))</f>
        <v/>
      </c>
      <c r="CH246" s="100" t="str">
        <f>IFERROR(IF(ISNUMBER($CD246),$CF246*$CG246*MIN($BG246*$BA246*$BC246*$BD246*$BH246*$BF246,'Technical Premium'!$C$17),""),"")</f>
        <v/>
      </c>
      <c r="CI246" s="100" t="str">
        <f t="shared" si="44"/>
        <v/>
      </c>
      <c r="CJ246" s="100" t="str">
        <f>IFERROR($CI246*(1+'Technical Premium'!$C$5)*(1+'Technical Premium'!$C$6),"")</f>
        <v/>
      </c>
      <c r="CK246" s="100" t="str">
        <f>IFERROR($CE246*INDEX('Territory Factors'!$G$6:$G$56,MATCH($K246,'Territory Factors'!$B$6:$B$56,0))*$AU246*$AV246,"")</f>
        <v/>
      </c>
      <c r="CL246" s="100" t="str">
        <f>IFERROR(($CJ246+$CK246)*(1+'Technical Premium'!$C$7),"")</f>
        <v/>
      </c>
      <c r="CM246" s="102" t="str">
        <f>IFERROR($CL246/'Technical Premium'!$C$13,"")</f>
        <v/>
      </c>
      <c r="CN246" s="103" t="str">
        <f t="shared" si="45"/>
        <v/>
      </c>
      <c r="CO246" s="102" t="str">
        <f t="shared" si="46"/>
        <v/>
      </c>
      <c r="CP246" s="103" t="str">
        <f t="shared" si="47"/>
        <v/>
      </c>
      <c r="CQ246" s="104" t="str">
        <f t="shared" si="48"/>
        <v/>
      </c>
      <c r="CR246" s="100" t="str">
        <f>IF(ISNUMBER($CM246),'Technical Premium'!$C$14+IF($J246&gt;=1000000,'Technical Premium'!$C$15,0),"")</f>
        <v/>
      </c>
      <c r="CS246" s="100" t="str">
        <f>IFERROR(($CO246+$CR246)*(INDEX('Territory Factors'!$K$6:$K$56,MATCH($K246,'Territory Factors'!$B$6:$B$56,0))+'Commission Structure'!$C$21),"")</f>
        <v/>
      </c>
      <c r="CT246" s="102" t="str">
        <f t="shared" si="49"/>
        <v/>
      </c>
      <c r="CU246" s="100" t="str">
        <f>IFERROR($CO246*('Commission Structure'!$C$6+'Commission Structure'!$C$7),"")</f>
        <v/>
      </c>
      <c r="CV246" s="100" t="str">
        <f>IFERROR($CO246*'Commission Structure'!$C$5-$CU246,"")</f>
        <v/>
      </c>
      <c r="CW246" s="100" t="str">
        <f>IFERROR($CO246*(1-'Commission Structure'!$C$5),"")</f>
        <v/>
      </c>
      <c r="CX246" s="105" t="str">
        <f>IF($A246="","",IF(OR($CB246="?",$CC246="?",NOT(ISNUMBER($AU246))),"CHECK INPUTS",IF(OR($J246&lt;'Technical Premium'!$C$18,LEFT(IFERROR(INDEX('Driver Factors'!$D$6:$D$15,MATCH($R246,'Driver Factors'!$B$6:$B$15,0)),""),7)="DECLINE",LEFT(IFERROR(INDEX('Driver Factors'!$D$28:$D$36,MATCH($T246,'Driver Factors'!$B$28:$B$36,0)),""),7)="DECLINE",LEFT(IFERROR(INDEX('Claims History'!$D$6:$D$15,MATCH($U246,'Claims History'!$B$6:$B$15,0)),""),7)="DECLINE",LEFT(IFERROR(INDEX('Usage and Coverage'!$E$6:$E$20,MATCH($N246,'Usage and Coverage'!$C$6:$C$20,0)),""),7)="DECLINE"),"DECLINE",IF(OR($CD246&gt;2.5,$CD246&gt;='Technical Premium'!$C$17,$J246&gt;='Technical Premium'!$C$16,N($AQ246)&lt;'Technical Premium'!$C$19,N($AQ246)&gt;'Technical Premium'!$C$20,LEFT(IFERROR(INDEX('Driver Factors'!$D$6:$D$15,MATCH($R246,'Driver Factors'!$B$6:$B$15,0)),""),5)="Refer",LEFT(IFERROR(INDEX('Driver Factors'!$D$28:$D$36,MATCH($T246,'Driver Factors'!$B$28:$B$36,0)),""),5)="Refer",LEFT(IFERROR(INDEX('Claims History'!$D$6:$D$15,MATCH($U246,'Claims History'!$B$6:$B$15,0)),""),5)="Refer",LEFT(IFERROR(INDEX('Usage and Coverage'!$E$6:$E$20,MATCH($N246,'Usage and Coverage'!$C$6:$C$20,0)),""),5)="Refer"),"REFER","AUTO-BIND"))))</f>
        <v/>
      </c>
      <c r="CY246" s="106" t="str">
        <f t="shared" si="50"/>
        <v/>
      </c>
      <c r="CZ246" s="97" t="str">
        <f>IF($CY246="","",IF($CY246&lt;'Technical Premium'!$C$19,"BEYOND AUTHORITY",IF($CY246&gt;0.005,"Above technical",IF($CY246&lt;-0.005,"BELOW technical","At technical"))))</f>
        <v/>
      </c>
      <c r="DA246" s="97" t="str">
        <f>IF($A246="","",IF($CX246="AUTO-BIND","",TRIM(IF($J246&lt;'Technical Premium'!$C$18,"Below programme minimum agreed value. ","")&amp;IF(N($AQ246)&lt;'Technical Premium'!$C$19,"DISCOUNT AUTHORITY BREACH. ","")&amp;IF(N($AQ246)&gt;'Technical Premium'!$C$20,"Load authority breach. ","")&amp;IF($J246&gt;='Technical Premium'!$C$16,"Agreed value at or above auto-bind limit. ","")&amp;IF(AND(ISNUMBER($CD246),$CD246&gt;='Technical Premium'!$C$17),"Composite factor at cap. ","")&amp;IF(AND(ISNUMBER($CD246),$CD246&gt;2.5),"Composite factor above 2.50. ","")&amp;IF(LEFT(IFERROR(INDEX('Driver Factors'!$D$6:$D$15,MATCH($R246,'Driver Factors'!$B$6:$B$15,0)),""),7)="DECLINE","DECLINE - driver age. ",IF(LEFT(IFERROR(INDEX('Driver Factors'!$D$6:$D$15,MATCH($R246,'Driver Factors'!$B$6:$B$15,0)),""),5)="Refer","Driver age band. ",""))&amp;IF(LEFT(IFERROR(INDEX('Driver Factors'!$D$28:$D$36,MATCH($T246,'Driver Factors'!$B$28:$B$36,0)),""),7)="DECLINE","DECLINE - MVR. ",IF(LEFT(IFERROR(INDEX('Driver Factors'!$D$28:$D$36,MATCH($T246,'Driver Factors'!$B$28:$B$36,0)),""),5)="Refer","MVR record. ",""))&amp;IF(LEFT(IFERROR(INDEX('Claims History'!$D$6:$D$15,MATCH($U246,'Claims History'!$B$6:$B$15,0)),""),7)="DECLINE","DECLINE - claims. ",IF(LEFT(IFERROR(INDEX('Claims History'!$D$6:$D$15,MATCH($U246,'Claims History'!$B$6:$B$15,0)),""),5)="Refer","Claims history. ",""))&amp;IF(LEFT(IFERROR(INDEX('Usage and Coverage'!$E$6:$E$20,MATCH($N246,'Usage and Coverage'!$C$6:$C$20,0)),""),7)="DECLINE","DECLINE - usage class. ",IF(LEFT(IFERROR(INDEX('Usage and Coverage'!$E$6:$E$20,MATCH($N246,'Usage and Coverage'!$C$6:$C$20,0)),""),5)="Refer","Usage class. ",""))&amp;IF($CX246="CHECK INPUTS","Incomplete inputs. ",""))))</f>
        <v/>
      </c>
      <c r="DB246" s="92"/>
      <c r="DC246" s="92"/>
      <c r="DD246" s="93"/>
      <c r="DE246" s="92"/>
      <c r="DF246" s="92"/>
      <c r="DG246" s="97" t="str">
        <f t="shared" si="51"/>
        <v/>
      </c>
      <c r="DH246" s="97" t="str">
        <f>IF($A246="","",IF(OR($CX246="REFER",$CX246="DECLINE"),COUNTIF($CX$5:$CX246,"REFER")+COUNTIF($CX$5:$CX246,"DECLINE"),""))</f>
        <v/>
      </c>
      <c r="DI246" s="92"/>
    </row>
    <row r="247" spans="1:113" x14ac:dyDescent="0.25">
      <c r="A247" s="92"/>
      <c r="B247" s="92"/>
      <c r="C247" s="93"/>
      <c r="D247" s="93"/>
      <c r="E247" s="94"/>
      <c r="F247" s="92"/>
      <c r="G247" s="92"/>
      <c r="H247" s="92"/>
      <c r="I247" s="92"/>
      <c r="J247" s="95"/>
      <c r="K247" s="92"/>
      <c r="L247" s="92"/>
      <c r="M247" s="92"/>
      <c r="N247" s="92"/>
      <c r="O247" s="92"/>
      <c r="P247" s="92"/>
      <c r="Q247" s="92"/>
      <c r="R247" s="92"/>
      <c r="S247" s="92"/>
      <c r="T247" s="92"/>
      <c r="U247" s="92"/>
      <c r="V247" s="92"/>
      <c r="W247" s="92"/>
      <c r="X247" s="92"/>
      <c r="Y247" s="92"/>
      <c r="Z247" s="92"/>
      <c r="AA247" s="92"/>
      <c r="AB247" s="92"/>
      <c r="AC247" s="92"/>
      <c r="AD247" s="92"/>
      <c r="AE247" s="92"/>
      <c r="AF247" s="92"/>
      <c r="AG247" s="92"/>
      <c r="AH247" s="92"/>
      <c r="AI247" s="92"/>
      <c r="AJ247" s="92"/>
      <c r="AK247" s="92"/>
      <c r="AL247" s="92"/>
      <c r="AM247" s="92"/>
      <c r="AN247" s="92"/>
      <c r="AO247" s="92"/>
      <c r="AP247" s="92"/>
      <c r="AQ247" s="96"/>
      <c r="AR247" s="97" t="str">
        <f t="shared" si="39"/>
        <v/>
      </c>
      <c r="AS247" s="97" t="str">
        <f>IF($A247="","",IF($AP247&lt;&gt;"",$AP247,IFERROR(INDEX('Cat Zone by ZIP'!$D$6:$D$856,MATCH($AR247,'Cat Zone by ZIP'!$B$6:$B$856,0)),IFERROR(INDEX('Cat Zone by ZIP'!$C$860:$C$910,MATCH($K247,'Cat Zone by ZIP'!$B$860:$B$910,0)),"NOT FOUND"))))</f>
        <v/>
      </c>
      <c r="AT247" s="97" t="str">
        <f>IF($A247="","",IF($AP247&lt;&gt;"","Override",IF(ISNUMBER(MATCH($AR247,'Cat Zone by ZIP'!$B$6:$B$856,0)),"ZIP-3","State default")))</f>
        <v/>
      </c>
      <c r="AU247" s="98" t="str">
        <f>IF($A247="","",IFERROR(INDEX('Natural Catastrophe'!$D$6:$D$17,MATCH($AS247,'Natural Catastrophe'!$B$6:$B$17,0)),"?"))</f>
        <v/>
      </c>
      <c r="AV247" s="98" t="str">
        <f>IF($A247="","",IFERROR(INDEX('Natural Catastrophe'!$C$21:$C$26,MATCH($AA247,'Natural Catastrophe'!$B$21:$B$26,0)),"?"))</f>
        <v/>
      </c>
      <c r="AW247" s="97" t="str">
        <f>IF($A247="","",IFERROR(INDEX('Base Rates'!$C$4:$I$4,MATCH(MAX($J247,'Technical Premium'!$C$18),'Base Rates'!$C$3:$I$3,1)),"?"))</f>
        <v/>
      </c>
      <c r="AX247" s="99" t="str">
        <f>IF($A247="","",IFERROR(INDEX('Base Rates'!$C$5:$I$16,MATCH($I247,'Base Rates'!$B$5:$B$16,0),MATCH(MAX($J247,'Technical Premium'!$C$18),'Base Rates'!$C$3:$I$3,1)),"?"))</f>
        <v/>
      </c>
      <c r="AY247" s="100" t="str">
        <f t="shared" si="40"/>
        <v/>
      </c>
      <c r="AZ247" s="97" t="str">
        <f>IF($A247="","",IFERROR(INDEX('Make Factors'!$G$5:$G$69,MATCH($F247,'Make Factors'!$B$5:$B$69,0)),"?"))</f>
        <v/>
      </c>
      <c r="BA247" s="97" t="str">
        <f>IF($A247="","",IFERROR(INDEX('Driver Factors'!$C$6:$C$15,MATCH($R247,'Driver Factors'!$B$6:$B$15,0)),"?"))</f>
        <v/>
      </c>
      <c r="BB247" s="97" t="str">
        <f>IF($A247="","",IFERROR(INDEX('Driver Factors'!$C$19:$C$24,MATCH($S247,'Driver Factors'!$B$19:$B$24,0)),"?"))</f>
        <v/>
      </c>
      <c r="BC247" s="97" t="str">
        <f>IF($A247="","",IFERROR(INDEX('Driver Factors'!$C$28:$C$36,MATCH($T247,'Driver Factors'!$B$28:$B$36,0)),"?"))</f>
        <v/>
      </c>
      <c r="BD247" s="97" t="str">
        <f>IF($A247="","",IFERROR(INDEX('Claims History'!$C$6:$C$15,MATCH($U247,'Claims History'!$B$6:$B$15,0)),"?"))</f>
        <v/>
      </c>
      <c r="BE247" s="97" t="str">
        <f>IF($A247="","",IFERROR(INDEX('Territory Factors'!$E$6:$E$56,MATCH($K247,'Territory Factors'!$B$6:$B$56,0)),"?"))</f>
        <v/>
      </c>
      <c r="BF247" s="97" t="str">
        <f>IF($A247="","",IFERROR(INDEX('City Accident Ratings'!$G$6:$G$54,MATCH($Z247,'City Accident Ratings'!$B$6:$B$54,0)),"?"))</f>
        <v/>
      </c>
      <c r="BG247" s="97" t="str">
        <f>IF($A247="","",IFERROR(INDEX('Usage and Coverage'!$D$6:$D$20,MATCH($N247,'Usage and Coverage'!$C$6:$C$20,0)),"?"))</f>
        <v/>
      </c>
      <c r="BH247" s="97" t="str">
        <f>IF($A247="","",IFERROR(INDEX('Usage and Coverage'!$C$24:$C$30,MATCH($O247,'Usage and Coverage'!$B$24:$B$30,0)),"?"))</f>
        <v/>
      </c>
      <c r="BI247" s="97" t="str">
        <f>IF($A247="","",IFERROR(INDEX('Usage and Coverage'!$C$34:$C$40,MATCH($P247,'Usage and Coverage'!$B$34:$B$40,0)),"?"))</f>
        <v/>
      </c>
      <c r="BJ247" s="97" t="str">
        <f>IF($A247="","",IFERROR(INDEX('Usage and Coverage'!$C$44:$C$49,MATCH($Q247,'Usage and Coverage'!$B$44:$B$49,0)),"?"))</f>
        <v/>
      </c>
      <c r="BK247" s="97" t="str">
        <f>IF($A247="","",IFERROR(INDEX(Deductibles!$C$6:$I$15,MATCH($W247,Deductibles!$B$6:$B$15,0),MATCH(MAX($J247,'Technical Premium'!$C$18),'Base Rates'!$C$3:$I$3,1)),"?"))</f>
        <v/>
      </c>
      <c r="BL247" s="97" t="str">
        <f>IF($A247="","",IFERROR(INDEX('Usage and Coverage'!$C$63:$C$66,MATCH($X247,'Usage and Coverage'!$B$63:$B$66,0)),"?"))</f>
        <v/>
      </c>
      <c r="BM247" s="97" t="str">
        <f>IF($A247="","",IFERROR(INDEX('Usage and Coverage'!$C$70:$C$75,MATCH($V247,'Usage and Coverage'!$B$70:$B$75,0)),"?"))</f>
        <v/>
      </c>
      <c r="BN247" s="97" t="str">
        <f>IF($A247="","",IF($AB247="",1,IFERROR(INDEX(Deductibles!$C$48:$C$51,MATCH($AB247,Deductibles!$B$48:$B$51,0)),"?")))</f>
        <v/>
      </c>
      <c r="BO247" s="97" t="str">
        <f>IF($A247="","",IF($AC247="",1,IFERROR(INDEX(Deductibles!$C$55:$C$57,MATCH($AC247,Deductibles!$B$55:$B$57,0)),"?")))</f>
        <v/>
      </c>
      <c r="BP247" s="97" t="str">
        <f>IF($A247="","",IF($AD247="",1,IFERROR(INDEX(Deductibles!$C$61:$C$63,MATCH($AD247,Deductibles!$B$61:$B$63,0)),"?")))</f>
        <v/>
      </c>
      <c r="BQ247" s="97" t="str">
        <f>IF($A247="","",IF($AE247="",1,IFERROR(INDEX(Deductibles!$C$67:$C$69,MATCH($AE247,Deductibles!$B$67:$B$69,0)),"?")))</f>
        <v/>
      </c>
      <c r="BR247" s="97" t="str">
        <f>IF($A247="","",IF($AF247="",1,IFERROR(INDEX(Deductibles!$C$73:$C$74,MATCH($AF247,Deductibles!$B$73:$B$74,0)),"?")))</f>
        <v/>
      </c>
      <c r="BS247" s="97" t="str">
        <f>IF($A247="","",IF($AG247="",1,IFERROR(INDEX('Sublimits and Parts'!$C$49:$C$52,MATCH($AG247,'Sublimits and Parts'!$B$49:$B$52,0)),"?")))</f>
        <v/>
      </c>
      <c r="BT247" s="97" t="str">
        <f>IF($A247="","",IF($AH247="",1,IFERROR(INDEX('Sublimits and Parts'!$C$56:$C$60,MATCH($AH247,'Sublimits and Parts'!$B$56:$B$60,0)),"?")))</f>
        <v/>
      </c>
      <c r="BU247" s="97" t="str">
        <f>IF($A247="","",IF($AI247="",1,IFERROR(INDEX('Sublimits and Parts'!$C$64:$C$67,MATCH($AI247,'Sublimits and Parts'!$B$64:$B$67,0)),"?")))</f>
        <v/>
      </c>
      <c r="BV247" s="97" t="str">
        <f>IF($A247="","",IF($AJ247="",1,IFERROR(INDEX('Sublimits and Parts'!$C$71:$C$74,MATCH($AJ247,'Sublimits and Parts'!$B$71:$B$74,0)),"?")))</f>
        <v/>
      </c>
      <c r="BW247" s="97" t="str">
        <f>IF($A247="","",IF($AK247="",1,IFERROR(INDEX('Sublimits and Parts'!$C$78:$C$80,MATCH($AK247,'Sublimits and Parts'!$B$78:$B$80,0)),"?")))</f>
        <v/>
      </c>
      <c r="BX247" s="97" t="str">
        <f>IF($A247="","",IF($AL247="",1,IFERROR(INDEX('Sublimits and Parts'!$C$84:$C$87,MATCH($AL247,'Sublimits and Parts'!$B$84:$B$87,0)),"?")))</f>
        <v/>
      </c>
      <c r="BY247" s="97" t="str">
        <f>IF($A247="","",IF($AM247="",1,IFERROR(INDEX('Sublimits and Parts'!$C$91:$C$94,MATCH($AM247,'Sublimits and Parts'!$B$91:$B$94,0)),"?")))</f>
        <v/>
      </c>
      <c r="BZ247" s="97" t="str">
        <f>IF($A247="","",IF($AN247="",1,IFERROR(INDEX('Sublimits and Parts'!$C$98:$C$101,MATCH($AN247,'Sublimits and Parts'!$B$98:$B$101,0)),"?")))</f>
        <v/>
      </c>
      <c r="CA247" s="97" t="str">
        <f>IF($A247="","",IF($AO247="",1,IFERROR(INDEX('Sublimits and Parts'!$C$105:$C$109,MATCH($AO247,'Sublimits and Parts'!$B$105:$B$109,0)),"?")))</f>
        <v/>
      </c>
      <c r="CB247" s="98" t="str">
        <f t="shared" si="41"/>
        <v/>
      </c>
      <c r="CC247" s="98" t="str">
        <f t="shared" si="42"/>
        <v/>
      </c>
      <c r="CD247" s="101" t="str">
        <f>IF($A247="","",IF(OR($CB247="?",$CC247="?"),"?",MIN($CB247*$CC247,'Technical Premium'!$C$17)))</f>
        <v/>
      </c>
      <c r="CE247" s="100" t="str">
        <f t="shared" si="43"/>
        <v/>
      </c>
      <c r="CF247" s="100" t="str">
        <f>IF($A247="","",IFERROR(INDEX('Territory Factors'!$F$6:$F$56,MATCH($K247,'Territory Factors'!$B$6:$B$56,0)),"?"))</f>
        <v/>
      </c>
      <c r="CG247" s="98" t="str">
        <f>IF($A247="","",IFERROR(INDEX('Usage and Coverage'!$C$79:$C$84,MATCH($Y247,'Usage and Coverage'!$B$79:$B$84,0)),"?"))</f>
        <v/>
      </c>
      <c r="CH247" s="100" t="str">
        <f>IFERROR(IF(ISNUMBER($CD247),$CF247*$CG247*MIN($BG247*$BA247*$BC247*$BD247*$BH247*$BF247,'Technical Premium'!$C$17),""),"")</f>
        <v/>
      </c>
      <c r="CI247" s="100" t="str">
        <f t="shared" si="44"/>
        <v/>
      </c>
      <c r="CJ247" s="100" t="str">
        <f>IFERROR($CI247*(1+'Technical Premium'!$C$5)*(1+'Technical Premium'!$C$6),"")</f>
        <v/>
      </c>
      <c r="CK247" s="100" t="str">
        <f>IFERROR($CE247*INDEX('Territory Factors'!$G$6:$G$56,MATCH($K247,'Territory Factors'!$B$6:$B$56,0))*$AU247*$AV247,"")</f>
        <v/>
      </c>
      <c r="CL247" s="100" t="str">
        <f>IFERROR(($CJ247+$CK247)*(1+'Technical Premium'!$C$7),"")</f>
        <v/>
      </c>
      <c r="CM247" s="102" t="str">
        <f>IFERROR($CL247/'Technical Premium'!$C$13,"")</f>
        <v/>
      </c>
      <c r="CN247" s="103" t="str">
        <f t="shared" si="45"/>
        <v/>
      </c>
      <c r="CO247" s="102" t="str">
        <f t="shared" si="46"/>
        <v/>
      </c>
      <c r="CP247" s="103" t="str">
        <f t="shared" si="47"/>
        <v/>
      </c>
      <c r="CQ247" s="104" t="str">
        <f t="shared" si="48"/>
        <v/>
      </c>
      <c r="CR247" s="100" t="str">
        <f>IF(ISNUMBER($CM247),'Technical Premium'!$C$14+IF($J247&gt;=1000000,'Technical Premium'!$C$15,0),"")</f>
        <v/>
      </c>
      <c r="CS247" s="100" t="str">
        <f>IFERROR(($CO247+$CR247)*(INDEX('Territory Factors'!$K$6:$K$56,MATCH($K247,'Territory Factors'!$B$6:$B$56,0))+'Commission Structure'!$C$21),"")</f>
        <v/>
      </c>
      <c r="CT247" s="102" t="str">
        <f t="shared" si="49"/>
        <v/>
      </c>
      <c r="CU247" s="100" t="str">
        <f>IFERROR($CO247*('Commission Structure'!$C$6+'Commission Structure'!$C$7),"")</f>
        <v/>
      </c>
      <c r="CV247" s="100" t="str">
        <f>IFERROR($CO247*'Commission Structure'!$C$5-$CU247,"")</f>
        <v/>
      </c>
      <c r="CW247" s="100" t="str">
        <f>IFERROR($CO247*(1-'Commission Structure'!$C$5),"")</f>
        <v/>
      </c>
      <c r="CX247" s="105" t="str">
        <f>IF($A247="","",IF(OR($CB247="?",$CC247="?",NOT(ISNUMBER($AU247))),"CHECK INPUTS",IF(OR($J247&lt;'Technical Premium'!$C$18,LEFT(IFERROR(INDEX('Driver Factors'!$D$6:$D$15,MATCH($R247,'Driver Factors'!$B$6:$B$15,0)),""),7)="DECLINE",LEFT(IFERROR(INDEX('Driver Factors'!$D$28:$D$36,MATCH($T247,'Driver Factors'!$B$28:$B$36,0)),""),7)="DECLINE",LEFT(IFERROR(INDEX('Claims History'!$D$6:$D$15,MATCH($U247,'Claims History'!$B$6:$B$15,0)),""),7)="DECLINE",LEFT(IFERROR(INDEX('Usage and Coverage'!$E$6:$E$20,MATCH($N247,'Usage and Coverage'!$C$6:$C$20,0)),""),7)="DECLINE"),"DECLINE",IF(OR($CD247&gt;2.5,$CD247&gt;='Technical Premium'!$C$17,$J247&gt;='Technical Premium'!$C$16,N($AQ247)&lt;'Technical Premium'!$C$19,N($AQ247)&gt;'Technical Premium'!$C$20,LEFT(IFERROR(INDEX('Driver Factors'!$D$6:$D$15,MATCH($R247,'Driver Factors'!$B$6:$B$15,0)),""),5)="Refer",LEFT(IFERROR(INDEX('Driver Factors'!$D$28:$D$36,MATCH($T247,'Driver Factors'!$B$28:$B$36,0)),""),5)="Refer",LEFT(IFERROR(INDEX('Claims History'!$D$6:$D$15,MATCH($U247,'Claims History'!$B$6:$B$15,0)),""),5)="Refer",LEFT(IFERROR(INDEX('Usage and Coverage'!$E$6:$E$20,MATCH($N247,'Usage and Coverage'!$C$6:$C$20,0)),""),5)="Refer"),"REFER","AUTO-BIND"))))</f>
        <v/>
      </c>
      <c r="CY247" s="106" t="str">
        <f t="shared" si="50"/>
        <v/>
      </c>
      <c r="CZ247" s="97" t="str">
        <f>IF($CY247="","",IF($CY247&lt;'Technical Premium'!$C$19,"BEYOND AUTHORITY",IF($CY247&gt;0.005,"Above technical",IF($CY247&lt;-0.005,"BELOW technical","At technical"))))</f>
        <v/>
      </c>
      <c r="DA247" s="97" t="str">
        <f>IF($A247="","",IF($CX247="AUTO-BIND","",TRIM(IF($J247&lt;'Technical Premium'!$C$18,"Below programme minimum agreed value. ","")&amp;IF(N($AQ247)&lt;'Technical Premium'!$C$19,"DISCOUNT AUTHORITY BREACH. ","")&amp;IF(N($AQ247)&gt;'Technical Premium'!$C$20,"Load authority breach. ","")&amp;IF($J247&gt;='Technical Premium'!$C$16,"Agreed value at or above auto-bind limit. ","")&amp;IF(AND(ISNUMBER($CD247),$CD247&gt;='Technical Premium'!$C$17),"Composite factor at cap. ","")&amp;IF(AND(ISNUMBER($CD247),$CD247&gt;2.5),"Composite factor above 2.50. ","")&amp;IF(LEFT(IFERROR(INDEX('Driver Factors'!$D$6:$D$15,MATCH($R247,'Driver Factors'!$B$6:$B$15,0)),""),7)="DECLINE","DECLINE - driver age. ",IF(LEFT(IFERROR(INDEX('Driver Factors'!$D$6:$D$15,MATCH($R247,'Driver Factors'!$B$6:$B$15,0)),""),5)="Refer","Driver age band. ",""))&amp;IF(LEFT(IFERROR(INDEX('Driver Factors'!$D$28:$D$36,MATCH($T247,'Driver Factors'!$B$28:$B$36,0)),""),7)="DECLINE","DECLINE - MVR. ",IF(LEFT(IFERROR(INDEX('Driver Factors'!$D$28:$D$36,MATCH($T247,'Driver Factors'!$B$28:$B$36,0)),""),5)="Refer","MVR record. ",""))&amp;IF(LEFT(IFERROR(INDEX('Claims History'!$D$6:$D$15,MATCH($U247,'Claims History'!$B$6:$B$15,0)),""),7)="DECLINE","DECLINE - claims. ",IF(LEFT(IFERROR(INDEX('Claims History'!$D$6:$D$15,MATCH($U247,'Claims History'!$B$6:$B$15,0)),""),5)="Refer","Claims history. ",""))&amp;IF(LEFT(IFERROR(INDEX('Usage and Coverage'!$E$6:$E$20,MATCH($N247,'Usage and Coverage'!$C$6:$C$20,0)),""),7)="DECLINE","DECLINE - usage class. ",IF(LEFT(IFERROR(INDEX('Usage and Coverage'!$E$6:$E$20,MATCH($N247,'Usage and Coverage'!$C$6:$C$20,0)),""),5)="Refer","Usage class. ",""))&amp;IF($CX247="CHECK INPUTS","Incomplete inputs. ",""))))</f>
        <v/>
      </c>
      <c r="DB247" s="92"/>
      <c r="DC247" s="92"/>
      <c r="DD247" s="93"/>
      <c r="DE247" s="92"/>
      <c r="DF247" s="92"/>
      <c r="DG247" s="97" t="str">
        <f t="shared" si="51"/>
        <v/>
      </c>
      <c r="DH247" s="97" t="str">
        <f>IF($A247="","",IF(OR($CX247="REFER",$CX247="DECLINE"),COUNTIF($CX$5:$CX247,"REFER")+COUNTIF($CX$5:$CX247,"DECLINE"),""))</f>
        <v/>
      </c>
      <c r="DI247" s="92"/>
    </row>
    <row r="248" spans="1:113" x14ac:dyDescent="0.25">
      <c r="A248" s="92"/>
      <c r="B248" s="92"/>
      <c r="C248" s="93"/>
      <c r="D248" s="93"/>
      <c r="E248" s="94"/>
      <c r="F248" s="92"/>
      <c r="G248" s="92"/>
      <c r="H248" s="92"/>
      <c r="I248" s="92"/>
      <c r="J248" s="95"/>
      <c r="K248" s="92"/>
      <c r="L248" s="92"/>
      <c r="M248" s="92"/>
      <c r="N248" s="92"/>
      <c r="O248" s="92"/>
      <c r="P248" s="92"/>
      <c r="Q248" s="92"/>
      <c r="R248" s="92"/>
      <c r="S248" s="92"/>
      <c r="T248" s="92"/>
      <c r="U248" s="92"/>
      <c r="V248" s="92"/>
      <c r="W248" s="92"/>
      <c r="X248" s="92"/>
      <c r="Y248" s="92"/>
      <c r="Z248" s="92"/>
      <c r="AA248" s="92"/>
      <c r="AB248" s="92"/>
      <c r="AC248" s="92"/>
      <c r="AD248" s="92"/>
      <c r="AE248" s="92"/>
      <c r="AF248" s="92"/>
      <c r="AG248" s="92"/>
      <c r="AH248" s="92"/>
      <c r="AI248" s="92"/>
      <c r="AJ248" s="92"/>
      <c r="AK248" s="92"/>
      <c r="AL248" s="92"/>
      <c r="AM248" s="92"/>
      <c r="AN248" s="92"/>
      <c r="AO248" s="92"/>
      <c r="AP248" s="92"/>
      <c r="AQ248" s="96"/>
      <c r="AR248" s="97" t="str">
        <f t="shared" si="39"/>
        <v/>
      </c>
      <c r="AS248" s="97" t="str">
        <f>IF($A248="","",IF($AP248&lt;&gt;"",$AP248,IFERROR(INDEX('Cat Zone by ZIP'!$D$6:$D$856,MATCH($AR248,'Cat Zone by ZIP'!$B$6:$B$856,0)),IFERROR(INDEX('Cat Zone by ZIP'!$C$860:$C$910,MATCH($K248,'Cat Zone by ZIP'!$B$860:$B$910,0)),"NOT FOUND"))))</f>
        <v/>
      </c>
      <c r="AT248" s="97" t="str">
        <f>IF($A248="","",IF($AP248&lt;&gt;"","Override",IF(ISNUMBER(MATCH($AR248,'Cat Zone by ZIP'!$B$6:$B$856,0)),"ZIP-3","State default")))</f>
        <v/>
      </c>
      <c r="AU248" s="98" t="str">
        <f>IF($A248="","",IFERROR(INDEX('Natural Catastrophe'!$D$6:$D$17,MATCH($AS248,'Natural Catastrophe'!$B$6:$B$17,0)),"?"))</f>
        <v/>
      </c>
      <c r="AV248" s="98" t="str">
        <f>IF($A248="","",IFERROR(INDEX('Natural Catastrophe'!$C$21:$C$26,MATCH($AA248,'Natural Catastrophe'!$B$21:$B$26,0)),"?"))</f>
        <v/>
      </c>
      <c r="AW248" s="97" t="str">
        <f>IF($A248="","",IFERROR(INDEX('Base Rates'!$C$4:$I$4,MATCH(MAX($J248,'Technical Premium'!$C$18),'Base Rates'!$C$3:$I$3,1)),"?"))</f>
        <v/>
      </c>
      <c r="AX248" s="99" t="str">
        <f>IF($A248="","",IFERROR(INDEX('Base Rates'!$C$5:$I$16,MATCH($I248,'Base Rates'!$B$5:$B$16,0),MATCH(MAX($J248,'Technical Premium'!$C$18),'Base Rates'!$C$3:$I$3,1)),"?"))</f>
        <v/>
      </c>
      <c r="AY248" s="100" t="str">
        <f t="shared" si="40"/>
        <v/>
      </c>
      <c r="AZ248" s="97" t="str">
        <f>IF($A248="","",IFERROR(INDEX('Make Factors'!$G$5:$G$69,MATCH($F248,'Make Factors'!$B$5:$B$69,0)),"?"))</f>
        <v/>
      </c>
      <c r="BA248" s="97" t="str">
        <f>IF($A248="","",IFERROR(INDEX('Driver Factors'!$C$6:$C$15,MATCH($R248,'Driver Factors'!$B$6:$B$15,0)),"?"))</f>
        <v/>
      </c>
      <c r="BB248" s="97" t="str">
        <f>IF($A248="","",IFERROR(INDEX('Driver Factors'!$C$19:$C$24,MATCH($S248,'Driver Factors'!$B$19:$B$24,0)),"?"))</f>
        <v/>
      </c>
      <c r="BC248" s="97" t="str">
        <f>IF($A248="","",IFERROR(INDEX('Driver Factors'!$C$28:$C$36,MATCH($T248,'Driver Factors'!$B$28:$B$36,0)),"?"))</f>
        <v/>
      </c>
      <c r="BD248" s="97" t="str">
        <f>IF($A248="","",IFERROR(INDEX('Claims History'!$C$6:$C$15,MATCH($U248,'Claims History'!$B$6:$B$15,0)),"?"))</f>
        <v/>
      </c>
      <c r="BE248" s="97" t="str">
        <f>IF($A248="","",IFERROR(INDEX('Territory Factors'!$E$6:$E$56,MATCH($K248,'Territory Factors'!$B$6:$B$56,0)),"?"))</f>
        <v/>
      </c>
      <c r="BF248" s="97" t="str">
        <f>IF($A248="","",IFERROR(INDEX('City Accident Ratings'!$G$6:$G$54,MATCH($Z248,'City Accident Ratings'!$B$6:$B$54,0)),"?"))</f>
        <v/>
      </c>
      <c r="BG248" s="97" t="str">
        <f>IF($A248="","",IFERROR(INDEX('Usage and Coverage'!$D$6:$D$20,MATCH($N248,'Usage and Coverage'!$C$6:$C$20,0)),"?"))</f>
        <v/>
      </c>
      <c r="BH248" s="97" t="str">
        <f>IF($A248="","",IFERROR(INDEX('Usage and Coverage'!$C$24:$C$30,MATCH($O248,'Usage and Coverage'!$B$24:$B$30,0)),"?"))</f>
        <v/>
      </c>
      <c r="BI248" s="97" t="str">
        <f>IF($A248="","",IFERROR(INDEX('Usage and Coverage'!$C$34:$C$40,MATCH($P248,'Usage and Coverage'!$B$34:$B$40,0)),"?"))</f>
        <v/>
      </c>
      <c r="BJ248" s="97" t="str">
        <f>IF($A248="","",IFERROR(INDEX('Usage and Coverage'!$C$44:$C$49,MATCH($Q248,'Usage and Coverage'!$B$44:$B$49,0)),"?"))</f>
        <v/>
      </c>
      <c r="BK248" s="97" t="str">
        <f>IF($A248="","",IFERROR(INDEX(Deductibles!$C$6:$I$15,MATCH($W248,Deductibles!$B$6:$B$15,0),MATCH(MAX($J248,'Technical Premium'!$C$18),'Base Rates'!$C$3:$I$3,1)),"?"))</f>
        <v/>
      </c>
      <c r="BL248" s="97" t="str">
        <f>IF($A248="","",IFERROR(INDEX('Usage and Coverage'!$C$63:$C$66,MATCH($X248,'Usage and Coverage'!$B$63:$B$66,0)),"?"))</f>
        <v/>
      </c>
      <c r="BM248" s="97" t="str">
        <f>IF($A248="","",IFERROR(INDEX('Usage and Coverage'!$C$70:$C$75,MATCH($V248,'Usage and Coverage'!$B$70:$B$75,0)),"?"))</f>
        <v/>
      </c>
      <c r="BN248" s="97" t="str">
        <f>IF($A248="","",IF($AB248="",1,IFERROR(INDEX(Deductibles!$C$48:$C$51,MATCH($AB248,Deductibles!$B$48:$B$51,0)),"?")))</f>
        <v/>
      </c>
      <c r="BO248" s="97" t="str">
        <f>IF($A248="","",IF($AC248="",1,IFERROR(INDEX(Deductibles!$C$55:$C$57,MATCH($AC248,Deductibles!$B$55:$B$57,0)),"?")))</f>
        <v/>
      </c>
      <c r="BP248" s="97" t="str">
        <f>IF($A248="","",IF($AD248="",1,IFERROR(INDEX(Deductibles!$C$61:$C$63,MATCH($AD248,Deductibles!$B$61:$B$63,0)),"?")))</f>
        <v/>
      </c>
      <c r="BQ248" s="97" t="str">
        <f>IF($A248="","",IF($AE248="",1,IFERROR(INDEX(Deductibles!$C$67:$C$69,MATCH($AE248,Deductibles!$B$67:$B$69,0)),"?")))</f>
        <v/>
      </c>
      <c r="BR248" s="97" t="str">
        <f>IF($A248="","",IF($AF248="",1,IFERROR(INDEX(Deductibles!$C$73:$C$74,MATCH($AF248,Deductibles!$B$73:$B$74,0)),"?")))</f>
        <v/>
      </c>
      <c r="BS248" s="97" t="str">
        <f>IF($A248="","",IF($AG248="",1,IFERROR(INDEX('Sublimits and Parts'!$C$49:$C$52,MATCH($AG248,'Sublimits and Parts'!$B$49:$B$52,0)),"?")))</f>
        <v/>
      </c>
      <c r="BT248" s="97" t="str">
        <f>IF($A248="","",IF($AH248="",1,IFERROR(INDEX('Sublimits and Parts'!$C$56:$C$60,MATCH($AH248,'Sublimits and Parts'!$B$56:$B$60,0)),"?")))</f>
        <v/>
      </c>
      <c r="BU248" s="97" t="str">
        <f>IF($A248="","",IF($AI248="",1,IFERROR(INDEX('Sublimits and Parts'!$C$64:$C$67,MATCH($AI248,'Sublimits and Parts'!$B$64:$B$67,0)),"?")))</f>
        <v/>
      </c>
      <c r="BV248" s="97" t="str">
        <f>IF($A248="","",IF($AJ248="",1,IFERROR(INDEX('Sublimits and Parts'!$C$71:$C$74,MATCH($AJ248,'Sublimits and Parts'!$B$71:$B$74,0)),"?")))</f>
        <v/>
      </c>
      <c r="BW248" s="97" t="str">
        <f>IF($A248="","",IF($AK248="",1,IFERROR(INDEX('Sublimits and Parts'!$C$78:$C$80,MATCH($AK248,'Sublimits and Parts'!$B$78:$B$80,0)),"?")))</f>
        <v/>
      </c>
      <c r="BX248" s="97" t="str">
        <f>IF($A248="","",IF($AL248="",1,IFERROR(INDEX('Sublimits and Parts'!$C$84:$C$87,MATCH($AL248,'Sublimits and Parts'!$B$84:$B$87,0)),"?")))</f>
        <v/>
      </c>
      <c r="BY248" s="97" t="str">
        <f>IF($A248="","",IF($AM248="",1,IFERROR(INDEX('Sublimits and Parts'!$C$91:$C$94,MATCH($AM248,'Sublimits and Parts'!$B$91:$B$94,0)),"?")))</f>
        <v/>
      </c>
      <c r="BZ248" s="97" t="str">
        <f>IF($A248="","",IF($AN248="",1,IFERROR(INDEX('Sublimits and Parts'!$C$98:$C$101,MATCH($AN248,'Sublimits and Parts'!$B$98:$B$101,0)),"?")))</f>
        <v/>
      </c>
      <c r="CA248" s="97" t="str">
        <f>IF($A248="","",IF($AO248="",1,IFERROR(INDEX('Sublimits and Parts'!$C$105:$C$109,MATCH($AO248,'Sublimits and Parts'!$B$105:$B$109,0)),"?")))</f>
        <v/>
      </c>
      <c r="CB248" s="98" t="str">
        <f t="shared" si="41"/>
        <v/>
      </c>
      <c r="CC248" s="98" t="str">
        <f t="shared" si="42"/>
        <v/>
      </c>
      <c r="CD248" s="101" t="str">
        <f>IF($A248="","",IF(OR($CB248="?",$CC248="?"),"?",MIN($CB248*$CC248,'Technical Premium'!$C$17)))</f>
        <v/>
      </c>
      <c r="CE248" s="100" t="str">
        <f t="shared" si="43"/>
        <v/>
      </c>
      <c r="CF248" s="100" t="str">
        <f>IF($A248="","",IFERROR(INDEX('Territory Factors'!$F$6:$F$56,MATCH($K248,'Territory Factors'!$B$6:$B$56,0)),"?"))</f>
        <v/>
      </c>
      <c r="CG248" s="98" t="str">
        <f>IF($A248="","",IFERROR(INDEX('Usage and Coverage'!$C$79:$C$84,MATCH($Y248,'Usage and Coverage'!$B$79:$B$84,0)),"?"))</f>
        <v/>
      </c>
      <c r="CH248" s="100" t="str">
        <f>IFERROR(IF(ISNUMBER($CD248),$CF248*$CG248*MIN($BG248*$BA248*$BC248*$BD248*$BH248*$BF248,'Technical Premium'!$C$17),""),"")</f>
        <v/>
      </c>
      <c r="CI248" s="100" t="str">
        <f t="shared" si="44"/>
        <v/>
      </c>
      <c r="CJ248" s="100" t="str">
        <f>IFERROR($CI248*(1+'Technical Premium'!$C$5)*(1+'Technical Premium'!$C$6),"")</f>
        <v/>
      </c>
      <c r="CK248" s="100" t="str">
        <f>IFERROR($CE248*INDEX('Territory Factors'!$G$6:$G$56,MATCH($K248,'Territory Factors'!$B$6:$B$56,0))*$AU248*$AV248,"")</f>
        <v/>
      </c>
      <c r="CL248" s="100" t="str">
        <f>IFERROR(($CJ248+$CK248)*(1+'Technical Premium'!$C$7),"")</f>
        <v/>
      </c>
      <c r="CM248" s="102" t="str">
        <f>IFERROR($CL248/'Technical Premium'!$C$13,"")</f>
        <v/>
      </c>
      <c r="CN248" s="103" t="str">
        <f t="shared" si="45"/>
        <v/>
      </c>
      <c r="CO248" s="102" t="str">
        <f t="shared" si="46"/>
        <v/>
      </c>
      <c r="CP248" s="103" t="str">
        <f t="shared" si="47"/>
        <v/>
      </c>
      <c r="CQ248" s="104" t="str">
        <f t="shared" si="48"/>
        <v/>
      </c>
      <c r="CR248" s="100" t="str">
        <f>IF(ISNUMBER($CM248),'Technical Premium'!$C$14+IF($J248&gt;=1000000,'Technical Premium'!$C$15,0),"")</f>
        <v/>
      </c>
      <c r="CS248" s="100" t="str">
        <f>IFERROR(($CO248+$CR248)*(INDEX('Territory Factors'!$K$6:$K$56,MATCH($K248,'Territory Factors'!$B$6:$B$56,0))+'Commission Structure'!$C$21),"")</f>
        <v/>
      </c>
      <c r="CT248" s="102" t="str">
        <f t="shared" si="49"/>
        <v/>
      </c>
      <c r="CU248" s="100" t="str">
        <f>IFERROR($CO248*('Commission Structure'!$C$6+'Commission Structure'!$C$7),"")</f>
        <v/>
      </c>
      <c r="CV248" s="100" t="str">
        <f>IFERROR($CO248*'Commission Structure'!$C$5-$CU248,"")</f>
        <v/>
      </c>
      <c r="CW248" s="100" t="str">
        <f>IFERROR($CO248*(1-'Commission Structure'!$C$5),"")</f>
        <v/>
      </c>
      <c r="CX248" s="105" t="str">
        <f>IF($A248="","",IF(OR($CB248="?",$CC248="?",NOT(ISNUMBER($AU248))),"CHECK INPUTS",IF(OR($J248&lt;'Technical Premium'!$C$18,LEFT(IFERROR(INDEX('Driver Factors'!$D$6:$D$15,MATCH($R248,'Driver Factors'!$B$6:$B$15,0)),""),7)="DECLINE",LEFT(IFERROR(INDEX('Driver Factors'!$D$28:$D$36,MATCH($T248,'Driver Factors'!$B$28:$B$36,0)),""),7)="DECLINE",LEFT(IFERROR(INDEX('Claims History'!$D$6:$D$15,MATCH($U248,'Claims History'!$B$6:$B$15,0)),""),7)="DECLINE",LEFT(IFERROR(INDEX('Usage and Coverage'!$E$6:$E$20,MATCH($N248,'Usage and Coverage'!$C$6:$C$20,0)),""),7)="DECLINE"),"DECLINE",IF(OR($CD248&gt;2.5,$CD248&gt;='Technical Premium'!$C$17,$J248&gt;='Technical Premium'!$C$16,N($AQ248)&lt;'Technical Premium'!$C$19,N($AQ248)&gt;'Technical Premium'!$C$20,LEFT(IFERROR(INDEX('Driver Factors'!$D$6:$D$15,MATCH($R248,'Driver Factors'!$B$6:$B$15,0)),""),5)="Refer",LEFT(IFERROR(INDEX('Driver Factors'!$D$28:$D$36,MATCH($T248,'Driver Factors'!$B$28:$B$36,0)),""),5)="Refer",LEFT(IFERROR(INDEX('Claims History'!$D$6:$D$15,MATCH($U248,'Claims History'!$B$6:$B$15,0)),""),5)="Refer",LEFT(IFERROR(INDEX('Usage and Coverage'!$E$6:$E$20,MATCH($N248,'Usage and Coverage'!$C$6:$C$20,0)),""),5)="Refer"),"REFER","AUTO-BIND"))))</f>
        <v/>
      </c>
      <c r="CY248" s="106" t="str">
        <f t="shared" si="50"/>
        <v/>
      </c>
      <c r="CZ248" s="97" t="str">
        <f>IF($CY248="","",IF($CY248&lt;'Technical Premium'!$C$19,"BEYOND AUTHORITY",IF($CY248&gt;0.005,"Above technical",IF($CY248&lt;-0.005,"BELOW technical","At technical"))))</f>
        <v/>
      </c>
      <c r="DA248" s="97" t="str">
        <f>IF($A248="","",IF($CX248="AUTO-BIND","",TRIM(IF($J248&lt;'Technical Premium'!$C$18,"Below programme minimum agreed value. ","")&amp;IF(N($AQ248)&lt;'Technical Premium'!$C$19,"DISCOUNT AUTHORITY BREACH. ","")&amp;IF(N($AQ248)&gt;'Technical Premium'!$C$20,"Load authority breach. ","")&amp;IF($J248&gt;='Technical Premium'!$C$16,"Agreed value at or above auto-bind limit. ","")&amp;IF(AND(ISNUMBER($CD248),$CD248&gt;='Technical Premium'!$C$17),"Composite factor at cap. ","")&amp;IF(AND(ISNUMBER($CD248),$CD248&gt;2.5),"Composite factor above 2.50. ","")&amp;IF(LEFT(IFERROR(INDEX('Driver Factors'!$D$6:$D$15,MATCH($R248,'Driver Factors'!$B$6:$B$15,0)),""),7)="DECLINE","DECLINE - driver age. ",IF(LEFT(IFERROR(INDEX('Driver Factors'!$D$6:$D$15,MATCH($R248,'Driver Factors'!$B$6:$B$15,0)),""),5)="Refer","Driver age band. ",""))&amp;IF(LEFT(IFERROR(INDEX('Driver Factors'!$D$28:$D$36,MATCH($T248,'Driver Factors'!$B$28:$B$36,0)),""),7)="DECLINE","DECLINE - MVR. ",IF(LEFT(IFERROR(INDEX('Driver Factors'!$D$28:$D$36,MATCH($T248,'Driver Factors'!$B$28:$B$36,0)),""),5)="Refer","MVR record. ",""))&amp;IF(LEFT(IFERROR(INDEX('Claims History'!$D$6:$D$15,MATCH($U248,'Claims History'!$B$6:$B$15,0)),""),7)="DECLINE","DECLINE - claims. ",IF(LEFT(IFERROR(INDEX('Claims History'!$D$6:$D$15,MATCH($U248,'Claims History'!$B$6:$B$15,0)),""),5)="Refer","Claims history. ",""))&amp;IF(LEFT(IFERROR(INDEX('Usage and Coverage'!$E$6:$E$20,MATCH($N248,'Usage and Coverage'!$C$6:$C$20,0)),""),7)="DECLINE","DECLINE - usage class. ",IF(LEFT(IFERROR(INDEX('Usage and Coverage'!$E$6:$E$20,MATCH($N248,'Usage and Coverage'!$C$6:$C$20,0)),""),5)="Refer","Usage class. ",""))&amp;IF($CX248="CHECK INPUTS","Incomplete inputs. ",""))))</f>
        <v/>
      </c>
      <c r="DB248" s="92"/>
      <c r="DC248" s="92"/>
      <c r="DD248" s="93"/>
      <c r="DE248" s="92"/>
      <c r="DF248" s="92"/>
      <c r="DG248" s="97" t="str">
        <f t="shared" si="51"/>
        <v/>
      </c>
      <c r="DH248" s="97" t="str">
        <f>IF($A248="","",IF(OR($CX248="REFER",$CX248="DECLINE"),COUNTIF($CX$5:$CX248,"REFER")+COUNTIF($CX$5:$CX248,"DECLINE"),""))</f>
        <v/>
      </c>
      <c r="DI248" s="92"/>
    </row>
    <row r="249" spans="1:113" x14ac:dyDescent="0.25">
      <c r="A249" s="92"/>
      <c r="B249" s="92"/>
      <c r="C249" s="93"/>
      <c r="D249" s="93"/>
      <c r="E249" s="94"/>
      <c r="F249" s="92"/>
      <c r="G249" s="92"/>
      <c r="H249" s="92"/>
      <c r="I249" s="92"/>
      <c r="J249" s="95"/>
      <c r="K249" s="92"/>
      <c r="L249" s="92"/>
      <c r="M249" s="92"/>
      <c r="N249" s="92"/>
      <c r="O249" s="92"/>
      <c r="P249" s="92"/>
      <c r="Q249" s="92"/>
      <c r="R249" s="92"/>
      <c r="S249" s="92"/>
      <c r="T249" s="92"/>
      <c r="U249" s="92"/>
      <c r="V249" s="92"/>
      <c r="W249" s="92"/>
      <c r="X249" s="92"/>
      <c r="Y249" s="92"/>
      <c r="Z249" s="92"/>
      <c r="AA249" s="92"/>
      <c r="AB249" s="92"/>
      <c r="AC249" s="92"/>
      <c r="AD249" s="92"/>
      <c r="AE249" s="92"/>
      <c r="AF249" s="92"/>
      <c r="AG249" s="92"/>
      <c r="AH249" s="92"/>
      <c r="AI249" s="92"/>
      <c r="AJ249" s="92"/>
      <c r="AK249" s="92"/>
      <c r="AL249" s="92"/>
      <c r="AM249" s="92"/>
      <c r="AN249" s="92"/>
      <c r="AO249" s="92"/>
      <c r="AP249" s="92"/>
      <c r="AQ249" s="96"/>
      <c r="AR249" s="97" t="str">
        <f t="shared" si="39"/>
        <v/>
      </c>
      <c r="AS249" s="97" t="str">
        <f>IF($A249="","",IF($AP249&lt;&gt;"",$AP249,IFERROR(INDEX('Cat Zone by ZIP'!$D$6:$D$856,MATCH($AR249,'Cat Zone by ZIP'!$B$6:$B$856,0)),IFERROR(INDEX('Cat Zone by ZIP'!$C$860:$C$910,MATCH($K249,'Cat Zone by ZIP'!$B$860:$B$910,0)),"NOT FOUND"))))</f>
        <v/>
      </c>
      <c r="AT249" s="97" t="str">
        <f>IF($A249="","",IF($AP249&lt;&gt;"","Override",IF(ISNUMBER(MATCH($AR249,'Cat Zone by ZIP'!$B$6:$B$856,0)),"ZIP-3","State default")))</f>
        <v/>
      </c>
      <c r="AU249" s="98" t="str">
        <f>IF($A249="","",IFERROR(INDEX('Natural Catastrophe'!$D$6:$D$17,MATCH($AS249,'Natural Catastrophe'!$B$6:$B$17,0)),"?"))</f>
        <v/>
      </c>
      <c r="AV249" s="98" t="str">
        <f>IF($A249="","",IFERROR(INDEX('Natural Catastrophe'!$C$21:$C$26,MATCH($AA249,'Natural Catastrophe'!$B$21:$B$26,0)),"?"))</f>
        <v/>
      </c>
      <c r="AW249" s="97" t="str">
        <f>IF($A249="","",IFERROR(INDEX('Base Rates'!$C$4:$I$4,MATCH(MAX($J249,'Technical Premium'!$C$18),'Base Rates'!$C$3:$I$3,1)),"?"))</f>
        <v/>
      </c>
      <c r="AX249" s="99" t="str">
        <f>IF($A249="","",IFERROR(INDEX('Base Rates'!$C$5:$I$16,MATCH($I249,'Base Rates'!$B$5:$B$16,0),MATCH(MAX($J249,'Technical Premium'!$C$18),'Base Rates'!$C$3:$I$3,1)),"?"))</f>
        <v/>
      </c>
      <c r="AY249" s="100" t="str">
        <f t="shared" si="40"/>
        <v/>
      </c>
      <c r="AZ249" s="97" t="str">
        <f>IF($A249="","",IFERROR(INDEX('Make Factors'!$G$5:$G$69,MATCH($F249,'Make Factors'!$B$5:$B$69,0)),"?"))</f>
        <v/>
      </c>
      <c r="BA249" s="97" t="str">
        <f>IF($A249="","",IFERROR(INDEX('Driver Factors'!$C$6:$C$15,MATCH($R249,'Driver Factors'!$B$6:$B$15,0)),"?"))</f>
        <v/>
      </c>
      <c r="BB249" s="97" t="str">
        <f>IF($A249="","",IFERROR(INDEX('Driver Factors'!$C$19:$C$24,MATCH($S249,'Driver Factors'!$B$19:$B$24,0)),"?"))</f>
        <v/>
      </c>
      <c r="BC249" s="97" t="str">
        <f>IF($A249="","",IFERROR(INDEX('Driver Factors'!$C$28:$C$36,MATCH($T249,'Driver Factors'!$B$28:$B$36,0)),"?"))</f>
        <v/>
      </c>
      <c r="BD249" s="97" t="str">
        <f>IF($A249="","",IFERROR(INDEX('Claims History'!$C$6:$C$15,MATCH($U249,'Claims History'!$B$6:$B$15,0)),"?"))</f>
        <v/>
      </c>
      <c r="BE249" s="97" t="str">
        <f>IF($A249="","",IFERROR(INDEX('Territory Factors'!$E$6:$E$56,MATCH($K249,'Territory Factors'!$B$6:$B$56,0)),"?"))</f>
        <v/>
      </c>
      <c r="BF249" s="97" t="str">
        <f>IF($A249="","",IFERROR(INDEX('City Accident Ratings'!$G$6:$G$54,MATCH($Z249,'City Accident Ratings'!$B$6:$B$54,0)),"?"))</f>
        <v/>
      </c>
      <c r="BG249" s="97" t="str">
        <f>IF($A249="","",IFERROR(INDEX('Usage and Coverage'!$D$6:$D$20,MATCH($N249,'Usage and Coverage'!$C$6:$C$20,0)),"?"))</f>
        <v/>
      </c>
      <c r="BH249" s="97" t="str">
        <f>IF($A249="","",IFERROR(INDEX('Usage and Coverage'!$C$24:$C$30,MATCH($O249,'Usage and Coverage'!$B$24:$B$30,0)),"?"))</f>
        <v/>
      </c>
      <c r="BI249" s="97" t="str">
        <f>IF($A249="","",IFERROR(INDEX('Usage and Coverage'!$C$34:$C$40,MATCH($P249,'Usage and Coverage'!$B$34:$B$40,0)),"?"))</f>
        <v/>
      </c>
      <c r="BJ249" s="97" t="str">
        <f>IF($A249="","",IFERROR(INDEX('Usage and Coverage'!$C$44:$C$49,MATCH($Q249,'Usage and Coverage'!$B$44:$B$49,0)),"?"))</f>
        <v/>
      </c>
      <c r="BK249" s="97" t="str">
        <f>IF($A249="","",IFERROR(INDEX(Deductibles!$C$6:$I$15,MATCH($W249,Deductibles!$B$6:$B$15,0),MATCH(MAX($J249,'Technical Premium'!$C$18),'Base Rates'!$C$3:$I$3,1)),"?"))</f>
        <v/>
      </c>
      <c r="BL249" s="97" t="str">
        <f>IF($A249="","",IFERROR(INDEX('Usage and Coverage'!$C$63:$C$66,MATCH($X249,'Usage and Coverage'!$B$63:$B$66,0)),"?"))</f>
        <v/>
      </c>
      <c r="BM249" s="97" t="str">
        <f>IF($A249="","",IFERROR(INDEX('Usage and Coverage'!$C$70:$C$75,MATCH($V249,'Usage and Coverage'!$B$70:$B$75,0)),"?"))</f>
        <v/>
      </c>
      <c r="BN249" s="97" t="str">
        <f>IF($A249="","",IF($AB249="",1,IFERROR(INDEX(Deductibles!$C$48:$C$51,MATCH($AB249,Deductibles!$B$48:$B$51,0)),"?")))</f>
        <v/>
      </c>
      <c r="BO249" s="97" t="str">
        <f>IF($A249="","",IF($AC249="",1,IFERROR(INDEX(Deductibles!$C$55:$C$57,MATCH($AC249,Deductibles!$B$55:$B$57,0)),"?")))</f>
        <v/>
      </c>
      <c r="BP249" s="97" t="str">
        <f>IF($A249="","",IF($AD249="",1,IFERROR(INDEX(Deductibles!$C$61:$C$63,MATCH($AD249,Deductibles!$B$61:$B$63,0)),"?")))</f>
        <v/>
      </c>
      <c r="BQ249" s="97" t="str">
        <f>IF($A249="","",IF($AE249="",1,IFERROR(INDEX(Deductibles!$C$67:$C$69,MATCH($AE249,Deductibles!$B$67:$B$69,0)),"?")))</f>
        <v/>
      </c>
      <c r="BR249" s="97" t="str">
        <f>IF($A249="","",IF($AF249="",1,IFERROR(INDEX(Deductibles!$C$73:$C$74,MATCH($AF249,Deductibles!$B$73:$B$74,0)),"?")))</f>
        <v/>
      </c>
      <c r="BS249" s="97" t="str">
        <f>IF($A249="","",IF($AG249="",1,IFERROR(INDEX('Sublimits and Parts'!$C$49:$C$52,MATCH($AG249,'Sublimits and Parts'!$B$49:$B$52,0)),"?")))</f>
        <v/>
      </c>
      <c r="BT249" s="97" t="str">
        <f>IF($A249="","",IF($AH249="",1,IFERROR(INDEX('Sublimits and Parts'!$C$56:$C$60,MATCH($AH249,'Sublimits and Parts'!$B$56:$B$60,0)),"?")))</f>
        <v/>
      </c>
      <c r="BU249" s="97" t="str">
        <f>IF($A249="","",IF($AI249="",1,IFERROR(INDEX('Sublimits and Parts'!$C$64:$C$67,MATCH($AI249,'Sublimits and Parts'!$B$64:$B$67,0)),"?")))</f>
        <v/>
      </c>
      <c r="BV249" s="97" t="str">
        <f>IF($A249="","",IF($AJ249="",1,IFERROR(INDEX('Sublimits and Parts'!$C$71:$C$74,MATCH($AJ249,'Sublimits and Parts'!$B$71:$B$74,0)),"?")))</f>
        <v/>
      </c>
      <c r="BW249" s="97" t="str">
        <f>IF($A249="","",IF($AK249="",1,IFERROR(INDEX('Sublimits and Parts'!$C$78:$C$80,MATCH($AK249,'Sublimits and Parts'!$B$78:$B$80,0)),"?")))</f>
        <v/>
      </c>
      <c r="BX249" s="97" t="str">
        <f>IF($A249="","",IF($AL249="",1,IFERROR(INDEX('Sublimits and Parts'!$C$84:$C$87,MATCH($AL249,'Sublimits and Parts'!$B$84:$B$87,0)),"?")))</f>
        <v/>
      </c>
      <c r="BY249" s="97" t="str">
        <f>IF($A249="","",IF($AM249="",1,IFERROR(INDEX('Sublimits and Parts'!$C$91:$C$94,MATCH($AM249,'Sublimits and Parts'!$B$91:$B$94,0)),"?")))</f>
        <v/>
      </c>
      <c r="BZ249" s="97" t="str">
        <f>IF($A249="","",IF($AN249="",1,IFERROR(INDEX('Sublimits and Parts'!$C$98:$C$101,MATCH($AN249,'Sublimits and Parts'!$B$98:$B$101,0)),"?")))</f>
        <v/>
      </c>
      <c r="CA249" s="97" t="str">
        <f>IF($A249="","",IF($AO249="",1,IFERROR(INDEX('Sublimits and Parts'!$C$105:$C$109,MATCH($AO249,'Sublimits and Parts'!$B$105:$B$109,0)),"?")))</f>
        <v/>
      </c>
      <c r="CB249" s="98" t="str">
        <f t="shared" si="41"/>
        <v/>
      </c>
      <c r="CC249" s="98" t="str">
        <f t="shared" si="42"/>
        <v/>
      </c>
      <c r="CD249" s="101" t="str">
        <f>IF($A249="","",IF(OR($CB249="?",$CC249="?"),"?",MIN($CB249*$CC249,'Technical Premium'!$C$17)))</f>
        <v/>
      </c>
      <c r="CE249" s="100" t="str">
        <f t="shared" si="43"/>
        <v/>
      </c>
      <c r="CF249" s="100" t="str">
        <f>IF($A249="","",IFERROR(INDEX('Territory Factors'!$F$6:$F$56,MATCH($K249,'Territory Factors'!$B$6:$B$56,0)),"?"))</f>
        <v/>
      </c>
      <c r="CG249" s="98" t="str">
        <f>IF($A249="","",IFERROR(INDEX('Usage and Coverage'!$C$79:$C$84,MATCH($Y249,'Usage and Coverage'!$B$79:$B$84,0)),"?"))</f>
        <v/>
      </c>
      <c r="CH249" s="100" t="str">
        <f>IFERROR(IF(ISNUMBER($CD249),$CF249*$CG249*MIN($BG249*$BA249*$BC249*$BD249*$BH249*$BF249,'Technical Premium'!$C$17),""),"")</f>
        <v/>
      </c>
      <c r="CI249" s="100" t="str">
        <f t="shared" si="44"/>
        <v/>
      </c>
      <c r="CJ249" s="100" t="str">
        <f>IFERROR($CI249*(1+'Technical Premium'!$C$5)*(1+'Technical Premium'!$C$6),"")</f>
        <v/>
      </c>
      <c r="CK249" s="100" t="str">
        <f>IFERROR($CE249*INDEX('Territory Factors'!$G$6:$G$56,MATCH($K249,'Territory Factors'!$B$6:$B$56,0))*$AU249*$AV249,"")</f>
        <v/>
      </c>
      <c r="CL249" s="100" t="str">
        <f>IFERROR(($CJ249+$CK249)*(1+'Technical Premium'!$C$7),"")</f>
        <v/>
      </c>
      <c r="CM249" s="102" t="str">
        <f>IFERROR($CL249/'Technical Premium'!$C$13,"")</f>
        <v/>
      </c>
      <c r="CN249" s="103" t="str">
        <f t="shared" si="45"/>
        <v/>
      </c>
      <c r="CO249" s="102" t="str">
        <f t="shared" si="46"/>
        <v/>
      </c>
      <c r="CP249" s="103" t="str">
        <f t="shared" si="47"/>
        <v/>
      </c>
      <c r="CQ249" s="104" t="str">
        <f t="shared" si="48"/>
        <v/>
      </c>
      <c r="CR249" s="100" t="str">
        <f>IF(ISNUMBER($CM249),'Technical Premium'!$C$14+IF($J249&gt;=1000000,'Technical Premium'!$C$15,0),"")</f>
        <v/>
      </c>
      <c r="CS249" s="100" t="str">
        <f>IFERROR(($CO249+$CR249)*(INDEX('Territory Factors'!$K$6:$K$56,MATCH($K249,'Territory Factors'!$B$6:$B$56,0))+'Commission Structure'!$C$21),"")</f>
        <v/>
      </c>
      <c r="CT249" s="102" t="str">
        <f t="shared" si="49"/>
        <v/>
      </c>
      <c r="CU249" s="100" t="str">
        <f>IFERROR($CO249*('Commission Structure'!$C$6+'Commission Structure'!$C$7),"")</f>
        <v/>
      </c>
      <c r="CV249" s="100" t="str">
        <f>IFERROR($CO249*'Commission Structure'!$C$5-$CU249,"")</f>
        <v/>
      </c>
      <c r="CW249" s="100" t="str">
        <f>IFERROR($CO249*(1-'Commission Structure'!$C$5),"")</f>
        <v/>
      </c>
      <c r="CX249" s="105" t="str">
        <f>IF($A249="","",IF(OR($CB249="?",$CC249="?",NOT(ISNUMBER($AU249))),"CHECK INPUTS",IF(OR($J249&lt;'Technical Premium'!$C$18,LEFT(IFERROR(INDEX('Driver Factors'!$D$6:$D$15,MATCH($R249,'Driver Factors'!$B$6:$B$15,0)),""),7)="DECLINE",LEFT(IFERROR(INDEX('Driver Factors'!$D$28:$D$36,MATCH($T249,'Driver Factors'!$B$28:$B$36,0)),""),7)="DECLINE",LEFT(IFERROR(INDEX('Claims History'!$D$6:$D$15,MATCH($U249,'Claims History'!$B$6:$B$15,0)),""),7)="DECLINE",LEFT(IFERROR(INDEX('Usage and Coverage'!$E$6:$E$20,MATCH($N249,'Usage and Coverage'!$C$6:$C$20,0)),""),7)="DECLINE"),"DECLINE",IF(OR($CD249&gt;2.5,$CD249&gt;='Technical Premium'!$C$17,$J249&gt;='Technical Premium'!$C$16,N($AQ249)&lt;'Technical Premium'!$C$19,N($AQ249)&gt;'Technical Premium'!$C$20,LEFT(IFERROR(INDEX('Driver Factors'!$D$6:$D$15,MATCH($R249,'Driver Factors'!$B$6:$B$15,0)),""),5)="Refer",LEFT(IFERROR(INDEX('Driver Factors'!$D$28:$D$36,MATCH($T249,'Driver Factors'!$B$28:$B$36,0)),""),5)="Refer",LEFT(IFERROR(INDEX('Claims History'!$D$6:$D$15,MATCH($U249,'Claims History'!$B$6:$B$15,0)),""),5)="Refer",LEFT(IFERROR(INDEX('Usage and Coverage'!$E$6:$E$20,MATCH($N249,'Usage and Coverage'!$C$6:$C$20,0)),""),5)="Refer"),"REFER","AUTO-BIND"))))</f>
        <v/>
      </c>
      <c r="CY249" s="106" t="str">
        <f t="shared" si="50"/>
        <v/>
      </c>
      <c r="CZ249" s="97" t="str">
        <f>IF($CY249="","",IF($CY249&lt;'Technical Premium'!$C$19,"BEYOND AUTHORITY",IF($CY249&gt;0.005,"Above technical",IF($CY249&lt;-0.005,"BELOW technical","At technical"))))</f>
        <v/>
      </c>
      <c r="DA249" s="97" t="str">
        <f>IF($A249="","",IF($CX249="AUTO-BIND","",TRIM(IF($J249&lt;'Technical Premium'!$C$18,"Below programme minimum agreed value. ","")&amp;IF(N($AQ249)&lt;'Technical Premium'!$C$19,"DISCOUNT AUTHORITY BREACH. ","")&amp;IF(N($AQ249)&gt;'Technical Premium'!$C$20,"Load authority breach. ","")&amp;IF($J249&gt;='Technical Premium'!$C$16,"Agreed value at or above auto-bind limit. ","")&amp;IF(AND(ISNUMBER($CD249),$CD249&gt;='Technical Premium'!$C$17),"Composite factor at cap. ","")&amp;IF(AND(ISNUMBER($CD249),$CD249&gt;2.5),"Composite factor above 2.50. ","")&amp;IF(LEFT(IFERROR(INDEX('Driver Factors'!$D$6:$D$15,MATCH($R249,'Driver Factors'!$B$6:$B$15,0)),""),7)="DECLINE","DECLINE - driver age. ",IF(LEFT(IFERROR(INDEX('Driver Factors'!$D$6:$D$15,MATCH($R249,'Driver Factors'!$B$6:$B$15,0)),""),5)="Refer","Driver age band. ",""))&amp;IF(LEFT(IFERROR(INDEX('Driver Factors'!$D$28:$D$36,MATCH($T249,'Driver Factors'!$B$28:$B$36,0)),""),7)="DECLINE","DECLINE - MVR. ",IF(LEFT(IFERROR(INDEX('Driver Factors'!$D$28:$D$36,MATCH($T249,'Driver Factors'!$B$28:$B$36,0)),""),5)="Refer","MVR record. ",""))&amp;IF(LEFT(IFERROR(INDEX('Claims History'!$D$6:$D$15,MATCH($U249,'Claims History'!$B$6:$B$15,0)),""),7)="DECLINE","DECLINE - claims. ",IF(LEFT(IFERROR(INDEX('Claims History'!$D$6:$D$15,MATCH($U249,'Claims History'!$B$6:$B$15,0)),""),5)="Refer","Claims history. ",""))&amp;IF(LEFT(IFERROR(INDEX('Usage and Coverage'!$E$6:$E$20,MATCH($N249,'Usage and Coverage'!$C$6:$C$20,0)),""),7)="DECLINE","DECLINE - usage class. ",IF(LEFT(IFERROR(INDEX('Usage and Coverage'!$E$6:$E$20,MATCH($N249,'Usage and Coverage'!$C$6:$C$20,0)),""),5)="Refer","Usage class. ",""))&amp;IF($CX249="CHECK INPUTS","Incomplete inputs. ",""))))</f>
        <v/>
      </c>
      <c r="DB249" s="92"/>
      <c r="DC249" s="92"/>
      <c r="DD249" s="93"/>
      <c r="DE249" s="92"/>
      <c r="DF249" s="92"/>
      <c r="DG249" s="97" t="str">
        <f t="shared" si="51"/>
        <v/>
      </c>
      <c r="DH249" s="97" t="str">
        <f>IF($A249="","",IF(OR($CX249="REFER",$CX249="DECLINE"),COUNTIF($CX$5:$CX249,"REFER")+COUNTIF($CX$5:$CX249,"DECLINE"),""))</f>
        <v/>
      </c>
      <c r="DI249" s="92"/>
    </row>
    <row r="250" spans="1:113" x14ac:dyDescent="0.25">
      <c r="A250" s="92"/>
      <c r="B250" s="92"/>
      <c r="C250" s="93"/>
      <c r="D250" s="93"/>
      <c r="E250" s="94"/>
      <c r="F250" s="92"/>
      <c r="G250" s="92"/>
      <c r="H250" s="92"/>
      <c r="I250" s="92"/>
      <c r="J250" s="95"/>
      <c r="K250" s="92"/>
      <c r="L250" s="92"/>
      <c r="M250" s="92"/>
      <c r="N250" s="92"/>
      <c r="O250" s="92"/>
      <c r="P250" s="92"/>
      <c r="Q250" s="92"/>
      <c r="R250" s="92"/>
      <c r="S250" s="92"/>
      <c r="T250" s="92"/>
      <c r="U250" s="92"/>
      <c r="V250" s="92"/>
      <c r="W250" s="92"/>
      <c r="X250" s="92"/>
      <c r="Y250" s="92"/>
      <c r="Z250" s="92"/>
      <c r="AA250" s="92"/>
      <c r="AB250" s="92"/>
      <c r="AC250" s="92"/>
      <c r="AD250" s="92"/>
      <c r="AE250" s="92"/>
      <c r="AF250" s="92"/>
      <c r="AG250" s="92"/>
      <c r="AH250" s="92"/>
      <c r="AI250" s="92"/>
      <c r="AJ250" s="92"/>
      <c r="AK250" s="92"/>
      <c r="AL250" s="92"/>
      <c r="AM250" s="92"/>
      <c r="AN250" s="92"/>
      <c r="AO250" s="92"/>
      <c r="AP250" s="92"/>
      <c r="AQ250" s="96"/>
      <c r="AR250" s="97" t="str">
        <f t="shared" si="39"/>
        <v/>
      </c>
      <c r="AS250" s="97" t="str">
        <f>IF($A250="","",IF($AP250&lt;&gt;"",$AP250,IFERROR(INDEX('Cat Zone by ZIP'!$D$6:$D$856,MATCH($AR250,'Cat Zone by ZIP'!$B$6:$B$856,0)),IFERROR(INDEX('Cat Zone by ZIP'!$C$860:$C$910,MATCH($K250,'Cat Zone by ZIP'!$B$860:$B$910,0)),"NOT FOUND"))))</f>
        <v/>
      </c>
      <c r="AT250" s="97" t="str">
        <f>IF($A250="","",IF($AP250&lt;&gt;"","Override",IF(ISNUMBER(MATCH($AR250,'Cat Zone by ZIP'!$B$6:$B$856,0)),"ZIP-3","State default")))</f>
        <v/>
      </c>
      <c r="AU250" s="98" t="str">
        <f>IF($A250="","",IFERROR(INDEX('Natural Catastrophe'!$D$6:$D$17,MATCH($AS250,'Natural Catastrophe'!$B$6:$B$17,0)),"?"))</f>
        <v/>
      </c>
      <c r="AV250" s="98" t="str">
        <f>IF($A250="","",IFERROR(INDEX('Natural Catastrophe'!$C$21:$C$26,MATCH($AA250,'Natural Catastrophe'!$B$21:$B$26,0)),"?"))</f>
        <v/>
      </c>
      <c r="AW250" s="97" t="str">
        <f>IF($A250="","",IFERROR(INDEX('Base Rates'!$C$4:$I$4,MATCH(MAX($J250,'Technical Premium'!$C$18),'Base Rates'!$C$3:$I$3,1)),"?"))</f>
        <v/>
      </c>
      <c r="AX250" s="99" t="str">
        <f>IF($A250="","",IFERROR(INDEX('Base Rates'!$C$5:$I$16,MATCH($I250,'Base Rates'!$B$5:$B$16,0),MATCH(MAX($J250,'Technical Premium'!$C$18),'Base Rates'!$C$3:$I$3,1)),"?"))</f>
        <v/>
      </c>
      <c r="AY250" s="100" t="str">
        <f t="shared" si="40"/>
        <v/>
      </c>
      <c r="AZ250" s="97" t="str">
        <f>IF($A250="","",IFERROR(INDEX('Make Factors'!$G$5:$G$69,MATCH($F250,'Make Factors'!$B$5:$B$69,0)),"?"))</f>
        <v/>
      </c>
      <c r="BA250" s="97" t="str">
        <f>IF($A250="","",IFERROR(INDEX('Driver Factors'!$C$6:$C$15,MATCH($R250,'Driver Factors'!$B$6:$B$15,0)),"?"))</f>
        <v/>
      </c>
      <c r="BB250" s="97" t="str">
        <f>IF($A250="","",IFERROR(INDEX('Driver Factors'!$C$19:$C$24,MATCH($S250,'Driver Factors'!$B$19:$B$24,0)),"?"))</f>
        <v/>
      </c>
      <c r="BC250" s="97" t="str">
        <f>IF($A250="","",IFERROR(INDEX('Driver Factors'!$C$28:$C$36,MATCH($T250,'Driver Factors'!$B$28:$B$36,0)),"?"))</f>
        <v/>
      </c>
      <c r="BD250" s="97" t="str">
        <f>IF($A250="","",IFERROR(INDEX('Claims History'!$C$6:$C$15,MATCH($U250,'Claims History'!$B$6:$B$15,0)),"?"))</f>
        <v/>
      </c>
      <c r="BE250" s="97" t="str">
        <f>IF($A250="","",IFERROR(INDEX('Territory Factors'!$E$6:$E$56,MATCH($K250,'Territory Factors'!$B$6:$B$56,0)),"?"))</f>
        <v/>
      </c>
      <c r="BF250" s="97" t="str">
        <f>IF($A250="","",IFERROR(INDEX('City Accident Ratings'!$G$6:$G$54,MATCH($Z250,'City Accident Ratings'!$B$6:$B$54,0)),"?"))</f>
        <v/>
      </c>
      <c r="BG250" s="97" t="str">
        <f>IF($A250="","",IFERROR(INDEX('Usage and Coverage'!$D$6:$D$20,MATCH($N250,'Usage and Coverage'!$C$6:$C$20,0)),"?"))</f>
        <v/>
      </c>
      <c r="BH250" s="97" t="str">
        <f>IF($A250="","",IFERROR(INDEX('Usage and Coverage'!$C$24:$C$30,MATCH($O250,'Usage and Coverage'!$B$24:$B$30,0)),"?"))</f>
        <v/>
      </c>
      <c r="BI250" s="97" t="str">
        <f>IF($A250="","",IFERROR(INDEX('Usage and Coverage'!$C$34:$C$40,MATCH($P250,'Usage and Coverage'!$B$34:$B$40,0)),"?"))</f>
        <v/>
      </c>
      <c r="BJ250" s="97" t="str">
        <f>IF($A250="","",IFERROR(INDEX('Usage and Coverage'!$C$44:$C$49,MATCH($Q250,'Usage and Coverage'!$B$44:$B$49,0)),"?"))</f>
        <v/>
      </c>
      <c r="BK250" s="97" t="str">
        <f>IF($A250="","",IFERROR(INDEX(Deductibles!$C$6:$I$15,MATCH($W250,Deductibles!$B$6:$B$15,0),MATCH(MAX($J250,'Technical Premium'!$C$18),'Base Rates'!$C$3:$I$3,1)),"?"))</f>
        <v/>
      </c>
      <c r="BL250" s="97" t="str">
        <f>IF($A250="","",IFERROR(INDEX('Usage and Coverage'!$C$63:$C$66,MATCH($X250,'Usage and Coverage'!$B$63:$B$66,0)),"?"))</f>
        <v/>
      </c>
      <c r="BM250" s="97" t="str">
        <f>IF($A250="","",IFERROR(INDEX('Usage and Coverage'!$C$70:$C$75,MATCH($V250,'Usage and Coverage'!$B$70:$B$75,0)),"?"))</f>
        <v/>
      </c>
      <c r="BN250" s="97" t="str">
        <f>IF($A250="","",IF($AB250="",1,IFERROR(INDEX(Deductibles!$C$48:$C$51,MATCH($AB250,Deductibles!$B$48:$B$51,0)),"?")))</f>
        <v/>
      </c>
      <c r="BO250" s="97" t="str">
        <f>IF($A250="","",IF($AC250="",1,IFERROR(INDEX(Deductibles!$C$55:$C$57,MATCH($AC250,Deductibles!$B$55:$B$57,0)),"?")))</f>
        <v/>
      </c>
      <c r="BP250" s="97" t="str">
        <f>IF($A250="","",IF($AD250="",1,IFERROR(INDEX(Deductibles!$C$61:$C$63,MATCH($AD250,Deductibles!$B$61:$B$63,0)),"?")))</f>
        <v/>
      </c>
      <c r="BQ250" s="97" t="str">
        <f>IF($A250="","",IF($AE250="",1,IFERROR(INDEX(Deductibles!$C$67:$C$69,MATCH($AE250,Deductibles!$B$67:$B$69,0)),"?")))</f>
        <v/>
      </c>
      <c r="BR250" s="97" t="str">
        <f>IF($A250="","",IF($AF250="",1,IFERROR(INDEX(Deductibles!$C$73:$C$74,MATCH($AF250,Deductibles!$B$73:$B$74,0)),"?")))</f>
        <v/>
      </c>
      <c r="BS250" s="97" t="str">
        <f>IF($A250="","",IF($AG250="",1,IFERROR(INDEX('Sublimits and Parts'!$C$49:$C$52,MATCH($AG250,'Sublimits and Parts'!$B$49:$B$52,0)),"?")))</f>
        <v/>
      </c>
      <c r="BT250" s="97" t="str">
        <f>IF($A250="","",IF($AH250="",1,IFERROR(INDEX('Sublimits and Parts'!$C$56:$C$60,MATCH($AH250,'Sublimits and Parts'!$B$56:$B$60,0)),"?")))</f>
        <v/>
      </c>
      <c r="BU250" s="97" t="str">
        <f>IF($A250="","",IF($AI250="",1,IFERROR(INDEX('Sublimits and Parts'!$C$64:$C$67,MATCH($AI250,'Sublimits and Parts'!$B$64:$B$67,0)),"?")))</f>
        <v/>
      </c>
      <c r="BV250" s="97" t="str">
        <f>IF($A250="","",IF($AJ250="",1,IFERROR(INDEX('Sublimits and Parts'!$C$71:$C$74,MATCH($AJ250,'Sublimits and Parts'!$B$71:$B$74,0)),"?")))</f>
        <v/>
      </c>
      <c r="BW250" s="97" t="str">
        <f>IF($A250="","",IF($AK250="",1,IFERROR(INDEX('Sublimits and Parts'!$C$78:$C$80,MATCH($AK250,'Sublimits and Parts'!$B$78:$B$80,0)),"?")))</f>
        <v/>
      </c>
      <c r="BX250" s="97" t="str">
        <f>IF($A250="","",IF($AL250="",1,IFERROR(INDEX('Sublimits and Parts'!$C$84:$C$87,MATCH($AL250,'Sublimits and Parts'!$B$84:$B$87,0)),"?")))</f>
        <v/>
      </c>
      <c r="BY250" s="97" t="str">
        <f>IF($A250="","",IF($AM250="",1,IFERROR(INDEX('Sublimits and Parts'!$C$91:$C$94,MATCH($AM250,'Sublimits and Parts'!$B$91:$B$94,0)),"?")))</f>
        <v/>
      </c>
      <c r="BZ250" s="97" t="str">
        <f>IF($A250="","",IF($AN250="",1,IFERROR(INDEX('Sublimits and Parts'!$C$98:$C$101,MATCH($AN250,'Sublimits and Parts'!$B$98:$B$101,0)),"?")))</f>
        <v/>
      </c>
      <c r="CA250" s="97" t="str">
        <f>IF($A250="","",IF($AO250="",1,IFERROR(INDEX('Sublimits and Parts'!$C$105:$C$109,MATCH($AO250,'Sublimits and Parts'!$B$105:$B$109,0)),"?")))</f>
        <v/>
      </c>
      <c r="CB250" s="98" t="str">
        <f t="shared" si="41"/>
        <v/>
      </c>
      <c r="CC250" s="98" t="str">
        <f t="shared" si="42"/>
        <v/>
      </c>
      <c r="CD250" s="101" t="str">
        <f>IF($A250="","",IF(OR($CB250="?",$CC250="?"),"?",MIN($CB250*$CC250,'Technical Premium'!$C$17)))</f>
        <v/>
      </c>
      <c r="CE250" s="100" t="str">
        <f t="shared" si="43"/>
        <v/>
      </c>
      <c r="CF250" s="100" t="str">
        <f>IF($A250="","",IFERROR(INDEX('Territory Factors'!$F$6:$F$56,MATCH($K250,'Territory Factors'!$B$6:$B$56,0)),"?"))</f>
        <v/>
      </c>
      <c r="CG250" s="98" t="str">
        <f>IF($A250="","",IFERROR(INDEX('Usage and Coverage'!$C$79:$C$84,MATCH($Y250,'Usage and Coverage'!$B$79:$B$84,0)),"?"))</f>
        <v/>
      </c>
      <c r="CH250" s="100" t="str">
        <f>IFERROR(IF(ISNUMBER($CD250),$CF250*$CG250*MIN($BG250*$BA250*$BC250*$BD250*$BH250*$BF250,'Technical Premium'!$C$17),""),"")</f>
        <v/>
      </c>
      <c r="CI250" s="100" t="str">
        <f t="shared" si="44"/>
        <v/>
      </c>
      <c r="CJ250" s="100" t="str">
        <f>IFERROR($CI250*(1+'Technical Premium'!$C$5)*(1+'Technical Premium'!$C$6),"")</f>
        <v/>
      </c>
      <c r="CK250" s="100" t="str">
        <f>IFERROR($CE250*INDEX('Territory Factors'!$G$6:$G$56,MATCH($K250,'Territory Factors'!$B$6:$B$56,0))*$AU250*$AV250,"")</f>
        <v/>
      </c>
      <c r="CL250" s="100" t="str">
        <f>IFERROR(($CJ250+$CK250)*(1+'Technical Premium'!$C$7),"")</f>
        <v/>
      </c>
      <c r="CM250" s="102" t="str">
        <f>IFERROR($CL250/'Technical Premium'!$C$13,"")</f>
        <v/>
      </c>
      <c r="CN250" s="103" t="str">
        <f t="shared" si="45"/>
        <v/>
      </c>
      <c r="CO250" s="102" t="str">
        <f t="shared" si="46"/>
        <v/>
      </c>
      <c r="CP250" s="103" t="str">
        <f t="shared" si="47"/>
        <v/>
      </c>
      <c r="CQ250" s="104" t="str">
        <f t="shared" si="48"/>
        <v/>
      </c>
      <c r="CR250" s="100" t="str">
        <f>IF(ISNUMBER($CM250),'Technical Premium'!$C$14+IF($J250&gt;=1000000,'Technical Premium'!$C$15,0),"")</f>
        <v/>
      </c>
      <c r="CS250" s="100" t="str">
        <f>IFERROR(($CO250+$CR250)*(INDEX('Territory Factors'!$K$6:$K$56,MATCH($K250,'Territory Factors'!$B$6:$B$56,0))+'Commission Structure'!$C$21),"")</f>
        <v/>
      </c>
      <c r="CT250" s="102" t="str">
        <f t="shared" si="49"/>
        <v/>
      </c>
      <c r="CU250" s="100" t="str">
        <f>IFERROR($CO250*('Commission Structure'!$C$6+'Commission Structure'!$C$7),"")</f>
        <v/>
      </c>
      <c r="CV250" s="100" t="str">
        <f>IFERROR($CO250*'Commission Structure'!$C$5-$CU250,"")</f>
        <v/>
      </c>
      <c r="CW250" s="100" t="str">
        <f>IFERROR($CO250*(1-'Commission Structure'!$C$5),"")</f>
        <v/>
      </c>
      <c r="CX250" s="105" t="str">
        <f>IF($A250="","",IF(OR($CB250="?",$CC250="?",NOT(ISNUMBER($AU250))),"CHECK INPUTS",IF(OR($J250&lt;'Technical Premium'!$C$18,LEFT(IFERROR(INDEX('Driver Factors'!$D$6:$D$15,MATCH($R250,'Driver Factors'!$B$6:$B$15,0)),""),7)="DECLINE",LEFT(IFERROR(INDEX('Driver Factors'!$D$28:$D$36,MATCH($T250,'Driver Factors'!$B$28:$B$36,0)),""),7)="DECLINE",LEFT(IFERROR(INDEX('Claims History'!$D$6:$D$15,MATCH($U250,'Claims History'!$B$6:$B$15,0)),""),7)="DECLINE",LEFT(IFERROR(INDEX('Usage and Coverage'!$E$6:$E$20,MATCH($N250,'Usage and Coverage'!$C$6:$C$20,0)),""),7)="DECLINE"),"DECLINE",IF(OR($CD250&gt;2.5,$CD250&gt;='Technical Premium'!$C$17,$J250&gt;='Technical Premium'!$C$16,N($AQ250)&lt;'Technical Premium'!$C$19,N($AQ250)&gt;'Technical Premium'!$C$20,LEFT(IFERROR(INDEX('Driver Factors'!$D$6:$D$15,MATCH($R250,'Driver Factors'!$B$6:$B$15,0)),""),5)="Refer",LEFT(IFERROR(INDEX('Driver Factors'!$D$28:$D$36,MATCH($T250,'Driver Factors'!$B$28:$B$36,0)),""),5)="Refer",LEFT(IFERROR(INDEX('Claims History'!$D$6:$D$15,MATCH($U250,'Claims History'!$B$6:$B$15,0)),""),5)="Refer",LEFT(IFERROR(INDEX('Usage and Coverage'!$E$6:$E$20,MATCH($N250,'Usage and Coverage'!$C$6:$C$20,0)),""),5)="Refer"),"REFER","AUTO-BIND"))))</f>
        <v/>
      </c>
      <c r="CY250" s="106" t="str">
        <f t="shared" si="50"/>
        <v/>
      </c>
      <c r="CZ250" s="97" t="str">
        <f>IF($CY250="","",IF($CY250&lt;'Technical Premium'!$C$19,"BEYOND AUTHORITY",IF($CY250&gt;0.005,"Above technical",IF($CY250&lt;-0.005,"BELOW technical","At technical"))))</f>
        <v/>
      </c>
      <c r="DA250" s="97" t="str">
        <f>IF($A250="","",IF($CX250="AUTO-BIND","",TRIM(IF($J250&lt;'Technical Premium'!$C$18,"Below programme minimum agreed value. ","")&amp;IF(N($AQ250)&lt;'Technical Premium'!$C$19,"DISCOUNT AUTHORITY BREACH. ","")&amp;IF(N($AQ250)&gt;'Technical Premium'!$C$20,"Load authority breach. ","")&amp;IF($J250&gt;='Technical Premium'!$C$16,"Agreed value at or above auto-bind limit. ","")&amp;IF(AND(ISNUMBER($CD250),$CD250&gt;='Technical Premium'!$C$17),"Composite factor at cap. ","")&amp;IF(AND(ISNUMBER($CD250),$CD250&gt;2.5),"Composite factor above 2.50. ","")&amp;IF(LEFT(IFERROR(INDEX('Driver Factors'!$D$6:$D$15,MATCH($R250,'Driver Factors'!$B$6:$B$15,0)),""),7)="DECLINE","DECLINE - driver age. ",IF(LEFT(IFERROR(INDEX('Driver Factors'!$D$6:$D$15,MATCH($R250,'Driver Factors'!$B$6:$B$15,0)),""),5)="Refer","Driver age band. ",""))&amp;IF(LEFT(IFERROR(INDEX('Driver Factors'!$D$28:$D$36,MATCH($T250,'Driver Factors'!$B$28:$B$36,0)),""),7)="DECLINE","DECLINE - MVR. ",IF(LEFT(IFERROR(INDEX('Driver Factors'!$D$28:$D$36,MATCH($T250,'Driver Factors'!$B$28:$B$36,0)),""),5)="Refer","MVR record. ",""))&amp;IF(LEFT(IFERROR(INDEX('Claims History'!$D$6:$D$15,MATCH($U250,'Claims History'!$B$6:$B$15,0)),""),7)="DECLINE","DECLINE - claims. ",IF(LEFT(IFERROR(INDEX('Claims History'!$D$6:$D$15,MATCH($U250,'Claims History'!$B$6:$B$15,0)),""),5)="Refer","Claims history. ",""))&amp;IF(LEFT(IFERROR(INDEX('Usage and Coverage'!$E$6:$E$20,MATCH($N250,'Usage and Coverage'!$C$6:$C$20,0)),""),7)="DECLINE","DECLINE - usage class. ",IF(LEFT(IFERROR(INDEX('Usage and Coverage'!$E$6:$E$20,MATCH($N250,'Usage and Coverage'!$C$6:$C$20,0)),""),5)="Refer","Usage class. ",""))&amp;IF($CX250="CHECK INPUTS","Incomplete inputs. ",""))))</f>
        <v/>
      </c>
      <c r="DB250" s="92"/>
      <c r="DC250" s="92"/>
      <c r="DD250" s="93"/>
      <c r="DE250" s="92"/>
      <c r="DF250" s="92"/>
      <c r="DG250" s="97" t="str">
        <f t="shared" si="51"/>
        <v/>
      </c>
      <c r="DH250" s="97" t="str">
        <f>IF($A250="","",IF(OR($CX250="REFER",$CX250="DECLINE"),COUNTIF($CX$5:$CX250,"REFER")+COUNTIF($CX$5:$CX250,"DECLINE"),""))</f>
        <v/>
      </c>
      <c r="DI250" s="92"/>
    </row>
    <row r="251" spans="1:113" x14ac:dyDescent="0.25">
      <c r="A251" s="92"/>
      <c r="B251" s="92"/>
      <c r="C251" s="93"/>
      <c r="D251" s="93"/>
      <c r="E251" s="94"/>
      <c r="F251" s="92"/>
      <c r="G251" s="92"/>
      <c r="H251" s="92"/>
      <c r="I251" s="92"/>
      <c r="J251" s="95"/>
      <c r="K251" s="92"/>
      <c r="L251" s="92"/>
      <c r="M251" s="92"/>
      <c r="N251" s="92"/>
      <c r="O251" s="92"/>
      <c r="P251" s="92"/>
      <c r="Q251" s="92"/>
      <c r="R251" s="92"/>
      <c r="S251" s="92"/>
      <c r="T251" s="92"/>
      <c r="U251" s="92"/>
      <c r="V251" s="92"/>
      <c r="W251" s="92"/>
      <c r="X251" s="92"/>
      <c r="Y251" s="92"/>
      <c r="Z251" s="92"/>
      <c r="AA251" s="92"/>
      <c r="AB251" s="92"/>
      <c r="AC251" s="92"/>
      <c r="AD251" s="92"/>
      <c r="AE251" s="92"/>
      <c r="AF251" s="92"/>
      <c r="AG251" s="92"/>
      <c r="AH251" s="92"/>
      <c r="AI251" s="92"/>
      <c r="AJ251" s="92"/>
      <c r="AK251" s="92"/>
      <c r="AL251" s="92"/>
      <c r="AM251" s="92"/>
      <c r="AN251" s="92"/>
      <c r="AO251" s="92"/>
      <c r="AP251" s="92"/>
      <c r="AQ251" s="96"/>
      <c r="AR251" s="97" t="str">
        <f t="shared" si="39"/>
        <v/>
      </c>
      <c r="AS251" s="97" t="str">
        <f>IF($A251="","",IF($AP251&lt;&gt;"",$AP251,IFERROR(INDEX('Cat Zone by ZIP'!$D$6:$D$856,MATCH($AR251,'Cat Zone by ZIP'!$B$6:$B$856,0)),IFERROR(INDEX('Cat Zone by ZIP'!$C$860:$C$910,MATCH($K251,'Cat Zone by ZIP'!$B$860:$B$910,0)),"NOT FOUND"))))</f>
        <v/>
      </c>
      <c r="AT251" s="97" t="str">
        <f>IF($A251="","",IF($AP251&lt;&gt;"","Override",IF(ISNUMBER(MATCH($AR251,'Cat Zone by ZIP'!$B$6:$B$856,0)),"ZIP-3","State default")))</f>
        <v/>
      </c>
      <c r="AU251" s="98" t="str">
        <f>IF($A251="","",IFERROR(INDEX('Natural Catastrophe'!$D$6:$D$17,MATCH($AS251,'Natural Catastrophe'!$B$6:$B$17,0)),"?"))</f>
        <v/>
      </c>
      <c r="AV251" s="98" t="str">
        <f>IF($A251="","",IFERROR(INDEX('Natural Catastrophe'!$C$21:$C$26,MATCH($AA251,'Natural Catastrophe'!$B$21:$B$26,0)),"?"))</f>
        <v/>
      </c>
      <c r="AW251" s="97" t="str">
        <f>IF($A251="","",IFERROR(INDEX('Base Rates'!$C$4:$I$4,MATCH(MAX($J251,'Technical Premium'!$C$18),'Base Rates'!$C$3:$I$3,1)),"?"))</f>
        <v/>
      </c>
      <c r="AX251" s="99" t="str">
        <f>IF($A251="","",IFERROR(INDEX('Base Rates'!$C$5:$I$16,MATCH($I251,'Base Rates'!$B$5:$B$16,0),MATCH(MAX($J251,'Technical Premium'!$C$18),'Base Rates'!$C$3:$I$3,1)),"?"))</f>
        <v/>
      </c>
      <c r="AY251" s="100" t="str">
        <f t="shared" si="40"/>
        <v/>
      </c>
      <c r="AZ251" s="97" t="str">
        <f>IF($A251="","",IFERROR(INDEX('Make Factors'!$G$5:$G$69,MATCH($F251,'Make Factors'!$B$5:$B$69,0)),"?"))</f>
        <v/>
      </c>
      <c r="BA251" s="97" t="str">
        <f>IF($A251="","",IFERROR(INDEX('Driver Factors'!$C$6:$C$15,MATCH($R251,'Driver Factors'!$B$6:$B$15,0)),"?"))</f>
        <v/>
      </c>
      <c r="BB251" s="97" t="str">
        <f>IF($A251="","",IFERROR(INDEX('Driver Factors'!$C$19:$C$24,MATCH($S251,'Driver Factors'!$B$19:$B$24,0)),"?"))</f>
        <v/>
      </c>
      <c r="BC251" s="97" t="str">
        <f>IF($A251="","",IFERROR(INDEX('Driver Factors'!$C$28:$C$36,MATCH($T251,'Driver Factors'!$B$28:$B$36,0)),"?"))</f>
        <v/>
      </c>
      <c r="BD251" s="97" t="str">
        <f>IF($A251="","",IFERROR(INDEX('Claims History'!$C$6:$C$15,MATCH($U251,'Claims History'!$B$6:$B$15,0)),"?"))</f>
        <v/>
      </c>
      <c r="BE251" s="97" t="str">
        <f>IF($A251="","",IFERROR(INDEX('Territory Factors'!$E$6:$E$56,MATCH($K251,'Territory Factors'!$B$6:$B$56,0)),"?"))</f>
        <v/>
      </c>
      <c r="BF251" s="97" t="str">
        <f>IF($A251="","",IFERROR(INDEX('City Accident Ratings'!$G$6:$G$54,MATCH($Z251,'City Accident Ratings'!$B$6:$B$54,0)),"?"))</f>
        <v/>
      </c>
      <c r="BG251" s="97" t="str">
        <f>IF($A251="","",IFERROR(INDEX('Usage and Coverage'!$D$6:$D$20,MATCH($N251,'Usage and Coverage'!$C$6:$C$20,0)),"?"))</f>
        <v/>
      </c>
      <c r="BH251" s="97" t="str">
        <f>IF($A251="","",IFERROR(INDEX('Usage and Coverage'!$C$24:$C$30,MATCH($O251,'Usage and Coverage'!$B$24:$B$30,0)),"?"))</f>
        <v/>
      </c>
      <c r="BI251" s="97" t="str">
        <f>IF($A251="","",IFERROR(INDEX('Usage and Coverage'!$C$34:$C$40,MATCH($P251,'Usage and Coverage'!$B$34:$B$40,0)),"?"))</f>
        <v/>
      </c>
      <c r="BJ251" s="97" t="str">
        <f>IF($A251="","",IFERROR(INDEX('Usage and Coverage'!$C$44:$C$49,MATCH($Q251,'Usage and Coverage'!$B$44:$B$49,0)),"?"))</f>
        <v/>
      </c>
      <c r="BK251" s="97" t="str">
        <f>IF($A251="","",IFERROR(INDEX(Deductibles!$C$6:$I$15,MATCH($W251,Deductibles!$B$6:$B$15,0),MATCH(MAX($J251,'Technical Premium'!$C$18),'Base Rates'!$C$3:$I$3,1)),"?"))</f>
        <v/>
      </c>
      <c r="BL251" s="97" t="str">
        <f>IF($A251="","",IFERROR(INDEX('Usage and Coverage'!$C$63:$C$66,MATCH($X251,'Usage and Coverage'!$B$63:$B$66,0)),"?"))</f>
        <v/>
      </c>
      <c r="BM251" s="97" t="str">
        <f>IF($A251="","",IFERROR(INDEX('Usage and Coverage'!$C$70:$C$75,MATCH($V251,'Usage and Coverage'!$B$70:$B$75,0)),"?"))</f>
        <v/>
      </c>
      <c r="BN251" s="97" t="str">
        <f>IF($A251="","",IF($AB251="",1,IFERROR(INDEX(Deductibles!$C$48:$C$51,MATCH($AB251,Deductibles!$B$48:$B$51,0)),"?")))</f>
        <v/>
      </c>
      <c r="BO251" s="97" t="str">
        <f>IF($A251="","",IF($AC251="",1,IFERROR(INDEX(Deductibles!$C$55:$C$57,MATCH($AC251,Deductibles!$B$55:$B$57,0)),"?")))</f>
        <v/>
      </c>
      <c r="BP251" s="97" t="str">
        <f>IF($A251="","",IF($AD251="",1,IFERROR(INDEX(Deductibles!$C$61:$C$63,MATCH($AD251,Deductibles!$B$61:$B$63,0)),"?")))</f>
        <v/>
      </c>
      <c r="BQ251" s="97" t="str">
        <f>IF($A251="","",IF($AE251="",1,IFERROR(INDEX(Deductibles!$C$67:$C$69,MATCH($AE251,Deductibles!$B$67:$B$69,0)),"?")))</f>
        <v/>
      </c>
      <c r="BR251" s="97" t="str">
        <f>IF($A251="","",IF($AF251="",1,IFERROR(INDEX(Deductibles!$C$73:$C$74,MATCH($AF251,Deductibles!$B$73:$B$74,0)),"?")))</f>
        <v/>
      </c>
      <c r="BS251" s="97" t="str">
        <f>IF($A251="","",IF($AG251="",1,IFERROR(INDEX('Sublimits and Parts'!$C$49:$C$52,MATCH($AG251,'Sublimits and Parts'!$B$49:$B$52,0)),"?")))</f>
        <v/>
      </c>
      <c r="BT251" s="97" t="str">
        <f>IF($A251="","",IF($AH251="",1,IFERROR(INDEX('Sublimits and Parts'!$C$56:$C$60,MATCH($AH251,'Sublimits and Parts'!$B$56:$B$60,0)),"?")))</f>
        <v/>
      </c>
      <c r="BU251" s="97" t="str">
        <f>IF($A251="","",IF($AI251="",1,IFERROR(INDEX('Sublimits and Parts'!$C$64:$C$67,MATCH($AI251,'Sublimits and Parts'!$B$64:$B$67,0)),"?")))</f>
        <v/>
      </c>
      <c r="BV251" s="97" t="str">
        <f>IF($A251="","",IF($AJ251="",1,IFERROR(INDEX('Sublimits and Parts'!$C$71:$C$74,MATCH($AJ251,'Sublimits and Parts'!$B$71:$B$74,0)),"?")))</f>
        <v/>
      </c>
      <c r="BW251" s="97" t="str">
        <f>IF($A251="","",IF($AK251="",1,IFERROR(INDEX('Sublimits and Parts'!$C$78:$C$80,MATCH($AK251,'Sublimits and Parts'!$B$78:$B$80,0)),"?")))</f>
        <v/>
      </c>
      <c r="BX251" s="97" t="str">
        <f>IF($A251="","",IF($AL251="",1,IFERROR(INDEX('Sublimits and Parts'!$C$84:$C$87,MATCH($AL251,'Sublimits and Parts'!$B$84:$B$87,0)),"?")))</f>
        <v/>
      </c>
      <c r="BY251" s="97" t="str">
        <f>IF($A251="","",IF($AM251="",1,IFERROR(INDEX('Sublimits and Parts'!$C$91:$C$94,MATCH($AM251,'Sublimits and Parts'!$B$91:$B$94,0)),"?")))</f>
        <v/>
      </c>
      <c r="BZ251" s="97" t="str">
        <f>IF($A251="","",IF($AN251="",1,IFERROR(INDEX('Sublimits and Parts'!$C$98:$C$101,MATCH($AN251,'Sublimits and Parts'!$B$98:$B$101,0)),"?")))</f>
        <v/>
      </c>
      <c r="CA251" s="97" t="str">
        <f>IF($A251="","",IF($AO251="",1,IFERROR(INDEX('Sublimits and Parts'!$C$105:$C$109,MATCH($AO251,'Sublimits and Parts'!$B$105:$B$109,0)),"?")))</f>
        <v/>
      </c>
      <c r="CB251" s="98" t="str">
        <f t="shared" si="41"/>
        <v/>
      </c>
      <c r="CC251" s="98" t="str">
        <f t="shared" si="42"/>
        <v/>
      </c>
      <c r="CD251" s="101" t="str">
        <f>IF($A251="","",IF(OR($CB251="?",$CC251="?"),"?",MIN($CB251*$CC251,'Technical Premium'!$C$17)))</f>
        <v/>
      </c>
      <c r="CE251" s="100" t="str">
        <f t="shared" si="43"/>
        <v/>
      </c>
      <c r="CF251" s="100" t="str">
        <f>IF($A251="","",IFERROR(INDEX('Territory Factors'!$F$6:$F$56,MATCH($K251,'Territory Factors'!$B$6:$B$56,0)),"?"))</f>
        <v/>
      </c>
      <c r="CG251" s="98" t="str">
        <f>IF($A251="","",IFERROR(INDEX('Usage and Coverage'!$C$79:$C$84,MATCH($Y251,'Usage and Coverage'!$B$79:$B$84,0)),"?"))</f>
        <v/>
      </c>
      <c r="CH251" s="100" t="str">
        <f>IFERROR(IF(ISNUMBER($CD251),$CF251*$CG251*MIN($BG251*$BA251*$BC251*$BD251*$BH251*$BF251,'Technical Premium'!$C$17),""),"")</f>
        <v/>
      </c>
      <c r="CI251" s="100" t="str">
        <f t="shared" si="44"/>
        <v/>
      </c>
      <c r="CJ251" s="100" t="str">
        <f>IFERROR($CI251*(1+'Technical Premium'!$C$5)*(1+'Technical Premium'!$C$6),"")</f>
        <v/>
      </c>
      <c r="CK251" s="100" t="str">
        <f>IFERROR($CE251*INDEX('Territory Factors'!$G$6:$G$56,MATCH($K251,'Territory Factors'!$B$6:$B$56,0))*$AU251*$AV251,"")</f>
        <v/>
      </c>
      <c r="CL251" s="100" t="str">
        <f>IFERROR(($CJ251+$CK251)*(1+'Technical Premium'!$C$7),"")</f>
        <v/>
      </c>
      <c r="CM251" s="102" t="str">
        <f>IFERROR($CL251/'Technical Premium'!$C$13,"")</f>
        <v/>
      </c>
      <c r="CN251" s="103" t="str">
        <f t="shared" si="45"/>
        <v/>
      </c>
      <c r="CO251" s="102" t="str">
        <f t="shared" si="46"/>
        <v/>
      </c>
      <c r="CP251" s="103" t="str">
        <f t="shared" si="47"/>
        <v/>
      </c>
      <c r="CQ251" s="104" t="str">
        <f t="shared" si="48"/>
        <v/>
      </c>
      <c r="CR251" s="100" t="str">
        <f>IF(ISNUMBER($CM251),'Technical Premium'!$C$14+IF($J251&gt;=1000000,'Technical Premium'!$C$15,0),"")</f>
        <v/>
      </c>
      <c r="CS251" s="100" t="str">
        <f>IFERROR(($CO251+$CR251)*(INDEX('Territory Factors'!$K$6:$K$56,MATCH($K251,'Territory Factors'!$B$6:$B$56,0))+'Commission Structure'!$C$21),"")</f>
        <v/>
      </c>
      <c r="CT251" s="102" t="str">
        <f t="shared" si="49"/>
        <v/>
      </c>
      <c r="CU251" s="100" t="str">
        <f>IFERROR($CO251*('Commission Structure'!$C$6+'Commission Structure'!$C$7),"")</f>
        <v/>
      </c>
      <c r="CV251" s="100" t="str">
        <f>IFERROR($CO251*'Commission Structure'!$C$5-$CU251,"")</f>
        <v/>
      </c>
      <c r="CW251" s="100" t="str">
        <f>IFERROR($CO251*(1-'Commission Structure'!$C$5),"")</f>
        <v/>
      </c>
      <c r="CX251" s="105" t="str">
        <f>IF($A251="","",IF(OR($CB251="?",$CC251="?",NOT(ISNUMBER($AU251))),"CHECK INPUTS",IF(OR($J251&lt;'Technical Premium'!$C$18,LEFT(IFERROR(INDEX('Driver Factors'!$D$6:$D$15,MATCH($R251,'Driver Factors'!$B$6:$B$15,0)),""),7)="DECLINE",LEFT(IFERROR(INDEX('Driver Factors'!$D$28:$D$36,MATCH($T251,'Driver Factors'!$B$28:$B$36,0)),""),7)="DECLINE",LEFT(IFERROR(INDEX('Claims History'!$D$6:$D$15,MATCH($U251,'Claims History'!$B$6:$B$15,0)),""),7)="DECLINE",LEFT(IFERROR(INDEX('Usage and Coverage'!$E$6:$E$20,MATCH($N251,'Usage and Coverage'!$C$6:$C$20,0)),""),7)="DECLINE"),"DECLINE",IF(OR($CD251&gt;2.5,$CD251&gt;='Technical Premium'!$C$17,$J251&gt;='Technical Premium'!$C$16,N($AQ251)&lt;'Technical Premium'!$C$19,N($AQ251)&gt;'Technical Premium'!$C$20,LEFT(IFERROR(INDEX('Driver Factors'!$D$6:$D$15,MATCH($R251,'Driver Factors'!$B$6:$B$15,0)),""),5)="Refer",LEFT(IFERROR(INDEX('Driver Factors'!$D$28:$D$36,MATCH($T251,'Driver Factors'!$B$28:$B$36,0)),""),5)="Refer",LEFT(IFERROR(INDEX('Claims History'!$D$6:$D$15,MATCH($U251,'Claims History'!$B$6:$B$15,0)),""),5)="Refer",LEFT(IFERROR(INDEX('Usage and Coverage'!$E$6:$E$20,MATCH($N251,'Usage and Coverage'!$C$6:$C$20,0)),""),5)="Refer"),"REFER","AUTO-BIND"))))</f>
        <v/>
      </c>
      <c r="CY251" s="106" t="str">
        <f t="shared" si="50"/>
        <v/>
      </c>
      <c r="CZ251" s="97" t="str">
        <f>IF($CY251="","",IF($CY251&lt;'Technical Premium'!$C$19,"BEYOND AUTHORITY",IF($CY251&gt;0.005,"Above technical",IF($CY251&lt;-0.005,"BELOW technical","At technical"))))</f>
        <v/>
      </c>
      <c r="DA251" s="97" t="str">
        <f>IF($A251="","",IF($CX251="AUTO-BIND","",TRIM(IF($J251&lt;'Technical Premium'!$C$18,"Below programme minimum agreed value. ","")&amp;IF(N($AQ251)&lt;'Technical Premium'!$C$19,"DISCOUNT AUTHORITY BREACH. ","")&amp;IF(N($AQ251)&gt;'Technical Premium'!$C$20,"Load authority breach. ","")&amp;IF($J251&gt;='Technical Premium'!$C$16,"Agreed value at or above auto-bind limit. ","")&amp;IF(AND(ISNUMBER($CD251),$CD251&gt;='Technical Premium'!$C$17),"Composite factor at cap. ","")&amp;IF(AND(ISNUMBER($CD251),$CD251&gt;2.5),"Composite factor above 2.50. ","")&amp;IF(LEFT(IFERROR(INDEX('Driver Factors'!$D$6:$D$15,MATCH($R251,'Driver Factors'!$B$6:$B$15,0)),""),7)="DECLINE","DECLINE - driver age. ",IF(LEFT(IFERROR(INDEX('Driver Factors'!$D$6:$D$15,MATCH($R251,'Driver Factors'!$B$6:$B$15,0)),""),5)="Refer","Driver age band. ",""))&amp;IF(LEFT(IFERROR(INDEX('Driver Factors'!$D$28:$D$36,MATCH($T251,'Driver Factors'!$B$28:$B$36,0)),""),7)="DECLINE","DECLINE - MVR. ",IF(LEFT(IFERROR(INDEX('Driver Factors'!$D$28:$D$36,MATCH($T251,'Driver Factors'!$B$28:$B$36,0)),""),5)="Refer","MVR record. ",""))&amp;IF(LEFT(IFERROR(INDEX('Claims History'!$D$6:$D$15,MATCH($U251,'Claims History'!$B$6:$B$15,0)),""),7)="DECLINE","DECLINE - claims. ",IF(LEFT(IFERROR(INDEX('Claims History'!$D$6:$D$15,MATCH($U251,'Claims History'!$B$6:$B$15,0)),""),5)="Refer","Claims history. ",""))&amp;IF(LEFT(IFERROR(INDEX('Usage and Coverage'!$E$6:$E$20,MATCH($N251,'Usage and Coverage'!$C$6:$C$20,0)),""),7)="DECLINE","DECLINE - usage class. ",IF(LEFT(IFERROR(INDEX('Usage and Coverage'!$E$6:$E$20,MATCH($N251,'Usage and Coverage'!$C$6:$C$20,0)),""),5)="Refer","Usage class. ",""))&amp;IF($CX251="CHECK INPUTS","Incomplete inputs. ",""))))</f>
        <v/>
      </c>
      <c r="DB251" s="92"/>
      <c r="DC251" s="92"/>
      <c r="DD251" s="93"/>
      <c r="DE251" s="92"/>
      <c r="DF251" s="92"/>
      <c r="DG251" s="97" t="str">
        <f t="shared" si="51"/>
        <v/>
      </c>
      <c r="DH251" s="97" t="str">
        <f>IF($A251="","",IF(OR($CX251="REFER",$CX251="DECLINE"),COUNTIF($CX$5:$CX251,"REFER")+COUNTIF($CX$5:$CX251,"DECLINE"),""))</f>
        <v/>
      </c>
      <c r="DI251" s="92"/>
    </row>
    <row r="252" spans="1:113" x14ac:dyDescent="0.25">
      <c r="A252" s="92"/>
      <c r="B252" s="92"/>
      <c r="C252" s="93"/>
      <c r="D252" s="93"/>
      <c r="E252" s="94"/>
      <c r="F252" s="92"/>
      <c r="G252" s="92"/>
      <c r="H252" s="92"/>
      <c r="I252" s="92"/>
      <c r="J252" s="95"/>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92"/>
      <c r="AI252" s="92"/>
      <c r="AJ252" s="92"/>
      <c r="AK252" s="92"/>
      <c r="AL252" s="92"/>
      <c r="AM252" s="92"/>
      <c r="AN252" s="92"/>
      <c r="AO252" s="92"/>
      <c r="AP252" s="92"/>
      <c r="AQ252" s="96"/>
      <c r="AR252" s="97" t="str">
        <f t="shared" si="39"/>
        <v/>
      </c>
      <c r="AS252" s="97" t="str">
        <f>IF($A252="","",IF($AP252&lt;&gt;"",$AP252,IFERROR(INDEX('Cat Zone by ZIP'!$D$6:$D$856,MATCH($AR252,'Cat Zone by ZIP'!$B$6:$B$856,0)),IFERROR(INDEX('Cat Zone by ZIP'!$C$860:$C$910,MATCH($K252,'Cat Zone by ZIP'!$B$860:$B$910,0)),"NOT FOUND"))))</f>
        <v/>
      </c>
      <c r="AT252" s="97" t="str">
        <f>IF($A252="","",IF($AP252&lt;&gt;"","Override",IF(ISNUMBER(MATCH($AR252,'Cat Zone by ZIP'!$B$6:$B$856,0)),"ZIP-3","State default")))</f>
        <v/>
      </c>
      <c r="AU252" s="98" t="str">
        <f>IF($A252="","",IFERROR(INDEX('Natural Catastrophe'!$D$6:$D$17,MATCH($AS252,'Natural Catastrophe'!$B$6:$B$17,0)),"?"))</f>
        <v/>
      </c>
      <c r="AV252" s="98" t="str">
        <f>IF($A252="","",IFERROR(INDEX('Natural Catastrophe'!$C$21:$C$26,MATCH($AA252,'Natural Catastrophe'!$B$21:$B$26,0)),"?"))</f>
        <v/>
      </c>
      <c r="AW252" s="97" t="str">
        <f>IF($A252="","",IFERROR(INDEX('Base Rates'!$C$4:$I$4,MATCH(MAX($J252,'Technical Premium'!$C$18),'Base Rates'!$C$3:$I$3,1)),"?"))</f>
        <v/>
      </c>
      <c r="AX252" s="99" t="str">
        <f>IF($A252="","",IFERROR(INDEX('Base Rates'!$C$5:$I$16,MATCH($I252,'Base Rates'!$B$5:$B$16,0),MATCH(MAX($J252,'Technical Premium'!$C$18),'Base Rates'!$C$3:$I$3,1)),"?"))</f>
        <v/>
      </c>
      <c r="AY252" s="100" t="str">
        <f t="shared" si="40"/>
        <v/>
      </c>
      <c r="AZ252" s="97" t="str">
        <f>IF($A252="","",IFERROR(INDEX('Make Factors'!$G$5:$G$69,MATCH($F252,'Make Factors'!$B$5:$B$69,0)),"?"))</f>
        <v/>
      </c>
      <c r="BA252" s="97" t="str">
        <f>IF($A252="","",IFERROR(INDEX('Driver Factors'!$C$6:$C$15,MATCH($R252,'Driver Factors'!$B$6:$B$15,0)),"?"))</f>
        <v/>
      </c>
      <c r="BB252" s="97" t="str">
        <f>IF($A252="","",IFERROR(INDEX('Driver Factors'!$C$19:$C$24,MATCH($S252,'Driver Factors'!$B$19:$B$24,0)),"?"))</f>
        <v/>
      </c>
      <c r="BC252" s="97" t="str">
        <f>IF($A252="","",IFERROR(INDEX('Driver Factors'!$C$28:$C$36,MATCH($T252,'Driver Factors'!$B$28:$B$36,0)),"?"))</f>
        <v/>
      </c>
      <c r="BD252" s="97" t="str">
        <f>IF($A252="","",IFERROR(INDEX('Claims History'!$C$6:$C$15,MATCH($U252,'Claims History'!$B$6:$B$15,0)),"?"))</f>
        <v/>
      </c>
      <c r="BE252" s="97" t="str">
        <f>IF($A252="","",IFERROR(INDEX('Territory Factors'!$E$6:$E$56,MATCH($K252,'Territory Factors'!$B$6:$B$56,0)),"?"))</f>
        <v/>
      </c>
      <c r="BF252" s="97" t="str">
        <f>IF($A252="","",IFERROR(INDEX('City Accident Ratings'!$G$6:$G$54,MATCH($Z252,'City Accident Ratings'!$B$6:$B$54,0)),"?"))</f>
        <v/>
      </c>
      <c r="BG252" s="97" t="str">
        <f>IF($A252="","",IFERROR(INDEX('Usage and Coverage'!$D$6:$D$20,MATCH($N252,'Usage and Coverage'!$C$6:$C$20,0)),"?"))</f>
        <v/>
      </c>
      <c r="BH252" s="97" t="str">
        <f>IF($A252="","",IFERROR(INDEX('Usage and Coverage'!$C$24:$C$30,MATCH($O252,'Usage and Coverage'!$B$24:$B$30,0)),"?"))</f>
        <v/>
      </c>
      <c r="BI252" s="97" t="str">
        <f>IF($A252="","",IFERROR(INDEX('Usage and Coverage'!$C$34:$C$40,MATCH($P252,'Usage and Coverage'!$B$34:$B$40,0)),"?"))</f>
        <v/>
      </c>
      <c r="BJ252" s="97" t="str">
        <f>IF($A252="","",IFERROR(INDEX('Usage and Coverage'!$C$44:$C$49,MATCH($Q252,'Usage and Coverage'!$B$44:$B$49,0)),"?"))</f>
        <v/>
      </c>
      <c r="BK252" s="97" t="str">
        <f>IF($A252="","",IFERROR(INDEX(Deductibles!$C$6:$I$15,MATCH($W252,Deductibles!$B$6:$B$15,0),MATCH(MAX($J252,'Technical Premium'!$C$18),'Base Rates'!$C$3:$I$3,1)),"?"))</f>
        <v/>
      </c>
      <c r="BL252" s="97" t="str">
        <f>IF($A252="","",IFERROR(INDEX('Usage and Coverage'!$C$63:$C$66,MATCH($X252,'Usage and Coverage'!$B$63:$B$66,0)),"?"))</f>
        <v/>
      </c>
      <c r="BM252" s="97" t="str">
        <f>IF($A252="","",IFERROR(INDEX('Usage and Coverage'!$C$70:$C$75,MATCH($V252,'Usage and Coverage'!$B$70:$B$75,0)),"?"))</f>
        <v/>
      </c>
      <c r="BN252" s="97" t="str">
        <f>IF($A252="","",IF($AB252="",1,IFERROR(INDEX(Deductibles!$C$48:$C$51,MATCH($AB252,Deductibles!$B$48:$B$51,0)),"?")))</f>
        <v/>
      </c>
      <c r="BO252" s="97" t="str">
        <f>IF($A252="","",IF($AC252="",1,IFERROR(INDEX(Deductibles!$C$55:$C$57,MATCH($AC252,Deductibles!$B$55:$B$57,0)),"?")))</f>
        <v/>
      </c>
      <c r="BP252" s="97" t="str">
        <f>IF($A252="","",IF($AD252="",1,IFERROR(INDEX(Deductibles!$C$61:$C$63,MATCH($AD252,Deductibles!$B$61:$B$63,0)),"?")))</f>
        <v/>
      </c>
      <c r="BQ252" s="97" t="str">
        <f>IF($A252="","",IF($AE252="",1,IFERROR(INDEX(Deductibles!$C$67:$C$69,MATCH($AE252,Deductibles!$B$67:$B$69,0)),"?")))</f>
        <v/>
      </c>
      <c r="BR252" s="97" t="str">
        <f>IF($A252="","",IF($AF252="",1,IFERROR(INDEX(Deductibles!$C$73:$C$74,MATCH($AF252,Deductibles!$B$73:$B$74,0)),"?")))</f>
        <v/>
      </c>
      <c r="BS252" s="97" t="str">
        <f>IF($A252="","",IF($AG252="",1,IFERROR(INDEX('Sublimits and Parts'!$C$49:$C$52,MATCH($AG252,'Sublimits and Parts'!$B$49:$B$52,0)),"?")))</f>
        <v/>
      </c>
      <c r="BT252" s="97" t="str">
        <f>IF($A252="","",IF($AH252="",1,IFERROR(INDEX('Sublimits and Parts'!$C$56:$C$60,MATCH($AH252,'Sublimits and Parts'!$B$56:$B$60,0)),"?")))</f>
        <v/>
      </c>
      <c r="BU252" s="97" t="str">
        <f>IF($A252="","",IF($AI252="",1,IFERROR(INDEX('Sublimits and Parts'!$C$64:$C$67,MATCH($AI252,'Sublimits and Parts'!$B$64:$B$67,0)),"?")))</f>
        <v/>
      </c>
      <c r="BV252" s="97" t="str">
        <f>IF($A252="","",IF($AJ252="",1,IFERROR(INDEX('Sublimits and Parts'!$C$71:$C$74,MATCH($AJ252,'Sublimits and Parts'!$B$71:$B$74,0)),"?")))</f>
        <v/>
      </c>
      <c r="BW252" s="97" t="str">
        <f>IF($A252="","",IF($AK252="",1,IFERROR(INDEX('Sublimits and Parts'!$C$78:$C$80,MATCH($AK252,'Sublimits and Parts'!$B$78:$B$80,0)),"?")))</f>
        <v/>
      </c>
      <c r="BX252" s="97" t="str">
        <f>IF($A252="","",IF($AL252="",1,IFERROR(INDEX('Sublimits and Parts'!$C$84:$C$87,MATCH($AL252,'Sublimits and Parts'!$B$84:$B$87,0)),"?")))</f>
        <v/>
      </c>
      <c r="BY252" s="97" t="str">
        <f>IF($A252="","",IF($AM252="",1,IFERROR(INDEX('Sublimits and Parts'!$C$91:$C$94,MATCH($AM252,'Sublimits and Parts'!$B$91:$B$94,0)),"?")))</f>
        <v/>
      </c>
      <c r="BZ252" s="97" t="str">
        <f>IF($A252="","",IF($AN252="",1,IFERROR(INDEX('Sublimits and Parts'!$C$98:$C$101,MATCH($AN252,'Sublimits and Parts'!$B$98:$B$101,0)),"?")))</f>
        <v/>
      </c>
      <c r="CA252" s="97" t="str">
        <f>IF($A252="","",IF($AO252="",1,IFERROR(INDEX('Sublimits and Parts'!$C$105:$C$109,MATCH($AO252,'Sublimits and Parts'!$B$105:$B$109,0)),"?")))</f>
        <v/>
      </c>
      <c r="CB252" s="98" t="str">
        <f t="shared" si="41"/>
        <v/>
      </c>
      <c r="CC252" s="98" t="str">
        <f t="shared" si="42"/>
        <v/>
      </c>
      <c r="CD252" s="101" t="str">
        <f>IF($A252="","",IF(OR($CB252="?",$CC252="?"),"?",MIN($CB252*$CC252,'Technical Premium'!$C$17)))</f>
        <v/>
      </c>
      <c r="CE252" s="100" t="str">
        <f t="shared" si="43"/>
        <v/>
      </c>
      <c r="CF252" s="100" t="str">
        <f>IF($A252="","",IFERROR(INDEX('Territory Factors'!$F$6:$F$56,MATCH($K252,'Territory Factors'!$B$6:$B$56,0)),"?"))</f>
        <v/>
      </c>
      <c r="CG252" s="98" t="str">
        <f>IF($A252="","",IFERROR(INDEX('Usage and Coverage'!$C$79:$C$84,MATCH($Y252,'Usage and Coverage'!$B$79:$B$84,0)),"?"))</f>
        <v/>
      </c>
      <c r="CH252" s="100" t="str">
        <f>IFERROR(IF(ISNUMBER($CD252),$CF252*$CG252*MIN($BG252*$BA252*$BC252*$BD252*$BH252*$BF252,'Technical Premium'!$C$17),""),"")</f>
        <v/>
      </c>
      <c r="CI252" s="100" t="str">
        <f t="shared" si="44"/>
        <v/>
      </c>
      <c r="CJ252" s="100" t="str">
        <f>IFERROR($CI252*(1+'Technical Premium'!$C$5)*(1+'Technical Premium'!$C$6),"")</f>
        <v/>
      </c>
      <c r="CK252" s="100" t="str">
        <f>IFERROR($CE252*INDEX('Territory Factors'!$G$6:$G$56,MATCH($K252,'Territory Factors'!$B$6:$B$56,0))*$AU252*$AV252,"")</f>
        <v/>
      </c>
      <c r="CL252" s="100" t="str">
        <f>IFERROR(($CJ252+$CK252)*(1+'Technical Premium'!$C$7),"")</f>
        <v/>
      </c>
      <c r="CM252" s="102" t="str">
        <f>IFERROR($CL252/'Technical Premium'!$C$13,"")</f>
        <v/>
      </c>
      <c r="CN252" s="103" t="str">
        <f t="shared" si="45"/>
        <v/>
      </c>
      <c r="CO252" s="102" t="str">
        <f t="shared" si="46"/>
        <v/>
      </c>
      <c r="CP252" s="103" t="str">
        <f t="shared" si="47"/>
        <v/>
      </c>
      <c r="CQ252" s="104" t="str">
        <f t="shared" si="48"/>
        <v/>
      </c>
      <c r="CR252" s="100" t="str">
        <f>IF(ISNUMBER($CM252),'Technical Premium'!$C$14+IF($J252&gt;=1000000,'Technical Premium'!$C$15,0),"")</f>
        <v/>
      </c>
      <c r="CS252" s="100" t="str">
        <f>IFERROR(($CO252+$CR252)*(INDEX('Territory Factors'!$K$6:$K$56,MATCH($K252,'Territory Factors'!$B$6:$B$56,0))+'Commission Structure'!$C$21),"")</f>
        <v/>
      </c>
      <c r="CT252" s="102" t="str">
        <f t="shared" si="49"/>
        <v/>
      </c>
      <c r="CU252" s="100" t="str">
        <f>IFERROR($CO252*('Commission Structure'!$C$6+'Commission Structure'!$C$7),"")</f>
        <v/>
      </c>
      <c r="CV252" s="100" t="str">
        <f>IFERROR($CO252*'Commission Structure'!$C$5-$CU252,"")</f>
        <v/>
      </c>
      <c r="CW252" s="100" t="str">
        <f>IFERROR($CO252*(1-'Commission Structure'!$C$5),"")</f>
        <v/>
      </c>
      <c r="CX252" s="105" t="str">
        <f>IF($A252="","",IF(OR($CB252="?",$CC252="?",NOT(ISNUMBER($AU252))),"CHECK INPUTS",IF(OR($J252&lt;'Technical Premium'!$C$18,LEFT(IFERROR(INDEX('Driver Factors'!$D$6:$D$15,MATCH($R252,'Driver Factors'!$B$6:$B$15,0)),""),7)="DECLINE",LEFT(IFERROR(INDEX('Driver Factors'!$D$28:$D$36,MATCH($T252,'Driver Factors'!$B$28:$B$36,0)),""),7)="DECLINE",LEFT(IFERROR(INDEX('Claims History'!$D$6:$D$15,MATCH($U252,'Claims History'!$B$6:$B$15,0)),""),7)="DECLINE",LEFT(IFERROR(INDEX('Usage and Coverage'!$E$6:$E$20,MATCH($N252,'Usage and Coverage'!$C$6:$C$20,0)),""),7)="DECLINE"),"DECLINE",IF(OR($CD252&gt;2.5,$CD252&gt;='Technical Premium'!$C$17,$J252&gt;='Technical Premium'!$C$16,N($AQ252)&lt;'Technical Premium'!$C$19,N($AQ252)&gt;'Technical Premium'!$C$20,LEFT(IFERROR(INDEX('Driver Factors'!$D$6:$D$15,MATCH($R252,'Driver Factors'!$B$6:$B$15,0)),""),5)="Refer",LEFT(IFERROR(INDEX('Driver Factors'!$D$28:$D$36,MATCH($T252,'Driver Factors'!$B$28:$B$36,0)),""),5)="Refer",LEFT(IFERROR(INDEX('Claims History'!$D$6:$D$15,MATCH($U252,'Claims History'!$B$6:$B$15,0)),""),5)="Refer",LEFT(IFERROR(INDEX('Usage and Coverage'!$E$6:$E$20,MATCH($N252,'Usage and Coverage'!$C$6:$C$20,0)),""),5)="Refer"),"REFER","AUTO-BIND"))))</f>
        <v/>
      </c>
      <c r="CY252" s="106" t="str">
        <f t="shared" si="50"/>
        <v/>
      </c>
      <c r="CZ252" s="97" t="str">
        <f>IF($CY252="","",IF($CY252&lt;'Technical Premium'!$C$19,"BEYOND AUTHORITY",IF($CY252&gt;0.005,"Above technical",IF($CY252&lt;-0.005,"BELOW technical","At technical"))))</f>
        <v/>
      </c>
      <c r="DA252" s="97" t="str">
        <f>IF($A252="","",IF($CX252="AUTO-BIND","",TRIM(IF($J252&lt;'Technical Premium'!$C$18,"Below programme minimum agreed value. ","")&amp;IF(N($AQ252)&lt;'Technical Premium'!$C$19,"DISCOUNT AUTHORITY BREACH. ","")&amp;IF(N($AQ252)&gt;'Technical Premium'!$C$20,"Load authority breach. ","")&amp;IF($J252&gt;='Technical Premium'!$C$16,"Agreed value at or above auto-bind limit. ","")&amp;IF(AND(ISNUMBER($CD252),$CD252&gt;='Technical Premium'!$C$17),"Composite factor at cap. ","")&amp;IF(AND(ISNUMBER($CD252),$CD252&gt;2.5),"Composite factor above 2.50. ","")&amp;IF(LEFT(IFERROR(INDEX('Driver Factors'!$D$6:$D$15,MATCH($R252,'Driver Factors'!$B$6:$B$15,0)),""),7)="DECLINE","DECLINE - driver age. ",IF(LEFT(IFERROR(INDEX('Driver Factors'!$D$6:$D$15,MATCH($R252,'Driver Factors'!$B$6:$B$15,0)),""),5)="Refer","Driver age band. ",""))&amp;IF(LEFT(IFERROR(INDEX('Driver Factors'!$D$28:$D$36,MATCH($T252,'Driver Factors'!$B$28:$B$36,0)),""),7)="DECLINE","DECLINE - MVR. ",IF(LEFT(IFERROR(INDEX('Driver Factors'!$D$28:$D$36,MATCH($T252,'Driver Factors'!$B$28:$B$36,0)),""),5)="Refer","MVR record. ",""))&amp;IF(LEFT(IFERROR(INDEX('Claims History'!$D$6:$D$15,MATCH($U252,'Claims History'!$B$6:$B$15,0)),""),7)="DECLINE","DECLINE - claims. ",IF(LEFT(IFERROR(INDEX('Claims History'!$D$6:$D$15,MATCH($U252,'Claims History'!$B$6:$B$15,0)),""),5)="Refer","Claims history. ",""))&amp;IF(LEFT(IFERROR(INDEX('Usage and Coverage'!$E$6:$E$20,MATCH($N252,'Usage and Coverage'!$C$6:$C$20,0)),""),7)="DECLINE","DECLINE - usage class. ",IF(LEFT(IFERROR(INDEX('Usage and Coverage'!$E$6:$E$20,MATCH($N252,'Usage and Coverage'!$C$6:$C$20,0)),""),5)="Refer","Usage class. ",""))&amp;IF($CX252="CHECK INPUTS","Incomplete inputs. ",""))))</f>
        <v/>
      </c>
      <c r="DB252" s="92"/>
      <c r="DC252" s="92"/>
      <c r="DD252" s="93"/>
      <c r="DE252" s="92"/>
      <c r="DF252" s="92"/>
      <c r="DG252" s="97" t="str">
        <f t="shared" si="51"/>
        <v/>
      </c>
      <c r="DH252" s="97" t="str">
        <f>IF($A252="","",IF(OR($CX252="REFER",$CX252="DECLINE"),COUNTIF($CX$5:$CX252,"REFER")+COUNTIF($CX$5:$CX252,"DECLINE"),""))</f>
        <v/>
      </c>
      <c r="DI252" s="92"/>
    </row>
    <row r="253" spans="1:113" x14ac:dyDescent="0.25">
      <c r="A253" s="92"/>
      <c r="B253" s="92"/>
      <c r="C253" s="93"/>
      <c r="D253" s="93"/>
      <c r="E253" s="94"/>
      <c r="F253" s="92"/>
      <c r="G253" s="92"/>
      <c r="H253" s="92"/>
      <c r="I253" s="92"/>
      <c r="J253" s="95"/>
      <c r="K253" s="92"/>
      <c r="L253" s="92"/>
      <c r="M253" s="92"/>
      <c r="N253" s="92"/>
      <c r="O253" s="92"/>
      <c r="P253" s="92"/>
      <c r="Q253" s="92"/>
      <c r="R253" s="92"/>
      <c r="S253" s="92"/>
      <c r="T253" s="92"/>
      <c r="U253" s="92"/>
      <c r="V253" s="92"/>
      <c r="W253" s="92"/>
      <c r="X253" s="92"/>
      <c r="Y253" s="92"/>
      <c r="Z253" s="92"/>
      <c r="AA253" s="92"/>
      <c r="AB253" s="92"/>
      <c r="AC253" s="92"/>
      <c r="AD253" s="92"/>
      <c r="AE253" s="92"/>
      <c r="AF253" s="92"/>
      <c r="AG253" s="92"/>
      <c r="AH253" s="92"/>
      <c r="AI253" s="92"/>
      <c r="AJ253" s="92"/>
      <c r="AK253" s="92"/>
      <c r="AL253" s="92"/>
      <c r="AM253" s="92"/>
      <c r="AN253" s="92"/>
      <c r="AO253" s="92"/>
      <c r="AP253" s="92"/>
      <c r="AQ253" s="96"/>
      <c r="AR253" s="97" t="str">
        <f t="shared" si="39"/>
        <v/>
      </c>
      <c r="AS253" s="97" t="str">
        <f>IF($A253="","",IF($AP253&lt;&gt;"",$AP253,IFERROR(INDEX('Cat Zone by ZIP'!$D$6:$D$856,MATCH($AR253,'Cat Zone by ZIP'!$B$6:$B$856,0)),IFERROR(INDEX('Cat Zone by ZIP'!$C$860:$C$910,MATCH($K253,'Cat Zone by ZIP'!$B$860:$B$910,0)),"NOT FOUND"))))</f>
        <v/>
      </c>
      <c r="AT253" s="97" t="str">
        <f>IF($A253="","",IF($AP253&lt;&gt;"","Override",IF(ISNUMBER(MATCH($AR253,'Cat Zone by ZIP'!$B$6:$B$856,0)),"ZIP-3","State default")))</f>
        <v/>
      </c>
      <c r="AU253" s="98" t="str">
        <f>IF($A253="","",IFERROR(INDEX('Natural Catastrophe'!$D$6:$D$17,MATCH($AS253,'Natural Catastrophe'!$B$6:$B$17,0)),"?"))</f>
        <v/>
      </c>
      <c r="AV253" s="98" t="str">
        <f>IF($A253="","",IFERROR(INDEX('Natural Catastrophe'!$C$21:$C$26,MATCH($AA253,'Natural Catastrophe'!$B$21:$B$26,0)),"?"))</f>
        <v/>
      </c>
      <c r="AW253" s="97" t="str">
        <f>IF($A253="","",IFERROR(INDEX('Base Rates'!$C$4:$I$4,MATCH(MAX($J253,'Technical Premium'!$C$18),'Base Rates'!$C$3:$I$3,1)),"?"))</f>
        <v/>
      </c>
      <c r="AX253" s="99" t="str">
        <f>IF($A253="","",IFERROR(INDEX('Base Rates'!$C$5:$I$16,MATCH($I253,'Base Rates'!$B$5:$B$16,0),MATCH(MAX($J253,'Technical Premium'!$C$18),'Base Rates'!$C$3:$I$3,1)),"?"))</f>
        <v/>
      </c>
      <c r="AY253" s="100" t="str">
        <f t="shared" si="40"/>
        <v/>
      </c>
      <c r="AZ253" s="97" t="str">
        <f>IF($A253="","",IFERROR(INDEX('Make Factors'!$G$5:$G$69,MATCH($F253,'Make Factors'!$B$5:$B$69,0)),"?"))</f>
        <v/>
      </c>
      <c r="BA253" s="97" t="str">
        <f>IF($A253="","",IFERROR(INDEX('Driver Factors'!$C$6:$C$15,MATCH($R253,'Driver Factors'!$B$6:$B$15,0)),"?"))</f>
        <v/>
      </c>
      <c r="BB253" s="97" t="str">
        <f>IF($A253="","",IFERROR(INDEX('Driver Factors'!$C$19:$C$24,MATCH($S253,'Driver Factors'!$B$19:$B$24,0)),"?"))</f>
        <v/>
      </c>
      <c r="BC253" s="97" t="str">
        <f>IF($A253="","",IFERROR(INDEX('Driver Factors'!$C$28:$C$36,MATCH($T253,'Driver Factors'!$B$28:$B$36,0)),"?"))</f>
        <v/>
      </c>
      <c r="BD253" s="97" t="str">
        <f>IF($A253="","",IFERROR(INDEX('Claims History'!$C$6:$C$15,MATCH($U253,'Claims History'!$B$6:$B$15,0)),"?"))</f>
        <v/>
      </c>
      <c r="BE253" s="97" t="str">
        <f>IF($A253="","",IFERROR(INDEX('Territory Factors'!$E$6:$E$56,MATCH($K253,'Territory Factors'!$B$6:$B$56,0)),"?"))</f>
        <v/>
      </c>
      <c r="BF253" s="97" t="str">
        <f>IF($A253="","",IFERROR(INDEX('City Accident Ratings'!$G$6:$G$54,MATCH($Z253,'City Accident Ratings'!$B$6:$B$54,0)),"?"))</f>
        <v/>
      </c>
      <c r="BG253" s="97" t="str">
        <f>IF($A253="","",IFERROR(INDEX('Usage and Coverage'!$D$6:$D$20,MATCH($N253,'Usage and Coverage'!$C$6:$C$20,0)),"?"))</f>
        <v/>
      </c>
      <c r="BH253" s="97" t="str">
        <f>IF($A253="","",IFERROR(INDEX('Usage and Coverage'!$C$24:$C$30,MATCH($O253,'Usage and Coverage'!$B$24:$B$30,0)),"?"))</f>
        <v/>
      </c>
      <c r="BI253" s="97" t="str">
        <f>IF($A253="","",IFERROR(INDEX('Usage and Coverage'!$C$34:$C$40,MATCH($P253,'Usage and Coverage'!$B$34:$B$40,0)),"?"))</f>
        <v/>
      </c>
      <c r="BJ253" s="97" t="str">
        <f>IF($A253="","",IFERROR(INDEX('Usage and Coverage'!$C$44:$C$49,MATCH($Q253,'Usage and Coverage'!$B$44:$B$49,0)),"?"))</f>
        <v/>
      </c>
      <c r="BK253" s="97" t="str">
        <f>IF($A253="","",IFERROR(INDEX(Deductibles!$C$6:$I$15,MATCH($W253,Deductibles!$B$6:$B$15,0),MATCH(MAX($J253,'Technical Premium'!$C$18),'Base Rates'!$C$3:$I$3,1)),"?"))</f>
        <v/>
      </c>
      <c r="BL253" s="97" t="str">
        <f>IF($A253="","",IFERROR(INDEX('Usage and Coverage'!$C$63:$C$66,MATCH($X253,'Usage and Coverage'!$B$63:$B$66,0)),"?"))</f>
        <v/>
      </c>
      <c r="BM253" s="97" t="str">
        <f>IF($A253="","",IFERROR(INDEX('Usage and Coverage'!$C$70:$C$75,MATCH($V253,'Usage and Coverage'!$B$70:$B$75,0)),"?"))</f>
        <v/>
      </c>
      <c r="BN253" s="97" t="str">
        <f>IF($A253="","",IF($AB253="",1,IFERROR(INDEX(Deductibles!$C$48:$C$51,MATCH($AB253,Deductibles!$B$48:$B$51,0)),"?")))</f>
        <v/>
      </c>
      <c r="BO253" s="97" t="str">
        <f>IF($A253="","",IF($AC253="",1,IFERROR(INDEX(Deductibles!$C$55:$C$57,MATCH($AC253,Deductibles!$B$55:$B$57,0)),"?")))</f>
        <v/>
      </c>
      <c r="BP253" s="97" t="str">
        <f>IF($A253="","",IF($AD253="",1,IFERROR(INDEX(Deductibles!$C$61:$C$63,MATCH($AD253,Deductibles!$B$61:$B$63,0)),"?")))</f>
        <v/>
      </c>
      <c r="BQ253" s="97" t="str">
        <f>IF($A253="","",IF($AE253="",1,IFERROR(INDEX(Deductibles!$C$67:$C$69,MATCH($AE253,Deductibles!$B$67:$B$69,0)),"?")))</f>
        <v/>
      </c>
      <c r="BR253" s="97" t="str">
        <f>IF($A253="","",IF($AF253="",1,IFERROR(INDEX(Deductibles!$C$73:$C$74,MATCH($AF253,Deductibles!$B$73:$B$74,0)),"?")))</f>
        <v/>
      </c>
      <c r="BS253" s="97" t="str">
        <f>IF($A253="","",IF($AG253="",1,IFERROR(INDEX('Sublimits and Parts'!$C$49:$C$52,MATCH($AG253,'Sublimits and Parts'!$B$49:$B$52,0)),"?")))</f>
        <v/>
      </c>
      <c r="BT253" s="97" t="str">
        <f>IF($A253="","",IF($AH253="",1,IFERROR(INDEX('Sublimits and Parts'!$C$56:$C$60,MATCH($AH253,'Sublimits and Parts'!$B$56:$B$60,0)),"?")))</f>
        <v/>
      </c>
      <c r="BU253" s="97" t="str">
        <f>IF($A253="","",IF($AI253="",1,IFERROR(INDEX('Sublimits and Parts'!$C$64:$C$67,MATCH($AI253,'Sublimits and Parts'!$B$64:$B$67,0)),"?")))</f>
        <v/>
      </c>
      <c r="BV253" s="97" t="str">
        <f>IF($A253="","",IF($AJ253="",1,IFERROR(INDEX('Sublimits and Parts'!$C$71:$C$74,MATCH($AJ253,'Sublimits and Parts'!$B$71:$B$74,0)),"?")))</f>
        <v/>
      </c>
      <c r="BW253" s="97" t="str">
        <f>IF($A253="","",IF($AK253="",1,IFERROR(INDEX('Sublimits and Parts'!$C$78:$C$80,MATCH($AK253,'Sublimits and Parts'!$B$78:$B$80,0)),"?")))</f>
        <v/>
      </c>
      <c r="BX253" s="97" t="str">
        <f>IF($A253="","",IF($AL253="",1,IFERROR(INDEX('Sublimits and Parts'!$C$84:$C$87,MATCH($AL253,'Sublimits and Parts'!$B$84:$B$87,0)),"?")))</f>
        <v/>
      </c>
      <c r="BY253" s="97" t="str">
        <f>IF($A253="","",IF($AM253="",1,IFERROR(INDEX('Sublimits and Parts'!$C$91:$C$94,MATCH($AM253,'Sublimits and Parts'!$B$91:$B$94,0)),"?")))</f>
        <v/>
      </c>
      <c r="BZ253" s="97" t="str">
        <f>IF($A253="","",IF($AN253="",1,IFERROR(INDEX('Sublimits and Parts'!$C$98:$C$101,MATCH($AN253,'Sublimits and Parts'!$B$98:$B$101,0)),"?")))</f>
        <v/>
      </c>
      <c r="CA253" s="97" t="str">
        <f>IF($A253="","",IF($AO253="",1,IFERROR(INDEX('Sublimits and Parts'!$C$105:$C$109,MATCH($AO253,'Sublimits and Parts'!$B$105:$B$109,0)),"?")))</f>
        <v/>
      </c>
      <c r="CB253" s="98" t="str">
        <f t="shared" si="41"/>
        <v/>
      </c>
      <c r="CC253" s="98" t="str">
        <f t="shared" si="42"/>
        <v/>
      </c>
      <c r="CD253" s="101" t="str">
        <f>IF($A253="","",IF(OR($CB253="?",$CC253="?"),"?",MIN($CB253*$CC253,'Technical Premium'!$C$17)))</f>
        <v/>
      </c>
      <c r="CE253" s="100" t="str">
        <f t="shared" si="43"/>
        <v/>
      </c>
      <c r="CF253" s="100" t="str">
        <f>IF($A253="","",IFERROR(INDEX('Territory Factors'!$F$6:$F$56,MATCH($K253,'Territory Factors'!$B$6:$B$56,0)),"?"))</f>
        <v/>
      </c>
      <c r="CG253" s="98" t="str">
        <f>IF($A253="","",IFERROR(INDEX('Usage and Coverage'!$C$79:$C$84,MATCH($Y253,'Usage and Coverage'!$B$79:$B$84,0)),"?"))</f>
        <v/>
      </c>
      <c r="CH253" s="100" t="str">
        <f>IFERROR(IF(ISNUMBER($CD253),$CF253*$CG253*MIN($BG253*$BA253*$BC253*$BD253*$BH253*$BF253,'Technical Premium'!$C$17),""),"")</f>
        <v/>
      </c>
      <c r="CI253" s="100" t="str">
        <f t="shared" si="44"/>
        <v/>
      </c>
      <c r="CJ253" s="100" t="str">
        <f>IFERROR($CI253*(1+'Technical Premium'!$C$5)*(1+'Technical Premium'!$C$6),"")</f>
        <v/>
      </c>
      <c r="CK253" s="100" t="str">
        <f>IFERROR($CE253*INDEX('Territory Factors'!$G$6:$G$56,MATCH($K253,'Territory Factors'!$B$6:$B$56,0))*$AU253*$AV253,"")</f>
        <v/>
      </c>
      <c r="CL253" s="100" t="str">
        <f>IFERROR(($CJ253+$CK253)*(1+'Technical Premium'!$C$7),"")</f>
        <v/>
      </c>
      <c r="CM253" s="102" t="str">
        <f>IFERROR($CL253/'Technical Premium'!$C$13,"")</f>
        <v/>
      </c>
      <c r="CN253" s="103" t="str">
        <f t="shared" si="45"/>
        <v/>
      </c>
      <c r="CO253" s="102" t="str">
        <f t="shared" si="46"/>
        <v/>
      </c>
      <c r="CP253" s="103" t="str">
        <f t="shared" si="47"/>
        <v/>
      </c>
      <c r="CQ253" s="104" t="str">
        <f t="shared" si="48"/>
        <v/>
      </c>
      <c r="CR253" s="100" t="str">
        <f>IF(ISNUMBER($CM253),'Technical Premium'!$C$14+IF($J253&gt;=1000000,'Technical Premium'!$C$15,0),"")</f>
        <v/>
      </c>
      <c r="CS253" s="100" t="str">
        <f>IFERROR(($CO253+$CR253)*(INDEX('Territory Factors'!$K$6:$K$56,MATCH($K253,'Territory Factors'!$B$6:$B$56,0))+'Commission Structure'!$C$21),"")</f>
        <v/>
      </c>
      <c r="CT253" s="102" t="str">
        <f t="shared" si="49"/>
        <v/>
      </c>
      <c r="CU253" s="100" t="str">
        <f>IFERROR($CO253*('Commission Structure'!$C$6+'Commission Structure'!$C$7),"")</f>
        <v/>
      </c>
      <c r="CV253" s="100" t="str">
        <f>IFERROR($CO253*'Commission Structure'!$C$5-$CU253,"")</f>
        <v/>
      </c>
      <c r="CW253" s="100" t="str">
        <f>IFERROR($CO253*(1-'Commission Structure'!$C$5),"")</f>
        <v/>
      </c>
      <c r="CX253" s="105" t="str">
        <f>IF($A253="","",IF(OR($CB253="?",$CC253="?",NOT(ISNUMBER($AU253))),"CHECK INPUTS",IF(OR($J253&lt;'Technical Premium'!$C$18,LEFT(IFERROR(INDEX('Driver Factors'!$D$6:$D$15,MATCH($R253,'Driver Factors'!$B$6:$B$15,0)),""),7)="DECLINE",LEFT(IFERROR(INDEX('Driver Factors'!$D$28:$D$36,MATCH($T253,'Driver Factors'!$B$28:$B$36,0)),""),7)="DECLINE",LEFT(IFERROR(INDEX('Claims History'!$D$6:$D$15,MATCH($U253,'Claims History'!$B$6:$B$15,0)),""),7)="DECLINE",LEFT(IFERROR(INDEX('Usage and Coverage'!$E$6:$E$20,MATCH($N253,'Usage and Coverage'!$C$6:$C$20,0)),""),7)="DECLINE"),"DECLINE",IF(OR($CD253&gt;2.5,$CD253&gt;='Technical Premium'!$C$17,$J253&gt;='Technical Premium'!$C$16,N($AQ253)&lt;'Technical Premium'!$C$19,N($AQ253)&gt;'Technical Premium'!$C$20,LEFT(IFERROR(INDEX('Driver Factors'!$D$6:$D$15,MATCH($R253,'Driver Factors'!$B$6:$B$15,0)),""),5)="Refer",LEFT(IFERROR(INDEX('Driver Factors'!$D$28:$D$36,MATCH($T253,'Driver Factors'!$B$28:$B$36,0)),""),5)="Refer",LEFT(IFERROR(INDEX('Claims History'!$D$6:$D$15,MATCH($U253,'Claims History'!$B$6:$B$15,0)),""),5)="Refer",LEFT(IFERROR(INDEX('Usage and Coverage'!$E$6:$E$20,MATCH($N253,'Usage and Coverage'!$C$6:$C$20,0)),""),5)="Refer"),"REFER","AUTO-BIND"))))</f>
        <v/>
      </c>
      <c r="CY253" s="106" t="str">
        <f t="shared" si="50"/>
        <v/>
      </c>
      <c r="CZ253" s="97" t="str">
        <f>IF($CY253="","",IF($CY253&lt;'Technical Premium'!$C$19,"BEYOND AUTHORITY",IF($CY253&gt;0.005,"Above technical",IF($CY253&lt;-0.005,"BELOW technical","At technical"))))</f>
        <v/>
      </c>
      <c r="DA253" s="97" t="str">
        <f>IF($A253="","",IF($CX253="AUTO-BIND","",TRIM(IF($J253&lt;'Technical Premium'!$C$18,"Below programme minimum agreed value. ","")&amp;IF(N($AQ253)&lt;'Technical Premium'!$C$19,"DISCOUNT AUTHORITY BREACH. ","")&amp;IF(N($AQ253)&gt;'Technical Premium'!$C$20,"Load authority breach. ","")&amp;IF($J253&gt;='Technical Premium'!$C$16,"Agreed value at or above auto-bind limit. ","")&amp;IF(AND(ISNUMBER($CD253),$CD253&gt;='Technical Premium'!$C$17),"Composite factor at cap. ","")&amp;IF(AND(ISNUMBER($CD253),$CD253&gt;2.5),"Composite factor above 2.50. ","")&amp;IF(LEFT(IFERROR(INDEX('Driver Factors'!$D$6:$D$15,MATCH($R253,'Driver Factors'!$B$6:$B$15,0)),""),7)="DECLINE","DECLINE - driver age. ",IF(LEFT(IFERROR(INDEX('Driver Factors'!$D$6:$D$15,MATCH($R253,'Driver Factors'!$B$6:$B$15,0)),""),5)="Refer","Driver age band. ",""))&amp;IF(LEFT(IFERROR(INDEX('Driver Factors'!$D$28:$D$36,MATCH($T253,'Driver Factors'!$B$28:$B$36,0)),""),7)="DECLINE","DECLINE - MVR. ",IF(LEFT(IFERROR(INDEX('Driver Factors'!$D$28:$D$36,MATCH($T253,'Driver Factors'!$B$28:$B$36,0)),""),5)="Refer","MVR record. ",""))&amp;IF(LEFT(IFERROR(INDEX('Claims History'!$D$6:$D$15,MATCH($U253,'Claims History'!$B$6:$B$15,0)),""),7)="DECLINE","DECLINE - claims. ",IF(LEFT(IFERROR(INDEX('Claims History'!$D$6:$D$15,MATCH($U253,'Claims History'!$B$6:$B$15,0)),""),5)="Refer","Claims history. ",""))&amp;IF(LEFT(IFERROR(INDEX('Usage and Coverage'!$E$6:$E$20,MATCH($N253,'Usage and Coverage'!$C$6:$C$20,0)),""),7)="DECLINE","DECLINE - usage class. ",IF(LEFT(IFERROR(INDEX('Usage and Coverage'!$E$6:$E$20,MATCH($N253,'Usage and Coverage'!$C$6:$C$20,0)),""),5)="Refer","Usage class. ",""))&amp;IF($CX253="CHECK INPUTS","Incomplete inputs. ",""))))</f>
        <v/>
      </c>
      <c r="DB253" s="92"/>
      <c r="DC253" s="92"/>
      <c r="DD253" s="93"/>
      <c r="DE253" s="92"/>
      <c r="DF253" s="92"/>
      <c r="DG253" s="97" t="str">
        <f t="shared" si="51"/>
        <v/>
      </c>
      <c r="DH253" s="97" t="str">
        <f>IF($A253="","",IF(OR($CX253="REFER",$CX253="DECLINE"),COUNTIF($CX$5:$CX253,"REFER")+COUNTIF($CX$5:$CX253,"DECLINE"),""))</f>
        <v/>
      </c>
      <c r="DI253" s="92"/>
    </row>
    <row r="254" spans="1:113" x14ac:dyDescent="0.25">
      <c r="A254" s="92"/>
      <c r="B254" s="92"/>
      <c r="C254" s="93"/>
      <c r="D254" s="93"/>
      <c r="E254" s="94"/>
      <c r="F254" s="92"/>
      <c r="G254" s="92"/>
      <c r="H254" s="92"/>
      <c r="I254" s="92"/>
      <c r="J254" s="95"/>
      <c r="K254" s="92"/>
      <c r="L254" s="92"/>
      <c r="M254" s="92"/>
      <c r="N254" s="92"/>
      <c r="O254" s="92"/>
      <c r="P254" s="92"/>
      <c r="Q254" s="92"/>
      <c r="R254" s="92"/>
      <c r="S254" s="92"/>
      <c r="T254" s="92"/>
      <c r="U254" s="92"/>
      <c r="V254" s="92"/>
      <c r="W254" s="92"/>
      <c r="X254" s="92"/>
      <c r="Y254" s="92"/>
      <c r="Z254" s="92"/>
      <c r="AA254" s="92"/>
      <c r="AB254" s="92"/>
      <c r="AC254" s="92"/>
      <c r="AD254" s="92"/>
      <c r="AE254" s="92"/>
      <c r="AF254" s="92"/>
      <c r="AG254" s="92"/>
      <c r="AH254" s="92"/>
      <c r="AI254" s="92"/>
      <c r="AJ254" s="92"/>
      <c r="AK254" s="92"/>
      <c r="AL254" s="92"/>
      <c r="AM254" s="92"/>
      <c r="AN254" s="92"/>
      <c r="AO254" s="92"/>
      <c r="AP254" s="92"/>
      <c r="AQ254" s="96"/>
      <c r="AR254" s="97" t="str">
        <f t="shared" si="39"/>
        <v/>
      </c>
      <c r="AS254" s="97" t="str">
        <f>IF($A254="","",IF($AP254&lt;&gt;"",$AP254,IFERROR(INDEX('Cat Zone by ZIP'!$D$6:$D$856,MATCH($AR254,'Cat Zone by ZIP'!$B$6:$B$856,0)),IFERROR(INDEX('Cat Zone by ZIP'!$C$860:$C$910,MATCH($K254,'Cat Zone by ZIP'!$B$860:$B$910,0)),"NOT FOUND"))))</f>
        <v/>
      </c>
      <c r="AT254" s="97" t="str">
        <f>IF($A254="","",IF($AP254&lt;&gt;"","Override",IF(ISNUMBER(MATCH($AR254,'Cat Zone by ZIP'!$B$6:$B$856,0)),"ZIP-3","State default")))</f>
        <v/>
      </c>
      <c r="AU254" s="98" t="str">
        <f>IF($A254="","",IFERROR(INDEX('Natural Catastrophe'!$D$6:$D$17,MATCH($AS254,'Natural Catastrophe'!$B$6:$B$17,0)),"?"))</f>
        <v/>
      </c>
      <c r="AV254" s="98" t="str">
        <f>IF($A254="","",IFERROR(INDEX('Natural Catastrophe'!$C$21:$C$26,MATCH($AA254,'Natural Catastrophe'!$B$21:$B$26,0)),"?"))</f>
        <v/>
      </c>
      <c r="AW254" s="97" t="str">
        <f>IF($A254="","",IFERROR(INDEX('Base Rates'!$C$4:$I$4,MATCH(MAX($J254,'Technical Premium'!$C$18),'Base Rates'!$C$3:$I$3,1)),"?"))</f>
        <v/>
      </c>
      <c r="AX254" s="99" t="str">
        <f>IF($A254="","",IFERROR(INDEX('Base Rates'!$C$5:$I$16,MATCH($I254,'Base Rates'!$B$5:$B$16,0),MATCH(MAX($J254,'Technical Premium'!$C$18),'Base Rates'!$C$3:$I$3,1)),"?"))</f>
        <v/>
      </c>
      <c r="AY254" s="100" t="str">
        <f t="shared" si="40"/>
        <v/>
      </c>
      <c r="AZ254" s="97" t="str">
        <f>IF($A254="","",IFERROR(INDEX('Make Factors'!$G$5:$G$69,MATCH($F254,'Make Factors'!$B$5:$B$69,0)),"?"))</f>
        <v/>
      </c>
      <c r="BA254" s="97" t="str">
        <f>IF($A254="","",IFERROR(INDEX('Driver Factors'!$C$6:$C$15,MATCH($R254,'Driver Factors'!$B$6:$B$15,0)),"?"))</f>
        <v/>
      </c>
      <c r="BB254" s="97" t="str">
        <f>IF($A254="","",IFERROR(INDEX('Driver Factors'!$C$19:$C$24,MATCH($S254,'Driver Factors'!$B$19:$B$24,0)),"?"))</f>
        <v/>
      </c>
      <c r="BC254" s="97" t="str">
        <f>IF($A254="","",IFERROR(INDEX('Driver Factors'!$C$28:$C$36,MATCH($T254,'Driver Factors'!$B$28:$B$36,0)),"?"))</f>
        <v/>
      </c>
      <c r="BD254" s="97" t="str">
        <f>IF($A254="","",IFERROR(INDEX('Claims History'!$C$6:$C$15,MATCH($U254,'Claims History'!$B$6:$B$15,0)),"?"))</f>
        <v/>
      </c>
      <c r="BE254" s="97" t="str">
        <f>IF($A254="","",IFERROR(INDEX('Territory Factors'!$E$6:$E$56,MATCH($K254,'Territory Factors'!$B$6:$B$56,0)),"?"))</f>
        <v/>
      </c>
      <c r="BF254" s="97" t="str">
        <f>IF($A254="","",IFERROR(INDEX('City Accident Ratings'!$G$6:$G$54,MATCH($Z254,'City Accident Ratings'!$B$6:$B$54,0)),"?"))</f>
        <v/>
      </c>
      <c r="BG254" s="97" t="str">
        <f>IF($A254="","",IFERROR(INDEX('Usage and Coverage'!$D$6:$D$20,MATCH($N254,'Usage and Coverage'!$C$6:$C$20,0)),"?"))</f>
        <v/>
      </c>
      <c r="BH254" s="97" t="str">
        <f>IF($A254="","",IFERROR(INDEX('Usage and Coverage'!$C$24:$C$30,MATCH($O254,'Usage and Coverage'!$B$24:$B$30,0)),"?"))</f>
        <v/>
      </c>
      <c r="BI254" s="97" t="str">
        <f>IF($A254="","",IFERROR(INDEX('Usage and Coverage'!$C$34:$C$40,MATCH($P254,'Usage and Coverage'!$B$34:$B$40,0)),"?"))</f>
        <v/>
      </c>
      <c r="BJ254" s="97" t="str">
        <f>IF($A254="","",IFERROR(INDEX('Usage and Coverage'!$C$44:$C$49,MATCH($Q254,'Usage and Coverage'!$B$44:$B$49,0)),"?"))</f>
        <v/>
      </c>
      <c r="BK254" s="97" t="str">
        <f>IF($A254="","",IFERROR(INDEX(Deductibles!$C$6:$I$15,MATCH($W254,Deductibles!$B$6:$B$15,0),MATCH(MAX($J254,'Technical Premium'!$C$18),'Base Rates'!$C$3:$I$3,1)),"?"))</f>
        <v/>
      </c>
      <c r="BL254" s="97" t="str">
        <f>IF($A254="","",IFERROR(INDEX('Usage and Coverage'!$C$63:$C$66,MATCH($X254,'Usage and Coverage'!$B$63:$B$66,0)),"?"))</f>
        <v/>
      </c>
      <c r="BM254" s="97" t="str">
        <f>IF($A254="","",IFERROR(INDEX('Usage and Coverage'!$C$70:$C$75,MATCH($V254,'Usage and Coverage'!$B$70:$B$75,0)),"?"))</f>
        <v/>
      </c>
      <c r="BN254" s="97" t="str">
        <f>IF($A254="","",IF($AB254="",1,IFERROR(INDEX(Deductibles!$C$48:$C$51,MATCH($AB254,Deductibles!$B$48:$B$51,0)),"?")))</f>
        <v/>
      </c>
      <c r="BO254" s="97" t="str">
        <f>IF($A254="","",IF($AC254="",1,IFERROR(INDEX(Deductibles!$C$55:$C$57,MATCH($AC254,Deductibles!$B$55:$B$57,0)),"?")))</f>
        <v/>
      </c>
      <c r="BP254" s="97" t="str">
        <f>IF($A254="","",IF($AD254="",1,IFERROR(INDEX(Deductibles!$C$61:$C$63,MATCH($AD254,Deductibles!$B$61:$B$63,0)),"?")))</f>
        <v/>
      </c>
      <c r="BQ254" s="97" t="str">
        <f>IF($A254="","",IF($AE254="",1,IFERROR(INDEX(Deductibles!$C$67:$C$69,MATCH($AE254,Deductibles!$B$67:$B$69,0)),"?")))</f>
        <v/>
      </c>
      <c r="BR254" s="97" t="str">
        <f>IF($A254="","",IF($AF254="",1,IFERROR(INDEX(Deductibles!$C$73:$C$74,MATCH($AF254,Deductibles!$B$73:$B$74,0)),"?")))</f>
        <v/>
      </c>
      <c r="BS254" s="97" t="str">
        <f>IF($A254="","",IF($AG254="",1,IFERROR(INDEX('Sublimits and Parts'!$C$49:$C$52,MATCH($AG254,'Sublimits and Parts'!$B$49:$B$52,0)),"?")))</f>
        <v/>
      </c>
      <c r="BT254" s="97" t="str">
        <f>IF($A254="","",IF($AH254="",1,IFERROR(INDEX('Sublimits and Parts'!$C$56:$C$60,MATCH($AH254,'Sublimits and Parts'!$B$56:$B$60,0)),"?")))</f>
        <v/>
      </c>
      <c r="BU254" s="97" t="str">
        <f>IF($A254="","",IF($AI254="",1,IFERROR(INDEX('Sublimits and Parts'!$C$64:$C$67,MATCH($AI254,'Sublimits and Parts'!$B$64:$B$67,0)),"?")))</f>
        <v/>
      </c>
      <c r="BV254" s="97" t="str">
        <f>IF($A254="","",IF($AJ254="",1,IFERROR(INDEX('Sublimits and Parts'!$C$71:$C$74,MATCH($AJ254,'Sublimits and Parts'!$B$71:$B$74,0)),"?")))</f>
        <v/>
      </c>
      <c r="BW254" s="97" t="str">
        <f>IF($A254="","",IF($AK254="",1,IFERROR(INDEX('Sublimits and Parts'!$C$78:$C$80,MATCH($AK254,'Sublimits and Parts'!$B$78:$B$80,0)),"?")))</f>
        <v/>
      </c>
      <c r="BX254" s="97" t="str">
        <f>IF($A254="","",IF($AL254="",1,IFERROR(INDEX('Sublimits and Parts'!$C$84:$C$87,MATCH($AL254,'Sublimits and Parts'!$B$84:$B$87,0)),"?")))</f>
        <v/>
      </c>
      <c r="BY254" s="97" t="str">
        <f>IF($A254="","",IF($AM254="",1,IFERROR(INDEX('Sublimits and Parts'!$C$91:$C$94,MATCH($AM254,'Sublimits and Parts'!$B$91:$B$94,0)),"?")))</f>
        <v/>
      </c>
      <c r="BZ254" s="97" t="str">
        <f>IF($A254="","",IF($AN254="",1,IFERROR(INDEX('Sublimits and Parts'!$C$98:$C$101,MATCH($AN254,'Sublimits and Parts'!$B$98:$B$101,0)),"?")))</f>
        <v/>
      </c>
      <c r="CA254" s="97" t="str">
        <f>IF($A254="","",IF($AO254="",1,IFERROR(INDEX('Sublimits and Parts'!$C$105:$C$109,MATCH($AO254,'Sublimits and Parts'!$B$105:$B$109,0)),"?")))</f>
        <v/>
      </c>
      <c r="CB254" s="98" t="str">
        <f t="shared" si="41"/>
        <v/>
      </c>
      <c r="CC254" s="98" t="str">
        <f t="shared" si="42"/>
        <v/>
      </c>
      <c r="CD254" s="101" t="str">
        <f>IF($A254="","",IF(OR($CB254="?",$CC254="?"),"?",MIN($CB254*$CC254,'Technical Premium'!$C$17)))</f>
        <v/>
      </c>
      <c r="CE254" s="100" t="str">
        <f t="shared" si="43"/>
        <v/>
      </c>
      <c r="CF254" s="100" t="str">
        <f>IF($A254="","",IFERROR(INDEX('Territory Factors'!$F$6:$F$56,MATCH($K254,'Territory Factors'!$B$6:$B$56,0)),"?"))</f>
        <v/>
      </c>
      <c r="CG254" s="98" t="str">
        <f>IF($A254="","",IFERROR(INDEX('Usage and Coverage'!$C$79:$C$84,MATCH($Y254,'Usage and Coverage'!$B$79:$B$84,0)),"?"))</f>
        <v/>
      </c>
      <c r="CH254" s="100" t="str">
        <f>IFERROR(IF(ISNUMBER($CD254),$CF254*$CG254*MIN($BG254*$BA254*$BC254*$BD254*$BH254*$BF254,'Technical Premium'!$C$17),""),"")</f>
        <v/>
      </c>
      <c r="CI254" s="100" t="str">
        <f t="shared" si="44"/>
        <v/>
      </c>
      <c r="CJ254" s="100" t="str">
        <f>IFERROR($CI254*(1+'Technical Premium'!$C$5)*(1+'Technical Premium'!$C$6),"")</f>
        <v/>
      </c>
      <c r="CK254" s="100" t="str">
        <f>IFERROR($CE254*INDEX('Territory Factors'!$G$6:$G$56,MATCH($K254,'Territory Factors'!$B$6:$B$56,0))*$AU254*$AV254,"")</f>
        <v/>
      </c>
      <c r="CL254" s="100" t="str">
        <f>IFERROR(($CJ254+$CK254)*(1+'Technical Premium'!$C$7),"")</f>
        <v/>
      </c>
      <c r="CM254" s="102" t="str">
        <f>IFERROR($CL254/'Technical Premium'!$C$13,"")</f>
        <v/>
      </c>
      <c r="CN254" s="103" t="str">
        <f t="shared" si="45"/>
        <v/>
      </c>
      <c r="CO254" s="102" t="str">
        <f t="shared" si="46"/>
        <v/>
      </c>
      <c r="CP254" s="103" t="str">
        <f t="shared" si="47"/>
        <v/>
      </c>
      <c r="CQ254" s="104" t="str">
        <f t="shared" si="48"/>
        <v/>
      </c>
      <c r="CR254" s="100" t="str">
        <f>IF(ISNUMBER($CM254),'Technical Premium'!$C$14+IF($J254&gt;=1000000,'Technical Premium'!$C$15,0),"")</f>
        <v/>
      </c>
      <c r="CS254" s="100" t="str">
        <f>IFERROR(($CO254+$CR254)*(INDEX('Territory Factors'!$K$6:$K$56,MATCH($K254,'Territory Factors'!$B$6:$B$56,0))+'Commission Structure'!$C$21),"")</f>
        <v/>
      </c>
      <c r="CT254" s="102" t="str">
        <f t="shared" si="49"/>
        <v/>
      </c>
      <c r="CU254" s="100" t="str">
        <f>IFERROR($CO254*('Commission Structure'!$C$6+'Commission Structure'!$C$7),"")</f>
        <v/>
      </c>
      <c r="CV254" s="100" t="str">
        <f>IFERROR($CO254*'Commission Structure'!$C$5-$CU254,"")</f>
        <v/>
      </c>
      <c r="CW254" s="100" t="str">
        <f>IFERROR($CO254*(1-'Commission Structure'!$C$5),"")</f>
        <v/>
      </c>
      <c r="CX254" s="105" t="str">
        <f>IF($A254="","",IF(OR($CB254="?",$CC254="?",NOT(ISNUMBER($AU254))),"CHECK INPUTS",IF(OR($J254&lt;'Technical Premium'!$C$18,LEFT(IFERROR(INDEX('Driver Factors'!$D$6:$D$15,MATCH($R254,'Driver Factors'!$B$6:$B$15,0)),""),7)="DECLINE",LEFT(IFERROR(INDEX('Driver Factors'!$D$28:$D$36,MATCH($T254,'Driver Factors'!$B$28:$B$36,0)),""),7)="DECLINE",LEFT(IFERROR(INDEX('Claims History'!$D$6:$D$15,MATCH($U254,'Claims History'!$B$6:$B$15,0)),""),7)="DECLINE",LEFT(IFERROR(INDEX('Usage and Coverage'!$E$6:$E$20,MATCH($N254,'Usage and Coverage'!$C$6:$C$20,0)),""),7)="DECLINE"),"DECLINE",IF(OR($CD254&gt;2.5,$CD254&gt;='Technical Premium'!$C$17,$J254&gt;='Technical Premium'!$C$16,N($AQ254)&lt;'Technical Premium'!$C$19,N($AQ254)&gt;'Technical Premium'!$C$20,LEFT(IFERROR(INDEX('Driver Factors'!$D$6:$D$15,MATCH($R254,'Driver Factors'!$B$6:$B$15,0)),""),5)="Refer",LEFT(IFERROR(INDEX('Driver Factors'!$D$28:$D$36,MATCH($T254,'Driver Factors'!$B$28:$B$36,0)),""),5)="Refer",LEFT(IFERROR(INDEX('Claims History'!$D$6:$D$15,MATCH($U254,'Claims History'!$B$6:$B$15,0)),""),5)="Refer",LEFT(IFERROR(INDEX('Usage and Coverage'!$E$6:$E$20,MATCH($N254,'Usage and Coverage'!$C$6:$C$20,0)),""),5)="Refer"),"REFER","AUTO-BIND"))))</f>
        <v/>
      </c>
      <c r="CY254" s="106" t="str">
        <f t="shared" si="50"/>
        <v/>
      </c>
      <c r="CZ254" s="97" t="str">
        <f>IF($CY254="","",IF($CY254&lt;'Technical Premium'!$C$19,"BEYOND AUTHORITY",IF($CY254&gt;0.005,"Above technical",IF($CY254&lt;-0.005,"BELOW technical","At technical"))))</f>
        <v/>
      </c>
      <c r="DA254" s="97" t="str">
        <f>IF($A254="","",IF($CX254="AUTO-BIND","",TRIM(IF($J254&lt;'Technical Premium'!$C$18,"Below programme minimum agreed value. ","")&amp;IF(N($AQ254)&lt;'Technical Premium'!$C$19,"DISCOUNT AUTHORITY BREACH. ","")&amp;IF(N($AQ254)&gt;'Technical Premium'!$C$20,"Load authority breach. ","")&amp;IF($J254&gt;='Technical Premium'!$C$16,"Agreed value at or above auto-bind limit. ","")&amp;IF(AND(ISNUMBER($CD254),$CD254&gt;='Technical Premium'!$C$17),"Composite factor at cap. ","")&amp;IF(AND(ISNUMBER($CD254),$CD254&gt;2.5),"Composite factor above 2.50. ","")&amp;IF(LEFT(IFERROR(INDEX('Driver Factors'!$D$6:$D$15,MATCH($R254,'Driver Factors'!$B$6:$B$15,0)),""),7)="DECLINE","DECLINE - driver age. ",IF(LEFT(IFERROR(INDEX('Driver Factors'!$D$6:$D$15,MATCH($R254,'Driver Factors'!$B$6:$B$15,0)),""),5)="Refer","Driver age band. ",""))&amp;IF(LEFT(IFERROR(INDEX('Driver Factors'!$D$28:$D$36,MATCH($T254,'Driver Factors'!$B$28:$B$36,0)),""),7)="DECLINE","DECLINE - MVR. ",IF(LEFT(IFERROR(INDEX('Driver Factors'!$D$28:$D$36,MATCH($T254,'Driver Factors'!$B$28:$B$36,0)),""),5)="Refer","MVR record. ",""))&amp;IF(LEFT(IFERROR(INDEX('Claims History'!$D$6:$D$15,MATCH($U254,'Claims History'!$B$6:$B$15,0)),""),7)="DECLINE","DECLINE - claims. ",IF(LEFT(IFERROR(INDEX('Claims History'!$D$6:$D$15,MATCH($U254,'Claims History'!$B$6:$B$15,0)),""),5)="Refer","Claims history. ",""))&amp;IF(LEFT(IFERROR(INDEX('Usage and Coverage'!$E$6:$E$20,MATCH($N254,'Usage and Coverage'!$C$6:$C$20,0)),""),7)="DECLINE","DECLINE - usage class. ",IF(LEFT(IFERROR(INDEX('Usage and Coverage'!$E$6:$E$20,MATCH($N254,'Usage and Coverage'!$C$6:$C$20,0)),""),5)="Refer","Usage class. ",""))&amp;IF($CX254="CHECK INPUTS","Incomplete inputs. ",""))))</f>
        <v/>
      </c>
      <c r="DB254" s="92"/>
      <c r="DC254" s="92"/>
      <c r="DD254" s="93"/>
      <c r="DE254" s="92"/>
      <c r="DF254" s="92"/>
      <c r="DG254" s="97" t="str">
        <f t="shared" si="51"/>
        <v/>
      </c>
      <c r="DH254" s="97" t="str">
        <f>IF($A254="","",IF(OR($CX254="REFER",$CX254="DECLINE"),COUNTIF($CX$5:$CX254,"REFER")+COUNTIF($CX$5:$CX254,"DECLINE"),""))</f>
        <v/>
      </c>
      <c r="DI254" s="92"/>
    </row>
    <row r="255" spans="1:113" x14ac:dyDescent="0.25">
      <c r="A255" s="92"/>
      <c r="B255" s="92"/>
      <c r="C255" s="93"/>
      <c r="D255" s="93"/>
      <c r="E255" s="94"/>
      <c r="F255" s="92"/>
      <c r="G255" s="92"/>
      <c r="H255" s="92"/>
      <c r="I255" s="92"/>
      <c r="J255" s="95"/>
      <c r="K255" s="92"/>
      <c r="L255" s="92"/>
      <c r="M255" s="92"/>
      <c r="N255" s="92"/>
      <c r="O255" s="92"/>
      <c r="P255" s="92"/>
      <c r="Q255" s="92"/>
      <c r="R255" s="92"/>
      <c r="S255" s="92"/>
      <c r="T255" s="92"/>
      <c r="U255" s="92"/>
      <c r="V255" s="92"/>
      <c r="W255" s="92"/>
      <c r="X255" s="92"/>
      <c r="Y255" s="92"/>
      <c r="Z255" s="92"/>
      <c r="AA255" s="92"/>
      <c r="AB255" s="92"/>
      <c r="AC255" s="92"/>
      <c r="AD255" s="92"/>
      <c r="AE255" s="92"/>
      <c r="AF255" s="92"/>
      <c r="AG255" s="92"/>
      <c r="AH255" s="92"/>
      <c r="AI255" s="92"/>
      <c r="AJ255" s="92"/>
      <c r="AK255" s="92"/>
      <c r="AL255" s="92"/>
      <c r="AM255" s="92"/>
      <c r="AN255" s="92"/>
      <c r="AO255" s="92"/>
      <c r="AP255" s="92"/>
      <c r="AQ255" s="96"/>
      <c r="AR255" s="97" t="str">
        <f t="shared" si="39"/>
        <v/>
      </c>
      <c r="AS255" s="97" t="str">
        <f>IF($A255="","",IF($AP255&lt;&gt;"",$AP255,IFERROR(INDEX('Cat Zone by ZIP'!$D$6:$D$856,MATCH($AR255,'Cat Zone by ZIP'!$B$6:$B$856,0)),IFERROR(INDEX('Cat Zone by ZIP'!$C$860:$C$910,MATCH($K255,'Cat Zone by ZIP'!$B$860:$B$910,0)),"NOT FOUND"))))</f>
        <v/>
      </c>
      <c r="AT255" s="97" t="str">
        <f>IF($A255="","",IF($AP255&lt;&gt;"","Override",IF(ISNUMBER(MATCH($AR255,'Cat Zone by ZIP'!$B$6:$B$856,0)),"ZIP-3","State default")))</f>
        <v/>
      </c>
      <c r="AU255" s="98" t="str">
        <f>IF($A255="","",IFERROR(INDEX('Natural Catastrophe'!$D$6:$D$17,MATCH($AS255,'Natural Catastrophe'!$B$6:$B$17,0)),"?"))</f>
        <v/>
      </c>
      <c r="AV255" s="98" t="str">
        <f>IF($A255="","",IFERROR(INDEX('Natural Catastrophe'!$C$21:$C$26,MATCH($AA255,'Natural Catastrophe'!$B$21:$B$26,0)),"?"))</f>
        <v/>
      </c>
      <c r="AW255" s="97" t="str">
        <f>IF($A255="","",IFERROR(INDEX('Base Rates'!$C$4:$I$4,MATCH(MAX($J255,'Technical Premium'!$C$18),'Base Rates'!$C$3:$I$3,1)),"?"))</f>
        <v/>
      </c>
      <c r="AX255" s="99" t="str">
        <f>IF($A255="","",IFERROR(INDEX('Base Rates'!$C$5:$I$16,MATCH($I255,'Base Rates'!$B$5:$B$16,0),MATCH(MAX($J255,'Technical Premium'!$C$18),'Base Rates'!$C$3:$I$3,1)),"?"))</f>
        <v/>
      </c>
      <c r="AY255" s="100" t="str">
        <f t="shared" si="40"/>
        <v/>
      </c>
      <c r="AZ255" s="97" t="str">
        <f>IF($A255="","",IFERROR(INDEX('Make Factors'!$G$5:$G$69,MATCH($F255,'Make Factors'!$B$5:$B$69,0)),"?"))</f>
        <v/>
      </c>
      <c r="BA255" s="97" t="str">
        <f>IF($A255="","",IFERROR(INDEX('Driver Factors'!$C$6:$C$15,MATCH($R255,'Driver Factors'!$B$6:$B$15,0)),"?"))</f>
        <v/>
      </c>
      <c r="BB255" s="97" t="str">
        <f>IF($A255="","",IFERROR(INDEX('Driver Factors'!$C$19:$C$24,MATCH($S255,'Driver Factors'!$B$19:$B$24,0)),"?"))</f>
        <v/>
      </c>
      <c r="BC255" s="97" t="str">
        <f>IF($A255="","",IFERROR(INDEX('Driver Factors'!$C$28:$C$36,MATCH($T255,'Driver Factors'!$B$28:$B$36,0)),"?"))</f>
        <v/>
      </c>
      <c r="BD255" s="97" t="str">
        <f>IF($A255="","",IFERROR(INDEX('Claims History'!$C$6:$C$15,MATCH($U255,'Claims History'!$B$6:$B$15,0)),"?"))</f>
        <v/>
      </c>
      <c r="BE255" s="97" t="str">
        <f>IF($A255="","",IFERROR(INDEX('Territory Factors'!$E$6:$E$56,MATCH($K255,'Territory Factors'!$B$6:$B$56,0)),"?"))</f>
        <v/>
      </c>
      <c r="BF255" s="97" t="str">
        <f>IF($A255="","",IFERROR(INDEX('City Accident Ratings'!$G$6:$G$54,MATCH($Z255,'City Accident Ratings'!$B$6:$B$54,0)),"?"))</f>
        <v/>
      </c>
      <c r="BG255" s="97" t="str">
        <f>IF($A255="","",IFERROR(INDEX('Usage and Coverage'!$D$6:$D$20,MATCH($N255,'Usage and Coverage'!$C$6:$C$20,0)),"?"))</f>
        <v/>
      </c>
      <c r="BH255" s="97" t="str">
        <f>IF($A255="","",IFERROR(INDEX('Usage and Coverage'!$C$24:$C$30,MATCH($O255,'Usage and Coverage'!$B$24:$B$30,0)),"?"))</f>
        <v/>
      </c>
      <c r="BI255" s="97" t="str">
        <f>IF($A255="","",IFERROR(INDEX('Usage and Coverage'!$C$34:$C$40,MATCH($P255,'Usage and Coverage'!$B$34:$B$40,0)),"?"))</f>
        <v/>
      </c>
      <c r="BJ255" s="97" t="str">
        <f>IF($A255="","",IFERROR(INDEX('Usage and Coverage'!$C$44:$C$49,MATCH($Q255,'Usage and Coverage'!$B$44:$B$49,0)),"?"))</f>
        <v/>
      </c>
      <c r="BK255" s="97" t="str">
        <f>IF($A255="","",IFERROR(INDEX(Deductibles!$C$6:$I$15,MATCH($W255,Deductibles!$B$6:$B$15,0),MATCH(MAX($J255,'Technical Premium'!$C$18),'Base Rates'!$C$3:$I$3,1)),"?"))</f>
        <v/>
      </c>
      <c r="BL255" s="97" t="str">
        <f>IF($A255="","",IFERROR(INDEX('Usage and Coverage'!$C$63:$C$66,MATCH($X255,'Usage and Coverage'!$B$63:$B$66,0)),"?"))</f>
        <v/>
      </c>
      <c r="BM255" s="97" t="str">
        <f>IF($A255="","",IFERROR(INDEX('Usage and Coverage'!$C$70:$C$75,MATCH($V255,'Usage and Coverage'!$B$70:$B$75,0)),"?"))</f>
        <v/>
      </c>
      <c r="BN255" s="97" t="str">
        <f>IF($A255="","",IF($AB255="",1,IFERROR(INDEX(Deductibles!$C$48:$C$51,MATCH($AB255,Deductibles!$B$48:$B$51,0)),"?")))</f>
        <v/>
      </c>
      <c r="BO255" s="97" t="str">
        <f>IF($A255="","",IF($AC255="",1,IFERROR(INDEX(Deductibles!$C$55:$C$57,MATCH($AC255,Deductibles!$B$55:$B$57,0)),"?")))</f>
        <v/>
      </c>
      <c r="BP255" s="97" t="str">
        <f>IF($A255="","",IF($AD255="",1,IFERROR(INDEX(Deductibles!$C$61:$C$63,MATCH($AD255,Deductibles!$B$61:$B$63,0)),"?")))</f>
        <v/>
      </c>
      <c r="BQ255" s="97" t="str">
        <f>IF($A255="","",IF($AE255="",1,IFERROR(INDEX(Deductibles!$C$67:$C$69,MATCH($AE255,Deductibles!$B$67:$B$69,0)),"?")))</f>
        <v/>
      </c>
      <c r="BR255" s="97" t="str">
        <f>IF($A255="","",IF($AF255="",1,IFERROR(INDEX(Deductibles!$C$73:$C$74,MATCH($AF255,Deductibles!$B$73:$B$74,0)),"?")))</f>
        <v/>
      </c>
      <c r="BS255" s="97" t="str">
        <f>IF($A255="","",IF($AG255="",1,IFERROR(INDEX('Sublimits and Parts'!$C$49:$C$52,MATCH($AG255,'Sublimits and Parts'!$B$49:$B$52,0)),"?")))</f>
        <v/>
      </c>
      <c r="BT255" s="97" t="str">
        <f>IF($A255="","",IF($AH255="",1,IFERROR(INDEX('Sublimits and Parts'!$C$56:$C$60,MATCH($AH255,'Sublimits and Parts'!$B$56:$B$60,0)),"?")))</f>
        <v/>
      </c>
      <c r="BU255" s="97" t="str">
        <f>IF($A255="","",IF($AI255="",1,IFERROR(INDEX('Sublimits and Parts'!$C$64:$C$67,MATCH($AI255,'Sublimits and Parts'!$B$64:$B$67,0)),"?")))</f>
        <v/>
      </c>
      <c r="BV255" s="97" t="str">
        <f>IF($A255="","",IF($AJ255="",1,IFERROR(INDEX('Sublimits and Parts'!$C$71:$C$74,MATCH($AJ255,'Sublimits and Parts'!$B$71:$B$74,0)),"?")))</f>
        <v/>
      </c>
      <c r="BW255" s="97" t="str">
        <f>IF($A255="","",IF($AK255="",1,IFERROR(INDEX('Sublimits and Parts'!$C$78:$C$80,MATCH($AK255,'Sublimits and Parts'!$B$78:$B$80,0)),"?")))</f>
        <v/>
      </c>
      <c r="BX255" s="97" t="str">
        <f>IF($A255="","",IF($AL255="",1,IFERROR(INDEX('Sublimits and Parts'!$C$84:$C$87,MATCH($AL255,'Sublimits and Parts'!$B$84:$B$87,0)),"?")))</f>
        <v/>
      </c>
      <c r="BY255" s="97" t="str">
        <f>IF($A255="","",IF($AM255="",1,IFERROR(INDEX('Sublimits and Parts'!$C$91:$C$94,MATCH($AM255,'Sublimits and Parts'!$B$91:$B$94,0)),"?")))</f>
        <v/>
      </c>
      <c r="BZ255" s="97" t="str">
        <f>IF($A255="","",IF($AN255="",1,IFERROR(INDEX('Sublimits and Parts'!$C$98:$C$101,MATCH($AN255,'Sublimits and Parts'!$B$98:$B$101,0)),"?")))</f>
        <v/>
      </c>
      <c r="CA255" s="97" t="str">
        <f>IF($A255="","",IF($AO255="",1,IFERROR(INDEX('Sublimits and Parts'!$C$105:$C$109,MATCH($AO255,'Sublimits and Parts'!$B$105:$B$109,0)),"?")))</f>
        <v/>
      </c>
      <c r="CB255" s="98" t="str">
        <f t="shared" si="41"/>
        <v/>
      </c>
      <c r="CC255" s="98" t="str">
        <f t="shared" si="42"/>
        <v/>
      </c>
      <c r="CD255" s="101" t="str">
        <f>IF($A255="","",IF(OR($CB255="?",$CC255="?"),"?",MIN($CB255*$CC255,'Technical Premium'!$C$17)))</f>
        <v/>
      </c>
      <c r="CE255" s="100" t="str">
        <f t="shared" si="43"/>
        <v/>
      </c>
      <c r="CF255" s="100" t="str">
        <f>IF($A255="","",IFERROR(INDEX('Territory Factors'!$F$6:$F$56,MATCH($K255,'Territory Factors'!$B$6:$B$56,0)),"?"))</f>
        <v/>
      </c>
      <c r="CG255" s="98" t="str">
        <f>IF($A255="","",IFERROR(INDEX('Usage and Coverage'!$C$79:$C$84,MATCH($Y255,'Usage and Coverage'!$B$79:$B$84,0)),"?"))</f>
        <v/>
      </c>
      <c r="CH255" s="100" t="str">
        <f>IFERROR(IF(ISNUMBER($CD255),$CF255*$CG255*MIN($BG255*$BA255*$BC255*$BD255*$BH255*$BF255,'Technical Premium'!$C$17),""),"")</f>
        <v/>
      </c>
      <c r="CI255" s="100" t="str">
        <f t="shared" si="44"/>
        <v/>
      </c>
      <c r="CJ255" s="100" t="str">
        <f>IFERROR($CI255*(1+'Technical Premium'!$C$5)*(1+'Technical Premium'!$C$6),"")</f>
        <v/>
      </c>
      <c r="CK255" s="100" t="str">
        <f>IFERROR($CE255*INDEX('Territory Factors'!$G$6:$G$56,MATCH($K255,'Territory Factors'!$B$6:$B$56,0))*$AU255*$AV255,"")</f>
        <v/>
      </c>
      <c r="CL255" s="100" t="str">
        <f>IFERROR(($CJ255+$CK255)*(1+'Technical Premium'!$C$7),"")</f>
        <v/>
      </c>
      <c r="CM255" s="102" t="str">
        <f>IFERROR($CL255/'Technical Premium'!$C$13,"")</f>
        <v/>
      </c>
      <c r="CN255" s="103" t="str">
        <f t="shared" si="45"/>
        <v/>
      </c>
      <c r="CO255" s="102" t="str">
        <f t="shared" si="46"/>
        <v/>
      </c>
      <c r="CP255" s="103" t="str">
        <f t="shared" si="47"/>
        <v/>
      </c>
      <c r="CQ255" s="104" t="str">
        <f t="shared" si="48"/>
        <v/>
      </c>
      <c r="CR255" s="100" t="str">
        <f>IF(ISNUMBER($CM255),'Technical Premium'!$C$14+IF($J255&gt;=1000000,'Technical Premium'!$C$15,0),"")</f>
        <v/>
      </c>
      <c r="CS255" s="100" t="str">
        <f>IFERROR(($CO255+$CR255)*(INDEX('Territory Factors'!$K$6:$K$56,MATCH($K255,'Territory Factors'!$B$6:$B$56,0))+'Commission Structure'!$C$21),"")</f>
        <v/>
      </c>
      <c r="CT255" s="102" t="str">
        <f t="shared" si="49"/>
        <v/>
      </c>
      <c r="CU255" s="100" t="str">
        <f>IFERROR($CO255*('Commission Structure'!$C$6+'Commission Structure'!$C$7),"")</f>
        <v/>
      </c>
      <c r="CV255" s="100" t="str">
        <f>IFERROR($CO255*'Commission Structure'!$C$5-$CU255,"")</f>
        <v/>
      </c>
      <c r="CW255" s="100" t="str">
        <f>IFERROR($CO255*(1-'Commission Structure'!$C$5),"")</f>
        <v/>
      </c>
      <c r="CX255" s="105" t="str">
        <f>IF($A255="","",IF(OR($CB255="?",$CC255="?",NOT(ISNUMBER($AU255))),"CHECK INPUTS",IF(OR($J255&lt;'Technical Premium'!$C$18,LEFT(IFERROR(INDEX('Driver Factors'!$D$6:$D$15,MATCH($R255,'Driver Factors'!$B$6:$B$15,0)),""),7)="DECLINE",LEFT(IFERROR(INDEX('Driver Factors'!$D$28:$D$36,MATCH($T255,'Driver Factors'!$B$28:$B$36,0)),""),7)="DECLINE",LEFT(IFERROR(INDEX('Claims History'!$D$6:$D$15,MATCH($U255,'Claims History'!$B$6:$B$15,0)),""),7)="DECLINE",LEFT(IFERROR(INDEX('Usage and Coverage'!$E$6:$E$20,MATCH($N255,'Usage and Coverage'!$C$6:$C$20,0)),""),7)="DECLINE"),"DECLINE",IF(OR($CD255&gt;2.5,$CD255&gt;='Technical Premium'!$C$17,$J255&gt;='Technical Premium'!$C$16,N($AQ255)&lt;'Technical Premium'!$C$19,N($AQ255)&gt;'Technical Premium'!$C$20,LEFT(IFERROR(INDEX('Driver Factors'!$D$6:$D$15,MATCH($R255,'Driver Factors'!$B$6:$B$15,0)),""),5)="Refer",LEFT(IFERROR(INDEX('Driver Factors'!$D$28:$D$36,MATCH($T255,'Driver Factors'!$B$28:$B$36,0)),""),5)="Refer",LEFT(IFERROR(INDEX('Claims History'!$D$6:$D$15,MATCH($U255,'Claims History'!$B$6:$B$15,0)),""),5)="Refer",LEFT(IFERROR(INDEX('Usage and Coverage'!$E$6:$E$20,MATCH($N255,'Usage and Coverage'!$C$6:$C$20,0)),""),5)="Refer"),"REFER","AUTO-BIND"))))</f>
        <v/>
      </c>
      <c r="CY255" s="106" t="str">
        <f t="shared" si="50"/>
        <v/>
      </c>
      <c r="CZ255" s="97" t="str">
        <f>IF($CY255="","",IF($CY255&lt;'Technical Premium'!$C$19,"BEYOND AUTHORITY",IF($CY255&gt;0.005,"Above technical",IF($CY255&lt;-0.005,"BELOW technical","At technical"))))</f>
        <v/>
      </c>
      <c r="DA255" s="97" t="str">
        <f>IF($A255="","",IF($CX255="AUTO-BIND","",TRIM(IF($J255&lt;'Technical Premium'!$C$18,"Below programme minimum agreed value. ","")&amp;IF(N($AQ255)&lt;'Technical Premium'!$C$19,"DISCOUNT AUTHORITY BREACH. ","")&amp;IF(N($AQ255)&gt;'Technical Premium'!$C$20,"Load authority breach. ","")&amp;IF($J255&gt;='Technical Premium'!$C$16,"Agreed value at or above auto-bind limit. ","")&amp;IF(AND(ISNUMBER($CD255),$CD255&gt;='Technical Premium'!$C$17),"Composite factor at cap. ","")&amp;IF(AND(ISNUMBER($CD255),$CD255&gt;2.5),"Composite factor above 2.50. ","")&amp;IF(LEFT(IFERROR(INDEX('Driver Factors'!$D$6:$D$15,MATCH($R255,'Driver Factors'!$B$6:$B$15,0)),""),7)="DECLINE","DECLINE - driver age. ",IF(LEFT(IFERROR(INDEX('Driver Factors'!$D$6:$D$15,MATCH($R255,'Driver Factors'!$B$6:$B$15,0)),""),5)="Refer","Driver age band. ",""))&amp;IF(LEFT(IFERROR(INDEX('Driver Factors'!$D$28:$D$36,MATCH($T255,'Driver Factors'!$B$28:$B$36,0)),""),7)="DECLINE","DECLINE - MVR. ",IF(LEFT(IFERROR(INDEX('Driver Factors'!$D$28:$D$36,MATCH($T255,'Driver Factors'!$B$28:$B$36,0)),""),5)="Refer","MVR record. ",""))&amp;IF(LEFT(IFERROR(INDEX('Claims History'!$D$6:$D$15,MATCH($U255,'Claims History'!$B$6:$B$15,0)),""),7)="DECLINE","DECLINE - claims. ",IF(LEFT(IFERROR(INDEX('Claims History'!$D$6:$D$15,MATCH($U255,'Claims History'!$B$6:$B$15,0)),""),5)="Refer","Claims history. ",""))&amp;IF(LEFT(IFERROR(INDEX('Usage and Coverage'!$E$6:$E$20,MATCH($N255,'Usage and Coverage'!$C$6:$C$20,0)),""),7)="DECLINE","DECLINE - usage class. ",IF(LEFT(IFERROR(INDEX('Usage and Coverage'!$E$6:$E$20,MATCH($N255,'Usage and Coverage'!$C$6:$C$20,0)),""),5)="Refer","Usage class. ",""))&amp;IF($CX255="CHECK INPUTS","Incomplete inputs. ",""))))</f>
        <v/>
      </c>
      <c r="DB255" s="92"/>
      <c r="DC255" s="92"/>
      <c r="DD255" s="93"/>
      <c r="DE255" s="92"/>
      <c r="DF255" s="92"/>
      <c r="DG255" s="97" t="str">
        <f t="shared" si="51"/>
        <v/>
      </c>
      <c r="DH255" s="97" t="str">
        <f>IF($A255="","",IF(OR($CX255="REFER",$CX255="DECLINE"),COUNTIF($CX$5:$CX255,"REFER")+COUNTIF($CX$5:$CX255,"DECLINE"),""))</f>
        <v/>
      </c>
      <c r="DI255" s="92"/>
    </row>
    <row r="256" spans="1:113" x14ac:dyDescent="0.25">
      <c r="A256" s="92"/>
      <c r="B256" s="92"/>
      <c r="C256" s="93"/>
      <c r="D256" s="93"/>
      <c r="E256" s="94"/>
      <c r="F256" s="92"/>
      <c r="G256" s="92"/>
      <c r="H256" s="92"/>
      <c r="I256" s="92"/>
      <c r="J256" s="95"/>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6"/>
      <c r="AR256" s="97" t="str">
        <f t="shared" si="39"/>
        <v/>
      </c>
      <c r="AS256" s="97" t="str">
        <f>IF($A256="","",IF($AP256&lt;&gt;"",$AP256,IFERROR(INDEX('Cat Zone by ZIP'!$D$6:$D$856,MATCH($AR256,'Cat Zone by ZIP'!$B$6:$B$856,0)),IFERROR(INDEX('Cat Zone by ZIP'!$C$860:$C$910,MATCH($K256,'Cat Zone by ZIP'!$B$860:$B$910,0)),"NOT FOUND"))))</f>
        <v/>
      </c>
      <c r="AT256" s="97" t="str">
        <f>IF($A256="","",IF($AP256&lt;&gt;"","Override",IF(ISNUMBER(MATCH($AR256,'Cat Zone by ZIP'!$B$6:$B$856,0)),"ZIP-3","State default")))</f>
        <v/>
      </c>
      <c r="AU256" s="98" t="str">
        <f>IF($A256="","",IFERROR(INDEX('Natural Catastrophe'!$D$6:$D$17,MATCH($AS256,'Natural Catastrophe'!$B$6:$B$17,0)),"?"))</f>
        <v/>
      </c>
      <c r="AV256" s="98" t="str">
        <f>IF($A256="","",IFERROR(INDEX('Natural Catastrophe'!$C$21:$C$26,MATCH($AA256,'Natural Catastrophe'!$B$21:$B$26,0)),"?"))</f>
        <v/>
      </c>
      <c r="AW256" s="97" t="str">
        <f>IF($A256="","",IFERROR(INDEX('Base Rates'!$C$4:$I$4,MATCH(MAX($J256,'Technical Premium'!$C$18),'Base Rates'!$C$3:$I$3,1)),"?"))</f>
        <v/>
      </c>
      <c r="AX256" s="99" t="str">
        <f>IF($A256="","",IFERROR(INDEX('Base Rates'!$C$5:$I$16,MATCH($I256,'Base Rates'!$B$5:$B$16,0),MATCH(MAX($J256,'Technical Premium'!$C$18),'Base Rates'!$C$3:$I$3,1)),"?"))</f>
        <v/>
      </c>
      <c r="AY256" s="100" t="str">
        <f t="shared" si="40"/>
        <v/>
      </c>
      <c r="AZ256" s="97" t="str">
        <f>IF($A256="","",IFERROR(INDEX('Make Factors'!$G$5:$G$69,MATCH($F256,'Make Factors'!$B$5:$B$69,0)),"?"))</f>
        <v/>
      </c>
      <c r="BA256" s="97" t="str">
        <f>IF($A256="","",IFERROR(INDEX('Driver Factors'!$C$6:$C$15,MATCH($R256,'Driver Factors'!$B$6:$B$15,0)),"?"))</f>
        <v/>
      </c>
      <c r="BB256" s="97" t="str">
        <f>IF($A256="","",IFERROR(INDEX('Driver Factors'!$C$19:$C$24,MATCH($S256,'Driver Factors'!$B$19:$B$24,0)),"?"))</f>
        <v/>
      </c>
      <c r="BC256" s="97" t="str">
        <f>IF($A256="","",IFERROR(INDEX('Driver Factors'!$C$28:$C$36,MATCH($T256,'Driver Factors'!$B$28:$B$36,0)),"?"))</f>
        <v/>
      </c>
      <c r="BD256" s="97" t="str">
        <f>IF($A256="","",IFERROR(INDEX('Claims History'!$C$6:$C$15,MATCH($U256,'Claims History'!$B$6:$B$15,0)),"?"))</f>
        <v/>
      </c>
      <c r="BE256" s="97" t="str">
        <f>IF($A256="","",IFERROR(INDEX('Territory Factors'!$E$6:$E$56,MATCH($K256,'Territory Factors'!$B$6:$B$56,0)),"?"))</f>
        <v/>
      </c>
      <c r="BF256" s="97" t="str">
        <f>IF($A256="","",IFERROR(INDEX('City Accident Ratings'!$G$6:$G$54,MATCH($Z256,'City Accident Ratings'!$B$6:$B$54,0)),"?"))</f>
        <v/>
      </c>
      <c r="BG256" s="97" t="str">
        <f>IF($A256="","",IFERROR(INDEX('Usage and Coverage'!$D$6:$D$20,MATCH($N256,'Usage and Coverage'!$C$6:$C$20,0)),"?"))</f>
        <v/>
      </c>
      <c r="BH256" s="97" t="str">
        <f>IF($A256="","",IFERROR(INDEX('Usage and Coverage'!$C$24:$C$30,MATCH($O256,'Usage and Coverage'!$B$24:$B$30,0)),"?"))</f>
        <v/>
      </c>
      <c r="BI256" s="97" t="str">
        <f>IF($A256="","",IFERROR(INDEX('Usage and Coverage'!$C$34:$C$40,MATCH($P256,'Usage and Coverage'!$B$34:$B$40,0)),"?"))</f>
        <v/>
      </c>
      <c r="BJ256" s="97" t="str">
        <f>IF($A256="","",IFERROR(INDEX('Usage and Coverage'!$C$44:$C$49,MATCH($Q256,'Usage and Coverage'!$B$44:$B$49,0)),"?"))</f>
        <v/>
      </c>
      <c r="BK256" s="97" t="str">
        <f>IF($A256="","",IFERROR(INDEX(Deductibles!$C$6:$I$15,MATCH($W256,Deductibles!$B$6:$B$15,0),MATCH(MAX($J256,'Technical Premium'!$C$18),'Base Rates'!$C$3:$I$3,1)),"?"))</f>
        <v/>
      </c>
      <c r="BL256" s="97" t="str">
        <f>IF($A256="","",IFERROR(INDEX('Usage and Coverage'!$C$63:$C$66,MATCH($X256,'Usage and Coverage'!$B$63:$B$66,0)),"?"))</f>
        <v/>
      </c>
      <c r="BM256" s="97" t="str">
        <f>IF($A256="","",IFERROR(INDEX('Usage and Coverage'!$C$70:$C$75,MATCH($V256,'Usage and Coverage'!$B$70:$B$75,0)),"?"))</f>
        <v/>
      </c>
      <c r="BN256" s="97" t="str">
        <f>IF($A256="","",IF($AB256="",1,IFERROR(INDEX(Deductibles!$C$48:$C$51,MATCH($AB256,Deductibles!$B$48:$B$51,0)),"?")))</f>
        <v/>
      </c>
      <c r="BO256" s="97" t="str">
        <f>IF($A256="","",IF($AC256="",1,IFERROR(INDEX(Deductibles!$C$55:$C$57,MATCH($AC256,Deductibles!$B$55:$B$57,0)),"?")))</f>
        <v/>
      </c>
      <c r="BP256" s="97" t="str">
        <f>IF($A256="","",IF($AD256="",1,IFERROR(INDEX(Deductibles!$C$61:$C$63,MATCH($AD256,Deductibles!$B$61:$B$63,0)),"?")))</f>
        <v/>
      </c>
      <c r="BQ256" s="97" t="str">
        <f>IF($A256="","",IF($AE256="",1,IFERROR(INDEX(Deductibles!$C$67:$C$69,MATCH($AE256,Deductibles!$B$67:$B$69,0)),"?")))</f>
        <v/>
      </c>
      <c r="BR256" s="97" t="str">
        <f>IF($A256="","",IF($AF256="",1,IFERROR(INDEX(Deductibles!$C$73:$C$74,MATCH($AF256,Deductibles!$B$73:$B$74,0)),"?")))</f>
        <v/>
      </c>
      <c r="BS256" s="97" t="str">
        <f>IF($A256="","",IF($AG256="",1,IFERROR(INDEX('Sublimits and Parts'!$C$49:$C$52,MATCH($AG256,'Sublimits and Parts'!$B$49:$B$52,0)),"?")))</f>
        <v/>
      </c>
      <c r="BT256" s="97" t="str">
        <f>IF($A256="","",IF($AH256="",1,IFERROR(INDEX('Sublimits and Parts'!$C$56:$C$60,MATCH($AH256,'Sublimits and Parts'!$B$56:$B$60,0)),"?")))</f>
        <v/>
      </c>
      <c r="BU256" s="97" t="str">
        <f>IF($A256="","",IF($AI256="",1,IFERROR(INDEX('Sublimits and Parts'!$C$64:$C$67,MATCH($AI256,'Sublimits and Parts'!$B$64:$B$67,0)),"?")))</f>
        <v/>
      </c>
      <c r="BV256" s="97" t="str">
        <f>IF($A256="","",IF($AJ256="",1,IFERROR(INDEX('Sublimits and Parts'!$C$71:$C$74,MATCH($AJ256,'Sublimits and Parts'!$B$71:$B$74,0)),"?")))</f>
        <v/>
      </c>
      <c r="BW256" s="97" t="str">
        <f>IF($A256="","",IF($AK256="",1,IFERROR(INDEX('Sublimits and Parts'!$C$78:$C$80,MATCH($AK256,'Sublimits and Parts'!$B$78:$B$80,0)),"?")))</f>
        <v/>
      </c>
      <c r="BX256" s="97" t="str">
        <f>IF($A256="","",IF($AL256="",1,IFERROR(INDEX('Sublimits and Parts'!$C$84:$C$87,MATCH($AL256,'Sublimits and Parts'!$B$84:$B$87,0)),"?")))</f>
        <v/>
      </c>
      <c r="BY256" s="97" t="str">
        <f>IF($A256="","",IF($AM256="",1,IFERROR(INDEX('Sublimits and Parts'!$C$91:$C$94,MATCH($AM256,'Sublimits and Parts'!$B$91:$B$94,0)),"?")))</f>
        <v/>
      </c>
      <c r="BZ256" s="97" t="str">
        <f>IF($A256="","",IF($AN256="",1,IFERROR(INDEX('Sublimits and Parts'!$C$98:$C$101,MATCH($AN256,'Sublimits and Parts'!$B$98:$B$101,0)),"?")))</f>
        <v/>
      </c>
      <c r="CA256" s="97" t="str">
        <f>IF($A256="","",IF($AO256="",1,IFERROR(INDEX('Sublimits and Parts'!$C$105:$C$109,MATCH($AO256,'Sublimits and Parts'!$B$105:$B$109,0)),"?")))</f>
        <v/>
      </c>
      <c r="CB256" s="98" t="str">
        <f t="shared" si="41"/>
        <v/>
      </c>
      <c r="CC256" s="98" t="str">
        <f t="shared" si="42"/>
        <v/>
      </c>
      <c r="CD256" s="101" t="str">
        <f>IF($A256="","",IF(OR($CB256="?",$CC256="?"),"?",MIN($CB256*$CC256,'Technical Premium'!$C$17)))</f>
        <v/>
      </c>
      <c r="CE256" s="100" t="str">
        <f t="shared" si="43"/>
        <v/>
      </c>
      <c r="CF256" s="100" t="str">
        <f>IF($A256="","",IFERROR(INDEX('Territory Factors'!$F$6:$F$56,MATCH($K256,'Territory Factors'!$B$6:$B$56,0)),"?"))</f>
        <v/>
      </c>
      <c r="CG256" s="98" t="str">
        <f>IF($A256="","",IFERROR(INDEX('Usage and Coverage'!$C$79:$C$84,MATCH($Y256,'Usage and Coverage'!$B$79:$B$84,0)),"?"))</f>
        <v/>
      </c>
      <c r="CH256" s="100" t="str">
        <f>IFERROR(IF(ISNUMBER($CD256),$CF256*$CG256*MIN($BG256*$BA256*$BC256*$BD256*$BH256*$BF256,'Technical Premium'!$C$17),""),"")</f>
        <v/>
      </c>
      <c r="CI256" s="100" t="str">
        <f t="shared" si="44"/>
        <v/>
      </c>
      <c r="CJ256" s="100" t="str">
        <f>IFERROR($CI256*(1+'Technical Premium'!$C$5)*(1+'Technical Premium'!$C$6),"")</f>
        <v/>
      </c>
      <c r="CK256" s="100" t="str">
        <f>IFERROR($CE256*INDEX('Territory Factors'!$G$6:$G$56,MATCH($K256,'Territory Factors'!$B$6:$B$56,0))*$AU256*$AV256,"")</f>
        <v/>
      </c>
      <c r="CL256" s="100" t="str">
        <f>IFERROR(($CJ256+$CK256)*(1+'Technical Premium'!$C$7),"")</f>
        <v/>
      </c>
      <c r="CM256" s="102" t="str">
        <f>IFERROR($CL256/'Technical Premium'!$C$13,"")</f>
        <v/>
      </c>
      <c r="CN256" s="103" t="str">
        <f t="shared" si="45"/>
        <v/>
      </c>
      <c r="CO256" s="102" t="str">
        <f t="shared" si="46"/>
        <v/>
      </c>
      <c r="CP256" s="103" t="str">
        <f t="shared" si="47"/>
        <v/>
      </c>
      <c r="CQ256" s="104" t="str">
        <f t="shared" si="48"/>
        <v/>
      </c>
      <c r="CR256" s="100" t="str">
        <f>IF(ISNUMBER($CM256),'Technical Premium'!$C$14+IF($J256&gt;=1000000,'Technical Premium'!$C$15,0),"")</f>
        <v/>
      </c>
      <c r="CS256" s="100" t="str">
        <f>IFERROR(($CO256+$CR256)*(INDEX('Territory Factors'!$K$6:$K$56,MATCH($K256,'Territory Factors'!$B$6:$B$56,0))+'Commission Structure'!$C$21),"")</f>
        <v/>
      </c>
      <c r="CT256" s="102" t="str">
        <f t="shared" si="49"/>
        <v/>
      </c>
      <c r="CU256" s="100" t="str">
        <f>IFERROR($CO256*('Commission Structure'!$C$6+'Commission Structure'!$C$7),"")</f>
        <v/>
      </c>
      <c r="CV256" s="100" t="str">
        <f>IFERROR($CO256*'Commission Structure'!$C$5-$CU256,"")</f>
        <v/>
      </c>
      <c r="CW256" s="100" t="str">
        <f>IFERROR($CO256*(1-'Commission Structure'!$C$5),"")</f>
        <v/>
      </c>
      <c r="CX256" s="105" t="str">
        <f>IF($A256="","",IF(OR($CB256="?",$CC256="?",NOT(ISNUMBER($AU256))),"CHECK INPUTS",IF(OR($J256&lt;'Technical Premium'!$C$18,LEFT(IFERROR(INDEX('Driver Factors'!$D$6:$D$15,MATCH($R256,'Driver Factors'!$B$6:$B$15,0)),""),7)="DECLINE",LEFT(IFERROR(INDEX('Driver Factors'!$D$28:$D$36,MATCH($T256,'Driver Factors'!$B$28:$B$36,0)),""),7)="DECLINE",LEFT(IFERROR(INDEX('Claims History'!$D$6:$D$15,MATCH($U256,'Claims History'!$B$6:$B$15,0)),""),7)="DECLINE",LEFT(IFERROR(INDEX('Usage and Coverage'!$E$6:$E$20,MATCH($N256,'Usage and Coverage'!$C$6:$C$20,0)),""),7)="DECLINE"),"DECLINE",IF(OR($CD256&gt;2.5,$CD256&gt;='Technical Premium'!$C$17,$J256&gt;='Technical Premium'!$C$16,N($AQ256)&lt;'Technical Premium'!$C$19,N($AQ256)&gt;'Technical Premium'!$C$20,LEFT(IFERROR(INDEX('Driver Factors'!$D$6:$D$15,MATCH($R256,'Driver Factors'!$B$6:$B$15,0)),""),5)="Refer",LEFT(IFERROR(INDEX('Driver Factors'!$D$28:$D$36,MATCH($T256,'Driver Factors'!$B$28:$B$36,0)),""),5)="Refer",LEFT(IFERROR(INDEX('Claims History'!$D$6:$D$15,MATCH($U256,'Claims History'!$B$6:$B$15,0)),""),5)="Refer",LEFT(IFERROR(INDEX('Usage and Coverage'!$E$6:$E$20,MATCH($N256,'Usage and Coverage'!$C$6:$C$20,0)),""),5)="Refer"),"REFER","AUTO-BIND"))))</f>
        <v/>
      </c>
      <c r="CY256" s="106" t="str">
        <f t="shared" si="50"/>
        <v/>
      </c>
      <c r="CZ256" s="97" t="str">
        <f>IF($CY256="","",IF($CY256&lt;'Technical Premium'!$C$19,"BEYOND AUTHORITY",IF($CY256&gt;0.005,"Above technical",IF($CY256&lt;-0.005,"BELOW technical","At technical"))))</f>
        <v/>
      </c>
      <c r="DA256" s="97" t="str">
        <f>IF($A256="","",IF($CX256="AUTO-BIND","",TRIM(IF($J256&lt;'Technical Premium'!$C$18,"Below programme minimum agreed value. ","")&amp;IF(N($AQ256)&lt;'Technical Premium'!$C$19,"DISCOUNT AUTHORITY BREACH. ","")&amp;IF(N($AQ256)&gt;'Technical Premium'!$C$20,"Load authority breach. ","")&amp;IF($J256&gt;='Technical Premium'!$C$16,"Agreed value at or above auto-bind limit. ","")&amp;IF(AND(ISNUMBER($CD256),$CD256&gt;='Technical Premium'!$C$17),"Composite factor at cap. ","")&amp;IF(AND(ISNUMBER($CD256),$CD256&gt;2.5),"Composite factor above 2.50. ","")&amp;IF(LEFT(IFERROR(INDEX('Driver Factors'!$D$6:$D$15,MATCH($R256,'Driver Factors'!$B$6:$B$15,0)),""),7)="DECLINE","DECLINE - driver age. ",IF(LEFT(IFERROR(INDEX('Driver Factors'!$D$6:$D$15,MATCH($R256,'Driver Factors'!$B$6:$B$15,0)),""),5)="Refer","Driver age band. ",""))&amp;IF(LEFT(IFERROR(INDEX('Driver Factors'!$D$28:$D$36,MATCH($T256,'Driver Factors'!$B$28:$B$36,0)),""),7)="DECLINE","DECLINE - MVR. ",IF(LEFT(IFERROR(INDEX('Driver Factors'!$D$28:$D$36,MATCH($T256,'Driver Factors'!$B$28:$B$36,0)),""),5)="Refer","MVR record. ",""))&amp;IF(LEFT(IFERROR(INDEX('Claims History'!$D$6:$D$15,MATCH($U256,'Claims History'!$B$6:$B$15,0)),""),7)="DECLINE","DECLINE - claims. ",IF(LEFT(IFERROR(INDEX('Claims History'!$D$6:$D$15,MATCH($U256,'Claims History'!$B$6:$B$15,0)),""),5)="Refer","Claims history. ",""))&amp;IF(LEFT(IFERROR(INDEX('Usage and Coverage'!$E$6:$E$20,MATCH($N256,'Usage and Coverage'!$C$6:$C$20,0)),""),7)="DECLINE","DECLINE - usage class. ",IF(LEFT(IFERROR(INDEX('Usage and Coverage'!$E$6:$E$20,MATCH($N256,'Usage and Coverage'!$C$6:$C$20,0)),""),5)="Refer","Usage class. ",""))&amp;IF($CX256="CHECK INPUTS","Incomplete inputs. ",""))))</f>
        <v/>
      </c>
      <c r="DB256" s="92"/>
      <c r="DC256" s="92"/>
      <c r="DD256" s="93"/>
      <c r="DE256" s="92"/>
      <c r="DF256" s="92"/>
      <c r="DG256" s="97" t="str">
        <f t="shared" si="51"/>
        <v/>
      </c>
      <c r="DH256" s="97" t="str">
        <f>IF($A256="","",IF(OR($CX256="REFER",$CX256="DECLINE"),COUNTIF($CX$5:$CX256,"REFER")+COUNTIF($CX$5:$CX256,"DECLINE"),""))</f>
        <v/>
      </c>
      <c r="DI256" s="92"/>
    </row>
    <row r="257" spans="1:113" x14ac:dyDescent="0.25">
      <c r="A257" s="92"/>
      <c r="B257" s="92"/>
      <c r="C257" s="93"/>
      <c r="D257" s="93"/>
      <c r="E257" s="94"/>
      <c r="F257" s="92"/>
      <c r="G257" s="92"/>
      <c r="H257" s="92"/>
      <c r="I257" s="92"/>
      <c r="J257" s="95"/>
      <c r="K257" s="92"/>
      <c r="L257" s="92"/>
      <c r="M257" s="92"/>
      <c r="N257" s="92"/>
      <c r="O257" s="92"/>
      <c r="P257" s="92"/>
      <c r="Q257" s="92"/>
      <c r="R257" s="92"/>
      <c r="S257" s="92"/>
      <c r="T257" s="92"/>
      <c r="U257" s="92"/>
      <c r="V257" s="92"/>
      <c r="W257" s="92"/>
      <c r="X257" s="92"/>
      <c r="Y257" s="92"/>
      <c r="Z257" s="92"/>
      <c r="AA257" s="92"/>
      <c r="AB257" s="92"/>
      <c r="AC257" s="92"/>
      <c r="AD257" s="92"/>
      <c r="AE257" s="92"/>
      <c r="AF257" s="92"/>
      <c r="AG257" s="92"/>
      <c r="AH257" s="92"/>
      <c r="AI257" s="92"/>
      <c r="AJ257" s="92"/>
      <c r="AK257" s="92"/>
      <c r="AL257" s="92"/>
      <c r="AM257" s="92"/>
      <c r="AN257" s="92"/>
      <c r="AO257" s="92"/>
      <c r="AP257" s="92"/>
      <c r="AQ257" s="96"/>
      <c r="AR257" s="97" t="str">
        <f t="shared" si="39"/>
        <v/>
      </c>
      <c r="AS257" s="97" t="str">
        <f>IF($A257="","",IF($AP257&lt;&gt;"",$AP257,IFERROR(INDEX('Cat Zone by ZIP'!$D$6:$D$856,MATCH($AR257,'Cat Zone by ZIP'!$B$6:$B$856,0)),IFERROR(INDEX('Cat Zone by ZIP'!$C$860:$C$910,MATCH($K257,'Cat Zone by ZIP'!$B$860:$B$910,0)),"NOT FOUND"))))</f>
        <v/>
      </c>
      <c r="AT257" s="97" t="str">
        <f>IF($A257="","",IF($AP257&lt;&gt;"","Override",IF(ISNUMBER(MATCH($AR257,'Cat Zone by ZIP'!$B$6:$B$856,0)),"ZIP-3","State default")))</f>
        <v/>
      </c>
      <c r="AU257" s="98" t="str">
        <f>IF($A257="","",IFERROR(INDEX('Natural Catastrophe'!$D$6:$D$17,MATCH($AS257,'Natural Catastrophe'!$B$6:$B$17,0)),"?"))</f>
        <v/>
      </c>
      <c r="AV257" s="98" t="str">
        <f>IF($A257="","",IFERROR(INDEX('Natural Catastrophe'!$C$21:$C$26,MATCH($AA257,'Natural Catastrophe'!$B$21:$B$26,0)),"?"))</f>
        <v/>
      </c>
      <c r="AW257" s="97" t="str">
        <f>IF($A257="","",IFERROR(INDEX('Base Rates'!$C$4:$I$4,MATCH(MAX($J257,'Technical Premium'!$C$18),'Base Rates'!$C$3:$I$3,1)),"?"))</f>
        <v/>
      </c>
      <c r="AX257" s="99" t="str">
        <f>IF($A257="","",IFERROR(INDEX('Base Rates'!$C$5:$I$16,MATCH($I257,'Base Rates'!$B$5:$B$16,0),MATCH(MAX($J257,'Technical Premium'!$C$18),'Base Rates'!$C$3:$I$3,1)),"?"))</f>
        <v/>
      </c>
      <c r="AY257" s="100" t="str">
        <f t="shared" si="40"/>
        <v/>
      </c>
      <c r="AZ257" s="97" t="str">
        <f>IF($A257="","",IFERROR(INDEX('Make Factors'!$G$5:$G$69,MATCH($F257,'Make Factors'!$B$5:$B$69,0)),"?"))</f>
        <v/>
      </c>
      <c r="BA257" s="97" t="str">
        <f>IF($A257="","",IFERROR(INDEX('Driver Factors'!$C$6:$C$15,MATCH($R257,'Driver Factors'!$B$6:$B$15,0)),"?"))</f>
        <v/>
      </c>
      <c r="BB257" s="97" t="str">
        <f>IF($A257="","",IFERROR(INDEX('Driver Factors'!$C$19:$C$24,MATCH($S257,'Driver Factors'!$B$19:$B$24,0)),"?"))</f>
        <v/>
      </c>
      <c r="BC257" s="97" t="str">
        <f>IF($A257="","",IFERROR(INDEX('Driver Factors'!$C$28:$C$36,MATCH($T257,'Driver Factors'!$B$28:$B$36,0)),"?"))</f>
        <v/>
      </c>
      <c r="BD257" s="97" t="str">
        <f>IF($A257="","",IFERROR(INDEX('Claims History'!$C$6:$C$15,MATCH($U257,'Claims History'!$B$6:$B$15,0)),"?"))</f>
        <v/>
      </c>
      <c r="BE257" s="97" t="str">
        <f>IF($A257="","",IFERROR(INDEX('Territory Factors'!$E$6:$E$56,MATCH($K257,'Territory Factors'!$B$6:$B$56,0)),"?"))</f>
        <v/>
      </c>
      <c r="BF257" s="97" t="str">
        <f>IF($A257="","",IFERROR(INDEX('City Accident Ratings'!$G$6:$G$54,MATCH($Z257,'City Accident Ratings'!$B$6:$B$54,0)),"?"))</f>
        <v/>
      </c>
      <c r="BG257" s="97" t="str">
        <f>IF($A257="","",IFERROR(INDEX('Usage and Coverage'!$D$6:$D$20,MATCH($N257,'Usage and Coverage'!$C$6:$C$20,0)),"?"))</f>
        <v/>
      </c>
      <c r="BH257" s="97" t="str">
        <f>IF($A257="","",IFERROR(INDEX('Usage and Coverage'!$C$24:$C$30,MATCH($O257,'Usage and Coverage'!$B$24:$B$30,0)),"?"))</f>
        <v/>
      </c>
      <c r="BI257" s="97" t="str">
        <f>IF($A257="","",IFERROR(INDEX('Usage and Coverage'!$C$34:$C$40,MATCH($P257,'Usage and Coverage'!$B$34:$B$40,0)),"?"))</f>
        <v/>
      </c>
      <c r="BJ257" s="97" t="str">
        <f>IF($A257="","",IFERROR(INDEX('Usage and Coverage'!$C$44:$C$49,MATCH($Q257,'Usage and Coverage'!$B$44:$B$49,0)),"?"))</f>
        <v/>
      </c>
      <c r="BK257" s="97" t="str">
        <f>IF($A257="","",IFERROR(INDEX(Deductibles!$C$6:$I$15,MATCH($W257,Deductibles!$B$6:$B$15,0),MATCH(MAX($J257,'Technical Premium'!$C$18),'Base Rates'!$C$3:$I$3,1)),"?"))</f>
        <v/>
      </c>
      <c r="BL257" s="97" t="str">
        <f>IF($A257="","",IFERROR(INDEX('Usage and Coverage'!$C$63:$C$66,MATCH($X257,'Usage and Coverage'!$B$63:$B$66,0)),"?"))</f>
        <v/>
      </c>
      <c r="BM257" s="97" t="str">
        <f>IF($A257="","",IFERROR(INDEX('Usage and Coverage'!$C$70:$C$75,MATCH($V257,'Usage and Coverage'!$B$70:$B$75,0)),"?"))</f>
        <v/>
      </c>
      <c r="BN257" s="97" t="str">
        <f>IF($A257="","",IF($AB257="",1,IFERROR(INDEX(Deductibles!$C$48:$C$51,MATCH($AB257,Deductibles!$B$48:$B$51,0)),"?")))</f>
        <v/>
      </c>
      <c r="BO257" s="97" t="str">
        <f>IF($A257="","",IF($AC257="",1,IFERROR(INDEX(Deductibles!$C$55:$C$57,MATCH($AC257,Deductibles!$B$55:$B$57,0)),"?")))</f>
        <v/>
      </c>
      <c r="BP257" s="97" t="str">
        <f>IF($A257="","",IF($AD257="",1,IFERROR(INDEX(Deductibles!$C$61:$C$63,MATCH($AD257,Deductibles!$B$61:$B$63,0)),"?")))</f>
        <v/>
      </c>
      <c r="BQ257" s="97" t="str">
        <f>IF($A257="","",IF($AE257="",1,IFERROR(INDEX(Deductibles!$C$67:$C$69,MATCH($AE257,Deductibles!$B$67:$B$69,0)),"?")))</f>
        <v/>
      </c>
      <c r="BR257" s="97" t="str">
        <f>IF($A257="","",IF($AF257="",1,IFERROR(INDEX(Deductibles!$C$73:$C$74,MATCH($AF257,Deductibles!$B$73:$B$74,0)),"?")))</f>
        <v/>
      </c>
      <c r="BS257" s="97" t="str">
        <f>IF($A257="","",IF($AG257="",1,IFERROR(INDEX('Sublimits and Parts'!$C$49:$C$52,MATCH($AG257,'Sublimits and Parts'!$B$49:$B$52,0)),"?")))</f>
        <v/>
      </c>
      <c r="BT257" s="97" t="str">
        <f>IF($A257="","",IF($AH257="",1,IFERROR(INDEX('Sublimits and Parts'!$C$56:$C$60,MATCH($AH257,'Sublimits and Parts'!$B$56:$B$60,0)),"?")))</f>
        <v/>
      </c>
      <c r="BU257" s="97" t="str">
        <f>IF($A257="","",IF($AI257="",1,IFERROR(INDEX('Sublimits and Parts'!$C$64:$C$67,MATCH($AI257,'Sublimits and Parts'!$B$64:$B$67,0)),"?")))</f>
        <v/>
      </c>
      <c r="BV257" s="97" t="str">
        <f>IF($A257="","",IF($AJ257="",1,IFERROR(INDEX('Sublimits and Parts'!$C$71:$C$74,MATCH($AJ257,'Sublimits and Parts'!$B$71:$B$74,0)),"?")))</f>
        <v/>
      </c>
      <c r="BW257" s="97" t="str">
        <f>IF($A257="","",IF($AK257="",1,IFERROR(INDEX('Sublimits and Parts'!$C$78:$C$80,MATCH($AK257,'Sublimits and Parts'!$B$78:$B$80,0)),"?")))</f>
        <v/>
      </c>
      <c r="BX257" s="97" t="str">
        <f>IF($A257="","",IF($AL257="",1,IFERROR(INDEX('Sublimits and Parts'!$C$84:$C$87,MATCH($AL257,'Sublimits and Parts'!$B$84:$B$87,0)),"?")))</f>
        <v/>
      </c>
      <c r="BY257" s="97" t="str">
        <f>IF($A257="","",IF($AM257="",1,IFERROR(INDEX('Sublimits and Parts'!$C$91:$C$94,MATCH($AM257,'Sublimits and Parts'!$B$91:$B$94,0)),"?")))</f>
        <v/>
      </c>
      <c r="BZ257" s="97" t="str">
        <f>IF($A257="","",IF($AN257="",1,IFERROR(INDEX('Sublimits and Parts'!$C$98:$C$101,MATCH($AN257,'Sublimits and Parts'!$B$98:$B$101,0)),"?")))</f>
        <v/>
      </c>
      <c r="CA257" s="97" t="str">
        <f>IF($A257="","",IF($AO257="",1,IFERROR(INDEX('Sublimits and Parts'!$C$105:$C$109,MATCH($AO257,'Sublimits and Parts'!$B$105:$B$109,0)),"?")))</f>
        <v/>
      </c>
      <c r="CB257" s="98" t="str">
        <f t="shared" si="41"/>
        <v/>
      </c>
      <c r="CC257" s="98" t="str">
        <f t="shared" si="42"/>
        <v/>
      </c>
      <c r="CD257" s="101" t="str">
        <f>IF($A257="","",IF(OR($CB257="?",$CC257="?"),"?",MIN($CB257*$CC257,'Technical Premium'!$C$17)))</f>
        <v/>
      </c>
      <c r="CE257" s="100" t="str">
        <f t="shared" si="43"/>
        <v/>
      </c>
      <c r="CF257" s="100" t="str">
        <f>IF($A257="","",IFERROR(INDEX('Territory Factors'!$F$6:$F$56,MATCH($K257,'Territory Factors'!$B$6:$B$56,0)),"?"))</f>
        <v/>
      </c>
      <c r="CG257" s="98" t="str">
        <f>IF($A257="","",IFERROR(INDEX('Usage and Coverage'!$C$79:$C$84,MATCH($Y257,'Usage and Coverage'!$B$79:$B$84,0)),"?"))</f>
        <v/>
      </c>
      <c r="CH257" s="100" t="str">
        <f>IFERROR(IF(ISNUMBER($CD257),$CF257*$CG257*MIN($BG257*$BA257*$BC257*$BD257*$BH257*$BF257,'Technical Premium'!$C$17),""),"")</f>
        <v/>
      </c>
      <c r="CI257" s="100" t="str">
        <f t="shared" si="44"/>
        <v/>
      </c>
      <c r="CJ257" s="100" t="str">
        <f>IFERROR($CI257*(1+'Technical Premium'!$C$5)*(1+'Technical Premium'!$C$6),"")</f>
        <v/>
      </c>
      <c r="CK257" s="100" t="str">
        <f>IFERROR($CE257*INDEX('Territory Factors'!$G$6:$G$56,MATCH($K257,'Territory Factors'!$B$6:$B$56,0))*$AU257*$AV257,"")</f>
        <v/>
      </c>
      <c r="CL257" s="100" t="str">
        <f>IFERROR(($CJ257+$CK257)*(1+'Technical Premium'!$C$7),"")</f>
        <v/>
      </c>
      <c r="CM257" s="102" t="str">
        <f>IFERROR($CL257/'Technical Premium'!$C$13,"")</f>
        <v/>
      </c>
      <c r="CN257" s="103" t="str">
        <f t="shared" si="45"/>
        <v/>
      </c>
      <c r="CO257" s="102" t="str">
        <f t="shared" si="46"/>
        <v/>
      </c>
      <c r="CP257" s="103" t="str">
        <f t="shared" si="47"/>
        <v/>
      </c>
      <c r="CQ257" s="104" t="str">
        <f t="shared" si="48"/>
        <v/>
      </c>
      <c r="CR257" s="100" t="str">
        <f>IF(ISNUMBER($CM257),'Technical Premium'!$C$14+IF($J257&gt;=1000000,'Technical Premium'!$C$15,0),"")</f>
        <v/>
      </c>
      <c r="CS257" s="100" t="str">
        <f>IFERROR(($CO257+$CR257)*(INDEX('Territory Factors'!$K$6:$K$56,MATCH($K257,'Territory Factors'!$B$6:$B$56,0))+'Commission Structure'!$C$21),"")</f>
        <v/>
      </c>
      <c r="CT257" s="102" t="str">
        <f t="shared" si="49"/>
        <v/>
      </c>
      <c r="CU257" s="100" t="str">
        <f>IFERROR($CO257*('Commission Structure'!$C$6+'Commission Structure'!$C$7),"")</f>
        <v/>
      </c>
      <c r="CV257" s="100" t="str">
        <f>IFERROR($CO257*'Commission Structure'!$C$5-$CU257,"")</f>
        <v/>
      </c>
      <c r="CW257" s="100" t="str">
        <f>IFERROR($CO257*(1-'Commission Structure'!$C$5),"")</f>
        <v/>
      </c>
      <c r="CX257" s="105" t="str">
        <f>IF($A257="","",IF(OR($CB257="?",$CC257="?",NOT(ISNUMBER($AU257))),"CHECK INPUTS",IF(OR($J257&lt;'Technical Premium'!$C$18,LEFT(IFERROR(INDEX('Driver Factors'!$D$6:$D$15,MATCH($R257,'Driver Factors'!$B$6:$B$15,0)),""),7)="DECLINE",LEFT(IFERROR(INDEX('Driver Factors'!$D$28:$D$36,MATCH($T257,'Driver Factors'!$B$28:$B$36,0)),""),7)="DECLINE",LEFT(IFERROR(INDEX('Claims History'!$D$6:$D$15,MATCH($U257,'Claims History'!$B$6:$B$15,0)),""),7)="DECLINE",LEFT(IFERROR(INDEX('Usage and Coverage'!$E$6:$E$20,MATCH($N257,'Usage and Coverage'!$C$6:$C$20,0)),""),7)="DECLINE"),"DECLINE",IF(OR($CD257&gt;2.5,$CD257&gt;='Technical Premium'!$C$17,$J257&gt;='Technical Premium'!$C$16,N($AQ257)&lt;'Technical Premium'!$C$19,N($AQ257)&gt;'Technical Premium'!$C$20,LEFT(IFERROR(INDEX('Driver Factors'!$D$6:$D$15,MATCH($R257,'Driver Factors'!$B$6:$B$15,0)),""),5)="Refer",LEFT(IFERROR(INDEX('Driver Factors'!$D$28:$D$36,MATCH($T257,'Driver Factors'!$B$28:$B$36,0)),""),5)="Refer",LEFT(IFERROR(INDEX('Claims History'!$D$6:$D$15,MATCH($U257,'Claims History'!$B$6:$B$15,0)),""),5)="Refer",LEFT(IFERROR(INDEX('Usage and Coverage'!$E$6:$E$20,MATCH($N257,'Usage and Coverage'!$C$6:$C$20,0)),""),5)="Refer"),"REFER","AUTO-BIND"))))</f>
        <v/>
      </c>
      <c r="CY257" s="106" t="str">
        <f t="shared" si="50"/>
        <v/>
      </c>
      <c r="CZ257" s="97" t="str">
        <f>IF($CY257="","",IF($CY257&lt;'Technical Premium'!$C$19,"BEYOND AUTHORITY",IF($CY257&gt;0.005,"Above technical",IF($CY257&lt;-0.005,"BELOW technical","At technical"))))</f>
        <v/>
      </c>
      <c r="DA257" s="97" t="str">
        <f>IF($A257="","",IF($CX257="AUTO-BIND","",TRIM(IF($J257&lt;'Technical Premium'!$C$18,"Below programme minimum agreed value. ","")&amp;IF(N($AQ257)&lt;'Technical Premium'!$C$19,"DISCOUNT AUTHORITY BREACH. ","")&amp;IF(N($AQ257)&gt;'Technical Premium'!$C$20,"Load authority breach. ","")&amp;IF($J257&gt;='Technical Premium'!$C$16,"Agreed value at or above auto-bind limit. ","")&amp;IF(AND(ISNUMBER($CD257),$CD257&gt;='Technical Premium'!$C$17),"Composite factor at cap. ","")&amp;IF(AND(ISNUMBER($CD257),$CD257&gt;2.5),"Composite factor above 2.50. ","")&amp;IF(LEFT(IFERROR(INDEX('Driver Factors'!$D$6:$D$15,MATCH($R257,'Driver Factors'!$B$6:$B$15,0)),""),7)="DECLINE","DECLINE - driver age. ",IF(LEFT(IFERROR(INDEX('Driver Factors'!$D$6:$D$15,MATCH($R257,'Driver Factors'!$B$6:$B$15,0)),""),5)="Refer","Driver age band. ",""))&amp;IF(LEFT(IFERROR(INDEX('Driver Factors'!$D$28:$D$36,MATCH($T257,'Driver Factors'!$B$28:$B$36,0)),""),7)="DECLINE","DECLINE - MVR. ",IF(LEFT(IFERROR(INDEX('Driver Factors'!$D$28:$D$36,MATCH($T257,'Driver Factors'!$B$28:$B$36,0)),""),5)="Refer","MVR record. ",""))&amp;IF(LEFT(IFERROR(INDEX('Claims History'!$D$6:$D$15,MATCH($U257,'Claims History'!$B$6:$B$15,0)),""),7)="DECLINE","DECLINE - claims. ",IF(LEFT(IFERROR(INDEX('Claims History'!$D$6:$D$15,MATCH($U257,'Claims History'!$B$6:$B$15,0)),""),5)="Refer","Claims history. ",""))&amp;IF(LEFT(IFERROR(INDEX('Usage and Coverage'!$E$6:$E$20,MATCH($N257,'Usage and Coverage'!$C$6:$C$20,0)),""),7)="DECLINE","DECLINE - usage class. ",IF(LEFT(IFERROR(INDEX('Usage and Coverage'!$E$6:$E$20,MATCH($N257,'Usage and Coverage'!$C$6:$C$20,0)),""),5)="Refer","Usage class. ",""))&amp;IF($CX257="CHECK INPUTS","Incomplete inputs. ",""))))</f>
        <v/>
      </c>
      <c r="DB257" s="92"/>
      <c r="DC257" s="92"/>
      <c r="DD257" s="93"/>
      <c r="DE257" s="92"/>
      <c r="DF257" s="92"/>
      <c r="DG257" s="97" t="str">
        <f t="shared" si="51"/>
        <v/>
      </c>
      <c r="DH257" s="97" t="str">
        <f>IF($A257="","",IF(OR($CX257="REFER",$CX257="DECLINE"),COUNTIF($CX$5:$CX257,"REFER")+COUNTIF($CX$5:$CX257,"DECLINE"),""))</f>
        <v/>
      </c>
      <c r="DI257" s="92"/>
    </row>
    <row r="258" spans="1:113" x14ac:dyDescent="0.25">
      <c r="A258" s="92"/>
      <c r="B258" s="92"/>
      <c r="C258" s="93"/>
      <c r="D258" s="93"/>
      <c r="E258" s="94"/>
      <c r="F258" s="92"/>
      <c r="G258" s="92"/>
      <c r="H258" s="92"/>
      <c r="I258" s="92"/>
      <c r="J258" s="95"/>
      <c r="K258" s="92"/>
      <c r="L258" s="92"/>
      <c r="M258" s="92"/>
      <c r="N258" s="92"/>
      <c r="O258" s="92"/>
      <c r="P258" s="92"/>
      <c r="Q258" s="92"/>
      <c r="R258" s="92"/>
      <c r="S258" s="92"/>
      <c r="T258" s="92"/>
      <c r="U258" s="92"/>
      <c r="V258" s="92"/>
      <c r="W258" s="92"/>
      <c r="X258" s="92"/>
      <c r="Y258" s="92"/>
      <c r="Z258" s="92"/>
      <c r="AA258" s="92"/>
      <c r="AB258" s="92"/>
      <c r="AC258" s="92"/>
      <c r="AD258" s="92"/>
      <c r="AE258" s="92"/>
      <c r="AF258" s="92"/>
      <c r="AG258" s="92"/>
      <c r="AH258" s="92"/>
      <c r="AI258" s="92"/>
      <c r="AJ258" s="92"/>
      <c r="AK258" s="92"/>
      <c r="AL258" s="92"/>
      <c r="AM258" s="92"/>
      <c r="AN258" s="92"/>
      <c r="AO258" s="92"/>
      <c r="AP258" s="92"/>
      <c r="AQ258" s="96"/>
      <c r="AR258" s="97" t="str">
        <f t="shared" si="39"/>
        <v/>
      </c>
      <c r="AS258" s="97" t="str">
        <f>IF($A258="","",IF($AP258&lt;&gt;"",$AP258,IFERROR(INDEX('Cat Zone by ZIP'!$D$6:$D$856,MATCH($AR258,'Cat Zone by ZIP'!$B$6:$B$856,0)),IFERROR(INDEX('Cat Zone by ZIP'!$C$860:$C$910,MATCH($K258,'Cat Zone by ZIP'!$B$860:$B$910,0)),"NOT FOUND"))))</f>
        <v/>
      </c>
      <c r="AT258" s="97" t="str">
        <f>IF($A258="","",IF($AP258&lt;&gt;"","Override",IF(ISNUMBER(MATCH($AR258,'Cat Zone by ZIP'!$B$6:$B$856,0)),"ZIP-3","State default")))</f>
        <v/>
      </c>
      <c r="AU258" s="98" t="str">
        <f>IF($A258="","",IFERROR(INDEX('Natural Catastrophe'!$D$6:$D$17,MATCH($AS258,'Natural Catastrophe'!$B$6:$B$17,0)),"?"))</f>
        <v/>
      </c>
      <c r="AV258" s="98" t="str">
        <f>IF($A258="","",IFERROR(INDEX('Natural Catastrophe'!$C$21:$C$26,MATCH($AA258,'Natural Catastrophe'!$B$21:$B$26,0)),"?"))</f>
        <v/>
      </c>
      <c r="AW258" s="97" t="str">
        <f>IF($A258="","",IFERROR(INDEX('Base Rates'!$C$4:$I$4,MATCH(MAX($J258,'Technical Premium'!$C$18),'Base Rates'!$C$3:$I$3,1)),"?"))</f>
        <v/>
      </c>
      <c r="AX258" s="99" t="str">
        <f>IF($A258="","",IFERROR(INDEX('Base Rates'!$C$5:$I$16,MATCH($I258,'Base Rates'!$B$5:$B$16,0),MATCH(MAX($J258,'Technical Premium'!$C$18),'Base Rates'!$C$3:$I$3,1)),"?"))</f>
        <v/>
      </c>
      <c r="AY258" s="100" t="str">
        <f t="shared" si="40"/>
        <v/>
      </c>
      <c r="AZ258" s="97" t="str">
        <f>IF($A258="","",IFERROR(INDEX('Make Factors'!$G$5:$G$69,MATCH($F258,'Make Factors'!$B$5:$B$69,0)),"?"))</f>
        <v/>
      </c>
      <c r="BA258" s="97" t="str">
        <f>IF($A258="","",IFERROR(INDEX('Driver Factors'!$C$6:$C$15,MATCH($R258,'Driver Factors'!$B$6:$B$15,0)),"?"))</f>
        <v/>
      </c>
      <c r="BB258" s="97" t="str">
        <f>IF($A258="","",IFERROR(INDEX('Driver Factors'!$C$19:$C$24,MATCH($S258,'Driver Factors'!$B$19:$B$24,0)),"?"))</f>
        <v/>
      </c>
      <c r="BC258" s="97" t="str">
        <f>IF($A258="","",IFERROR(INDEX('Driver Factors'!$C$28:$C$36,MATCH($T258,'Driver Factors'!$B$28:$B$36,0)),"?"))</f>
        <v/>
      </c>
      <c r="BD258" s="97" t="str">
        <f>IF($A258="","",IFERROR(INDEX('Claims History'!$C$6:$C$15,MATCH($U258,'Claims History'!$B$6:$B$15,0)),"?"))</f>
        <v/>
      </c>
      <c r="BE258" s="97" t="str">
        <f>IF($A258="","",IFERROR(INDEX('Territory Factors'!$E$6:$E$56,MATCH($K258,'Territory Factors'!$B$6:$B$56,0)),"?"))</f>
        <v/>
      </c>
      <c r="BF258" s="97" t="str">
        <f>IF($A258="","",IFERROR(INDEX('City Accident Ratings'!$G$6:$G$54,MATCH($Z258,'City Accident Ratings'!$B$6:$B$54,0)),"?"))</f>
        <v/>
      </c>
      <c r="BG258" s="97" t="str">
        <f>IF($A258="","",IFERROR(INDEX('Usage and Coverage'!$D$6:$D$20,MATCH($N258,'Usage and Coverage'!$C$6:$C$20,0)),"?"))</f>
        <v/>
      </c>
      <c r="BH258" s="97" t="str">
        <f>IF($A258="","",IFERROR(INDEX('Usage and Coverage'!$C$24:$C$30,MATCH($O258,'Usage and Coverage'!$B$24:$B$30,0)),"?"))</f>
        <v/>
      </c>
      <c r="BI258" s="97" t="str">
        <f>IF($A258="","",IFERROR(INDEX('Usage and Coverage'!$C$34:$C$40,MATCH($P258,'Usage and Coverage'!$B$34:$B$40,0)),"?"))</f>
        <v/>
      </c>
      <c r="BJ258" s="97" t="str">
        <f>IF($A258="","",IFERROR(INDEX('Usage and Coverage'!$C$44:$C$49,MATCH($Q258,'Usage and Coverage'!$B$44:$B$49,0)),"?"))</f>
        <v/>
      </c>
      <c r="BK258" s="97" t="str">
        <f>IF($A258="","",IFERROR(INDEX(Deductibles!$C$6:$I$15,MATCH($W258,Deductibles!$B$6:$B$15,0),MATCH(MAX($J258,'Technical Premium'!$C$18),'Base Rates'!$C$3:$I$3,1)),"?"))</f>
        <v/>
      </c>
      <c r="BL258" s="97" t="str">
        <f>IF($A258="","",IFERROR(INDEX('Usage and Coverage'!$C$63:$C$66,MATCH($X258,'Usage and Coverage'!$B$63:$B$66,0)),"?"))</f>
        <v/>
      </c>
      <c r="BM258" s="97" t="str">
        <f>IF($A258="","",IFERROR(INDEX('Usage and Coverage'!$C$70:$C$75,MATCH($V258,'Usage and Coverage'!$B$70:$B$75,0)),"?"))</f>
        <v/>
      </c>
      <c r="BN258" s="97" t="str">
        <f>IF($A258="","",IF($AB258="",1,IFERROR(INDEX(Deductibles!$C$48:$C$51,MATCH($AB258,Deductibles!$B$48:$B$51,0)),"?")))</f>
        <v/>
      </c>
      <c r="BO258" s="97" t="str">
        <f>IF($A258="","",IF($AC258="",1,IFERROR(INDEX(Deductibles!$C$55:$C$57,MATCH($AC258,Deductibles!$B$55:$B$57,0)),"?")))</f>
        <v/>
      </c>
      <c r="BP258" s="97" t="str">
        <f>IF($A258="","",IF($AD258="",1,IFERROR(INDEX(Deductibles!$C$61:$C$63,MATCH($AD258,Deductibles!$B$61:$B$63,0)),"?")))</f>
        <v/>
      </c>
      <c r="BQ258" s="97" t="str">
        <f>IF($A258="","",IF($AE258="",1,IFERROR(INDEX(Deductibles!$C$67:$C$69,MATCH($AE258,Deductibles!$B$67:$B$69,0)),"?")))</f>
        <v/>
      </c>
      <c r="BR258" s="97" t="str">
        <f>IF($A258="","",IF($AF258="",1,IFERROR(INDEX(Deductibles!$C$73:$C$74,MATCH($AF258,Deductibles!$B$73:$B$74,0)),"?")))</f>
        <v/>
      </c>
      <c r="BS258" s="97" t="str">
        <f>IF($A258="","",IF($AG258="",1,IFERROR(INDEX('Sublimits and Parts'!$C$49:$C$52,MATCH($AG258,'Sublimits and Parts'!$B$49:$B$52,0)),"?")))</f>
        <v/>
      </c>
      <c r="BT258" s="97" t="str">
        <f>IF($A258="","",IF($AH258="",1,IFERROR(INDEX('Sublimits and Parts'!$C$56:$C$60,MATCH($AH258,'Sublimits and Parts'!$B$56:$B$60,0)),"?")))</f>
        <v/>
      </c>
      <c r="BU258" s="97" t="str">
        <f>IF($A258="","",IF($AI258="",1,IFERROR(INDEX('Sublimits and Parts'!$C$64:$C$67,MATCH($AI258,'Sublimits and Parts'!$B$64:$B$67,0)),"?")))</f>
        <v/>
      </c>
      <c r="BV258" s="97" t="str">
        <f>IF($A258="","",IF($AJ258="",1,IFERROR(INDEX('Sublimits and Parts'!$C$71:$C$74,MATCH($AJ258,'Sublimits and Parts'!$B$71:$B$74,0)),"?")))</f>
        <v/>
      </c>
      <c r="BW258" s="97" t="str">
        <f>IF($A258="","",IF($AK258="",1,IFERROR(INDEX('Sublimits and Parts'!$C$78:$C$80,MATCH($AK258,'Sublimits and Parts'!$B$78:$B$80,0)),"?")))</f>
        <v/>
      </c>
      <c r="BX258" s="97" t="str">
        <f>IF($A258="","",IF($AL258="",1,IFERROR(INDEX('Sublimits and Parts'!$C$84:$C$87,MATCH($AL258,'Sublimits and Parts'!$B$84:$B$87,0)),"?")))</f>
        <v/>
      </c>
      <c r="BY258" s="97" t="str">
        <f>IF($A258="","",IF($AM258="",1,IFERROR(INDEX('Sublimits and Parts'!$C$91:$C$94,MATCH($AM258,'Sublimits and Parts'!$B$91:$B$94,0)),"?")))</f>
        <v/>
      </c>
      <c r="BZ258" s="97" t="str">
        <f>IF($A258="","",IF($AN258="",1,IFERROR(INDEX('Sublimits and Parts'!$C$98:$C$101,MATCH($AN258,'Sublimits and Parts'!$B$98:$B$101,0)),"?")))</f>
        <v/>
      </c>
      <c r="CA258" s="97" t="str">
        <f>IF($A258="","",IF($AO258="",1,IFERROR(INDEX('Sublimits and Parts'!$C$105:$C$109,MATCH($AO258,'Sublimits and Parts'!$B$105:$B$109,0)),"?")))</f>
        <v/>
      </c>
      <c r="CB258" s="98" t="str">
        <f t="shared" si="41"/>
        <v/>
      </c>
      <c r="CC258" s="98" t="str">
        <f t="shared" si="42"/>
        <v/>
      </c>
      <c r="CD258" s="101" t="str">
        <f>IF($A258="","",IF(OR($CB258="?",$CC258="?"),"?",MIN($CB258*$CC258,'Technical Premium'!$C$17)))</f>
        <v/>
      </c>
      <c r="CE258" s="100" t="str">
        <f t="shared" si="43"/>
        <v/>
      </c>
      <c r="CF258" s="100" t="str">
        <f>IF($A258="","",IFERROR(INDEX('Territory Factors'!$F$6:$F$56,MATCH($K258,'Territory Factors'!$B$6:$B$56,0)),"?"))</f>
        <v/>
      </c>
      <c r="CG258" s="98" t="str">
        <f>IF($A258="","",IFERROR(INDEX('Usage and Coverage'!$C$79:$C$84,MATCH($Y258,'Usage and Coverage'!$B$79:$B$84,0)),"?"))</f>
        <v/>
      </c>
      <c r="CH258" s="100" t="str">
        <f>IFERROR(IF(ISNUMBER($CD258),$CF258*$CG258*MIN($BG258*$BA258*$BC258*$BD258*$BH258*$BF258,'Technical Premium'!$C$17),""),"")</f>
        <v/>
      </c>
      <c r="CI258" s="100" t="str">
        <f t="shared" si="44"/>
        <v/>
      </c>
      <c r="CJ258" s="100" t="str">
        <f>IFERROR($CI258*(1+'Technical Premium'!$C$5)*(1+'Technical Premium'!$C$6),"")</f>
        <v/>
      </c>
      <c r="CK258" s="100" t="str">
        <f>IFERROR($CE258*INDEX('Territory Factors'!$G$6:$G$56,MATCH($K258,'Territory Factors'!$B$6:$B$56,0))*$AU258*$AV258,"")</f>
        <v/>
      </c>
      <c r="CL258" s="100" t="str">
        <f>IFERROR(($CJ258+$CK258)*(1+'Technical Premium'!$C$7),"")</f>
        <v/>
      </c>
      <c r="CM258" s="102" t="str">
        <f>IFERROR($CL258/'Technical Premium'!$C$13,"")</f>
        <v/>
      </c>
      <c r="CN258" s="103" t="str">
        <f t="shared" si="45"/>
        <v/>
      </c>
      <c r="CO258" s="102" t="str">
        <f t="shared" si="46"/>
        <v/>
      </c>
      <c r="CP258" s="103" t="str">
        <f t="shared" si="47"/>
        <v/>
      </c>
      <c r="CQ258" s="104" t="str">
        <f t="shared" si="48"/>
        <v/>
      </c>
      <c r="CR258" s="100" t="str">
        <f>IF(ISNUMBER($CM258),'Technical Premium'!$C$14+IF($J258&gt;=1000000,'Technical Premium'!$C$15,0),"")</f>
        <v/>
      </c>
      <c r="CS258" s="100" t="str">
        <f>IFERROR(($CO258+$CR258)*(INDEX('Territory Factors'!$K$6:$K$56,MATCH($K258,'Territory Factors'!$B$6:$B$56,0))+'Commission Structure'!$C$21),"")</f>
        <v/>
      </c>
      <c r="CT258" s="102" t="str">
        <f t="shared" si="49"/>
        <v/>
      </c>
      <c r="CU258" s="100" t="str">
        <f>IFERROR($CO258*('Commission Structure'!$C$6+'Commission Structure'!$C$7),"")</f>
        <v/>
      </c>
      <c r="CV258" s="100" t="str">
        <f>IFERROR($CO258*'Commission Structure'!$C$5-$CU258,"")</f>
        <v/>
      </c>
      <c r="CW258" s="100" t="str">
        <f>IFERROR($CO258*(1-'Commission Structure'!$C$5),"")</f>
        <v/>
      </c>
      <c r="CX258" s="105" t="str">
        <f>IF($A258="","",IF(OR($CB258="?",$CC258="?",NOT(ISNUMBER($AU258))),"CHECK INPUTS",IF(OR($J258&lt;'Technical Premium'!$C$18,LEFT(IFERROR(INDEX('Driver Factors'!$D$6:$D$15,MATCH($R258,'Driver Factors'!$B$6:$B$15,0)),""),7)="DECLINE",LEFT(IFERROR(INDEX('Driver Factors'!$D$28:$D$36,MATCH($T258,'Driver Factors'!$B$28:$B$36,0)),""),7)="DECLINE",LEFT(IFERROR(INDEX('Claims History'!$D$6:$D$15,MATCH($U258,'Claims History'!$B$6:$B$15,0)),""),7)="DECLINE",LEFT(IFERROR(INDEX('Usage and Coverage'!$E$6:$E$20,MATCH($N258,'Usage and Coverage'!$C$6:$C$20,0)),""),7)="DECLINE"),"DECLINE",IF(OR($CD258&gt;2.5,$CD258&gt;='Technical Premium'!$C$17,$J258&gt;='Technical Premium'!$C$16,N($AQ258)&lt;'Technical Premium'!$C$19,N($AQ258)&gt;'Technical Premium'!$C$20,LEFT(IFERROR(INDEX('Driver Factors'!$D$6:$D$15,MATCH($R258,'Driver Factors'!$B$6:$B$15,0)),""),5)="Refer",LEFT(IFERROR(INDEX('Driver Factors'!$D$28:$D$36,MATCH($T258,'Driver Factors'!$B$28:$B$36,0)),""),5)="Refer",LEFT(IFERROR(INDEX('Claims History'!$D$6:$D$15,MATCH($U258,'Claims History'!$B$6:$B$15,0)),""),5)="Refer",LEFT(IFERROR(INDEX('Usage and Coverage'!$E$6:$E$20,MATCH($N258,'Usage and Coverage'!$C$6:$C$20,0)),""),5)="Refer"),"REFER","AUTO-BIND"))))</f>
        <v/>
      </c>
      <c r="CY258" s="106" t="str">
        <f t="shared" si="50"/>
        <v/>
      </c>
      <c r="CZ258" s="97" t="str">
        <f>IF($CY258="","",IF($CY258&lt;'Technical Premium'!$C$19,"BEYOND AUTHORITY",IF($CY258&gt;0.005,"Above technical",IF($CY258&lt;-0.005,"BELOW technical","At technical"))))</f>
        <v/>
      </c>
      <c r="DA258" s="97" t="str">
        <f>IF($A258="","",IF($CX258="AUTO-BIND","",TRIM(IF($J258&lt;'Technical Premium'!$C$18,"Below programme minimum agreed value. ","")&amp;IF(N($AQ258)&lt;'Technical Premium'!$C$19,"DISCOUNT AUTHORITY BREACH. ","")&amp;IF(N($AQ258)&gt;'Technical Premium'!$C$20,"Load authority breach. ","")&amp;IF($J258&gt;='Technical Premium'!$C$16,"Agreed value at or above auto-bind limit. ","")&amp;IF(AND(ISNUMBER($CD258),$CD258&gt;='Technical Premium'!$C$17),"Composite factor at cap. ","")&amp;IF(AND(ISNUMBER($CD258),$CD258&gt;2.5),"Composite factor above 2.50. ","")&amp;IF(LEFT(IFERROR(INDEX('Driver Factors'!$D$6:$D$15,MATCH($R258,'Driver Factors'!$B$6:$B$15,0)),""),7)="DECLINE","DECLINE - driver age. ",IF(LEFT(IFERROR(INDEX('Driver Factors'!$D$6:$D$15,MATCH($R258,'Driver Factors'!$B$6:$B$15,0)),""),5)="Refer","Driver age band. ",""))&amp;IF(LEFT(IFERROR(INDEX('Driver Factors'!$D$28:$D$36,MATCH($T258,'Driver Factors'!$B$28:$B$36,0)),""),7)="DECLINE","DECLINE - MVR. ",IF(LEFT(IFERROR(INDEX('Driver Factors'!$D$28:$D$36,MATCH($T258,'Driver Factors'!$B$28:$B$36,0)),""),5)="Refer","MVR record. ",""))&amp;IF(LEFT(IFERROR(INDEX('Claims History'!$D$6:$D$15,MATCH($U258,'Claims History'!$B$6:$B$15,0)),""),7)="DECLINE","DECLINE - claims. ",IF(LEFT(IFERROR(INDEX('Claims History'!$D$6:$D$15,MATCH($U258,'Claims History'!$B$6:$B$15,0)),""),5)="Refer","Claims history. ",""))&amp;IF(LEFT(IFERROR(INDEX('Usage and Coverage'!$E$6:$E$20,MATCH($N258,'Usage and Coverage'!$C$6:$C$20,0)),""),7)="DECLINE","DECLINE - usage class. ",IF(LEFT(IFERROR(INDEX('Usage and Coverage'!$E$6:$E$20,MATCH($N258,'Usage and Coverage'!$C$6:$C$20,0)),""),5)="Refer","Usage class. ",""))&amp;IF($CX258="CHECK INPUTS","Incomplete inputs. ",""))))</f>
        <v/>
      </c>
      <c r="DB258" s="92"/>
      <c r="DC258" s="92"/>
      <c r="DD258" s="93"/>
      <c r="DE258" s="92"/>
      <c r="DF258" s="92"/>
      <c r="DG258" s="97" t="str">
        <f t="shared" si="51"/>
        <v/>
      </c>
      <c r="DH258" s="97" t="str">
        <f>IF($A258="","",IF(OR($CX258="REFER",$CX258="DECLINE"),COUNTIF($CX$5:$CX258,"REFER")+COUNTIF($CX$5:$CX258,"DECLINE"),""))</f>
        <v/>
      </c>
      <c r="DI258" s="92"/>
    </row>
    <row r="259" spans="1:113" x14ac:dyDescent="0.25">
      <c r="A259" s="92"/>
      <c r="B259" s="92"/>
      <c r="C259" s="93"/>
      <c r="D259" s="93"/>
      <c r="E259" s="94"/>
      <c r="F259" s="92"/>
      <c r="G259" s="92"/>
      <c r="H259" s="92"/>
      <c r="I259" s="92"/>
      <c r="J259" s="95"/>
      <c r="K259" s="92"/>
      <c r="L259" s="92"/>
      <c r="M259" s="92"/>
      <c r="N259" s="92"/>
      <c r="O259" s="92"/>
      <c r="P259" s="92"/>
      <c r="Q259" s="92"/>
      <c r="R259" s="92"/>
      <c r="S259" s="92"/>
      <c r="T259" s="92"/>
      <c r="U259" s="92"/>
      <c r="V259" s="92"/>
      <c r="W259" s="92"/>
      <c r="X259" s="92"/>
      <c r="Y259" s="92"/>
      <c r="Z259" s="92"/>
      <c r="AA259" s="92"/>
      <c r="AB259" s="92"/>
      <c r="AC259" s="92"/>
      <c r="AD259" s="92"/>
      <c r="AE259" s="92"/>
      <c r="AF259" s="92"/>
      <c r="AG259" s="92"/>
      <c r="AH259" s="92"/>
      <c r="AI259" s="92"/>
      <c r="AJ259" s="92"/>
      <c r="AK259" s="92"/>
      <c r="AL259" s="92"/>
      <c r="AM259" s="92"/>
      <c r="AN259" s="92"/>
      <c r="AO259" s="92"/>
      <c r="AP259" s="92"/>
      <c r="AQ259" s="96"/>
      <c r="AR259" s="97" t="str">
        <f t="shared" si="39"/>
        <v/>
      </c>
      <c r="AS259" s="97" t="str">
        <f>IF($A259="","",IF($AP259&lt;&gt;"",$AP259,IFERROR(INDEX('Cat Zone by ZIP'!$D$6:$D$856,MATCH($AR259,'Cat Zone by ZIP'!$B$6:$B$856,0)),IFERROR(INDEX('Cat Zone by ZIP'!$C$860:$C$910,MATCH($K259,'Cat Zone by ZIP'!$B$860:$B$910,0)),"NOT FOUND"))))</f>
        <v/>
      </c>
      <c r="AT259" s="97" t="str">
        <f>IF($A259="","",IF($AP259&lt;&gt;"","Override",IF(ISNUMBER(MATCH($AR259,'Cat Zone by ZIP'!$B$6:$B$856,0)),"ZIP-3","State default")))</f>
        <v/>
      </c>
      <c r="AU259" s="98" t="str">
        <f>IF($A259="","",IFERROR(INDEX('Natural Catastrophe'!$D$6:$D$17,MATCH($AS259,'Natural Catastrophe'!$B$6:$B$17,0)),"?"))</f>
        <v/>
      </c>
      <c r="AV259" s="98" t="str">
        <f>IF($A259="","",IFERROR(INDEX('Natural Catastrophe'!$C$21:$C$26,MATCH($AA259,'Natural Catastrophe'!$B$21:$B$26,0)),"?"))</f>
        <v/>
      </c>
      <c r="AW259" s="97" t="str">
        <f>IF($A259="","",IFERROR(INDEX('Base Rates'!$C$4:$I$4,MATCH(MAX($J259,'Technical Premium'!$C$18),'Base Rates'!$C$3:$I$3,1)),"?"))</f>
        <v/>
      </c>
      <c r="AX259" s="99" t="str">
        <f>IF($A259="","",IFERROR(INDEX('Base Rates'!$C$5:$I$16,MATCH($I259,'Base Rates'!$B$5:$B$16,0),MATCH(MAX($J259,'Technical Premium'!$C$18),'Base Rates'!$C$3:$I$3,1)),"?"))</f>
        <v/>
      </c>
      <c r="AY259" s="100" t="str">
        <f t="shared" si="40"/>
        <v/>
      </c>
      <c r="AZ259" s="97" t="str">
        <f>IF($A259="","",IFERROR(INDEX('Make Factors'!$G$5:$G$69,MATCH($F259,'Make Factors'!$B$5:$B$69,0)),"?"))</f>
        <v/>
      </c>
      <c r="BA259" s="97" t="str">
        <f>IF($A259="","",IFERROR(INDEX('Driver Factors'!$C$6:$C$15,MATCH($R259,'Driver Factors'!$B$6:$B$15,0)),"?"))</f>
        <v/>
      </c>
      <c r="BB259" s="97" t="str">
        <f>IF($A259="","",IFERROR(INDEX('Driver Factors'!$C$19:$C$24,MATCH($S259,'Driver Factors'!$B$19:$B$24,0)),"?"))</f>
        <v/>
      </c>
      <c r="BC259" s="97" t="str">
        <f>IF($A259="","",IFERROR(INDEX('Driver Factors'!$C$28:$C$36,MATCH($T259,'Driver Factors'!$B$28:$B$36,0)),"?"))</f>
        <v/>
      </c>
      <c r="BD259" s="97" t="str">
        <f>IF($A259="","",IFERROR(INDEX('Claims History'!$C$6:$C$15,MATCH($U259,'Claims History'!$B$6:$B$15,0)),"?"))</f>
        <v/>
      </c>
      <c r="BE259" s="97" t="str">
        <f>IF($A259="","",IFERROR(INDEX('Territory Factors'!$E$6:$E$56,MATCH($K259,'Territory Factors'!$B$6:$B$56,0)),"?"))</f>
        <v/>
      </c>
      <c r="BF259" s="97" t="str">
        <f>IF($A259="","",IFERROR(INDEX('City Accident Ratings'!$G$6:$G$54,MATCH($Z259,'City Accident Ratings'!$B$6:$B$54,0)),"?"))</f>
        <v/>
      </c>
      <c r="BG259" s="97" t="str">
        <f>IF($A259="","",IFERROR(INDEX('Usage and Coverage'!$D$6:$D$20,MATCH($N259,'Usage and Coverage'!$C$6:$C$20,0)),"?"))</f>
        <v/>
      </c>
      <c r="BH259" s="97" t="str">
        <f>IF($A259="","",IFERROR(INDEX('Usage and Coverage'!$C$24:$C$30,MATCH($O259,'Usage and Coverage'!$B$24:$B$30,0)),"?"))</f>
        <v/>
      </c>
      <c r="BI259" s="97" t="str">
        <f>IF($A259="","",IFERROR(INDEX('Usage and Coverage'!$C$34:$C$40,MATCH($P259,'Usage and Coverage'!$B$34:$B$40,0)),"?"))</f>
        <v/>
      </c>
      <c r="BJ259" s="97" t="str">
        <f>IF($A259="","",IFERROR(INDEX('Usage and Coverage'!$C$44:$C$49,MATCH($Q259,'Usage and Coverage'!$B$44:$B$49,0)),"?"))</f>
        <v/>
      </c>
      <c r="BK259" s="97" t="str">
        <f>IF($A259="","",IFERROR(INDEX(Deductibles!$C$6:$I$15,MATCH($W259,Deductibles!$B$6:$B$15,0),MATCH(MAX($J259,'Technical Premium'!$C$18),'Base Rates'!$C$3:$I$3,1)),"?"))</f>
        <v/>
      </c>
      <c r="BL259" s="97" t="str">
        <f>IF($A259="","",IFERROR(INDEX('Usage and Coverage'!$C$63:$C$66,MATCH($X259,'Usage and Coverage'!$B$63:$B$66,0)),"?"))</f>
        <v/>
      </c>
      <c r="BM259" s="97" t="str">
        <f>IF($A259="","",IFERROR(INDEX('Usage and Coverage'!$C$70:$C$75,MATCH($V259,'Usage and Coverage'!$B$70:$B$75,0)),"?"))</f>
        <v/>
      </c>
      <c r="BN259" s="97" t="str">
        <f>IF($A259="","",IF($AB259="",1,IFERROR(INDEX(Deductibles!$C$48:$C$51,MATCH($AB259,Deductibles!$B$48:$B$51,0)),"?")))</f>
        <v/>
      </c>
      <c r="BO259" s="97" t="str">
        <f>IF($A259="","",IF($AC259="",1,IFERROR(INDEX(Deductibles!$C$55:$C$57,MATCH($AC259,Deductibles!$B$55:$B$57,0)),"?")))</f>
        <v/>
      </c>
      <c r="BP259" s="97" t="str">
        <f>IF($A259="","",IF($AD259="",1,IFERROR(INDEX(Deductibles!$C$61:$C$63,MATCH($AD259,Deductibles!$B$61:$B$63,0)),"?")))</f>
        <v/>
      </c>
      <c r="BQ259" s="97" t="str">
        <f>IF($A259="","",IF($AE259="",1,IFERROR(INDEX(Deductibles!$C$67:$C$69,MATCH($AE259,Deductibles!$B$67:$B$69,0)),"?")))</f>
        <v/>
      </c>
      <c r="BR259" s="97" t="str">
        <f>IF($A259="","",IF($AF259="",1,IFERROR(INDEX(Deductibles!$C$73:$C$74,MATCH($AF259,Deductibles!$B$73:$B$74,0)),"?")))</f>
        <v/>
      </c>
      <c r="BS259" s="97" t="str">
        <f>IF($A259="","",IF($AG259="",1,IFERROR(INDEX('Sublimits and Parts'!$C$49:$C$52,MATCH($AG259,'Sublimits and Parts'!$B$49:$B$52,0)),"?")))</f>
        <v/>
      </c>
      <c r="BT259" s="97" t="str">
        <f>IF($A259="","",IF($AH259="",1,IFERROR(INDEX('Sublimits and Parts'!$C$56:$C$60,MATCH($AH259,'Sublimits and Parts'!$B$56:$B$60,0)),"?")))</f>
        <v/>
      </c>
      <c r="BU259" s="97" t="str">
        <f>IF($A259="","",IF($AI259="",1,IFERROR(INDEX('Sublimits and Parts'!$C$64:$C$67,MATCH($AI259,'Sublimits and Parts'!$B$64:$B$67,0)),"?")))</f>
        <v/>
      </c>
      <c r="BV259" s="97" t="str">
        <f>IF($A259="","",IF($AJ259="",1,IFERROR(INDEX('Sublimits and Parts'!$C$71:$C$74,MATCH($AJ259,'Sublimits and Parts'!$B$71:$B$74,0)),"?")))</f>
        <v/>
      </c>
      <c r="BW259" s="97" t="str">
        <f>IF($A259="","",IF($AK259="",1,IFERROR(INDEX('Sublimits and Parts'!$C$78:$C$80,MATCH($AK259,'Sublimits and Parts'!$B$78:$B$80,0)),"?")))</f>
        <v/>
      </c>
      <c r="BX259" s="97" t="str">
        <f>IF($A259="","",IF($AL259="",1,IFERROR(INDEX('Sublimits and Parts'!$C$84:$C$87,MATCH($AL259,'Sublimits and Parts'!$B$84:$B$87,0)),"?")))</f>
        <v/>
      </c>
      <c r="BY259" s="97" t="str">
        <f>IF($A259="","",IF($AM259="",1,IFERROR(INDEX('Sublimits and Parts'!$C$91:$C$94,MATCH($AM259,'Sublimits and Parts'!$B$91:$B$94,0)),"?")))</f>
        <v/>
      </c>
      <c r="BZ259" s="97" t="str">
        <f>IF($A259="","",IF($AN259="",1,IFERROR(INDEX('Sublimits and Parts'!$C$98:$C$101,MATCH($AN259,'Sublimits and Parts'!$B$98:$B$101,0)),"?")))</f>
        <v/>
      </c>
      <c r="CA259" s="97" t="str">
        <f>IF($A259="","",IF($AO259="",1,IFERROR(INDEX('Sublimits and Parts'!$C$105:$C$109,MATCH($AO259,'Sublimits and Parts'!$B$105:$B$109,0)),"?")))</f>
        <v/>
      </c>
      <c r="CB259" s="98" t="str">
        <f t="shared" si="41"/>
        <v/>
      </c>
      <c r="CC259" s="98" t="str">
        <f t="shared" si="42"/>
        <v/>
      </c>
      <c r="CD259" s="101" t="str">
        <f>IF($A259="","",IF(OR($CB259="?",$CC259="?"),"?",MIN($CB259*$CC259,'Technical Premium'!$C$17)))</f>
        <v/>
      </c>
      <c r="CE259" s="100" t="str">
        <f t="shared" si="43"/>
        <v/>
      </c>
      <c r="CF259" s="100" t="str">
        <f>IF($A259="","",IFERROR(INDEX('Territory Factors'!$F$6:$F$56,MATCH($K259,'Territory Factors'!$B$6:$B$56,0)),"?"))</f>
        <v/>
      </c>
      <c r="CG259" s="98" t="str">
        <f>IF($A259="","",IFERROR(INDEX('Usage and Coverage'!$C$79:$C$84,MATCH($Y259,'Usage and Coverage'!$B$79:$B$84,0)),"?"))</f>
        <v/>
      </c>
      <c r="CH259" s="100" t="str">
        <f>IFERROR(IF(ISNUMBER($CD259),$CF259*$CG259*MIN($BG259*$BA259*$BC259*$BD259*$BH259*$BF259,'Technical Premium'!$C$17),""),"")</f>
        <v/>
      </c>
      <c r="CI259" s="100" t="str">
        <f t="shared" si="44"/>
        <v/>
      </c>
      <c r="CJ259" s="100" t="str">
        <f>IFERROR($CI259*(1+'Technical Premium'!$C$5)*(1+'Technical Premium'!$C$6),"")</f>
        <v/>
      </c>
      <c r="CK259" s="100" t="str">
        <f>IFERROR($CE259*INDEX('Territory Factors'!$G$6:$G$56,MATCH($K259,'Territory Factors'!$B$6:$B$56,0))*$AU259*$AV259,"")</f>
        <v/>
      </c>
      <c r="CL259" s="100" t="str">
        <f>IFERROR(($CJ259+$CK259)*(1+'Technical Premium'!$C$7),"")</f>
        <v/>
      </c>
      <c r="CM259" s="102" t="str">
        <f>IFERROR($CL259/'Technical Premium'!$C$13,"")</f>
        <v/>
      </c>
      <c r="CN259" s="103" t="str">
        <f t="shared" si="45"/>
        <v/>
      </c>
      <c r="CO259" s="102" t="str">
        <f t="shared" si="46"/>
        <v/>
      </c>
      <c r="CP259" s="103" t="str">
        <f t="shared" si="47"/>
        <v/>
      </c>
      <c r="CQ259" s="104" t="str">
        <f t="shared" si="48"/>
        <v/>
      </c>
      <c r="CR259" s="100" t="str">
        <f>IF(ISNUMBER($CM259),'Technical Premium'!$C$14+IF($J259&gt;=1000000,'Technical Premium'!$C$15,0),"")</f>
        <v/>
      </c>
      <c r="CS259" s="100" t="str">
        <f>IFERROR(($CO259+$CR259)*(INDEX('Territory Factors'!$K$6:$K$56,MATCH($K259,'Territory Factors'!$B$6:$B$56,0))+'Commission Structure'!$C$21),"")</f>
        <v/>
      </c>
      <c r="CT259" s="102" t="str">
        <f t="shared" si="49"/>
        <v/>
      </c>
      <c r="CU259" s="100" t="str">
        <f>IFERROR($CO259*('Commission Structure'!$C$6+'Commission Structure'!$C$7),"")</f>
        <v/>
      </c>
      <c r="CV259" s="100" t="str">
        <f>IFERROR($CO259*'Commission Structure'!$C$5-$CU259,"")</f>
        <v/>
      </c>
      <c r="CW259" s="100" t="str">
        <f>IFERROR($CO259*(1-'Commission Structure'!$C$5),"")</f>
        <v/>
      </c>
      <c r="CX259" s="105" t="str">
        <f>IF($A259="","",IF(OR($CB259="?",$CC259="?",NOT(ISNUMBER($AU259))),"CHECK INPUTS",IF(OR($J259&lt;'Technical Premium'!$C$18,LEFT(IFERROR(INDEX('Driver Factors'!$D$6:$D$15,MATCH($R259,'Driver Factors'!$B$6:$B$15,0)),""),7)="DECLINE",LEFT(IFERROR(INDEX('Driver Factors'!$D$28:$D$36,MATCH($T259,'Driver Factors'!$B$28:$B$36,0)),""),7)="DECLINE",LEFT(IFERROR(INDEX('Claims History'!$D$6:$D$15,MATCH($U259,'Claims History'!$B$6:$B$15,0)),""),7)="DECLINE",LEFT(IFERROR(INDEX('Usage and Coverage'!$E$6:$E$20,MATCH($N259,'Usage and Coverage'!$C$6:$C$20,0)),""),7)="DECLINE"),"DECLINE",IF(OR($CD259&gt;2.5,$CD259&gt;='Technical Premium'!$C$17,$J259&gt;='Technical Premium'!$C$16,N($AQ259)&lt;'Technical Premium'!$C$19,N($AQ259)&gt;'Technical Premium'!$C$20,LEFT(IFERROR(INDEX('Driver Factors'!$D$6:$D$15,MATCH($R259,'Driver Factors'!$B$6:$B$15,0)),""),5)="Refer",LEFT(IFERROR(INDEX('Driver Factors'!$D$28:$D$36,MATCH($T259,'Driver Factors'!$B$28:$B$36,0)),""),5)="Refer",LEFT(IFERROR(INDEX('Claims History'!$D$6:$D$15,MATCH($U259,'Claims History'!$B$6:$B$15,0)),""),5)="Refer",LEFT(IFERROR(INDEX('Usage and Coverage'!$E$6:$E$20,MATCH($N259,'Usage and Coverage'!$C$6:$C$20,0)),""),5)="Refer"),"REFER","AUTO-BIND"))))</f>
        <v/>
      </c>
      <c r="CY259" s="106" t="str">
        <f t="shared" si="50"/>
        <v/>
      </c>
      <c r="CZ259" s="97" t="str">
        <f>IF($CY259="","",IF($CY259&lt;'Technical Premium'!$C$19,"BEYOND AUTHORITY",IF($CY259&gt;0.005,"Above technical",IF($CY259&lt;-0.005,"BELOW technical","At technical"))))</f>
        <v/>
      </c>
      <c r="DA259" s="97" t="str">
        <f>IF($A259="","",IF($CX259="AUTO-BIND","",TRIM(IF($J259&lt;'Technical Premium'!$C$18,"Below programme minimum agreed value. ","")&amp;IF(N($AQ259)&lt;'Technical Premium'!$C$19,"DISCOUNT AUTHORITY BREACH. ","")&amp;IF(N($AQ259)&gt;'Technical Premium'!$C$20,"Load authority breach. ","")&amp;IF($J259&gt;='Technical Premium'!$C$16,"Agreed value at or above auto-bind limit. ","")&amp;IF(AND(ISNUMBER($CD259),$CD259&gt;='Technical Premium'!$C$17),"Composite factor at cap. ","")&amp;IF(AND(ISNUMBER($CD259),$CD259&gt;2.5),"Composite factor above 2.50. ","")&amp;IF(LEFT(IFERROR(INDEX('Driver Factors'!$D$6:$D$15,MATCH($R259,'Driver Factors'!$B$6:$B$15,0)),""),7)="DECLINE","DECLINE - driver age. ",IF(LEFT(IFERROR(INDEX('Driver Factors'!$D$6:$D$15,MATCH($R259,'Driver Factors'!$B$6:$B$15,0)),""),5)="Refer","Driver age band. ",""))&amp;IF(LEFT(IFERROR(INDEX('Driver Factors'!$D$28:$D$36,MATCH($T259,'Driver Factors'!$B$28:$B$36,0)),""),7)="DECLINE","DECLINE - MVR. ",IF(LEFT(IFERROR(INDEX('Driver Factors'!$D$28:$D$36,MATCH($T259,'Driver Factors'!$B$28:$B$36,0)),""),5)="Refer","MVR record. ",""))&amp;IF(LEFT(IFERROR(INDEX('Claims History'!$D$6:$D$15,MATCH($U259,'Claims History'!$B$6:$B$15,0)),""),7)="DECLINE","DECLINE - claims. ",IF(LEFT(IFERROR(INDEX('Claims History'!$D$6:$D$15,MATCH($U259,'Claims History'!$B$6:$B$15,0)),""),5)="Refer","Claims history. ",""))&amp;IF(LEFT(IFERROR(INDEX('Usage and Coverage'!$E$6:$E$20,MATCH($N259,'Usage and Coverage'!$C$6:$C$20,0)),""),7)="DECLINE","DECLINE - usage class. ",IF(LEFT(IFERROR(INDEX('Usage and Coverage'!$E$6:$E$20,MATCH($N259,'Usage and Coverage'!$C$6:$C$20,0)),""),5)="Refer","Usage class. ",""))&amp;IF($CX259="CHECK INPUTS","Incomplete inputs. ",""))))</f>
        <v/>
      </c>
      <c r="DB259" s="92"/>
      <c r="DC259" s="92"/>
      <c r="DD259" s="93"/>
      <c r="DE259" s="92"/>
      <c r="DF259" s="92"/>
      <c r="DG259" s="97" t="str">
        <f t="shared" si="51"/>
        <v/>
      </c>
      <c r="DH259" s="97" t="str">
        <f>IF($A259="","",IF(OR($CX259="REFER",$CX259="DECLINE"),COUNTIF($CX$5:$CX259,"REFER")+COUNTIF($CX$5:$CX259,"DECLINE"),""))</f>
        <v/>
      </c>
      <c r="DI259" s="92"/>
    </row>
    <row r="260" spans="1:113" x14ac:dyDescent="0.25">
      <c r="A260" s="92"/>
      <c r="B260" s="92"/>
      <c r="C260" s="93"/>
      <c r="D260" s="93"/>
      <c r="E260" s="94"/>
      <c r="F260" s="92"/>
      <c r="G260" s="92"/>
      <c r="H260" s="92"/>
      <c r="I260" s="92"/>
      <c r="J260" s="95"/>
      <c r="K260" s="92"/>
      <c r="L260" s="92"/>
      <c r="M260" s="92"/>
      <c r="N260" s="92"/>
      <c r="O260" s="92"/>
      <c r="P260" s="92"/>
      <c r="Q260" s="92"/>
      <c r="R260" s="92"/>
      <c r="S260" s="92"/>
      <c r="T260" s="92"/>
      <c r="U260" s="92"/>
      <c r="V260" s="92"/>
      <c r="W260" s="92"/>
      <c r="X260" s="92"/>
      <c r="Y260" s="92"/>
      <c r="Z260" s="92"/>
      <c r="AA260" s="92"/>
      <c r="AB260" s="92"/>
      <c r="AC260" s="92"/>
      <c r="AD260" s="92"/>
      <c r="AE260" s="92"/>
      <c r="AF260" s="92"/>
      <c r="AG260" s="92"/>
      <c r="AH260" s="92"/>
      <c r="AI260" s="92"/>
      <c r="AJ260" s="92"/>
      <c r="AK260" s="92"/>
      <c r="AL260" s="92"/>
      <c r="AM260" s="92"/>
      <c r="AN260" s="92"/>
      <c r="AO260" s="92"/>
      <c r="AP260" s="92"/>
      <c r="AQ260" s="96"/>
      <c r="AR260" s="97" t="str">
        <f t="shared" si="39"/>
        <v/>
      </c>
      <c r="AS260" s="97" t="str">
        <f>IF($A260="","",IF($AP260&lt;&gt;"",$AP260,IFERROR(INDEX('Cat Zone by ZIP'!$D$6:$D$856,MATCH($AR260,'Cat Zone by ZIP'!$B$6:$B$856,0)),IFERROR(INDEX('Cat Zone by ZIP'!$C$860:$C$910,MATCH($K260,'Cat Zone by ZIP'!$B$860:$B$910,0)),"NOT FOUND"))))</f>
        <v/>
      </c>
      <c r="AT260" s="97" t="str">
        <f>IF($A260="","",IF($AP260&lt;&gt;"","Override",IF(ISNUMBER(MATCH($AR260,'Cat Zone by ZIP'!$B$6:$B$856,0)),"ZIP-3","State default")))</f>
        <v/>
      </c>
      <c r="AU260" s="98" t="str">
        <f>IF($A260="","",IFERROR(INDEX('Natural Catastrophe'!$D$6:$D$17,MATCH($AS260,'Natural Catastrophe'!$B$6:$B$17,0)),"?"))</f>
        <v/>
      </c>
      <c r="AV260" s="98" t="str">
        <f>IF($A260="","",IFERROR(INDEX('Natural Catastrophe'!$C$21:$C$26,MATCH($AA260,'Natural Catastrophe'!$B$21:$B$26,0)),"?"))</f>
        <v/>
      </c>
      <c r="AW260" s="97" t="str">
        <f>IF($A260="","",IFERROR(INDEX('Base Rates'!$C$4:$I$4,MATCH(MAX($J260,'Technical Premium'!$C$18),'Base Rates'!$C$3:$I$3,1)),"?"))</f>
        <v/>
      </c>
      <c r="AX260" s="99" t="str">
        <f>IF($A260="","",IFERROR(INDEX('Base Rates'!$C$5:$I$16,MATCH($I260,'Base Rates'!$B$5:$B$16,0),MATCH(MAX($J260,'Technical Premium'!$C$18),'Base Rates'!$C$3:$I$3,1)),"?"))</f>
        <v/>
      </c>
      <c r="AY260" s="100" t="str">
        <f t="shared" si="40"/>
        <v/>
      </c>
      <c r="AZ260" s="97" t="str">
        <f>IF($A260="","",IFERROR(INDEX('Make Factors'!$G$5:$G$69,MATCH($F260,'Make Factors'!$B$5:$B$69,0)),"?"))</f>
        <v/>
      </c>
      <c r="BA260" s="97" t="str">
        <f>IF($A260="","",IFERROR(INDEX('Driver Factors'!$C$6:$C$15,MATCH($R260,'Driver Factors'!$B$6:$B$15,0)),"?"))</f>
        <v/>
      </c>
      <c r="BB260" s="97" t="str">
        <f>IF($A260="","",IFERROR(INDEX('Driver Factors'!$C$19:$C$24,MATCH($S260,'Driver Factors'!$B$19:$B$24,0)),"?"))</f>
        <v/>
      </c>
      <c r="BC260" s="97" t="str">
        <f>IF($A260="","",IFERROR(INDEX('Driver Factors'!$C$28:$C$36,MATCH($T260,'Driver Factors'!$B$28:$B$36,0)),"?"))</f>
        <v/>
      </c>
      <c r="BD260" s="97" t="str">
        <f>IF($A260="","",IFERROR(INDEX('Claims History'!$C$6:$C$15,MATCH($U260,'Claims History'!$B$6:$B$15,0)),"?"))</f>
        <v/>
      </c>
      <c r="BE260" s="97" t="str">
        <f>IF($A260="","",IFERROR(INDEX('Territory Factors'!$E$6:$E$56,MATCH($K260,'Territory Factors'!$B$6:$B$56,0)),"?"))</f>
        <v/>
      </c>
      <c r="BF260" s="97" t="str">
        <f>IF($A260="","",IFERROR(INDEX('City Accident Ratings'!$G$6:$G$54,MATCH($Z260,'City Accident Ratings'!$B$6:$B$54,0)),"?"))</f>
        <v/>
      </c>
      <c r="BG260" s="97" t="str">
        <f>IF($A260="","",IFERROR(INDEX('Usage and Coverage'!$D$6:$D$20,MATCH($N260,'Usage and Coverage'!$C$6:$C$20,0)),"?"))</f>
        <v/>
      </c>
      <c r="BH260" s="97" t="str">
        <f>IF($A260="","",IFERROR(INDEX('Usage and Coverage'!$C$24:$C$30,MATCH($O260,'Usage and Coverage'!$B$24:$B$30,0)),"?"))</f>
        <v/>
      </c>
      <c r="BI260" s="97" t="str">
        <f>IF($A260="","",IFERROR(INDEX('Usage and Coverage'!$C$34:$C$40,MATCH($P260,'Usage and Coverage'!$B$34:$B$40,0)),"?"))</f>
        <v/>
      </c>
      <c r="BJ260" s="97" t="str">
        <f>IF($A260="","",IFERROR(INDEX('Usage and Coverage'!$C$44:$C$49,MATCH($Q260,'Usage and Coverage'!$B$44:$B$49,0)),"?"))</f>
        <v/>
      </c>
      <c r="BK260" s="97" t="str">
        <f>IF($A260="","",IFERROR(INDEX(Deductibles!$C$6:$I$15,MATCH($W260,Deductibles!$B$6:$B$15,0),MATCH(MAX($J260,'Technical Premium'!$C$18),'Base Rates'!$C$3:$I$3,1)),"?"))</f>
        <v/>
      </c>
      <c r="BL260" s="97" t="str">
        <f>IF($A260="","",IFERROR(INDEX('Usage and Coverage'!$C$63:$C$66,MATCH($X260,'Usage and Coverage'!$B$63:$B$66,0)),"?"))</f>
        <v/>
      </c>
      <c r="BM260" s="97" t="str">
        <f>IF($A260="","",IFERROR(INDEX('Usage and Coverage'!$C$70:$C$75,MATCH($V260,'Usage and Coverage'!$B$70:$B$75,0)),"?"))</f>
        <v/>
      </c>
      <c r="BN260" s="97" t="str">
        <f>IF($A260="","",IF($AB260="",1,IFERROR(INDEX(Deductibles!$C$48:$C$51,MATCH($AB260,Deductibles!$B$48:$B$51,0)),"?")))</f>
        <v/>
      </c>
      <c r="BO260" s="97" t="str">
        <f>IF($A260="","",IF($AC260="",1,IFERROR(INDEX(Deductibles!$C$55:$C$57,MATCH($AC260,Deductibles!$B$55:$B$57,0)),"?")))</f>
        <v/>
      </c>
      <c r="BP260" s="97" t="str">
        <f>IF($A260="","",IF($AD260="",1,IFERROR(INDEX(Deductibles!$C$61:$C$63,MATCH($AD260,Deductibles!$B$61:$B$63,0)),"?")))</f>
        <v/>
      </c>
      <c r="BQ260" s="97" t="str">
        <f>IF($A260="","",IF($AE260="",1,IFERROR(INDEX(Deductibles!$C$67:$C$69,MATCH($AE260,Deductibles!$B$67:$B$69,0)),"?")))</f>
        <v/>
      </c>
      <c r="BR260" s="97" t="str">
        <f>IF($A260="","",IF($AF260="",1,IFERROR(INDEX(Deductibles!$C$73:$C$74,MATCH($AF260,Deductibles!$B$73:$B$74,0)),"?")))</f>
        <v/>
      </c>
      <c r="BS260" s="97" t="str">
        <f>IF($A260="","",IF($AG260="",1,IFERROR(INDEX('Sublimits and Parts'!$C$49:$C$52,MATCH($AG260,'Sublimits and Parts'!$B$49:$B$52,0)),"?")))</f>
        <v/>
      </c>
      <c r="BT260" s="97" t="str">
        <f>IF($A260="","",IF($AH260="",1,IFERROR(INDEX('Sublimits and Parts'!$C$56:$C$60,MATCH($AH260,'Sublimits and Parts'!$B$56:$B$60,0)),"?")))</f>
        <v/>
      </c>
      <c r="BU260" s="97" t="str">
        <f>IF($A260="","",IF($AI260="",1,IFERROR(INDEX('Sublimits and Parts'!$C$64:$C$67,MATCH($AI260,'Sublimits and Parts'!$B$64:$B$67,0)),"?")))</f>
        <v/>
      </c>
      <c r="BV260" s="97" t="str">
        <f>IF($A260="","",IF($AJ260="",1,IFERROR(INDEX('Sublimits and Parts'!$C$71:$C$74,MATCH($AJ260,'Sublimits and Parts'!$B$71:$B$74,0)),"?")))</f>
        <v/>
      </c>
      <c r="BW260" s="97" t="str">
        <f>IF($A260="","",IF($AK260="",1,IFERROR(INDEX('Sublimits and Parts'!$C$78:$C$80,MATCH($AK260,'Sublimits and Parts'!$B$78:$B$80,0)),"?")))</f>
        <v/>
      </c>
      <c r="BX260" s="97" t="str">
        <f>IF($A260="","",IF($AL260="",1,IFERROR(INDEX('Sublimits and Parts'!$C$84:$C$87,MATCH($AL260,'Sublimits and Parts'!$B$84:$B$87,0)),"?")))</f>
        <v/>
      </c>
      <c r="BY260" s="97" t="str">
        <f>IF($A260="","",IF($AM260="",1,IFERROR(INDEX('Sublimits and Parts'!$C$91:$C$94,MATCH($AM260,'Sublimits and Parts'!$B$91:$B$94,0)),"?")))</f>
        <v/>
      </c>
      <c r="BZ260" s="97" t="str">
        <f>IF($A260="","",IF($AN260="",1,IFERROR(INDEX('Sublimits and Parts'!$C$98:$C$101,MATCH($AN260,'Sublimits and Parts'!$B$98:$B$101,0)),"?")))</f>
        <v/>
      </c>
      <c r="CA260" s="97" t="str">
        <f>IF($A260="","",IF($AO260="",1,IFERROR(INDEX('Sublimits and Parts'!$C$105:$C$109,MATCH($AO260,'Sublimits and Parts'!$B$105:$B$109,0)),"?")))</f>
        <v/>
      </c>
      <c r="CB260" s="98" t="str">
        <f t="shared" si="41"/>
        <v/>
      </c>
      <c r="CC260" s="98" t="str">
        <f t="shared" si="42"/>
        <v/>
      </c>
      <c r="CD260" s="101" t="str">
        <f>IF($A260="","",IF(OR($CB260="?",$CC260="?"),"?",MIN($CB260*$CC260,'Technical Premium'!$C$17)))</f>
        <v/>
      </c>
      <c r="CE260" s="100" t="str">
        <f t="shared" si="43"/>
        <v/>
      </c>
      <c r="CF260" s="100" t="str">
        <f>IF($A260="","",IFERROR(INDEX('Territory Factors'!$F$6:$F$56,MATCH($K260,'Territory Factors'!$B$6:$B$56,0)),"?"))</f>
        <v/>
      </c>
      <c r="CG260" s="98" t="str">
        <f>IF($A260="","",IFERROR(INDEX('Usage and Coverage'!$C$79:$C$84,MATCH($Y260,'Usage and Coverage'!$B$79:$B$84,0)),"?"))</f>
        <v/>
      </c>
      <c r="CH260" s="100" t="str">
        <f>IFERROR(IF(ISNUMBER($CD260),$CF260*$CG260*MIN($BG260*$BA260*$BC260*$BD260*$BH260*$BF260,'Technical Premium'!$C$17),""),"")</f>
        <v/>
      </c>
      <c r="CI260" s="100" t="str">
        <f t="shared" si="44"/>
        <v/>
      </c>
      <c r="CJ260" s="100" t="str">
        <f>IFERROR($CI260*(1+'Technical Premium'!$C$5)*(1+'Technical Premium'!$C$6),"")</f>
        <v/>
      </c>
      <c r="CK260" s="100" t="str">
        <f>IFERROR($CE260*INDEX('Territory Factors'!$G$6:$G$56,MATCH($K260,'Territory Factors'!$B$6:$B$56,0))*$AU260*$AV260,"")</f>
        <v/>
      </c>
      <c r="CL260" s="100" t="str">
        <f>IFERROR(($CJ260+$CK260)*(1+'Technical Premium'!$C$7),"")</f>
        <v/>
      </c>
      <c r="CM260" s="102" t="str">
        <f>IFERROR($CL260/'Technical Premium'!$C$13,"")</f>
        <v/>
      </c>
      <c r="CN260" s="103" t="str">
        <f t="shared" si="45"/>
        <v/>
      </c>
      <c r="CO260" s="102" t="str">
        <f t="shared" si="46"/>
        <v/>
      </c>
      <c r="CP260" s="103" t="str">
        <f t="shared" si="47"/>
        <v/>
      </c>
      <c r="CQ260" s="104" t="str">
        <f t="shared" si="48"/>
        <v/>
      </c>
      <c r="CR260" s="100" t="str">
        <f>IF(ISNUMBER($CM260),'Technical Premium'!$C$14+IF($J260&gt;=1000000,'Technical Premium'!$C$15,0),"")</f>
        <v/>
      </c>
      <c r="CS260" s="100" t="str">
        <f>IFERROR(($CO260+$CR260)*(INDEX('Territory Factors'!$K$6:$K$56,MATCH($K260,'Territory Factors'!$B$6:$B$56,0))+'Commission Structure'!$C$21),"")</f>
        <v/>
      </c>
      <c r="CT260" s="102" t="str">
        <f t="shared" si="49"/>
        <v/>
      </c>
      <c r="CU260" s="100" t="str">
        <f>IFERROR($CO260*('Commission Structure'!$C$6+'Commission Structure'!$C$7),"")</f>
        <v/>
      </c>
      <c r="CV260" s="100" t="str">
        <f>IFERROR($CO260*'Commission Structure'!$C$5-$CU260,"")</f>
        <v/>
      </c>
      <c r="CW260" s="100" t="str">
        <f>IFERROR($CO260*(1-'Commission Structure'!$C$5),"")</f>
        <v/>
      </c>
      <c r="CX260" s="105" t="str">
        <f>IF($A260="","",IF(OR($CB260="?",$CC260="?",NOT(ISNUMBER($AU260))),"CHECK INPUTS",IF(OR($J260&lt;'Technical Premium'!$C$18,LEFT(IFERROR(INDEX('Driver Factors'!$D$6:$D$15,MATCH($R260,'Driver Factors'!$B$6:$B$15,0)),""),7)="DECLINE",LEFT(IFERROR(INDEX('Driver Factors'!$D$28:$D$36,MATCH($T260,'Driver Factors'!$B$28:$B$36,0)),""),7)="DECLINE",LEFT(IFERROR(INDEX('Claims History'!$D$6:$D$15,MATCH($U260,'Claims History'!$B$6:$B$15,0)),""),7)="DECLINE",LEFT(IFERROR(INDEX('Usage and Coverage'!$E$6:$E$20,MATCH($N260,'Usage and Coverage'!$C$6:$C$20,0)),""),7)="DECLINE"),"DECLINE",IF(OR($CD260&gt;2.5,$CD260&gt;='Technical Premium'!$C$17,$J260&gt;='Technical Premium'!$C$16,N($AQ260)&lt;'Technical Premium'!$C$19,N($AQ260)&gt;'Technical Premium'!$C$20,LEFT(IFERROR(INDEX('Driver Factors'!$D$6:$D$15,MATCH($R260,'Driver Factors'!$B$6:$B$15,0)),""),5)="Refer",LEFT(IFERROR(INDEX('Driver Factors'!$D$28:$D$36,MATCH($T260,'Driver Factors'!$B$28:$B$36,0)),""),5)="Refer",LEFT(IFERROR(INDEX('Claims History'!$D$6:$D$15,MATCH($U260,'Claims History'!$B$6:$B$15,0)),""),5)="Refer",LEFT(IFERROR(INDEX('Usage and Coverage'!$E$6:$E$20,MATCH($N260,'Usage and Coverage'!$C$6:$C$20,0)),""),5)="Refer"),"REFER","AUTO-BIND"))))</f>
        <v/>
      </c>
      <c r="CY260" s="106" t="str">
        <f t="shared" si="50"/>
        <v/>
      </c>
      <c r="CZ260" s="97" t="str">
        <f>IF($CY260="","",IF($CY260&lt;'Technical Premium'!$C$19,"BEYOND AUTHORITY",IF($CY260&gt;0.005,"Above technical",IF($CY260&lt;-0.005,"BELOW technical","At technical"))))</f>
        <v/>
      </c>
      <c r="DA260" s="97" t="str">
        <f>IF($A260="","",IF($CX260="AUTO-BIND","",TRIM(IF($J260&lt;'Technical Premium'!$C$18,"Below programme minimum agreed value. ","")&amp;IF(N($AQ260)&lt;'Technical Premium'!$C$19,"DISCOUNT AUTHORITY BREACH. ","")&amp;IF(N($AQ260)&gt;'Technical Premium'!$C$20,"Load authority breach. ","")&amp;IF($J260&gt;='Technical Premium'!$C$16,"Agreed value at or above auto-bind limit. ","")&amp;IF(AND(ISNUMBER($CD260),$CD260&gt;='Technical Premium'!$C$17),"Composite factor at cap. ","")&amp;IF(AND(ISNUMBER($CD260),$CD260&gt;2.5),"Composite factor above 2.50. ","")&amp;IF(LEFT(IFERROR(INDEX('Driver Factors'!$D$6:$D$15,MATCH($R260,'Driver Factors'!$B$6:$B$15,0)),""),7)="DECLINE","DECLINE - driver age. ",IF(LEFT(IFERROR(INDEX('Driver Factors'!$D$6:$D$15,MATCH($R260,'Driver Factors'!$B$6:$B$15,0)),""),5)="Refer","Driver age band. ",""))&amp;IF(LEFT(IFERROR(INDEX('Driver Factors'!$D$28:$D$36,MATCH($T260,'Driver Factors'!$B$28:$B$36,0)),""),7)="DECLINE","DECLINE - MVR. ",IF(LEFT(IFERROR(INDEX('Driver Factors'!$D$28:$D$36,MATCH($T260,'Driver Factors'!$B$28:$B$36,0)),""),5)="Refer","MVR record. ",""))&amp;IF(LEFT(IFERROR(INDEX('Claims History'!$D$6:$D$15,MATCH($U260,'Claims History'!$B$6:$B$15,0)),""),7)="DECLINE","DECLINE - claims. ",IF(LEFT(IFERROR(INDEX('Claims History'!$D$6:$D$15,MATCH($U260,'Claims History'!$B$6:$B$15,0)),""),5)="Refer","Claims history. ",""))&amp;IF(LEFT(IFERROR(INDEX('Usage and Coverage'!$E$6:$E$20,MATCH($N260,'Usage and Coverage'!$C$6:$C$20,0)),""),7)="DECLINE","DECLINE - usage class. ",IF(LEFT(IFERROR(INDEX('Usage and Coverage'!$E$6:$E$20,MATCH($N260,'Usage and Coverage'!$C$6:$C$20,0)),""),5)="Refer","Usage class. ",""))&amp;IF($CX260="CHECK INPUTS","Incomplete inputs. ",""))))</f>
        <v/>
      </c>
      <c r="DB260" s="92"/>
      <c r="DC260" s="92"/>
      <c r="DD260" s="93"/>
      <c r="DE260" s="92"/>
      <c r="DF260" s="92"/>
      <c r="DG260" s="97" t="str">
        <f t="shared" si="51"/>
        <v/>
      </c>
      <c r="DH260" s="97" t="str">
        <f>IF($A260="","",IF(OR($CX260="REFER",$CX260="DECLINE"),COUNTIF($CX$5:$CX260,"REFER")+COUNTIF($CX$5:$CX260,"DECLINE"),""))</f>
        <v/>
      </c>
      <c r="DI260" s="92"/>
    </row>
    <row r="261" spans="1:113" x14ac:dyDescent="0.25">
      <c r="A261" s="92"/>
      <c r="B261" s="92"/>
      <c r="C261" s="93"/>
      <c r="D261" s="93"/>
      <c r="E261" s="94"/>
      <c r="F261" s="92"/>
      <c r="G261" s="92"/>
      <c r="H261" s="92"/>
      <c r="I261" s="92"/>
      <c r="J261" s="95"/>
      <c r="K261" s="92"/>
      <c r="L261" s="92"/>
      <c r="M261" s="92"/>
      <c r="N261" s="92"/>
      <c r="O261" s="92"/>
      <c r="P261" s="92"/>
      <c r="Q261" s="92"/>
      <c r="R261" s="92"/>
      <c r="S261" s="92"/>
      <c r="T261" s="92"/>
      <c r="U261" s="92"/>
      <c r="V261" s="92"/>
      <c r="W261" s="92"/>
      <c r="X261" s="92"/>
      <c r="Y261" s="92"/>
      <c r="Z261" s="92"/>
      <c r="AA261" s="92"/>
      <c r="AB261" s="92"/>
      <c r="AC261" s="92"/>
      <c r="AD261" s="92"/>
      <c r="AE261" s="92"/>
      <c r="AF261" s="92"/>
      <c r="AG261" s="92"/>
      <c r="AH261" s="92"/>
      <c r="AI261" s="92"/>
      <c r="AJ261" s="92"/>
      <c r="AK261" s="92"/>
      <c r="AL261" s="92"/>
      <c r="AM261" s="92"/>
      <c r="AN261" s="92"/>
      <c r="AO261" s="92"/>
      <c r="AP261" s="92"/>
      <c r="AQ261" s="96"/>
      <c r="AR261" s="97" t="str">
        <f t="shared" ref="AR261:AR304" si="52">IF($A261="","",IFERROR(LEFT(TEXT(VALUE($L261),"00000"),3),"---"))</f>
        <v/>
      </c>
      <c r="AS261" s="97" t="str">
        <f>IF($A261="","",IF($AP261&lt;&gt;"",$AP261,IFERROR(INDEX('Cat Zone by ZIP'!$D$6:$D$856,MATCH($AR261,'Cat Zone by ZIP'!$B$6:$B$856,0)),IFERROR(INDEX('Cat Zone by ZIP'!$C$860:$C$910,MATCH($K261,'Cat Zone by ZIP'!$B$860:$B$910,0)),"NOT FOUND"))))</f>
        <v/>
      </c>
      <c r="AT261" s="97" t="str">
        <f>IF($A261="","",IF($AP261&lt;&gt;"","Override",IF(ISNUMBER(MATCH($AR261,'Cat Zone by ZIP'!$B$6:$B$856,0)),"ZIP-3","State default")))</f>
        <v/>
      </c>
      <c r="AU261" s="98" t="str">
        <f>IF($A261="","",IFERROR(INDEX('Natural Catastrophe'!$D$6:$D$17,MATCH($AS261,'Natural Catastrophe'!$B$6:$B$17,0)),"?"))</f>
        <v/>
      </c>
      <c r="AV261" s="98" t="str">
        <f>IF($A261="","",IFERROR(INDEX('Natural Catastrophe'!$C$21:$C$26,MATCH($AA261,'Natural Catastrophe'!$B$21:$B$26,0)),"?"))</f>
        <v/>
      </c>
      <c r="AW261" s="97" t="str">
        <f>IF($A261="","",IFERROR(INDEX('Base Rates'!$C$4:$I$4,MATCH(MAX($J261,'Technical Premium'!$C$18),'Base Rates'!$C$3:$I$3,1)),"?"))</f>
        <v/>
      </c>
      <c r="AX261" s="99" t="str">
        <f>IF($A261="","",IFERROR(INDEX('Base Rates'!$C$5:$I$16,MATCH($I261,'Base Rates'!$B$5:$B$16,0),MATCH(MAX($J261,'Technical Premium'!$C$18),'Base Rates'!$C$3:$I$3,1)),"?"))</f>
        <v/>
      </c>
      <c r="AY261" s="100" t="str">
        <f t="shared" ref="AY261:AY304" si="53">IF(ISNUMBER($AX261),$J261/100*$AX261,"")</f>
        <v/>
      </c>
      <c r="AZ261" s="97" t="str">
        <f>IF($A261="","",IFERROR(INDEX('Make Factors'!$G$5:$G$69,MATCH($F261,'Make Factors'!$B$5:$B$69,0)),"?"))</f>
        <v/>
      </c>
      <c r="BA261" s="97" t="str">
        <f>IF($A261="","",IFERROR(INDEX('Driver Factors'!$C$6:$C$15,MATCH($R261,'Driver Factors'!$B$6:$B$15,0)),"?"))</f>
        <v/>
      </c>
      <c r="BB261" s="97" t="str">
        <f>IF($A261="","",IFERROR(INDEX('Driver Factors'!$C$19:$C$24,MATCH($S261,'Driver Factors'!$B$19:$B$24,0)),"?"))</f>
        <v/>
      </c>
      <c r="BC261" s="97" t="str">
        <f>IF($A261="","",IFERROR(INDEX('Driver Factors'!$C$28:$C$36,MATCH($T261,'Driver Factors'!$B$28:$B$36,0)),"?"))</f>
        <v/>
      </c>
      <c r="BD261" s="97" t="str">
        <f>IF($A261="","",IFERROR(INDEX('Claims History'!$C$6:$C$15,MATCH($U261,'Claims History'!$B$6:$B$15,0)),"?"))</f>
        <v/>
      </c>
      <c r="BE261" s="97" t="str">
        <f>IF($A261="","",IFERROR(INDEX('Territory Factors'!$E$6:$E$56,MATCH($K261,'Territory Factors'!$B$6:$B$56,0)),"?"))</f>
        <v/>
      </c>
      <c r="BF261" s="97" t="str">
        <f>IF($A261="","",IFERROR(INDEX('City Accident Ratings'!$G$6:$G$54,MATCH($Z261,'City Accident Ratings'!$B$6:$B$54,0)),"?"))</f>
        <v/>
      </c>
      <c r="BG261" s="97" t="str">
        <f>IF($A261="","",IFERROR(INDEX('Usage and Coverage'!$D$6:$D$20,MATCH($N261,'Usage and Coverage'!$C$6:$C$20,0)),"?"))</f>
        <v/>
      </c>
      <c r="BH261" s="97" t="str">
        <f>IF($A261="","",IFERROR(INDEX('Usage and Coverage'!$C$24:$C$30,MATCH($O261,'Usage and Coverage'!$B$24:$B$30,0)),"?"))</f>
        <v/>
      </c>
      <c r="BI261" s="97" t="str">
        <f>IF($A261="","",IFERROR(INDEX('Usage and Coverage'!$C$34:$C$40,MATCH($P261,'Usage and Coverage'!$B$34:$B$40,0)),"?"))</f>
        <v/>
      </c>
      <c r="BJ261" s="97" t="str">
        <f>IF($A261="","",IFERROR(INDEX('Usage and Coverage'!$C$44:$C$49,MATCH($Q261,'Usage and Coverage'!$B$44:$B$49,0)),"?"))</f>
        <v/>
      </c>
      <c r="BK261" s="97" t="str">
        <f>IF($A261="","",IFERROR(INDEX(Deductibles!$C$6:$I$15,MATCH($W261,Deductibles!$B$6:$B$15,0),MATCH(MAX($J261,'Technical Premium'!$C$18),'Base Rates'!$C$3:$I$3,1)),"?"))</f>
        <v/>
      </c>
      <c r="BL261" s="97" t="str">
        <f>IF($A261="","",IFERROR(INDEX('Usage and Coverage'!$C$63:$C$66,MATCH($X261,'Usage and Coverage'!$B$63:$B$66,0)),"?"))</f>
        <v/>
      </c>
      <c r="BM261" s="97" t="str">
        <f>IF($A261="","",IFERROR(INDEX('Usage and Coverage'!$C$70:$C$75,MATCH($V261,'Usage and Coverage'!$B$70:$B$75,0)),"?"))</f>
        <v/>
      </c>
      <c r="BN261" s="97" t="str">
        <f>IF($A261="","",IF($AB261="",1,IFERROR(INDEX(Deductibles!$C$48:$C$51,MATCH($AB261,Deductibles!$B$48:$B$51,0)),"?")))</f>
        <v/>
      </c>
      <c r="BO261" s="97" t="str">
        <f>IF($A261="","",IF($AC261="",1,IFERROR(INDEX(Deductibles!$C$55:$C$57,MATCH($AC261,Deductibles!$B$55:$B$57,0)),"?")))</f>
        <v/>
      </c>
      <c r="BP261" s="97" t="str">
        <f>IF($A261="","",IF($AD261="",1,IFERROR(INDEX(Deductibles!$C$61:$C$63,MATCH($AD261,Deductibles!$B$61:$B$63,0)),"?")))</f>
        <v/>
      </c>
      <c r="BQ261" s="97" t="str">
        <f>IF($A261="","",IF($AE261="",1,IFERROR(INDEX(Deductibles!$C$67:$C$69,MATCH($AE261,Deductibles!$B$67:$B$69,0)),"?")))</f>
        <v/>
      </c>
      <c r="BR261" s="97" t="str">
        <f>IF($A261="","",IF($AF261="",1,IFERROR(INDEX(Deductibles!$C$73:$C$74,MATCH($AF261,Deductibles!$B$73:$B$74,0)),"?")))</f>
        <v/>
      </c>
      <c r="BS261" s="97" t="str">
        <f>IF($A261="","",IF($AG261="",1,IFERROR(INDEX('Sublimits and Parts'!$C$49:$C$52,MATCH($AG261,'Sublimits and Parts'!$B$49:$B$52,0)),"?")))</f>
        <v/>
      </c>
      <c r="BT261" s="97" t="str">
        <f>IF($A261="","",IF($AH261="",1,IFERROR(INDEX('Sublimits and Parts'!$C$56:$C$60,MATCH($AH261,'Sublimits and Parts'!$B$56:$B$60,0)),"?")))</f>
        <v/>
      </c>
      <c r="BU261" s="97" t="str">
        <f>IF($A261="","",IF($AI261="",1,IFERROR(INDEX('Sublimits and Parts'!$C$64:$C$67,MATCH($AI261,'Sublimits and Parts'!$B$64:$B$67,0)),"?")))</f>
        <v/>
      </c>
      <c r="BV261" s="97" t="str">
        <f>IF($A261="","",IF($AJ261="",1,IFERROR(INDEX('Sublimits and Parts'!$C$71:$C$74,MATCH($AJ261,'Sublimits and Parts'!$B$71:$B$74,0)),"?")))</f>
        <v/>
      </c>
      <c r="BW261" s="97" t="str">
        <f>IF($A261="","",IF($AK261="",1,IFERROR(INDEX('Sublimits and Parts'!$C$78:$C$80,MATCH($AK261,'Sublimits and Parts'!$B$78:$B$80,0)),"?")))</f>
        <v/>
      </c>
      <c r="BX261" s="97" t="str">
        <f>IF($A261="","",IF($AL261="",1,IFERROR(INDEX('Sublimits and Parts'!$C$84:$C$87,MATCH($AL261,'Sublimits and Parts'!$B$84:$B$87,0)),"?")))</f>
        <v/>
      </c>
      <c r="BY261" s="97" t="str">
        <f>IF($A261="","",IF($AM261="",1,IFERROR(INDEX('Sublimits and Parts'!$C$91:$C$94,MATCH($AM261,'Sublimits and Parts'!$B$91:$B$94,0)),"?")))</f>
        <v/>
      </c>
      <c r="BZ261" s="97" t="str">
        <f>IF($A261="","",IF($AN261="",1,IFERROR(INDEX('Sublimits and Parts'!$C$98:$C$101,MATCH($AN261,'Sublimits and Parts'!$B$98:$B$101,0)),"?")))</f>
        <v/>
      </c>
      <c r="CA261" s="97" t="str">
        <f>IF($A261="","",IF($AO261="",1,IFERROR(INDEX('Sublimits and Parts'!$C$105:$C$109,MATCH($AO261,'Sublimits and Parts'!$B$105:$B$109,0)),"?")))</f>
        <v/>
      </c>
      <c r="CB261" s="98" t="str">
        <f t="shared" ref="CB261:CB304" si="54">IF($A261="","",IF(SUMPRODUCT(--ISTEXT($AZ261:$BM261))&gt;0,"?",PRODUCT($AZ261:$BM261)))</f>
        <v/>
      </c>
      <c r="CC261" s="98" t="str">
        <f t="shared" ref="CC261:CC304" si="55">IF($A261="","",IF(SUMPRODUCT(--ISTEXT($BN261:$CA261))&gt;0,"?",PRODUCT($BN261:$CA261)))</f>
        <v/>
      </c>
      <c r="CD261" s="101" t="str">
        <f>IF($A261="","",IF(OR($CB261="?",$CC261="?"),"?",MIN($CB261*$CC261,'Technical Premium'!$C$17)))</f>
        <v/>
      </c>
      <c r="CE261" s="100" t="str">
        <f t="shared" ref="CE261:CE304" si="56">IF(ISNUMBER($CD261),$AY261*$CD261,"")</f>
        <v/>
      </c>
      <c r="CF261" s="100" t="str">
        <f>IF($A261="","",IFERROR(INDEX('Territory Factors'!$F$6:$F$56,MATCH($K261,'Territory Factors'!$B$6:$B$56,0)),"?"))</f>
        <v/>
      </c>
      <c r="CG261" s="98" t="str">
        <f>IF($A261="","",IFERROR(INDEX('Usage and Coverage'!$C$79:$C$84,MATCH($Y261,'Usage and Coverage'!$B$79:$B$84,0)),"?"))</f>
        <v/>
      </c>
      <c r="CH261" s="100" t="str">
        <f>IFERROR(IF(ISNUMBER($CD261),$CF261*$CG261*MIN($BG261*$BA261*$BC261*$BD261*$BH261*$BF261,'Technical Premium'!$C$17),""),"")</f>
        <v/>
      </c>
      <c r="CI261" s="100" t="str">
        <f t="shared" ref="CI261:CI304" si="57">IFERROR($CE261+$CH261,"")</f>
        <v/>
      </c>
      <c r="CJ261" s="100" t="str">
        <f>IFERROR($CI261*(1+'Technical Premium'!$C$5)*(1+'Technical Premium'!$C$6),"")</f>
        <v/>
      </c>
      <c r="CK261" s="100" t="str">
        <f>IFERROR($CE261*INDEX('Territory Factors'!$G$6:$G$56,MATCH($K261,'Territory Factors'!$B$6:$B$56,0))*$AU261*$AV261,"")</f>
        <v/>
      </c>
      <c r="CL261" s="100" t="str">
        <f>IFERROR(($CJ261+$CK261)*(1+'Technical Premium'!$C$7),"")</f>
        <v/>
      </c>
      <c r="CM261" s="102" t="str">
        <f>IFERROR($CL261/'Technical Premium'!$C$13,"")</f>
        <v/>
      </c>
      <c r="CN261" s="103" t="str">
        <f t="shared" ref="CN261:CN304" si="58">IFERROR($CM261/$J261*100,"")</f>
        <v/>
      </c>
      <c r="CO261" s="102" t="str">
        <f t="shared" ref="CO261:CO304" si="59">IFERROR($CM261*(1+N($AQ261)),"")</f>
        <v/>
      </c>
      <c r="CP261" s="103" t="str">
        <f t="shared" ref="CP261:CP304" si="60">IFERROR($CO261/$J261*100,"")</f>
        <v/>
      </c>
      <c r="CQ261" s="104" t="str">
        <f t="shared" ref="CQ261:CQ304" si="61">IFERROR($CP261/$CN261,"")</f>
        <v/>
      </c>
      <c r="CR261" s="100" t="str">
        <f>IF(ISNUMBER($CM261),'Technical Premium'!$C$14+IF($J261&gt;=1000000,'Technical Premium'!$C$15,0),"")</f>
        <v/>
      </c>
      <c r="CS261" s="100" t="str">
        <f>IFERROR(($CO261+$CR261)*(INDEX('Territory Factors'!$K$6:$K$56,MATCH($K261,'Territory Factors'!$B$6:$B$56,0))+'Commission Structure'!$C$21),"")</f>
        <v/>
      </c>
      <c r="CT261" s="102" t="str">
        <f t="shared" ref="CT261:CT304" si="62">IFERROR($CO261+$CR261+$CS261,"")</f>
        <v/>
      </c>
      <c r="CU261" s="100" t="str">
        <f>IFERROR($CO261*('Commission Structure'!$C$6+'Commission Structure'!$C$7),"")</f>
        <v/>
      </c>
      <c r="CV261" s="100" t="str">
        <f>IFERROR($CO261*'Commission Structure'!$C$5-$CU261,"")</f>
        <v/>
      </c>
      <c r="CW261" s="100" t="str">
        <f>IFERROR($CO261*(1-'Commission Structure'!$C$5),"")</f>
        <v/>
      </c>
      <c r="CX261" s="105" t="str">
        <f>IF($A261="","",IF(OR($CB261="?",$CC261="?",NOT(ISNUMBER($AU261))),"CHECK INPUTS",IF(OR($J261&lt;'Technical Premium'!$C$18,LEFT(IFERROR(INDEX('Driver Factors'!$D$6:$D$15,MATCH($R261,'Driver Factors'!$B$6:$B$15,0)),""),7)="DECLINE",LEFT(IFERROR(INDEX('Driver Factors'!$D$28:$D$36,MATCH($T261,'Driver Factors'!$B$28:$B$36,0)),""),7)="DECLINE",LEFT(IFERROR(INDEX('Claims History'!$D$6:$D$15,MATCH($U261,'Claims History'!$B$6:$B$15,0)),""),7)="DECLINE",LEFT(IFERROR(INDEX('Usage and Coverage'!$E$6:$E$20,MATCH($N261,'Usage and Coverage'!$C$6:$C$20,0)),""),7)="DECLINE"),"DECLINE",IF(OR($CD261&gt;2.5,$CD261&gt;='Technical Premium'!$C$17,$J261&gt;='Technical Premium'!$C$16,N($AQ261)&lt;'Technical Premium'!$C$19,N($AQ261)&gt;'Technical Premium'!$C$20,LEFT(IFERROR(INDEX('Driver Factors'!$D$6:$D$15,MATCH($R261,'Driver Factors'!$B$6:$B$15,0)),""),5)="Refer",LEFT(IFERROR(INDEX('Driver Factors'!$D$28:$D$36,MATCH($T261,'Driver Factors'!$B$28:$B$36,0)),""),5)="Refer",LEFT(IFERROR(INDEX('Claims History'!$D$6:$D$15,MATCH($U261,'Claims History'!$B$6:$B$15,0)),""),5)="Refer",LEFT(IFERROR(INDEX('Usage and Coverage'!$E$6:$E$20,MATCH($N261,'Usage and Coverage'!$C$6:$C$20,0)),""),5)="Refer"),"REFER","AUTO-BIND"))))</f>
        <v/>
      </c>
      <c r="CY261" s="106" t="str">
        <f t="shared" ref="CY261:CY304" si="63">IFERROR($CO261/$CM261-1,"")</f>
        <v/>
      </c>
      <c r="CZ261" s="97" t="str">
        <f>IF($CY261="","",IF($CY261&lt;'Technical Premium'!$C$19,"BEYOND AUTHORITY",IF($CY261&gt;0.005,"Above technical",IF($CY261&lt;-0.005,"BELOW technical","At technical"))))</f>
        <v/>
      </c>
      <c r="DA261" s="97" t="str">
        <f>IF($A261="","",IF($CX261="AUTO-BIND","",TRIM(IF($J261&lt;'Technical Premium'!$C$18,"Below programme minimum agreed value. ","")&amp;IF(N($AQ261)&lt;'Technical Premium'!$C$19,"DISCOUNT AUTHORITY BREACH. ","")&amp;IF(N($AQ261)&gt;'Technical Premium'!$C$20,"Load authority breach. ","")&amp;IF($J261&gt;='Technical Premium'!$C$16,"Agreed value at or above auto-bind limit. ","")&amp;IF(AND(ISNUMBER($CD261),$CD261&gt;='Technical Premium'!$C$17),"Composite factor at cap. ","")&amp;IF(AND(ISNUMBER($CD261),$CD261&gt;2.5),"Composite factor above 2.50. ","")&amp;IF(LEFT(IFERROR(INDEX('Driver Factors'!$D$6:$D$15,MATCH($R261,'Driver Factors'!$B$6:$B$15,0)),""),7)="DECLINE","DECLINE - driver age. ",IF(LEFT(IFERROR(INDEX('Driver Factors'!$D$6:$D$15,MATCH($R261,'Driver Factors'!$B$6:$B$15,0)),""),5)="Refer","Driver age band. ",""))&amp;IF(LEFT(IFERROR(INDEX('Driver Factors'!$D$28:$D$36,MATCH($T261,'Driver Factors'!$B$28:$B$36,0)),""),7)="DECLINE","DECLINE - MVR. ",IF(LEFT(IFERROR(INDEX('Driver Factors'!$D$28:$D$36,MATCH($T261,'Driver Factors'!$B$28:$B$36,0)),""),5)="Refer","MVR record. ",""))&amp;IF(LEFT(IFERROR(INDEX('Claims History'!$D$6:$D$15,MATCH($U261,'Claims History'!$B$6:$B$15,0)),""),7)="DECLINE","DECLINE - claims. ",IF(LEFT(IFERROR(INDEX('Claims History'!$D$6:$D$15,MATCH($U261,'Claims History'!$B$6:$B$15,0)),""),5)="Refer","Claims history. ",""))&amp;IF(LEFT(IFERROR(INDEX('Usage and Coverage'!$E$6:$E$20,MATCH($N261,'Usage and Coverage'!$C$6:$C$20,0)),""),7)="DECLINE","DECLINE - usage class. ",IF(LEFT(IFERROR(INDEX('Usage and Coverage'!$E$6:$E$20,MATCH($N261,'Usage and Coverage'!$C$6:$C$20,0)),""),5)="Refer","Usage class. ",""))&amp;IF($CX261="CHECK INPUTS","Incomplete inputs. ",""))))</f>
        <v/>
      </c>
      <c r="DB261" s="92"/>
      <c r="DC261" s="92"/>
      <c r="DD261" s="93"/>
      <c r="DE261" s="92"/>
      <c r="DF261" s="92"/>
      <c r="DG261" s="97" t="str">
        <f t="shared" ref="DG261:DG304" si="64">IF($A261="","",IF($CX261="DECLINE","NO - DECLINED",IF($CX261="CHECK INPUTS","NO - INCOMPLETE INPUTS",IF($CX261="AUTO-BIND","YES - within authority",IF(AND($DB261&lt;&gt;"",$DD261&lt;&gt;""),"YES - approved "&amp;TEXT($DD261,"dd-mmm-yy"),"NO - AWAITING APPROVAL")))))</f>
        <v/>
      </c>
      <c r="DH261" s="97" t="str">
        <f>IF($A261="","",IF(OR($CX261="REFER",$CX261="DECLINE"),COUNTIF($CX$5:$CX261,"REFER")+COUNTIF($CX$5:$CX261,"DECLINE"),""))</f>
        <v/>
      </c>
      <c r="DI261" s="92"/>
    </row>
    <row r="262" spans="1:113" x14ac:dyDescent="0.25">
      <c r="A262" s="92"/>
      <c r="B262" s="92"/>
      <c r="C262" s="93"/>
      <c r="D262" s="93"/>
      <c r="E262" s="94"/>
      <c r="F262" s="92"/>
      <c r="G262" s="92"/>
      <c r="H262" s="92"/>
      <c r="I262" s="92"/>
      <c r="J262" s="95"/>
      <c r="K262" s="92"/>
      <c r="L262" s="92"/>
      <c r="M262" s="92"/>
      <c r="N262" s="92"/>
      <c r="O262" s="92"/>
      <c r="P262" s="92"/>
      <c r="Q262" s="92"/>
      <c r="R262" s="92"/>
      <c r="S262" s="92"/>
      <c r="T262" s="92"/>
      <c r="U262" s="92"/>
      <c r="V262" s="92"/>
      <c r="W262" s="92"/>
      <c r="X262" s="92"/>
      <c r="Y262" s="92"/>
      <c r="Z262" s="92"/>
      <c r="AA262" s="92"/>
      <c r="AB262" s="92"/>
      <c r="AC262" s="92"/>
      <c r="AD262" s="92"/>
      <c r="AE262" s="92"/>
      <c r="AF262" s="92"/>
      <c r="AG262" s="92"/>
      <c r="AH262" s="92"/>
      <c r="AI262" s="92"/>
      <c r="AJ262" s="92"/>
      <c r="AK262" s="92"/>
      <c r="AL262" s="92"/>
      <c r="AM262" s="92"/>
      <c r="AN262" s="92"/>
      <c r="AO262" s="92"/>
      <c r="AP262" s="92"/>
      <c r="AQ262" s="96"/>
      <c r="AR262" s="97" t="str">
        <f t="shared" si="52"/>
        <v/>
      </c>
      <c r="AS262" s="97" t="str">
        <f>IF($A262="","",IF($AP262&lt;&gt;"",$AP262,IFERROR(INDEX('Cat Zone by ZIP'!$D$6:$D$856,MATCH($AR262,'Cat Zone by ZIP'!$B$6:$B$856,0)),IFERROR(INDEX('Cat Zone by ZIP'!$C$860:$C$910,MATCH($K262,'Cat Zone by ZIP'!$B$860:$B$910,0)),"NOT FOUND"))))</f>
        <v/>
      </c>
      <c r="AT262" s="97" t="str">
        <f>IF($A262="","",IF($AP262&lt;&gt;"","Override",IF(ISNUMBER(MATCH($AR262,'Cat Zone by ZIP'!$B$6:$B$856,0)),"ZIP-3","State default")))</f>
        <v/>
      </c>
      <c r="AU262" s="98" t="str">
        <f>IF($A262="","",IFERROR(INDEX('Natural Catastrophe'!$D$6:$D$17,MATCH($AS262,'Natural Catastrophe'!$B$6:$B$17,0)),"?"))</f>
        <v/>
      </c>
      <c r="AV262" s="98" t="str">
        <f>IF($A262="","",IFERROR(INDEX('Natural Catastrophe'!$C$21:$C$26,MATCH($AA262,'Natural Catastrophe'!$B$21:$B$26,0)),"?"))</f>
        <v/>
      </c>
      <c r="AW262" s="97" t="str">
        <f>IF($A262="","",IFERROR(INDEX('Base Rates'!$C$4:$I$4,MATCH(MAX($J262,'Technical Premium'!$C$18),'Base Rates'!$C$3:$I$3,1)),"?"))</f>
        <v/>
      </c>
      <c r="AX262" s="99" t="str">
        <f>IF($A262="","",IFERROR(INDEX('Base Rates'!$C$5:$I$16,MATCH($I262,'Base Rates'!$B$5:$B$16,0),MATCH(MAX($J262,'Technical Premium'!$C$18),'Base Rates'!$C$3:$I$3,1)),"?"))</f>
        <v/>
      </c>
      <c r="AY262" s="100" t="str">
        <f t="shared" si="53"/>
        <v/>
      </c>
      <c r="AZ262" s="97" t="str">
        <f>IF($A262="","",IFERROR(INDEX('Make Factors'!$G$5:$G$69,MATCH($F262,'Make Factors'!$B$5:$B$69,0)),"?"))</f>
        <v/>
      </c>
      <c r="BA262" s="97" t="str">
        <f>IF($A262="","",IFERROR(INDEX('Driver Factors'!$C$6:$C$15,MATCH($R262,'Driver Factors'!$B$6:$B$15,0)),"?"))</f>
        <v/>
      </c>
      <c r="BB262" s="97" t="str">
        <f>IF($A262="","",IFERROR(INDEX('Driver Factors'!$C$19:$C$24,MATCH($S262,'Driver Factors'!$B$19:$B$24,0)),"?"))</f>
        <v/>
      </c>
      <c r="BC262" s="97" t="str">
        <f>IF($A262="","",IFERROR(INDEX('Driver Factors'!$C$28:$C$36,MATCH($T262,'Driver Factors'!$B$28:$B$36,0)),"?"))</f>
        <v/>
      </c>
      <c r="BD262" s="97" t="str">
        <f>IF($A262="","",IFERROR(INDEX('Claims History'!$C$6:$C$15,MATCH($U262,'Claims History'!$B$6:$B$15,0)),"?"))</f>
        <v/>
      </c>
      <c r="BE262" s="97" t="str">
        <f>IF($A262="","",IFERROR(INDEX('Territory Factors'!$E$6:$E$56,MATCH($K262,'Territory Factors'!$B$6:$B$56,0)),"?"))</f>
        <v/>
      </c>
      <c r="BF262" s="97" t="str">
        <f>IF($A262="","",IFERROR(INDEX('City Accident Ratings'!$G$6:$G$54,MATCH($Z262,'City Accident Ratings'!$B$6:$B$54,0)),"?"))</f>
        <v/>
      </c>
      <c r="BG262" s="97" t="str">
        <f>IF($A262="","",IFERROR(INDEX('Usage and Coverage'!$D$6:$D$20,MATCH($N262,'Usage and Coverage'!$C$6:$C$20,0)),"?"))</f>
        <v/>
      </c>
      <c r="BH262" s="97" t="str">
        <f>IF($A262="","",IFERROR(INDEX('Usage and Coverage'!$C$24:$C$30,MATCH($O262,'Usage and Coverage'!$B$24:$B$30,0)),"?"))</f>
        <v/>
      </c>
      <c r="BI262" s="97" t="str">
        <f>IF($A262="","",IFERROR(INDEX('Usage and Coverage'!$C$34:$C$40,MATCH($P262,'Usage and Coverage'!$B$34:$B$40,0)),"?"))</f>
        <v/>
      </c>
      <c r="BJ262" s="97" t="str">
        <f>IF($A262="","",IFERROR(INDEX('Usage and Coverage'!$C$44:$C$49,MATCH($Q262,'Usage and Coverage'!$B$44:$B$49,0)),"?"))</f>
        <v/>
      </c>
      <c r="BK262" s="97" t="str">
        <f>IF($A262="","",IFERROR(INDEX(Deductibles!$C$6:$I$15,MATCH($W262,Deductibles!$B$6:$B$15,0),MATCH(MAX($J262,'Technical Premium'!$C$18),'Base Rates'!$C$3:$I$3,1)),"?"))</f>
        <v/>
      </c>
      <c r="BL262" s="97" t="str">
        <f>IF($A262="","",IFERROR(INDEX('Usage and Coverage'!$C$63:$C$66,MATCH($X262,'Usage and Coverage'!$B$63:$B$66,0)),"?"))</f>
        <v/>
      </c>
      <c r="BM262" s="97" t="str">
        <f>IF($A262="","",IFERROR(INDEX('Usage and Coverage'!$C$70:$C$75,MATCH($V262,'Usage and Coverage'!$B$70:$B$75,0)),"?"))</f>
        <v/>
      </c>
      <c r="BN262" s="97" t="str">
        <f>IF($A262="","",IF($AB262="",1,IFERROR(INDEX(Deductibles!$C$48:$C$51,MATCH($AB262,Deductibles!$B$48:$B$51,0)),"?")))</f>
        <v/>
      </c>
      <c r="BO262" s="97" t="str">
        <f>IF($A262="","",IF($AC262="",1,IFERROR(INDEX(Deductibles!$C$55:$C$57,MATCH($AC262,Deductibles!$B$55:$B$57,0)),"?")))</f>
        <v/>
      </c>
      <c r="BP262" s="97" t="str">
        <f>IF($A262="","",IF($AD262="",1,IFERROR(INDEX(Deductibles!$C$61:$C$63,MATCH($AD262,Deductibles!$B$61:$B$63,0)),"?")))</f>
        <v/>
      </c>
      <c r="BQ262" s="97" t="str">
        <f>IF($A262="","",IF($AE262="",1,IFERROR(INDEX(Deductibles!$C$67:$C$69,MATCH($AE262,Deductibles!$B$67:$B$69,0)),"?")))</f>
        <v/>
      </c>
      <c r="BR262" s="97" t="str">
        <f>IF($A262="","",IF($AF262="",1,IFERROR(INDEX(Deductibles!$C$73:$C$74,MATCH($AF262,Deductibles!$B$73:$B$74,0)),"?")))</f>
        <v/>
      </c>
      <c r="BS262" s="97" t="str">
        <f>IF($A262="","",IF($AG262="",1,IFERROR(INDEX('Sublimits and Parts'!$C$49:$C$52,MATCH($AG262,'Sublimits and Parts'!$B$49:$B$52,0)),"?")))</f>
        <v/>
      </c>
      <c r="BT262" s="97" t="str">
        <f>IF($A262="","",IF($AH262="",1,IFERROR(INDEX('Sublimits and Parts'!$C$56:$C$60,MATCH($AH262,'Sublimits and Parts'!$B$56:$B$60,0)),"?")))</f>
        <v/>
      </c>
      <c r="BU262" s="97" t="str">
        <f>IF($A262="","",IF($AI262="",1,IFERROR(INDEX('Sublimits and Parts'!$C$64:$C$67,MATCH($AI262,'Sublimits and Parts'!$B$64:$B$67,0)),"?")))</f>
        <v/>
      </c>
      <c r="BV262" s="97" t="str">
        <f>IF($A262="","",IF($AJ262="",1,IFERROR(INDEX('Sublimits and Parts'!$C$71:$C$74,MATCH($AJ262,'Sublimits and Parts'!$B$71:$B$74,0)),"?")))</f>
        <v/>
      </c>
      <c r="BW262" s="97" t="str">
        <f>IF($A262="","",IF($AK262="",1,IFERROR(INDEX('Sublimits and Parts'!$C$78:$C$80,MATCH($AK262,'Sublimits and Parts'!$B$78:$B$80,0)),"?")))</f>
        <v/>
      </c>
      <c r="BX262" s="97" t="str">
        <f>IF($A262="","",IF($AL262="",1,IFERROR(INDEX('Sublimits and Parts'!$C$84:$C$87,MATCH($AL262,'Sublimits and Parts'!$B$84:$B$87,0)),"?")))</f>
        <v/>
      </c>
      <c r="BY262" s="97" t="str">
        <f>IF($A262="","",IF($AM262="",1,IFERROR(INDEX('Sublimits and Parts'!$C$91:$C$94,MATCH($AM262,'Sublimits and Parts'!$B$91:$B$94,0)),"?")))</f>
        <v/>
      </c>
      <c r="BZ262" s="97" t="str">
        <f>IF($A262="","",IF($AN262="",1,IFERROR(INDEX('Sublimits and Parts'!$C$98:$C$101,MATCH($AN262,'Sublimits and Parts'!$B$98:$B$101,0)),"?")))</f>
        <v/>
      </c>
      <c r="CA262" s="97" t="str">
        <f>IF($A262="","",IF($AO262="",1,IFERROR(INDEX('Sublimits and Parts'!$C$105:$C$109,MATCH($AO262,'Sublimits and Parts'!$B$105:$B$109,0)),"?")))</f>
        <v/>
      </c>
      <c r="CB262" s="98" t="str">
        <f t="shared" si="54"/>
        <v/>
      </c>
      <c r="CC262" s="98" t="str">
        <f t="shared" si="55"/>
        <v/>
      </c>
      <c r="CD262" s="101" t="str">
        <f>IF($A262="","",IF(OR($CB262="?",$CC262="?"),"?",MIN($CB262*$CC262,'Technical Premium'!$C$17)))</f>
        <v/>
      </c>
      <c r="CE262" s="100" t="str">
        <f t="shared" si="56"/>
        <v/>
      </c>
      <c r="CF262" s="100" t="str">
        <f>IF($A262="","",IFERROR(INDEX('Territory Factors'!$F$6:$F$56,MATCH($K262,'Territory Factors'!$B$6:$B$56,0)),"?"))</f>
        <v/>
      </c>
      <c r="CG262" s="98" t="str">
        <f>IF($A262="","",IFERROR(INDEX('Usage and Coverage'!$C$79:$C$84,MATCH($Y262,'Usage and Coverage'!$B$79:$B$84,0)),"?"))</f>
        <v/>
      </c>
      <c r="CH262" s="100" t="str">
        <f>IFERROR(IF(ISNUMBER($CD262),$CF262*$CG262*MIN($BG262*$BA262*$BC262*$BD262*$BH262*$BF262,'Technical Premium'!$C$17),""),"")</f>
        <v/>
      </c>
      <c r="CI262" s="100" t="str">
        <f t="shared" si="57"/>
        <v/>
      </c>
      <c r="CJ262" s="100" t="str">
        <f>IFERROR($CI262*(1+'Technical Premium'!$C$5)*(1+'Technical Premium'!$C$6),"")</f>
        <v/>
      </c>
      <c r="CK262" s="100" t="str">
        <f>IFERROR($CE262*INDEX('Territory Factors'!$G$6:$G$56,MATCH($K262,'Territory Factors'!$B$6:$B$56,0))*$AU262*$AV262,"")</f>
        <v/>
      </c>
      <c r="CL262" s="100" t="str">
        <f>IFERROR(($CJ262+$CK262)*(1+'Technical Premium'!$C$7),"")</f>
        <v/>
      </c>
      <c r="CM262" s="102" t="str">
        <f>IFERROR($CL262/'Technical Premium'!$C$13,"")</f>
        <v/>
      </c>
      <c r="CN262" s="103" t="str">
        <f t="shared" si="58"/>
        <v/>
      </c>
      <c r="CO262" s="102" t="str">
        <f t="shared" si="59"/>
        <v/>
      </c>
      <c r="CP262" s="103" t="str">
        <f t="shared" si="60"/>
        <v/>
      </c>
      <c r="CQ262" s="104" t="str">
        <f t="shared" si="61"/>
        <v/>
      </c>
      <c r="CR262" s="100" t="str">
        <f>IF(ISNUMBER($CM262),'Technical Premium'!$C$14+IF($J262&gt;=1000000,'Technical Premium'!$C$15,0),"")</f>
        <v/>
      </c>
      <c r="CS262" s="100" t="str">
        <f>IFERROR(($CO262+$CR262)*(INDEX('Territory Factors'!$K$6:$K$56,MATCH($K262,'Territory Factors'!$B$6:$B$56,0))+'Commission Structure'!$C$21),"")</f>
        <v/>
      </c>
      <c r="CT262" s="102" t="str">
        <f t="shared" si="62"/>
        <v/>
      </c>
      <c r="CU262" s="100" t="str">
        <f>IFERROR($CO262*('Commission Structure'!$C$6+'Commission Structure'!$C$7),"")</f>
        <v/>
      </c>
      <c r="CV262" s="100" t="str">
        <f>IFERROR($CO262*'Commission Structure'!$C$5-$CU262,"")</f>
        <v/>
      </c>
      <c r="CW262" s="100" t="str">
        <f>IFERROR($CO262*(1-'Commission Structure'!$C$5),"")</f>
        <v/>
      </c>
      <c r="CX262" s="105" t="str">
        <f>IF($A262="","",IF(OR($CB262="?",$CC262="?",NOT(ISNUMBER($AU262))),"CHECK INPUTS",IF(OR($J262&lt;'Technical Premium'!$C$18,LEFT(IFERROR(INDEX('Driver Factors'!$D$6:$D$15,MATCH($R262,'Driver Factors'!$B$6:$B$15,0)),""),7)="DECLINE",LEFT(IFERROR(INDEX('Driver Factors'!$D$28:$D$36,MATCH($T262,'Driver Factors'!$B$28:$B$36,0)),""),7)="DECLINE",LEFT(IFERROR(INDEX('Claims History'!$D$6:$D$15,MATCH($U262,'Claims History'!$B$6:$B$15,0)),""),7)="DECLINE",LEFT(IFERROR(INDEX('Usage and Coverage'!$E$6:$E$20,MATCH($N262,'Usage and Coverage'!$C$6:$C$20,0)),""),7)="DECLINE"),"DECLINE",IF(OR($CD262&gt;2.5,$CD262&gt;='Technical Premium'!$C$17,$J262&gt;='Technical Premium'!$C$16,N($AQ262)&lt;'Technical Premium'!$C$19,N($AQ262)&gt;'Technical Premium'!$C$20,LEFT(IFERROR(INDEX('Driver Factors'!$D$6:$D$15,MATCH($R262,'Driver Factors'!$B$6:$B$15,0)),""),5)="Refer",LEFT(IFERROR(INDEX('Driver Factors'!$D$28:$D$36,MATCH($T262,'Driver Factors'!$B$28:$B$36,0)),""),5)="Refer",LEFT(IFERROR(INDEX('Claims History'!$D$6:$D$15,MATCH($U262,'Claims History'!$B$6:$B$15,0)),""),5)="Refer",LEFT(IFERROR(INDEX('Usage and Coverage'!$E$6:$E$20,MATCH($N262,'Usage and Coverage'!$C$6:$C$20,0)),""),5)="Refer"),"REFER","AUTO-BIND"))))</f>
        <v/>
      </c>
      <c r="CY262" s="106" t="str">
        <f t="shared" si="63"/>
        <v/>
      </c>
      <c r="CZ262" s="97" t="str">
        <f>IF($CY262="","",IF($CY262&lt;'Technical Premium'!$C$19,"BEYOND AUTHORITY",IF($CY262&gt;0.005,"Above technical",IF($CY262&lt;-0.005,"BELOW technical","At technical"))))</f>
        <v/>
      </c>
      <c r="DA262" s="97" t="str">
        <f>IF($A262="","",IF($CX262="AUTO-BIND","",TRIM(IF($J262&lt;'Technical Premium'!$C$18,"Below programme minimum agreed value. ","")&amp;IF(N($AQ262)&lt;'Technical Premium'!$C$19,"DISCOUNT AUTHORITY BREACH. ","")&amp;IF(N($AQ262)&gt;'Technical Premium'!$C$20,"Load authority breach. ","")&amp;IF($J262&gt;='Technical Premium'!$C$16,"Agreed value at or above auto-bind limit. ","")&amp;IF(AND(ISNUMBER($CD262),$CD262&gt;='Technical Premium'!$C$17),"Composite factor at cap. ","")&amp;IF(AND(ISNUMBER($CD262),$CD262&gt;2.5),"Composite factor above 2.50. ","")&amp;IF(LEFT(IFERROR(INDEX('Driver Factors'!$D$6:$D$15,MATCH($R262,'Driver Factors'!$B$6:$B$15,0)),""),7)="DECLINE","DECLINE - driver age. ",IF(LEFT(IFERROR(INDEX('Driver Factors'!$D$6:$D$15,MATCH($R262,'Driver Factors'!$B$6:$B$15,0)),""),5)="Refer","Driver age band. ",""))&amp;IF(LEFT(IFERROR(INDEX('Driver Factors'!$D$28:$D$36,MATCH($T262,'Driver Factors'!$B$28:$B$36,0)),""),7)="DECLINE","DECLINE - MVR. ",IF(LEFT(IFERROR(INDEX('Driver Factors'!$D$28:$D$36,MATCH($T262,'Driver Factors'!$B$28:$B$36,0)),""),5)="Refer","MVR record. ",""))&amp;IF(LEFT(IFERROR(INDEX('Claims History'!$D$6:$D$15,MATCH($U262,'Claims History'!$B$6:$B$15,0)),""),7)="DECLINE","DECLINE - claims. ",IF(LEFT(IFERROR(INDEX('Claims History'!$D$6:$D$15,MATCH($U262,'Claims History'!$B$6:$B$15,0)),""),5)="Refer","Claims history. ",""))&amp;IF(LEFT(IFERROR(INDEX('Usage and Coverage'!$E$6:$E$20,MATCH($N262,'Usage and Coverage'!$C$6:$C$20,0)),""),7)="DECLINE","DECLINE - usage class. ",IF(LEFT(IFERROR(INDEX('Usage and Coverage'!$E$6:$E$20,MATCH($N262,'Usage and Coverage'!$C$6:$C$20,0)),""),5)="Refer","Usage class. ",""))&amp;IF($CX262="CHECK INPUTS","Incomplete inputs. ",""))))</f>
        <v/>
      </c>
      <c r="DB262" s="92"/>
      <c r="DC262" s="92"/>
      <c r="DD262" s="93"/>
      <c r="DE262" s="92"/>
      <c r="DF262" s="92"/>
      <c r="DG262" s="97" t="str">
        <f t="shared" si="64"/>
        <v/>
      </c>
      <c r="DH262" s="97" t="str">
        <f>IF($A262="","",IF(OR($CX262="REFER",$CX262="DECLINE"),COUNTIF($CX$5:$CX262,"REFER")+COUNTIF($CX$5:$CX262,"DECLINE"),""))</f>
        <v/>
      </c>
      <c r="DI262" s="92"/>
    </row>
    <row r="263" spans="1:113" x14ac:dyDescent="0.25">
      <c r="A263" s="92"/>
      <c r="B263" s="92"/>
      <c r="C263" s="93"/>
      <c r="D263" s="93"/>
      <c r="E263" s="94"/>
      <c r="F263" s="92"/>
      <c r="G263" s="92"/>
      <c r="H263" s="92"/>
      <c r="I263" s="92"/>
      <c r="J263" s="95"/>
      <c r="K263" s="92"/>
      <c r="L263" s="92"/>
      <c r="M263" s="92"/>
      <c r="N263" s="92"/>
      <c r="O263" s="92"/>
      <c r="P263" s="92"/>
      <c r="Q263" s="92"/>
      <c r="R263" s="92"/>
      <c r="S263" s="92"/>
      <c r="T263" s="92"/>
      <c r="U263" s="92"/>
      <c r="V263" s="92"/>
      <c r="W263" s="92"/>
      <c r="X263" s="92"/>
      <c r="Y263" s="92"/>
      <c r="Z263" s="92"/>
      <c r="AA263" s="92"/>
      <c r="AB263" s="92"/>
      <c r="AC263" s="92"/>
      <c r="AD263" s="92"/>
      <c r="AE263" s="92"/>
      <c r="AF263" s="92"/>
      <c r="AG263" s="92"/>
      <c r="AH263" s="92"/>
      <c r="AI263" s="92"/>
      <c r="AJ263" s="92"/>
      <c r="AK263" s="92"/>
      <c r="AL263" s="92"/>
      <c r="AM263" s="92"/>
      <c r="AN263" s="92"/>
      <c r="AO263" s="92"/>
      <c r="AP263" s="92"/>
      <c r="AQ263" s="96"/>
      <c r="AR263" s="97" t="str">
        <f t="shared" si="52"/>
        <v/>
      </c>
      <c r="AS263" s="97" t="str">
        <f>IF($A263="","",IF($AP263&lt;&gt;"",$AP263,IFERROR(INDEX('Cat Zone by ZIP'!$D$6:$D$856,MATCH($AR263,'Cat Zone by ZIP'!$B$6:$B$856,0)),IFERROR(INDEX('Cat Zone by ZIP'!$C$860:$C$910,MATCH($K263,'Cat Zone by ZIP'!$B$860:$B$910,0)),"NOT FOUND"))))</f>
        <v/>
      </c>
      <c r="AT263" s="97" t="str">
        <f>IF($A263="","",IF($AP263&lt;&gt;"","Override",IF(ISNUMBER(MATCH($AR263,'Cat Zone by ZIP'!$B$6:$B$856,0)),"ZIP-3","State default")))</f>
        <v/>
      </c>
      <c r="AU263" s="98" t="str">
        <f>IF($A263="","",IFERROR(INDEX('Natural Catastrophe'!$D$6:$D$17,MATCH($AS263,'Natural Catastrophe'!$B$6:$B$17,0)),"?"))</f>
        <v/>
      </c>
      <c r="AV263" s="98" t="str">
        <f>IF($A263="","",IFERROR(INDEX('Natural Catastrophe'!$C$21:$C$26,MATCH($AA263,'Natural Catastrophe'!$B$21:$B$26,0)),"?"))</f>
        <v/>
      </c>
      <c r="AW263" s="97" t="str">
        <f>IF($A263="","",IFERROR(INDEX('Base Rates'!$C$4:$I$4,MATCH(MAX($J263,'Technical Premium'!$C$18),'Base Rates'!$C$3:$I$3,1)),"?"))</f>
        <v/>
      </c>
      <c r="AX263" s="99" t="str">
        <f>IF($A263="","",IFERROR(INDEX('Base Rates'!$C$5:$I$16,MATCH($I263,'Base Rates'!$B$5:$B$16,0),MATCH(MAX($J263,'Technical Premium'!$C$18),'Base Rates'!$C$3:$I$3,1)),"?"))</f>
        <v/>
      </c>
      <c r="AY263" s="100" t="str">
        <f t="shared" si="53"/>
        <v/>
      </c>
      <c r="AZ263" s="97" t="str">
        <f>IF($A263="","",IFERROR(INDEX('Make Factors'!$G$5:$G$69,MATCH($F263,'Make Factors'!$B$5:$B$69,0)),"?"))</f>
        <v/>
      </c>
      <c r="BA263" s="97" t="str">
        <f>IF($A263="","",IFERROR(INDEX('Driver Factors'!$C$6:$C$15,MATCH($R263,'Driver Factors'!$B$6:$B$15,0)),"?"))</f>
        <v/>
      </c>
      <c r="BB263" s="97" t="str">
        <f>IF($A263="","",IFERROR(INDEX('Driver Factors'!$C$19:$C$24,MATCH($S263,'Driver Factors'!$B$19:$B$24,0)),"?"))</f>
        <v/>
      </c>
      <c r="BC263" s="97" t="str">
        <f>IF($A263="","",IFERROR(INDEX('Driver Factors'!$C$28:$C$36,MATCH($T263,'Driver Factors'!$B$28:$B$36,0)),"?"))</f>
        <v/>
      </c>
      <c r="BD263" s="97" t="str">
        <f>IF($A263="","",IFERROR(INDEX('Claims History'!$C$6:$C$15,MATCH($U263,'Claims History'!$B$6:$B$15,0)),"?"))</f>
        <v/>
      </c>
      <c r="BE263" s="97" t="str">
        <f>IF($A263="","",IFERROR(INDEX('Territory Factors'!$E$6:$E$56,MATCH($K263,'Territory Factors'!$B$6:$B$56,0)),"?"))</f>
        <v/>
      </c>
      <c r="BF263" s="97" t="str">
        <f>IF($A263="","",IFERROR(INDEX('City Accident Ratings'!$G$6:$G$54,MATCH($Z263,'City Accident Ratings'!$B$6:$B$54,0)),"?"))</f>
        <v/>
      </c>
      <c r="BG263" s="97" t="str">
        <f>IF($A263="","",IFERROR(INDEX('Usage and Coverage'!$D$6:$D$20,MATCH($N263,'Usage and Coverage'!$C$6:$C$20,0)),"?"))</f>
        <v/>
      </c>
      <c r="BH263" s="97" t="str">
        <f>IF($A263="","",IFERROR(INDEX('Usage and Coverage'!$C$24:$C$30,MATCH($O263,'Usage and Coverage'!$B$24:$B$30,0)),"?"))</f>
        <v/>
      </c>
      <c r="BI263" s="97" t="str">
        <f>IF($A263="","",IFERROR(INDEX('Usage and Coverage'!$C$34:$C$40,MATCH($P263,'Usage and Coverage'!$B$34:$B$40,0)),"?"))</f>
        <v/>
      </c>
      <c r="BJ263" s="97" t="str">
        <f>IF($A263="","",IFERROR(INDEX('Usage and Coverage'!$C$44:$C$49,MATCH($Q263,'Usage and Coverage'!$B$44:$B$49,0)),"?"))</f>
        <v/>
      </c>
      <c r="BK263" s="97" t="str">
        <f>IF($A263="","",IFERROR(INDEX(Deductibles!$C$6:$I$15,MATCH($W263,Deductibles!$B$6:$B$15,0),MATCH(MAX($J263,'Technical Premium'!$C$18),'Base Rates'!$C$3:$I$3,1)),"?"))</f>
        <v/>
      </c>
      <c r="BL263" s="97" t="str">
        <f>IF($A263="","",IFERROR(INDEX('Usage and Coverage'!$C$63:$C$66,MATCH($X263,'Usage and Coverage'!$B$63:$B$66,0)),"?"))</f>
        <v/>
      </c>
      <c r="BM263" s="97" t="str">
        <f>IF($A263="","",IFERROR(INDEX('Usage and Coverage'!$C$70:$C$75,MATCH($V263,'Usage and Coverage'!$B$70:$B$75,0)),"?"))</f>
        <v/>
      </c>
      <c r="BN263" s="97" t="str">
        <f>IF($A263="","",IF($AB263="",1,IFERROR(INDEX(Deductibles!$C$48:$C$51,MATCH($AB263,Deductibles!$B$48:$B$51,0)),"?")))</f>
        <v/>
      </c>
      <c r="BO263" s="97" t="str">
        <f>IF($A263="","",IF($AC263="",1,IFERROR(INDEX(Deductibles!$C$55:$C$57,MATCH($AC263,Deductibles!$B$55:$B$57,0)),"?")))</f>
        <v/>
      </c>
      <c r="BP263" s="97" t="str">
        <f>IF($A263="","",IF($AD263="",1,IFERROR(INDEX(Deductibles!$C$61:$C$63,MATCH($AD263,Deductibles!$B$61:$B$63,0)),"?")))</f>
        <v/>
      </c>
      <c r="BQ263" s="97" t="str">
        <f>IF($A263="","",IF($AE263="",1,IFERROR(INDEX(Deductibles!$C$67:$C$69,MATCH($AE263,Deductibles!$B$67:$B$69,0)),"?")))</f>
        <v/>
      </c>
      <c r="BR263" s="97" t="str">
        <f>IF($A263="","",IF($AF263="",1,IFERROR(INDEX(Deductibles!$C$73:$C$74,MATCH($AF263,Deductibles!$B$73:$B$74,0)),"?")))</f>
        <v/>
      </c>
      <c r="BS263" s="97" t="str">
        <f>IF($A263="","",IF($AG263="",1,IFERROR(INDEX('Sublimits and Parts'!$C$49:$C$52,MATCH($AG263,'Sublimits and Parts'!$B$49:$B$52,0)),"?")))</f>
        <v/>
      </c>
      <c r="BT263" s="97" t="str">
        <f>IF($A263="","",IF($AH263="",1,IFERROR(INDEX('Sublimits and Parts'!$C$56:$C$60,MATCH($AH263,'Sublimits and Parts'!$B$56:$B$60,0)),"?")))</f>
        <v/>
      </c>
      <c r="BU263" s="97" t="str">
        <f>IF($A263="","",IF($AI263="",1,IFERROR(INDEX('Sublimits and Parts'!$C$64:$C$67,MATCH($AI263,'Sublimits and Parts'!$B$64:$B$67,0)),"?")))</f>
        <v/>
      </c>
      <c r="BV263" s="97" t="str">
        <f>IF($A263="","",IF($AJ263="",1,IFERROR(INDEX('Sublimits and Parts'!$C$71:$C$74,MATCH($AJ263,'Sublimits and Parts'!$B$71:$B$74,0)),"?")))</f>
        <v/>
      </c>
      <c r="BW263" s="97" t="str">
        <f>IF($A263="","",IF($AK263="",1,IFERROR(INDEX('Sublimits and Parts'!$C$78:$C$80,MATCH($AK263,'Sublimits and Parts'!$B$78:$B$80,0)),"?")))</f>
        <v/>
      </c>
      <c r="BX263" s="97" t="str">
        <f>IF($A263="","",IF($AL263="",1,IFERROR(INDEX('Sublimits and Parts'!$C$84:$C$87,MATCH($AL263,'Sublimits and Parts'!$B$84:$B$87,0)),"?")))</f>
        <v/>
      </c>
      <c r="BY263" s="97" t="str">
        <f>IF($A263="","",IF($AM263="",1,IFERROR(INDEX('Sublimits and Parts'!$C$91:$C$94,MATCH($AM263,'Sublimits and Parts'!$B$91:$B$94,0)),"?")))</f>
        <v/>
      </c>
      <c r="BZ263" s="97" t="str">
        <f>IF($A263="","",IF($AN263="",1,IFERROR(INDEX('Sublimits and Parts'!$C$98:$C$101,MATCH($AN263,'Sublimits and Parts'!$B$98:$B$101,0)),"?")))</f>
        <v/>
      </c>
      <c r="CA263" s="97" t="str">
        <f>IF($A263="","",IF($AO263="",1,IFERROR(INDEX('Sublimits and Parts'!$C$105:$C$109,MATCH($AO263,'Sublimits and Parts'!$B$105:$B$109,0)),"?")))</f>
        <v/>
      </c>
      <c r="CB263" s="98" t="str">
        <f t="shared" si="54"/>
        <v/>
      </c>
      <c r="CC263" s="98" t="str">
        <f t="shared" si="55"/>
        <v/>
      </c>
      <c r="CD263" s="101" t="str">
        <f>IF($A263="","",IF(OR($CB263="?",$CC263="?"),"?",MIN($CB263*$CC263,'Technical Premium'!$C$17)))</f>
        <v/>
      </c>
      <c r="CE263" s="100" t="str">
        <f t="shared" si="56"/>
        <v/>
      </c>
      <c r="CF263" s="100" t="str">
        <f>IF($A263="","",IFERROR(INDEX('Territory Factors'!$F$6:$F$56,MATCH($K263,'Territory Factors'!$B$6:$B$56,0)),"?"))</f>
        <v/>
      </c>
      <c r="CG263" s="98" t="str">
        <f>IF($A263="","",IFERROR(INDEX('Usage and Coverage'!$C$79:$C$84,MATCH($Y263,'Usage and Coverage'!$B$79:$B$84,0)),"?"))</f>
        <v/>
      </c>
      <c r="CH263" s="100" t="str">
        <f>IFERROR(IF(ISNUMBER($CD263),$CF263*$CG263*MIN($BG263*$BA263*$BC263*$BD263*$BH263*$BF263,'Technical Premium'!$C$17),""),"")</f>
        <v/>
      </c>
      <c r="CI263" s="100" t="str">
        <f t="shared" si="57"/>
        <v/>
      </c>
      <c r="CJ263" s="100" t="str">
        <f>IFERROR($CI263*(1+'Technical Premium'!$C$5)*(1+'Technical Premium'!$C$6),"")</f>
        <v/>
      </c>
      <c r="CK263" s="100" t="str">
        <f>IFERROR($CE263*INDEX('Territory Factors'!$G$6:$G$56,MATCH($K263,'Territory Factors'!$B$6:$B$56,0))*$AU263*$AV263,"")</f>
        <v/>
      </c>
      <c r="CL263" s="100" t="str">
        <f>IFERROR(($CJ263+$CK263)*(1+'Technical Premium'!$C$7),"")</f>
        <v/>
      </c>
      <c r="CM263" s="102" t="str">
        <f>IFERROR($CL263/'Technical Premium'!$C$13,"")</f>
        <v/>
      </c>
      <c r="CN263" s="103" t="str">
        <f t="shared" si="58"/>
        <v/>
      </c>
      <c r="CO263" s="102" t="str">
        <f t="shared" si="59"/>
        <v/>
      </c>
      <c r="CP263" s="103" t="str">
        <f t="shared" si="60"/>
        <v/>
      </c>
      <c r="CQ263" s="104" t="str">
        <f t="shared" si="61"/>
        <v/>
      </c>
      <c r="CR263" s="100" t="str">
        <f>IF(ISNUMBER($CM263),'Technical Premium'!$C$14+IF($J263&gt;=1000000,'Technical Premium'!$C$15,0),"")</f>
        <v/>
      </c>
      <c r="CS263" s="100" t="str">
        <f>IFERROR(($CO263+$CR263)*(INDEX('Territory Factors'!$K$6:$K$56,MATCH($K263,'Territory Factors'!$B$6:$B$56,0))+'Commission Structure'!$C$21),"")</f>
        <v/>
      </c>
      <c r="CT263" s="102" t="str">
        <f t="shared" si="62"/>
        <v/>
      </c>
      <c r="CU263" s="100" t="str">
        <f>IFERROR($CO263*('Commission Structure'!$C$6+'Commission Structure'!$C$7),"")</f>
        <v/>
      </c>
      <c r="CV263" s="100" t="str">
        <f>IFERROR($CO263*'Commission Structure'!$C$5-$CU263,"")</f>
        <v/>
      </c>
      <c r="CW263" s="100" t="str">
        <f>IFERROR($CO263*(1-'Commission Structure'!$C$5),"")</f>
        <v/>
      </c>
      <c r="CX263" s="105" t="str">
        <f>IF($A263="","",IF(OR($CB263="?",$CC263="?",NOT(ISNUMBER($AU263))),"CHECK INPUTS",IF(OR($J263&lt;'Technical Premium'!$C$18,LEFT(IFERROR(INDEX('Driver Factors'!$D$6:$D$15,MATCH($R263,'Driver Factors'!$B$6:$B$15,0)),""),7)="DECLINE",LEFT(IFERROR(INDEX('Driver Factors'!$D$28:$D$36,MATCH($T263,'Driver Factors'!$B$28:$B$36,0)),""),7)="DECLINE",LEFT(IFERROR(INDEX('Claims History'!$D$6:$D$15,MATCH($U263,'Claims History'!$B$6:$B$15,0)),""),7)="DECLINE",LEFT(IFERROR(INDEX('Usage and Coverage'!$E$6:$E$20,MATCH($N263,'Usage and Coverage'!$C$6:$C$20,0)),""),7)="DECLINE"),"DECLINE",IF(OR($CD263&gt;2.5,$CD263&gt;='Technical Premium'!$C$17,$J263&gt;='Technical Premium'!$C$16,N($AQ263)&lt;'Technical Premium'!$C$19,N($AQ263)&gt;'Technical Premium'!$C$20,LEFT(IFERROR(INDEX('Driver Factors'!$D$6:$D$15,MATCH($R263,'Driver Factors'!$B$6:$B$15,0)),""),5)="Refer",LEFT(IFERROR(INDEX('Driver Factors'!$D$28:$D$36,MATCH($T263,'Driver Factors'!$B$28:$B$36,0)),""),5)="Refer",LEFT(IFERROR(INDEX('Claims History'!$D$6:$D$15,MATCH($U263,'Claims History'!$B$6:$B$15,0)),""),5)="Refer",LEFT(IFERROR(INDEX('Usage and Coverage'!$E$6:$E$20,MATCH($N263,'Usage and Coverage'!$C$6:$C$20,0)),""),5)="Refer"),"REFER","AUTO-BIND"))))</f>
        <v/>
      </c>
      <c r="CY263" s="106" t="str">
        <f t="shared" si="63"/>
        <v/>
      </c>
      <c r="CZ263" s="97" t="str">
        <f>IF($CY263="","",IF($CY263&lt;'Technical Premium'!$C$19,"BEYOND AUTHORITY",IF($CY263&gt;0.005,"Above technical",IF($CY263&lt;-0.005,"BELOW technical","At technical"))))</f>
        <v/>
      </c>
      <c r="DA263" s="97" t="str">
        <f>IF($A263="","",IF($CX263="AUTO-BIND","",TRIM(IF($J263&lt;'Technical Premium'!$C$18,"Below programme minimum agreed value. ","")&amp;IF(N($AQ263)&lt;'Technical Premium'!$C$19,"DISCOUNT AUTHORITY BREACH. ","")&amp;IF(N($AQ263)&gt;'Technical Premium'!$C$20,"Load authority breach. ","")&amp;IF($J263&gt;='Technical Premium'!$C$16,"Agreed value at or above auto-bind limit. ","")&amp;IF(AND(ISNUMBER($CD263),$CD263&gt;='Technical Premium'!$C$17),"Composite factor at cap. ","")&amp;IF(AND(ISNUMBER($CD263),$CD263&gt;2.5),"Composite factor above 2.50. ","")&amp;IF(LEFT(IFERROR(INDEX('Driver Factors'!$D$6:$D$15,MATCH($R263,'Driver Factors'!$B$6:$B$15,0)),""),7)="DECLINE","DECLINE - driver age. ",IF(LEFT(IFERROR(INDEX('Driver Factors'!$D$6:$D$15,MATCH($R263,'Driver Factors'!$B$6:$B$15,0)),""),5)="Refer","Driver age band. ",""))&amp;IF(LEFT(IFERROR(INDEX('Driver Factors'!$D$28:$D$36,MATCH($T263,'Driver Factors'!$B$28:$B$36,0)),""),7)="DECLINE","DECLINE - MVR. ",IF(LEFT(IFERROR(INDEX('Driver Factors'!$D$28:$D$36,MATCH($T263,'Driver Factors'!$B$28:$B$36,0)),""),5)="Refer","MVR record. ",""))&amp;IF(LEFT(IFERROR(INDEX('Claims History'!$D$6:$D$15,MATCH($U263,'Claims History'!$B$6:$B$15,0)),""),7)="DECLINE","DECLINE - claims. ",IF(LEFT(IFERROR(INDEX('Claims History'!$D$6:$D$15,MATCH($U263,'Claims History'!$B$6:$B$15,0)),""),5)="Refer","Claims history. ",""))&amp;IF(LEFT(IFERROR(INDEX('Usage and Coverage'!$E$6:$E$20,MATCH($N263,'Usage and Coverage'!$C$6:$C$20,0)),""),7)="DECLINE","DECLINE - usage class. ",IF(LEFT(IFERROR(INDEX('Usage and Coverage'!$E$6:$E$20,MATCH($N263,'Usage and Coverage'!$C$6:$C$20,0)),""),5)="Refer","Usage class. ",""))&amp;IF($CX263="CHECK INPUTS","Incomplete inputs. ",""))))</f>
        <v/>
      </c>
      <c r="DB263" s="92"/>
      <c r="DC263" s="92"/>
      <c r="DD263" s="93"/>
      <c r="DE263" s="92"/>
      <c r="DF263" s="92"/>
      <c r="DG263" s="97" t="str">
        <f t="shared" si="64"/>
        <v/>
      </c>
      <c r="DH263" s="97" t="str">
        <f>IF($A263="","",IF(OR($CX263="REFER",$CX263="DECLINE"),COUNTIF($CX$5:$CX263,"REFER")+COUNTIF($CX$5:$CX263,"DECLINE"),""))</f>
        <v/>
      </c>
      <c r="DI263" s="92"/>
    </row>
    <row r="264" spans="1:113" x14ac:dyDescent="0.25">
      <c r="A264" s="92"/>
      <c r="B264" s="92"/>
      <c r="C264" s="93"/>
      <c r="D264" s="93"/>
      <c r="E264" s="94"/>
      <c r="F264" s="92"/>
      <c r="G264" s="92"/>
      <c r="H264" s="92"/>
      <c r="I264" s="92"/>
      <c r="J264" s="95"/>
      <c r="K264" s="92"/>
      <c r="L264" s="92"/>
      <c r="M264" s="92"/>
      <c r="N264" s="92"/>
      <c r="O264" s="92"/>
      <c r="P264" s="92"/>
      <c r="Q264" s="92"/>
      <c r="R264" s="92"/>
      <c r="S264" s="92"/>
      <c r="T264" s="92"/>
      <c r="U264" s="92"/>
      <c r="V264" s="92"/>
      <c r="W264" s="92"/>
      <c r="X264" s="92"/>
      <c r="Y264" s="92"/>
      <c r="Z264" s="92"/>
      <c r="AA264" s="92"/>
      <c r="AB264" s="92"/>
      <c r="AC264" s="92"/>
      <c r="AD264" s="92"/>
      <c r="AE264" s="92"/>
      <c r="AF264" s="92"/>
      <c r="AG264" s="92"/>
      <c r="AH264" s="92"/>
      <c r="AI264" s="92"/>
      <c r="AJ264" s="92"/>
      <c r="AK264" s="92"/>
      <c r="AL264" s="92"/>
      <c r="AM264" s="92"/>
      <c r="AN264" s="92"/>
      <c r="AO264" s="92"/>
      <c r="AP264" s="92"/>
      <c r="AQ264" s="96"/>
      <c r="AR264" s="97" t="str">
        <f t="shared" si="52"/>
        <v/>
      </c>
      <c r="AS264" s="97" t="str">
        <f>IF($A264="","",IF($AP264&lt;&gt;"",$AP264,IFERROR(INDEX('Cat Zone by ZIP'!$D$6:$D$856,MATCH($AR264,'Cat Zone by ZIP'!$B$6:$B$856,0)),IFERROR(INDEX('Cat Zone by ZIP'!$C$860:$C$910,MATCH($K264,'Cat Zone by ZIP'!$B$860:$B$910,0)),"NOT FOUND"))))</f>
        <v/>
      </c>
      <c r="AT264" s="97" t="str">
        <f>IF($A264="","",IF($AP264&lt;&gt;"","Override",IF(ISNUMBER(MATCH($AR264,'Cat Zone by ZIP'!$B$6:$B$856,0)),"ZIP-3","State default")))</f>
        <v/>
      </c>
      <c r="AU264" s="98" t="str">
        <f>IF($A264="","",IFERROR(INDEX('Natural Catastrophe'!$D$6:$D$17,MATCH($AS264,'Natural Catastrophe'!$B$6:$B$17,0)),"?"))</f>
        <v/>
      </c>
      <c r="AV264" s="98" t="str">
        <f>IF($A264="","",IFERROR(INDEX('Natural Catastrophe'!$C$21:$C$26,MATCH($AA264,'Natural Catastrophe'!$B$21:$B$26,0)),"?"))</f>
        <v/>
      </c>
      <c r="AW264" s="97" t="str">
        <f>IF($A264="","",IFERROR(INDEX('Base Rates'!$C$4:$I$4,MATCH(MAX($J264,'Technical Premium'!$C$18),'Base Rates'!$C$3:$I$3,1)),"?"))</f>
        <v/>
      </c>
      <c r="AX264" s="99" t="str">
        <f>IF($A264="","",IFERROR(INDEX('Base Rates'!$C$5:$I$16,MATCH($I264,'Base Rates'!$B$5:$B$16,0),MATCH(MAX($J264,'Technical Premium'!$C$18),'Base Rates'!$C$3:$I$3,1)),"?"))</f>
        <v/>
      </c>
      <c r="AY264" s="100" t="str">
        <f t="shared" si="53"/>
        <v/>
      </c>
      <c r="AZ264" s="97" t="str">
        <f>IF($A264="","",IFERROR(INDEX('Make Factors'!$G$5:$G$69,MATCH($F264,'Make Factors'!$B$5:$B$69,0)),"?"))</f>
        <v/>
      </c>
      <c r="BA264" s="97" t="str">
        <f>IF($A264="","",IFERROR(INDEX('Driver Factors'!$C$6:$C$15,MATCH($R264,'Driver Factors'!$B$6:$B$15,0)),"?"))</f>
        <v/>
      </c>
      <c r="BB264" s="97" t="str">
        <f>IF($A264="","",IFERROR(INDEX('Driver Factors'!$C$19:$C$24,MATCH($S264,'Driver Factors'!$B$19:$B$24,0)),"?"))</f>
        <v/>
      </c>
      <c r="BC264" s="97" t="str">
        <f>IF($A264="","",IFERROR(INDEX('Driver Factors'!$C$28:$C$36,MATCH($T264,'Driver Factors'!$B$28:$B$36,0)),"?"))</f>
        <v/>
      </c>
      <c r="BD264" s="97" t="str">
        <f>IF($A264="","",IFERROR(INDEX('Claims History'!$C$6:$C$15,MATCH($U264,'Claims History'!$B$6:$B$15,0)),"?"))</f>
        <v/>
      </c>
      <c r="BE264" s="97" t="str">
        <f>IF($A264="","",IFERROR(INDEX('Territory Factors'!$E$6:$E$56,MATCH($K264,'Territory Factors'!$B$6:$B$56,0)),"?"))</f>
        <v/>
      </c>
      <c r="BF264" s="97" t="str">
        <f>IF($A264="","",IFERROR(INDEX('City Accident Ratings'!$G$6:$G$54,MATCH($Z264,'City Accident Ratings'!$B$6:$B$54,0)),"?"))</f>
        <v/>
      </c>
      <c r="BG264" s="97" t="str">
        <f>IF($A264="","",IFERROR(INDEX('Usage and Coverage'!$D$6:$D$20,MATCH($N264,'Usage and Coverage'!$C$6:$C$20,0)),"?"))</f>
        <v/>
      </c>
      <c r="BH264" s="97" t="str">
        <f>IF($A264="","",IFERROR(INDEX('Usage and Coverage'!$C$24:$C$30,MATCH($O264,'Usage and Coverage'!$B$24:$B$30,0)),"?"))</f>
        <v/>
      </c>
      <c r="BI264" s="97" t="str">
        <f>IF($A264="","",IFERROR(INDEX('Usage and Coverage'!$C$34:$C$40,MATCH($P264,'Usage and Coverage'!$B$34:$B$40,0)),"?"))</f>
        <v/>
      </c>
      <c r="BJ264" s="97" t="str">
        <f>IF($A264="","",IFERROR(INDEX('Usage and Coverage'!$C$44:$C$49,MATCH($Q264,'Usage and Coverage'!$B$44:$B$49,0)),"?"))</f>
        <v/>
      </c>
      <c r="BK264" s="97" t="str">
        <f>IF($A264="","",IFERROR(INDEX(Deductibles!$C$6:$I$15,MATCH($W264,Deductibles!$B$6:$B$15,0),MATCH(MAX($J264,'Technical Premium'!$C$18),'Base Rates'!$C$3:$I$3,1)),"?"))</f>
        <v/>
      </c>
      <c r="BL264" s="97" t="str">
        <f>IF($A264="","",IFERROR(INDEX('Usage and Coverage'!$C$63:$C$66,MATCH($X264,'Usage and Coverage'!$B$63:$B$66,0)),"?"))</f>
        <v/>
      </c>
      <c r="BM264" s="97" t="str">
        <f>IF($A264="","",IFERROR(INDEX('Usage and Coverage'!$C$70:$C$75,MATCH($V264,'Usage and Coverage'!$B$70:$B$75,0)),"?"))</f>
        <v/>
      </c>
      <c r="BN264" s="97" t="str">
        <f>IF($A264="","",IF($AB264="",1,IFERROR(INDEX(Deductibles!$C$48:$C$51,MATCH($AB264,Deductibles!$B$48:$B$51,0)),"?")))</f>
        <v/>
      </c>
      <c r="BO264" s="97" t="str">
        <f>IF($A264="","",IF($AC264="",1,IFERROR(INDEX(Deductibles!$C$55:$C$57,MATCH($AC264,Deductibles!$B$55:$B$57,0)),"?")))</f>
        <v/>
      </c>
      <c r="BP264" s="97" t="str">
        <f>IF($A264="","",IF($AD264="",1,IFERROR(INDEX(Deductibles!$C$61:$C$63,MATCH($AD264,Deductibles!$B$61:$B$63,0)),"?")))</f>
        <v/>
      </c>
      <c r="BQ264" s="97" t="str">
        <f>IF($A264="","",IF($AE264="",1,IFERROR(INDEX(Deductibles!$C$67:$C$69,MATCH($AE264,Deductibles!$B$67:$B$69,0)),"?")))</f>
        <v/>
      </c>
      <c r="BR264" s="97" t="str">
        <f>IF($A264="","",IF($AF264="",1,IFERROR(INDEX(Deductibles!$C$73:$C$74,MATCH($AF264,Deductibles!$B$73:$B$74,0)),"?")))</f>
        <v/>
      </c>
      <c r="BS264" s="97" t="str">
        <f>IF($A264="","",IF($AG264="",1,IFERROR(INDEX('Sublimits and Parts'!$C$49:$C$52,MATCH($AG264,'Sublimits and Parts'!$B$49:$B$52,0)),"?")))</f>
        <v/>
      </c>
      <c r="BT264" s="97" t="str">
        <f>IF($A264="","",IF($AH264="",1,IFERROR(INDEX('Sublimits and Parts'!$C$56:$C$60,MATCH($AH264,'Sublimits and Parts'!$B$56:$B$60,0)),"?")))</f>
        <v/>
      </c>
      <c r="BU264" s="97" t="str">
        <f>IF($A264="","",IF($AI264="",1,IFERROR(INDEX('Sublimits and Parts'!$C$64:$C$67,MATCH($AI264,'Sublimits and Parts'!$B$64:$B$67,0)),"?")))</f>
        <v/>
      </c>
      <c r="BV264" s="97" t="str">
        <f>IF($A264="","",IF($AJ264="",1,IFERROR(INDEX('Sublimits and Parts'!$C$71:$C$74,MATCH($AJ264,'Sublimits and Parts'!$B$71:$B$74,0)),"?")))</f>
        <v/>
      </c>
      <c r="BW264" s="97" t="str">
        <f>IF($A264="","",IF($AK264="",1,IFERROR(INDEX('Sublimits and Parts'!$C$78:$C$80,MATCH($AK264,'Sublimits and Parts'!$B$78:$B$80,0)),"?")))</f>
        <v/>
      </c>
      <c r="BX264" s="97" t="str">
        <f>IF($A264="","",IF($AL264="",1,IFERROR(INDEX('Sublimits and Parts'!$C$84:$C$87,MATCH($AL264,'Sublimits and Parts'!$B$84:$B$87,0)),"?")))</f>
        <v/>
      </c>
      <c r="BY264" s="97" t="str">
        <f>IF($A264="","",IF($AM264="",1,IFERROR(INDEX('Sublimits and Parts'!$C$91:$C$94,MATCH($AM264,'Sublimits and Parts'!$B$91:$B$94,0)),"?")))</f>
        <v/>
      </c>
      <c r="BZ264" s="97" t="str">
        <f>IF($A264="","",IF($AN264="",1,IFERROR(INDEX('Sublimits and Parts'!$C$98:$C$101,MATCH($AN264,'Sublimits and Parts'!$B$98:$B$101,0)),"?")))</f>
        <v/>
      </c>
      <c r="CA264" s="97" t="str">
        <f>IF($A264="","",IF($AO264="",1,IFERROR(INDEX('Sublimits and Parts'!$C$105:$C$109,MATCH($AO264,'Sublimits and Parts'!$B$105:$B$109,0)),"?")))</f>
        <v/>
      </c>
      <c r="CB264" s="98" t="str">
        <f t="shared" si="54"/>
        <v/>
      </c>
      <c r="CC264" s="98" t="str">
        <f t="shared" si="55"/>
        <v/>
      </c>
      <c r="CD264" s="101" t="str">
        <f>IF($A264="","",IF(OR($CB264="?",$CC264="?"),"?",MIN($CB264*$CC264,'Technical Premium'!$C$17)))</f>
        <v/>
      </c>
      <c r="CE264" s="100" t="str">
        <f t="shared" si="56"/>
        <v/>
      </c>
      <c r="CF264" s="100" t="str">
        <f>IF($A264="","",IFERROR(INDEX('Territory Factors'!$F$6:$F$56,MATCH($K264,'Territory Factors'!$B$6:$B$56,0)),"?"))</f>
        <v/>
      </c>
      <c r="CG264" s="98" t="str">
        <f>IF($A264="","",IFERROR(INDEX('Usage and Coverage'!$C$79:$C$84,MATCH($Y264,'Usage and Coverage'!$B$79:$B$84,0)),"?"))</f>
        <v/>
      </c>
      <c r="CH264" s="100" t="str">
        <f>IFERROR(IF(ISNUMBER($CD264),$CF264*$CG264*MIN($BG264*$BA264*$BC264*$BD264*$BH264*$BF264,'Technical Premium'!$C$17),""),"")</f>
        <v/>
      </c>
      <c r="CI264" s="100" t="str">
        <f t="shared" si="57"/>
        <v/>
      </c>
      <c r="CJ264" s="100" t="str">
        <f>IFERROR($CI264*(1+'Technical Premium'!$C$5)*(1+'Technical Premium'!$C$6),"")</f>
        <v/>
      </c>
      <c r="CK264" s="100" t="str">
        <f>IFERROR($CE264*INDEX('Territory Factors'!$G$6:$G$56,MATCH($K264,'Territory Factors'!$B$6:$B$56,0))*$AU264*$AV264,"")</f>
        <v/>
      </c>
      <c r="CL264" s="100" t="str">
        <f>IFERROR(($CJ264+$CK264)*(1+'Technical Premium'!$C$7),"")</f>
        <v/>
      </c>
      <c r="CM264" s="102" t="str">
        <f>IFERROR($CL264/'Technical Premium'!$C$13,"")</f>
        <v/>
      </c>
      <c r="CN264" s="103" t="str">
        <f t="shared" si="58"/>
        <v/>
      </c>
      <c r="CO264" s="102" t="str">
        <f t="shared" si="59"/>
        <v/>
      </c>
      <c r="CP264" s="103" t="str">
        <f t="shared" si="60"/>
        <v/>
      </c>
      <c r="CQ264" s="104" t="str">
        <f t="shared" si="61"/>
        <v/>
      </c>
      <c r="CR264" s="100" t="str">
        <f>IF(ISNUMBER($CM264),'Technical Premium'!$C$14+IF($J264&gt;=1000000,'Technical Premium'!$C$15,0),"")</f>
        <v/>
      </c>
      <c r="CS264" s="100" t="str">
        <f>IFERROR(($CO264+$CR264)*(INDEX('Territory Factors'!$K$6:$K$56,MATCH($K264,'Territory Factors'!$B$6:$B$56,0))+'Commission Structure'!$C$21),"")</f>
        <v/>
      </c>
      <c r="CT264" s="102" t="str">
        <f t="shared" si="62"/>
        <v/>
      </c>
      <c r="CU264" s="100" t="str">
        <f>IFERROR($CO264*('Commission Structure'!$C$6+'Commission Structure'!$C$7),"")</f>
        <v/>
      </c>
      <c r="CV264" s="100" t="str">
        <f>IFERROR($CO264*'Commission Structure'!$C$5-$CU264,"")</f>
        <v/>
      </c>
      <c r="CW264" s="100" t="str">
        <f>IFERROR($CO264*(1-'Commission Structure'!$C$5),"")</f>
        <v/>
      </c>
      <c r="CX264" s="105" t="str">
        <f>IF($A264="","",IF(OR($CB264="?",$CC264="?",NOT(ISNUMBER($AU264))),"CHECK INPUTS",IF(OR($J264&lt;'Technical Premium'!$C$18,LEFT(IFERROR(INDEX('Driver Factors'!$D$6:$D$15,MATCH($R264,'Driver Factors'!$B$6:$B$15,0)),""),7)="DECLINE",LEFT(IFERROR(INDEX('Driver Factors'!$D$28:$D$36,MATCH($T264,'Driver Factors'!$B$28:$B$36,0)),""),7)="DECLINE",LEFT(IFERROR(INDEX('Claims History'!$D$6:$D$15,MATCH($U264,'Claims History'!$B$6:$B$15,0)),""),7)="DECLINE",LEFT(IFERROR(INDEX('Usage and Coverage'!$E$6:$E$20,MATCH($N264,'Usage and Coverage'!$C$6:$C$20,0)),""),7)="DECLINE"),"DECLINE",IF(OR($CD264&gt;2.5,$CD264&gt;='Technical Premium'!$C$17,$J264&gt;='Technical Premium'!$C$16,N($AQ264)&lt;'Technical Premium'!$C$19,N($AQ264)&gt;'Technical Premium'!$C$20,LEFT(IFERROR(INDEX('Driver Factors'!$D$6:$D$15,MATCH($R264,'Driver Factors'!$B$6:$B$15,0)),""),5)="Refer",LEFT(IFERROR(INDEX('Driver Factors'!$D$28:$D$36,MATCH($T264,'Driver Factors'!$B$28:$B$36,0)),""),5)="Refer",LEFT(IFERROR(INDEX('Claims History'!$D$6:$D$15,MATCH($U264,'Claims History'!$B$6:$B$15,0)),""),5)="Refer",LEFT(IFERROR(INDEX('Usage and Coverage'!$E$6:$E$20,MATCH($N264,'Usage and Coverage'!$C$6:$C$20,0)),""),5)="Refer"),"REFER","AUTO-BIND"))))</f>
        <v/>
      </c>
      <c r="CY264" s="106" t="str">
        <f t="shared" si="63"/>
        <v/>
      </c>
      <c r="CZ264" s="97" t="str">
        <f>IF($CY264="","",IF($CY264&lt;'Technical Premium'!$C$19,"BEYOND AUTHORITY",IF($CY264&gt;0.005,"Above technical",IF($CY264&lt;-0.005,"BELOW technical","At technical"))))</f>
        <v/>
      </c>
      <c r="DA264" s="97" t="str">
        <f>IF($A264="","",IF($CX264="AUTO-BIND","",TRIM(IF($J264&lt;'Technical Premium'!$C$18,"Below programme minimum agreed value. ","")&amp;IF(N($AQ264)&lt;'Technical Premium'!$C$19,"DISCOUNT AUTHORITY BREACH. ","")&amp;IF(N($AQ264)&gt;'Technical Premium'!$C$20,"Load authority breach. ","")&amp;IF($J264&gt;='Technical Premium'!$C$16,"Agreed value at or above auto-bind limit. ","")&amp;IF(AND(ISNUMBER($CD264),$CD264&gt;='Technical Premium'!$C$17),"Composite factor at cap. ","")&amp;IF(AND(ISNUMBER($CD264),$CD264&gt;2.5),"Composite factor above 2.50. ","")&amp;IF(LEFT(IFERROR(INDEX('Driver Factors'!$D$6:$D$15,MATCH($R264,'Driver Factors'!$B$6:$B$15,0)),""),7)="DECLINE","DECLINE - driver age. ",IF(LEFT(IFERROR(INDEX('Driver Factors'!$D$6:$D$15,MATCH($R264,'Driver Factors'!$B$6:$B$15,0)),""),5)="Refer","Driver age band. ",""))&amp;IF(LEFT(IFERROR(INDEX('Driver Factors'!$D$28:$D$36,MATCH($T264,'Driver Factors'!$B$28:$B$36,0)),""),7)="DECLINE","DECLINE - MVR. ",IF(LEFT(IFERROR(INDEX('Driver Factors'!$D$28:$D$36,MATCH($T264,'Driver Factors'!$B$28:$B$36,0)),""),5)="Refer","MVR record. ",""))&amp;IF(LEFT(IFERROR(INDEX('Claims History'!$D$6:$D$15,MATCH($U264,'Claims History'!$B$6:$B$15,0)),""),7)="DECLINE","DECLINE - claims. ",IF(LEFT(IFERROR(INDEX('Claims History'!$D$6:$D$15,MATCH($U264,'Claims History'!$B$6:$B$15,0)),""),5)="Refer","Claims history. ",""))&amp;IF(LEFT(IFERROR(INDEX('Usage and Coverage'!$E$6:$E$20,MATCH($N264,'Usage and Coverage'!$C$6:$C$20,0)),""),7)="DECLINE","DECLINE - usage class. ",IF(LEFT(IFERROR(INDEX('Usage and Coverage'!$E$6:$E$20,MATCH($N264,'Usage and Coverage'!$C$6:$C$20,0)),""),5)="Refer","Usage class. ",""))&amp;IF($CX264="CHECK INPUTS","Incomplete inputs. ",""))))</f>
        <v/>
      </c>
      <c r="DB264" s="92"/>
      <c r="DC264" s="92"/>
      <c r="DD264" s="93"/>
      <c r="DE264" s="92"/>
      <c r="DF264" s="92"/>
      <c r="DG264" s="97" t="str">
        <f t="shared" si="64"/>
        <v/>
      </c>
      <c r="DH264" s="97" t="str">
        <f>IF($A264="","",IF(OR($CX264="REFER",$CX264="DECLINE"),COUNTIF($CX$5:$CX264,"REFER")+COUNTIF($CX$5:$CX264,"DECLINE"),""))</f>
        <v/>
      </c>
      <c r="DI264" s="92"/>
    </row>
    <row r="265" spans="1:113" x14ac:dyDescent="0.25">
      <c r="A265" s="92"/>
      <c r="B265" s="92"/>
      <c r="C265" s="93"/>
      <c r="D265" s="93"/>
      <c r="E265" s="94"/>
      <c r="F265" s="92"/>
      <c r="G265" s="92"/>
      <c r="H265" s="92"/>
      <c r="I265" s="92"/>
      <c r="J265" s="95"/>
      <c r="K265" s="92"/>
      <c r="L265" s="92"/>
      <c r="M265" s="92"/>
      <c r="N265" s="92"/>
      <c r="O265" s="92"/>
      <c r="P265" s="92"/>
      <c r="Q265" s="92"/>
      <c r="R265" s="92"/>
      <c r="S265" s="92"/>
      <c r="T265" s="92"/>
      <c r="U265" s="92"/>
      <c r="V265" s="92"/>
      <c r="W265" s="92"/>
      <c r="X265" s="92"/>
      <c r="Y265" s="92"/>
      <c r="Z265" s="92"/>
      <c r="AA265" s="92"/>
      <c r="AB265" s="92"/>
      <c r="AC265" s="92"/>
      <c r="AD265" s="92"/>
      <c r="AE265" s="92"/>
      <c r="AF265" s="92"/>
      <c r="AG265" s="92"/>
      <c r="AH265" s="92"/>
      <c r="AI265" s="92"/>
      <c r="AJ265" s="92"/>
      <c r="AK265" s="92"/>
      <c r="AL265" s="92"/>
      <c r="AM265" s="92"/>
      <c r="AN265" s="92"/>
      <c r="AO265" s="92"/>
      <c r="AP265" s="92"/>
      <c r="AQ265" s="96"/>
      <c r="AR265" s="97" t="str">
        <f t="shared" si="52"/>
        <v/>
      </c>
      <c r="AS265" s="97" t="str">
        <f>IF($A265="","",IF($AP265&lt;&gt;"",$AP265,IFERROR(INDEX('Cat Zone by ZIP'!$D$6:$D$856,MATCH($AR265,'Cat Zone by ZIP'!$B$6:$B$856,0)),IFERROR(INDEX('Cat Zone by ZIP'!$C$860:$C$910,MATCH($K265,'Cat Zone by ZIP'!$B$860:$B$910,0)),"NOT FOUND"))))</f>
        <v/>
      </c>
      <c r="AT265" s="97" t="str">
        <f>IF($A265="","",IF($AP265&lt;&gt;"","Override",IF(ISNUMBER(MATCH($AR265,'Cat Zone by ZIP'!$B$6:$B$856,0)),"ZIP-3","State default")))</f>
        <v/>
      </c>
      <c r="AU265" s="98" t="str">
        <f>IF($A265="","",IFERROR(INDEX('Natural Catastrophe'!$D$6:$D$17,MATCH($AS265,'Natural Catastrophe'!$B$6:$B$17,0)),"?"))</f>
        <v/>
      </c>
      <c r="AV265" s="98" t="str">
        <f>IF($A265="","",IFERROR(INDEX('Natural Catastrophe'!$C$21:$C$26,MATCH($AA265,'Natural Catastrophe'!$B$21:$B$26,0)),"?"))</f>
        <v/>
      </c>
      <c r="AW265" s="97" t="str">
        <f>IF($A265="","",IFERROR(INDEX('Base Rates'!$C$4:$I$4,MATCH(MAX($J265,'Technical Premium'!$C$18),'Base Rates'!$C$3:$I$3,1)),"?"))</f>
        <v/>
      </c>
      <c r="AX265" s="99" t="str">
        <f>IF($A265="","",IFERROR(INDEX('Base Rates'!$C$5:$I$16,MATCH($I265,'Base Rates'!$B$5:$B$16,0),MATCH(MAX($J265,'Technical Premium'!$C$18),'Base Rates'!$C$3:$I$3,1)),"?"))</f>
        <v/>
      </c>
      <c r="AY265" s="100" t="str">
        <f t="shared" si="53"/>
        <v/>
      </c>
      <c r="AZ265" s="97" t="str">
        <f>IF($A265="","",IFERROR(INDEX('Make Factors'!$G$5:$G$69,MATCH($F265,'Make Factors'!$B$5:$B$69,0)),"?"))</f>
        <v/>
      </c>
      <c r="BA265" s="97" t="str">
        <f>IF($A265="","",IFERROR(INDEX('Driver Factors'!$C$6:$C$15,MATCH($R265,'Driver Factors'!$B$6:$B$15,0)),"?"))</f>
        <v/>
      </c>
      <c r="BB265" s="97" t="str">
        <f>IF($A265="","",IFERROR(INDEX('Driver Factors'!$C$19:$C$24,MATCH($S265,'Driver Factors'!$B$19:$B$24,0)),"?"))</f>
        <v/>
      </c>
      <c r="BC265" s="97" t="str">
        <f>IF($A265="","",IFERROR(INDEX('Driver Factors'!$C$28:$C$36,MATCH($T265,'Driver Factors'!$B$28:$B$36,0)),"?"))</f>
        <v/>
      </c>
      <c r="BD265" s="97" t="str">
        <f>IF($A265="","",IFERROR(INDEX('Claims History'!$C$6:$C$15,MATCH($U265,'Claims History'!$B$6:$B$15,0)),"?"))</f>
        <v/>
      </c>
      <c r="BE265" s="97" t="str">
        <f>IF($A265="","",IFERROR(INDEX('Territory Factors'!$E$6:$E$56,MATCH($K265,'Territory Factors'!$B$6:$B$56,0)),"?"))</f>
        <v/>
      </c>
      <c r="BF265" s="97" t="str">
        <f>IF($A265="","",IFERROR(INDEX('City Accident Ratings'!$G$6:$G$54,MATCH($Z265,'City Accident Ratings'!$B$6:$B$54,0)),"?"))</f>
        <v/>
      </c>
      <c r="BG265" s="97" t="str">
        <f>IF($A265="","",IFERROR(INDEX('Usage and Coverage'!$D$6:$D$20,MATCH($N265,'Usage and Coverage'!$C$6:$C$20,0)),"?"))</f>
        <v/>
      </c>
      <c r="BH265" s="97" t="str">
        <f>IF($A265="","",IFERROR(INDEX('Usage and Coverage'!$C$24:$C$30,MATCH($O265,'Usage and Coverage'!$B$24:$B$30,0)),"?"))</f>
        <v/>
      </c>
      <c r="BI265" s="97" t="str">
        <f>IF($A265="","",IFERROR(INDEX('Usage and Coverage'!$C$34:$C$40,MATCH($P265,'Usage and Coverage'!$B$34:$B$40,0)),"?"))</f>
        <v/>
      </c>
      <c r="BJ265" s="97" t="str">
        <f>IF($A265="","",IFERROR(INDEX('Usage and Coverage'!$C$44:$C$49,MATCH($Q265,'Usage and Coverage'!$B$44:$B$49,0)),"?"))</f>
        <v/>
      </c>
      <c r="BK265" s="97" t="str">
        <f>IF($A265="","",IFERROR(INDEX(Deductibles!$C$6:$I$15,MATCH($W265,Deductibles!$B$6:$B$15,0),MATCH(MAX($J265,'Technical Premium'!$C$18),'Base Rates'!$C$3:$I$3,1)),"?"))</f>
        <v/>
      </c>
      <c r="BL265" s="97" t="str">
        <f>IF($A265="","",IFERROR(INDEX('Usage and Coverage'!$C$63:$C$66,MATCH($X265,'Usage and Coverage'!$B$63:$B$66,0)),"?"))</f>
        <v/>
      </c>
      <c r="BM265" s="97" t="str">
        <f>IF($A265="","",IFERROR(INDEX('Usage and Coverage'!$C$70:$C$75,MATCH($V265,'Usage and Coverage'!$B$70:$B$75,0)),"?"))</f>
        <v/>
      </c>
      <c r="BN265" s="97" t="str">
        <f>IF($A265="","",IF($AB265="",1,IFERROR(INDEX(Deductibles!$C$48:$C$51,MATCH($AB265,Deductibles!$B$48:$B$51,0)),"?")))</f>
        <v/>
      </c>
      <c r="BO265" s="97" t="str">
        <f>IF($A265="","",IF($AC265="",1,IFERROR(INDEX(Deductibles!$C$55:$C$57,MATCH($AC265,Deductibles!$B$55:$B$57,0)),"?")))</f>
        <v/>
      </c>
      <c r="BP265" s="97" t="str">
        <f>IF($A265="","",IF($AD265="",1,IFERROR(INDEX(Deductibles!$C$61:$C$63,MATCH($AD265,Deductibles!$B$61:$B$63,0)),"?")))</f>
        <v/>
      </c>
      <c r="BQ265" s="97" t="str">
        <f>IF($A265="","",IF($AE265="",1,IFERROR(INDEX(Deductibles!$C$67:$C$69,MATCH($AE265,Deductibles!$B$67:$B$69,0)),"?")))</f>
        <v/>
      </c>
      <c r="BR265" s="97" t="str">
        <f>IF($A265="","",IF($AF265="",1,IFERROR(INDEX(Deductibles!$C$73:$C$74,MATCH($AF265,Deductibles!$B$73:$B$74,0)),"?")))</f>
        <v/>
      </c>
      <c r="BS265" s="97" t="str">
        <f>IF($A265="","",IF($AG265="",1,IFERROR(INDEX('Sublimits and Parts'!$C$49:$C$52,MATCH($AG265,'Sublimits and Parts'!$B$49:$B$52,0)),"?")))</f>
        <v/>
      </c>
      <c r="BT265" s="97" t="str">
        <f>IF($A265="","",IF($AH265="",1,IFERROR(INDEX('Sublimits and Parts'!$C$56:$C$60,MATCH($AH265,'Sublimits and Parts'!$B$56:$B$60,0)),"?")))</f>
        <v/>
      </c>
      <c r="BU265" s="97" t="str">
        <f>IF($A265="","",IF($AI265="",1,IFERROR(INDEX('Sublimits and Parts'!$C$64:$C$67,MATCH($AI265,'Sublimits and Parts'!$B$64:$B$67,0)),"?")))</f>
        <v/>
      </c>
      <c r="BV265" s="97" t="str">
        <f>IF($A265="","",IF($AJ265="",1,IFERROR(INDEX('Sublimits and Parts'!$C$71:$C$74,MATCH($AJ265,'Sublimits and Parts'!$B$71:$B$74,0)),"?")))</f>
        <v/>
      </c>
      <c r="BW265" s="97" t="str">
        <f>IF($A265="","",IF($AK265="",1,IFERROR(INDEX('Sublimits and Parts'!$C$78:$C$80,MATCH($AK265,'Sublimits and Parts'!$B$78:$B$80,0)),"?")))</f>
        <v/>
      </c>
      <c r="BX265" s="97" t="str">
        <f>IF($A265="","",IF($AL265="",1,IFERROR(INDEX('Sublimits and Parts'!$C$84:$C$87,MATCH($AL265,'Sublimits and Parts'!$B$84:$B$87,0)),"?")))</f>
        <v/>
      </c>
      <c r="BY265" s="97" t="str">
        <f>IF($A265="","",IF($AM265="",1,IFERROR(INDEX('Sublimits and Parts'!$C$91:$C$94,MATCH($AM265,'Sublimits and Parts'!$B$91:$B$94,0)),"?")))</f>
        <v/>
      </c>
      <c r="BZ265" s="97" t="str">
        <f>IF($A265="","",IF($AN265="",1,IFERROR(INDEX('Sublimits and Parts'!$C$98:$C$101,MATCH($AN265,'Sublimits and Parts'!$B$98:$B$101,0)),"?")))</f>
        <v/>
      </c>
      <c r="CA265" s="97" t="str">
        <f>IF($A265="","",IF($AO265="",1,IFERROR(INDEX('Sublimits and Parts'!$C$105:$C$109,MATCH($AO265,'Sublimits and Parts'!$B$105:$B$109,0)),"?")))</f>
        <v/>
      </c>
      <c r="CB265" s="98" t="str">
        <f t="shared" si="54"/>
        <v/>
      </c>
      <c r="CC265" s="98" t="str">
        <f t="shared" si="55"/>
        <v/>
      </c>
      <c r="CD265" s="101" t="str">
        <f>IF($A265="","",IF(OR($CB265="?",$CC265="?"),"?",MIN($CB265*$CC265,'Technical Premium'!$C$17)))</f>
        <v/>
      </c>
      <c r="CE265" s="100" t="str">
        <f t="shared" si="56"/>
        <v/>
      </c>
      <c r="CF265" s="100" t="str">
        <f>IF($A265="","",IFERROR(INDEX('Territory Factors'!$F$6:$F$56,MATCH($K265,'Territory Factors'!$B$6:$B$56,0)),"?"))</f>
        <v/>
      </c>
      <c r="CG265" s="98" t="str">
        <f>IF($A265="","",IFERROR(INDEX('Usage and Coverage'!$C$79:$C$84,MATCH($Y265,'Usage and Coverage'!$B$79:$B$84,0)),"?"))</f>
        <v/>
      </c>
      <c r="CH265" s="100" t="str">
        <f>IFERROR(IF(ISNUMBER($CD265),$CF265*$CG265*MIN($BG265*$BA265*$BC265*$BD265*$BH265*$BF265,'Technical Premium'!$C$17),""),"")</f>
        <v/>
      </c>
      <c r="CI265" s="100" t="str">
        <f t="shared" si="57"/>
        <v/>
      </c>
      <c r="CJ265" s="100" t="str">
        <f>IFERROR($CI265*(1+'Technical Premium'!$C$5)*(1+'Technical Premium'!$C$6),"")</f>
        <v/>
      </c>
      <c r="CK265" s="100" t="str">
        <f>IFERROR($CE265*INDEX('Territory Factors'!$G$6:$G$56,MATCH($K265,'Territory Factors'!$B$6:$B$56,0))*$AU265*$AV265,"")</f>
        <v/>
      </c>
      <c r="CL265" s="100" t="str">
        <f>IFERROR(($CJ265+$CK265)*(1+'Technical Premium'!$C$7),"")</f>
        <v/>
      </c>
      <c r="CM265" s="102" t="str">
        <f>IFERROR($CL265/'Technical Premium'!$C$13,"")</f>
        <v/>
      </c>
      <c r="CN265" s="103" t="str">
        <f t="shared" si="58"/>
        <v/>
      </c>
      <c r="CO265" s="102" t="str">
        <f t="shared" si="59"/>
        <v/>
      </c>
      <c r="CP265" s="103" t="str">
        <f t="shared" si="60"/>
        <v/>
      </c>
      <c r="CQ265" s="104" t="str">
        <f t="shared" si="61"/>
        <v/>
      </c>
      <c r="CR265" s="100" t="str">
        <f>IF(ISNUMBER($CM265),'Technical Premium'!$C$14+IF($J265&gt;=1000000,'Technical Premium'!$C$15,0),"")</f>
        <v/>
      </c>
      <c r="CS265" s="100" t="str">
        <f>IFERROR(($CO265+$CR265)*(INDEX('Territory Factors'!$K$6:$K$56,MATCH($K265,'Territory Factors'!$B$6:$B$56,0))+'Commission Structure'!$C$21),"")</f>
        <v/>
      </c>
      <c r="CT265" s="102" t="str">
        <f t="shared" si="62"/>
        <v/>
      </c>
      <c r="CU265" s="100" t="str">
        <f>IFERROR($CO265*('Commission Structure'!$C$6+'Commission Structure'!$C$7),"")</f>
        <v/>
      </c>
      <c r="CV265" s="100" t="str">
        <f>IFERROR($CO265*'Commission Structure'!$C$5-$CU265,"")</f>
        <v/>
      </c>
      <c r="CW265" s="100" t="str">
        <f>IFERROR($CO265*(1-'Commission Structure'!$C$5),"")</f>
        <v/>
      </c>
      <c r="CX265" s="105" t="str">
        <f>IF($A265="","",IF(OR($CB265="?",$CC265="?",NOT(ISNUMBER($AU265))),"CHECK INPUTS",IF(OR($J265&lt;'Technical Premium'!$C$18,LEFT(IFERROR(INDEX('Driver Factors'!$D$6:$D$15,MATCH($R265,'Driver Factors'!$B$6:$B$15,0)),""),7)="DECLINE",LEFT(IFERROR(INDEX('Driver Factors'!$D$28:$D$36,MATCH($T265,'Driver Factors'!$B$28:$B$36,0)),""),7)="DECLINE",LEFT(IFERROR(INDEX('Claims History'!$D$6:$D$15,MATCH($U265,'Claims History'!$B$6:$B$15,0)),""),7)="DECLINE",LEFT(IFERROR(INDEX('Usage and Coverage'!$E$6:$E$20,MATCH($N265,'Usage and Coverage'!$C$6:$C$20,0)),""),7)="DECLINE"),"DECLINE",IF(OR($CD265&gt;2.5,$CD265&gt;='Technical Premium'!$C$17,$J265&gt;='Technical Premium'!$C$16,N($AQ265)&lt;'Technical Premium'!$C$19,N($AQ265)&gt;'Technical Premium'!$C$20,LEFT(IFERROR(INDEX('Driver Factors'!$D$6:$D$15,MATCH($R265,'Driver Factors'!$B$6:$B$15,0)),""),5)="Refer",LEFT(IFERROR(INDEX('Driver Factors'!$D$28:$D$36,MATCH($T265,'Driver Factors'!$B$28:$B$36,0)),""),5)="Refer",LEFT(IFERROR(INDEX('Claims History'!$D$6:$D$15,MATCH($U265,'Claims History'!$B$6:$B$15,0)),""),5)="Refer",LEFT(IFERROR(INDEX('Usage and Coverage'!$E$6:$E$20,MATCH($N265,'Usage and Coverage'!$C$6:$C$20,0)),""),5)="Refer"),"REFER","AUTO-BIND"))))</f>
        <v/>
      </c>
      <c r="CY265" s="106" t="str">
        <f t="shared" si="63"/>
        <v/>
      </c>
      <c r="CZ265" s="97" t="str">
        <f>IF($CY265="","",IF($CY265&lt;'Technical Premium'!$C$19,"BEYOND AUTHORITY",IF($CY265&gt;0.005,"Above technical",IF($CY265&lt;-0.005,"BELOW technical","At technical"))))</f>
        <v/>
      </c>
      <c r="DA265" s="97" t="str">
        <f>IF($A265="","",IF($CX265="AUTO-BIND","",TRIM(IF($J265&lt;'Technical Premium'!$C$18,"Below programme minimum agreed value. ","")&amp;IF(N($AQ265)&lt;'Technical Premium'!$C$19,"DISCOUNT AUTHORITY BREACH. ","")&amp;IF(N($AQ265)&gt;'Technical Premium'!$C$20,"Load authority breach. ","")&amp;IF($J265&gt;='Technical Premium'!$C$16,"Agreed value at or above auto-bind limit. ","")&amp;IF(AND(ISNUMBER($CD265),$CD265&gt;='Technical Premium'!$C$17),"Composite factor at cap. ","")&amp;IF(AND(ISNUMBER($CD265),$CD265&gt;2.5),"Composite factor above 2.50. ","")&amp;IF(LEFT(IFERROR(INDEX('Driver Factors'!$D$6:$D$15,MATCH($R265,'Driver Factors'!$B$6:$B$15,0)),""),7)="DECLINE","DECLINE - driver age. ",IF(LEFT(IFERROR(INDEX('Driver Factors'!$D$6:$D$15,MATCH($R265,'Driver Factors'!$B$6:$B$15,0)),""),5)="Refer","Driver age band. ",""))&amp;IF(LEFT(IFERROR(INDEX('Driver Factors'!$D$28:$D$36,MATCH($T265,'Driver Factors'!$B$28:$B$36,0)),""),7)="DECLINE","DECLINE - MVR. ",IF(LEFT(IFERROR(INDEX('Driver Factors'!$D$28:$D$36,MATCH($T265,'Driver Factors'!$B$28:$B$36,0)),""),5)="Refer","MVR record. ",""))&amp;IF(LEFT(IFERROR(INDEX('Claims History'!$D$6:$D$15,MATCH($U265,'Claims History'!$B$6:$B$15,0)),""),7)="DECLINE","DECLINE - claims. ",IF(LEFT(IFERROR(INDEX('Claims History'!$D$6:$D$15,MATCH($U265,'Claims History'!$B$6:$B$15,0)),""),5)="Refer","Claims history. ",""))&amp;IF(LEFT(IFERROR(INDEX('Usage and Coverage'!$E$6:$E$20,MATCH($N265,'Usage and Coverage'!$C$6:$C$20,0)),""),7)="DECLINE","DECLINE - usage class. ",IF(LEFT(IFERROR(INDEX('Usage and Coverage'!$E$6:$E$20,MATCH($N265,'Usage and Coverage'!$C$6:$C$20,0)),""),5)="Refer","Usage class. ",""))&amp;IF($CX265="CHECK INPUTS","Incomplete inputs. ",""))))</f>
        <v/>
      </c>
      <c r="DB265" s="92"/>
      <c r="DC265" s="92"/>
      <c r="DD265" s="93"/>
      <c r="DE265" s="92"/>
      <c r="DF265" s="92"/>
      <c r="DG265" s="97" t="str">
        <f t="shared" si="64"/>
        <v/>
      </c>
      <c r="DH265" s="97" t="str">
        <f>IF($A265="","",IF(OR($CX265="REFER",$CX265="DECLINE"),COUNTIF($CX$5:$CX265,"REFER")+COUNTIF($CX$5:$CX265,"DECLINE"),""))</f>
        <v/>
      </c>
      <c r="DI265" s="92"/>
    </row>
    <row r="266" spans="1:113" x14ac:dyDescent="0.25">
      <c r="A266" s="92"/>
      <c r="B266" s="92"/>
      <c r="C266" s="93"/>
      <c r="D266" s="93"/>
      <c r="E266" s="94"/>
      <c r="F266" s="92"/>
      <c r="G266" s="92"/>
      <c r="H266" s="92"/>
      <c r="I266" s="92"/>
      <c r="J266" s="95"/>
      <c r="K266" s="92"/>
      <c r="L266" s="92"/>
      <c r="M266" s="92"/>
      <c r="N266" s="92"/>
      <c r="O266" s="92"/>
      <c r="P266" s="92"/>
      <c r="Q266" s="92"/>
      <c r="R266" s="92"/>
      <c r="S266" s="92"/>
      <c r="T266" s="92"/>
      <c r="U266" s="92"/>
      <c r="V266" s="92"/>
      <c r="W266" s="92"/>
      <c r="X266" s="92"/>
      <c r="Y266" s="92"/>
      <c r="Z266" s="92"/>
      <c r="AA266" s="92"/>
      <c r="AB266" s="92"/>
      <c r="AC266" s="92"/>
      <c r="AD266" s="92"/>
      <c r="AE266" s="92"/>
      <c r="AF266" s="92"/>
      <c r="AG266" s="92"/>
      <c r="AH266" s="92"/>
      <c r="AI266" s="92"/>
      <c r="AJ266" s="92"/>
      <c r="AK266" s="92"/>
      <c r="AL266" s="92"/>
      <c r="AM266" s="92"/>
      <c r="AN266" s="92"/>
      <c r="AO266" s="92"/>
      <c r="AP266" s="92"/>
      <c r="AQ266" s="96"/>
      <c r="AR266" s="97" t="str">
        <f t="shared" si="52"/>
        <v/>
      </c>
      <c r="AS266" s="97" t="str">
        <f>IF($A266="","",IF($AP266&lt;&gt;"",$AP266,IFERROR(INDEX('Cat Zone by ZIP'!$D$6:$D$856,MATCH($AR266,'Cat Zone by ZIP'!$B$6:$B$856,0)),IFERROR(INDEX('Cat Zone by ZIP'!$C$860:$C$910,MATCH($K266,'Cat Zone by ZIP'!$B$860:$B$910,0)),"NOT FOUND"))))</f>
        <v/>
      </c>
      <c r="AT266" s="97" t="str">
        <f>IF($A266="","",IF($AP266&lt;&gt;"","Override",IF(ISNUMBER(MATCH($AR266,'Cat Zone by ZIP'!$B$6:$B$856,0)),"ZIP-3","State default")))</f>
        <v/>
      </c>
      <c r="AU266" s="98" t="str">
        <f>IF($A266="","",IFERROR(INDEX('Natural Catastrophe'!$D$6:$D$17,MATCH($AS266,'Natural Catastrophe'!$B$6:$B$17,0)),"?"))</f>
        <v/>
      </c>
      <c r="AV266" s="98" t="str">
        <f>IF($A266="","",IFERROR(INDEX('Natural Catastrophe'!$C$21:$C$26,MATCH($AA266,'Natural Catastrophe'!$B$21:$B$26,0)),"?"))</f>
        <v/>
      </c>
      <c r="AW266" s="97" t="str">
        <f>IF($A266="","",IFERROR(INDEX('Base Rates'!$C$4:$I$4,MATCH(MAX($J266,'Technical Premium'!$C$18),'Base Rates'!$C$3:$I$3,1)),"?"))</f>
        <v/>
      </c>
      <c r="AX266" s="99" t="str">
        <f>IF($A266="","",IFERROR(INDEX('Base Rates'!$C$5:$I$16,MATCH($I266,'Base Rates'!$B$5:$B$16,0),MATCH(MAX($J266,'Technical Premium'!$C$18),'Base Rates'!$C$3:$I$3,1)),"?"))</f>
        <v/>
      </c>
      <c r="AY266" s="100" t="str">
        <f t="shared" si="53"/>
        <v/>
      </c>
      <c r="AZ266" s="97" t="str">
        <f>IF($A266="","",IFERROR(INDEX('Make Factors'!$G$5:$G$69,MATCH($F266,'Make Factors'!$B$5:$B$69,0)),"?"))</f>
        <v/>
      </c>
      <c r="BA266" s="97" t="str">
        <f>IF($A266="","",IFERROR(INDEX('Driver Factors'!$C$6:$C$15,MATCH($R266,'Driver Factors'!$B$6:$B$15,0)),"?"))</f>
        <v/>
      </c>
      <c r="BB266" s="97" t="str">
        <f>IF($A266="","",IFERROR(INDEX('Driver Factors'!$C$19:$C$24,MATCH($S266,'Driver Factors'!$B$19:$B$24,0)),"?"))</f>
        <v/>
      </c>
      <c r="BC266" s="97" t="str">
        <f>IF($A266="","",IFERROR(INDEX('Driver Factors'!$C$28:$C$36,MATCH($T266,'Driver Factors'!$B$28:$B$36,0)),"?"))</f>
        <v/>
      </c>
      <c r="BD266" s="97" t="str">
        <f>IF($A266="","",IFERROR(INDEX('Claims History'!$C$6:$C$15,MATCH($U266,'Claims History'!$B$6:$B$15,0)),"?"))</f>
        <v/>
      </c>
      <c r="BE266" s="97" t="str">
        <f>IF($A266="","",IFERROR(INDEX('Territory Factors'!$E$6:$E$56,MATCH($K266,'Territory Factors'!$B$6:$B$56,0)),"?"))</f>
        <v/>
      </c>
      <c r="BF266" s="97" t="str">
        <f>IF($A266="","",IFERROR(INDEX('City Accident Ratings'!$G$6:$G$54,MATCH($Z266,'City Accident Ratings'!$B$6:$B$54,0)),"?"))</f>
        <v/>
      </c>
      <c r="BG266" s="97" t="str">
        <f>IF($A266="","",IFERROR(INDEX('Usage and Coverage'!$D$6:$D$20,MATCH($N266,'Usage and Coverage'!$C$6:$C$20,0)),"?"))</f>
        <v/>
      </c>
      <c r="BH266" s="97" t="str">
        <f>IF($A266="","",IFERROR(INDEX('Usage and Coverage'!$C$24:$C$30,MATCH($O266,'Usage and Coverage'!$B$24:$B$30,0)),"?"))</f>
        <v/>
      </c>
      <c r="BI266" s="97" t="str">
        <f>IF($A266="","",IFERROR(INDEX('Usage and Coverage'!$C$34:$C$40,MATCH($P266,'Usage and Coverage'!$B$34:$B$40,0)),"?"))</f>
        <v/>
      </c>
      <c r="BJ266" s="97" t="str">
        <f>IF($A266="","",IFERROR(INDEX('Usage and Coverage'!$C$44:$C$49,MATCH($Q266,'Usage and Coverage'!$B$44:$B$49,0)),"?"))</f>
        <v/>
      </c>
      <c r="BK266" s="97" t="str">
        <f>IF($A266="","",IFERROR(INDEX(Deductibles!$C$6:$I$15,MATCH($W266,Deductibles!$B$6:$B$15,0),MATCH(MAX($J266,'Technical Premium'!$C$18),'Base Rates'!$C$3:$I$3,1)),"?"))</f>
        <v/>
      </c>
      <c r="BL266" s="97" t="str">
        <f>IF($A266="","",IFERROR(INDEX('Usage and Coverage'!$C$63:$C$66,MATCH($X266,'Usage and Coverage'!$B$63:$B$66,0)),"?"))</f>
        <v/>
      </c>
      <c r="BM266" s="97" t="str">
        <f>IF($A266="","",IFERROR(INDEX('Usage and Coverage'!$C$70:$C$75,MATCH($V266,'Usage and Coverage'!$B$70:$B$75,0)),"?"))</f>
        <v/>
      </c>
      <c r="BN266" s="97" t="str">
        <f>IF($A266="","",IF($AB266="",1,IFERROR(INDEX(Deductibles!$C$48:$C$51,MATCH($AB266,Deductibles!$B$48:$B$51,0)),"?")))</f>
        <v/>
      </c>
      <c r="BO266" s="97" t="str">
        <f>IF($A266="","",IF($AC266="",1,IFERROR(INDEX(Deductibles!$C$55:$C$57,MATCH($AC266,Deductibles!$B$55:$B$57,0)),"?")))</f>
        <v/>
      </c>
      <c r="BP266" s="97" t="str">
        <f>IF($A266="","",IF($AD266="",1,IFERROR(INDEX(Deductibles!$C$61:$C$63,MATCH($AD266,Deductibles!$B$61:$B$63,0)),"?")))</f>
        <v/>
      </c>
      <c r="BQ266" s="97" t="str">
        <f>IF($A266="","",IF($AE266="",1,IFERROR(INDEX(Deductibles!$C$67:$C$69,MATCH($AE266,Deductibles!$B$67:$B$69,0)),"?")))</f>
        <v/>
      </c>
      <c r="BR266" s="97" t="str">
        <f>IF($A266="","",IF($AF266="",1,IFERROR(INDEX(Deductibles!$C$73:$C$74,MATCH($AF266,Deductibles!$B$73:$B$74,0)),"?")))</f>
        <v/>
      </c>
      <c r="BS266" s="97" t="str">
        <f>IF($A266="","",IF($AG266="",1,IFERROR(INDEX('Sublimits and Parts'!$C$49:$C$52,MATCH($AG266,'Sublimits and Parts'!$B$49:$B$52,0)),"?")))</f>
        <v/>
      </c>
      <c r="BT266" s="97" t="str">
        <f>IF($A266="","",IF($AH266="",1,IFERROR(INDEX('Sublimits and Parts'!$C$56:$C$60,MATCH($AH266,'Sublimits and Parts'!$B$56:$B$60,0)),"?")))</f>
        <v/>
      </c>
      <c r="BU266" s="97" t="str">
        <f>IF($A266="","",IF($AI266="",1,IFERROR(INDEX('Sublimits and Parts'!$C$64:$C$67,MATCH($AI266,'Sublimits and Parts'!$B$64:$B$67,0)),"?")))</f>
        <v/>
      </c>
      <c r="BV266" s="97" t="str">
        <f>IF($A266="","",IF($AJ266="",1,IFERROR(INDEX('Sublimits and Parts'!$C$71:$C$74,MATCH($AJ266,'Sublimits and Parts'!$B$71:$B$74,0)),"?")))</f>
        <v/>
      </c>
      <c r="BW266" s="97" t="str">
        <f>IF($A266="","",IF($AK266="",1,IFERROR(INDEX('Sublimits and Parts'!$C$78:$C$80,MATCH($AK266,'Sublimits and Parts'!$B$78:$B$80,0)),"?")))</f>
        <v/>
      </c>
      <c r="BX266" s="97" t="str">
        <f>IF($A266="","",IF($AL266="",1,IFERROR(INDEX('Sublimits and Parts'!$C$84:$C$87,MATCH($AL266,'Sublimits and Parts'!$B$84:$B$87,0)),"?")))</f>
        <v/>
      </c>
      <c r="BY266" s="97" t="str">
        <f>IF($A266="","",IF($AM266="",1,IFERROR(INDEX('Sublimits and Parts'!$C$91:$C$94,MATCH($AM266,'Sublimits and Parts'!$B$91:$B$94,0)),"?")))</f>
        <v/>
      </c>
      <c r="BZ266" s="97" t="str">
        <f>IF($A266="","",IF($AN266="",1,IFERROR(INDEX('Sublimits and Parts'!$C$98:$C$101,MATCH($AN266,'Sublimits and Parts'!$B$98:$B$101,0)),"?")))</f>
        <v/>
      </c>
      <c r="CA266" s="97" t="str">
        <f>IF($A266="","",IF($AO266="",1,IFERROR(INDEX('Sublimits and Parts'!$C$105:$C$109,MATCH($AO266,'Sublimits and Parts'!$B$105:$B$109,0)),"?")))</f>
        <v/>
      </c>
      <c r="CB266" s="98" t="str">
        <f t="shared" si="54"/>
        <v/>
      </c>
      <c r="CC266" s="98" t="str">
        <f t="shared" si="55"/>
        <v/>
      </c>
      <c r="CD266" s="101" t="str">
        <f>IF($A266="","",IF(OR($CB266="?",$CC266="?"),"?",MIN($CB266*$CC266,'Technical Premium'!$C$17)))</f>
        <v/>
      </c>
      <c r="CE266" s="100" t="str">
        <f t="shared" si="56"/>
        <v/>
      </c>
      <c r="CF266" s="100" t="str">
        <f>IF($A266="","",IFERROR(INDEX('Territory Factors'!$F$6:$F$56,MATCH($K266,'Territory Factors'!$B$6:$B$56,0)),"?"))</f>
        <v/>
      </c>
      <c r="CG266" s="98" t="str">
        <f>IF($A266="","",IFERROR(INDEX('Usage and Coverage'!$C$79:$C$84,MATCH($Y266,'Usage and Coverage'!$B$79:$B$84,0)),"?"))</f>
        <v/>
      </c>
      <c r="CH266" s="100" t="str">
        <f>IFERROR(IF(ISNUMBER($CD266),$CF266*$CG266*MIN($BG266*$BA266*$BC266*$BD266*$BH266*$BF266,'Technical Premium'!$C$17),""),"")</f>
        <v/>
      </c>
      <c r="CI266" s="100" t="str">
        <f t="shared" si="57"/>
        <v/>
      </c>
      <c r="CJ266" s="100" t="str">
        <f>IFERROR($CI266*(1+'Technical Premium'!$C$5)*(1+'Technical Premium'!$C$6),"")</f>
        <v/>
      </c>
      <c r="CK266" s="100" t="str">
        <f>IFERROR($CE266*INDEX('Territory Factors'!$G$6:$G$56,MATCH($K266,'Territory Factors'!$B$6:$B$56,0))*$AU266*$AV266,"")</f>
        <v/>
      </c>
      <c r="CL266" s="100" t="str">
        <f>IFERROR(($CJ266+$CK266)*(1+'Technical Premium'!$C$7),"")</f>
        <v/>
      </c>
      <c r="CM266" s="102" t="str">
        <f>IFERROR($CL266/'Technical Premium'!$C$13,"")</f>
        <v/>
      </c>
      <c r="CN266" s="103" t="str">
        <f t="shared" si="58"/>
        <v/>
      </c>
      <c r="CO266" s="102" t="str">
        <f t="shared" si="59"/>
        <v/>
      </c>
      <c r="CP266" s="103" t="str">
        <f t="shared" si="60"/>
        <v/>
      </c>
      <c r="CQ266" s="104" t="str">
        <f t="shared" si="61"/>
        <v/>
      </c>
      <c r="CR266" s="100" t="str">
        <f>IF(ISNUMBER($CM266),'Technical Premium'!$C$14+IF($J266&gt;=1000000,'Technical Premium'!$C$15,0),"")</f>
        <v/>
      </c>
      <c r="CS266" s="100" t="str">
        <f>IFERROR(($CO266+$CR266)*(INDEX('Territory Factors'!$K$6:$K$56,MATCH($K266,'Territory Factors'!$B$6:$B$56,0))+'Commission Structure'!$C$21),"")</f>
        <v/>
      </c>
      <c r="CT266" s="102" t="str">
        <f t="shared" si="62"/>
        <v/>
      </c>
      <c r="CU266" s="100" t="str">
        <f>IFERROR($CO266*('Commission Structure'!$C$6+'Commission Structure'!$C$7),"")</f>
        <v/>
      </c>
      <c r="CV266" s="100" t="str">
        <f>IFERROR($CO266*'Commission Structure'!$C$5-$CU266,"")</f>
        <v/>
      </c>
      <c r="CW266" s="100" t="str">
        <f>IFERROR($CO266*(1-'Commission Structure'!$C$5),"")</f>
        <v/>
      </c>
      <c r="CX266" s="105" t="str">
        <f>IF($A266="","",IF(OR($CB266="?",$CC266="?",NOT(ISNUMBER($AU266))),"CHECK INPUTS",IF(OR($J266&lt;'Technical Premium'!$C$18,LEFT(IFERROR(INDEX('Driver Factors'!$D$6:$D$15,MATCH($R266,'Driver Factors'!$B$6:$B$15,0)),""),7)="DECLINE",LEFT(IFERROR(INDEX('Driver Factors'!$D$28:$D$36,MATCH($T266,'Driver Factors'!$B$28:$B$36,0)),""),7)="DECLINE",LEFT(IFERROR(INDEX('Claims History'!$D$6:$D$15,MATCH($U266,'Claims History'!$B$6:$B$15,0)),""),7)="DECLINE",LEFT(IFERROR(INDEX('Usage and Coverage'!$E$6:$E$20,MATCH($N266,'Usage and Coverage'!$C$6:$C$20,0)),""),7)="DECLINE"),"DECLINE",IF(OR($CD266&gt;2.5,$CD266&gt;='Technical Premium'!$C$17,$J266&gt;='Technical Premium'!$C$16,N($AQ266)&lt;'Technical Premium'!$C$19,N($AQ266)&gt;'Technical Premium'!$C$20,LEFT(IFERROR(INDEX('Driver Factors'!$D$6:$D$15,MATCH($R266,'Driver Factors'!$B$6:$B$15,0)),""),5)="Refer",LEFT(IFERROR(INDEX('Driver Factors'!$D$28:$D$36,MATCH($T266,'Driver Factors'!$B$28:$B$36,0)),""),5)="Refer",LEFT(IFERROR(INDEX('Claims History'!$D$6:$D$15,MATCH($U266,'Claims History'!$B$6:$B$15,0)),""),5)="Refer",LEFT(IFERROR(INDEX('Usage and Coverage'!$E$6:$E$20,MATCH($N266,'Usage and Coverage'!$C$6:$C$20,0)),""),5)="Refer"),"REFER","AUTO-BIND"))))</f>
        <v/>
      </c>
      <c r="CY266" s="106" t="str">
        <f t="shared" si="63"/>
        <v/>
      </c>
      <c r="CZ266" s="97" t="str">
        <f>IF($CY266="","",IF($CY266&lt;'Technical Premium'!$C$19,"BEYOND AUTHORITY",IF($CY266&gt;0.005,"Above technical",IF($CY266&lt;-0.005,"BELOW technical","At technical"))))</f>
        <v/>
      </c>
      <c r="DA266" s="97" t="str">
        <f>IF($A266="","",IF($CX266="AUTO-BIND","",TRIM(IF($J266&lt;'Technical Premium'!$C$18,"Below programme minimum agreed value. ","")&amp;IF(N($AQ266)&lt;'Technical Premium'!$C$19,"DISCOUNT AUTHORITY BREACH. ","")&amp;IF(N($AQ266)&gt;'Technical Premium'!$C$20,"Load authority breach. ","")&amp;IF($J266&gt;='Technical Premium'!$C$16,"Agreed value at or above auto-bind limit. ","")&amp;IF(AND(ISNUMBER($CD266),$CD266&gt;='Technical Premium'!$C$17),"Composite factor at cap. ","")&amp;IF(AND(ISNUMBER($CD266),$CD266&gt;2.5),"Composite factor above 2.50. ","")&amp;IF(LEFT(IFERROR(INDEX('Driver Factors'!$D$6:$D$15,MATCH($R266,'Driver Factors'!$B$6:$B$15,0)),""),7)="DECLINE","DECLINE - driver age. ",IF(LEFT(IFERROR(INDEX('Driver Factors'!$D$6:$D$15,MATCH($R266,'Driver Factors'!$B$6:$B$15,0)),""),5)="Refer","Driver age band. ",""))&amp;IF(LEFT(IFERROR(INDEX('Driver Factors'!$D$28:$D$36,MATCH($T266,'Driver Factors'!$B$28:$B$36,0)),""),7)="DECLINE","DECLINE - MVR. ",IF(LEFT(IFERROR(INDEX('Driver Factors'!$D$28:$D$36,MATCH($T266,'Driver Factors'!$B$28:$B$36,0)),""),5)="Refer","MVR record. ",""))&amp;IF(LEFT(IFERROR(INDEX('Claims History'!$D$6:$D$15,MATCH($U266,'Claims History'!$B$6:$B$15,0)),""),7)="DECLINE","DECLINE - claims. ",IF(LEFT(IFERROR(INDEX('Claims History'!$D$6:$D$15,MATCH($U266,'Claims History'!$B$6:$B$15,0)),""),5)="Refer","Claims history. ",""))&amp;IF(LEFT(IFERROR(INDEX('Usage and Coverage'!$E$6:$E$20,MATCH($N266,'Usage and Coverage'!$C$6:$C$20,0)),""),7)="DECLINE","DECLINE - usage class. ",IF(LEFT(IFERROR(INDEX('Usage and Coverage'!$E$6:$E$20,MATCH($N266,'Usage and Coverage'!$C$6:$C$20,0)),""),5)="Refer","Usage class. ",""))&amp;IF($CX266="CHECK INPUTS","Incomplete inputs. ",""))))</f>
        <v/>
      </c>
      <c r="DB266" s="92"/>
      <c r="DC266" s="92"/>
      <c r="DD266" s="93"/>
      <c r="DE266" s="92"/>
      <c r="DF266" s="92"/>
      <c r="DG266" s="97" t="str">
        <f t="shared" si="64"/>
        <v/>
      </c>
      <c r="DH266" s="97" t="str">
        <f>IF($A266="","",IF(OR($CX266="REFER",$CX266="DECLINE"),COUNTIF($CX$5:$CX266,"REFER")+COUNTIF($CX$5:$CX266,"DECLINE"),""))</f>
        <v/>
      </c>
      <c r="DI266" s="92"/>
    </row>
    <row r="267" spans="1:113" x14ac:dyDescent="0.25">
      <c r="A267" s="92"/>
      <c r="B267" s="92"/>
      <c r="C267" s="93"/>
      <c r="D267" s="93"/>
      <c r="E267" s="94"/>
      <c r="F267" s="92"/>
      <c r="G267" s="92"/>
      <c r="H267" s="92"/>
      <c r="I267" s="92"/>
      <c r="J267" s="95"/>
      <c r="K267" s="92"/>
      <c r="L267" s="92"/>
      <c r="M267" s="92"/>
      <c r="N267" s="92"/>
      <c r="O267" s="92"/>
      <c r="P267" s="92"/>
      <c r="Q267" s="92"/>
      <c r="R267" s="92"/>
      <c r="S267" s="92"/>
      <c r="T267" s="92"/>
      <c r="U267" s="92"/>
      <c r="V267" s="92"/>
      <c r="W267" s="92"/>
      <c r="X267" s="92"/>
      <c r="Y267" s="92"/>
      <c r="Z267" s="92"/>
      <c r="AA267" s="92"/>
      <c r="AB267" s="92"/>
      <c r="AC267" s="92"/>
      <c r="AD267" s="92"/>
      <c r="AE267" s="92"/>
      <c r="AF267" s="92"/>
      <c r="AG267" s="92"/>
      <c r="AH267" s="92"/>
      <c r="AI267" s="92"/>
      <c r="AJ267" s="92"/>
      <c r="AK267" s="92"/>
      <c r="AL267" s="92"/>
      <c r="AM267" s="92"/>
      <c r="AN267" s="92"/>
      <c r="AO267" s="92"/>
      <c r="AP267" s="92"/>
      <c r="AQ267" s="96"/>
      <c r="AR267" s="97" t="str">
        <f t="shared" si="52"/>
        <v/>
      </c>
      <c r="AS267" s="97" t="str">
        <f>IF($A267="","",IF($AP267&lt;&gt;"",$AP267,IFERROR(INDEX('Cat Zone by ZIP'!$D$6:$D$856,MATCH($AR267,'Cat Zone by ZIP'!$B$6:$B$856,0)),IFERROR(INDEX('Cat Zone by ZIP'!$C$860:$C$910,MATCH($K267,'Cat Zone by ZIP'!$B$860:$B$910,0)),"NOT FOUND"))))</f>
        <v/>
      </c>
      <c r="AT267" s="97" t="str">
        <f>IF($A267="","",IF($AP267&lt;&gt;"","Override",IF(ISNUMBER(MATCH($AR267,'Cat Zone by ZIP'!$B$6:$B$856,0)),"ZIP-3","State default")))</f>
        <v/>
      </c>
      <c r="AU267" s="98" t="str">
        <f>IF($A267="","",IFERROR(INDEX('Natural Catastrophe'!$D$6:$D$17,MATCH($AS267,'Natural Catastrophe'!$B$6:$B$17,0)),"?"))</f>
        <v/>
      </c>
      <c r="AV267" s="98" t="str">
        <f>IF($A267="","",IFERROR(INDEX('Natural Catastrophe'!$C$21:$C$26,MATCH($AA267,'Natural Catastrophe'!$B$21:$B$26,0)),"?"))</f>
        <v/>
      </c>
      <c r="AW267" s="97" t="str">
        <f>IF($A267="","",IFERROR(INDEX('Base Rates'!$C$4:$I$4,MATCH(MAX($J267,'Technical Premium'!$C$18),'Base Rates'!$C$3:$I$3,1)),"?"))</f>
        <v/>
      </c>
      <c r="AX267" s="99" t="str">
        <f>IF($A267="","",IFERROR(INDEX('Base Rates'!$C$5:$I$16,MATCH($I267,'Base Rates'!$B$5:$B$16,0),MATCH(MAX($J267,'Technical Premium'!$C$18),'Base Rates'!$C$3:$I$3,1)),"?"))</f>
        <v/>
      </c>
      <c r="AY267" s="100" t="str">
        <f t="shared" si="53"/>
        <v/>
      </c>
      <c r="AZ267" s="97" t="str">
        <f>IF($A267="","",IFERROR(INDEX('Make Factors'!$G$5:$G$69,MATCH($F267,'Make Factors'!$B$5:$B$69,0)),"?"))</f>
        <v/>
      </c>
      <c r="BA267" s="97" t="str">
        <f>IF($A267="","",IFERROR(INDEX('Driver Factors'!$C$6:$C$15,MATCH($R267,'Driver Factors'!$B$6:$B$15,0)),"?"))</f>
        <v/>
      </c>
      <c r="BB267" s="97" t="str">
        <f>IF($A267="","",IFERROR(INDEX('Driver Factors'!$C$19:$C$24,MATCH($S267,'Driver Factors'!$B$19:$B$24,0)),"?"))</f>
        <v/>
      </c>
      <c r="BC267" s="97" t="str">
        <f>IF($A267="","",IFERROR(INDEX('Driver Factors'!$C$28:$C$36,MATCH($T267,'Driver Factors'!$B$28:$B$36,0)),"?"))</f>
        <v/>
      </c>
      <c r="BD267" s="97" t="str">
        <f>IF($A267="","",IFERROR(INDEX('Claims History'!$C$6:$C$15,MATCH($U267,'Claims History'!$B$6:$B$15,0)),"?"))</f>
        <v/>
      </c>
      <c r="BE267" s="97" t="str">
        <f>IF($A267="","",IFERROR(INDEX('Territory Factors'!$E$6:$E$56,MATCH($K267,'Territory Factors'!$B$6:$B$56,0)),"?"))</f>
        <v/>
      </c>
      <c r="BF267" s="97" t="str">
        <f>IF($A267="","",IFERROR(INDEX('City Accident Ratings'!$G$6:$G$54,MATCH($Z267,'City Accident Ratings'!$B$6:$B$54,0)),"?"))</f>
        <v/>
      </c>
      <c r="BG267" s="97" t="str">
        <f>IF($A267="","",IFERROR(INDEX('Usage and Coverage'!$D$6:$D$20,MATCH($N267,'Usage and Coverage'!$C$6:$C$20,0)),"?"))</f>
        <v/>
      </c>
      <c r="BH267" s="97" t="str">
        <f>IF($A267="","",IFERROR(INDEX('Usage and Coverage'!$C$24:$C$30,MATCH($O267,'Usage and Coverage'!$B$24:$B$30,0)),"?"))</f>
        <v/>
      </c>
      <c r="BI267" s="97" t="str">
        <f>IF($A267="","",IFERROR(INDEX('Usage and Coverage'!$C$34:$C$40,MATCH($P267,'Usage and Coverage'!$B$34:$B$40,0)),"?"))</f>
        <v/>
      </c>
      <c r="BJ267" s="97" t="str">
        <f>IF($A267="","",IFERROR(INDEX('Usage and Coverage'!$C$44:$C$49,MATCH($Q267,'Usage and Coverage'!$B$44:$B$49,0)),"?"))</f>
        <v/>
      </c>
      <c r="BK267" s="97" t="str">
        <f>IF($A267="","",IFERROR(INDEX(Deductibles!$C$6:$I$15,MATCH($W267,Deductibles!$B$6:$B$15,0),MATCH(MAX($J267,'Technical Premium'!$C$18),'Base Rates'!$C$3:$I$3,1)),"?"))</f>
        <v/>
      </c>
      <c r="BL267" s="97" t="str">
        <f>IF($A267="","",IFERROR(INDEX('Usage and Coverage'!$C$63:$C$66,MATCH($X267,'Usage and Coverage'!$B$63:$B$66,0)),"?"))</f>
        <v/>
      </c>
      <c r="BM267" s="97" t="str">
        <f>IF($A267="","",IFERROR(INDEX('Usage and Coverage'!$C$70:$C$75,MATCH($V267,'Usage and Coverage'!$B$70:$B$75,0)),"?"))</f>
        <v/>
      </c>
      <c r="BN267" s="97" t="str">
        <f>IF($A267="","",IF($AB267="",1,IFERROR(INDEX(Deductibles!$C$48:$C$51,MATCH($AB267,Deductibles!$B$48:$B$51,0)),"?")))</f>
        <v/>
      </c>
      <c r="BO267" s="97" t="str">
        <f>IF($A267="","",IF($AC267="",1,IFERROR(INDEX(Deductibles!$C$55:$C$57,MATCH($AC267,Deductibles!$B$55:$B$57,0)),"?")))</f>
        <v/>
      </c>
      <c r="BP267" s="97" t="str">
        <f>IF($A267="","",IF($AD267="",1,IFERROR(INDEX(Deductibles!$C$61:$C$63,MATCH($AD267,Deductibles!$B$61:$B$63,0)),"?")))</f>
        <v/>
      </c>
      <c r="BQ267" s="97" t="str">
        <f>IF($A267="","",IF($AE267="",1,IFERROR(INDEX(Deductibles!$C$67:$C$69,MATCH($AE267,Deductibles!$B$67:$B$69,0)),"?")))</f>
        <v/>
      </c>
      <c r="BR267" s="97" t="str">
        <f>IF($A267="","",IF($AF267="",1,IFERROR(INDEX(Deductibles!$C$73:$C$74,MATCH($AF267,Deductibles!$B$73:$B$74,0)),"?")))</f>
        <v/>
      </c>
      <c r="BS267" s="97" t="str">
        <f>IF($A267="","",IF($AG267="",1,IFERROR(INDEX('Sublimits and Parts'!$C$49:$C$52,MATCH($AG267,'Sublimits and Parts'!$B$49:$B$52,0)),"?")))</f>
        <v/>
      </c>
      <c r="BT267" s="97" t="str">
        <f>IF($A267="","",IF($AH267="",1,IFERROR(INDEX('Sublimits and Parts'!$C$56:$C$60,MATCH($AH267,'Sublimits and Parts'!$B$56:$B$60,0)),"?")))</f>
        <v/>
      </c>
      <c r="BU267" s="97" t="str">
        <f>IF($A267="","",IF($AI267="",1,IFERROR(INDEX('Sublimits and Parts'!$C$64:$C$67,MATCH($AI267,'Sublimits and Parts'!$B$64:$B$67,0)),"?")))</f>
        <v/>
      </c>
      <c r="BV267" s="97" t="str">
        <f>IF($A267="","",IF($AJ267="",1,IFERROR(INDEX('Sublimits and Parts'!$C$71:$C$74,MATCH($AJ267,'Sublimits and Parts'!$B$71:$B$74,0)),"?")))</f>
        <v/>
      </c>
      <c r="BW267" s="97" t="str">
        <f>IF($A267="","",IF($AK267="",1,IFERROR(INDEX('Sublimits and Parts'!$C$78:$C$80,MATCH($AK267,'Sublimits and Parts'!$B$78:$B$80,0)),"?")))</f>
        <v/>
      </c>
      <c r="BX267" s="97" t="str">
        <f>IF($A267="","",IF($AL267="",1,IFERROR(INDEX('Sublimits and Parts'!$C$84:$C$87,MATCH($AL267,'Sublimits and Parts'!$B$84:$B$87,0)),"?")))</f>
        <v/>
      </c>
      <c r="BY267" s="97" t="str">
        <f>IF($A267="","",IF($AM267="",1,IFERROR(INDEX('Sublimits and Parts'!$C$91:$C$94,MATCH($AM267,'Sublimits and Parts'!$B$91:$B$94,0)),"?")))</f>
        <v/>
      </c>
      <c r="BZ267" s="97" t="str">
        <f>IF($A267="","",IF($AN267="",1,IFERROR(INDEX('Sublimits and Parts'!$C$98:$C$101,MATCH($AN267,'Sublimits and Parts'!$B$98:$B$101,0)),"?")))</f>
        <v/>
      </c>
      <c r="CA267" s="97" t="str">
        <f>IF($A267="","",IF($AO267="",1,IFERROR(INDEX('Sublimits and Parts'!$C$105:$C$109,MATCH($AO267,'Sublimits and Parts'!$B$105:$B$109,0)),"?")))</f>
        <v/>
      </c>
      <c r="CB267" s="98" t="str">
        <f t="shared" si="54"/>
        <v/>
      </c>
      <c r="CC267" s="98" t="str">
        <f t="shared" si="55"/>
        <v/>
      </c>
      <c r="CD267" s="101" t="str">
        <f>IF($A267="","",IF(OR($CB267="?",$CC267="?"),"?",MIN($CB267*$CC267,'Technical Premium'!$C$17)))</f>
        <v/>
      </c>
      <c r="CE267" s="100" t="str">
        <f t="shared" si="56"/>
        <v/>
      </c>
      <c r="CF267" s="100" t="str">
        <f>IF($A267="","",IFERROR(INDEX('Territory Factors'!$F$6:$F$56,MATCH($K267,'Territory Factors'!$B$6:$B$56,0)),"?"))</f>
        <v/>
      </c>
      <c r="CG267" s="98" t="str">
        <f>IF($A267="","",IFERROR(INDEX('Usage and Coverage'!$C$79:$C$84,MATCH($Y267,'Usage and Coverage'!$B$79:$B$84,0)),"?"))</f>
        <v/>
      </c>
      <c r="CH267" s="100" t="str">
        <f>IFERROR(IF(ISNUMBER($CD267),$CF267*$CG267*MIN($BG267*$BA267*$BC267*$BD267*$BH267*$BF267,'Technical Premium'!$C$17),""),"")</f>
        <v/>
      </c>
      <c r="CI267" s="100" t="str">
        <f t="shared" si="57"/>
        <v/>
      </c>
      <c r="CJ267" s="100" t="str">
        <f>IFERROR($CI267*(1+'Technical Premium'!$C$5)*(1+'Technical Premium'!$C$6),"")</f>
        <v/>
      </c>
      <c r="CK267" s="100" t="str">
        <f>IFERROR($CE267*INDEX('Territory Factors'!$G$6:$G$56,MATCH($K267,'Territory Factors'!$B$6:$B$56,0))*$AU267*$AV267,"")</f>
        <v/>
      </c>
      <c r="CL267" s="100" t="str">
        <f>IFERROR(($CJ267+$CK267)*(1+'Technical Premium'!$C$7),"")</f>
        <v/>
      </c>
      <c r="CM267" s="102" t="str">
        <f>IFERROR($CL267/'Technical Premium'!$C$13,"")</f>
        <v/>
      </c>
      <c r="CN267" s="103" t="str">
        <f t="shared" si="58"/>
        <v/>
      </c>
      <c r="CO267" s="102" t="str">
        <f t="shared" si="59"/>
        <v/>
      </c>
      <c r="CP267" s="103" t="str">
        <f t="shared" si="60"/>
        <v/>
      </c>
      <c r="CQ267" s="104" t="str">
        <f t="shared" si="61"/>
        <v/>
      </c>
      <c r="CR267" s="100" t="str">
        <f>IF(ISNUMBER($CM267),'Technical Premium'!$C$14+IF($J267&gt;=1000000,'Technical Premium'!$C$15,0),"")</f>
        <v/>
      </c>
      <c r="CS267" s="100" t="str">
        <f>IFERROR(($CO267+$CR267)*(INDEX('Territory Factors'!$K$6:$K$56,MATCH($K267,'Territory Factors'!$B$6:$B$56,0))+'Commission Structure'!$C$21),"")</f>
        <v/>
      </c>
      <c r="CT267" s="102" t="str">
        <f t="shared" si="62"/>
        <v/>
      </c>
      <c r="CU267" s="100" t="str">
        <f>IFERROR($CO267*('Commission Structure'!$C$6+'Commission Structure'!$C$7),"")</f>
        <v/>
      </c>
      <c r="CV267" s="100" t="str">
        <f>IFERROR($CO267*'Commission Structure'!$C$5-$CU267,"")</f>
        <v/>
      </c>
      <c r="CW267" s="100" t="str">
        <f>IFERROR($CO267*(1-'Commission Structure'!$C$5),"")</f>
        <v/>
      </c>
      <c r="CX267" s="105" t="str">
        <f>IF($A267="","",IF(OR($CB267="?",$CC267="?",NOT(ISNUMBER($AU267))),"CHECK INPUTS",IF(OR($J267&lt;'Technical Premium'!$C$18,LEFT(IFERROR(INDEX('Driver Factors'!$D$6:$D$15,MATCH($R267,'Driver Factors'!$B$6:$B$15,0)),""),7)="DECLINE",LEFT(IFERROR(INDEX('Driver Factors'!$D$28:$D$36,MATCH($T267,'Driver Factors'!$B$28:$B$36,0)),""),7)="DECLINE",LEFT(IFERROR(INDEX('Claims History'!$D$6:$D$15,MATCH($U267,'Claims History'!$B$6:$B$15,0)),""),7)="DECLINE",LEFT(IFERROR(INDEX('Usage and Coverage'!$E$6:$E$20,MATCH($N267,'Usage and Coverage'!$C$6:$C$20,0)),""),7)="DECLINE"),"DECLINE",IF(OR($CD267&gt;2.5,$CD267&gt;='Technical Premium'!$C$17,$J267&gt;='Technical Premium'!$C$16,N($AQ267)&lt;'Technical Premium'!$C$19,N($AQ267)&gt;'Technical Premium'!$C$20,LEFT(IFERROR(INDEX('Driver Factors'!$D$6:$D$15,MATCH($R267,'Driver Factors'!$B$6:$B$15,0)),""),5)="Refer",LEFT(IFERROR(INDEX('Driver Factors'!$D$28:$D$36,MATCH($T267,'Driver Factors'!$B$28:$B$36,0)),""),5)="Refer",LEFT(IFERROR(INDEX('Claims History'!$D$6:$D$15,MATCH($U267,'Claims History'!$B$6:$B$15,0)),""),5)="Refer",LEFT(IFERROR(INDEX('Usage and Coverage'!$E$6:$E$20,MATCH($N267,'Usage and Coverage'!$C$6:$C$20,0)),""),5)="Refer"),"REFER","AUTO-BIND"))))</f>
        <v/>
      </c>
      <c r="CY267" s="106" t="str">
        <f t="shared" si="63"/>
        <v/>
      </c>
      <c r="CZ267" s="97" t="str">
        <f>IF($CY267="","",IF($CY267&lt;'Technical Premium'!$C$19,"BEYOND AUTHORITY",IF($CY267&gt;0.005,"Above technical",IF($CY267&lt;-0.005,"BELOW technical","At technical"))))</f>
        <v/>
      </c>
      <c r="DA267" s="97" t="str">
        <f>IF($A267="","",IF($CX267="AUTO-BIND","",TRIM(IF($J267&lt;'Technical Premium'!$C$18,"Below programme minimum agreed value. ","")&amp;IF(N($AQ267)&lt;'Technical Premium'!$C$19,"DISCOUNT AUTHORITY BREACH. ","")&amp;IF(N($AQ267)&gt;'Technical Premium'!$C$20,"Load authority breach. ","")&amp;IF($J267&gt;='Technical Premium'!$C$16,"Agreed value at or above auto-bind limit. ","")&amp;IF(AND(ISNUMBER($CD267),$CD267&gt;='Technical Premium'!$C$17),"Composite factor at cap. ","")&amp;IF(AND(ISNUMBER($CD267),$CD267&gt;2.5),"Composite factor above 2.50. ","")&amp;IF(LEFT(IFERROR(INDEX('Driver Factors'!$D$6:$D$15,MATCH($R267,'Driver Factors'!$B$6:$B$15,0)),""),7)="DECLINE","DECLINE - driver age. ",IF(LEFT(IFERROR(INDEX('Driver Factors'!$D$6:$D$15,MATCH($R267,'Driver Factors'!$B$6:$B$15,0)),""),5)="Refer","Driver age band. ",""))&amp;IF(LEFT(IFERROR(INDEX('Driver Factors'!$D$28:$D$36,MATCH($T267,'Driver Factors'!$B$28:$B$36,0)),""),7)="DECLINE","DECLINE - MVR. ",IF(LEFT(IFERROR(INDEX('Driver Factors'!$D$28:$D$36,MATCH($T267,'Driver Factors'!$B$28:$B$36,0)),""),5)="Refer","MVR record. ",""))&amp;IF(LEFT(IFERROR(INDEX('Claims History'!$D$6:$D$15,MATCH($U267,'Claims History'!$B$6:$B$15,0)),""),7)="DECLINE","DECLINE - claims. ",IF(LEFT(IFERROR(INDEX('Claims History'!$D$6:$D$15,MATCH($U267,'Claims History'!$B$6:$B$15,0)),""),5)="Refer","Claims history. ",""))&amp;IF(LEFT(IFERROR(INDEX('Usage and Coverage'!$E$6:$E$20,MATCH($N267,'Usage and Coverage'!$C$6:$C$20,0)),""),7)="DECLINE","DECLINE - usage class. ",IF(LEFT(IFERROR(INDEX('Usage and Coverage'!$E$6:$E$20,MATCH($N267,'Usage and Coverage'!$C$6:$C$20,0)),""),5)="Refer","Usage class. ",""))&amp;IF($CX267="CHECK INPUTS","Incomplete inputs. ",""))))</f>
        <v/>
      </c>
      <c r="DB267" s="92"/>
      <c r="DC267" s="92"/>
      <c r="DD267" s="93"/>
      <c r="DE267" s="92"/>
      <c r="DF267" s="92"/>
      <c r="DG267" s="97" t="str">
        <f t="shared" si="64"/>
        <v/>
      </c>
      <c r="DH267" s="97" t="str">
        <f>IF($A267="","",IF(OR($CX267="REFER",$CX267="DECLINE"),COUNTIF($CX$5:$CX267,"REFER")+COUNTIF($CX$5:$CX267,"DECLINE"),""))</f>
        <v/>
      </c>
      <c r="DI267" s="92"/>
    </row>
    <row r="268" spans="1:113" x14ac:dyDescent="0.25">
      <c r="A268" s="92"/>
      <c r="B268" s="92"/>
      <c r="C268" s="93"/>
      <c r="D268" s="93"/>
      <c r="E268" s="94"/>
      <c r="F268" s="92"/>
      <c r="G268" s="92"/>
      <c r="H268" s="92"/>
      <c r="I268" s="92"/>
      <c r="J268" s="95"/>
      <c r="K268" s="92"/>
      <c r="L268" s="92"/>
      <c r="M268" s="92"/>
      <c r="N268" s="92"/>
      <c r="O268" s="92"/>
      <c r="P268" s="92"/>
      <c r="Q268" s="92"/>
      <c r="R268" s="92"/>
      <c r="S268" s="92"/>
      <c r="T268" s="92"/>
      <c r="U268" s="92"/>
      <c r="V268" s="92"/>
      <c r="W268" s="92"/>
      <c r="X268" s="92"/>
      <c r="Y268" s="92"/>
      <c r="Z268" s="92"/>
      <c r="AA268" s="92"/>
      <c r="AB268" s="92"/>
      <c r="AC268" s="92"/>
      <c r="AD268" s="92"/>
      <c r="AE268" s="92"/>
      <c r="AF268" s="92"/>
      <c r="AG268" s="92"/>
      <c r="AH268" s="92"/>
      <c r="AI268" s="92"/>
      <c r="AJ268" s="92"/>
      <c r="AK268" s="92"/>
      <c r="AL268" s="92"/>
      <c r="AM268" s="92"/>
      <c r="AN268" s="92"/>
      <c r="AO268" s="92"/>
      <c r="AP268" s="92"/>
      <c r="AQ268" s="96"/>
      <c r="AR268" s="97" t="str">
        <f t="shared" si="52"/>
        <v/>
      </c>
      <c r="AS268" s="97" t="str">
        <f>IF($A268="","",IF($AP268&lt;&gt;"",$AP268,IFERROR(INDEX('Cat Zone by ZIP'!$D$6:$D$856,MATCH($AR268,'Cat Zone by ZIP'!$B$6:$B$856,0)),IFERROR(INDEX('Cat Zone by ZIP'!$C$860:$C$910,MATCH($K268,'Cat Zone by ZIP'!$B$860:$B$910,0)),"NOT FOUND"))))</f>
        <v/>
      </c>
      <c r="AT268" s="97" t="str">
        <f>IF($A268="","",IF($AP268&lt;&gt;"","Override",IF(ISNUMBER(MATCH($AR268,'Cat Zone by ZIP'!$B$6:$B$856,0)),"ZIP-3","State default")))</f>
        <v/>
      </c>
      <c r="AU268" s="98" t="str">
        <f>IF($A268="","",IFERROR(INDEX('Natural Catastrophe'!$D$6:$D$17,MATCH($AS268,'Natural Catastrophe'!$B$6:$B$17,0)),"?"))</f>
        <v/>
      </c>
      <c r="AV268" s="98" t="str">
        <f>IF($A268="","",IFERROR(INDEX('Natural Catastrophe'!$C$21:$C$26,MATCH($AA268,'Natural Catastrophe'!$B$21:$B$26,0)),"?"))</f>
        <v/>
      </c>
      <c r="AW268" s="97" t="str">
        <f>IF($A268="","",IFERROR(INDEX('Base Rates'!$C$4:$I$4,MATCH(MAX($J268,'Technical Premium'!$C$18),'Base Rates'!$C$3:$I$3,1)),"?"))</f>
        <v/>
      </c>
      <c r="AX268" s="99" t="str">
        <f>IF($A268="","",IFERROR(INDEX('Base Rates'!$C$5:$I$16,MATCH($I268,'Base Rates'!$B$5:$B$16,0),MATCH(MAX($J268,'Technical Premium'!$C$18),'Base Rates'!$C$3:$I$3,1)),"?"))</f>
        <v/>
      </c>
      <c r="AY268" s="100" t="str">
        <f t="shared" si="53"/>
        <v/>
      </c>
      <c r="AZ268" s="97" t="str">
        <f>IF($A268="","",IFERROR(INDEX('Make Factors'!$G$5:$G$69,MATCH($F268,'Make Factors'!$B$5:$B$69,0)),"?"))</f>
        <v/>
      </c>
      <c r="BA268" s="97" t="str">
        <f>IF($A268="","",IFERROR(INDEX('Driver Factors'!$C$6:$C$15,MATCH($R268,'Driver Factors'!$B$6:$B$15,0)),"?"))</f>
        <v/>
      </c>
      <c r="BB268" s="97" t="str">
        <f>IF($A268="","",IFERROR(INDEX('Driver Factors'!$C$19:$C$24,MATCH($S268,'Driver Factors'!$B$19:$B$24,0)),"?"))</f>
        <v/>
      </c>
      <c r="BC268" s="97" t="str">
        <f>IF($A268="","",IFERROR(INDEX('Driver Factors'!$C$28:$C$36,MATCH($T268,'Driver Factors'!$B$28:$B$36,0)),"?"))</f>
        <v/>
      </c>
      <c r="BD268" s="97" t="str">
        <f>IF($A268="","",IFERROR(INDEX('Claims History'!$C$6:$C$15,MATCH($U268,'Claims History'!$B$6:$B$15,0)),"?"))</f>
        <v/>
      </c>
      <c r="BE268" s="97" t="str">
        <f>IF($A268="","",IFERROR(INDEX('Territory Factors'!$E$6:$E$56,MATCH($K268,'Territory Factors'!$B$6:$B$56,0)),"?"))</f>
        <v/>
      </c>
      <c r="BF268" s="97" t="str">
        <f>IF($A268="","",IFERROR(INDEX('City Accident Ratings'!$G$6:$G$54,MATCH($Z268,'City Accident Ratings'!$B$6:$B$54,0)),"?"))</f>
        <v/>
      </c>
      <c r="BG268" s="97" t="str">
        <f>IF($A268="","",IFERROR(INDEX('Usage and Coverage'!$D$6:$D$20,MATCH($N268,'Usage and Coverage'!$C$6:$C$20,0)),"?"))</f>
        <v/>
      </c>
      <c r="BH268" s="97" t="str">
        <f>IF($A268="","",IFERROR(INDEX('Usage and Coverage'!$C$24:$C$30,MATCH($O268,'Usage and Coverage'!$B$24:$B$30,0)),"?"))</f>
        <v/>
      </c>
      <c r="BI268" s="97" t="str">
        <f>IF($A268="","",IFERROR(INDEX('Usage and Coverage'!$C$34:$C$40,MATCH($P268,'Usage and Coverage'!$B$34:$B$40,0)),"?"))</f>
        <v/>
      </c>
      <c r="BJ268" s="97" t="str">
        <f>IF($A268="","",IFERROR(INDEX('Usage and Coverage'!$C$44:$C$49,MATCH($Q268,'Usage and Coverage'!$B$44:$B$49,0)),"?"))</f>
        <v/>
      </c>
      <c r="BK268" s="97" t="str">
        <f>IF($A268="","",IFERROR(INDEX(Deductibles!$C$6:$I$15,MATCH($W268,Deductibles!$B$6:$B$15,0),MATCH(MAX($J268,'Technical Premium'!$C$18),'Base Rates'!$C$3:$I$3,1)),"?"))</f>
        <v/>
      </c>
      <c r="BL268" s="97" t="str">
        <f>IF($A268="","",IFERROR(INDEX('Usage and Coverage'!$C$63:$C$66,MATCH($X268,'Usage and Coverage'!$B$63:$B$66,0)),"?"))</f>
        <v/>
      </c>
      <c r="BM268" s="97" t="str">
        <f>IF($A268="","",IFERROR(INDEX('Usage and Coverage'!$C$70:$C$75,MATCH($V268,'Usage and Coverage'!$B$70:$B$75,0)),"?"))</f>
        <v/>
      </c>
      <c r="BN268" s="97" t="str">
        <f>IF($A268="","",IF($AB268="",1,IFERROR(INDEX(Deductibles!$C$48:$C$51,MATCH($AB268,Deductibles!$B$48:$B$51,0)),"?")))</f>
        <v/>
      </c>
      <c r="BO268" s="97" t="str">
        <f>IF($A268="","",IF($AC268="",1,IFERROR(INDEX(Deductibles!$C$55:$C$57,MATCH($AC268,Deductibles!$B$55:$B$57,0)),"?")))</f>
        <v/>
      </c>
      <c r="BP268" s="97" t="str">
        <f>IF($A268="","",IF($AD268="",1,IFERROR(INDEX(Deductibles!$C$61:$C$63,MATCH($AD268,Deductibles!$B$61:$B$63,0)),"?")))</f>
        <v/>
      </c>
      <c r="BQ268" s="97" t="str">
        <f>IF($A268="","",IF($AE268="",1,IFERROR(INDEX(Deductibles!$C$67:$C$69,MATCH($AE268,Deductibles!$B$67:$B$69,0)),"?")))</f>
        <v/>
      </c>
      <c r="BR268" s="97" t="str">
        <f>IF($A268="","",IF($AF268="",1,IFERROR(INDEX(Deductibles!$C$73:$C$74,MATCH($AF268,Deductibles!$B$73:$B$74,0)),"?")))</f>
        <v/>
      </c>
      <c r="BS268" s="97" t="str">
        <f>IF($A268="","",IF($AG268="",1,IFERROR(INDEX('Sublimits and Parts'!$C$49:$C$52,MATCH($AG268,'Sublimits and Parts'!$B$49:$B$52,0)),"?")))</f>
        <v/>
      </c>
      <c r="BT268" s="97" t="str">
        <f>IF($A268="","",IF($AH268="",1,IFERROR(INDEX('Sublimits and Parts'!$C$56:$C$60,MATCH($AH268,'Sublimits and Parts'!$B$56:$B$60,0)),"?")))</f>
        <v/>
      </c>
      <c r="BU268" s="97" t="str">
        <f>IF($A268="","",IF($AI268="",1,IFERROR(INDEX('Sublimits and Parts'!$C$64:$C$67,MATCH($AI268,'Sublimits and Parts'!$B$64:$B$67,0)),"?")))</f>
        <v/>
      </c>
      <c r="BV268" s="97" t="str">
        <f>IF($A268="","",IF($AJ268="",1,IFERROR(INDEX('Sublimits and Parts'!$C$71:$C$74,MATCH($AJ268,'Sublimits and Parts'!$B$71:$B$74,0)),"?")))</f>
        <v/>
      </c>
      <c r="BW268" s="97" t="str">
        <f>IF($A268="","",IF($AK268="",1,IFERROR(INDEX('Sublimits and Parts'!$C$78:$C$80,MATCH($AK268,'Sublimits and Parts'!$B$78:$B$80,0)),"?")))</f>
        <v/>
      </c>
      <c r="BX268" s="97" t="str">
        <f>IF($A268="","",IF($AL268="",1,IFERROR(INDEX('Sublimits and Parts'!$C$84:$C$87,MATCH($AL268,'Sublimits and Parts'!$B$84:$B$87,0)),"?")))</f>
        <v/>
      </c>
      <c r="BY268" s="97" t="str">
        <f>IF($A268="","",IF($AM268="",1,IFERROR(INDEX('Sublimits and Parts'!$C$91:$C$94,MATCH($AM268,'Sublimits and Parts'!$B$91:$B$94,0)),"?")))</f>
        <v/>
      </c>
      <c r="BZ268" s="97" t="str">
        <f>IF($A268="","",IF($AN268="",1,IFERROR(INDEX('Sublimits and Parts'!$C$98:$C$101,MATCH($AN268,'Sublimits and Parts'!$B$98:$B$101,0)),"?")))</f>
        <v/>
      </c>
      <c r="CA268" s="97" t="str">
        <f>IF($A268="","",IF($AO268="",1,IFERROR(INDEX('Sublimits and Parts'!$C$105:$C$109,MATCH($AO268,'Sublimits and Parts'!$B$105:$B$109,0)),"?")))</f>
        <v/>
      </c>
      <c r="CB268" s="98" t="str">
        <f t="shared" si="54"/>
        <v/>
      </c>
      <c r="CC268" s="98" t="str">
        <f t="shared" si="55"/>
        <v/>
      </c>
      <c r="CD268" s="101" t="str">
        <f>IF($A268="","",IF(OR($CB268="?",$CC268="?"),"?",MIN($CB268*$CC268,'Technical Premium'!$C$17)))</f>
        <v/>
      </c>
      <c r="CE268" s="100" t="str">
        <f t="shared" si="56"/>
        <v/>
      </c>
      <c r="CF268" s="100" t="str">
        <f>IF($A268="","",IFERROR(INDEX('Territory Factors'!$F$6:$F$56,MATCH($K268,'Territory Factors'!$B$6:$B$56,0)),"?"))</f>
        <v/>
      </c>
      <c r="CG268" s="98" t="str">
        <f>IF($A268="","",IFERROR(INDEX('Usage and Coverage'!$C$79:$C$84,MATCH($Y268,'Usage and Coverage'!$B$79:$B$84,0)),"?"))</f>
        <v/>
      </c>
      <c r="CH268" s="100" t="str">
        <f>IFERROR(IF(ISNUMBER($CD268),$CF268*$CG268*MIN($BG268*$BA268*$BC268*$BD268*$BH268*$BF268,'Technical Premium'!$C$17),""),"")</f>
        <v/>
      </c>
      <c r="CI268" s="100" t="str">
        <f t="shared" si="57"/>
        <v/>
      </c>
      <c r="CJ268" s="100" t="str">
        <f>IFERROR($CI268*(1+'Technical Premium'!$C$5)*(1+'Technical Premium'!$C$6),"")</f>
        <v/>
      </c>
      <c r="CK268" s="100" t="str">
        <f>IFERROR($CE268*INDEX('Territory Factors'!$G$6:$G$56,MATCH($K268,'Territory Factors'!$B$6:$B$56,0))*$AU268*$AV268,"")</f>
        <v/>
      </c>
      <c r="CL268" s="100" t="str">
        <f>IFERROR(($CJ268+$CK268)*(1+'Technical Premium'!$C$7),"")</f>
        <v/>
      </c>
      <c r="CM268" s="102" t="str">
        <f>IFERROR($CL268/'Technical Premium'!$C$13,"")</f>
        <v/>
      </c>
      <c r="CN268" s="103" t="str">
        <f t="shared" si="58"/>
        <v/>
      </c>
      <c r="CO268" s="102" t="str">
        <f t="shared" si="59"/>
        <v/>
      </c>
      <c r="CP268" s="103" t="str">
        <f t="shared" si="60"/>
        <v/>
      </c>
      <c r="CQ268" s="104" t="str">
        <f t="shared" si="61"/>
        <v/>
      </c>
      <c r="CR268" s="100" t="str">
        <f>IF(ISNUMBER($CM268),'Technical Premium'!$C$14+IF($J268&gt;=1000000,'Technical Premium'!$C$15,0),"")</f>
        <v/>
      </c>
      <c r="CS268" s="100" t="str">
        <f>IFERROR(($CO268+$CR268)*(INDEX('Territory Factors'!$K$6:$K$56,MATCH($K268,'Territory Factors'!$B$6:$B$56,0))+'Commission Structure'!$C$21),"")</f>
        <v/>
      </c>
      <c r="CT268" s="102" t="str">
        <f t="shared" si="62"/>
        <v/>
      </c>
      <c r="CU268" s="100" t="str">
        <f>IFERROR($CO268*('Commission Structure'!$C$6+'Commission Structure'!$C$7),"")</f>
        <v/>
      </c>
      <c r="CV268" s="100" t="str">
        <f>IFERROR($CO268*'Commission Structure'!$C$5-$CU268,"")</f>
        <v/>
      </c>
      <c r="CW268" s="100" t="str">
        <f>IFERROR($CO268*(1-'Commission Structure'!$C$5),"")</f>
        <v/>
      </c>
      <c r="CX268" s="105" t="str">
        <f>IF($A268="","",IF(OR($CB268="?",$CC268="?",NOT(ISNUMBER($AU268))),"CHECK INPUTS",IF(OR($J268&lt;'Technical Premium'!$C$18,LEFT(IFERROR(INDEX('Driver Factors'!$D$6:$D$15,MATCH($R268,'Driver Factors'!$B$6:$B$15,0)),""),7)="DECLINE",LEFT(IFERROR(INDEX('Driver Factors'!$D$28:$D$36,MATCH($T268,'Driver Factors'!$B$28:$B$36,0)),""),7)="DECLINE",LEFT(IFERROR(INDEX('Claims History'!$D$6:$D$15,MATCH($U268,'Claims History'!$B$6:$B$15,0)),""),7)="DECLINE",LEFT(IFERROR(INDEX('Usage and Coverage'!$E$6:$E$20,MATCH($N268,'Usage and Coverage'!$C$6:$C$20,0)),""),7)="DECLINE"),"DECLINE",IF(OR($CD268&gt;2.5,$CD268&gt;='Technical Premium'!$C$17,$J268&gt;='Technical Premium'!$C$16,N($AQ268)&lt;'Technical Premium'!$C$19,N($AQ268)&gt;'Technical Premium'!$C$20,LEFT(IFERROR(INDEX('Driver Factors'!$D$6:$D$15,MATCH($R268,'Driver Factors'!$B$6:$B$15,0)),""),5)="Refer",LEFT(IFERROR(INDEX('Driver Factors'!$D$28:$D$36,MATCH($T268,'Driver Factors'!$B$28:$B$36,0)),""),5)="Refer",LEFT(IFERROR(INDEX('Claims History'!$D$6:$D$15,MATCH($U268,'Claims History'!$B$6:$B$15,0)),""),5)="Refer",LEFT(IFERROR(INDEX('Usage and Coverage'!$E$6:$E$20,MATCH($N268,'Usage and Coverage'!$C$6:$C$20,0)),""),5)="Refer"),"REFER","AUTO-BIND"))))</f>
        <v/>
      </c>
      <c r="CY268" s="106" t="str">
        <f t="shared" si="63"/>
        <v/>
      </c>
      <c r="CZ268" s="97" t="str">
        <f>IF($CY268="","",IF($CY268&lt;'Technical Premium'!$C$19,"BEYOND AUTHORITY",IF($CY268&gt;0.005,"Above technical",IF($CY268&lt;-0.005,"BELOW technical","At technical"))))</f>
        <v/>
      </c>
      <c r="DA268" s="97" t="str">
        <f>IF($A268="","",IF($CX268="AUTO-BIND","",TRIM(IF($J268&lt;'Technical Premium'!$C$18,"Below programme minimum agreed value. ","")&amp;IF(N($AQ268)&lt;'Technical Premium'!$C$19,"DISCOUNT AUTHORITY BREACH. ","")&amp;IF(N($AQ268)&gt;'Technical Premium'!$C$20,"Load authority breach. ","")&amp;IF($J268&gt;='Technical Premium'!$C$16,"Agreed value at or above auto-bind limit. ","")&amp;IF(AND(ISNUMBER($CD268),$CD268&gt;='Technical Premium'!$C$17),"Composite factor at cap. ","")&amp;IF(AND(ISNUMBER($CD268),$CD268&gt;2.5),"Composite factor above 2.50. ","")&amp;IF(LEFT(IFERROR(INDEX('Driver Factors'!$D$6:$D$15,MATCH($R268,'Driver Factors'!$B$6:$B$15,0)),""),7)="DECLINE","DECLINE - driver age. ",IF(LEFT(IFERROR(INDEX('Driver Factors'!$D$6:$D$15,MATCH($R268,'Driver Factors'!$B$6:$B$15,0)),""),5)="Refer","Driver age band. ",""))&amp;IF(LEFT(IFERROR(INDEX('Driver Factors'!$D$28:$D$36,MATCH($T268,'Driver Factors'!$B$28:$B$36,0)),""),7)="DECLINE","DECLINE - MVR. ",IF(LEFT(IFERROR(INDEX('Driver Factors'!$D$28:$D$36,MATCH($T268,'Driver Factors'!$B$28:$B$36,0)),""),5)="Refer","MVR record. ",""))&amp;IF(LEFT(IFERROR(INDEX('Claims History'!$D$6:$D$15,MATCH($U268,'Claims History'!$B$6:$B$15,0)),""),7)="DECLINE","DECLINE - claims. ",IF(LEFT(IFERROR(INDEX('Claims History'!$D$6:$D$15,MATCH($U268,'Claims History'!$B$6:$B$15,0)),""),5)="Refer","Claims history. ",""))&amp;IF(LEFT(IFERROR(INDEX('Usage and Coverage'!$E$6:$E$20,MATCH($N268,'Usage and Coverage'!$C$6:$C$20,0)),""),7)="DECLINE","DECLINE - usage class. ",IF(LEFT(IFERROR(INDEX('Usage and Coverage'!$E$6:$E$20,MATCH($N268,'Usage and Coverage'!$C$6:$C$20,0)),""),5)="Refer","Usage class. ",""))&amp;IF($CX268="CHECK INPUTS","Incomplete inputs. ",""))))</f>
        <v/>
      </c>
      <c r="DB268" s="92"/>
      <c r="DC268" s="92"/>
      <c r="DD268" s="93"/>
      <c r="DE268" s="92"/>
      <c r="DF268" s="92"/>
      <c r="DG268" s="97" t="str">
        <f t="shared" si="64"/>
        <v/>
      </c>
      <c r="DH268" s="97" t="str">
        <f>IF($A268="","",IF(OR($CX268="REFER",$CX268="DECLINE"),COUNTIF($CX$5:$CX268,"REFER")+COUNTIF($CX$5:$CX268,"DECLINE"),""))</f>
        <v/>
      </c>
      <c r="DI268" s="92"/>
    </row>
    <row r="269" spans="1:113" x14ac:dyDescent="0.25">
      <c r="A269" s="92"/>
      <c r="B269" s="92"/>
      <c r="C269" s="93"/>
      <c r="D269" s="93"/>
      <c r="E269" s="94"/>
      <c r="F269" s="92"/>
      <c r="G269" s="92"/>
      <c r="H269" s="92"/>
      <c r="I269" s="92"/>
      <c r="J269" s="95"/>
      <c r="K269" s="92"/>
      <c r="L269" s="92"/>
      <c r="M269" s="92"/>
      <c r="N269" s="92"/>
      <c r="O269" s="92"/>
      <c r="P269" s="92"/>
      <c r="Q269" s="92"/>
      <c r="R269" s="92"/>
      <c r="S269" s="92"/>
      <c r="T269" s="92"/>
      <c r="U269" s="92"/>
      <c r="V269" s="92"/>
      <c r="W269" s="92"/>
      <c r="X269" s="92"/>
      <c r="Y269" s="92"/>
      <c r="Z269" s="92"/>
      <c r="AA269" s="92"/>
      <c r="AB269" s="92"/>
      <c r="AC269" s="92"/>
      <c r="AD269" s="92"/>
      <c r="AE269" s="92"/>
      <c r="AF269" s="92"/>
      <c r="AG269" s="92"/>
      <c r="AH269" s="92"/>
      <c r="AI269" s="92"/>
      <c r="AJ269" s="92"/>
      <c r="AK269" s="92"/>
      <c r="AL269" s="92"/>
      <c r="AM269" s="92"/>
      <c r="AN269" s="92"/>
      <c r="AO269" s="92"/>
      <c r="AP269" s="92"/>
      <c r="AQ269" s="96"/>
      <c r="AR269" s="97" t="str">
        <f t="shared" si="52"/>
        <v/>
      </c>
      <c r="AS269" s="97" t="str">
        <f>IF($A269="","",IF($AP269&lt;&gt;"",$AP269,IFERROR(INDEX('Cat Zone by ZIP'!$D$6:$D$856,MATCH($AR269,'Cat Zone by ZIP'!$B$6:$B$856,0)),IFERROR(INDEX('Cat Zone by ZIP'!$C$860:$C$910,MATCH($K269,'Cat Zone by ZIP'!$B$860:$B$910,0)),"NOT FOUND"))))</f>
        <v/>
      </c>
      <c r="AT269" s="97" t="str">
        <f>IF($A269="","",IF($AP269&lt;&gt;"","Override",IF(ISNUMBER(MATCH($AR269,'Cat Zone by ZIP'!$B$6:$B$856,0)),"ZIP-3","State default")))</f>
        <v/>
      </c>
      <c r="AU269" s="98" t="str">
        <f>IF($A269="","",IFERROR(INDEX('Natural Catastrophe'!$D$6:$D$17,MATCH($AS269,'Natural Catastrophe'!$B$6:$B$17,0)),"?"))</f>
        <v/>
      </c>
      <c r="AV269" s="98" t="str">
        <f>IF($A269="","",IFERROR(INDEX('Natural Catastrophe'!$C$21:$C$26,MATCH($AA269,'Natural Catastrophe'!$B$21:$B$26,0)),"?"))</f>
        <v/>
      </c>
      <c r="AW269" s="97" t="str">
        <f>IF($A269="","",IFERROR(INDEX('Base Rates'!$C$4:$I$4,MATCH(MAX($J269,'Technical Premium'!$C$18),'Base Rates'!$C$3:$I$3,1)),"?"))</f>
        <v/>
      </c>
      <c r="AX269" s="99" t="str">
        <f>IF($A269="","",IFERROR(INDEX('Base Rates'!$C$5:$I$16,MATCH($I269,'Base Rates'!$B$5:$B$16,0),MATCH(MAX($J269,'Technical Premium'!$C$18),'Base Rates'!$C$3:$I$3,1)),"?"))</f>
        <v/>
      </c>
      <c r="AY269" s="100" t="str">
        <f t="shared" si="53"/>
        <v/>
      </c>
      <c r="AZ269" s="97" t="str">
        <f>IF($A269="","",IFERROR(INDEX('Make Factors'!$G$5:$G$69,MATCH($F269,'Make Factors'!$B$5:$B$69,0)),"?"))</f>
        <v/>
      </c>
      <c r="BA269" s="97" t="str">
        <f>IF($A269="","",IFERROR(INDEX('Driver Factors'!$C$6:$C$15,MATCH($R269,'Driver Factors'!$B$6:$B$15,0)),"?"))</f>
        <v/>
      </c>
      <c r="BB269" s="97" t="str">
        <f>IF($A269="","",IFERROR(INDEX('Driver Factors'!$C$19:$C$24,MATCH($S269,'Driver Factors'!$B$19:$B$24,0)),"?"))</f>
        <v/>
      </c>
      <c r="BC269" s="97" t="str">
        <f>IF($A269="","",IFERROR(INDEX('Driver Factors'!$C$28:$C$36,MATCH($T269,'Driver Factors'!$B$28:$B$36,0)),"?"))</f>
        <v/>
      </c>
      <c r="BD269" s="97" t="str">
        <f>IF($A269="","",IFERROR(INDEX('Claims History'!$C$6:$C$15,MATCH($U269,'Claims History'!$B$6:$B$15,0)),"?"))</f>
        <v/>
      </c>
      <c r="BE269" s="97" t="str">
        <f>IF($A269="","",IFERROR(INDEX('Territory Factors'!$E$6:$E$56,MATCH($K269,'Territory Factors'!$B$6:$B$56,0)),"?"))</f>
        <v/>
      </c>
      <c r="BF269" s="97" t="str">
        <f>IF($A269="","",IFERROR(INDEX('City Accident Ratings'!$G$6:$G$54,MATCH($Z269,'City Accident Ratings'!$B$6:$B$54,0)),"?"))</f>
        <v/>
      </c>
      <c r="BG269" s="97" t="str">
        <f>IF($A269="","",IFERROR(INDEX('Usage and Coverage'!$D$6:$D$20,MATCH($N269,'Usage and Coverage'!$C$6:$C$20,0)),"?"))</f>
        <v/>
      </c>
      <c r="BH269" s="97" t="str">
        <f>IF($A269="","",IFERROR(INDEX('Usage and Coverage'!$C$24:$C$30,MATCH($O269,'Usage and Coverage'!$B$24:$B$30,0)),"?"))</f>
        <v/>
      </c>
      <c r="BI269" s="97" t="str">
        <f>IF($A269="","",IFERROR(INDEX('Usage and Coverage'!$C$34:$C$40,MATCH($P269,'Usage and Coverage'!$B$34:$B$40,0)),"?"))</f>
        <v/>
      </c>
      <c r="BJ269" s="97" t="str">
        <f>IF($A269="","",IFERROR(INDEX('Usage and Coverage'!$C$44:$C$49,MATCH($Q269,'Usage and Coverage'!$B$44:$B$49,0)),"?"))</f>
        <v/>
      </c>
      <c r="BK269" s="97" t="str">
        <f>IF($A269="","",IFERROR(INDEX(Deductibles!$C$6:$I$15,MATCH($W269,Deductibles!$B$6:$B$15,0),MATCH(MAX($J269,'Technical Premium'!$C$18),'Base Rates'!$C$3:$I$3,1)),"?"))</f>
        <v/>
      </c>
      <c r="BL269" s="97" t="str">
        <f>IF($A269="","",IFERROR(INDEX('Usage and Coverage'!$C$63:$C$66,MATCH($X269,'Usage and Coverage'!$B$63:$B$66,0)),"?"))</f>
        <v/>
      </c>
      <c r="BM269" s="97" t="str">
        <f>IF($A269="","",IFERROR(INDEX('Usage and Coverage'!$C$70:$C$75,MATCH($V269,'Usage and Coverage'!$B$70:$B$75,0)),"?"))</f>
        <v/>
      </c>
      <c r="BN269" s="97" t="str">
        <f>IF($A269="","",IF($AB269="",1,IFERROR(INDEX(Deductibles!$C$48:$C$51,MATCH($AB269,Deductibles!$B$48:$B$51,0)),"?")))</f>
        <v/>
      </c>
      <c r="BO269" s="97" t="str">
        <f>IF($A269="","",IF($AC269="",1,IFERROR(INDEX(Deductibles!$C$55:$C$57,MATCH($AC269,Deductibles!$B$55:$B$57,0)),"?")))</f>
        <v/>
      </c>
      <c r="BP269" s="97" t="str">
        <f>IF($A269="","",IF($AD269="",1,IFERROR(INDEX(Deductibles!$C$61:$C$63,MATCH($AD269,Deductibles!$B$61:$B$63,0)),"?")))</f>
        <v/>
      </c>
      <c r="BQ269" s="97" t="str">
        <f>IF($A269="","",IF($AE269="",1,IFERROR(INDEX(Deductibles!$C$67:$C$69,MATCH($AE269,Deductibles!$B$67:$B$69,0)),"?")))</f>
        <v/>
      </c>
      <c r="BR269" s="97" t="str">
        <f>IF($A269="","",IF($AF269="",1,IFERROR(INDEX(Deductibles!$C$73:$C$74,MATCH($AF269,Deductibles!$B$73:$B$74,0)),"?")))</f>
        <v/>
      </c>
      <c r="BS269" s="97" t="str">
        <f>IF($A269="","",IF($AG269="",1,IFERROR(INDEX('Sublimits and Parts'!$C$49:$C$52,MATCH($AG269,'Sublimits and Parts'!$B$49:$B$52,0)),"?")))</f>
        <v/>
      </c>
      <c r="BT269" s="97" t="str">
        <f>IF($A269="","",IF($AH269="",1,IFERROR(INDEX('Sublimits and Parts'!$C$56:$C$60,MATCH($AH269,'Sublimits and Parts'!$B$56:$B$60,0)),"?")))</f>
        <v/>
      </c>
      <c r="BU269" s="97" t="str">
        <f>IF($A269="","",IF($AI269="",1,IFERROR(INDEX('Sublimits and Parts'!$C$64:$C$67,MATCH($AI269,'Sublimits and Parts'!$B$64:$B$67,0)),"?")))</f>
        <v/>
      </c>
      <c r="BV269" s="97" t="str">
        <f>IF($A269="","",IF($AJ269="",1,IFERROR(INDEX('Sublimits and Parts'!$C$71:$C$74,MATCH($AJ269,'Sublimits and Parts'!$B$71:$B$74,0)),"?")))</f>
        <v/>
      </c>
      <c r="BW269" s="97" t="str">
        <f>IF($A269="","",IF($AK269="",1,IFERROR(INDEX('Sublimits and Parts'!$C$78:$C$80,MATCH($AK269,'Sublimits and Parts'!$B$78:$B$80,0)),"?")))</f>
        <v/>
      </c>
      <c r="BX269" s="97" t="str">
        <f>IF($A269="","",IF($AL269="",1,IFERROR(INDEX('Sublimits and Parts'!$C$84:$C$87,MATCH($AL269,'Sublimits and Parts'!$B$84:$B$87,0)),"?")))</f>
        <v/>
      </c>
      <c r="BY269" s="97" t="str">
        <f>IF($A269="","",IF($AM269="",1,IFERROR(INDEX('Sublimits and Parts'!$C$91:$C$94,MATCH($AM269,'Sublimits and Parts'!$B$91:$B$94,0)),"?")))</f>
        <v/>
      </c>
      <c r="BZ269" s="97" t="str">
        <f>IF($A269="","",IF($AN269="",1,IFERROR(INDEX('Sublimits and Parts'!$C$98:$C$101,MATCH($AN269,'Sublimits and Parts'!$B$98:$B$101,0)),"?")))</f>
        <v/>
      </c>
      <c r="CA269" s="97" t="str">
        <f>IF($A269="","",IF($AO269="",1,IFERROR(INDEX('Sublimits and Parts'!$C$105:$C$109,MATCH($AO269,'Sublimits and Parts'!$B$105:$B$109,0)),"?")))</f>
        <v/>
      </c>
      <c r="CB269" s="98" t="str">
        <f t="shared" si="54"/>
        <v/>
      </c>
      <c r="CC269" s="98" t="str">
        <f t="shared" si="55"/>
        <v/>
      </c>
      <c r="CD269" s="101" t="str">
        <f>IF($A269="","",IF(OR($CB269="?",$CC269="?"),"?",MIN($CB269*$CC269,'Technical Premium'!$C$17)))</f>
        <v/>
      </c>
      <c r="CE269" s="100" t="str">
        <f t="shared" si="56"/>
        <v/>
      </c>
      <c r="CF269" s="100" t="str">
        <f>IF($A269="","",IFERROR(INDEX('Territory Factors'!$F$6:$F$56,MATCH($K269,'Territory Factors'!$B$6:$B$56,0)),"?"))</f>
        <v/>
      </c>
      <c r="CG269" s="98" t="str">
        <f>IF($A269="","",IFERROR(INDEX('Usage and Coverage'!$C$79:$C$84,MATCH($Y269,'Usage and Coverage'!$B$79:$B$84,0)),"?"))</f>
        <v/>
      </c>
      <c r="CH269" s="100" t="str">
        <f>IFERROR(IF(ISNUMBER($CD269),$CF269*$CG269*MIN($BG269*$BA269*$BC269*$BD269*$BH269*$BF269,'Technical Premium'!$C$17),""),"")</f>
        <v/>
      </c>
      <c r="CI269" s="100" t="str">
        <f t="shared" si="57"/>
        <v/>
      </c>
      <c r="CJ269" s="100" t="str">
        <f>IFERROR($CI269*(1+'Technical Premium'!$C$5)*(1+'Technical Premium'!$C$6),"")</f>
        <v/>
      </c>
      <c r="CK269" s="100" t="str">
        <f>IFERROR($CE269*INDEX('Territory Factors'!$G$6:$G$56,MATCH($K269,'Territory Factors'!$B$6:$B$56,0))*$AU269*$AV269,"")</f>
        <v/>
      </c>
      <c r="CL269" s="100" t="str">
        <f>IFERROR(($CJ269+$CK269)*(1+'Technical Premium'!$C$7),"")</f>
        <v/>
      </c>
      <c r="CM269" s="102" t="str">
        <f>IFERROR($CL269/'Technical Premium'!$C$13,"")</f>
        <v/>
      </c>
      <c r="CN269" s="103" t="str">
        <f t="shared" si="58"/>
        <v/>
      </c>
      <c r="CO269" s="102" t="str">
        <f t="shared" si="59"/>
        <v/>
      </c>
      <c r="CP269" s="103" t="str">
        <f t="shared" si="60"/>
        <v/>
      </c>
      <c r="CQ269" s="104" t="str">
        <f t="shared" si="61"/>
        <v/>
      </c>
      <c r="CR269" s="100" t="str">
        <f>IF(ISNUMBER($CM269),'Technical Premium'!$C$14+IF($J269&gt;=1000000,'Technical Premium'!$C$15,0),"")</f>
        <v/>
      </c>
      <c r="CS269" s="100" t="str">
        <f>IFERROR(($CO269+$CR269)*(INDEX('Territory Factors'!$K$6:$K$56,MATCH($K269,'Territory Factors'!$B$6:$B$56,0))+'Commission Structure'!$C$21),"")</f>
        <v/>
      </c>
      <c r="CT269" s="102" t="str">
        <f t="shared" si="62"/>
        <v/>
      </c>
      <c r="CU269" s="100" t="str">
        <f>IFERROR($CO269*('Commission Structure'!$C$6+'Commission Structure'!$C$7),"")</f>
        <v/>
      </c>
      <c r="CV269" s="100" t="str">
        <f>IFERROR($CO269*'Commission Structure'!$C$5-$CU269,"")</f>
        <v/>
      </c>
      <c r="CW269" s="100" t="str">
        <f>IFERROR($CO269*(1-'Commission Structure'!$C$5),"")</f>
        <v/>
      </c>
      <c r="CX269" s="105" t="str">
        <f>IF($A269="","",IF(OR($CB269="?",$CC269="?",NOT(ISNUMBER($AU269))),"CHECK INPUTS",IF(OR($J269&lt;'Technical Premium'!$C$18,LEFT(IFERROR(INDEX('Driver Factors'!$D$6:$D$15,MATCH($R269,'Driver Factors'!$B$6:$B$15,0)),""),7)="DECLINE",LEFT(IFERROR(INDEX('Driver Factors'!$D$28:$D$36,MATCH($T269,'Driver Factors'!$B$28:$B$36,0)),""),7)="DECLINE",LEFT(IFERROR(INDEX('Claims History'!$D$6:$D$15,MATCH($U269,'Claims History'!$B$6:$B$15,0)),""),7)="DECLINE",LEFT(IFERROR(INDEX('Usage and Coverage'!$E$6:$E$20,MATCH($N269,'Usage and Coverage'!$C$6:$C$20,0)),""),7)="DECLINE"),"DECLINE",IF(OR($CD269&gt;2.5,$CD269&gt;='Technical Premium'!$C$17,$J269&gt;='Technical Premium'!$C$16,N($AQ269)&lt;'Technical Premium'!$C$19,N($AQ269)&gt;'Technical Premium'!$C$20,LEFT(IFERROR(INDEX('Driver Factors'!$D$6:$D$15,MATCH($R269,'Driver Factors'!$B$6:$B$15,0)),""),5)="Refer",LEFT(IFERROR(INDEX('Driver Factors'!$D$28:$D$36,MATCH($T269,'Driver Factors'!$B$28:$B$36,0)),""),5)="Refer",LEFT(IFERROR(INDEX('Claims History'!$D$6:$D$15,MATCH($U269,'Claims History'!$B$6:$B$15,0)),""),5)="Refer",LEFT(IFERROR(INDEX('Usage and Coverage'!$E$6:$E$20,MATCH($N269,'Usage and Coverage'!$C$6:$C$20,0)),""),5)="Refer"),"REFER","AUTO-BIND"))))</f>
        <v/>
      </c>
      <c r="CY269" s="106" t="str">
        <f t="shared" si="63"/>
        <v/>
      </c>
      <c r="CZ269" s="97" t="str">
        <f>IF($CY269="","",IF($CY269&lt;'Technical Premium'!$C$19,"BEYOND AUTHORITY",IF($CY269&gt;0.005,"Above technical",IF($CY269&lt;-0.005,"BELOW technical","At technical"))))</f>
        <v/>
      </c>
      <c r="DA269" s="97" t="str">
        <f>IF($A269="","",IF($CX269="AUTO-BIND","",TRIM(IF($J269&lt;'Technical Premium'!$C$18,"Below programme minimum agreed value. ","")&amp;IF(N($AQ269)&lt;'Technical Premium'!$C$19,"DISCOUNT AUTHORITY BREACH. ","")&amp;IF(N($AQ269)&gt;'Technical Premium'!$C$20,"Load authority breach. ","")&amp;IF($J269&gt;='Technical Premium'!$C$16,"Agreed value at or above auto-bind limit. ","")&amp;IF(AND(ISNUMBER($CD269),$CD269&gt;='Technical Premium'!$C$17),"Composite factor at cap. ","")&amp;IF(AND(ISNUMBER($CD269),$CD269&gt;2.5),"Composite factor above 2.50. ","")&amp;IF(LEFT(IFERROR(INDEX('Driver Factors'!$D$6:$D$15,MATCH($R269,'Driver Factors'!$B$6:$B$15,0)),""),7)="DECLINE","DECLINE - driver age. ",IF(LEFT(IFERROR(INDEX('Driver Factors'!$D$6:$D$15,MATCH($R269,'Driver Factors'!$B$6:$B$15,0)),""),5)="Refer","Driver age band. ",""))&amp;IF(LEFT(IFERROR(INDEX('Driver Factors'!$D$28:$D$36,MATCH($T269,'Driver Factors'!$B$28:$B$36,0)),""),7)="DECLINE","DECLINE - MVR. ",IF(LEFT(IFERROR(INDEX('Driver Factors'!$D$28:$D$36,MATCH($T269,'Driver Factors'!$B$28:$B$36,0)),""),5)="Refer","MVR record. ",""))&amp;IF(LEFT(IFERROR(INDEX('Claims History'!$D$6:$D$15,MATCH($U269,'Claims History'!$B$6:$B$15,0)),""),7)="DECLINE","DECLINE - claims. ",IF(LEFT(IFERROR(INDEX('Claims History'!$D$6:$D$15,MATCH($U269,'Claims History'!$B$6:$B$15,0)),""),5)="Refer","Claims history. ",""))&amp;IF(LEFT(IFERROR(INDEX('Usage and Coverage'!$E$6:$E$20,MATCH($N269,'Usage and Coverage'!$C$6:$C$20,0)),""),7)="DECLINE","DECLINE - usage class. ",IF(LEFT(IFERROR(INDEX('Usage and Coverage'!$E$6:$E$20,MATCH($N269,'Usage and Coverage'!$C$6:$C$20,0)),""),5)="Refer","Usage class. ",""))&amp;IF($CX269="CHECK INPUTS","Incomplete inputs. ",""))))</f>
        <v/>
      </c>
      <c r="DB269" s="92"/>
      <c r="DC269" s="92"/>
      <c r="DD269" s="93"/>
      <c r="DE269" s="92"/>
      <c r="DF269" s="92"/>
      <c r="DG269" s="97" t="str">
        <f t="shared" si="64"/>
        <v/>
      </c>
      <c r="DH269" s="97" t="str">
        <f>IF($A269="","",IF(OR($CX269="REFER",$CX269="DECLINE"),COUNTIF($CX$5:$CX269,"REFER")+COUNTIF($CX$5:$CX269,"DECLINE"),""))</f>
        <v/>
      </c>
      <c r="DI269" s="92"/>
    </row>
    <row r="270" spans="1:113" x14ac:dyDescent="0.25">
      <c r="A270" s="92"/>
      <c r="B270" s="92"/>
      <c r="C270" s="93"/>
      <c r="D270" s="93"/>
      <c r="E270" s="94"/>
      <c r="F270" s="92"/>
      <c r="G270" s="92"/>
      <c r="H270" s="92"/>
      <c r="I270" s="92"/>
      <c r="J270" s="95"/>
      <c r="K270" s="92"/>
      <c r="L270" s="92"/>
      <c r="M270" s="92"/>
      <c r="N270" s="92"/>
      <c r="O270" s="92"/>
      <c r="P270" s="92"/>
      <c r="Q270" s="92"/>
      <c r="R270" s="92"/>
      <c r="S270" s="92"/>
      <c r="T270" s="92"/>
      <c r="U270" s="92"/>
      <c r="V270" s="92"/>
      <c r="W270" s="92"/>
      <c r="X270" s="92"/>
      <c r="Y270" s="92"/>
      <c r="Z270" s="92"/>
      <c r="AA270" s="92"/>
      <c r="AB270" s="92"/>
      <c r="AC270" s="92"/>
      <c r="AD270" s="92"/>
      <c r="AE270" s="92"/>
      <c r="AF270" s="92"/>
      <c r="AG270" s="92"/>
      <c r="AH270" s="92"/>
      <c r="AI270" s="92"/>
      <c r="AJ270" s="92"/>
      <c r="AK270" s="92"/>
      <c r="AL270" s="92"/>
      <c r="AM270" s="92"/>
      <c r="AN270" s="92"/>
      <c r="AO270" s="92"/>
      <c r="AP270" s="92"/>
      <c r="AQ270" s="96"/>
      <c r="AR270" s="97" t="str">
        <f t="shared" si="52"/>
        <v/>
      </c>
      <c r="AS270" s="97" t="str">
        <f>IF($A270="","",IF($AP270&lt;&gt;"",$AP270,IFERROR(INDEX('Cat Zone by ZIP'!$D$6:$D$856,MATCH($AR270,'Cat Zone by ZIP'!$B$6:$B$856,0)),IFERROR(INDEX('Cat Zone by ZIP'!$C$860:$C$910,MATCH($K270,'Cat Zone by ZIP'!$B$860:$B$910,0)),"NOT FOUND"))))</f>
        <v/>
      </c>
      <c r="AT270" s="97" t="str">
        <f>IF($A270="","",IF($AP270&lt;&gt;"","Override",IF(ISNUMBER(MATCH($AR270,'Cat Zone by ZIP'!$B$6:$B$856,0)),"ZIP-3","State default")))</f>
        <v/>
      </c>
      <c r="AU270" s="98" t="str">
        <f>IF($A270="","",IFERROR(INDEX('Natural Catastrophe'!$D$6:$D$17,MATCH($AS270,'Natural Catastrophe'!$B$6:$B$17,0)),"?"))</f>
        <v/>
      </c>
      <c r="AV270" s="98" t="str">
        <f>IF($A270="","",IFERROR(INDEX('Natural Catastrophe'!$C$21:$C$26,MATCH($AA270,'Natural Catastrophe'!$B$21:$B$26,0)),"?"))</f>
        <v/>
      </c>
      <c r="AW270" s="97" t="str">
        <f>IF($A270="","",IFERROR(INDEX('Base Rates'!$C$4:$I$4,MATCH(MAX($J270,'Technical Premium'!$C$18),'Base Rates'!$C$3:$I$3,1)),"?"))</f>
        <v/>
      </c>
      <c r="AX270" s="99" t="str">
        <f>IF($A270="","",IFERROR(INDEX('Base Rates'!$C$5:$I$16,MATCH($I270,'Base Rates'!$B$5:$B$16,0),MATCH(MAX($J270,'Technical Premium'!$C$18),'Base Rates'!$C$3:$I$3,1)),"?"))</f>
        <v/>
      </c>
      <c r="AY270" s="100" t="str">
        <f t="shared" si="53"/>
        <v/>
      </c>
      <c r="AZ270" s="97" t="str">
        <f>IF($A270="","",IFERROR(INDEX('Make Factors'!$G$5:$G$69,MATCH($F270,'Make Factors'!$B$5:$B$69,0)),"?"))</f>
        <v/>
      </c>
      <c r="BA270" s="97" t="str">
        <f>IF($A270="","",IFERROR(INDEX('Driver Factors'!$C$6:$C$15,MATCH($R270,'Driver Factors'!$B$6:$B$15,0)),"?"))</f>
        <v/>
      </c>
      <c r="BB270" s="97" t="str">
        <f>IF($A270="","",IFERROR(INDEX('Driver Factors'!$C$19:$C$24,MATCH($S270,'Driver Factors'!$B$19:$B$24,0)),"?"))</f>
        <v/>
      </c>
      <c r="BC270" s="97" t="str">
        <f>IF($A270="","",IFERROR(INDEX('Driver Factors'!$C$28:$C$36,MATCH($T270,'Driver Factors'!$B$28:$B$36,0)),"?"))</f>
        <v/>
      </c>
      <c r="BD270" s="97" t="str">
        <f>IF($A270="","",IFERROR(INDEX('Claims History'!$C$6:$C$15,MATCH($U270,'Claims History'!$B$6:$B$15,0)),"?"))</f>
        <v/>
      </c>
      <c r="BE270" s="97" t="str">
        <f>IF($A270="","",IFERROR(INDEX('Territory Factors'!$E$6:$E$56,MATCH($K270,'Territory Factors'!$B$6:$B$56,0)),"?"))</f>
        <v/>
      </c>
      <c r="BF270" s="97" t="str">
        <f>IF($A270="","",IFERROR(INDEX('City Accident Ratings'!$G$6:$G$54,MATCH($Z270,'City Accident Ratings'!$B$6:$B$54,0)),"?"))</f>
        <v/>
      </c>
      <c r="BG270" s="97" t="str">
        <f>IF($A270="","",IFERROR(INDEX('Usage and Coverage'!$D$6:$D$20,MATCH($N270,'Usage and Coverage'!$C$6:$C$20,0)),"?"))</f>
        <v/>
      </c>
      <c r="BH270" s="97" t="str">
        <f>IF($A270="","",IFERROR(INDEX('Usage and Coverage'!$C$24:$C$30,MATCH($O270,'Usage and Coverage'!$B$24:$B$30,0)),"?"))</f>
        <v/>
      </c>
      <c r="BI270" s="97" t="str">
        <f>IF($A270="","",IFERROR(INDEX('Usage and Coverage'!$C$34:$C$40,MATCH($P270,'Usage and Coverage'!$B$34:$B$40,0)),"?"))</f>
        <v/>
      </c>
      <c r="BJ270" s="97" t="str">
        <f>IF($A270="","",IFERROR(INDEX('Usage and Coverage'!$C$44:$C$49,MATCH($Q270,'Usage and Coverage'!$B$44:$B$49,0)),"?"))</f>
        <v/>
      </c>
      <c r="BK270" s="97" t="str">
        <f>IF($A270="","",IFERROR(INDEX(Deductibles!$C$6:$I$15,MATCH($W270,Deductibles!$B$6:$B$15,0),MATCH(MAX($J270,'Technical Premium'!$C$18),'Base Rates'!$C$3:$I$3,1)),"?"))</f>
        <v/>
      </c>
      <c r="BL270" s="97" t="str">
        <f>IF($A270="","",IFERROR(INDEX('Usage and Coverage'!$C$63:$C$66,MATCH($X270,'Usage and Coverage'!$B$63:$B$66,0)),"?"))</f>
        <v/>
      </c>
      <c r="BM270" s="97" t="str">
        <f>IF($A270="","",IFERROR(INDEX('Usage and Coverage'!$C$70:$C$75,MATCH($V270,'Usage and Coverage'!$B$70:$B$75,0)),"?"))</f>
        <v/>
      </c>
      <c r="BN270" s="97" t="str">
        <f>IF($A270="","",IF($AB270="",1,IFERROR(INDEX(Deductibles!$C$48:$C$51,MATCH($AB270,Deductibles!$B$48:$B$51,0)),"?")))</f>
        <v/>
      </c>
      <c r="BO270" s="97" t="str">
        <f>IF($A270="","",IF($AC270="",1,IFERROR(INDEX(Deductibles!$C$55:$C$57,MATCH($AC270,Deductibles!$B$55:$B$57,0)),"?")))</f>
        <v/>
      </c>
      <c r="BP270" s="97" t="str">
        <f>IF($A270="","",IF($AD270="",1,IFERROR(INDEX(Deductibles!$C$61:$C$63,MATCH($AD270,Deductibles!$B$61:$B$63,0)),"?")))</f>
        <v/>
      </c>
      <c r="BQ270" s="97" t="str">
        <f>IF($A270="","",IF($AE270="",1,IFERROR(INDEX(Deductibles!$C$67:$C$69,MATCH($AE270,Deductibles!$B$67:$B$69,0)),"?")))</f>
        <v/>
      </c>
      <c r="BR270" s="97" t="str">
        <f>IF($A270="","",IF($AF270="",1,IFERROR(INDEX(Deductibles!$C$73:$C$74,MATCH($AF270,Deductibles!$B$73:$B$74,0)),"?")))</f>
        <v/>
      </c>
      <c r="BS270" s="97" t="str">
        <f>IF($A270="","",IF($AG270="",1,IFERROR(INDEX('Sublimits and Parts'!$C$49:$C$52,MATCH($AG270,'Sublimits and Parts'!$B$49:$B$52,0)),"?")))</f>
        <v/>
      </c>
      <c r="BT270" s="97" t="str">
        <f>IF($A270="","",IF($AH270="",1,IFERROR(INDEX('Sublimits and Parts'!$C$56:$C$60,MATCH($AH270,'Sublimits and Parts'!$B$56:$B$60,0)),"?")))</f>
        <v/>
      </c>
      <c r="BU270" s="97" t="str">
        <f>IF($A270="","",IF($AI270="",1,IFERROR(INDEX('Sublimits and Parts'!$C$64:$C$67,MATCH($AI270,'Sublimits and Parts'!$B$64:$B$67,0)),"?")))</f>
        <v/>
      </c>
      <c r="BV270" s="97" t="str">
        <f>IF($A270="","",IF($AJ270="",1,IFERROR(INDEX('Sublimits and Parts'!$C$71:$C$74,MATCH($AJ270,'Sublimits and Parts'!$B$71:$B$74,0)),"?")))</f>
        <v/>
      </c>
      <c r="BW270" s="97" t="str">
        <f>IF($A270="","",IF($AK270="",1,IFERROR(INDEX('Sublimits and Parts'!$C$78:$C$80,MATCH($AK270,'Sublimits and Parts'!$B$78:$B$80,0)),"?")))</f>
        <v/>
      </c>
      <c r="BX270" s="97" t="str">
        <f>IF($A270="","",IF($AL270="",1,IFERROR(INDEX('Sublimits and Parts'!$C$84:$C$87,MATCH($AL270,'Sublimits and Parts'!$B$84:$B$87,0)),"?")))</f>
        <v/>
      </c>
      <c r="BY270" s="97" t="str">
        <f>IF($A270="","",IF($AM270="",1,IFERROR(INDEX('Sublimits and Parts'!$C$91:$C$94,MATCH($AM270,'Sublimits and Parts'!$B$91:$B$94,0)),"?")))</f>
        <v/>
      </c>
      <c r="BZ270" s="97" t="str">
        <f>IF($A270="","",IF($AN270="",1,IFERROR(INDEX('Sublimits and Parts'!$C$98:$C$101,MATCH($AN270,'Sublimits and Parts'!$B$98:$B$101,0)),"?")))</f>
        <v/>
      </c>
      <c r="CA270" s="97" t="str">
        <f>IF($A270="","",IF($AO270="",1,IFERROR(INDEX('Sublimits and Parts'!$C$105:$C$109,MATCH($AO270,'Sublimits and Parts'!$B$105:$B$109,0)),"?")))</f>
        <v/>
      </c>
      <c r="CB270" s="98" t="str">
        <f t="shared" si="54"/>
        <v/>
      </c>
      <c r="CC270" s="98" t="str">
        <f t="shared" si="55"/>
        <v/>
      </c>
      <c r="CD270" s="101" t="str">
        <f>IF($A270="","",IF(OR($CB270="?",$CC270="?"),"?",MIN($CB270*$CC270,'Technical Premium'!$C$17)))</f>
        <v/>
      </c>
      <c r="CE270" s="100" t="str">
        <f t="shared" si="56"/>
        <v/>
      </c>
      <c r="CF270" s="100" t="str">
        <f>IF($A270="","",IFERROR(INDEX('Territory Factors'!$F$6:$F$56,MATCH($K270,'Territory Factors'!$B$6:$B$56,0)),"?"))</f>
        <v/>
      </c>
      <c r="CG270" s="98" t="str">
        <f>IF($A270="","",IFERROR(INDEX('Usage and Coverage'!$C$79:$C$84,MATCH($Y270,'Usage and Coverage'!$B$79:$B$84,0)),"?"))</f>
        <v/>
      </c>
      <c r="CH270" s="100" t="str">
        <f>IFERROR(IF(ISNUMBER($CD270),$CF270*$CG270*MIN($BG270*$BA270*$BC270*$BD270*$BH270*$BF270,'Technical Premium'!$C$17),""),"")</f>
        <v/>
      </c>
      <c r="CI270" s="100" t="str">
        <f t="shared" si="57"/>
        <v/>
      </c>
      <c r="CJ270" s="100" t="str">
        <f>IFERROR($CI270*(1+'Technical Premium'!$C$5)*(1+'Technical Premium'!$C$6),"")</f>
        <v/>
      </c>
      <c r="CK270" s="100" t="str">
        <f>IFERROR($CE270*INDEX('Territory Factors'!$G$6:$G$56,MATCH($K270,'Territory Factors'!$B$6:$B$56,0))*$AU270*$AV270,"")</f>
        <v/>
      </c>
      <c r="CL270" s="100" t="str">
        <f>IFERROR(($CJ270+$CK270)*(1+'Technical Premium'!$C$7),"")</f>
        <v/>
      </c>
      <c r="CM270" s="102" t="str">
        <f>IFERROR($CL270/'Technical Premium'!$C$13,"")</f>
        <v/>
      </c>
      <c r="CN270" s="103" t="str">
        <f t="shared" si="58"/>
        <v/>
      </c>
      <c r="CO270" s="102" t="str">
        <f t="shared" si="59"/>
        <v/>
      </c>
      <c r="CP270" s="103" t="str">
        <f t="shared" si="60"/>
        <v/>
      </c>
      <c r="CQ270" s="104" t="str">
        <f t="shared" si="61"/>
        <v/>
      </c>
      <c r="CR270" s="100" t="str">
        <f>IF(ISNUMBER($CM270),'Technical Premium'!$C$14+IF($J270&gt;=1000000,'Technical Premium'!$C$15,0),"")</f>
        <v/>
      </c>
      <c r="CS270" s="100" t="str">
        <f>IFERROR(($CO270+$CR270)*(INDEX('Territory Factors'!$K$6:$K$56,MATCH($K270,'Territory Factors'!$B$6:$B$56,0))+'Commission Structure'!$C$21),"")</f>
        <v/>
      </c>
      <c r="CT270" s="102" t="str">
        <f t="shared" si="62"/>
        <v/>
      </c>
      <c r="CU270" s="100" t="str">
        <f>IFERROR($CO270*('Commission Structure'!$C$6+'Commission Structure'!$C$7),"")</f>
        <v/>
      </c>
      <c r="CV270" s="100" t="str">
        <f>IFERROR($CO270*'Commission Structure'!$C$5-$CU270,"")</f>
        <v/>
      </c>
      <c r="CW270" s="100" t="str">
        <f>IFERROR($CO270*(1-'Commission Structure'!$C$5),"")</f>
        <v/>
      </c>
      <c r="CX270" s="105" t="str">
        <f>IF($A270="","",IF(OR($CB270="?",$CC270="?",NOT(ISNUMBER($AU270))),"CHECK INPUTS",IF(OR($J270&lt;'Technical Premium'!$C$18,LEFT(IFERROR(INDEX('Driver Factors'!$D$6:$D$15,MATCH($R270,'Driver Factors'!$B$6:$B$15,0)),""),7)="DECLINE",LEFT(IFERROR(INDEX('Driver Factors'!$D$28:$D$36,MATCH($T270,'Driver Factors'!$B$28:$B$36,0)),""),7)="DECLINE",LEFT(IFERROR(INDEX('Claims History'!$D$6:$D$15,MATCH($U270,'Claims History'!$B$6:$B$15,0)),""),7)="DECLINE",LEFT(IFERROR(INDEX('Usage and Coverage'!$E$6:$E$20,MATCH($N270,'Usage and Coverage'!$C$6:$C$20,0)),""),7)="DECLINE"),"DECLINE",IF(OR($CD270&gt;2.5,$CD270&gt;='Technical Premium'!$C$17,$J270&gt;='Technical Premium'!$C$16,N($AQ270)&lt;'Technical Premium'!$C$19,N($AQ270)&gt;'Technical Premium'!$C$20,LEFT(IFERROR(INDEX('Driver Factors'!$D$6:$D$15,MATCH($R270,'Driver Factors'!$B$6:$B$15,0)),""),5)="Refer",LEFT(IFERROR(INDEX('Driver Factors'!$D$28:$D$36,MATCH($T270,'Driver Factors'!$B$28:$B$36,0)),""),5)="Refer",LEFT(IFERROR(INDEX('Claims History'!$D$6:$D$15,MATCH($U270,'Claims History'!$B$6:$B$15,0)),""),5)="Refer",LEFT(IFERROR(INDEX('Usage and Coverage'!$E$6:$E$20,MATCH($N270,'Usage and Coverage'!$C$6:$C$20,0)),""),5)="Refer"),"REFER","AUTO-BIND"))))</f>
        <v/>
      </c>
      <c r="CY270" s="106" t="str">
        <f t="shared" si="63"/>
        <v/>
      </c>
      <c r="CZ270" s="97" t="str">
        <f>IF($CY270="","",IF($CY270&lt;'Technical Premium'!$C$19,"BEYOND AUTHORITY",IF($CY270&gt;0.005,"Above technical",IF($CY270&lt;-0.005,"BELOW technical","At technical"))))</f>
        <v/>
      </c>
      <c r="DA270" s="97" t="str">
        <f>IF($A270="","",IF($CX270="AUTO-BIND","",TRIM(IF($J270&lt;'Technical Premium'!$C$18,"Below programme minimum agreed value. ","")&amp;IF(N($AQ270)&lt;'Technical Premium'!$C$19,"DISCOUNT AUTHORITY BREACH. ","")&amp;IF(N($AQ270)&gt;'Technical Premium'!$C$20,"Load authority breach. ","")&amp;IF($J270&gt;='Technical Premium'!$C$16,"Agreed value at or above auto-bind limit. ","")&amp;IF(AND(ISNUMBER($CD270),$CD270&gt;='Technical Premium'!$C$17),"Composite factor at cap. ","")&amp;IF(AND(ISNUMBER($CD270),$CD270&gt;2.5),"Composite factor above 2.50. ","")&amp;IF(LEFT(IFERROR(INDEX('Driver Factors'!$D$6:$D$15,MATCH($R270,'Driver Factors'!$B$6:$B$15,0)),""),7)="DECLINE","DECLINE - driver age. ",IF(LEFT(IFERROR(INDEX('Driver Factors'!$D$6:$D$15,MATCH($R270,'Driver Factors'!$B$6:$B$15,0)),""),5)="Refer","Driver age band. ",""))&amp;IF(LEFT(IFERROR(INDEX('Driver Factors'!$D$28:$D$36,MATCH($T270,'Driver Factors'!$B$28:$B$36,0)),""),7)="DECLINE","DECLINE - MVR. ",IF(LEFT(IFERROR(INDEX('Driver Factors'!$D$28:$D$36,MATCH($T270,'Driver Factors'!$B$28:$B$36,0)),""),5)="Refer","MVR record. ",""))&amp;IF(LEFT(IFERROR(INDEX('Claims History'!$D$6:$D$15,MATCH($U270,'Claims History'!$B$6:$B$15,0)),""),7)="DECLINE","DECLINE - claims. ",IF(LEFT(IFERROR(INDEX('Claims History'!$D$6:$D$15,MATCH($U270,'Claims History'!$B$6:$B$15,0)),""),5)="Refer","Claims history. ",""))&amp;IF(LEFT(IFERROR(INDEX('Usage and Coverage'!$E$6:$E$20,MATCH($N270,'Usage and Coverage'!$C$6:$C$20,0)),""),7)="DECLINE","DECLINE - usage class. ",IF(LEFT(IFERROR(INDEX('Usage and Coverage'!$E$6:$E$20,MATCH($N270,'Usage and Coverage'!$C$6:$C$20,0)),""),5)="Refer","Usage class. ",""))&amp;IF($CX270="CHECK INPUTS","Incomplete inputs. ",""))))</f>
        <v/>
      </c>
      <c r="DB270" s="92"/>
      <c r="DC270" s="92"/>
      <c r="DD270" s="93"/>
      <c r="DE270" s="92"/>
      <c r="DF270" s="92"/>
      <c r="DG270" s="97" t="str">
        <f t="shared" si="64"/>
        <v/>
      </c>
      <c r="DH270" s="97" t="str">
        <f>IF($A270="","",IF(OR($CX270="REFER",$CX270="DECLINE"),COUNTIF($CX$5:$CX270,"REFER")+COUNTIF($CX$5:$CX270,"DECLINE"),""))</f>
        <v/>
      </c>
      <c r="DI270" s="92"/>
    </row>
    <row r="271" spans="1:113" x14ac:dyDescent="0.25">
      <c r="A271" s="92"/>
      <c r="B271" s="92"/>
      <c r="C271" s="93"/>
      <c r="D271" s="93"/>
      <c r="E271" s="94"/>
      <c r="F271" s="92"/>
      <c r="G271" s="92"/>
      <c r="H271" s="92"/>
      <c r="I271" s="92"/>
      <c r="J271" s="95"/>
      <c r="K271" s="92"/>
      <c r="L271" s="92"/>
      <c r="M271" s="92"/>
      <c r="N271" s="92"/>
      <c r="O271" s="92"/>
      <c r="P271" s="92"/>
      <c r="Q271" s="92"/>
      <c r="R271" s="92"/>
      <c r="S271" s="92"/>
      <c r="T271" s="92"/>
      <c r="U271" s="92"/>
      <c r="V271" s="92"/>
      <c r="W271" s="92"/>
      <c r="X271" s="92"/>
      <c r="Y271" s="92"/>
      <c r="Z271" s="92"/>
      <c r="AA271" s="92"/>
      <c r="AB271" s="92"/>
      <c r="AC271" s="92"/>
      <c r="AD271" s="92"/>
      <c r="AE271" s="92"/>
      <c r="AF271" s="92"/>
      <c r="AG271" s="92"/>
      <c r="AH271" s="92"/>
      <c r="AI271" s="92"/>
      <c r="AJ271" s="92"/>
      <c r="AK271" s="92"/>
      <c r="AL271" s="92"/>
      <c r="AM271" s="92"/>
      <c r="AN271" s="92"/>
      <c r="AO271" s="92"/>
      <c r="AP271" s="92"/>
      <c r="AQ271" s="96"/>
      <c r="AR271" s="97" t="str">
        <f t="shared" si="52"/>
        <v/>
      </c>
      <c r="AS271" s="97" t="str">
        <f>IF($A271="","",IF($AP271&lt;&gt;"",$AP271,IFERROR(INDEX('Cat Zone by ZIP'!$D$6:$D$856,MATCH($AR271,'Cat Zone by ZIP'!$B$6:$B$856,0)),IFERROR(INDEX('Cat Zone by ZIP'!$C$860:$C$910,MATCH($K271,'Cat Zone by ZIP'!$B$860:$B$910,0)),"NOT FOUND"))))</f>
        <v/>
      </c>
      <c r="AT271" s="97" t="str">
        <f>IF($A271="","",IF($AP271&lt;&gt;"","Override",IF(ISNUMBER(MATCH($AR271,'Cat Zone by ZIP'!$B$6:$B$856,0)),"ZIP-3","State default")))</f>
        <v/>
      </c>
      <c r="AU271" s="98" t="str">
        <f>IF($A271="","",IFERROR(INDEX('Natural Catastrophe'!$D$6:$D$17,MATCH($AS271,'Natural Catastrophe'!$B$6:$B$17,0)),"?"))</f>
        <v/>
      </c>
      <c r="AV271" s="98" t="str">
        <f>IF($A271="","",IFERROR(INDEX('Natural Catastrophe'!$C$21:$C$26,MATCH($AA271,'Natural Catastrophe'!$B$21:$B$26,0)),"?"))</f>
        <v/>
      </c>
      <c r="AW271" s="97" t="str">
        <f>IF($A271="","",IFERROR(INDEX('Base Rates'!$C$4:$I$4,MATCH(MAX($J271,'Technical Premium'!$C$18),'Base Rates'!$C$3:$I$3,1)),"?"))</f>
        <v/>
      </c>
      <c r="AX271" s="99" t="str">
        <f>IF($A271="","",IFERROR(INDEX('Base Rates'!$C$5:$I$16,MATCH($I271,'Base Rates'!$B$5:$B$16,0),MATCH(MAX($J271,'Technical Premium'!$C$18),'Base Rates'!$C$3:$I$3,1)),"?"))</f>
        <v/>
      </c>
      <c r="AY271" s="100" t="str">
        <f t="shared" si="53"/>
        <v/>
      </c>
      <c r="AZ271" s="97" t="str">
        <f>IF($A271="","",IFERROR(INDEX('Make Factors'!$G$5:$G$69,MATCH($F271,'Make Factors'!$B$5:$B$69,0)),"?"))</f>
        <v/>
      </c>
      <c r="BA271" s="97" t="str">
        <f>IF($A271="","",IFERROR(INDEX('Driver Factors'!$C$6:$C$15,MATCH($R271,'Driver Factors'!$B$6:$B$15,0)),"?"))</f>
        <v/>
      </c>
      <c r="BB271" s="97" t="str">
        <f>IF($A271="","",IFERROR(INDEX('Driver Factors'!$C$19:$C$24,MATCH($S271,'Driver Factors'!$B$19:$B$24,0)),"?"))</f>
        <v/>
      </c>
      <c r="BC271" s="97" t="str">
        <f>IF($A271="","",IFERROR(INDEX('Driver Factors'!$C$28:$C$36,MATCH($T271,'Driver Factors'!$B$28:$B$36,0)),"?"))</f>
        <v/>
      </c>
      <c r="BD271" s="97" t="str">
        <f>IF($A271="","",IFERROR(INDEX('Claims History'!$C$6:$C$15,MATCH($U271,'Claims History'!$B$6:$B$15,0)),"?"))</f>
        <v/>
      </c>
      <c r="BE271" s="97" t="str">
        <f>IF($A271="","",IFERROR(INDEX('Territory Factors'!$E$6:$E$56,MATCH($K271,'Territory Factors'!$B$6:$B$56,0)),"?"))</f>
        <v/>
      </c>
      <c r="BF271" s="97" t="str">
        <f>IF($A271="","",IFERROR(INDEX('City Accident Ratings'!$G$6:$G$54,MATCH($Z271,'City Accident Ratings'!$B$6:$B$54,0)),"?"))</f>
        <v/>
      </c>
      <c r="BG271" s="97" t="str">
        <f>IF($A271="","",IFERROR(INDEX('Usage and Coverage'!$D$6:$D$20,MATCH($N271,'Usage and Coverage'!$C$6:$C$20,0)),"?"))</f>
        <v/>
      </c>
      <c r="BH271" s="97" t="str">
        <f>IF($A271="","",IFERROR(INDEX('Usage and Coverage'!$C$24:$C$30,MATCH($O271,'Usage and Coverage'!$B$24:$B$30,0)),"?"))</f>
        <v/>
      </c>
      <c r="BI271" s="97" t="str">
        <f>IF($A271="","",IFERROR(INDEX('Usage and Coverage'!$C$34:$C$40,MATCH($P271,'Usage and Coverage'!$B$34:$B$40,0)),"?"))</f>
        <v/>
      </c>
      <c r="BJ271" s="97" t="str">
        <f>IF($A271="","",IFERROR(INDEX('Usage and Coverage'!$C$44:$C$49,MATCH($Q271,'Usage and Coverage'!$B$44:$B$49,0)),"?"))</f>
        <v/>
      </c>
      <c r="BK271" s="97" t="str">
        <f>IF($A271="","",IFERROR(INDEX(Deductibles!$C$6:$I$15,MATCH($W271,Deductibles!$B$6:$B$15,0),MATCH(MAX($J271,'Technical Premium'!$C$18),'Base Rates'!$C$3:$I$3,1)),"?"))</f>
        <v/>
      </c>
      <c r="BL271" s="97" t="str">
        <f>IF($A271="","",IFERROR(INDEX('Usage and Coverage'!$C$63:$C$66,MATCH($X271,'Usage and Coverage'!$B$63:$B$66,0)),"?"))</f>
        <v/>
      </c>
      <c r="BM271" s="97" t="str">
        <f>IF($A271="","",IFERROR(INDEX('Usage and Coverage'!$C$70:$C$75,MATCH($V271,'Usage and Coverage'!$B$70:$B$75,0)),"?"))</f>
        <v/>
      </c>
      <c r="BN271" s="97" t="str">
        <f>IF($A271="","",IF($AB271="",1,IFERROR(INDEX(Deductibles!$C$48:$C$51,MATCH($AB271,Deductibles!$B$48:$B$51,0)),"?")))</f>
        <v/>
      </c>
      <c r="BO271" s="97" t="str">
        <f>IF($A271="","",IF($AC271="",1,IFERROR(INDEX(Deductibles!$C$55:$C$57,MATCH($AC271,Deductibles!$B$55:$B$57,0)),"?")))</f>
        <v/>
      </c>
      <c r="BP271" s="97" t="str">
        <f>IF($A271="","",IF($AD271="",1,IFERROR(INDEX(Deductibles!$C$61:$C$63,MATCH($AD271,Deductibles!$B$61:$B$63,0)),"?")))</f>
        <v/>
      </c>
      <c r="BQ271" s="97" t="str">
        <f>IF($A271="","",IF($AE271="",1,IFERROR(INDEX(Deductibles!$C$67:$C$69,MATCH($AE271,Deductibles!$B$67:$B$69,0)),"?")))</f>
        <v/>
      </c>
      <c r="BR271" s="97" t="str">
        <f>IF($A271="","",IF($AF271="",1,IFERROR(INDEX(Deductibles!$C$73:$C$74,MATCH($AF271,Deductibles!$B$73:$B$74,0)),"?")))</f>
        <v/>
      </c>
      <c r="BS271" s="97" t="str">
        <f>IF($A271="","",IF($AG271="",1,IFERROR(INDEX('Sublimits and Parts'!$C$49:$C$52,MATCH($AG271,'Sublimits and Parts'!$B$49:$B$52,0)),"?")))</f>
        <v/>
      </c>
      <c r="BT271" s="97" t="str">
        <f>IF($A271="","",IF($AH271="",1,IFERROR(INDEX('Sublimits and Parts'!$C$56:$C$60,MATCH($AH271,'Sublimits and Parts'!$B$56:$B$60,0)),"?")))</f>
        <v/>
      </c>
      <c r="BU271" s="97" t="str">
        <f>IF($A271="","",IF($AI271="",1,IFERROR(INDEX('Sublimits and Parts'!$C$64:$C$67,MATCH($AI271,'Sublimits and Parts'!$B$64:$B$67,0)),"?")))</f>
        <v/>
      </c>
      <c r="BV271" s="97" t="str">
        <f>IF($A271="","",IF($AJ271="",1,IFERROR(INDEX('Sublimits and Parts'!$C$71:$C$74,MATCH($AJ271,'Sublimits and Parts'!$B$71:$B$74,0)),"?")))</f>
        <v/>
      </c>
      <c r="BW271" s="97" t="str">
        <f>IF($A271="","",IF($AK271="",1,IFERROR(INDEX('Sublimits and Parts'!$C$78:$C$80,MATCH($AK271,'Sublimits and Parts'!$B$78:$B$80,0)),"?")))</f>
        <v/>
      </c>
      <c r="BX271" s="97" t="str">
        <f>IF($A271="","",IF($AL271="",1,IFERROR(INDEX('Sublimits and Parts'!$C$84:$C$87,MATCH($AL271,'Sublimits and Parts'!$B$84:$B$87,0)),"?")))</f>
        <v/>
      </c>
      <c r="BY271" s="97" t="str">
        <f>IF($A271="","",IF($AM271="",1,IFERROR(INDEX('Sublimits and Parts'!$C$91:$C$94,MATCH($AM271,'Sublimits and Parts'!$B$91:$B$94,0)),"?")))</f>
        <v/>
      </c>
      <c r="BZ271" s="97" t="str">
        <f>IF($A271="","",IF($AN271="",1,IFERROR(INDEX('Sublimits and Parts'!$C$98:$C$101,MATCH($AN271,'Sublimits and Parts'!$B$98:$B$101,0)),"?")))</f>
        <v/>
      </c>
      <c r="CA271" s="97" t="str">
        <f>IF($A271="","",IF($AO271="",1,IFERROR(INDEX('Sublimits and Parts'!$C$105:$C$109,MATCH($AO271,'Sublimits and Parts'!$B$105:$B$109,0)),"?")))</f>
        <v/>
      </c>
      <c r="CB271" s="98" t="str">
        <f t="shared" si="54"/>
        <v/>
      </c>
      <c r="CC271" s="98" t="str">
        <f t="shared" si="55"/>
        <v/>
      </c>
      <c r="CD271" s="101" t="str">
        <f>IF($A271="","",IF(OR($CB271="?",$CC271="?"),"?",MIN($CB271*$CC271,'Technical Premium'!$C$17)))</f>
        <v/>
      </c>
      <c r="CE271" s="100" t="str">
        <f t="shared" si="56"/>
        <v/>
      </c>
      <c r="CF271" s="100" t="str">
        <f>IF($A271="","",IFERROR(INDEX('Territory Factors'!$F$6:$F$56,MATCH($K271,'Territory Factors'!$B$6:$B$56,0)),"?"))</f>
        <v/>
      </c>
      <c r="CG271" s="98" t="str">
        <f>IF($A271="","",IFERROR(INDEX('Usage and Coverage'!$C$79:$C$84,MATCH($Y271,'Usage and Coverage'!$B$79:$B$84,0)),"?"))</f>
        <v/>
      </c>
      <c r="CH271" s="100" t="str">
        <f>IFERROR(IF(ISNUMBER($CD271),$CF271*$CG271*MIN($BG271*$BA271*$BC271*$BD271*$BH271*$BF271,'Technical Premium'!$C$17),""),"")</f>
        <v/>
      </c>
      <c r="CI271" s="100" t="str">
        <f t="shared" si="57"/>
        <v/>
      </c>
      <c r="CJ271" s="100" t="str">
        <f>IFERROR($CI271*(1+'Technical Premium'!$C$5)*(1+'Technical Premium'!$C$6),"")</f>
        <v/>
      </c>
      <c r="CK271" s="100" t="str">
        <f>IFERROR($CE271*INDEX('Territory Factors'!$G$6:$G$56,MATCH($K271,'Territory Factors'!$B$6:$B$56,0))*$AU271*$AV271,"")</f>
        <v/>
      </c>
      <c r="CL271" s="100" t="str">
        <f>IFERROR(($CJ271+$CK271)*(1+'Technical Premium'!$C$7),"")</f>
        <v/>
      </c>
      <c r="CM271" s="102" t="str">
        <f>IFERROR($CL271/'Technical Premium'!$C$13,"")</f>
        <v/>
      </c>
      <c r="CN271" s="103" t="str">
        <f t="shared" si="58"/>
        <v/>
      </c>
      <c r="CO271" s="102" t="str">
        <f t="shared" si="59"/>
        <v/>
      </c>
      <c r="CP271" s="103" t="str">
        <f t="shared" si="60"/>
        <v/>
      </c>
      <c r="CQ271" s="104" t="str">
        <f t="shared" si="61"/>
        <v/>
      </c>
      <c r="CR271" s="100" t="str">
        <f>IF(ISNUMBER($CM271),'Technical Premium'!$C$14+IF($J271&gt;=1000000,'Technical Premium'!$C$15,0),"")</f>
        <v/>
      </c>
      <c r="CS271" s="100" t="str">
        <f>IFERROR(($CO271+$CR271)*(INDEX('Territory Factors'!$K$6:$K$56,MATCH($K271,'Territory Factors'!$B$6:$B$56,0))+'Commission Structure'!$C$21),"")</f>
        <v/>
      </c>
      <c r="CT271" s="102" t="str">
        <f t="shared" si="62"/>
        <v/>
      </c>
      <c r="CU271" s="100" t="str">
        <f>IFERROR($CO271*('Commission Structure'!$C$6+'Commission Structure'!$C$7),"")</f>
        <v/>
      </c>
      <c r="CV271" s="100" t="str">
        <f>IFERROR($CO271*'Commission Structure'!$C$5-$CU271,"")</f>
        <v/>
      </c>
      <c r="CW271" s="100" t="str">
        <f>IFERROR($CO271*(1-'Commission Structure'!$C$5),"")</f>
        <v/>
      </c>
      <c r="CX271" s="105" t="str">
        <f>IF($A271="","",IF(OR($CB271="?",$CC271="?",NOT(ISNUMBER($AU271))),"CHECK INPUTS",IF(OR($J271&lt;'Technical Premium'!$C$18,LEFT(IFERROR(INDEX('Driver Factors'!$D$6:$D$15,MATCH($R271,'Driver Factors'!$B$6:$B$15,0)),""),7)="DECLINE",LEFT(IFERROR(INDEX('Driver Factors'!$D$28:$D$36,MATCH($T271,'Driver Factors'!$B$28:$B$36,0)),""),7)="DECLINE",LEFT(IFERROR(INDEX('Claims History'!$D$6:$D$15,MATCH($U271,'Claims History'!$B$6:$B$15,0)),""),7)="DECLINE",LEFT(IFERROR(INDEX('Usage and Coverage'!$E$6:$E$20,MATCH($N271,'Usage and Coverage'!$C$6:$C$20,0)),""),7)="DECLINE"),"DECLINE",IF(OR($CD271&gt;2.5,$CD271&gt;='Technical Premium'!$C$17,$J271&gt;='Technical Premium'!$C$16,N($AQ271)&lt;'Technical Premium'!$C$19,N($AQ271)&gt;'Technical Premium'!$C$20,LEFT(IFERROR(INDEX('Driver Factors'!$D$6:$D$15,MATCH($R271,'Driver Factors'!$B$6:$B$15,0)),""),5)="Refer",LEFT(IFERROR(INDEX('Driver Factors'!$D$28:$D$36,MATCH($T271,'Driver Factors'!$B$28:$B$36,0)),""),5)="Refer",LEFT(IFERROR(INDEX('Claims History'!$D$6:$D$15,MATCH($U271,'Claims History'!$B$6:$B$15,0)),""),5)="Refer",LEFT(IFERROR(INDEX('Usage and Coverage'!$E$6:$E$20,MATCH($N271,'Usage and Coverage'!$C$6:$C$20,0)),""),5)="Refer"),"REFER","AUTO-BIND"))))</f>
        <v/>
      </c>
      <c r="CY271" s="106" t="str">
        <f t="shared" si="63"/>
        <v/>
      </c>
      <c r="CZ271" s="97" t="str">
        <f>IF($CY271="","",IF($CY271&lt;'Technical Premium'!$C$19,"BEYOND AUTHORITY",IF($CY271&gt;0.005,"Above technical",IF($CY271&lt;-0.005,"BELOW technical","At technical"))))</f>
        <v/>
      </c>
      <c r="DA271" s="97" t="str">
        <f>IF($A271="","",IF($CX271="AUTO-BIND","",TRIM(IF($J271&lt;'Technical Premium'!$C$18,"Below programme minimum agreed value. ","")&amp;IF(N($AQ271)&lt;'Technical Premium'!$C$19,"DISCOUNT AUTHORITY BREACH. ","")&amp;IF(N($AQ271)&gt;'Technical Premium'!$C$20,"Load authority breach. ","")&amp;IF($J271&gt;='Technical Premium'!$C$16,"Agreed value at or above auto-bind limit. ","")&amp;IF(AND(ISNUMBER($CD271),$CD271&gt;='Technical Premium'!$C$17),"Composite factor at cap. ","")&amp;IF(AND(ISNUMBER($CD271),$CD271&gt;2.5),"Composite factor above 2.50. ","")&amp;IF(LEFT(IFERROR(INDEX('Driver Factors'!$D$6:$D$15,MATCH($R271,'Driver Factors'!$B$6:$B$15,0)),""),7)="DECLINE","DECLINE - driver age. ",IF(LEFT(IFERROR(INDEX('Driver Factors'!$D$6:$D$15,MATCH($R271,'Driver Factors'!$B$6:$B$15,0)),""),5)="Refer","Driver age band. ",""))&amp;IF(LEFT(IFERROR(INDEX('Driver Factors'!$D$28:$D$36,MATCH($T271,'Driver Factors'!$B$28:$B$36,0)),""),7)="DECLINE","DECLINE - MVR. ",IF(LEFT(IFERROR(INDEX('Driver Factors'!$D$28:$D$36,MATCH($T271,'Driver Factors'!$B$28:$B$36,0)),""),5)="Refer","MVR record. ",""))&amp;IF(LEFT(IFERROR(INDEX('Claims History'!$D$6:$D$15,MATCH($U271,'Claims History'!$B$6:$B$15,0)),""),7)="DECLINE","DECLINE - claims. ",IF(LEFT(IFERROR(INDEX('Claims History'!$D$6:$D$15,MATCH($U271,'Claims History'!$B$6:$B$15,0)),""),5)="Refer","Claims history. ",""))&amp;IF(LEFT(IFERROR(INDEX('Usage and Coverage'!$E$6:$E$20,MATCH($N271,'Usage and Coverage'!$C$6:$C$20,0)),""),7)="DECLINE","DECLINE - usage class. ",IF(LEFT(IFERROR(INDEX('Usage and Coverage'!$E$6:$E$20,MATCH($N271,'Usage and Coverage'!$C$6:$C$20,0)),""),5)="Refer","Usage class. ",""))&amp;IF($CX271="CHECK INPUTS","Incomplete inputs. ",""))))</f>
        <v/>
      </c>
      <c r="DB271" s="92"/>
      <c r="DC271" s="92"/>
      <c r="DD271" s="93"/>
      <c r="DE271" s="92"/>
      <c r="DF271" s="92"/>
      <c r="DG271" s="97" t="str">
        <f t="shared" si="64"/>
        <v/>
      </c>
      <c r="DH271" s="97" t="str">
        <f>IF($A271="","",IF(OR($CX271="REFER",$CX271="DECLINE"),COUNTIF($CX$5:$CX271,"REFER")+COUNTIF($CX$5:$CX271,"DECLINE"),""))</f>
        <v/>
      </c>
      <c r="DI271" s="92"/>
    </row>
    <row r="272" spans="1:113" x14ac:dyDescent="0.25">
      <c r="A272" s="92"/>
      <c r="B272" s="92"/>
      <c r="C272" s="93"/>
      <c r="D272" s="93"/>
      <c r="E272" s="94"/>
      <c r="F272" s="92"/>
      <c r="G272" s="92"/>
      <c r="H272" s="92"/>
      <c r="I272" s="92"/>
      <c r="J272" s="95"/>
      <c r="K272" s="92"/>
      <c r="L272" s="92"/>
      <c r="M272" s="92"/>
      <c r="N272" s="92"/>
      <c r="O272" s="92"/>
      <c r="P272" s="92"/>
      <c r="Q272" s="92"/>
      <c r="R272" s="92"/>
      <c r="S272" s="92"/>
      <c r="T272" s="92"/>
      <c r="U272" s="92"/>
      <c r="V272" s="92"/>
      <c r="W272" s="92"/>
      <c r="X272" s="92"/>
      <c r="Y272" s="92"/>
      <c r="Z272" s="92"/>
      <c r="AA272" s="92"/>
      <c r="AB272" s="92"/>
      <c r="AC272" s="92"/>
      <c r="AD272" s="92"/>
      <c r="AE272" s="92"/>
      <c r="AF272" s="92"/>
      <c r="AG272" s="92"/>
      <c r="AH272" s="92"/>
      <c r="AI272" s="92"/>
      <c r="AJ272" s="92"/>
      <c r="AK272" s="92"/>
      <c r="AL272" s="92"/>
      <c r="AM272" s="92"/>
      <c r="AN272" s="92"/>
      <c r="AO272" s="92"/>
      <c r="AP272" s="92"/>
      <c r="AQ272" s="96"/>
      <c r="AR272" s="97" t="str">
        <f t="shared" si="52"/>
        <v/>
      </c>
      <c r="AS272" s="97" t="str">
        <f>IF($A272="","",IF($AP272&lt;&gt;"",$AP272,IFERROR(INDEX('Cat Zone by ZIP'!$D$6:$D$856,MATCH($AR272,'Cat Zone by ZIP'!$B$6:$B$856,0)),IFERROR(INDEX('Cat Zone by ZIP'!$C$860:$C$910,MATCH($K272,'Cat Zone by ZIP'!$B$860:$B$910,0)),"NOT FOUND"))))</f>
        <v/>
      </c>
      <c r="AT272" s="97" t="str">
        <f>IF($A272="","",IF($AP272&lt;&gt;"","Override",IF(ISNUMBER(MATCH($AR272,'Cat Zone by ZIP'!$B$6:$B$856,0)),"ZIP-3","State default")))</f>
        <v/>
      </c>
      <c r="AU272" s="98" t="str">
        <f>IF($A272="","",IFERROR(INDEX('Natural Catastrophe'!$D$6:$D$17,MATCH($AS272,'Natural Catastrophe'!$B$6:$B$17,0)),"?"))</f>
        <v/>
      </c>
      <c r="AV272" s="98" t="str">
        <f>IF($A272="","",IFERROR(INDEX('Natural Catastrophe'!$C$21:$C$26,MATCH($AA272,'Natural Catastrophe'!$B$21:$B$26,0)),"?"))</f>
        <v/>
      </c>
      <c r="AW272" s="97" t="str">
        <f>IF($A272="","",IFERROR(INDEX('Base Rates'!$C$4:$I$4,MATCH(MAX($J272,'Technical Premium'!$C$18),'Base Rates'!$C$3:$I$3,1)),"?"))</f>
        <v/>
      </c>
      <c r="AX272" s="99" t="str">
        <f>IF($A272="","",IFERROR(INDEX('Base Rates'!$C$5:$I$16,MATCH($I272,'Base Rates'!$B$5:$B$16,0),MATCH(MAX($J272,'Technical Premium'!$C$18),'Base Rates'!$C$3:$I$3,1)),"?"))</f>
        <v/>
      </c>
      <c r="AY272" s="100" t="str">
        <f t="shared" si="53"/>
        <v/>
      </c>
      <c r="AZ272" s="97" t="str">
        <f>IF($A272="","",IFERROR(INDEX('Make Factors'!$G$5:$G$69,MATCH($F272,'Make Factors'!$B$5:$B$69,0)),"?"))</f>
        <v/>
      </c>
      <c r="BA272" s="97" t="str">
        <f>IF($A272="","",IFERROR(INDEX('Driver Factors'!$C$6:$C$15,MATCH($R272,'Driver Factors'!$B$6:$B$15,0)),"?"))</f>
        <v/>
      </c>
      <c r="BB272" s="97" t="str">
        <f>IF($A272="","",IFERROR(INDEX('Driver Factors'!$C$19:$C$24,MATCH($S272,'Driver Factors'!$B$19:$B$24,0)),"?"))</f>
        <v/>
      </c>
      <c r="BC272" s="97" t="str">
        <f>IF($A272="","",IFERROR(INDEX('Driver Factors'!$C$28:$C$36,MATCH($T272,'Driver Factors'!$B$28:$B$36,0)),"?"))</f>
        <v/>
      </c>
      <c r="BD272" s="97" t="str">
        <f>IF($A272="","",IFERROR(INDEX('Claims History'!$C$6:$C$15,MATCH($U272,'Claims History'!$B$6:$B$15,0)),"?"))</f>
        <v/>
      </c>
      <c r="BE272" s="97" t="str">
        <f>IF($A272="","",IFERROR(INDEX('Territory Factors'!$E$6:$E$56,MATCH($K272,'Territory Factors'!$B$6:$B$56,0)),"?"))</f>
        <v/>
      </c>
      <c r="BF272" s="97" t="str">
        <f>IF($A272="","",IFERROR(INDEX('City Accident Ratings'!$G$6:$G$54,MATCH($Z272,'City Accident Ratings'!$B$6:$B$54,0)),"?"))</f>
        <v/>
      </c>
      <c r="BG272" s="97" t="str">
        <f>IF($A272="","",IFERROR(INDEX('Usage and Coverage'!$D$6:$D$20,MATCH($N272,'Usage and Coverage'!$C$6:$C$20,0)),"?"))</f>
        <v/>
      </c>
      <c r="BH272" s="97" t="str">
        <f>IF($A272="","",IFERROR(INDEX('Usage and Coverage'!$C$24:$C$30,MATCH($O272,'Usage and Coverage'!$B$24:$B$30,0)),"?"))</f>
        <v/>
      </c>
      <c r="BI272" s="97" t="str">
        <f>IF($A272="","",IFERROR(INDEX('Usage and Coverage'!$C$34:$C$40,MATCH($P272,'Usage and Coverage'!$B$34:$B$40,0)),"?"))</f>
        <v/>
      </c>
      <c r="BJ272" s="97" t="str">
        <f>IF($A272="","",IFERROR(INDEX('Usage and Coverage'!$C$44:$C$49,MATCH($Q272,'Usage and Coverage'!$B$44:$B$49,0)),"?"))</f>
        <v/>
      </c>
      <c r="BK272" s="97" t="str">
        <f>IF($A272="","",IFERROR(INDEX(Deductibles!$C$6:$I$15,MATCH($W272,Deductibles!$B$6:$B$15,0),MATCH(MAX($J272,'Technical Premium'!$C$18),'Base Rates'!$C$3:$I$3,1)),"?"))</f>
        <v/>
      </c>
      <c r="BL272" s="97" t="str">
        <f>IF($A272="","",IFERROR(INDEX('Usage and Coverage'!$C$63:$C$66,MATCH($X272,'Usage and Coverage'!$B$63:$B$66,0)),"?"))</f>
        <v/>
      </c>
      <c r="BM272" s="97" t="str">
        <f>IF($A272="","",IFERROR(INDEX('Usage and Coverage'!$C$70:$C$75,MATCH($V272,'Usage and Coverage'!$B$70:$B$75,0)),"?"))</f>
        <v/>
      </c>
      <c r="BN272" s="97" t="str">
        <f>IF($A272="","",IF($AB272="",1,IFERROR(INDEX(Deductibles!$C$48:$C$51,MATCH($AB272,Deductibles!$B$48:$B$51,0)),"?")))</f>
        <v/>
      </c>
      <c r="BO272" s="97" t="str">
        <f>IF($A272="","",IF($AC272="",1,IFERROR(INDEX(Deductibles!$C$55:$C$57,MATCH($AC272,Deductibles!$B$55:$B$57,0)),"?")))</f>
        <v/>
      </c>
      <c r="BP272" s="97" t="str">
        <f>IF($A272="","",IF($AD272="",1,IFERROR(INDEX(Deductibles!$C$61:$C$63,MATCH($AD272,Deductibles!$B$61:$B$63,0)),"?")))</f>
        <v/>
      </c>
      <c r="BQ272" s="97" t="str">
        <f>IF($A272="","",IF($AE272="",1,IFERROR(INDEX(Deductibles!$C$67:$C$69,MATCH($AE272,Deductibles!$B$67:$B$69,0)),"?")))</f>
        <v/>
      </c>
      <c r="BR272" s="97" t="str">
        <f>IF($A272="","",IF($AF272="",1,IFERROR(INDEX(Deductibles!$C$73:$C$74,MATCH($AF272,Deductibles!$B$73:$B$74,0)),"?")))</f>
        <v/>
      </c>
      <c r="BS272" s="97" t="str">
        <f>IF($A272="","",IF($AG272="",1,IFERROR(INDEX('Sublimits and Parts'!$C$49:$C$52,MATCH($AG272,'Sublimits and Parts'!$B$49:$B$52,0)),"?")))</f>
        <v/>
      </c>
      <c r="BT272" s="97" t="str">
        <f>IF($A272="","",IF($AH272="",1,IFERROR(INDEX('Sublimits and Parts'!$C$56:$C$60,MATCH($AH272,'Sublimits and Parts'!$B$56:$B$60,0)),"?")))</f>
        <v/>
      </c>
      <c r="BU272" s="97" t="str">
        <f>IF($A272="","",IF($AI272="",1,IFERROR(INDEX('Sublimits and Parts'!$C$64:$C$67,MATCH($AI272,'Sublimits and Parts'!$B$64:$B$67,0)),"?")))</f>
        <v/>
      </c>
      <c r="BV272" s="97" t="str">
        <f>IF($A272="","",IF($AJ272="",1,IFERROR(INDEX('Sublimits and Parts'!$C$71:$C$74,MATCH($AJ272,'Sublimits and Parts'!$B$71:$B$74,0)),"?")))</f>
        <v/>
      </c>
      <c r="BW272" s="97" t="str">
        <f>IF($A272="","",IF($AK272="",1,IFERROR(INDEX('Sublimits and Parts'!$C$78:$C$80,MATCH($AK272,'Sublimits and Parts'!$B$78:$B$80,0)),"?")))</f>
        <v/>
      </c>
      <c r="BX272" s="97" t="str">
        <f>IF($A272="","",IF($AL272="",1,IFERROR(INDEX('Sublimits and Parts'!$C$84:$C$87,MATCH($AL272,'Sublimits and Parts'!$B$84:$B$87,0)),"?")))</f>
        <v/>
      </c>
      <c r="BY272" s="97" t="str">
        <f>IF($A272="","",IF($AM272="",1,IFERROR(INDEX('Sublimits and Parts'!$C$91:$C$94,MATCH($AM272,'Sublimits and Parts'!$B$91:$B$94,0)),"?")))</f>
        <v/>
      </c>
      <c r="BZ272" s="97" t="str">
        <f>IF($A272="","",IF($AN272="",1,IFERROR(INDEX('Sublimits and Parts'!$C$98:$C$101,MATCH($AN272,'Sublimits and Parts'!$B$98:$B$101,0)),"?")))</f>
        <v/>
      </c>
      <c r="CA272" s="97" t="str">
        <f>IF($A272="","",IF($AO272="",1,IFERROR(INDEX('Sublimits and Parts'!$C$105:$C$109,MATCH($AO272,'Sublimits and Parts'!$B$105:$B$109,0)),"?")))</f>
        <v/>
      </c>
      <c r="CB272" s="98" t="str">
        <f t="shared" si="54"/>
        <v/>
      </c>
      <c r="CC272" s="98" t="str">
        <f t="shared" si="55"/>
        <v/>
      </c>
      <c r="CD272" s="101" t="str">
        <f>IF($A272="","",IF(OR($CB272="?",$CC272="?"),"?",MIN($CB272*$CC272,'Technical Premium'!$C$17)))</f>
        <v/>
      </c>
      <c r="CE272" s="100" t="str">
        <f t="shared" si="56"/>
        <v/>
      </c>
      <c r="CF272" s="100" t="str">
        <f>IF($A272="","",IFERROR(INDEX('Territory Factors'!$F$6:$F$56,MATCH($K272,'Territory Factors'!$B$6:$B$56,0)),"?"))</f>
        <v/>
      </c>
      <c r="CG272" s="98" t="str">
        <f>IF($A272="","",IFERROR(INDEX('Usage and Coverage'!$C$79:$C$84,MATCH($Y272,'Usage and Coverage'!$B$79:$B$84,0)),"?"))</f>
        <v/>
      </c>
      <c r="CH272" s="100" t="str">
        <f>IFERROR(IF(ISNUMBER($CD272),$CF272*$CG272*MIN($BG272*$BA272*$BC272*$BD272*$BH272*$BF272,'Technical Premium'!$C$17),""),"")</f>
        <v/>
      </c>
      <c r="CI272" s="100" t="str">
        <f t="shared" si="57"/>
        <v/>
      </c>
      <c r="CJ272" s="100" t="str">
        <f>IFERROR($CI272*(1+'Technical Premium'!$C$5)*(1+'Technical Premium'!$C$6),"")</f>
        <v/>
      </c>
      <c r="CK272" s="100" t="str">
        <f>IFERROR($CE272*INDEX('Territory Factors'!$G$6:$G$56,MATCH($K272,'Territory Factors'!$B$6:$B$56,0))*$AU272*$AV272,"")</f>
        <v/>
      </c>
      <c r="CL272" s="100" t="str">
        <f>IFERROR(($CJ272+$CK272)*(1+'Technical Premium'!$C$7),"")</f>
        <v/>
      </c>
      <c r="CM272" s="102" t="str">
        <f>IFERROR($CL272/'Technical Premium'!$C$13,"")</f>
        <v/>
      </c>
      <c r="CN272" s="103" t="str">
        <f t="shared" si="58"/>
        <v/>
      </c>
      <c r="CO272" s="102" t="str">
        <f t="shared" si="59"/>
        <v/>
      </c>
      <c r="CP272" s="103" t="str">
        <f t="shared" si="60"/>
        <v/>
      </c>
      <c r="CQ272" s="104" t="str">
        <f t="shared" si="61"/>
        <v/>
      </c>
      <c r="CR272" s="100" t="str">
        <f>IF(ISNUMBER($CM272),'Technical Premium'!$C$14+IF($J272&gt;=1000000,'Technical Premium'!$C$15,0),"")</f>
        <v/>
      </c>
      <c r="CS272" s="100" t="str">
        <f>IFERROR(($CO272+$CR272)*(INDEX('Territory Factors'!$K$6:$K$56,MATCH($K272,'Territory Factors'!$B$6:$B$56,0))+'Commission Structure'!$C$21),"")</f>
        <v/>
      </c>
      <c r="CT272" s="102" t="str">
        <f t="shared" si="62"/>
        <v/>
      </c>
      <c r="CU272" s="100" t="str">
        <f>IFERROR($CO272*('Commission Structure'!$C$6+'Commission Structure'!$C$7),"")</f>
        <v/>
      </c>
      <c r="CV272" s="100" t="str">
        <f>IFERROR($CO272*'Commission Structure'!$C$5-$CU272,"")</f>
        <v/>
      </c>
      <c r="CW272" s="100" t="str">
        <f>IFERROR($CO272*(1-'Commission Structure'!$C$5),"")</f>
        <v/>
      </c>
      <c r="CX272" s="105" t="str">
        <f>IF($A272="","",IF(OR($CB272="?",$CC272="?",NOT(ISNUMBER($AU272))),"CHECK INPUTS",IF(OR($J272&lt;'Technical Premium'!$C$18,LEFT(IFERROR(INDEX('Driver Factors'!$D$6:$D$15,MATCH($R272,'Driver Factors'!$B$6:$B$15,0)),""),7)="DECLINE",LEFT(IFERROR(INDEX('Driver Factors'!$D$28:$D$36,MATCH($T272,'Driver Factors'!$B$28:$B$36,0)),""),7)="DECLINE",LEFT(IFERROR(INDEX('Claims History'!$D$6:$D$15,MATCH($U272,'Claims History'!$B$6:$B$15,0)),""),7)="DECLINE",LEFT(IFERROR(INDEX('Usage and Coverage'!$E$6:$E$20,MATCH($N272,'Usage and Coverage'!$C$6:$C$20,0)),""),7)="DECLINE"),"DECLINE",IF(OR($CD272&gt;2.5,$CD272&gt;='Technical Premium'!$C$17,$J272&gt;='Technical Premium'!$C$16,N($AQ272)&lt;'Technical Premium'!$C$19,N($AQ272)&gt;'Technical Premium'!$C$20,LEFT(IFERROR(INDEX('Driver Factors'!$D$6:$D$15,MATCH($R272,'Driver Factors'!$B$6:$B$15,0)),""),5)="Refer",LEFT(IFERROR(INDEX('Driver Factors'!$D$28:$D$36,MATCH($T272,'Driver Factors'!$B$28:$B$36,0)),""),5)="Refer",LEFT(IFERROR(INDEX('Claims History'!$D$6:$D$15,MATCH($U272,'Claims History'!$B$6:$B$15,0)),""),5)="Refer",LEFT(IFERROR(INDEX('Usage and Coverage'!$E$6:$E$20,MATCH($N272,'Usage and Coverage'!$C$6:$C$20,0)),""),5)="Refer"),"REFER","AUTO-BIND"))))</f>
        <v/>
      </c>
      <c r="CY272" s="106" t="str">
        <f t="shared" si="63"/>
        <v/>
      </c>
      <c r="CZ272" s="97" t="str">
        <f>IF($CY272="","",IF($CY272&lt;'Technical Premium'!$C$19,"BEYOND AUTHORITY",IF($CY272&gt;0.005,"Above technical",IF($CY272&lt;-0.005,"BELOW technical","At technical"))))</f>
        <v/>
      </c>
      <c r="DA272" s="97" t="str">
        <f>IF($A272="","",IF($CX272="AUTO-BIND","",TRIM(IF($J272&lt;'Technical Premium'!$C$18,"Below programme minimum agreed value. ","")&amp;IF(N($AQ272)&lt;'Technical Premium'!$C$19,"DISCOUNT AUTHORITY BREACH. ","")&amp;IF(N($AQ272)&gt;'Technical Premium'!$C$20,"Load authority breach. ","")&amp;IF($J272&gt;='Technical Premium'!$C$16,"Agreed value at or above auto-bind limit. ","")&amp;IF(AND(ISNUMBER($CD272),$CD272&gt;='Technical Premium'!$C$17),"Composite factor at cap. ","")&amp;IF(AND(ISNUMBER($CD272),$CD272&gt;2.5),"Composite factor above 2.50. ","")&amp;IF(LEFT(IFERROR(INDEX('Driver Factors'!$D$6:$D$15,MATCH($R272,'Driver Factors'!$B$6:$B$15,0)),""),7)="DECLINE","DECLINE - driver age. ",IF(LEFT(IFERROR(INDEX('Driver Factors'!$D$6:$D$15,MATCH($R272,'Driver Factors'!$B$6:$B$15,0)),""),5)="Refer","Driver age band. ",""))&amp;IF(LEFT(IFERROR(INDEX('Driver Factors'!$D$28:$D$36,MATCH($T272,'Driver Factors'!$B$28:$B$36,0)),""),7)="DECLINE","DECLINE - MVR. ",IF(LEFT(IFERROR(INDEX('Driver Factors'!$D$28:$D$36,MATCH($T272,'Driver Factors'!$B$28:$B$36,0)),""),5)="Refer","MVR record. ",""))&amp;IF(LEFT(IFERROR(INDEX('Claims History'!$D$6:$D$15,MATCH($U272,'Claims History'!$B$6:$B$15,0)),""),7)="DECLINE","DECLINE - claims. ",IF(LEFT(IFERROR(INDEX('Claims History'!$D$6:$D$15,MATCH($U272,'Claims History'!$B$6:$B$15,0)),""),5)="Refer","Claims history. ",""))&amp;IF(LEFT(IFERROR(INDEX('Usage and Coverage'!$E$6:$E$20,MATCH($N272,'Usage and Coverage'!$C$6:$C$20,0)),""),7)="DECLINE","DECLINE - usage class. ",IF(LEFT(IFERROR(INDEX('Usage and Coverage'!$E$6:$E$20,MATCH($N272,'Usage and Coverage'!$C$6:$C$20,0)),""),5)="Refer","Usage class. ",""))&amp;IF($CX272="CHECK INPUTS","Incomplete inputs. ",""))))</f>
        <v/>
      </c>
      <c r="DB272" s="92"/>
      <c r="DC272" s="92"/>
      <c r="DD272" s="93"/>
      <c r="DE272" s="92"/>
      <c r="DF272" s="92"/>
      <c r="DG272" s="97" t="str">
        <f t="shared" si="64"/>
        <v/>
      </c>
      <c r="DH272" s="97" t="str">
        <f>IF($A272="","",IF(OR($CX272="REFER",$CX272="DECLINE"),COUNTIF($CX$5:$CX272,"REFER")+COUNTIF($CX$5:$CX272,"DECLINE"),""))</f>
        <v/>
      </c>
      <c r="DI272" s="92"/>
    </row>
    <row r="273" spans="1:113" x14ac:dyDescent="0.25">
      <c r="A273" s="92"/>
      <c r="B273" s="92"/>
      <c r="C273" s="93"/>
      <c r="D273" s="93"/>
      <c r="E273" s="94"/>
      <c r="F273" s="92"/>
      <c r="G273" s="92"/>
      <c r="H273" s="92"/>
      <c r="I273" s="92"/>
      <c r="J273" s="95"/>
      <c r="K273" s="92"/>
      <c r="L273" s="92"/>
      <c r="M273" s="92"/>
      <c r="N273" s="92"/>
      <c r="O273" s="92"/>
      <c r="P273" s="92"/>
      <c r="Q273" s="92"/>
      <c r="R273" s="92"/>
      <c r="S273" s="92"/>
      <c r="T273" s="92"/>
      <c r="U273" s="92"/>
      <c r="V273" s="92"/>
      <c r="W273" s="92"/>
      <c r="X273" s="92"/>
      <c r="Y273" s="92"/>
      <c r="Z273" s="92"/>
      <c r="AA273" s="92"/>
      <c r="AB273" s="92"/>
      <c r="AC273" s="92"/>
      <c r="AD273" s="92"/>
      <c r="AE273" s="92"/>
      <c r="AF273" s="92"/>
      <c r="AG273" s="92"/>
      <c r="AH273" s="92"/>
      <c r="AI273" s="92"/>
      <c r="AJ273" s="92"/>
      <c r="AK273" s="92"/>
      <c r="AL273" s="92"/>
      <c r="AM273" s="92"/>
      <c r="AN273" s="92"/>
      <c r="AO273" s="92"/>
      <c r="AP273" s="92"/>
      <c r="AQ273" s="96"/>
      <c r="AR273" s="97" t="str">
        <f t="shared" si="52"/>
        <v/>
      </c>
      <c r="AS273" s="97" t="str">
        <f>IF($A273="","",IF($AP273&lt;&gt;"",$AP273,IFERROR(INDEX('Cat Zone by ZIP'!$D$6:$D$856,MATCH($AR273,'Cat Zone by ZIP'!$B$6:$B$856,0)),IFERROR(INDEX('Cat Zone by ZIP'!$C$860:$C$910,MATCH($K273,'Cat Zone by ZIP'!$B$860:$B$910,0)),"NOT FOUND"))))</f>
        <v/>
      </c>
      <c r="AT273" s="97" t="str">
        <f>IF($A273="","",IF($AP273&lt;&gt;"","Override",IF(ISNUMBER(MATCH($AR273,'Cat Zone by ZIP'!$B$6:$B$856,0)),"ZIP-3","State default")))</f>
        <v/>
      </c>
      <c r="AU273" s="98" t="str">
        <f>IF($A273="","",IFERROR(INDEX('Natural Catastrophe'!$D$6:$D$17,MATCH($AS273,'Natural Catastrophe'!$B$6:$B$17,0)),"?"))</f>
        <v/>
      </c>
      <c r="AV273" s="98" t="str">
        <f>IF($A273="","",IFERROR(INDEX('Natural Catastrophe'!$C$21:$C$26,MATCH($AA273,'Natural Catastrophe'!$B$21:$B$26,0)),"?"))</f>
        <v/>
      </c>
      <c r="AW273" s="97" t="str">
        <f>IF($A273="","",IFERROR(INDEX('Base Rates'!$C$4:$I$4,MATCH(MAX($J273,'Technical Premium'!$C$18),'Base Rates'!$C$3:$I$3,1)),"?"))</f>
        <v/>
      </c>
      <c r="AX273" s="99" t="str">
        <f>IF($A273="","",IFERROR(INDEX('Base Rates'!$C$5:$I$16,MATCH($I273,'Base Rates'!$B$5:$B$16,0),MATCH(MAX($J273,'Technical Premium'!$C$18),'Base Rates'!$C$3:$I$3,1)),"?"))</f>
        <v/>
      </c>
      <c r="AY273" s="100" t="str">
        <f t="shared" si="53"/>
        <v/>
      </c>
      <c r="AZ273" s="97" t="str">
        <f>IF($A273="","",IFERROR(INDEX('Make Factors'!$G$5:$G$69,MATCH($F273,'Make Factors'!$B$5:$B$69,0)),"?"))</f>
        <v/>
      </c>
      <c r="BA273" s="97" t="str">
        <f>IF($A273="","",IFERROR(INDEX('Driver Factors'!$C$6:$C$15,MATCH($R273,'Driver Factors'!$B$6:$B$15,0)),"?"))</f>
        <v/>
      </c>
      <c r="BB273" s="97" t="str">
        <f>IF($A273="","",IFERROR(INDEX('Driver Factors'!$C$19:$C$24,MATCH($S273,'Driver Factors'!$B$19:$B$24,0)),"?"))</f>
        <v/>
      </c>
      <c r="BC273" s="97" t="str">
        <f>IF($A273="","",IFERROR(INDEX('Driver Factors'!$C$28:$C$36,MATCH($T273,'Driver Factors'!$B$28:$B$36,0)),"?"))</f>
        <v/>
      </c>
      <c r="BD273" s="97" t="str">
        <f>IF($A273="","",IFERROR(INDEX('Claims History'!$C$6:$C$15,MATCH($U273,'Claims History'!$B$6:$B$15,0)),"?"))</f>
        <v/>
      </c>
      <c r="BE273" s="97" t="str">
        <f>IF($A273="","",IFERROR(INDEX('Territory Factors'!$E$6:$E$56,MATCH($K273,'Territory Factors'!$B$6:$B$56,0)),"?"))</f>
        <v/>
      </c>
      <c r="BF273" s="97" t="str">
        <f>IF($A273="","",IFERROR(INDEX('City Accident Ratings'!$G$6:$G$54,MATCH($Z273,'City Accident Ratings'!$B$6:$B$54,0)),"?"))</f>
        <v/>
      </c>
      <c r="BG273" s="97" t="str">
        <f>IF($A273="","",IFERROR(INDEX('Usage and Coverage'!$D$6:$D$20,MATCH($N273,'Usage and Coverage'!$C$6:$C$20,0)),"?"))</f>
        <v/>
      </c>
      <c r="BH273" s="97" t="str">
        <f>IF($A273="","",IFERROR(INDEX('Usage and Coverage'!$C$24:$C$30,MATCH($O273,'Usage and Coverage'!$B$24:$B$30,0)),"?"))</f>
        <v/>
      </c>
      <c r="BI273" s="97" t="str">
        <f>IF($A273="","",IFERROR(INDEX('Usage and Coverage'!$C$34:$C$40,MATCH($P273,'Usage and Coverage'!$B$34:$B$40,0)),"?"))</f>
        <v/>
      </c>
      <c r="BJ273" s="97" t="str">
        <f>IF($A273="","",IFERROR(INDEX('Usage and Coverage'!$C$44:$C$49,MATCH($Q273,'Usage and Coverage'!$B$44:$B$49,0)),"?"))</f>
        <v/>
      </c>
      <c r="BK273" s="97" t="str">
        <f>IF($A273="","",IFERROR(INDEX(Deductibles!$C$6:$I$15,MATCH($W273,Deductibles!$B$6:$B$15,0),MATCH(MAX($J273,'Technical Premium'!$C$18),'Base Rates'!$C$3:$I$3,1)),"?"))</f>
        <v/>
      </c>
      <c r="BL273" s="97" t="str">
        <f>IF($A273="","",IFERROR(INDEX('Usage and Coverage'!$C$63:$C$66,MATCH($X273,'Usage and Coverage'!$B$63:$B$66,0)),"?"))</f>
        <v/>
      </c>
      <c r="BM273" s="97" t="str">
        <f>IF($A273="","",IFERROR(INDEX('Usage and Coverage'!$C$70:$C$75,MATCH($V273,'Usage and Coverage'!$B$70:$B$75,0)),"?"))</f>
        <v/>
      </c>
      <c r="BN273" s="97" t="str">
        <f>IF($A273="","",IF($AB273="",1,IFERROR(INDEX(Deductibles!$C$48:$C$51,MATCH($AB273,Deductibles!$B$48:$B$51,0)),"?")))</f>
        <v/>
      </c>
      <c r="BO273" s="97" t="str">
        <f>IF($A273="","",IF($AC273="",1,IFERROR(INDEX(Deductibles!$C$55:$C$57,MATCH($AC273,Deductibles!$B$55:$B$57,0)),"?")))</f>
        <v/>
      </c>
      <c r="BP273" s="97" t="str">
        <f>IF($A273="","",IF($AD273="",1,IFERROR(INDEX(Deductibles!$C$61:$C$63,MATCH($AD273,Deductibles!$B$61:$B$63,0)),"?")))</f>
        <v/>
      </c>
      <c r="BQ273" s="97" t="str">
        <f>IF($A273="","",IF($AE273="",1,IFERROR(INDEX(Deductibles!$C$67:$C$69,MATCH($AE273,Deductibles!$B$67:$B$69,0)),"?")))</f>
        <v/>
      </c>
      <c r="BR273" s="97" t="str">
        <f>IF($A273="","",IF($AF273="",1,IFERROR(INDEX(Deductibles!$C$73:$C$74,MATCH($AF273,Deductibles!$B$73:$B$74,0)),"?")))</f>
        <v/>
      </c>
      <c r="BS273" s="97" t="str">
        <f>IF($A273="","",IF($AG273="",1,IFERROR(INDEX('Sublimits and Parts'!$C$49:$C$52,MATCH($AG273,'Sublimits and Parts'!$B$49:$B$52,0)),"?")))</f>
        <v/>
      </c>
      <c r="BT273" s="97" t="str">
        <f>IF($A273="","",IF($AH273="",1,IFERROR(INDEX('Sublimits and Parts'!$C$56:$C$60,MATCH($AH273,'Sublimits and Parts'!$B$56:$B$60,0)),"?")))</f>
        <v/>
      </c>
      <c r="BU273" s="97" t="str">
        <f>IF($A273="","",IF($AI273="",1,IFERROR(INDEX('Sublimits and Parts'!$C$64:$C$67,MATCH($AI273,'Sublimits and Parts'!$B$64:$B$67,0)),"?")))</f>
        <v/>
      </c>
      <c r="BV273" s="97" t="str">
        <f>IF($A273="","",IF($AJ273="",1,IFERROR(INDEX('Sublimits and Parts'!$C$71:$C$74,MATCH($AJ273,'Sublimits and Parts'!$B$71:$B$74,0)),"?")))</f>
        <v/>
      </c>
      <c r="BW273" s="97" t="str">
        <f>IF($A273="","",IF($AK273="",1,IFERROR(INDEX('Sublimits and Parts'!$C$78:$C$80,MATCH($AK273,'Sublimits and Parts'!$B$78:$B$80,0)),"?")))</f>
        <v/>
      </c>
      <c r="BX273" s="97" t="str">
        <f>IF($A273="","",IF($AL273="",1,IFERROR(INDEX('Sublimits and Parts'!$C$84:$C$87,MATCH($AL273,'Sublimits and Parts'!$B$84:$B$87,0)),"?")))</f>
        <v/>
      </c>
      <c r="BY273" s="97" t="str">
        <f>IF($A273="","",IF($AM273="",1,IFERROR(INDEX('Sublimits and Parts'!$C$91:$C$94,MATCH($AM273,'Sublimits and Parts'!$B$91:$B$94,0)),"?")))</f>
        <v/>
      </c>
      <c r="BZ273" s="97" t="str">
        <f>IF($A273="","",IF($AN273="",1,IFERROR(INDEX('Sublimits and Parts'!$C$98:$C$101,MATCH($AN273,'Sublimits and Parts'!$B$98:$B$101,0)),"?")))</f>
        <v/>
      </c>
      <c r="CA273" s="97" t="str">
        <f>IF($A273="","",IF($AO273="",1,IFERROR(INDEX('Sublimits and Parts'!$C$105:$C$109,MATCH($AO273,'Sublimits and Parts'!$B$105:$B$109,0)),"?")))</f>
        <v/>
      </c>
      <c r="CB273" s="98" t="str">
        <f t="shared" si="54"/>
        <v/>
      </c>
      <c r="CC273" s="98" t="str">
        <f t="shared" si="55"/>
        <v/>
      </c>
      <c r="CD273" s="101" t="str">
        <f>IF($A273="","",IF(OR($CB273="?",$CC273="?"),"?",MIN($CB273*$CC273,'Technical Premium'!$C$17)))</f>
        <v/>
      </c>
      <c r="CE273" s="100" t="str">
        <f t="shared" si="56"/>
        <v/>
      </c>
      <c r="CF273" s="100" t="str">
        <f>IF($A273="","",IFERROR(INDEX('Territory Factors'!$F$6:$F$56,MATCH($K273,'Territory Factors'!$B$6:$B$56,0)),"?"))</f>
        <v/>
      </c>
      <c r="CG273" s="98" t="str">
        <f>IF($A273="","",IFERROR(INDEX('Usage and Coverage'!$C$79:$C$84,MATCH($Y273,'Usage and Coverage'!$B$79:$B$84,0)),"?"))</f>
        <v/>
      </c>
      <c r="CH273" s="100" t="str">
        <f>IFERROR(IF(ISNUMBER($CD273),$CF273*$CG273*MIN($BG273*$BA273*$BC273*$BD273*$BH273*$BF273,'Technical Premium'!$C$17),""),"")</f>
        <v/>
      </c>
      <c r="CI273" s="100" t="str">
        <f t="shared" si="57"/>
        <v/>
      </c>
      <c r="CJ273" s="100" t="str">
        <f>IFERROR($CI273*(1+'Technical Premium'!$C$5)*(1+'Technical Premium'!$C$6),"")</f>
        <v/>
      </c>
      <c r="CK273" s="100" t="str">
        <f>IFERROR($CE273*INDEX('Territory Factors'!$G$6:$G$56,MATCH($K273,'Territory Factors'!$B$6:$B$56,0))*$AU273*$AV273,"")</f>
        <v/>
      </c>
      <c r="CL273" s="100" t="str">
        <f>IFERROR(($CJ273+$CK273)*(1+'Technical Premium'!$C$7),"")</f>
        <v/>
      </c>
      <c r="CM273" s="102" t="str">
        <f>IFERROR($CL273/'Technical Premium'!$C$13,"")</f>
        <v/>
      </c>
      <c r="CN273" s="103" t="str">
        <f t="shared" si="58"/>
        <v/>
      </c>
      <c r="CO273" s="102" t="str">
        <f t="shared" si="59"/>
        <v/>
      </c>
      <c r="CP273" s="103" t="str">
        <f t="shared" si="60"/>
        <v/>
      </c>
      <c r="CQ273" s="104" t="str">
        <f t="shared" si="61"/>
        <v/>
      </c>
      <c r="CR273" s="100" t="str">
        <f>IF(ISNUMBER($CM273),'Technical Premium'!$C$14+IF($J273&gt;=1000000,'Technical Premium'!$C$15,0),"")</f>
        <v/>
      </c>
      <c r="CS273" s="100" t="str">
        <f>IFERROR(($CO273+$CR273)*(INDEX('Territory Factors'!$K$6:$K$56,MATCH($K273,'Territory Factors'!$B$6:$B$56,0))+'Commission Structure'!$C$21),"")</f>
        <v/>
      </c>
      <c r="CT273" s="102" t="str">
        <f t="shared" si="62"/>
        <v/>
      </c>
      <c r="CU273" s="100" t="str">
        <f>IFERROR($CO273*('Commission Structure'!$C$6+'Commission Structure'!$C$7),"")</f>
        <v/>
      </c>
      <c r="CV273" s="100" t="str">
        <f>IFERROR($CO273*'Commission Structure'!$C$5-$CU273,"")</f>
        <v/>
      </c>
      <c r="CW273" s="100" t="str">
        <f>IFERROR($CO273*(1-'Commission Structure'!$C$5),"")</f>
        <v/>
      </c>
      <c r="CX273" s="105" t="str">
        <f>IF($A273="","",IF(OR($CB273="?",$CC273="?",NOT(ISNUMBER($AU273))),"CHECK INPUTS",IF(OR($J273&lt;'Technical Premium'!$C$18,LEFT(IFERROR(INDEX('Driver Factors'!$D$6:$D$15,MATCH($R273,'Driver Factors'!$B$6:$B$15,0)),""),7)="DECLINE",LEFT(IFERROR(INDEX('Driver Factors'!$D$28:$D$36,MATCH($T273,'Driver Factors'!$B$28:$B$36,0)),""),7)="DECLINE",LEFT(IFERROR(INDEX('Claims History'!$D$6:$D$15,MATCH($U273,'Claims History'!$B$6:$B$15,0)),""),7)="DECLINE",LEFT(IFERROR(INDEX('Usage and Coverage'!$E$6:$E$20,MATCH($N273,'Usage and Coverage'!$C$6:$C$20,0)),""),7)="DECLINE"),"DECLINE",IF(OR($CD273&gt;2.5,$CD273&gt;='Technical Premium'!$C$17,$J273&gt;='Technical Premium'!$C$16,N($AQ273)&lt;'Technical Premium'!$C$19,N($AQ273)&gt;'Technical Premium'!$C$20,LEFT(IFERROR(INDEX('Driver Factors'!$D$6:$D$15,MATCH($R273,'Driver Factors'!$B$6:$B$15,0)),""),5)="Refer",LEFT(IFERROR(INDEX('Driver Factors'!$D$28:$D$36,MATCH($T273,'Driver Factors'!$B$28:$B$36,0)),""),5)="Refer",LEFT(IFERROR(INDEX('Claims History'!$D$6:$D$15,MATCH($U273,'Claims History'!$B$6:$B$15,0)),""),5)="Refer",LEFT(IFERROR(INDEX('Usage and Coverage'!$E$6:$E$20,MATCH($N273,'Usage and Coverage'!$C$6:$C$20,0)),""),5)="Refer"),"REFER","AUTO-BIND"))))</f>
        <v/>
      </c>
      <c r="CY273" s="106" t="str">
        <f t="shared" si="63"/>
        <v/>
      </c>
      <c r="CZ273" s="97" t="str">
        <f>IF($CY273="","",IF($CY273&lt;'Technical Premium'!$C$19,"BEYOND AUTHORITY",IF($CY273&gt;0.005,"Above technical",IF($CY273&lt;-0.005,"BELOW technical","At technical"))))</f>
        <v/>
      </c>
      <c r="DA273" s="97" t="str">
        <f>IF($A273="","",IF($CX273="AUTO-BIND","",TRIM(IF($J273&lt;'Technical Premium'!$C$18,"Below programme minimum agreed value. ","")&amp;IF(N($AQ273)&lt;'Technical Premium'!$C$19,"DISCOUNT AUTHORITY BREACH. ","")&amp;IF(N($AQ273)&gt;'Technical Premium'!$C$20,"Load authority breach. ","")&amp;IF($J273&gt;='Technical Premium'!$C$16,"Agreed value at or above auto-bind limit. ","")&amp;IF(AND(ISNUMBER($CD273),$CD273&gt;='Technical Premium'!$C$17),"Composite factor at cap. ","")&amp;IF(AND(ISNUMBER($CD273),$CD273&gt;2.5),"Composite factor above 2.50. ","")&amp;IF(LEFT(IFERROR(INDEX('Driver Factors'!$D$6:$D$15,MATCH($R273,'Driver Factors'!$B$6:$B$15,0)),""),7)="DECLINE","DECLINE - driver age. ",IF(LEFT(IFERROR(INDEX('Driver Factors'!$D$6:$D$15,MATCH($R273,'Driver Factors'!$B$6:$B$15,0)),""),5)="Refer","Driver age band. ",""))&amp;IF(LEFT(IFERROR(INDEX('Driver Factors'!$D$28:$D$36,MATCH($T273,'Driver Factors'!$B$28:$B$36,0)),""),7)="DECLINE","DECLINE - MVR. ",IF(LEFT(IFERROR(INDEX('Driver Factors'!$D$28:$D$36,MATCH($T273,'Driver Factors'!$B$28:$B$36,0)),""),5)="Refer","MVR record. ",""))&amp;IF(LEFT(IFERROR(INDEX('Claims History'!$D$6:$D$15,MATCH($U273,'Claims History'!$B$6:$B$15,0)),""),7)="DECLINE","DECLINE - claims. ",IF(LEFT(IFERROR(INDEX('Claims History'!$D$6:$D$15,MATCH($U273,'Claims History'!$B$6:$B$15,0)),""),5)="Refer","Claims history. ",""))&amp;IF(LEFT(IFERROR(INDEX('Usage and Coverage'!$E$6:$E$20,MATCH($N273,'Usage and Coverage'!$C$6:$C$20,0)),""),7)="DECLINE","DECLINE - usage class. ",IF(LEFT(IFERROR(INDEX('Usage and Coverage'!$E$6:$E$20,MATCH($N273,'Usage and Coverage'!$C$6:$C$20,0)),""),5)="Refer","Usage class. ",""))&amp;IF($CX273="CHECK INPUTS","Incomplete inputs. ",""))))</f>
        <v/>
      </c>
      <c r="DB273" s="92"/>
      <c r="DC273" s="92"/>
      <c r="DD273" s="93"/>
      <c r="DE273" s="92"/>
      <c r="DF273" s="92"/>
      <c r="DG273" s="97" t="str">
        <f t="shared" si="64"/>
        <v/>
      </c>
      <c r="DH273" s="97" t="str">
        <f>IF($A273="","",IF(OR($CX273="REFER",$CX273="DECLINE"),COUNTIF($CX$5:$CX273,"REFER")+COUNTIF($CX$5:$CX273,"DECLINE"),""))</f>
        <v/>
      </c>
      <c r="DI273" s="92"/>
    </row>
    <row r="274" spans="1:113" x14ac:dyDescent="0.25">
      <c r="A274" s="92"/>
      <c r="B274" s="92"/>
      <c r="C274" s="93"/>
      <c r="D274" s="93"/>
      <c r="E274" s="94"/>
      <c r="F274" s="92"/>
      <c r="G274" s="92"/>
      <c r="H274" s="92"/>
      <c r="I274" s="92"/>
      <c r="J274" s="95"/>
      <c r="K274" s="92"/>
      <c r="L274" s="92"/>
      <c r="M274" s="92"/>
      <c r="N274" s="92"/>
      <c r="O274" s="92"/>
      <c r="P274" s="92"/>
      <c r="Q274" s="92"/>
      <c r="R274" s="92"/>
      <c r="S274" s="92"/>
      <c r="T274" s="92"/>
      <c r="U274" s="92"/>
      <c r="V274" s="92"/>
      <c r="W274" s="92"/>
      <c r="X274" s="92"/>
      <c r="Y274" s="92"/>
      <c r="Z274" s="92"/>
      <c r="AA274" s="92"/>
      <c r="AB274" s="92"/>
      <c r="AC274" s="92"/>
      <c r="AD274" s="92"/>
      <c r="AE274" s="92"/>
      <c r="AF274" s="92"/>
      <c r="AG274" s="92"/>
      <c r="AH274" s="92"/>
      <c r="AI274" s="92"/>
      <c r="AJ274" s="92"/>
      <c r="AK274" s="92"/>
      <c r="AL274" s="92"/>
      <c r="AM274" s="92"/>
      <c r="AN274" s="92"/>
      <c r="AO274" s="92"/>
      <c r="AP274" s="92"/>
      <c r="AQ274" s="96"/>
      <c r="AR274" s="97" t="str">
        <f t="shared" si="52"/>
        <v/>
      </c>
      <c r="AS274" s="97" t="str">
        <f>IF($A274="","",IF($AP274&lt;&gt;"",$AP274,IFERROR(INDEX('Cat Zone by ZIP'!$D$6:$D$856,MATCH($AR274,'Cat Zone by ZIP'!$B$6:$B$856,0)),IFERROR(INDEX('Cat Zone by ZIP'!$C$860:$C$910,MATCH($K274,'Cat Zone by ZIP'!$B$860:$B$910,0)),"NOT FOUND"))))</f>
        <v/>
      </c>
      <c r="AT274" s="97" t="str">
        <f>IF($A274="","",IF($AP274&lt;&gt;"","Override",IF(ISNUMBER(MATCH($AR274,'Cat Zone by ZIP'!$B$6:$B$856,0)),"ZIP-3","State default")))</f>
        <v/>
      </c>
      <c r="AU274" s="98" t="str">
        <f>IF($A274="","",IFERROR(INDEX('Natural Catastrophe'!$D$6:$D$17,MATCH($AS274,'Natural Catastrophe'!$B$6:$B$17,0)),"?"))</f>
        <v/>
      </c>
      <c r="AV274" s="98" t="str">
        <f>IF($A274="","",IFERROR(INDEX('Natural Catastrophe'!$C$21:$C$26,MATCH($AA274,'Natural Catastrophe'!$B$21:$B$26,0)),"?"))</f>
        <v/>
      </c>
      <c r="AW274" s="97" t="str">
        <f>IF($A274="","",IFERROR(INDEX('Base Rates'!$C$4:$I$4,MATCH(MAX($J274,'Technical Premium'!$C$18),'Base Rates'!$C$3:$I$3,1)),"?"))</f>
        <v/>
      </c>
      <c r="AX274" s="99" t="str">
        <f>IF($A274="","",IFERROR(INDEX('Base Rates'!$C$5:$I$16,MATCH($I274,'Base Rates'!$B$5:$B$16,0),MATCH(MAX($J274,'Technical Premium'!$C$18),'Base Rates'!$C$3:$I$3,1)),"?"))</f>
        <v/>
      </c>
      <c r="AY274" s="100" t="str">
        <f t="shared" si="53"/>
        <v/>
      </c>
      <c r="AZ274" s="97" t="str">
        <f>IF($A274="","",IFERROR(INDEX('Make Factors'!$G$5:$G$69,MATCH($F274,'Make Factors'!$B$5:$B$69,0)),"?"))</f>
        <v/>
      </c>
      <c r="BA274" s="97" t="str">
        <f>IF($A274="","",IFERROR(INDEX('Driver Factors'!$C$6:$C$15,MATCH($R274,'Driver Factors'!$B$6:$B$15,0)),"?"))</f>
        <v/>
      </c>
      <c r="BB274" s="97" t="str">
        <f>IF($A274="","",IFERROR(INDEX('Driver Factors'!$C$19:$C$24,MATCH($S274,'Driver Factors'!$B$19:$B$24,0)),"?"))</f>
        <v/>
      </c>
      <c r="BC274" s="97" t="str">
        <f>IF($A274="","",IFERROR(INDEX('Driver Factors'!$C$28:$C$36,MATCH($T274,'Driver Factors'!$B$28:$B$36,0)),"?"))</f>
        <v/>
      </c>
      <c r="BD274" s="97" t="str">
        <f>IF($A274="","",IFERROR(INDEX('Claims History'!$C$6:$C$15,MATCH($U274,'Claims History'!$B$6:$B$15,0)),"?"))</f>
        <v/>
      </c>
      <c r="BE274" s="97" t="str">
        <f>IF($A274="","",IFERROR(INDEX('Territory Factors'!$E$6:$E$56,MATCH($K274,'Territory Factors'!$B$6:$B$56,0)),"?"))</f>
        <v/>
      </c>
      <c r="BF274" s="97" t="str">
        <f>IF($A274="","",IFERROR(INDEX('City Accident Ratings'!$G$6:$G$54,MATCH($Z274,'City Accident Ratings'!$B$6:$B$54,0)),"?"))</f>
        <v/>
      </c>
      <c r="BG274" s="97" t="str">
        <f>IF($A274="","",IFERROR(INDEX('Usage and Coverage'!$D$6:$D$20,MATCH($N274,'Usage and Coverage'!$C$6:$C$20,0)),"?"))</f>
        <v/>
      </c>
      <c r="BH274" s="97" t="str">
        <f>IF($A274="","",IFERROR(INDEX('Usage and Coverage'!$C$24:$C$30,MATCH($O274,'Usage and Coverage'!$B$24:$B$30,0)),"?"))</f>
        <v/>
      </c>
      <c r="BI274" s="97" t="str">
        <f>IF($A274="","",IFERROR(INDEX('Usage and Coverage'!$C$34:$C$40,MATCH($P274,'Usage and Coverage'!$B$34:$B$40,0)),"?"))</f>
        <v/>
      </c>
      <c r="BJ274" s="97" t="str">
        <f>IF($A274="","",IFERROR(INDEX('Usage and Coverage'!$C$44:$C$49,MATCH($Q274,'Usage and Coverage'!$B$44:$B$49,0)),"?"))</f>
        <v/>
      </c>
      <c r="BK274" s="97" t="str">
        <f>IF($A274="","",IFERROR(INDEX(Deductibles!$C$6:$I$15,MATCH($W274,Deductibles!$B$6:$B$15,0),MATCH(MAX($J274,'Technical Premium'!$C$18),'Base Rates'!$C$3:$I$3,1)),"?"))</f>
        <v/>
      </c>
      <c r="BL274" s="97" t="str">
        <f>IF($A274="","",IFERROR(INDEX('Usage and Coverage'!$C$63:$C$66,MATCH($X274,'Usage and Coverage'!$B$63:$B$66,0)),"?"))</f>
        <v/>
      </c>
      <c r="BM274" s="97" t="str">
        <f>IF($A274="","",IFERROR(INDEX('Usage and Coverage'!$C$70:$C$75,MATCH($V274,'Usage and Coverage'!$B$70:$B$75,0)),"?"))</f>
        <v/>
      </c>
      <c r="BN274" s="97" t="str">
        <f>IF($A274="","",IF($AB274="",1,IFERROR(INDEX(Deductibles!$C$48:$C$51,MATCH($AB274,Deductibles!$B$48:$B$51,0)),"?")))</f>
        <v/>
      </c>
      <c r="BO274" s="97" t="str">
        <f>IF($A274="","",IF($AC274="",1,IFERROR(INDEX(Deductibles!$C$55:$C$57,MATCH($AC274,Deductibles!$B$55:$B$57,0)),"?")))</f>
        <v/>
      </c>
      <c r="BP274" s="97" t="str">
        <f>IF($A274="","",IF($AD274="",1,IFERROR(INDEX(Deductibles!$C$61:$C$63,MATCH($AD274,Deductibles!$B$61:$B$63,0)),"?")))</f>
        <v/>
      </c>
      <c r="BQ274" s="97" t="str">
        <f>IF($A274="","",IF($AE274="",1,IFERROR(INDEX(Deductibles!$C$67:$C$69,MATCH($AE274,Deductibles!$B$67:$B$69,0)),"?")))</f>
        <v/>
      </c>
      <c r="BR274" s="97" t="str">
        <f>IF($A274="","",IF($AF274="",1,IFERROR(INDEX(Deductibles!$C$73:$C$74,MATCH($AF274,Deductibles!$B$73:$B$74,0)),"?")))</f>
        <v/>
      </c>
      <c r="BS274" s="97" t="str">
        <f>IF($A274="","",IF($AG274="",1,IFERROR(INDEX('Sublimits and Parts'!$C$49:$C$52,MATCH($AG274,'Sublimits and Parts'!$B$49:$B$52,0)),"?")))</f>
        <v/>
      </c>
      <c r="BT274" s="97" t="str">
        <f>IF($A274="","",IF($AH274="",1,IFERROR(INDEX('Sublimits and Parts'!$C$56:$C$60,MATCH($AH274,'Sublimits and Parts'!$B$56:$B$60,0)),"?")))</f>
        <v/>
      </c>
      <c r="BU274" s="97" t="str">
        <f>IF($A274="","",IF($AI274="",1,IFERROR(INDEX('Sublimits and Parts'!$C$64:$C$67,MATCH($AI274,'Sublimits and Parts'!$B$64:$B$67,0)),"?")))</f>
        <v/>
      </c>
      <c r="BV274" s="97" t="str">
        <f>IF($A274="","",IF($AJ274="",1,IFERROR(INDEX('Sublimits and Parts'!$C$71:$C$74,MATCH($AJ274,'Sublimits and Parts'!$B$71:$B$74,0)),"?")))</f>
        <v/>
      </c>
      <c r="BW274" s="97" t="str">
        <f>IF($A274="","",IF($AK274="",1,IFERROR(INDEX('Sublimits and Parts'!$C$78:$C$80,MATCH($AK274,'Sublimits and Parts'!$B$78:$B$80,0)),"?")))</f>
        <v/>
      </c>
      <c r="BX274" s="97" t="str">
        <f>IF($A274="","",IF($AL274="",1,IFERROR(INDEX('Sublimits and Parts'!$C$84:$C$87,MATCH($AL274,'Sublimits and Parts'!$B$84:$B$87,0)),"?")))</f>
        <v/>
      </c>
      <c r="BY274" s="97" t="str">
        <f>IF($A274="","",IF($AM274="",1,IFERROR(INDEX('Sublimits and Parts'!$C$91:$C$94,MATCH($AM274,'Sublimits and Parts'!$B$91:$B$94,0)),"?")))</f>
        <v/>
      </c>
      <c r="BZ274" s="97" t="str">
        <f>IF($A274="","",IF($AN274="",1,IFERROR(INDEX('Sublimits and Parts'!$C$98:$C$101,MATCH($AN274,'Sublimits and Parts'!$B$98:$B$101,0)),"?")))</f>
        <v/>
      </c>
      <c r="CA274" s="97" t="str">
        <f>IF($A274="","",IF($AO274="",1,IFERROR(INDEX('Sublimits and Parts'!$C$105:$C$109,MATCH($AO274,'Sublimits and Parts'!$B$105:$B$109,0)),"?")))</f>
        <v/>
      </c>
      <c r="CB274" s="98" t="str">
        <f t="shared" si="54"/>
        <v/>
      </c>
      <c r="CC274" s="98" t="str">
        <f t="shared" si="55"/>
        <v/>
      </c>
      <c r="CD274" s="101" t="str">
        <f>IF($A274="","",IF(OR($CB274="?",$CC274="?"),"?",MIN($CB274*$CC274,'Technical Premium'!$C$17)))</f>
        <v/>
      </c>
      <c r="CE274" s="100" t="str">
        <f t="shared" si="56"/>
        <v/>
      </c>
      <c r="CF274" s="100" t="str">
        <f>IF($A274="","",IFERROR(INDEX('Territory Factors'!$F$6:$F$56,MATCH($K274,'Territory Factors'!$B$6:$B$56,0)),"?"))</f>
        <v/>
      </c>
      <c r="CG274" s="98" t="str">
        <f>IF($A274="","",IFERROR(INDEX('Usage and Coverage'!$C$79:$C$84,MATCH($Y274,'Usage and Coverage'!$B$79:$B$84,0)),"?"))</f>
        <v/>
      </c>
      <c r="CH274" s="100" t="str">
        <f>IFERROR(IF(ISNUMBER($CD274),$CF274*$CG274*MIN($BG274*$BA274*$BC274*$BD274*$BH274*$BF274,'Technical Premium'!$C$17),""),"")</f>
        <v/>
      </c>
      <c r="CI274" s="100" t="str">
        <f t="shared" si="57"/>
        <v/>
      </c>
      <c r="CJ274" s="100" t="str">
        <f>IFERROR($CI274*(1+'Technical Premium'!$C$5)*(1+'Technical Premium'!$C$6),"")</f>
        <v/>
      </c>
      <c r="CK274" s="100" t="str">
        <f>IFERROR($CE274*INDEX('Territory Factors'!$G$6:$G$56,MATCH($K274,'Territory Factors'!$B$6:$B$56,0))*$AU274*$AV274,"")</f>
        <v/>
      </c>
      <c r="CL274" s="100" t="str">
        <f>IFERROR(($CJ274+$CK274)*(1+'Technical Premium'!$C$7),"")</f>
        <v/>
      </c>
      <c r="CM274" s="102" t="str">
        <f>IFERROR($CL274/'Technical Premium'!$C$13,"")</f>
        <v/>
      </c>
      <c r="CN274" s="103" t="str">
        <f t="shared" si="58"/>
        <v/>
      </c>
      <c r="CO274" s="102" t="str">
        <f t="shared" si="59"/>
        <v/>
      </c>
      <c r="CP274" s="103" t="str">
        <f t="shared" si="60"/>
        <v/>
      </c>
      <c r="CQ274" s="104" t="str">
        <f t="shared" si="61"/>
        <v/>
      </c>
      <c r="CR274" s="100" t="str">
        <f>IF(ISNUMBER($CM274),'Technical Premium'!$C$14+IF($J274&gt;=1000000,'Technical Premium'!$C$15,0),"")</f>
        <v/>
      </c>
      <c r="CS274" s="100" t="str">
        <f>IFERROR(($CO274+$CR274)*(INDEX('Territory Factors'!$K$6:$K$56,MATCH($K274,'Territory Factors'!$B$6:$B$56,0))+'Commission Structure'!$C$21),"")</f>
        <v/>
      </c>
      <c r="CT274" s="102" t="str">
        <f t="shared" si="62"/>
        <v/>
      </c>
      <c r="CU274" s="100" t="str">
        <f>IFERROR($CO274*('Commission Structure'!$C$6+'Commission Structure'!$C$7),"")</f>
        <v/>
      </c>
      <c r="CV274" s="100" t="str">
        <f>IFERROR($CO274*'Commission Structure'!$C$5-$CU274,"")</f>
        <v/>
      </c>
      <c r="CW274" s="100" t="str">
        <f>IFERROR($CO274*(1-'Commission Structure'!$C$5),"")</f>
        <v/>
      </c>
      <c r="CX274" s="105" t="str">
        <f>IF($A274="","",IF(OR($CB274="?",$CC274="?",NOT(ISNUMBER($AU274))),"CHECK INPUTS",IF(OR($J274&lt;'Technical Premium'!$C$18,LEFT(IFERROR(INDEX('Driver Factors'!$D$6:$D$15,MATCH($R274,'Driver Factors'!$B$6:$B$15,0)),""),7)="DECLINE",LEFT(IFERROR(INDEX('Driver Factors'!$D$28:$D$36,MATCH($T274,'Driver Factors'!$B$28:$B$36,0)),""),7)="DECLINE",LEFT(IFERROR(INDEX('Claims History'!$D$6:$D$15,MATCH($U274,'Claims History'!$B$6:$B$15,0)),""),7)="DECLINE",LEFT(IFERROR(INDEX('Usage and Coverage'!$E$6:$E$20,MATCH($N274,'Usage and Coverage'!$C$6:$C$20,0)),""),7)="DECLINE"),"DECLINE",IF(OR($CD274&gt;2.5,$CD274&gt;='Technical Premium'!$C$17,$J274&gt;='Technical Premium'!$C$16,N($AQ274)&lt;'Technical Premium'!$C$19,N($AQ274)&gt;'Technical Premium'!$C$20,LEFT(IFERROR(INDEX('Driver Factors'!$D$6:$D$15,MATCH($R274,'Driver Factors'!$B$6:$B$15,0)),""),5)="Refer",LEFT(IFERROR(INDEX('Driver Factors'!$D$28:$D$36,MATCH($T274,'Driver Factors'!$B$28:$B$36,0)),""),5)="Refer",LEFT(IFERROR(INDEX('Claims History'!$D$6:$D$15,MATCH($U274,'Claims History'!$B$6:$B$15,0)),""),5)="Refer",LEFT(IFERROR(INDEX('Usage and Coverage'!$E$6:$E$20,MATCH($N274,'Usage and Coverage'!$C$6:$C$20,0)),""),5)="Refer"),"REFER","AUTO-BIND"))))</f>
        <v/>
      </c>
      <c r="CY274" s="106" t="str">
        <f t="shared" si="63"/>
        <v/>
      </c>
      <c r="CZ274" s="97" t="str">
        <f>IF($CY274="","",IF($CY274&lt;'Technical Premium'!$C$19,"BEYOND AUTHORITY",IF($CY274&gt;0.005,"Above technical",IF($CY274&lt;-0.005,"BELOW technical","At technical"))))</f>
        <v/>
      </c>
      <c r="DA274" s="97" t="str">
        <f>IF($A274="","",IF($CX274="AUTO-BIND","",TRIM(IF($J274&lt;'Technical Premium'!$C$18,"Below programme minimum agreed value. ","")&amp;IF(N($AQ274)&lt;'Technical Premium'!$C$19,"DISCOUNT AUTHORITY BREACH. ","")&amp;IF(N($AQ274)&gt;'Technical Premium'!$C$20,"Load authority breach. ","")&amp;IF($J274&gt;='Technical Premium'!$C$16,"Agreed value at or above auto-bind limit. ","")&amp;IF(AND(ISNUMBER($CD274),$CD274&gt;='Technical Premium'!$C$17),"Composite factor at cap. ","")&amp;IF(AND(ISNUMBER($CD274),$CD274&gt;2.5),"Composite factor above 2.50. ","")&amp;IF(LEFT(IFERROR(INDEX('Driver Factors'!$D$6:$D$15,MATCH($R274,'Driver Factors'!$B$6:$B$15,0)),""),7)="DECLINE","DECLINE - driver age. ",IF(LEFT(IFERROR(INDEX('Driver Factors'!$D$6:$D$15,MATCH($R274,'Driver Factors'!$B$6:$B$15,0)),""),5)="Refer","Driver age band. ",""))&amp;IF(LEFT(IFERROR(INDEX('Driver Factors'!$D$28:$D$36,MATCH($T274,'Driver Factors'!$B$28:$B$36,0)),""),7)="DECLINE","DECLINE - MVR. ",IF(LEFT(IFERROR(INDEX('Driver Factors'!$D$28:$D$36,MATCH($T274,'Driver Factors'!$B$28:$B$36,0)),""),5)="Refer","MVR record. ",""))&amp;IF(LEFT(IFERROR(INDEX('Claims History'!$D$6:$D$15,MATCH($U274,'Claims History'!$B$6:$B$15,0)),""),7)="DECLINE","DECLINE - claims. ",IF(LEFT(IFERROR(INDEX('Claims History'!$D$6:$D$15,MATCH($U274,'Claims History'!$B$6:$B$15,0)),""),5)="Refer","Claims history. ",""))&amp;IF(LEFT(IFERROR(INDEX('Usage and Coverage'!$E$6:$E$20,MATCH($N274,'Usage and Coverage'!$C$6:$C$20,0)),""),7)="DECLINE","DECLINE - usage class. ",IF(LEFT(IFERROR(INDEX('Usage and Coverage'!$E$6:$E$20,MATCH($N274,'Usage and Coverage'!$C$6:$C$20,0)),""),5)="Refer","Usage class. ",""))&amp;IF($CX274="CHECK INPUTS","Incomplete inputs. ",""))))</f>
        <v/>
      </c>
      <c r="DB274" s="92"/>
      <c r="DC274" s="92"/>
      <c r="DD274" s="93"/>
      <c r="DE274" s="92"/>
      <c r="DF274" s="92"/>
      <c r="DG274" s="97" t="str">
        <f t="shared" si="64"/>
        <v/>
      </c>
      <c r="DH274" s="97" t="str">
        <f>IF($A274="","",IF(OR($CX274="REFER",$CX274="DECLINE"),COUNTIF($CX$5:$CX274,"REFER")+COUNTIF($CX$5:$CX274,"DECLINE"),""))</f>
        <v/>
      </c>
      <c r="DI274" s="92"/>
    </row>
    <row r="275" spans="1:113" x14ac:dyDescent="0.25">
      <c r="A275" s="92"/>
      <c r="B275" s="92"/>
      <c r="C275" s="93"/>
      <c r="D275" s="93"/>
      <c r="E275" s="94"/>
      <c r="F275" s="92"/>
      <c r="G275" s="92"/>
      <c r="H275" s="92"/>
      <c r="I275" s="92"/>
      <c r="J275" s="95"/>
      <c r="K275" s="92"/>
      <c r="L275" s="92"/>
      <c r="M275" s="92"/>
      <c r="N275" s="92"/>
      <c r="O275" s="92"/>
      <c r="P275" s="92"/>
      <c r="Q275" s="92"/>
      <c r="R275" s="92"/>
      <c r="S275" s="92"/>
      <c r="T275" s="92"/>
      <c r="U275" s="92"/>
      <c r="V275" s="92"/>
      <c r="W275" s="92"/>
      <c r="X275" s="92"/>
      <c r="Y275" s="92"/>
      <c r="Z275" s="92"/>
      <c r="AA275" s="92"/>
      <c r="AB275" s="92"/>
      <c r="AC275" s="92"/>
      <c r="AD275" s="92"/>
      <c r="AE275" s="92"/>
      <c r="AF275" s="92"/>
      <c r="AG275" s="92"/>
      <c r="AH275" s="92"/>
      <c r="AI275" s="92"/>
      <c r="AJ275" s="92"/>
      <c r="AK275" s="92"/>
      <c r="AL275" s="92"/>
      <c r="AM275" s="92"/>
      <c r="AN275" s="92"/>
      <c r="AO275" s="92"/>
      <c r="AP275" s="92"/>
      <c r="AQ275" s="96"/>
      <c r="AR275" s="97" t="str">
        <f t="shared" si="52"/>
        <v/>
      </c>
      <c r="AS275" s="97" t="str">
        <f>IF($A275="","",IF($AP275&lt;&gt;"",$AP275,IFERROR(INDEX('Cat Zone by ZIP'!$D$6:$D$856,MATCH($AR275,'Cat Zone by ZIP'!$B$6:$B$856,0)),IFERROR(INDEX('Cat Zone by ZIP'!$C$860:$C$910,MATCH($K275,'Cat Zone by ZIP'!$B$860:$B$910,0)),"NOT FOUND"))))</f>
        <v/>
      </c>
      <c r="AT275" s="97" t="str">
        <f>IF($A275="","",IF($AP275&lt;&gt;"","Override",IF(ISNUMBER(MATCH($AR275,'Cat Zone by ZIP'!$B$6:$B$856,0)),"ZIP-3","State default")))</f>
        <v/>
      </c>
      <c r="AU275" s="98" t="str">
        <f>IF($A275="","",IFERROR(INDEX('Natural Catastrophe'!$D$6:$D$17,MATCH($AS275,'Natural Catastrophe'!$B$6:$B$17,0)),"?"))</f>
        <v/>
      </c>
      <c r="AV275" s="98" t="str">
        <f>IF($A275="","",IFERROR(INDEX('Natural Catastrophe'!$C$21:$C$26,MATCH($AA275,'Natural Catastrophe'!$B$21:$B$26,0)),"?"))</f>
        <v/>
      </c>
      <c r="AW275" s="97" t="str">
        <f>IF($A275="","",IFERROR(INDEX('Base Rates'!$C$4:$I$4,MATCH(MAX($J275,'Technical Premium'!$C$18),'Base Rates'!$C$3:$I$3,1)),"?"))</f>
        <v/>
      </c>
      <c r="AX275" s="99" t="str">
        <f>IF($A275="","",IFERROR(INDEX('Base Rates'!$C$5:$I$16,MATCH($I275,'Base Rates'!$B$5:$B$16,0),MATCH(MAX($J275,'Technical Premium'!$C$18),'Base Rates'!$C$3:$I$3,1)),"?"))</f>
        <v/>
      </c>
      <c r="AY275" s="100" t="str">
        <f t="shared" si="53"/>
        <v/>
      </c>
      <c r="AZ275" s="97" t="str">
        <f>IF($A275="","",IFERROR(INDEX('Make Factors'!$G$5:$G$69,MATCH($F275,'Make Factors'!$B$5:$B$69,0)),"?"))</f>
        <v/>
      </c>
      <c r="BA275" s="97" t="str">
        <f>IF($A275="","",IFERROR(INDEX('Driver Factors'!$C$6:$C$15,MATCH($R275,'Driver Factors'!$B$6:$B$15,0)),"?"))</f>
        <v/>
      </c>
      <c r="BB275" s="97" t="str">
        <f>IF($A275="","",IFERROR(INDEX('Driver Factors'!$C$19:$C$24,MATCH($S275,'Driver Factors'!$B$19:$B$24,0)),"?"))</f>
        <v/>
      </c>
      <c r="BC275" s="97" t="str">
        <f>IF($A275="","",IFERROR(INDEX('Driver Factors'!$C$28:$C$36,MATCH($T275,'Driver Factors'!$B$28:$B$36,0)),"?"))</f>
        <v/>
      </c>
      <c r="BD275" s="97" t="str">
        <f>IF($A275="","",IFERROR(INDEX('Claims History'!$C$6:$C$15,MATCH($U275,'Claims History'!$B$6:$B$15,0)),"?"))</f>
        <v/>
      </c>
      <c r="BE275" s="97" t="str">
        <f>IF($A275="","",IFERROR(INDEX('Territory Factors'!$E$6:$E$56,MATCH($K275,'Territory Factors'!$B$6:$B$56,0)),"?"))</f>
        <v/>
      </c>
      <c r="BF275" s="97" t="str">
        <f>IF($A275="","",IFERROR(INDEX('City Accident Ratings'!$G$6:$G$54,MATCH($Z275,'City Accident Ratings'!$B$6:$B$54,0)),"?"))</f>
        <v/>
      </c>
      <c r="BG275" s="97" t="str">
        <f>IF($A275="","",IFERROR(INDEX('Usage and Coverage'!$D$6:$D$20,MATCH($N275,'Usage and Coverage'!$C$6:$C$20,0)),"?"))</f>
        <v/>
      </c>
      <c r="BH275" s="97" t="str">
        <f>IF($A275="","",IFERROR(INDEX('Usage and Coverage'!$C$24:$C$30,MATCH($O275,'Usage and Coverage'!$B$24:$B$30,0)),"?"))</f>
        <v/>
      </c>
      <c r="BI275" s="97" t="str">
        <f>IF($A275="","",IFERROR(INDEX('Usage and Coverage'!$C$34:$C$40,MATCH($P275,'Usage and Coverage'!$B$34:$B$40,0)),"?"))</f>
        <v/>
      </c>
      <c r="BJ275" s="97" t="str">
        <f>IF($A275="","",IFERROR(INDEX('Usage and Coverage'!$C$44:$C$49,MATCH($Q275,'Usage and Coverage'!$B$44:$B$49,0)),"?"))</f>
        <v/>
      </c>
      <c r="BK275" s="97" t="str">
        <f>IF($A275="","",IFERROR(INDEX(Deductibles!$C$6:$I$15,MATCH($W275,Deductibles!$B$6:$B$15,0),MATCH(MAX($J275,'Technical Premium'!$C$18),'Base Rates'!$C$3:$I$3,1)),"?"))</f>
        <v/>
      </c>
      <c r="BL275" s="97" t="str">
        <f>IF($A275="","",IFERROR(INDEX('Usage and Coverage'!$C$63:$C$66,MATCH($X275,'Usage and Coverage'!$B$63:$B$66,0)),"?"))</f>
        <v/>
      </c>
      <c r="BM275" s="97" t="str">
        <f>IF($A275="","",IFERROR(INDEX('Usage and Coverage'!$C$70:$C$75,MATCH($V275,'Usage and Coverage'!$B$70:$B$75,0)),"?"))</f>
        <v/>
      </c>
      <c r="BN275" s="97" t="str">
        <f>IF($A275="","",IF($AB275="",1,IFERROR(INDEX(Deductibles!$C$48:$C$51,MATCH($AB275,Deductibles!$B$48:$B$51,0)),"?")))</f>
        <v/>
      </c>
      <c r="BO275" s="97" t="str">
        <f>IF($A275="","",IF($AC275="",1,IFERROR(INDEX(Deductibles!$C$55:$C$57,MATCH($AC275,Deductibles!$B$55:$B$57,0)),"?")))</f>
        <v/>
      </c>
      <c r="BP275" s="97" t="str">
        <f>IF($A275="","",IF($AD275="",1,IFERROR(INDEX(Deductibles!$C$61:$C$63,MATCH($AD275,Deductibles!$B$61:$B$63,0)),"?")))</f>
        <v/>
      </c>
      <c r="BQ275" s="97" t="str">
        <f>IF($A275="","",IF($AE275="",1,IFERROR(INDEX(Deductibles!$C$67:$C$69,MATCH($AE275,Deductibles!$B$67:$B$69,0)),"?")))</f>
        <v/>
      </c>
      <c r="BR275" s="97" t="str">
        <f>IF($A275="","",IF($AF275="",1,IFERROR(INDEX(Deductibles!$C$73:$C$74,MATCH($AF275,Deductibles!$B$73:$B$74,0)),"?")))</f>
        <v/>
      </c>
      <c r="BS275" s="97" t="str">
        <f>IF($A275="","",IF($AG275="",1,IFERROR(INDEX('Sublimits and Parts'!$C$49:$C$52,MATCH($AG275,'Sublimits and Parts'!$B$49:$B$52,0)),"?")))</f>
        <v/>
      </c>
      <c r="BT275" s="97" t="str">
        <f>IF($A275="","",IF($AH275="",1,IFERROR(INDEX('Sublimits and Parts'!$C$56:$C$60,MATCH($AH275,'Sublimits and Parts'!$B$56:$B$60,0)),"?")))</f>
        <v/>
      </c>
      <c r="BU275" s="97" t="str">
        <f>IF($A275="","",IF($AI275="",1,IFERROR(INDEX('Sublimits and Parts'!$C$64:$C$67,MATCH($AI275,'Sublimits and Parts'!$B$64:$B$67,0)),"?")))</f>
        <v/>
      </c>
      <c r="BV275" s="97" t="str">
        <f>IF($A275="","",IF($AJ275="",1,IFERROR(INDEX('Sublimits and Parts'!$C$71:$C$74,MATCH($AJ275,'Sublimits and Parts'!$B$71:$B$74,0)),"?")))</f>
        <v/>
      </c>
      <c r="BW275" s="97" t="str">
        <f>IF($A275="","",IF($AK275="",1,IFERROR(INDEX('Sublimits and Parts'!$C$78:$C$80,MATCH($AK275,'Sublimits and Parts'!$B$78:$B$80,0)),"?")))</f>
        <v/>
      </c>
      <c r="BX275" s="97" t="str">
        <f>IF($A275="","",IF($AL275="",1,IFERROR(INDEX('Sublimits and Parts'!$C$84:$C$87,MATCH($AL275,'Sublimits and Parts'!$B$84:$B$87,0)),"?")))</f>
        <v/>
      </c>
      <c r="BY275" s="97" t="str">
        <f>IF($A275="","",IF($AM275="",1,IFERROR(INDEX('Sublimits and Parts'!$C$91:$C$94,MATCH($AM275,'Sublimits and Parts'!$B$91:$B$94,0)),"?")))</f>
        <v/>
      </c>
      <c r="BZ275" s="97" t="str">
        <f>IF($A275="","",IF($AN275="",1,IFERROR(INDEX('Sublimits and Parts'!$C$98:$C$101,MATCH($AN275,'Sublimits and Parts'!$B$98:$B$101,0)),"?")))</f>
        <v/>
      </c>
      <c r="CA275" s="97" t="str">
        <f>IF($A275="","",IF($AO275="",1,IFERROR(INDEX('Sublimits and Parts'!$C$105:$C$109,MATCH($AO275,'Sublimits and Parts'!$B$105:$B$109,0)),"?")))</f>
        <v/>
      </c>
      <c r="CB275" s="98" t="str">
        <f t="shared" si="54"/>
        <v/>
      </c>
      <c r="CC275" s="98" t="str">
        <f t="shared" si="55"/>
        <v/>
      </c>
      <c r="CD275" s="101" t="str">
        <f>IF($A275="","",IF(OR($CB275="?",$CC275="?"),"?",MIN($CB275*$CC275,'Technical Premium'!$C$17)))</f>
        <v/>
      </c>
      <c r="CE275" s="100" t="str">
        <f t="shared" si="56"/>
        <v/>
      </c>
      <c r="CF275" s="100" t="str">
        <f>IF($A275="","",IFERROR(INDEX('Territory Factors'!$F$6:$F$56,MATCH($K275,'Territory Factors'!$B$6:$B$56,0)),"?"))</f>
        <v/>
      </c>
      <c r="CG275" s="98" t="str">
        <f>IF($A275="","",IFERROR(INDEX('Usage and Coverage'!$C$79:$C$84,MATCH($Y275,'Usage and Coverage'!$B$79:$B$84,0)),"?"))</f>
        <v/>
      </c>
      <c r="CH275" s="100" t="str">
        <f>IFERROR(IF(ISNUMBER($CD275),$CF275*$CG275*MIN($BG275*$BA275*$BC275*$BD275*$BH275*$BF275,'Technical Premium'!$C$17),""),"")</f>
        <v/>
      </c>
      <c r="CI275" s="100" t="str">
        <f t="shared" si="57"/>
        <v/>
      </c>
      <c r="CJ275" s="100" t="str">
        <f>IFERROR($CI275*(1+'Technical Premium'!$C$5)*(1+'Technical Premium'!$C$6),"")</f>
        <v/>
      </c>
      <c r="CK275" s="100" t="str">
        <f>IFERROR($CE275*INDEX('Territory Factors'!$G$6:$G$56,MATCH($K275,'Territory Factors'!$B$6:$B$56,0))*$AU275*$AV275,"")</f>
        <v/>
      </c>
      <c r="CL275" s="100" t="str">
        <f>IFERROR(($CJ275+$CK275)*(1+'Technical Premium'!$C$7),"")</f>
        <v/>
      </c>
      <c r="CM275" s="102" t="str">
        <f>IFERROR($CL275/'Technical Premium'!$C$13,"")</f>
        <v/>
      </c>
      <c r="CN275" s="103" t="str">
        <f t="shared" si="58"/>
        <v/>
      </c>
      <c r="CO275" s="102" t="str">
        <f t="shared" si="59"/>
        <v/>
      </c>
      <c r="CP275" s="103" t="str">
        <f t="shared" si="60"/>
        <v/>
      </c>
      <c r="CQ275" s="104" t="str">
        <f t="shared" si="61"/>
        <v/>
      </c>
      <c r="CR275" s="100" t="str">
        <f>IF(ISNUMBER($CM275),'Technical Premium'!$C$14+IF($J275&gt;=1000000,'Technical Premium'!$C$15,0),"")</f>
        <v/>
      </c>
      <c r="CS275" s="100" t="str">
        <f>IFERROR(($CO275+$CR275)*(INDEX('Territory Factors'!$K$6:$K$56,MATCH($K275,'Territory Factors'!$B$6:$B$56,0))+'Commission Structure'!$C$21),"")</f>
        <v/>
      </c>
      <c r="CT275" s="102" t="str">
        <f t="shared" si="62"/>
        <v/>
      </c>
      <c r="CU275" s="100" t="str">
        <f>IFERROR($CO275*('Commission Structure'!$C$6+'Commission Structure'!$C$7),"")</f>
        <v/>
      </c>
      <c r="CV275" s="100" t="str">
        <f>IFERROR($CO275*'Commission Structure'!$C$5-$CU275,"")</f>
        <v/>
      </c>
      <c r="CW275" s="100" t="str">
        <f>IFERROR($CO275*(1-'Commission Structure'!$C$5),"")</f>
        <v/>
      </c>
      <c r="CX275" s="105" t="str">
        <f>IF($A275="","",IF(OR($CB275="?",$CC275="?",NOT(ISNUMBER($AU275))),"CHECK INPUTS",IF(OR($J275&lt;'Technical Premium'!$C$18,LEFT(IFERROR(INDEX('Driver Factors'!$D$6:$D$15,MATCH($R275,'Driver Factors'!$B$6:$B$15,0)),""),7)="DECLINE",LEFT(IFERROR(INDEX('Driver Factors'!$D$28:$D$36,MATCH($T275,'Driver Factors'!$B$28:$B$36,0)),""),7)="DECLINE",LEFT(IFERROR(INDEX('Claims History'!$D$6:$D$15,MATCH($U275,'Claims History'!$B$6:$B$15,0)),""),7)="DECLINE",LEFT(IFERROR(INDEX('Usage and Coverage'!$E$6:$E$20,MATCH($N275,'Usage and Coverage'!$C$6:$C$20,0)),""),7)="DECLINE"),"DECLINE",IF(OR($CD275&gt;2.5,$CD275&gt;='Technical Premium'!$C$17,$J275&gt;='Technical Premium'!$C$16,N($AQ275)&lt;'Technical Premium'!$C$19,N($AQ275)&gt;'Technical Premium'!$C$20,LEFT(IFERROR(INDEX('Driver Factors'!$D$6:$D$15,MATCH($R275,'Driver Factors'!$B$6:$B$15,0)),""),5)="Refer",LEFT(IFERROR(INDEX('Driver Factors'!$D$28:$D$36,MATCH($T275,'Driver Factors'!$B$28:$B$36,0)),""),5)="Refer",LEFT(IFERROR(INDEX('Claims History'!$D$6:$D$15,MATCH($U275,'Claims History'!$B$6:$B$15,0)),""),5)="Refer",LEFT(IFERROR(INDEX('Usage and Coverage'!$E$6:$E$20,MATCH($N275,'Usage and Coverage'!$C$6:$C$20,0)),""),5)="Refer"),"REFER","AUTO-BIND"))))</f>
        <v/>
      </c>
      <c r="CY275" s="106" t="str">
        <f t="shared" si="63"/>
        <v/>
      </c>
      <c r="CZ275" s="97" t="str">
        <f>IF($CY275="","",IF($CY275&lt;'Technical Premium'!$C$19,"BEYOND AUTHORITY",IF($CY275&gt;0.005,"Above technical",IF($CY275&lt;-0.005,"BELOW technical","At technical"))))</f>
        <v/>
      </c>
      <c r="DA275" s="97" t="str">
        <f>IF($A275="","",IF($CX275="AUTO-BIND","",TRIM(IF($J275&lt;'Technical Premium'!$C$18,"Below programme minimum agreed value. ","")&amp;IF(N($AQ275)&lt;'Technical Premium'!$C$19,"DISCOUNT AUTHORITY BREACH. ","")&amp;IF(N($AQ275)&gt;'Technical Premium'!$C$20,"Load authority breach. ","")&amp;IF($J275&gt;='Technical Premium'!$C$16,"Agreed value at or above auto-bind limit. ","")&amp;IF(AND(ISNUMBER($CD275),$CD275&gt;='Technical Premium'!$C$17),"Composite factor at cap. ","")&amp;IF(AND(ISNUMBER($CD275),$CD275&gt;2.5),"Composite factor above 2.50. ","")&amp;IF(LEFT(IFERROR(INDEX('Driver Factors'!$D$6:$D$15,MATCH($R275,'Driver Factors'!$B$6:$B$15,0)),""),7)="DECLINE","DECLINE - driver age. ",IF(LEFT(IFERROR(INDEX('Driver Factors'!$D$6:$D$15,MATCH($R275,'Driver Factors'!$B$6:$B$15,0)),""),5)="Refer","Driver age band. ",""))&amp;IF(LEFT(IFERROR(INDEX('Driver Factors'!$D$28:$D$36,MATCH($T275,'Driver Factors'!$B$28:$B$36,0)),""),7)="DECLINE","DECLINE - MVR. ",IF(LEFT(IFERROR(INDEX('Driver Factors'!$D$28:$D$36,MATCH($T275,'Driver Factors'!$B$28:$B$36,0)),""),5)="Refer","MVR record. ",""))&amp;IF(LEFT(IFERROR(INDEX('Claims History'!$D$6:$D$15,MATCH($U275,'Claims History'!$B$6:$B$15,0)),""),7)="DECLINE","DECLINE - claims. ",IF(LEFT(IFERROR(INDEX('Claims History'!$D$6:$D$15,MATCH($U275,'Claims History'!$B$6:$B$15,0)),""),5)="Refer","Claims history. ",""))&amp;IF(LEFT(IFERROR(INDEX('Usage and Coverage'!$E$6:$E$20,MATCH($N275,'Usage and Coverage'!$C$6:$C$20,0)),""),7)="DECLINE","DECLINE - usage class. ",IF(LEFT(IFERROR(INDEX('Usage and Coverage'!$E$6:$E$20,MATCH($N275,'Usage and Coverage'!$C$6:$C$20,0)),""),5)="Refer","Usage class. ",""))&amp;IF($CX275="CHECK INPUTS","Incomplete inputs. ",""))))</f>
        <v/>
      </c>
      <c r="DB275" s="92"/>
      <c r="DC275" s="92"/>
      <c r="DD275" s="93"/>
      <c r="DE275" s="92"/>
      <c r="DF275" s="92"/>
      <c r="DG275" s="97" t="str">
        <f t="shared" si="64"/>
        <v/>
      </c>
      <c r="DH275" s="97" t="str">
        <f>IF($A275="","",IF(OR($CX275="REFER",$CX275="DECLINE"),COUNTIF($CX$5:$CX275,"REFER")+COUNTIF($CX$5:$CX275,"DECLINE"),""))</f>
        <v/>
      </c>
      <c r="DI275" s="92"/>
    </row>
    <row r="276" spans="1:113" x14ac:dyDescent="0.25">
      <c r="A276" s="92"/>
      <c r="B276" s="92"/>
      <c r="C276" s="93"/>
      <c r="D276" s="93"/>
      <c r="E276" s="94"/>
      <c r="F276" s="92"/>
      <c r="G276" s="92"/>
      <c r="H276" s="92"/>
      <c r="I276" s="92"/>
      <c r="J276" s="95"/>
      <c r="K276" s="92"/>
      <c r="L276" s="92"/>
      <c r="M276" s="92"/>
      <c r="N276" s="92"/>
      <c r="O276" s="92"/>
      <c r="P276" s="92"/>
      <c r="Q276" s="92"/>
      <c r="R276" s="92"/>
      <c r="S276" s="92"/>
      <c r="T276" s="92"/>
      <c r="U276" s="92"/>
      <c r="V276" s="92"/>
      <c r="W276" s="92"/>
      <c r="X276" s="92"/>
      <c r="Y276" s="92"/>
      <c r="Z276" s="92"/>
      <c r="AA276" s="92"/>
      <c r="AB276" s="92"/>
      <c r="AC276" s="92"/>
      <c r="AD276" s="92"/>
      <c r="AE276" s="92"/>
      <c r="AF276" s="92"/>
      <c r="AG276" s="92"/>
      <c r="AH276" s="92"/>
      <c r="AI276" s="92"/>
      <c r="AJ276" s="92"/>
      <c r="AK276" s="92"/>
      <c r="AL276" s="92"/>
      <c r="AM276" s="92"/>
      <c r="AN276" s="92"/>
      <c r="AO276" s="92"/>
      <c r="AP276" s="92"/>
      <c r="AQ276" s="96"/>
      <c r="AR276" s="97" t="str">
        <f t="shared" si="52"/>
        <v/>
      </c>
      <c r="AS276" s="97" t="str">
        <f>IF($A276="","",IF($AP276&lt;&gt;"",$AP276,IFERROR(INDEX('Cat Zone by ZIP'!$D$6:$D$856,MATCH($AR276,'Cat Zone by ZIP'!$B$6:$B$856,0)),IFERROR(INDEX('Cat Zone by ZIP'!$C$860:$C$910,MATCH($K276,'Cat Zone by ZIP'!$B$860:$B$910,0)),"NOT FOUND"))))</f>
        <v/>
      </c>
      <c r="AT276" s="97" t="str">
        <f>IF($A276="","",IF($AP276&lt;&gt;"","Override",IF(ISNUMBER(MATCH($AR276,'Cat Zone by ZIP'!$B$6:$B$856,0)),"ZIP-3","State default")))</f>
        <v/>
      </c>
      <c r="AU276" s="98" t="str">
        <f>IF($A276="","",IFERROR(INDEX('Natural Catastrophe'!$D$6:$D$17,MATCH($AS276,'Natural Catastrophe'!$B$6:$B$17,0)),"?"))</f>
        <v/>
      </c>
      <c r="AV276" s="98" t="str">
        <f>IF($A276="","",IFERROR(INDEX('Natural Catastrophe'!$C$21:$C$26,MATCH($AA276,'Natural Catastrophe'!$B$21:$B$26,0)),"?"))</f>
        <v/>
      </c>
      <c r="AW276" s="97" t="str">
        <f>IF($A276="","",IFERROR(INDEX('Base Rates'!$C$4:$I$4,MATCH(MAX($J276,'Technical Premium'!$C$18),'Base Rates'!$C$3:$I$3,1)),"?"))</f>
        <v/>
      </c>
      <c r="AX276" s="99" t="str">
        <f>IF($A276="","",IFERROR(INDEX('Base Rates'!$C$5:$I$16,MATCH($I276,'Base Rates'!$B$5:$B$16,0),MATCH(MAX($J276,'Technical Premium'!$C$18),'Base Rates'!$C$3:$I$3,1)),"?"))</f>
        <v/>
      </c>
      <c r="AY276" s="100" t="str">
        <f t="shared" si="53"/>
        <v/>
      </c>
      <c r="AZ276" s="97" t="str">
        <f>IF($A276="","",IFERROR(INDEX('Make Factors'!$G$5:$G$69,MATCH($F276,'Make Factors'!$B$5:$B$69,0)),"?"))</f>
        <v/>
      </c>
      <c r="BA276" s="97" t="str">
        <f>IF($A276="","",IFERROR(INDEX('Driver Factors'!$C$6:$C$15,MATCH($R276,'Driver Factors'!$B$6:$B$15,0)),"?"))</f>
        <v/>
      </c>
      <c r="BB276" s="97" t="str">
        <f>IF($A276="","",IFERROR(INDEX('Driver Factors'!$C$19:$C$24,MATCH($S276,'Driver Factors'!$B$19:$B$24,0)),"?"))</f>
        <v/>
      </c>
      <c r="BC276" s="97" t="str">
        <f>IF($A276="","",IFERROR(INDEX('Driver Factors'!$C$28:$C$36,MATCH($T276,'Driver Factors'!$B$28:$B$36,0)),"?"))</f>
        <v/>
      </c>
      <c r="BD276" s="97" t="str">
        <f>IF($A276="","",IFERROR(INDEX('Claims History'!$C$6:$C$15,MATCH($U276,'Claims History'!$B$6:$B$15,0)),"?"))</f>
        <v/>
      </c>
      <c r="BE276" s="97" t="str">
        <f>IF($A276="","",IFERROR(INDEX('Territory Factors'!$E$6:$E$56,MATCH($K276,'Territory Factors'!$B$6:$B$56,0)),"?"))</f>
        <v/>
      </c>
      <c r="BF276" s="97" t="str">
        <f>IF($A276="","",IFERROR(INDEX('City Accident Ratings'!$G$6:$G$54,MATCH($Z276,'City Accident Ratings'!$B$6:$B$54,0)),"?"))</f>
        <v/>
      </c>
      <c r="BG276" s="97" t="str">
        <f>IF($A276="","",IFERROR(INDEX('Usage and Coverage'!$D$6:$D$20,MATCH($N276,'Usage and Coverage'!$C$6:$C$20,0)),"?"))</f>
        <v/>
      </c>
      <c r="BH276" s="97" t="str">
        <f>IF($A276="","",IFERROR(INDEX('Usage and Coverage'!$C$24:$C$30,MATCH($O276,'Usage and Coverage'!$B$24:$B$30,0)),"?"))</f>
        <v/>
      </c>
      <c r="BI276" s="97" t="str">
        <f>IF($A276="","",IFERROR(INDEX('Usage and Coverage'!$C$34:$C$40,MATCH($P276,'Usage and Coverage'!$B$34:$B$40,0)),"?"))</f>
        <v/>
      </c>
      <c r="BJ276" s="97" t="str">
        <f>IF($A276="","",IFERROR(INDEX('Usage and Coverage'!$C$44:$C$49,MATCH($Q276,'Usage and Coverage'!$B$44:$B$49,0)),"?"))</f>
        <v/>
      </c>
      <c r="BK276" s="97" t="str">
        <f>IF($A276="","",IFERROR(INDEX(Deductibles!$C$6:$I$15,MATCH($W276,Deductibles!$B$6:$B$15,0),MATCH(MAX($J276,'Technical Premium'!$C$18),'Base Rates'!$C$3:$I$3,1)),"?"))</f>
        <v/>
      </c>
      <c r="BL276" s="97" t="str">
        <f>IF($A276="","",IFERROR(INDEX('Usage and Coverage'!$C$63:$C$66,MATCH($X276,'Usage and Coverage'!$B$63:$B$66,0)),"?"))</f>
        <v/>
      </c>
      <c r="BM276" s="97" t="str">
        <f>IF($A276="","",IFERROR(INDEX('Usage and Coverage'!$C$70:$C$75,MATCH($V276,'Usage and Coverage'!$B$70:$B$75,0)),"?"))</f>
        <v/>
      </c>
      <c r="BN276" s="97" t="str">
        <f>IF($A276="","",IF($AB276="",1,IFERROR(INDEX(Deductibles!$C$48:$C$51,MATCH($AB276,Deductibles!$B$48:$B$51,0)),"?")))</f>
        <v/>
      </c>
      <c r="BO276" s="97" t="str">
        <f>IF($A276="","",IF($AC276="",1,IFERROR(INDEX(Deductibles!$C$55:$C$57,MATCH($AC276,Deductibles!$B$55:$B$57,0)),"?")))</f>
        <v/>
      </c>
      <c r="BP276" s="97" t="str">
        <f>IF($A276="","",IF($AD276="",1,IFERROR(INDEX(Deductibles!$C$61:$C$63,MATCH($AD276,Deductibles!$B$61:$B$63,0)),"?")))</f>
        <v/>
      </c>
      <c r="BQ276" s="97" t="str">
        <f>IF($A276="","",IF($AE276="",1,IFERROR(INDEX(Deductibles!$C$67:$C$69,MATCH($AE276,Deductibles!$B$67:$B$69,0)),"?")))</f>
        <v/>
      </c>
      <c r="BR276" s="97" t="str">
        <f>IF($A276="","",IF($AF276="",1,IFERROR(INDEX(Deductibles!$C$73:$C$74,MATCH($AF276,Deductibles!$B$73:$B$74,0)),"?")))</f>
        <v/>
      </c>
      <c r="BS276" s="97" t="str">
        <f>IF($A276="","",IF($AG276="",1,IFERROR(INDEX('Sublimits and Parts'!$C$49:$C$52,MATCH($AG276,'Sublimits and Parts'!$B$49:$B$52,0)),"?")))</f>
        <v/>
      </c>
      <c r="BT276" s="97" t="str">
        <f>IF($A276="","",IF($AH276="",1,IFERROR(INDEX('Sublimits and Parts'!$C$56:$C$60,MATCH($AH276,'Sublimits and Parts'!$B$56:$B$60,0)),"?")))</f>
        <v/>
      </c>
      <c r="BU276" s="97" t="str">
        <f>IF($A276="","",IF($AI276="",1,IFERROR(INDEX('Sublimits and Parts'!$C$64:$C$67,MATCH($AI276,'Sublimits and Parts'!$B$64:$B$67,0)),"?")))</f>
        <v/>
      </c>
      <c r="BV276" s="97" t="str">
        <f>IF($A276="","",IF($AJ276="",1,IFERROR(INDEX('Sublimits and Parts'!$C$71:$C$74,MATCH($AJ276,'Sublimits and Parts'!$B$71:$B$74,0)),"?")))</f>
        <v/>
      </c>
      <c r="BW276" s="97" t="str">
        <f>IF($A276="","",IF($AK276="",1,IFERROR(INDEX('Sublimits and Parts'!$C$78:$C$80,MATCH($AK276,'Sublimits and Parts'!$B$78:$B$80,0)),"?")))</f>
        <v/>
      </c>
      <c r="BX276" s="97" t="str">
        <f>IF($A276="","",IF($AL276="",1,IFERROR(INDEX('Sublimits and Parts'!$C$84:$C$87,MATCH($AL276,'Sublimits and Parts'!$B$84:$B$87,0)),"?")))</f>
        <v/>
      </c>
      <c r="BY276" s="97" t="str">
        <f>IF($A276="","",IF($AM276="",1,IFERROR(INDEX('Sublimits and Parts'!$C$91:$C$94,MATCH($AM276,'Sublimits and Parts'!$B$91:$B$94,0)),"?")))</f>
        <v/>
      </c>
      <c r="BZ276" s="97" t="str">
        <f>IF($A276="","",IF($AN276="",1,IFERROR(INDEX('Sublimits and Parts'!$C$98:$C$101,MATCH($AN276,'Sublimits and Parts'!$B$98:$B$101,0)),"?")))</f>
        <v/>
      </c>
      <c r="CA276" s="97" t="str">
        <f>IF($A276="","",IF($AO276="",1,IFERROR(INDEX('Sublimits and Parts'!$C$105:$C$109,MATCH($AO276,'Sublimits and Parts'!$B$105:$B$109,0)),"?")))</f>
        <v/>
      </c>
      <c r="CB276" s="98" t="str">
        <f t="shared" si="54"/>
        <v/>
      </c>
      <c r="CC276" s="98" t="str">
        <f t="shared" si="55"/>
        <v/>
      </c>
      <c r="CD276" s="101" t="str">
        <f>IF($A276="","",IF(OR($CB276="?",$CC276="?"),"?",MIN($CB276*$CC276,'Technical Premium'!$C$17)))</f>
        <v/>
      </c>
      <c r="CE276" s="100" t="str">
        <f t="shared" si="56"/>
        <v/>
      </c>
      <c r="CF276" s="100" t="str">
        <f>IF($A276="","",IFERROR(INDEX('Territory Factors'!$F$6:$F$56,MATCH($K276,'Territory Factors'!$B$6:$B$56,0)),"?"))</f>
        <v/>
      </c>
      <c r="CG276" s="98" t="str">
        <f>IF($A276="","",IFERROR(INDEX('Usage and Coverage'!$C$79:$C$84,MATCH($Y276,'Usage and Coverage'!$B$79:$B$84,0)),"?"))</f>
        <v/>
      </c>
      <c r="CH276" s="100" t="str">
        <f>IFERROR(IF(ISNUMBER($CD276),$CF276*$CG276*MIN($BG276*$BA276*$BC276*$BD276*$BH276*$BF276,'Technical Premium'!$C$17),""),"")</f>
        <v/>
      </c>
      <c r="CI276" s="100" t="str">
        <f t="shared" si="57"/>
        <v/>
      </c>
      <c r="CJ276" s="100" t="str">
        <f>IFERROR($CI276*(1+'Technical Premium'!$C$5)*(1+'Technical Premium'!$C$6),"")</f>
        <v/>
      </c>
      <c r="CK276" s="100" t="str">
        <f>IFERROR($CE276*INDEX('Territory Factors'!$G$6:$G$56,MATCH($K276,'Territory Factors'!$B$6:$B$56,0))*$AU276*$AV276,"")</f>
        <v/>
      </c>
      <c r="CL276" s="100" t="str">
        <f>IFERROR(($CJ276+$CK276)*(1+'Technical Premium'!$C$7),"")</f>
        <v/>
      </c>
      <c r="CM276" s="102" t="str">
        <f>IFERROR($CL276/'Technical Premium'!$C$13,"")</f>
        <v/>
      </c>
      <c r="CN276" s="103" t="str">
        <f t="shared" si="58"/>
        <v/>
      </c>
      <c r="CO276" s="102" t="str">
        <f t="shared" si="59"/>
        <v/>
      </c>
      <c r="CP276" s="103" t="str">
        <f t="shared" si="60"/>
        <v/>
      </c>
      <c r="CQ276" s="104" t="str">
        <f t="shared" si="61"/>
        <v/>
      </c>
      <c r="CR276" s="100" t="str">
        <f>IF(ISNUMBER($CM276),'Technical Premium'!$C$14+IF($J276&gt;=1000000,'Technical Premium'!$C$15,0),"")</f>
        <v/>
      </c>
      <c r="CS276" s="100" t="str">
        <f>IFERROR(($CO276+$CR276)*(INDEX('Territory Factors'!$K$6:$K$56,MATCH($K276,'Territory Factors'!$B$6:$B$56,0))+'Commission Structure'!$C$21),"")</f>
        <v/>
      </c>
      <c r="CT276" s="102" t="str">
        <f t="shared" si="62"/>
        <v/>
      </c>
      <c r="CU276" s="100" t="str">
        <f>IFERROR($CO276*('Commission Structure'!$C$6+'Commission Structure'!$C$7),"")</f>
        <v/>
      </c>
      <c r="CV276" s="100" t="str">
        <f>IFERROR($CO276*'Commission Structure'!$C$5-$CU276,"")</f>
        <v/>
      </c>
      <c r="CW276" s="100" t="str">
        <f>IFERROR($CO276*(1-'Commission Structure'!$C$5),"")</f>
        <v/>
      </c>
      <c r="CX276" s="105" t="str">
        <f>IF($A276="","",IF(OR($CB276="?",$CC276="?",NOT(ISNUMBER($AU276))),"CHECK INPUTS",IF(OR($J276&lt;'Technical Premium'!$C$18,LEFT(IFERROR(INDEX('Driver Factors'!$D$6:$D$15,MATCH($R276,'Driver Factors'!$B$6:$B$15,0)),""),7)="DECLINE",LEFT(IFERROR(INDEX('Driver Factors'!$D$28:$D$36,MATCH($T276,'Driver Factors'!$B$28:$B$36,0)),""),7)="DECLINE",LEFT(IFERROR(INDEX('Claims History'!$D$6:$D$15,MATCH($U276,'Claims History'!$B$6:$B$15,0)),""),7)="DECLINE",LEFT(IFERROR(INDEX('Usage and Coverage'!$E$6:$E$20,MATCH($N276,'Usage and Coverage'!$C$6:$C$20,0)),""),7)="DECLINE"),"DECLINE",IF(OR($CD276&gt;2.5,$CD276&gt;='Technical Premium'!$C$17,$J276&gt;='Technical Premium'!$C$16,N($AQ276)&lt;'Technical Premium'!$C$19,N($AQ276)&gt;'Technical Premium'!$C$20,LEFT(IFERROR(INDEX('Driver Factors'!$D$6:$D$15,MATCH($R276,'Driver Factors'!$B$6:$B$15,0)),""),5)="Refer",LEFT(IFERROR(INDEX('Driver Factors'!$D$28:$D$36,MATCH($T276,'Driver Factors'!$B$28:$B$36,0)),""),5)="Refer",LEFT(IFERROR(INDEX('Claims History'!$D$6:$D$15,MATCH($U276,'Claims History'!$B$6:$B$15,0)),""),5)="Refer",LEFT(IFERROR(INDEX('Usage and Coverage'!$E$6:$E$20,MATCH($N276,'Usage and Coverage'!$C$6:$C$20,0)),""),5)="Refer"),"REFER","AUTO-BIND"))))</f>
        <v/>
      </c>
      <c r="CY276" s="106" t="str">
        <f t="shared" si="63"/>
        <v/>
      </c>
      <c r="CZ276" s="97" t="str">
        <f>IF($CY276="","",IF($CY276&lt;'Technical Premium'!$C$19,"BEYOND AUTHORITY",IF($CY276&gt;0.005,"Above technical",IF($CY276&lt;-0.005,"BELOW technical","At technical"))))</f>
        <v/>
      </c>
      <c r="DA276" s="97" t="str">
        <f>IF($A276="","",IF($CX276="AUTO-BIND","",TRIM(IF($J276&lt;'Technical Premium'!$C$18,"Below programme minimum agreed value. ","")&amp;IF(N($AQ276)&lt;'Technical Premium'!$C$19,"DISCOUNT AUTHORITY BREACH. ","")&amp;IF(N($AQ276)&gt;'Technical Premium'!$C$20,"Load authority breach. ","")&amp;IF($J276&gt;='Technical Premium'!$C$16,"Agreed value at or above auto-bind limit. ","")&amp;IF(AND(ISNUMBER($CD276),$CD276&gt;='Technical Premium'!$C$17),"Composite factor at cap. ","")&amp;IF(AND(ISNUMBER($CD276),$CD276&gt;2.5),"Composite factor above 2.50. ","")&amp;IF(LEFT(IFERROR(INDEX('Driver Factors'!$D$6:$D$15,MATCH($R276,'Driver Factors'!$B$6:$B$15,0)),""),7)="DECLINE","DECLINE - driver age. ",IF(LEFT(IFERROR(INDEX('Driver Factors'!$D$6:$D$15,MATCH($R276,'Driver Factors'!$B$6:$B$15,0)),""),5)="Refer","Driver age band. ",""))&amp;IF(LEFT(IFERROR(INDEX('Driver Factors'!$D$28:$D$36,MATCH($T276,'Driver Factors'!$B$28:$B$36,0)),""),7)="DECLINE","DECLINE - MVR. ",IF(LEFT(IFERROR(INDEX('Driver Factors'!$D$28:$D$36,MATCH($T276,'Driver Factors'!$B$28:$B$36,0)),""),5)="Refer","MVR record. ",""))&amp;IF(LEFT(IFERROR(INDEX('Claims History'!$D$6:$D$15,MATCH($U276,'Claims History'!$B$6:$B$15,0)),""),7)="DECLINE","DECLINE - claims. ",IF(LEFT(IFERROR(INDEX('Claims History'!$D$6:$D$15,MATCH($U276,'Claims History'!$B$6:$B$15,0)),""),5)="Refer","Claims history. ",""))&amp;IF(LEFT(IFERROR(INDEX('Usage and Coverage'!$E$6:$E$20,MATCH($N276,'Usage and Coverage'!$C$6:$C$20,0)),""),7)="DECLINE","DECLINE - usage class. ",IF(LEFT(IFERROR(INDEX('Usage and Coverage'!$E$6:$E$20,MATCH($N276,'Usage and Coverage'!$C$6:$C$20,0)),""),5)="Refer","Usage class. ",""))&amp;IF($CX276="CHECK INPUTS","Incomplete inputs. ",""))))</f>
        <v/>
      </c>
      <c r="DB276" s="92"/>
      <c r="DC276" s="92"/>
      <c r="DD276" s="93"/>
      <c r="DE276" s="92"/>
      <c r="DF276" s="92"/>
      <c r="DG276" s="97" t="str">
        <f t="shared" si="64"/>
        <v/>
      </c>
      <c r="DH276" s="97" t="str">
        <f>IF($A276="","",IF(OR($CX276="REFER",$CX276="DECLINE"),COUNTIF($CX$5:$CX276,"REFER")+COUNTIF($CX$5:$CX276,"DECLINE"),""))</f>
        <v/>
      </c>
      <c r="DI276" s="92"/>
    </row>
    <row r="277" spans="1:113" x14ac:dyDescent="0.25">
      <c r="A277" s="92"/>
      <c r="B277" s="92"/>
      <c r="C277" s="93"/>
      <c r="D277" s="93"/>
      <c r="E277" s="94"/>
      <c r="F277" s="92"/>
      <c r="G277" s="92"/>
      <c r="H277" s="92"/>
      <c r="I277" s="92"/>
      <c r="J277" s="95"/>
      <c r="K277" s="92"/>
      <c r="L277" s="92"/>
      <c r="M277" s="92"/>
      <c r="N277" s="92"/>
      <c r="O277" s="92"/>
      <c r="P277" s="92"/>
      <c r="Q277" s="92"/>
      <c r="R277" s="92"/>
      <c r="S277" s="92"/>
      <c r="T277" s="92"/>
      <c r="U277" s="92"/>
      <c r="V277" s="92"/>
      <c r="W277" s="92"/>
      <c r="X277" s="92"/>
      <c r="Y277" s="92"/>
      <c r="Z277" s="92"/>
      <c r="AA277" s="92"/>
      <c r="AB277" s="92"/>
      <c r="AC277" s="92"/>
      <c r="AD277" s="92"/>
      <c r="AE277" s="92"/>
      <c r="AF277" s="92"/>
      <c r="AG277" s="92"/>
      <c r="AH277" s="92"/>
      <c r="AI277" s="92"/>
      <c r="AJ277" s="92"/>
      <c r="AK277" s="92"/>
      <c r="AL277" s="92"/>
      <c r="AM277" s="92"/>
      <c r="AN277" s="92"/>
      <c r="AO277" s="92"/>
      <c r="AP277" s="92"/>
      <c r="AQ277" s="96"/>
      <c r="AR277" s="97" t="str">
        <f t="shared" si="52"/>
        <v/>
      </c>
      <c r="AS277" s="97" t="str">
        <f>IF($A277="","",IF($AP277&lt;&gt;"",$AP277,IFERROR(INDEX('Cat Zone by ZIP'!$D$6:$D$856,MATCH($AR277,'Cat Zone by ZIP'!$B$6:$B$856,0)),IFERROR(INDEX('Cat Zone by ZIP'!$C$860:$C$910,MATCH($K277,'Cat Zone by ZIP'!$B$860:$B$910,0)),"NOT FOUND"))))</f>
        <v/>
      </c>
      <c r="AT277" s="97" t="str">
        <f>IF($A277="","",IF($AP277&lt;&gt;"","Override",IF(ISNUMBER(MATCH($AR277,'Cat Zone by ZIP'!$B$6:$B$856,0)),"ZIP-3","State default")))</f>
        <v/>
      </c>
      <c r="AU277" s="98" t="str">
        <f>IF($A277="","",IFERROR(INDEX('Natural Catastrophe'!$D$6:$D$17,MATCH($AS277,'Natural Catastrophe'!$B$6:$B$17,0)),"?"))</f>
        <v/>
      </c>
      <c r="AV277" s="98" t="str">
        <f>IF($A277="","",IFERROR(INDEX('Natural Catastrophe'!$C$21:$C$26,MATCH($AA277,'Natural Catastrophe'!$B$21:$B$26,0)),"?"))</f>
        <v/>
      </c>
      <c r="AW277" s="97" t="str">
        <f>IF($A277="","",IFERROR(INDEX('Base Rates'!$C$4:$I$4,MATCH(MAX($J277,'Technical Premium'!$C$18),'Base Rates'!$C$3:$I$3,1)),"?"))</f>
        <v/>
      </c>
      <c r="AX277" s="99" t="str">
        <f>IF($A277="","",IFERROR(INDEX('Base Rates'!$C$5:$I$16,MATCH($I277,'Base Rates'!$B$5:$B$16,0),MATCH(MAX($J277,'Technical Premium'!$C$18),'Base Rates'!$C$3:$I$3,1)),"?"))</f>
        <v/>
      </c>
      <c r="AY277" s="100" t="str">
        <f t="shared" si="53"/>
        <v/>
      </c>
      <c r="AZ277" s="97" t="str">
        <f>IF($A277="","",IFERROR(INDEX('Make Factors'!$G$5:$G$69,MATCH($F277,'Make Factors'!$B$5:$B$69,0)),"?"))</f>
        <v/>
      </c>
      <c r="BA277" s="97" t="str">
        <f>IF($A277="","",IFERROR(INDEX('Driver Factors'!$C$6:$C$15,MATCH($R277,'Driver Factors'!$B$6:$B$15,0)),"?"))</f>
        <v/>
      </c>
      <c r="BB277" s="97" t="str">
        <f>IF($A277="","",IFERROR(INDEX('Driver Factors'!$C$19:$C$24,MATCH($S277,'Driver Factors'!$B$19:$B$24,0)),"?"))</f>
        <v/>
      </c>
      <c r="BC277" s="97" t="str">
        <f>IF($A277="","",IFERROR(INDEX('Driver Factors'!$C$28:$C$36,MATCH($T277,'Driver Factors'!$B$28:$B$36,0)),"?"))</f>
        <v/>
      </c>
      <c r="BD277" s="97" t="str">
        <f>IF($A277="","",IFERROR(INDEX('Claims History'!$C$6:$C$15,MATCH($U277,'Claims History'!$B$6:$B$15,0)),"?"))</f>
        <v/>
      </c>
      <c r="BE277" s="97" t="str">
        <f>IF($A277="","",IFERROR(INDEX('Territory Factors'!$E$6:$E$56,MATCH($K277,'Territory Factors'!$B$6:$B$56,0)),"?"))</f>
        <v/>
      </c>
      <c r="BF277" s="97" t="str">
        <f>IF($A277="","",IFERROR(INDEX('City Accident Ratings'!$G$6:$G$54,MATCH($Z277,'City Accident Ratings'!$B$6:$B$54,0)),"?"))</f>
        <v/>
      </c>
      <c r="BG277" s="97" t="str">
        <f>IF($A277="","",IFERROR(INDEX('Usage and Coverage'!$D$6:$D$20,MATCH($N277,'Usage and Coverage'!$C$6:$C$20,0)),"?"))</f>
        <v/>
      </c>
      <c r="BH277" s="97" t="str">
        <f>IF($A277="","",IFERROR(INDEX('Usage and Coverage'!$C$24:$C$30,MATCH($O277,'Usage and Coverage'!$B$24:$B$30,0)),"?"))</f>
        <v/>
      </c>
      <c r="BI277" s="97" t="str">
        <f>IF($A277="","",IFERROR(INDEX('Usage and Coverage'!$C$34:$C$40,MATCH($P277,'Usage and Coverage'!$B$34:$B$40,0)),"?"))</f>
        <v/>
      </c>
      <c r="BJ277" s="97" t="str">
        <f>IF($A277="","",IFERROR(INDEX('Usage and Coverage'!$C$44:$C$49,MATCH($Q277,'Usage and Coverage'!$B$44:$B$49,0)),"?"))</f>
        <v/>
      </c>
      <c r="BK277" s="97" t="str">
        <f>IF($A277="","",IFERROR(INDEX(Deductibles!$C$6:$I$15,MATCH($W277,Deductibles!$B$6:$B$15,0),MATCH(MAX($J277,'Technical Premium'!$C$18),'Base Rates'!$C$3:$I$3,1)),"?"))</f>
        <v/>
      </c>
      <c r="BL277" s="97" t="str">
        <f>IF($A277="","",IFERROR(INDEX('Usage and Coverage'!$C$63:$C$66,MATCH($X277,'Usage and Coverage'!$B$63:$B$66,0)),"?"))</f>
        <v/>
      </c>
      <c r="BM277" s="97" t="str">
        <f>IF($A277="","",IFERROR(INDEX('Usage and Coverage'!$C$70:$C$75,MATCH($V277,'Usage and Coverage'!$B$70:$B$75,0)),"?"))</f>
        <v/>
      </c>
      <c r="BN277" s="97" t="str">
        <f>IF($A277="","",IF($AB277="",1,IFERROR(INDEX(Deductibles!$C$48:$C$51,MATCH($AB277,Deductibles!$B$48:$B$51,0)),"?")))</f>
        <v/>
      </c>
      <c r="BO277" s="97" t="str">
        <f>IF($A277="","",IF($AC277="",1,IFERROR(INDEX(Deductibles!$C$55:$C$57,MATCH($AC277,Deductibles!$B$55:$B$57,0)),"?")))</f>
        <v/>
      </c>
      <c r="BP277" s="97" t="str">
        <f>IF($A277="","",IF($AD277="",1,IFERROR(INDEX(Deductibles!$C$61:$C$63,MATCH($AD277,Deductibles!$B$61:$B$63,0)),"?")))</f>
        <v/>
      </c>
      <c r="BQ277" s="97" t="str">
        <f>IF($A277="","",IF($AE277="",1,IFERROR(INDEX(Deductibles!$C$67:$C$69,MATCH($AE277,Deductibles!$B$67:$B$69,0)),"?")))</f>
        <v/>
      </c>
      <c r="BR277" s="97" t="str">
        <f>IF($A277="","",IF($AF277="",1,IFERROR(INDEX(Deductibles!$C$73:$C$74,MATCH($AF277,Deductibles!$B$73:$B$74,0)),"?")))</f>
        <v/>
      </c>
      <c r="BS277" s="97" t="str">
        <f>IF($A277="","",IF($AG277="",1,IFERROR(INDEX('Sublimits and Parts'!$C$49:$C$52,MATCH($AG277,'Sublimits and Parts'!$B$49:$B$52,0)),"?")))</f>
        <v/>
      </c>
      <c r="BT277" s="97" t="str">
        <f>IF($A277="","",IF($AH277="",1,IFERROR(INDEX('Sublimits and Parts'!$C$56:$C$60,MATCH($AH277,'Sublimits and Parts'!$B$56:$B$60,0)),"?")))</f>
        <v/>
      </c>
      <c r="BU277" s="97" t="str">
        <f>IF($A277="","",IF($AI277="",1,IFERROR(INDEX('Sublimits and Parts'!$C$64:$C$67,MATCH($AI277,'Sublimits and Parts'!$B$64:$B$67,0)),"?")))</f>
        <v/>
      </c>
      <c r="BV277" s="97" t="str">
        <f>IF($A277="","",IF($AJ277="",1,IFERROR(INDEX('Sublimits and Parts'!$C$71:$C$74,MATCH($AJ277,'Sublimits and Parts'!$B$71:$B$74,0)),"?")))</f>
        <v/>
      </c>
      <c r="BW277" s="97" t="str">
        <f>IF($A277="","",IF($AK277="",1,IFERROR(INDEX('Sublimits and Parts'!$C$78:$C$80,MATCH($AK277,'Sublimits and Parts'!$B$78:$B$80,0)),"?")))</f>
        <v/>
      </c>
      <c r="BX277" s="97" t="str">
        <f>IF($A277="","",IF($AL277="",1,IFERROR(INDEX('Sublimits and Parts'!$C$84:$C$87,MATCH($AL277,'Sublimits and Parts'!$B$84:$B$87,0)),"?")))</f>
        <v/>
      </c>
      <c r="BY277" s="97" t="str">
        <f>IF($A277="","",IF($AM277="",1,IFERROR(INDEX('Sublimits and Parts'!$C$91:$C$94,MATCH($AM277,'Sublimits and Parts'!$B$91:$B$94,0)),"?")))</f>
        <v/>
      </c>
      <c r="BZ277" s="97" t="str">
        <f>IF($A277="","",IF($AN277="",1,IFERROR(INDEX('Sublimits and Parts'!$C$98:$C$101,MATCH($AN277,'Sublimits and Parts'!$B$98:$B$101,0)),"?")))</f>
        <v/>
      </c>
      <c r="CA277" s="97" t="str">
        <f>IF($A277="","",IF($AO277="",1,IFERROR(INDEX('Sublimits and Parts'!$C$105:$C$109,MATCH($AO277,'Sublimits and Parts'!$B$105:$B$109,0)),"?")))</f>
        <v/>
      </c>
      <c r="CB277" s="98" t="str">
        <f t="shared" si="54"/>
        <v/>
      </c>
      <c r="CC277" s="98" t="str">
        <f t="shared" si="55"/>
        <v/>
      </c>
      <c r="CD277" s="101" t="str">
        <f>IF($A277="","",IF(OR($CB277="?",$CC277="?"),"?",MIN($CB277*$CC277,'Technical Premium'!$C$17)))</f>
        <v/>
      </c>
      <c r="CE277" s="100" t="str">
        <f t="shared" si="56"/>
        <v/>
      </c>
      <c r="CF277" s="100" t="str">
        <f>IF($A277="","",IFERROR(INDEX('Territory Factors'!$F$6:$F$56,MATCH($K277,'Territory Factors'!$B$6:$B$56,0)),"?"))</f>
        <v/>
      </c>
      <c r="CG277" s="98" t="str">
        <f>IF($A277="","",IFERROR(INDEX('Usage and Coverage'!$C$79:$C$84,MATCH($Y277,'Usage and Coverage'!$B$79:$B$84,0)),"?"))</f>
        <v/>
      </c>
      <c r="CH277" s="100" t="str">
        <f>IFERROR(IF(ISNUMBER($CD277),$CF277*$CG277*MIN($BG277*$BA277*$BC277*$BD277*$BH277*$BF277,'Technical Premium'!$C$17),""),"")</f>
        <v/>
      </c>
      <c r="CI277" s="100" t="str">
        <f t="shared" si="57"/>
        <v/>
      </c>
      <c r="CJ277" s="100" t="str">
        <f>IFERROR($CI277*(1+'Technical Premium'!$C$5)*(1+'Technical Premium'!$C$6),"")</f>
        <v/>
      </c>
      <c r="CK277" s="100" t="str">
        <f>IFERROR($CE277*INDEX('Territory Factors'!$G$6:$G$56,MATCH($K277,'Territory Factors'!$B$6:$B$56,0))*$AU277*$AV277,"")</f>
        <v/>
      </c>
      <c r="CL277" s="100" t="str">
        <f>IFERROR(($CJ277+$CK277)*(1+'Technical Premium'!$C$7),"")</f>
        <v/>
      </c>
      <c r="CM277" s="102" t="str">
        <f>IFERROR($CL277/'Technical Premium'!$C$13,"")</f>
        <v/>
      </c>
      <c r="CN277" s="103" t="str">
        <f t="shared" si="58"/>
        <v/>
      </c>
      <c r="CO277" s="102" t="str">
        <f t="shared" si="59"/>
        <v/>
      </c>
      <c r="CP277" s="103" t="str">
        <f t="shared" si="60"/>
        <v/>
      </c>
      <c r="CQ277" s="104" t="str">
        <f t="shared" si="61"/>
        <v/>
      </c>
      <c r="CR277" s="100" t="str">
        <f>IF(ISNUMBER($CM277),'Technical Premium'!$C$14+IF($J277&gt;=1000000,'Technical Premium'!$C$15,0),"")</f>
        <v/>
      </c>
      <c r="CS277" s="100" t="str">
        <f>IFERROR(($CO277+$CR277)*(INDEX('Territory Factors'!$K$6:$K$56,MATCH($K277,'Territory Factors'!$B$6:$B$56,0))+'Commission Structure'!$C$21),"")</f>
        <v/>
      </c>
      <c r="CT277" s="102" t="str">
        <f t="shared" si="62"/>
        <v/>
      </c>
      <c r="CU277" s="100" t="str">
        <f>IFERROR($CO277*('Commission Structure'!$C$6+'Commission Structure'!$C$7),"")</f>
        <v/>
      </c>
      <c r="CV277" s="100" t="str">
        <f>IFERROR($CO277*'Commission Structure'!$C$5-$CU277,"")</f>
        <v/>
      </c>
      <c r="CW277" s="100" t="str">
        <f>IFERROR($CO277*(1-'Commission Structure'!$C$5),"")</f>
        <v/>
      </c>
      <c r="CX277" s="105" t="str">
        <f>IF($A277="","",IF(OR($CB277="?",$CC277="?",NOT(ISNUMBER($AU277))),"CHECK INPUTS",IF(OR($J277&lt;'Technical Premium'!$C$18,LEFT(IFERROR(INDEX('Driver Factors'!$D$6:$D$15,MATCH($R277,'Driver Factors'!$B$6:$B$15,0)),""),7)="DECLINE",LEFT(IFERROR(INDEX('Driver Factors'!$D$28:$D$36,MATCH($T277,'Driver Factors'!$B$28:$B$36,0)),""),7)="DECLINE",LEFT(IFERROR(INDEX('Claims History'!$D$6:$D$15,MATCH($U277,'Claims History'!$B$6:$B$15,0)),""),7)="DECLINE",LEFT(IFERROR(INDEX('Usage and Coverage'!$E$6:$E$20,MATCH($N277,'Usage and Coverage'!$C$6:$C$20,0)),""),7)="DECLINE"),"DECLINE",IF(OR($CD277&gt;2.5,$CD277&gt;='Technical Premium'!$C$17,$J277&gt;='Technical Premium'!$C$16,N($AQ277)&lt;'Technical Premium'!$C$19,N($AQ277)&gt;'Technical Premium'!$C$20,LEFT(IFERROR(INDEX('Driver Factors'!$D$6:$D$15,MATCH($R277,'Driver Factors'!$B$6:$B$15,0)),""),5)="Refer",LEFT(IFERROR(INDEX('Driver Factors'!$D$28:$D$36,MATCH($T277,'Driver Factors'!$B$28:$B$36,0)),""),5)="Refer",LEFT(IFERROR(INDEX('Claims History'!$D$6:$D$15,MATCH($U277,'Claims History'!$B$6:$B$15,0)),""),5)="Refer",LEFT(IFERROR(INDEX('Usage and Coverage'!$E$6:$E$20,MATCH($N277,'Usage and Coverage'!$C$6:$C$20,0)),""),5)="Refer"),"REFER","AUTO-BIND"))))</f>
        <v/>
      </c>
      <c r="CY277" s="106" t="str">
        <f t="shared" si="63"/>
        <v/>
      </c>
      <c r="CZ277" s="97" t="str">
        <f>IF($CY277="","",IF($CY277&lt;'Technical Premium'!$C$19,"BEYOND AUTHORITY",IF($CY277&gt;0.005,"Above technical",IF($CY277&lt;-0.005,"BELOW technical","At technical"))))</f>
        <v/>
      </c>
      <c r="DA277" s="97" t="str">
        <f>IF($A277="","",IF($CX277="AUTO-BIND","",TRIM(IF($J277&lt;'Technical Premium'!$C$18,"Below programme minimum agreed value. ","")&amp;IF(N($AQ277)&lt;'Technical Premium'!$C$19,"DISCOUNT AUTHORITY BREACH. ","")&amp;IF(N($AQ277)&gt;'Technical Premium'!$C$20,"Load authority breach. ","")&amp;IF($J277&gt;='Technical Premium'!$C$16,"Agreed value at or above auto-bind limit. ","")&amp;IF(AND(ISNUMBER($CD277),$CD277&gt;='Technical Premium'!$C$17),"Composite factor at cap. ","")&amp;IF(AND(ISNUMBER($CD277),$CD277&gt;2.5),"Composite factor above 2.50. ","")&amp;IF(LEFT(IFERROR(INDEX('Driver Factors'!$D$6:$D$15,MATCH($R277,'Driver Factors'!$B$6:$B$15,0)),""),7)="DECLINE","DECLINE - driver age. ",IF(LEFT(IFERROR(INDEX('Driver Factors'!$D$6:$D$15,MATCH($R277,'Driver Factors'!$B$6:$B$15,0)),""),5)="Refer","Driver age band. ",""))&amp;IF(LEFT(IFERROR(INDEX('Driver Factors'!$D$28:$D$36,MATCH($T277,'Driver Factors'!$B$28:$B$36,0)),""),7)="DECLINE","DECLINE - MVR. ",IF(LEFT(IFERROR(INDEX('Driver Factors'!$D$28:$D$36,MATCH($T277,'Driver Factors'!$B$28:$B$36,0)),""),5)="Refer","MVR record. ",""))&amp;IF(LEFT(IFERROR(INDEX('Claims History'!$D$6:$D$15,MATCH($U277,'Claims History'!$B$6:$B$15,0)),""),7)="DECLINE","DECLINE - claims. ",IF(LEFT(IFERROR(INDEX('Claims History'!$D$6:$D$15,MATCH($U277,'Claims History'!$B$6:$B$15,0)),""),5)="Refer","Claims history. ",""))&amp;IF(LEFT(IFERROR(INDEX('Usage and Coverage'!$E$6:$E$20,MATCH($N277,'Usage and Coverage'!$C$6:$C$20,0)),""),7)="DECLINE","DECLINE - usage class. ",IF(LEFT(IFERROR(INDEX('Usage and Coverage'!$E$6:$E$20,MATCH($N277,'Usage and Coverage'!$C$6:$C$20,0)),""),5)="Refer","Usage class. ",""))&amp;IF($CX277="CHECK INPUTS","Incomplete inputs. ",""))))</f>
        <v/>
      </c>
      <c r="DB277" s="92"/>
      <c r="DC277" s="92"/>
      <c r="DD277" s="93"/>
      <c r="DE277" s="92"/>
      <c r="DF277" s="92"/>
      <c r="DG277" s="97" t="str">
        <f t="shared" si="64"/>
        <v/>
      </c>
      <c r="DH277" s="97" t="str">
        <f>IF($A277="","",IF(OR($CX277="REFER",$CX277="DECLINE"),COUNTIF($CX$5:$CX277,"REFER")+COUNTIF($CX$5:$CX277,"DECLINE"),""))</f>
        <v/>
      </c>
      <c r="DI277" s="92"/>
    </row>
    <row r="278" spans="1:113" x14ac:dyDescent="0.25">
      <c r="A278" s="92"/>
      <c r="B278" s="92"/>
      <c r="C278" s="93"/>
      <c r="D278" s="93"/>
      <c r="E278" s="94"/>
      <c r="F278" s="92"/>
      <c r="G278" s="92"/>
      <c r="H278" s="92"/>
      <c r="I278" s="92"/>
      <c r="J278" s="95"/>
      <c r="K278" s="92"/>
      <c r="L278" s="92"/>
      <c r="M278" s="92"/>
      <c r="N278" s="92"/>
      <c r="O278" s="92"/>
      <c r="P278" s="92"/>
      <c r="Q278" s="92"/>
      <c r="R278" s="92"/>
      <c r="S278" s="92"/>
      <c r="T278" s="92"/>
      <c r="U278" s="92"/>
      <c r="V278" s="92"/>
      <c r="W278" s="92"/>
      <c r="X278" s="92"/>
      <c r="Y278" s="92"/>
      <c r="Z278" s="92"/>
      <c r="AA278" s="92"/>
      <c r="AB278" s="92"/>
      <c r="AC278" s="92"/>
      <c r="AD278" s="92"/>
      <c r="AE278" s="92"/>
      <c r="AF278" s="92"/>
      <c r="AG278" s="92"/>
      <c r="AH278" s="92"/>
      <c r="AI278" s="92"/>
      <c r="AJ278" s="92"/>
      <c r="AK278" s="92"/>
      <c r="AL278" s="92"/>
      <c r="AM278" s="92"/>
      <c r="AN278" s="92"/>
      <c r="AO278" s="92"/>
      <c r="AP278" s="92"/>
      <c r="AQ278" s="96"/>
      <c r="AR278" s="97" t="str">
        <f t="shared" si="52"/>
        <v/>
      </c>
      <c r="AS278" s="97" t="str">
        <f>IF($A278="","",IF($AP278&lt;&gt;"",$AP278,IFERROR(INDEX('Cat Zone by ZIP'!$D$6:$D$856,MATCH($AR278,'Cat Zone by ZIP'!$B$6:$B$856,0)),IFERROR(INDEX('Cat Zone by ZIP'!$C$860:$C$910,MATCH($K278,'Cat Zone by ZIP'!$B$860:$B$910,0)),"NOT FOUND"))))</f>
        <v/>
      </c>
      <c r="AT278" s="97" t="str">
        <f>IF($A278="","",IF($AP278&lt;&gt;"","Override",IF(ISNUMBER(MATCH($AR278,'Cat Zone by ZIP'!$B$6:$B$856,0)),"ZIP-3","State default")))</f>
        <v/>
      </c>
      <c r="AU278" s="98" t="str">
        <f>IF($A278="","",IFERROR(INDEX('Natural Catastrophe'!$D$6:$D$17,MATCH($AS278,'Natural Catastrophe'!$B$6:$B$17,0)),"?"))</f>
        <v/>
      </c>
      <c r="AV278" s="98" t="str">
        <f>IF($A278="","",IFERROR(INDEX('Natural Catastrophe'!$C$21:$C$26,MATCH($AA278,'Natural Catastrophe'!$B$21:$B$26,0)),"?"))</f>
        <v/>
      </c>
      <c r="AW278" s="97" t="str">
        <f>IF($A278="","",IFERROR(INDEX('Base Rates'!$C$4:$I$4,MATCH(MAX($J278,'Technical Premium'!$C$18),'Base Rates'!$C$3:$I$3,1)),"?"))</f>
        <v/>
      </c>
      <c r="AX278" s="99" t="str">
        <f>IF($A278="","",IFERROR(INDEX('Base Rates'!$C$5:$I$16,MATCH($I278,'Base Rates'!$B$5:$B$16,0),MATCH(MAX($J278,'Technical Premium'!$C$18),'Base Rates'!$C$3:$I$3,1)),"?"))</f>
        <v/>
      </c>
      <c r="AY278" s="100" t="str">
        <f t="shared" si="53"/>
        <v/>
      </c>
      <c r="AZ278" s="97" t="str">
        <f>IF($A278="","",IFERROR(INDEX('Make Factors'!$G$5:$G$69,MATCH($F278,'Make Factors'!$B$5:$B$69,0)),"?"))</f>
        <v/>
      </c>
      <c r="BA278" s="97" t="str">
        <f>IF($A278="","",IFERROR(INDEX('Driver Factors'!$C$6:$C$15,MATCH($R278,'Driver Factors'!$B$6:$B$15,0)),"?"))</f>
        <v/>
      </c>
      <c r="BB278" s="97" t="str">
        <f>IF($A278="","",IFERROR(INDEX('Driver Factors'!$C$19:$C$24,MATCH($S278,'Driver Factors'!$B$19:$B$24,0)),"?"))</f>
        <v/>
      </c>
      <c r="BC278" s="97" t="str">
        <f>IF($A278="","",IFERROR(INDEX('Driver Factors'!$C$28:$C$36,MATCH($T278,'Driver Factors'!$B$28:$B$36,0)),"?"))</f>
        <v/>
      </c>
      <c r="BD278" s="97" t="str">
        <f>IF($A278="","",IFERROR(INDEX('Claims History'!$C$6:$C$15,MATCH($U278,'Claims History'!$B$6:$B$15,0)),"?"))</f>
        <v/>
      </c>
      <c r="BE278" s="97" t="str">
        <f>IF($A278="","",IFERROR(INDEX('Territory Factors'!$E$6:$E$56,MATCH($K278,'Territory Factors'!$B$6:$B$56,0)),"?"))</f>
        <v/>
      </c>
      <c r="BF278" s="97" t="str">
        <f>IF($A278="","",IFERROR(INDEX('City Accident Ratings'!$G$6:$G$54,MATCH($Z278,'City Accident Ratings'!$B$6:$B$54,0)),"?"))</f>
        <v/>
      </c>
      <c r="BG278" s="97" t="str">
        <f>IF($A278="","",IFERROR(INDEX('Usage and Coverage'!$D$6:$D$20,MATCH($N278,'Usage and Coverage'!$C$6:$C$20,0)),"?"))</f>
        <v/>
      </c>
      <c r="BH278" s="97" t="str">
        <f>IF($A278="","",IFERROR(INDEX('Usage and Coverage'!$C$24:$C$30,MATCH($O278,'Usage and Coverage'!$B$24:$B$30,0)),"?"))</f>
        <v/>
      </c>
      <c r="BI278" s="97" t="str">
        <f>IF($A278="","",IFERROR(INDEX('Usage and Coverage'!$C$34:$C$40,MATCH($P278,'Usage and Coverage'!$B$34:$B$40,0)),"?"))</f>
        <v/>
      </c>
      <c r="BJ278" s="97" t="str">
        <f>IF($A278="","",IFERROR(INDEX('Usage and Coverage'!$C$44:$C$49,MATCH($Q278,'Usage and Coverage'!$B$44:$B$49,0)),"?"))</f>
        <v/>
      </c>
      <c r="BK278" s="97" t="str">
        <f>IF($A278="","",IFERROR(INDEX(Deductibles!$C$6:$I$15,MATCH($W278,Deductibles!$B$6:$B$15,0),MATCH(MAX($J278,'Technical Premium'!$C$18),'Base Rates'!$C$3:$I$3,1)),"?"))</f>
        <v/>
      </c>
      <c r="BL278" s="97" t="str">
        <f>IF($A278="","",IFERROR(INDEX('Usage and Coverage'!$C$63:$C$66,MATCH($X278,'Usage and Coverage'!$B$63:$B$66,0)),"?"))</f>
        <v/>
      </c>
      <c r="BM278" s="97" t="str">
        <f>IF($A278="","",IFERROR(INDEX('Usage and Coverage'!$C$70:$C$75,MATCH($V278,'Usage and Coverage'!$B$70:$B$75,0)),"?"))</f>
        <v/>
      </c>
      <c r="BN278" s="97" t="str">
        <f>IF($A278="","",IF($AB278="",1,IFERROR(INDEX(Deductibles!$C$48:$C$51,MATCH($AB278,Deductibles!$B$48:$B$51,0)),"?")))</f>
        <v/>
      </c>
      <c r="BO278" s="97" t="str">
        <f>IF($A278="","",IF($AC278="",1,IFERROR(INDEX(Deductibles!$C$55:$C$57,MATCH($AC278,Deductibles!$B$55:$B$57,0)),"?")))</f>
        <v/>
      </c>
      <c r="BP278" s="97" t="str">
        <f>IF($A278="","",IF($AD278="",1,IFERROR(INDEX(Deductibles!$C$61:$C$63,MATCH($AD278,Deductibles!$B$61:$B$63,0)),"?")))</f>
        <v/>
      </c>
      <c r="BQ278" s="97" t="str">
        <f>IF($A278="","",IF($AE278="",1,IFERROR(INDEX(Deductibles!$C$67:$C$69,MATCH($AE278,Deductibles!$B$67:$B$69,0)),"?")))</f>
        <v/>
      </c>
      <c r="BR278" s="97" t="str">
        <f>IF($A278="","",IF($AF278="",1,IFERROR(INDEX(Deductibles!$C$73:$C$74,MATCH($AF278,Deductibles!$B$73:$B$74,0)),"?")))</f>
        <v/>
      </c>
      <c r="BS278" s="97" t="str">
        <f>IF($A278="","",IF($AG278="",1,IFERROR(INDEX('Sublimits and Parts'!$C$49:$C$52,MATCH($AG278,'Sublimits and Parts'!$B$49:$B$52,0)),"?")))</f>
        <v/>
      </c>
      <c r="BT278" s="97" t="str">
        <f>IF($A278="","",IF($AH278="",1,IFERROR(INDEX('Sublimits and Parts'!$C$56:$C$60,MATCH($AH278,'Sublimits and Parts'!$B$56:$B$60,0)),"?")))</f>
        <v/>
      </c>
      <c r="BU278" s="97" t="str">
        <f>IF($A278="","",IF($AI278="",1,IFERROR(INDEX('Sublimits and Parts'!$C$64:$C$67,MATCH($AI278,'Sublimits and Parts'!$B$64:$B$67,0)),"?")))</f>
        <v/>
      </c>
      <c r="BV278" s="97" t="str">
        <f>IF($A278="","",IF($AJ278="",1,IFERROR(INDEX('Sublimits and Parts'!$C$71:$C$74,MATCH($AJ278,'Sublimits and Parts'!$B$71:$B$74,0)),"?")))</f>
        <v/>
      </c>
      <c r="BW278" s="97" t="str">
        <f>IF($A278="","",IF($AK278="",1,IFERROR(INDEX('Sublimits and Parts'!$C$78:$C$80,MATCH($AK278,'Sublimits and Parts'!$B$78:$B$80,0)),"?")))</f>
        <v/>
      </c>
      <c r="BX278" s="97" t="str">
        <f>IF($A278="","",IF($AL278="",1,IFERROR(INDEX('Sublimits and Parts'!$C$84:$C$87,MATCH($AL278,'Sublimits and Parts'!$B$84:$B$87,0)),"?")))</f>
        <v/>
      </c>
      <c r="BY278" s="97" t="str">
        <f>IF($A278="","",IF($AM278="",1,IFERROR(INDEX('Sublimits and Parts'!$C$91:$C$94,MATCH($AM278,'Sublimits and Parts'!$B$91:$B$94,0)),"?")))</f>
        <v/>
      </c>
      <c r="BZ278" s="97" t="str">
        <f>IF($A278="","",IF($AN278="",1,IFERROR(INDEX('Sublimits and Parts'!$C$98:$C$101,MATCH($AN278,'Sublimits and Parts'!$B$98:$B$101,0)),"?")))</f>
        <v/>
      </c>
      <c r="CA278" s="97" t="str">
        <f>IF($A278="","",IF($AO278="",1,IFERROR(INDEX('Sublimits and Parts'!$C$105:$C$109,MATCH($AO278,'Sublimits and Parts'!$B$105:$B$109,0)),"?")))</f>
        <v/>
      </c>
      <c r="CB278" s="98" t="str">
        <f t="shared" si="54"/>
        <v/>
      </c>
      <c r="CC278" s="98" t="str">
        <f t="shared" si="55"/>
        <v/>
      </c>
      <c r="CD278" s="101" t="str">
        <f>IF($A278="","",IF(OR($CB278="?",$CC278="?"),"?",MIN($CB278*$CC278,'Technical Premium'!$C$17)))</f>
        <v/>
      </c>
      <c r="CE278" s="100" t="str">
        <f t="shared" si="56"/>
        <v/>
      </c>
      <c r="CF278" s="100" t="str">
        <f>IF($A278="","",IFERROR(INDEX('Territory Factors'!$F$6:$F$56,MATCH($K278,'Territory Factors'!$B$6:$B$56,0)),"?"))</f>
        <v/>
      </c>
      <c r="CG278" s="98" t="str">
        <f>IF($A278="","",IFERROR(INDEX('Usage and Coverage'!$C$79:$C$84,MATCH($Y278,'Usage and Coverage'!$B$79:$B$84,0)),"?"))</f>
        <v/>
      </c>
      <c r="CH278" s="100" t="str">
        <f>IFERROR(IF(ISNUMBER($CD278),$CF278*$CG278*MIN($BG278*$BA278*$BC278*$BD278*$BH278*$BF278,'Technical Premium'!$C$17),""),"")</f>
        <v/>
      </c>
      <c r="CI278" s="100" t="str">
        <f t="shared" si="57"/>
        <v/>
      </c>
      <c r="CJ278" s="100" t="str">
        <f>IFERROR($CI278*(1+'Technical Premium'!$C$5)*(1+'Technical Premium'!$C$6),"")</f>
        <v/>
      </c>
      <c r="CK278" s="100" t="str">
        <f>IFERROR($CE278*INDEX('Territory Factors'!$G$6:$G$56,MATCH($K278,'Territory Factors'!$B$6:$B$56,0))*$AU278*$AV278,"")</f>
        <v/>
      </c>
      <c r="CL278" s="100" t="str">
        <f>IFERROR(($CJ278+$CK278)*(1+'Technical Premium'!$C$7),"")</f>
        <v/>
      </c>
      <c r="CM278" s="102" t="str">
        <f>IFERROR($CL278/'Technical Premium'!$C$13,"")</f>
        <v/>
      </c>
      <c r="CN278" s="103" t="str">
        <f t="shared" si="58"/>
        <v/>
      </c>
      <c r="CO278" s="102" t="str">
        <f t="shared" si="59"/>
        <v/>
      </c>
      <c r="CP278" s="103" t="str">
        <f t="shared" si="60"/>
        <v/>
      </c>
      <c r="CQ278" s="104" t="str">
        <f t="shared" si="61"/>
        <v/>
      </c>
      <c r="CR278" s="100" t="str">
        <f>IF(ISNUMBER($CM278),'Technical Premium'!$C$14+IF($J278&gt;=1000000,'Technical Premium'!$C$15,0),"")</f>
        <v/>
      </c>
      <c r="CS278" s="100" t="str">
        <f>IFERROR(($CO278+$CR278)*(INDEX('Territory Factors'!$K$6:$K$56,MATCH($K278,'Territory Factors'!$B$6:$B$56,0))+'Commission Structure'!$C$21),"")</f>
        <v/>
      </c>
      <c r="CT278" s="102" t="str">
        <f t="shared" si="62"/>
        <v/>
      </c>
      <c r="CU278" s="100" t="str">
        <f>IFERROR($CO278*('Commission Structure'!$C$6+'Commission Structure'!$C$7),"")</f>
        <v/>
      </c>
      <c r="CV278" s="100" t="str">
        <f>IFERROR($CO278*'Commission Structure'!$C$5-$CU278,"")</f>
        <v/>
      </c>
      <c r="CW278" s="100" t="str">
        <f>IFERROR($CO278*(1-'Commission Structure'!$C$5),"")</f>
        <v/>
      </c>
      <c r="CX278" s="105" t="str">
        <f>IF($A278="","",IF(OR($CB278="?",$CC278="?",NOT(ISNUMBER($AU278))),"CHECK INPUTS",IF(OR($J278&lt;'Technical Premium'!$C$18,LEFT(IFERROR(INDEX('Driver Factors'!$D$6:$D$15,MATCH($R278,'Driver Factors'!$B$6:$B$15,0)),""),7)="DECLINE",LEFT(IFERROR(INDEX('Driver Factors'!$D$28:$D$36,MATCH($T278,'Driver Factors'!$B$28:$B$36,0)),""),7)="DECLINE",LEFT(IFERROR(INDEX('Claims History'!$D$6:$D$15,MATCH($U278,'Claims History'!$B$6:$B$15,0)),""),7)="DECLINE",LEFT(IFERROR(INDEX('Usage and Coverage'!$E$6:$E$20,MATCH($N278,'Usage and Coverage'!$C$6:$C$20,0)),""),7)="DECLINE"),"DECLINE",IF(OR($CD278&gt;2.5,$CD278&gt;='Technical Premium'!$C$17,$J278&gt;='Technical Premium'!$C$16,N($AQ278)&lt;'Technical Premium'!$C$19,N($AQ278)&gt;'Technical Premium'!$C$20,LEFT(IFERROR(INDEX('Driver Factors'!$D$6:$D$15,MATCH($R278,'Driver Factors'!$B$6:$B$15,0)),""),5)="Refer",LEFT(IFERROR(INDEX('Driver Factors'!$D$28:$D$36,MATCH($T278,'Driver Factors'!$B$28:$B$36,0)),""),5)="Refer",LEFT(IFERROR(INDEX('Claims History'!$D$6:$D$15,MATCH($U278,'Claims History'!$B$6:$B$15,0)),""),5)="Refer",LEFT(IFERROR(INDEX('Usage and Coverage'!$E$6:$E$20,MATCH($N278,'Usage and Coverage'!$C$6:$C$20,0)),""),5)="Refer"),"REFER","AUTO-BIND"))))</f>
        <v/>
      </c>
      <c r="CY278" s="106" t="str">
        <f t="shared" si="63"/>
        <v/>
      </c>
      <c r="CZ278" s="97" t="str">
        <f>IF($CY278="","",IF($CY278&lt;'Technical Premium'!$C$19,"BEYOND AUTHORITY",IF($CY278&gt;0.005,"Above technical",IF($CY278&lt;-0.005,"BELOW technical","At technical"))))</f>
        <v/>
      </c>
      <c r="DA278" s="97" t="str">
        <f>IF($A278="","",IF($CX278="AUTO-BIND","",TRIM(IF($J278&lt;'Technical Premium'!$C$18,"Below programme minimum agreed value. ","")&amp;IF(N($AQ278)&lt;'Technical Premium'!$C$19,"DISCOUNT AUTHORITY BREACH. ","")&amp;IF(N($AQ278)&gt;'Technical Premium'!$C$20,"Load authority breach. ","")&amp;IF($J278&gt;='Technical Premium'!$C$16,"Agreed value at or above auto-bind limit. ","")&amp;IF(AND(ISNUMBER($CD278),$CD278&gt;='Technical Premium'!$C$17),"Composite factor at cap. ","")&amp;IF(AND(ISNUMBER($CD278),$CD278&gt;2.5),"Composite factor above 2.50. ","")&amp;IF(LEFT(IFERROR(INDEX('Driver Factors'!$D$6:$D$15,MATCH($R278,'Driver Factors'!$B$6:$B$15,0)),""),7)="DECLINE","DECLINE - driver age. ",IF(LEFT(IFERROR(INDEX('Driver Factors'!$D$6:$D$15,MATCH($R278,'Driver Factors'!$B$6:$B$15,0)),""),5)="Refer","Driver age band. ",""))&amp;IF(LEFT(IFERROR(INDEX('Driver Factors'!$D$28:$D$36,MATCH($T278,'Driver Factors'!$B$28:$B$36,0)),""),7)="DECLINE","DECLINE - MVR. ",IF(LEFT(IFERROR(INDEX('Driver Factors'!$D$28:$D$36,MATCH($T278,'Driver Factors'!$B$28:$B$36,0)),""),5)="Refer","MVR record. ",""))&amp;IF(LEFT(IFERROR(INDEX('Claims History'!$D$6:$D$15,MATCH($U278,'Claims History'!$B$6:$B$15,0)),""),7)="DECLINE","DECLINE - claims. ",IF(LEFT(IFERROR(INDEX('Claims History'!$D$6:$D$15,MATCH($U278,'Claims History'!$B$6:$B$15,0)),""),5)="Refer","Claims history. ",""))&amp;IF(LEFT(IFERROR(INDEX('Usage and Coverage'!$E$6:$E$20,MATCH($N278,'Usage and Coverage'!$C$6:$C$20,0)),""),7)="DECLINE","DECLINE - usage class. ",IF(LEFT(IFERROR(INDEX('Usage and Coverage'!$E$6:$E$20,MATCH($N278,'Usage and Coverage'!$C$6:$C$20,0)),""),5)="Refer","Usage class. ",""))&amp;IF($CX278="CHECK INPUTS","Incomplete inputs. ",""))))</f>
        <v/>
      </c>
      <c r="DB278" s="92"/>
      <c r="DC278" s="92"/>
      <c r="DD278" s="93"/>
      <c r="DE278" s="92"/>
      <c r="DF278" s="92"/>
      <c r="DG278" s="97" t="str">
        <f t="shared" si="64"/>
        <v/>
      </c>
      <c r="DH278" s="97" t="str">
        <f>IF($A278="","",IF(OR($CX278="REFER",$CX278="DECLINE"),COUNTIF($CX$5:$CX278,"REFER")+COUNTIF($CX$5:$CX278,"DECLINE"),""))</f>
        <v/>
      </c>
      <c r="DI278" s="92"/>
    </row>
    <row r="279" spans="1:113" x14ac:dyDescent="0.25">
      <c r="A279" s="92"/>
      <c r="B279" s="92"/>
      <c r="C279" s="93"/>
      <c r="D279" s="93"/>
      <c r="E279" s="94"/>
      <c r="F279" s="92"/>
      <c r="G279" s="92"/>
      <c r="H279" s="92"/>
      <c r="I279" s="92"/>
      <c r="J279" s="95"/>
      <c r="K279" s="92"/>
      <c r="L279" s="92"/>
      <c r="M279" s="92"/>
      <c r="N279" s="92"/>
      <c r="O279" s="92"/>
      <c r="P279" s="92"/>
      <c r="Q279" s="92"/>
      <c r="R279" s="92"/>
      <c r="S279" s="92"/>
      <c r="T279" s="92"/>
      <c r="U279" s="92"/>
      <c r="V279" s="92"/>
      <c r="W279" s="92"/>
      <c r="X279" s="92"/>
      <c r="Y279" s="92"/>
      <c r="Z279" s="92"/>
      <c r="AA279" s="92"/>
      <c r="AB279" s="92"/>
      <c r="AC279" s="92"/>
      <c r="AD279" s="92"/>
      <c r="AE279" s="92"/>
      <c r="AF279" s="92"/>
      <c r="AG279" s="92"/>
      <c r="AH279" s="92"/>
      <c r="AI279" s="92"/>
      <c r="AJ279" s="92"/>
      <c r="AK279" s="92"/>
      <c r="AL279" s="92"/>
      <c r="AM279" s="92"/>
      <c r="AN279" s="92"/>
      <c r="AO279" s="92"/>
      <c r="AP279" s="92"/>
      <c r="AQ279" s="96"/>
      <c r="AR279" s="97" t="str">
        <f t="shared" si="52"/>
        <v/>
      </c>
      <c r="AS279" s="97" t="str">
        <f>IF($A279="","",IF($AP279&lt;&gt;"",$AP279,IFERROR(INDEX('Cat Zone by ZIP'!$D$6:$D$856,MATCH($AR279,'Cat Zone by ZIP'!$B$6:$B$856,0)),IFERROR(INDEX('Cat Zone by ZIP'!$C$860:$C$910,MATCH($K279,'Cat Zone by ZIP'!$B$860:$B$910,0)),"NOT FOUND"))))</f>
        <v/>
      </c>
      <c r="AT279" s="97" t="str">
        <f>IF($A279="","",IF($AP279&lt;&gt;"","Override",IF(ISNUMBER(MATCH($AR279,'Cat Zone by ZIP'!$B$6:$B$856,0)),"ZIP-3","State default")))</f>
        <v/>
      </c>
      <c r="AU279" s="98" t="str">
        <f>IF($A279="","",IFERROR(INDEX('Natural Catastrophe'!$D$6:$D$17,MATCH($AS279,'Natural Catastrophe'!$B$6:$B$17,0)),"?"))</f>
        <v/>
      </c>
      <c r="AV279" s="98" t="str">
        <f>IF($A279="","",IFERROR(INDEX('Natural Catastrophe'!$C$21:$C$26,MATCH($AA279,'Natural Catastrophe'!$B$21:$B$26,0)),"?"))</f>
        <v/>
      </c>
      <c r="AW279" s="97" t="str">
        <f>IF($A279="","",IFERROR(INDEX('Base Rates'!$C$4:$I$4,MATCH(MAX($J279,'Technical Premium'!$C$18),'Base Rates'!$C$3:$I$3,1)),"?"))</f>
        <v/>
      </c>
      <c r="AX279" s="99" t="str">
        <f>IF($A279="","",IFERROR(INDEX('Base Rates'!$C$5:$I$16,MATCH($I279,'Base Rates'!$B$5:$B$16,0),MATCH(MAX($J279,'Technical Premium'!$C$18),'Base Rates'!$C$3:$I$3,1)),"?"))</f>
        <v/>
      </c>
      <c r="AY279" s="100" t="str">
        <f t="shared" si="53"/>
        <v/>
      </c>
      <c r="AZ279" s="97" t="str">
        <f>IF($A279="","",IFERROR(INDEX('Make Factors'!$G$5:$G$69,MATCH($F279,'Make Factors'!$B$5:$B$69,0)),"?"))</f>
        <v/>
      </c>
      <c r="BA279" s="97" t="str">
        <f>IF($A279="","",IFERROR(INDEX('Driver Factors'!$C$6:$C$15,MATCH($R279,'Driver Factors'!$B$6:$B$15,0)),"?"))</f>
        <v/>
      </c>
      <c r="BB279" s="97" t="str">
        <f>IF($A279="","",IFERROR(INDEX('Driver Factors'!$C$19:$C$24,MATCH($S279,'Driver Factors'!$B$19:$B$24,0)),"?"))</f>
        <v/>
      </c>
      <c r="BC279" s="97" t="str">
        <f>IF($A279="","",IFERROR(INDEX('Driver Factors'!$C$28:$C$36,MATCH($T279,'Driver Factors'!$B$28:$B$36,0)),"?"))</f>
        <v/>
      </c>
      <c r="BD279" s="97" t="str">
        <f>IF($A279="","",IFERROR(INDEX('Claims History'!$C$6:$C$15,MATCH($U279,'Claims History'!$B$6:$B$15,0)),"?"))</f>
        <v/>
      </c>
      <c r="BE279" s="97" t="str">
        <f>IF($A279="","",IFERROR(INDEX('Territory Factors'!$E$6:$E$56,MATCH($K279,'Territory Factors'!$B$6:$B$56,0)),"?"))</f>
        <v/>
      </c>
      <c r="BF279" s="97" t="str">
        <f>IF($A279="","",IFERROR(INDEX('City Accident Ratings'!$G$6:$G$54,MATCH($Z279,'City Accident Ratings'!$B$6:$B$54,0)),"?"))</f>
        <v/>
      </c>
      <c r="BG279" s="97" t="str">
        <f>IF($A279="","",IFERROR(INDEX('Usage and Coverage'!$D$6:$D$20,MATCH($N279,'Usage and Coverage'!$C$6:$C$20,0)),"?"))</f>
        <v/>
      </c>
      <c r="BH279" s="97" t="str">
        <f>IF($A279="","",IFERROR(INDEX('Usage and Coverage'!$C$24:$C$30,MATCH($O279,'Usage and Coverage'!$B$24:$B$30,0)),"?"))</f>
        <v/>
      </c>
      <c r="BI279" s="97" t="str">
        <f>IF($A279="","",IFERROR(INDEX('Usage and Coverage'!$C$34:$C$40,MATCH($P279,'Usage and Coverage'!$B$34:$B$40,0)),"?"))</f>
        <v/>
      </c>
      <c r="BJ279" s="97" t="str">
        <f>IF($A279="","",IFERROR(INDEX('Usage and Coverage'!$C$44:$C$49,MATCH($Q279,'Usage and Coverage'!$B$44:$B$49,0)),"?"))</f>
        <v/>
      </c>
      <c r="BK279" s="97" t="str">
        <f>IF($A279="","",IFERROR(INDEX(Deductibles!$C$6:$I$15,MATCH($W279,Deductibles!$B$6:$B$15,0),MATCH(MAX($J279,'Technical Premium'!$C$18),'Base Rates'!$C$3:$I$3,1)),"?"))</f>
        <v/>
      </c>
      <c r="BL279" s="97" t="str">
        <f>IF($A279="","",IFERROR(INDEX('Usage and Coverage'!$C$63:$C$66,MATCH($X279,'Usage and Coverage'!$B$63:$B$66,0)),"?"))</f>
        <v/>
      </c>
      <c r="BM279" s="97" t="str">
        <f>IF($A279="","",IFERROR(INDEX('Usage and Coverage'!$C$70:$C$75,MATCH($V279,'Usage and Coverage'!$B$70:$B$75,0)),"?"))</f>
        <v/>
      </c>
      <c r="BN279" s="97" t="str">
        <f>IF($A279="","",IF($AB279="",1,IFERROR(INDEX(Deductibles!$C$48:$C$51,MATCH($AB279,Deductibles!$B$48:$B$51,0)),"?")))</f>
        <v/>
      </c>
      <c r="BO279" s="97" t="str">
        <f>IF($A279="","",IF($AC279="",1,IFERROR(INDEX(Deductibles!$C$55:$C$57,MATCH($AC279,Deductibles!$B$55:$B$57,0)),"?")))</f>
        <v/>
      </c>
      <c r="BP279" s="97" t="str">
        <f>IF($A279="","",IF($AD279="",1,IFERROR(INDEX(Deductibles!$C$61:$C$63,MATCH($AD279,Deductibles!$B$61:$B$63,0)),"?")))</f>
        <v/>
      </c>
      <c r="BQ279" s="97" t="str">
        <f>IF($A279="","",IF($AE279="",1,IFERROR(INDEX(Deductibles!$C$67:$C$69,MATCH($AE279,Deductibles!$B$67:$B$69,0)),"?")))</f>
        <v/>
      </c>
      <c r="BR279" s="97" t="str">
        <f>IF($A279="","",IF($AF279="",1,IFERROR(INDEX(Deductibles!$C$73:$C$74,MATCH($AF279,Deductibles!$B$73:$B$74,0)),"?")))</f>
        <v/>
      </c>
      <c r="BS279" s="97" t="str">
        <f>IF($A279="","",IF($AG279="",1,IFERROR(INDEX('Sublimits and Parts'!$C$49:$C$52,MATCH($AG279,'Sublimits and Parts'!$B$49:$B$52,0)),"?")))</f>
        <v/>
      </c>
      <c r="BT279" s="97" t="str">
        <f>IF($A279="","",IF($AH279="",1,IFERROR(INDEX('Sublimits and Parts'!$C$56:$C$60,MATCH($AH279,'Sublimits and Parts'!$B$56:$B$60,0)),"?")))</f>
        <v/>
      </c>
      <c r="BU279" s="97" t="str">
        <f>IF($A279="","",IF($AI279="",1,IFERROR(INDEX('Sublimits and Parts'!$C$64:$C$67,MATCH($AI279,'Sublimits and Parts'!$B$64:$B$67,0)),"?")))</f>
        <v/>
      </c>
      <c r="BV279" s="97" t="str">
        <f>IF($A279="","",IF($AJ279="",1,IFERROR(INDEX('Sublimits and Parts'!$C$71:$C$74,MATCH($AJ279,'Sublimits and Parts'!$B$71:$B$74,0)),"?")))</f>
        <v/>
      </c>
      <c r="BW279" s="97" t="str">
        <f>IF($A279="","",IF($AK279="",1,IFERROR(INDEX('Sublimits and Parts'!$C$78:$C$80,MATCH($AK279,'Sublimits and Parts'!$B$78:$B$80,0)),"?")))</f>
        <v/>
      </c>
      <c r="BX279" s="97" t="str">
        <f>IF($A279="","",IF($AL279="",1,IFERROR(INDEX('Sublimits and Parts'!$C$84:$C$87,MATCH($AL279,'Sublimits and Parts'!$B$84:$B$87,0)),"?")))</f>
        <v/>
      </c>
      <c r="BY279" s="97" t="str">
        <f>IF($A279="","",IF($AM279="",1,IFERROR(INDEX('Sublimits and Parts'!$C$91:$C$94,MATCH($AM279,'Sublimits and Parts'!$B$91:$B$94,0)),"?")))</f>
        <v/>
      </c>
      <c r="BZ279" s="97" t="str">
        <f>IF($A279="","",IF($AN279="",1,IFERROR(INDEX('Sublimits and Parts'!$C$98:$C$101,MATCH($AN279,'Sublimits and Parts'!$B$98:$B$101,0)),"?")))</f>
        <v/>
      </c>
      <c r="CA279" s="97" t="str">
        <f>IF($A279="","",IF($AO279="",1,IFERROR(INDEX('Sublimits and Parts'!$C$105:$C$109,MATCH($AO279,'Sublimits and Parts'!$B$105:$B$109,0)),"?")))</f>
        <v/>
      </c>
      <c r="CB279" s="98" t="str">
        <f t="shared" si="54"/>
        <v/>
      </c>
      <c r="CC279" s="98" t="str">
        <f t="shared" si="55"/>
        <v/>
      </c>
      <c r="CD279" s="101" t="str">
        <f>IF($A279="","",IF(OR($CB279="?",$CC279="?"),"?",MIN($CB279*$CC279,'Technical Premium'!$C$17)))</f>
        <v/>
      </c>
      <c r="CE279" s="100" t="str">
        <f t="shared" si="56"/>
        <v/>
      </c>
      <c r="CF279" s="100" t="str">
        <f>IF($A279="","",IFERROR(INDEX('Territory Factors'!$F$6:$F$56,MATCH($K279,'Territory Factors'!$B$6:$B$56,0)),"?"))</f>
        <v/>
      </c>
      <c r="CG279" s="98" t="str">
        <f>IF($A279="","",IFERROR(INDEX('Usage and Coverage'!$C$79:$C$84,MATCH($Y279,'Usage and Coverage'!$B$79:$B$84,0)),"?"))</f>
        <v/>
      </c>
      <c r="CH279" s="100" t="str">
        <f>IFERROR(IF(ISNUMBER($CD279),$CF279*$CG279*MIN($BG279*$BA279*$BC279*$BD279*$BH279*$BF279,'Technical Premium'!$C$17),""),"")</f>
        <v/>
      </c>
      <c r="CI279" s="100" t="str">
        <f t="shared" si="57"/>
        <v/>
      </c>
      <c r="CJ279" s="100" t="str">
        <f>IFERROR($CI279*(1+'Technical Premium'!$C$5)*(1+'Technical Premium'!$C$6),"")</f>
        <v/>
      </c>
      <c r="CK279" s="100" t="str">
        <f>IFERROR($CE279*INDEX('Territory Factors'!$G$6:$G$56,MATCH($K279,'Territory Factors'!$B$6:$B$56,0))*$AU279*$AV279,"")</f>
        <v/>
      </c>
      <c r="CL279" s="100" t="str">
        <f>IFERROR(($CJ279+$CK279)*(1+'Technical Premium'!$C$7),"")</f>
        <v/>
      </c>
      <c r="CM279" s="102" t="str">
        <f>IFERROR($CL279/'Technical Premium'!$C$13,"")</f>
        <v/>
      </c>
      <c r="CN279" s="103" t="str">
        <f t="shared" si="58"/>
        <v/>
      </c>
      <c r="CO279" s="102" t="str">
        <f t="shared" si="59"/>
        <v/>
      </c>
      <c r="CP279" s="103" t="str">
        <f t="shared" si="60"/>
        <v/>
      </c>
      <c r="CQ279" s="104" t="str">
        <f t="shared" si="61"/>
        <v/>
      </c>
      <c r="CR279" s="100" t="str">
        <f>IF(ISNUMBER($CM279),'Technical Premium'!$C$14+IF($J279&gt;=1000000,'Technical Premium'!$C$15,0),"")</f>
        <v/>
      </c>
      <c r="CS279" s="100" t="str">
        <f>IFERROR(($CO279+$CR279)*(INDEX('Territory Factors'!$K$6:$K$56,MATCH($K279,'Territory Factors'!$B$6:$B$56,0))+'Commission Structure'!$C$21),"")</f>
        <v/>
      </c>
      <c r="CT279" s="102" t="str">
        <f t="shared" si="62"/>
        <v/>
      </c>
      <c r="CU279" s="100" t="str">
        <f>IFERROR($CO279*('Commission Structure'!$C$6+'Commission Structure'!$C$7),"")</f>
        <v/>
      </c>
      <c r="CV279" s="100" t="str">
        <f>IFERROR($CO279*'Commission Structure'!$C$5-$CU279,"")</f>
        <v/>
      </c>
      <c r="CW279" s="100" t="str">
        <f>IFERROR($CO279*(1-'Commission Structure'!$C$5),"")</f>
        <v/>
      </c>
      <c r="CX279" s="105" t="str">
        <f>IF($A279="","",IF(OR($CB279="?",$CC279="?",NOT(ISNUMBER($AU279))),"CHECK INPUTS",IF(OR($J279&lt;'Technical Premium'!$C$18,LEFT(IFERROR(INDEX('Driver Factors'!$D$6:$D$15,MATCH($R279,'Driver Factors'!$B$6:$B$15,0)),""),7)="DECLINE",LEFT(IFERROR(INDEX('Driver Factors'!$D$28:$D$36,MATCH($T279,'Driver Factors'!$B$28:$B$36,0)),""),7)="DECLINE",LEFT(IFERROR(INDEX('Claims History'!$D$6:$D$15,MATCH($U279,'Claims History'!$B$6:$B$15,0)),""),7)="DECLINE",LEFT(IFERROR(INDEX('Usage and Coverage'!$E$6:$E$20,MATCH($N279,'Usage and Coverage'!$C$6:$C$20,0)),""),7)="DECLINE"),"DECLINE",IF(OR($CD279&gt;2.5,$CD279&gt;='Technical Premium'!$C$17,$J279&gt;='Technical Premium'!$C$16,N($AQ279)&lt;'Technical Premium'!$C$19,N($AQ279)&gt;'Technical Premium'!$C$20,LEFT(IFERROR(INDEX('Driver Factors'!$D$6:$D$15,MATCH($R279,'Driver Factors'!$B$6:$B$15,0)),""),5)="Refer",LEFT(IFERROR(INDEX('Driver Factors'!$D$28:$D$36,MATCH($T279,'Driver Factors'!$B$28:$B$36,0)),""),5)="Refer",LEFT(IFERROR(INDEX('Claims History'!$D$6:$D$15,MATCH($U279,'Claims History'!$B$6:$B$15,0)),""),5)="Refer",LEFT(IFERROR(INDEX('Usage and Coverage'!$E$6:$E$20,MATCH($N279,'Usage and Coverage'!$C$6:$C$20,0)),""),5)="Refer"),"REFER","AUTO-BIND"))))</f>
        <v/>
      </c>
      <c r="CY279" s="106" t="str">
        <f t="shared" si="63"/>
        <v/>
      </c>
      <c r="CZ279" s="97" t="str">
        <f>IF($CY279="","",IF($CY279&lt;'Technical Premium'!$C$19,"BEYOND AUTHORITY",IF($CY279&gt;0.005,"Above technical",IF($CY279&lt;-0.005,"BELOW technical","At technical"))))</f>
        <v/>
      </c>
      <c r="DA279" s="97" t="str">
        <f>IF($A279="","",IF($CX279="AUTO-BIND","",TRIM(IF($J279&lt;'Technical Premium'!$C$18,"Below programme minimum agreed value. ","")&amp;IF(N($AQ279)&lt;'Technical Premium'!$C$19,"DISCOUNT AUTHORITY BREACH. ","")&amp;IF(N($AQ279)&gt;'Technical Premium'!$C$20,"Load authority breach. ","")&amp;IF($J279&gt;='Technical Premium'!$C$16,"Agreed value at or above auto-bind limit. ","")&amp;IF(AND(ISNUMBER($CD279),$CD279&gt;='Technical Premium'!$C$17),"Composite factor at cap. ","")&amp;IF(AND(ISNUMBER($CD279),$CD279&gt;2.5),"Composite factor above 2.50. ","")&amp;IF(LEFT(IFERROR(INDEX('Driver Factors'!$D$6:$D$15,MATCH($R279,'Driver Factors'!$B$6:$B$15,0)),""),7)="DECLINE","DECLINE - driver age. ",IF(LEFT(IFERROR(INDEX('Driver Factors'!$D$6:$D$15,MATCH($R279,'Driver Factors'!$B$6:$B$15,0)),""),5)="Refer","Driver age band. ",""))&amp;IF(LEFT(IFERROR(INDEX('Driver Factors'!$D$28:$D$36,MATCH($T279,'Driver Factors'!$B$28:$B$36,0)),""),7)="DECLINE","DECLINE - MVR. ",IF(LEFT(IFERROR(INDEX('Driver Factors'!$D$28:$D$36,MATCH($T279,'Driver Factors'!$B$28:$B$36,0)),""),5)="Refer","MVR record. ",""))&amp;IF(LEFT(IFERROR(INDEX('Claims History'!$D$6:$D$15,MATCH($U279,'Claims History'!$B$6:$B$15,0)),""),7)="DECLINE","DECLINE - claims. ",IF(LEFT(IFERROR(INDEX('Claims History'!$D$6:$D$15,MATCH($U279,'Claims History'!$B$6:$B$15,0)),""),5)="Refer","Claims history. ",""))&amp;IF(LEFT(IFERROR(INDEX('Usage and Coverage'!$E$6:$E$20,MATCH($N279,'Usage and Coverage'!$C$6:$C$20,0)),""),7)="DECLINE","DECLINE - usage class. ",IF(LEFT(IFERROR(INDEX('Usage and Coverage'!$E$6:$E$20,MATCH($N279,'Usage and Coverage'!$C$6:$C$20,0)),""),5)="Refer","Usage class. ",""))&amp;IF($CX279="CHECK INPUTS","Incomplete inputs. ",""))))</f>
        <v/>
      </c>
      <c r="DB279" s="92"/>
      <c r="DC279" s="92"/>
      <c r="DD279" s="93"/>
      <c r="DE279" s="92"/>
      <c r="DF279" s="92"/>
      <c r="DG279" s="97" t="str">
        <f t="shared" si="64"/>
        <v/>
      </c>
      <c r="DH279" s="97" t="str">
        <f>IF($A279="","",IF(OR($CX279="REFER",$CX279="DECLINE"),COUNTIF($CX$5:$CX279,"REFER")+COUNTIF($CX$5:$CX279,"DECLINE"),""))</f>
        <v/>
      </c>
      <c r="DI279" s="92"/>
    </row>
    <row r="280" spans="1:113" x14ac:dyDescent="0.25">
      <c r="A280" s="92"/>
      <c r="B280" s="92"/>
      <c r="C280" s="93"/>
      <c r="D280" s="93"/>
      <c r="E280" s="94"/>
      <c r="F280" s="92"/>
      <c r="G280" s="92"/>
      <c r="H280" s="92"/>
      <c r="I280" s="92"/>
      <c r="J280" s="95"/>
      <c r="K280" s="92"/>
      <c r="L280" s="92"/>
      <c r="M280" s="92"/>
      <c r="N280" s="92"/>
      <c r="O280" s="92"/>
      <c r="P280" s="92"/>
      <c r="Q280" s="92"/>
      <c r="R280" s="92"/>
      <c r="S280" s="92"/>
      <c r="T280" s="92"/>
      <c r="U280" s="92"/>
      <c r="V280" s="92"/>
      <c r="W280" s="92"/>
      <c r="X280" s="92"/>
      <c r="Y280" s="92"/>
      <c r="Z280" s="92"/>
      <c r="AA280" s="92"/>
      <c r="AB280" s="92"/>
      <c r="AC280" s="92"/>
      <c r="AD280" s="92"/>
      <c r="AE280" s="92"/>
      <c r="AF280" s="92"/>
      <c r="AG280" s="92"/>
      <c r="AH280" s="92"/>
      <c r="AI280" s="92"/>
      <c r="AJ280" s="92"/>
      <c r="AK280" s="92"/>
      <c r="AL280" s="92"/>
      <c r="AM280" s="92"/>
      <c r="AN280" s="92"/>
      <c r="AO280" s="92"/>
      <c r="AP280" s="92"/>
      <c r="AQ280" s="96"/>
      <c r="AR280" s="97" t="str">
        <f t="shared" si="52"/>
        <v/>
      </c>
      <c r="AS280" s="97" t="str">
        <f>IF($A280="","",IF($AP280&lt;&gt;"",$AP280,IFERROR(INDEX('Cat Zone by ZIP'!$D$6:$D$856,MATCH($AR280,'Cat Zone by ZIP'!$B$6:$B$856,0)),IFERROR(INDEX('Cat Zone by ZIP'!$C$860:$C$910,MATCH($K280,'Cat Zone by ZIP'!$B$860:$B$910,0)),"NOT FOUND"))))</f>
        <v/>
      </c>
      <c r="AT280" s="97" t="str">
        <f>IF($A280="","",IF($AP280&lt;&gt;"","Override",IF(ISNUMBER(MATCH($AR280,'Cat Zone by ZIP'!$B$6:$B$856,0)),"ZIP-3","State default")))</f>
        <v/>
      </c>
      <c r="AU280" s="98" t="str">
        <f>IF($A280="","",IFERROR(INDEX('Natural Catastrophe'!$D$6:$D$17,MATCH($AS280,'Natural Catastrophe'!$B$6:$B$17,0)),"?"))</f>
        <v/>
      </c>
      <c r="AV280" s="98" t="str">
        <f>IF($A280="","",IFERROR(INDEX('Natural Catastrophe'!$C$21:$C$26,MATCH($AA280,'Natural Catastrophe'!$B$21:$B$26,0)),"?"))</f>
        <v/>
      </c>
      <c r="AW280" s="97" t="str">
        <f>IF($A280="","",IFERROR(INDEX('Base Rates'!$C$4:$I$4,MATCH(MAX($J280,'Technical Premium'!$C$18),'Base Rates'!$C$3:$I$3,1)),"?"))</f>
        <v/>
      </c>
      <c r="AX280" s="99" t="str">
        <f>IF($A280="","",IFERROR(INDEX('Base Rates'!$C$5:$I$16,MATCH($I280,'Base Rates'!$B$5:$B$16,0),MATCH(MAX($J280,'Technical Premium'!$C$18),'Base Rates'!$C$3:$I$3,1)),"?"))</f>
        <v/>
      </c>
      <c r="AY280" s="100" t="str">
        <f t="shared" si="53"/>
        <v/>
      </c>
      <c r="AZ280" s="97" t="str">
        <f>IF($A280="","",IFERROR(INDEX('Make Factors'!$G$5:$G$69,MATCH($F280,'Make Factors'!$B$5:$B$69,0)),"?"))</f>
        <v/>
      </c>
      <c r="BA280" s="97" t="str">
        <f>IF($A280="","",IFERROR(INDEX('Driver Factors'!$C$6:$C$15,MATCH($R280,'Driver Factors'!$B$6:$B$15,0)),"?"))</f>
        <v/>
      </c>
      <c r="BB280" s="97" t="str">
        <f>IF($A280="","",IFERROR(INDEX('Driver Factors'!$C$19:$C$24,MATCH($S280,'Driver Factors'!$B$19:$B$24,0)),"?"))</f>
        <v/>
      </c>
      <c r="BC280" s="97" t="str">
        <f>IF($A280="","",IFERROR(INDEX('Driver Factors'!$C$28:$C$36,MATCH($T280,'Driver Factors'!$B$28:$B$36,0)),"?"))</f>
        <v/>
      </c>
      <c r="BD280" s="97" t="str">
        <f>IF($A280="","",IFERROR(INDEX('Claims History'!$C$6:$C$15,MATCH($U280,'Claims History'!$B$6:$B$15,0)),"?"))</f>
        <v/>
      </c>
      <c r="BE280" s="97" t="str">
        <f>IF($A280="","",IFERROR(INDEX('Territory Factors'!$E$6:$E$56,MATCH($K280,'Territory Factors'!$B$6:$B$56,0)),"?"))</f>
        <v/>
      </c>
      <c r="BF280" s="97" t="str">
        <f>IF($A280="","",IFERROR(INDEX('City Accident Ratings'!$G$6:$G$54,MATCH($Z280,'City Accident Ratings'!$B$6:$B$54,0)),"?"))</f>
        <v/>
      </c>
      <c r="BG280" s="97" t="str">
        <f>IF($A280="","",IFERROR(INDEX('Usage and Coverage'!$D$6:$D$20,MATCH($N280,'Usage and Coverage'!$C$6:$C$20,0)),"?"))</f>
        <v/>
      </c>
      <c r="BH280" s="97" t="str">
        <f>IF($A280="","",IFERROR(INDEX('Usage and Coverage'!$C$24:$C$30,MATCH($O280,'Usage and Coverage'!$B$24:$B$30,0)),"?"))</f>
        <v/>
      </c>
      <c r="BI280" s="97" t="str">
        <f>IF($A280="","",IFERROR(INDEX('Usage and Coverage'!$C$34:$C$40,MATCH($P280,'Usage and Coverage'!$B$34:$B$40,0)),"?"))</f>
        <v/>
      </c>
      <c r="BJ280" s="97" t="str">
        <f>IF($A280="","",IFERROR(INDEX('Usage and Coverage'!$C$44:$C$49,MATCH($Q280,'Usage and Coverage'!$B$44:$B$49,0)),"?"))</f>
        <v/>
      </c>
      <c r="BK280" s="97" t="str">
        <f>IF($A280="","",IFERROR(INDEX(Deductibles!$C$6:$I$15,MATCH($W280,Deductibles!$B$6:$B$15,0),MATCH(MAX($J280,'Technical Premium'!$C$18),'Base Rates'!$C$3:$I$3,1)),"?"))</f>
        <v/>
      </c>
      <c r="BL280" s="97" t="str">
        <f>IF($A280="","",IFERROR(INDEX('Usage and Coverage'!$C$63:$C$66,MATCH($X280,'Usage and Coverage'!$B$63:$B$66,0)),"?"))</f>
        <v/>
      </c>
      <c r="BM280" s="97" t="str">
        <f>IF($A280="","",IFERROR(INDEX('Usage and Coverage'!$C$70:$C$75,MATCH($V280,'Usage and Coverage'!$B$70:$B$75,0)),"?"))</f>
        <v/>
      </c>
      <c r="BN280" s="97" t="str">
        <f>IF($A280="","",IF($AB280="",1,IFERROR(INDEX(Deductibles!$C$48:$C$51,MATCH($AB280,Deductibles!$B$48:$B$51,0)),"?")))</f>
        <v/>
      </c>
      <c r="BO280" s="97" t="str">
        <f>IF($A280="","",IF($AC280="",1,IFERROR(INDEX(Deductibles!$C$55:$C$57,MATCH($AC280,Deductibles!$B$55:$B$57,0)),"?")))</f>
        <v/>
      </c>
      <c r="BP280" s="97" t="str">
        <f>IF($A280="","",IF($AD280="",1,IFERROR(INDEX(Deductibles!$C$61:$C$63,MATCH($AD280,Deductibles!$B$61:$B$63,0)),"?")))</f>
        <v/>
      </c>
      <c r="BQ280" s="97" t="str">
        <f>IF($A280="","",IF($AE280="",1,IFERROR(INDEX(Deductibles!$C$67:$C$69,MATCH($AE280,Deductibles!$B$67:$B$69,0)),"?")))</f>
        <v/>
      </c>
      <c r="BR280" s="97" t="str">
        <f>IF($A280="","",IF($AF280="",1,IFERROR(INDEX(Deductibles!$C$73:$C$74,MATCH($AF280,Deductibles!$B$73:$B$74,0)),"?")))</f>
        <v/>
      </c>
      <c r="BS280" s="97" t="str">
        <f>IF($A280="","",IF($AG280="",1,IFERROR(INDEX('Sublimits and Parts'!$C$49:$C$52,MATCH($AG280,'Sublimits and Parts'!$B$49:$B$52,0)),"?")))</f>
        <v/>
      </c>
      <c r="BT280" s="97" t="str">
        <f>IF($A280="","",IF($AH280="",1,IFERROR(INDEX('Sublimits and Parts'!$C$56:$C$60,MATCH($AH280,'Sublimits and Parts'!$B$56:$B$60,0)),"?")))</f>
        <v/>
      </c>
      <c r="BU280" s="97" t="str">
        <f>IF($A280="","",IF($AI280="",1,IFERROR(INDEX('Sublimits and Parts'!$C$64:$C$67,MATCH($AI280,'Sublimits and Parts'!$B$64:$B$67,0)),"?")))</f>
        <v/>
      </c>
      <c r="BV280" s="97" t="str">
        <f>IF($A280="","",IF($AJ280="",1,IFERROR(INDEX('Sublimits and Parts'!$C$71:$C$74,MATCH($AJ280,'Sublimits and Parts'!$B$71:$B$74,0)),"?")))</f>
        <v/>
      </c>
      <c r="BW280" s="97" t="str">
        <f>IF($A280="","",IF($AK280="",1,IFERROR(INDEX('Sublimits and Parts'!$C$78:$C$80,MATCH($AK280,'Sublimits and Parts'!$B$78:$B$80,0)),"?")))</f>
        <v/>
      </c>
      <c r="BX280" s="97" t="str">
        <f>IF($A280="","",IF($AL280="",1,IFERROR(INDEX('Sublimits and Parts'!$C$84:$C$87,MATCH($AL280,'Sublimits and Parts'!$B$84:$B$87,0)),"?")))</f>
        <v/>
      </c>
      <c r="BY280" s="97" t="str">
        <f>IF($A280="","",IF($AM280="",1,IFERROR(INDEX('Sublimits and Parts'!$C$91:$C$94,MATCH($AM280,'Sublimits and Parts'!$B$91:$B$94,0)),"?")))</f>
        <v/>
      </c>
      <c r="BZ280" s="97" t="str">
        <f>IF($A280="","",IF($AN280="",1,IFERROR(INDEX('Sublimits and Parts'!$C$98:$C$101,MATCH($AN280,'Sublimits and Parts'!$B$98:$B$101,0)),"?")))</f>
        <v/>
      </c>
      <c r="CA280" s="97" t="str">
        <f>IF($A280="","",IF($AO280="",1,IFERROR(INDEX('Sublimits and Parts'!$C$105:$C$109,MATCH($AO280,'Sublimits and Parts'!$B$105:$B$109,0)),"?")))</f>
        <v/>
      </c>
      <c r="CB280" s="98" t="str">
        <f t="shared" si="54"/>
        <v/>
      </c>
      <c r="CC280" s="98" t="str">
        <f t="shared" si="55"/>
        <v/>
      </c>
      <c r="CD280" s="101" t="str">
        <f>IF($A280="","",IF(OR($CB280="?",$CC280="?"),"?",MIN($CB280*$CC280,'Technical Premium'!$C$17)))</f>
        <v/>
      </c>
      <c r="CE280" s="100" t="str">
        <f t="shared" si="56"/>
        <v/>
      </c>
      <c r="CF280" s="100" t="str">
        <f>IF($A280="","",IFERROR(INDEX('Territory Factors'!$F$6:$F$56,MATCH($K280,'Territory Factors'!$B$6:$B$56,0)),"?"))</f>
        <v/>
      </c>
      <c r="CG280" s="98" t="str">
        <f>IF($A280="","",IFERROR(INDEX('Usage and Coverage'!$C$79:$C$84,MATCH($Y280,'Usage and Coverage'!$B$79:$B$84,0)),"?"))</f>
        <v/>
      </c>
      <c r="CH280" s="100" t="str">
        <f>IFERROR(IF(ISNUMBER($CD280),$CF280*$CG280*MIN($BG280*$BA280*$BC280*$BD280*$BH280*$BF280,'Technical Premium'!$C$17),""),"")</f>
        <v/>
      </c>
      <c r="CI280" s="100" t="str">
        <f t="shared" si="57"/>
        <v/>
      </c>
      <c r="CJ280" s="100" t="str">
        <f>IFERROR($CI280*(1+'Technical Premium'!$C$5)*(1+'Technical Premium'!$C$6),"")</f>
        <v/>
      </c>
      <c r="CK280" s="100" t="str">
        <f>IFERROR($CE280*INDEX('Territory Factors'!$G$6:$G$56,MATCH($K280,'Territory Factors'!$B$6:$B$56,0))*$AU280*$AV280,"")</f>
        <v/>
      </c>
      <c r="CL280" s="100" t="str">
        <f>IFERROR(($CJ280+$CK280)*(1+'Technical Premium'!$C$7),"")</f>
        <v/>
      </c>
      <c r="CM280" s="102" t="str">
        <f>IFERROR($CL280/'Technical Premium'!$C$13,"")</f>
        <v/>
      </c>
      <c r="CN280" s="103" t="str">
        <f t="shared" si="58"/>
        <v/>
      </c>
      <c r="CO280" s="102" t="str">
        <f t="shared" si="59"/>
        <v/>
      </c>
      <c r="CP280" s="103" t="str">
        <f t="shared" si="60"/>
        <v/>
      </c>
      <c r="CQ280" s="104" t="str">
        <f t="shared" si="61"/>
        <v/>
      </c>
      <c r="CR280" s="100" t="str">
        <f>IF(ISNUMBER($CM280),'Technical Premium'!$C$14+IF($J280&gt;=1000000,'Technical Premium'!$C$15,0),"")</f>
        <v/>
      </c>
      <c r="CS280" s="100" t="str">
        <f>IFERROR(($CO280+$CR280)*(INDEX('Territory Factors'!$K$6:$K$56,MATCH($K280,'Territory Factors'!$B$6:$B$56,0))+'Commission Structure'!$C$21),"")</f>
        <v/>
      </c>
      <c r="CT280" s="102" t="str">
        <f t="shared" si="62"/>
        <v/>
      </c>
      <c r="CU280" s="100" t="str">
        <f>IFERROR($CO280*('Commission Structure'!$C$6+'Commission Structure'!$C$7),"")</f>
        <v/>
      </c>
      <c r="CV280" s="100" t="str">
        <f>IFERROR($CO280*'Commission Structure'!$C$5-$CU280,"")</f>
        <v/>
      </c>
      <c r="CW280" s="100" t="str">
        <f>IFERROR($CO280*(1-'Commission Structure'!$C$5),"")</f>
        <v/>
      </c>
      <c r="CX280" s="105" t="str">
        <f>IF($A280="","",IF(OR($CB280="?",$CC280="?",NOT(ISNUMBER($AU280))),"CHECK INPUTS",IF(OR($J280&lt;'Technical Premium'!$C$18,LEFT(IFERROR(INDEX('Driver Factors'!$D$6:$D$15,MATCH($R280,'Driver Factors'!$B$6:$B$15,0)),""),7)="DECLINE",LEFT(IFERROR(INDEX('Driver Factors'!$D$28:$D$36,MATCH($T280,'Driver Factors'!$B$28:$B$36,0)),""),7)="DECLINE",LEFT(IFERROR(INDEX('Claims History'!$D$6:$D$15,MATCH($U280,'Claims History'!$B$6:$B$15,0)),""),7)="DECLINE",LEFT(IFERROR(INDEX('Usage and Coverage'!$E$6:$E$20,MATCH($N280,'Usage and Coverage'!$C$6:$C$20,0)),""),7)="DECLINE"),"DECLINE",IF(OR($CD280&gt;2.5,$CD280&gt;='Technical Premium'!$C$17,$J280&gt;='Technical Premium'!$C$16,N($AQ280)&lt;'Technical Premium'!$C$19,N($AQ280)&gt;'Technical Premium'!$C$20,LEFT(IFERROR(INDEX('Driver Factors'!$D$6:$D$15,MATCH($R280,'Driver Factors'!$B$6:$B$15,0)),""),5)="Refer",LEFT(IFERROR(INDEX('Driver Factors'!$D$28:$D$36,MATCH($T280,'Driver Factors'!$B$28:$B$36,0)),""),5)="Refer",LEFT(IFERROR(INDEX('Claims History'!$D$6:$D$15,MATCH($U280,'Claims History'!$B$6:$B$15,0)),""),5)="Refer",LEFT(IFERROR(INDEX('Usage and Coverage'!$E$6:$E$20,MATCH($N280,'Usage and Coverage'!$C$6:$C$20,0)),""),5)="Refer"),"REFER","AUTO-BIND"))))</f>
        <v/>
      </c>
      <c r="CY280" s="106" t="str">
        <f t="shared" si="63"/>
        <v/>
      </c>
      <c r="CZ280" s="97" t="str">
        <f>IF($CY280="","",IF($CY280&lt;'Technical Premium'!$C$19,"BEYOND AUTHORITY",IF($CY280&gt;0.005,"Above technical",IF($CY280&lt;-0.005,"BELOW technical","At technical"))))</f>
        <v/>
      </c>
      <c r="DA280" s="97" t="str">
        <f>IF($A280="","",IF($CX280="AUTO-BIND","",TRIM(IF($J280&lt;'Technical Premium'!$C$18,"Below programme minimum agreed value. ","")&amp;IF(N($AQ280)&lt;'Technical Premium'!$C$19,"DISCOUNT AUTHORITY BREACH. ","")&amp;IF(N($AQ280)&gt;'Technical Premium'!$C$20,"Load authority breach. ","")&amp;IF($J280&gt;='Technical Premium'!$C$16,"Agreed value at or above auto-bind limit. ","")&amp;IF(AND(ISNUMBER($CD280),$CD280&gt;='Technical Premium'!$C$17),"Composite factor at cap. ","")&amp;IF(AND(ISNUMBER($CD280),$CD280&gt;2.5),"Composite factor above 2.50. ","")&amp;IF(LEFT(IFERROR(INDEX('Driver Factors'!$D$6:$D$15,MATCH($R280,'Driver Factors'!$B$6:$B$15,0)),""),7)="DECLINE","DECLINE - driver age. ",IF(LEFT(IFERROR(INDEX('Driver Factors'!$D$6:$D$15,MATCH($R280,'Driver Factors'!$B$6:$B$15,0)),""),5)="Refer","Driver age band. ",""))&amp;IF(LEFT(IFERROR(INDEX('Driver Factors'!$D$28:$D$36,MATCH($T280,'Driver Factors'!$B$28:$B$36,0)),""),7)="DECLINE","DECLINE - MVR. ",IF(LEFT(IFERROR(INDEX('Driver Factors'!$D$28:$D$36,MATCH($T280,'Driver Factors'!$B$28:$B$36,0)),""),5)="Refer","MVR record. ",""))&amp;IF(LEFT(IFERROR(INDEX('Claims History'!$D$6:$D$15,MATCH($U280,'Claims History'!$B$6:$B$15,0)),""),7)="DECLINE","DECLINE - claims. ",IF(LEFT(IFERROR(INDEX('Claims History'!$D$6:$D$15,MATCH($U280,'Claims History'!$B$6:$B$15,0)),""),5)="Refer","Claims history. ",""))&amp;IF(LEFT(IFERROR(INDEX('Usage and Coverage'!$E$6:$E$20,MATCH($N280,'Usage and Coverage'!$C$6:$C$20,0)),""),7)="DECLINE","DECLINE - usage class. ",IF(LEFT(IFERROR(INDEX('Usage and Coverage'!$E$6:$E$20,MATCH($N280,'Usage and Coverage'!$C$6:$C$20,0)),""),5)="Refer","Usage class. ",""))&amp;IF($CX280="CHECK INPUTS","Incomplete inputs. ",""))))</f>
        <v/>
      </c>
      <c r="DB280" s="92"/>
      <c r="DC280" s="92"/>
      <c r="DD280" s="93"/>
      <c r="DE280" s="92"/>
      <c r="DF280" s="92"/>
      <c r="DG280" s="97" t="str">
        <f t="shared" si="64"/>
        <v/>
      </c>
      <c r="DH280" s="97" t="str">
        <f>IF($A280="","",IF(OR($CX280="REFER",$CX280="DECLINE"),COUNTIF($CX$5:$CX280,"REFER")+COUNTIF($CX$5:$CX280,"DECLINE"),""))</f>
        <v/>
      </c>
      <c r="DI280" s="92"/>
    </row>
    <row r="281" spans="1:113" x14ac:dyDescent="0.25">
      <c r="A281" s="92"/>
      <c r="B281" s="92"/>
      <c r="C281" s="93"/>
      <c r="D281" s="93"/>
      <c r="E281" s="94"/>
      <c r="F281" s="92"/>
      <c r="G281" s="92"/>
      <c r="H281" s="92"/>
      <c r="I281" s="92"/>
      <c r="J281" s="95"/>
      <c r="K281" s="92"/>
      <c r="L281" s="92"/>
      <c r="M281" s="92"/>
      <c r="N281" s="92"/>
      <c r="O281" s="92"/>
      <c r="P281" s="92"/>
      <c r="Q281" s="92"/>
      <c r="R281" s="92"/>
      <c r="S281" s="92"/>
      <c r="T281" s="92"/>
      <c r="U281" s="92"/>
      <c r="V281" s="92"/>
      <c r="W281" s="92"/>
      <c r="X281" s="92"/>
      <c r="Y281" s="92"/>
      <c r="Z281" s="92"/>
      <c r="AA281" s="92"/>
      <c r="AB281" s="92"/>
      <c r="AC281" s="92"/>
      <c r="AD281" s="92"/>
      <c r="AE281" s="92"/>
      <c r="AF281" s="92"/>
      <c r="AG281" s="92"/>
      <c r="AH281" s="92"/>
      <c r="AI281" s="92"/>
      <c r="AJ281" s="92"/>
      <c r="AK281" s="92"/>
      <c r="AL281" s="92"/>
      <c r="AM281" s="92"/>
      <c r="AN281" s="92"/>
      <c r="AO281" s="92"/>
      <c r="AP281" s="92"/>
      <c r="AQ281" s="96"/>
      <c r="AR281" s="97" t="str">
        <f t="shared" si="52"/>
        <v/>
      </c>
      <c r="AS281" s="97" t="str">
        <f>IF($A281="","",IF($AP281&lt;&gt;"",$AP281,IFERROR(INDEX('Cat Zone by ZIP'!$D$6:$D$856,MATCH($AR281,'Cat Zone by ZIP'!$B$6:$B$856,0)),IFERROR(INDEX('Cat Zone by ZIP'!$C$860:$C$910,MATCH($K281,'Cat Zone by ZIP'!$B$860:$B$910,0)),"NOT FOUND"))))</f>
        <v/>
      </c>
      <c r="AT281" s="97" t="str">
        <f>IF($A281="","",IF($AP281&lt;&gt;"","Override",IF(ISNUMBER(MATCH($AR281,'Cat Zone by ZIP'!$B$6:$B$856,0)),"ZIP-3","State default")))</f>
        <v/>
      </c>
      <c r="AU281" s="98" t="str">
        <f>IF($A281="","",IFERROR(INDEX('Natural Catastrophe'!$D$6:$D$17,MATCH($AS281,'Natural Catastrophe'!$B$6:$B$17,0)),"?"))</f>
        <v/>
      </c>
      <c r="AV281" s="98" t="str">
        <f>IF($A281="","",IFERROR(INDEX('Natural Catastrophe'!$C$21:$C$26,MATCH($AA281,'Natural Catastrophe'!$B$21:$B$26,0)),"?"))</f>
        <v/>
      </c>
      <c r="AW281" s="97" t="str">
        <f>IF($A281="","",IFERROR(INDEX('Base Rates'!$C$4:$I$4,MATCH(MAX($J281,'Technical Premium'!$C$18),'Base Rates'!$C$3:$I$3,1)),"?"))</f>
        <v/>
      </c>
      <c r="AX281" s="99" t="str">
        <f>IF($A281="","",IFERROR(INDEX('Base Rates'!$C$5:$I$16,MATCH($I281,'Base Rates'!$B$5:$B$16,0),MATCH(MAX($J281,'Technical Premium'!$C$18),'Base Rates'!$C$3:$I$3,1)),"?"))</f>
        <v/>
      </c>
      <c r="AY281" s="100" t="str">
        <f t="shared" si="53"/>
        <v/>
      </c>
      <c r="AZ281" s="97" t="str">
        <f>IF($A281="","",IFERROR(INDEX('Make Factors'!$G$5:$G$69,MATCH($F281,'Make Factors'!$B$5:$B$69,0)),"?"))</f>
        <v/>
      </c>
      <c r="BA281" s="97" t="str">
        <f>IF($A281="","",IFERROR(INDEX('Driver Factors'!$C$6:$C$15,MATCH($R281,'Driver Factors'!$B$6:$B$15,0)),"?"))</f>
        <v/>
      </c>
      <c r="BB281" s="97" t="str">
        <f>IF($A281="","",IFERROR(INDEX('Driver Factors'!$C$19:$C$24,MATCH($S281,'Driver Factors'!$B$19:$B$24,0)),"?"))</f>
        <v/>
      </c>
      <c r="BC281" s="97" t="str">
        <f>IF($A281="","",IFERROR(INDEX('Driver Factors'!$C$28:$C$36,MATCH($T281,'Driver Factors'!$B$28:$B$36,0)),"?"))</f>
        <v/>
      </c>
      <c r="BD281" s="97" t="str">
        <f>IF($A281="","",IFERROR(INDEX('Claims History'!$C$6:$C$15,MATCH($U281,'Claims History'!$B$6:$B$15,0)),"?"))</f>
        <v/>
      </c>
      <c r="BE281" s="97" t="str">
        <f>IF($A281="","",IFERROR(INDEX('Territory Factors'!$E$6:$E$56,MATCH($K281,'Territory Factors'!$B$6:$B$56,0)),"?"))</f>
        <v/>
      </c>
      <c r="BF281" s="97" t="str">
        <f>IF($A281="","",IFERROR(INDEX('City Accident Ratings'!$G$6:$G$54,MATCH($Z281,'City Accident Ratings'!$B$6:$B$54,0)),"?"))</f>
        <v/>
      </c>
      <c r="BG281" s="97" t="str">
        <f>IF($A281="","",IFERROR(INDEX('Usage and Coverage'!$D$6:$D$20,MATCH($N281,'Usage and Coverage'!$C$6:$C$20,0)),"?"))</f>
        <v/>
      </c>
      <c r="BH281" s="97" t="str">
        <f>IF($A281="","",IFERROR(INDEX('Usage and Coverage'!$C$24:$C$30,MATCH($O281,'Usage and Coverage'!$B$24:$B$30,0)),"?"))</f>
        <v/>
      </c>
      <c r="BI281" s="97" t="str">
        <f>IF($A281="","",IFERROR(INDEX('Usage and Coverage'!$C$34:$C$40,MATCH($P281,'Usage and Coverage'!$B$34:$B$40,0)),"?"))</f>
        <v/>
      </c>
      <c r="BJ281" s="97" t="str">
        <f>IF($A281="","",IFERROR(INDEX('Usage and Coverage'!$C$44:$C$49,MATCH($Q281,'Usage and Coverage'!$B$44:$B$49,0)),"?"))</f>
        <v/>
      </c>
      <c r="BK281" s="97" t="str">
        <f>IF($A281="","",IFERROR(INDEX(Deductibles!$C$6:$I$15,MATCH($W281,Deductibles!$B$6:$B$15,0),MATCH(MAX($J281,'Technical Premium'!$C$18),'Base Rates'!$C$3:$I$3,1)),"?"))</f>
        <v/>
      </c>
      <c r="BL281" s="97" t="str">
        <f>IF($A281="","",IFERROR(INDEX('Usage and Coverage'!$C$63:$C$66,MATCH($X281,'Usage and Coverage'!$B$63:$B$66,0)),"?"))</f>
        <v/>
      </c>
      <c r="BM281" s="97" t="str">
        <f>IF($A281="","",IFERROR(INDEX('Usage and Coverage'!$C$70:$C$75,MATCH($V281,'Usage and Coverage'!$B$70:$B$75,0)),"?"))</f>
        <v/>
      </c>
      <c r="BN281" s="97" t="str">
        <f>IF($A281="","",IF($AB281="",1,IFERROR(INDEX(Deductibles!$C$48:$C$51,MATCH($AB281,Deductibles!$B$48:$B$51,0)),"?")))</f>
        <v/>
      </c>
      <c r="BO281" s="97" t="str">
        <f>IF($A281="","",IF($AC281="",1,IFERROR(INDEX(Deductibles!$C$55:$C$57,MATCH($AC281,Deductibles!$B$55:$B$57,0)),"?")))</f>
        <v/>
      </c>
      <c r="BP281" s="97" t="str">
        <f>IF($A281="","",IF($AD281="",1,IFERROR(INDEX(Deductibles!$C$61:$C$63,MATCH($AD281,Deductibles!$B$61:$B$63,0)),"?")))</f>
        <v/>
      </c>
      <c r="BQ281" s="97" t="str">
        <f>IF($A281="","",IF($AE281="",1,IFERROR(INDEX(Deductibles!$C$67:$C$69,MATCH($AE281,Deductibles!$B$67:$B$69,0)),"?")))</f>
        <v/>
      </c>
      <c r="BR281" s="97" t="str">
        <f>IF($A281="","",IF($AF281="",1,IFERROR(INDEX(Deductibles!$C$73:$C$74,MATCH($AF281,Deductibles!$B$73:$B$74,0)),"?")))</f>
        <v/>
      </c>
      <c r="BS281" s="97" t="str">
        <f>IF($A281="","",IF($AG281="",1,IFERROR(INDEX('Sublimits and Parts'!$C$49:$C$52,MATCH($AG281,'Sublimits and Parts'!$B$49:$B$52,0)),"?")))</f>
        <v/>
      </c>
      <c r="BT281" s="97" t="str">
        <f>IF($A281="","",IF($AH281="",1,IFERROR(INDEX('Sublimits and Parts'!$C$56:$C$60,MATCH($AH281,'Sublimits and Parts'!$B$56:$B$60,0)),"?")))</f>
        <v/>
      </c>
      <c r="BU281" s="97" t="str">
        <f>IF($A281="","",IF($AI281="",1,IFERROR(INDEX('Sublimits and Parts'!$C$64:$C$67,MATCH($AI281,'Sublimits and Parts'!$B$64:$B$67,0)),"?")))</f>
        <v/>
      </c>
      <c r="BV281" s="97" t="str">
        <f>IF($A281="","",IF($AJ281="",1,IFERROR(INDEX('Sublimits and Parts'!$C$71:$C$74,MATCH($AJ281,'Sublimits and Parts'!$B$71:$B$74,0)),"?")))</f>
        <v/>
      </c>
      <c r="BW281" s="97" t="str">
        <f>IF($A281="","",IF($AK281="",1,IFERROR(INDEX('Sublimits and Parts'!$C$78:$C$80,MATCH($AK281,'Sublimits and Parts'!$B$78:$B$80,0)),"?")))</f>
        <v/>
      </c>
      <c r="BX281" s="97" t="str">
        <f>IF($A281="","",IF($AL281="",1,IFERROR(INDEX('Sublimits and Parts'!$C$84:$C$87,MATCH($AL281,'Sublimits and Parts'!$B$84:$B$87,0)),"?")))</f>
        <v/>
      </c>
      <c r="BY281" s="97" t="str">
        <f>IF($A281="","",IF($AM281="",1,IFERROR(INDEX('Sublimits and Parts'!$C$91:$C$94,MATCH($AM281,'Sublimits and Parts'!$B$91:$B$94,0)),"?")))</f>
        <v/>
      </c>
      <c r="BZ281" s="97" t="str">
        <f>IF($A281="","",IF($AN281="",1,IFERROR(INDEX('Sublimits and Parts'!$C$98:$C$101,MATCH($AN281,'Sublimits and Parts'!$B$98:$B$101,0)),"?")))</f>
        <v/>
      </c>
      <c r="CA281" s="97" t="str">
        <f>IF($A281="","",IF($AO281="",1,IFERROR(INDEX('Sublimits and Parts'!$C$105:$C$109,MATCH($AO281,'Sublimits and Parts'!$B$105:$B$109,0)),"?")))</f>
        <v/>
      </c>
      <c r="CB281" s="98" t="str">
        <f t="shared" si="54"/>
        <v/>
      </c>
      <c r="CC281" s="98" t="str">
        <f t="shared" si="55"/>
        <v/>
      </c>
      <c r="CD281" s="101" t="str">
        <f>IF($A281="","",IF(OR($CB281="?",$CC281="?"),"?",MIN($CB281*$CC281,'Technical Premium'!$C$17)))</f>
        <v/>
      </c>
      <c r="CE281" s="100" t="str">
        <f t="shared" si="56"/>
        <v/>
      </c>
      <c r="CF281" s="100" t="str">
        <f>IF($A281="","",IFERROR(INDEX('Territory Factors'!$F$6:$F$56,MATCH($K281,'Territory Factors'!$B$6:$B$56,0)),"?"))</f>
        <v/>
      </c>
      <c r="CG281" s="98" t="str">
        <f>IF($A281="","",IFERROR(INDEX('Usage and Coverage'!$C$79:$C$84,MATCH($Y281,'Usage and Coverage'!$B$79:$B$84,0)),"?"))</f>
        <v/>
      </c>
      <c r="CH281" s="100" t="str">
        <f>IFERROR(IF(ISNUMBER($CD281),$CF281*$CG281*MIN($BG281*$BA281*$BC281*$BD281*$BH281*$BF281,'Technical Premium'!$C$17),""),"")</f>
        <v/>
      </c>
      <c r="CI281" s="100" t="str">
        <f t="shared" si="57"/>
        <v/>
      </c>
      <c r="CJ281" s="100" t="str">
        <f>IFERROR($CI281*(1+'Technical Premium'!$C$5)*(1+'Technical Premium'!$C$6),"")</f>
        <v/>
      </c>
      <c r="CK281" s="100" t="str">
        <f>IFERROR($CE281*INDEX('Territory Factors'!$G$6:$G$56,MATCH($K281,'Territory Factors'!$B$6:$B$56,0))*$AU281*$AV281,"")</f>
        <v/>
      </c>
      <c r="CL281" s="100" t="str">
        <f>IFERROR(($CJ281+$CK281)*(1+'Technical Premium'!$C$7),"")</f>
        <v/>
      </c>
      <c r="CM281" s="102" t="str">
        <f>IFERROR($CL281/'Technical Premium'!$C$13,"")</f>
        <v/>
      </c>
      <c r="CN281" s="103" t="str">
        <f t="shared" si="58"/>
        <v/>
      </c>
      <c r="CO281" s="102" t="str">
        <f t="shared" si="59"/>
        <v/>
      </c>
      <c r="CP281" s="103" t="str">
        <f t="shared" si="60"/>
        <v/>
      </c>
      <c r="CQ281" s="104" t="str">
        <f t="shared" si="61"/>
        <v/>
      </c>
      <c r="CR281" s="100" t="str">
        <f>IF(ISNUMBER($CM281),'Technical Premium'!$C$14+IF($J281&gt;=1000000,'Technical Premium'!$C$15,0),"")</f>
        <v/>
      </c>
      <c r="CS281" s="100" t="str">
        <f>IFERROR(($CO281+$CR281)*(INDEX('Territory Factors'!$K$6:$K$56,MATCH($K281,'Territory Factors'!$B$6:$B$56,0))+'Commission Structure'!$C$21),"")</f>
        <v/>
      </c>
      <c r="CT281" s="102" t="str">
        <f t="shared" si="62"/>
        <v/>
      </c>
      <c r="CU281" s="100" t="str">
        <f>IFERROR($CO281*('Commission Structure'!$C$6+'Commission Structure'!$C$7),"")</f>
        <v/>
      </c>
      <c r="CV281" s="100" t="str">
        <f>IFERROR($CO281*'Commission Structure'!$C$5-$CU281,"")</f>
        <v/>
      </c>
      <c r="CW281" s="100" t="str">
        <f>IFERROR($CO281*(1-'Commission Structure'!$C$5),"")</f>
        <v/>
      </c>
      <c r="CX281" s="105" t="str">
        <f>IF($A281="","",IF(OR($CB281="?",$CC281="?",NOT(ISNUMBER($AU281))),"CHECK INPUTS",IF(OR($J281&lt;'Technical Premium'!$C$18,LEFT(IFERROR(INDEX('Driver Factors'!$D$6:$D$15,MATCH($R281,'Driver Factors'!$B$6:$B$15,0)),""),7)="DECLINE",LEFT(IFERROR(INDEX('Driver Factors'!$D$28:$D$36,MATCH($T281,'Driver Factors'!$B$28:$B$36,0)),""),7)="DECLINE",LEFT(IFERROR(INDEX('Claims History'!$D$6:$D$15,MATCH($U281,'Claims History'!$B$6:$B$15,0)),""),7)="DECLINE",LEFT(IFERROR(INDEX('Usage and Coverage'!$E$6:$E$20,MATCH($N281,'Usage and Coverage'!$C$6:$C$20,0)),""),7)="DECLINE"),"DECLINE",IF(OR($CD281&gt;2.5,$CD281&gt;='Technical Premium'!$C$17,$J281&gt;='Technical Premium'!$C$16,N($AQ281)&lt;'Technical Premium'!$C$19,N($AQ281)&gt;'Technical Premium'!$C$20,LEFT(IFERROR(INDEX('Driver Factors'!$D$6:$D$15,MATCH($R281,'Driver Factors'!$B$6:$B$15,0)),""),5)="Refer",LEFT(IFERROR(INDEX('Driver Factors'!$D$28:$D$36,MATCH($T281,'Driver Factors'!$B$28:$B$36,0)),""),5)="Refer",LEFT(IFERROR(INDEX('Claims History'!$D$6:$D$15,MATCH($U281,'Claims History'!$B$6:$B$15,0)),""),5)="Refer",LEFT(IFERROR(INDEX('Usage and Coverage'!$E$6:$E$20,MATCH($N281,'Usage and Coverage'!$C$6:$C$20,0)),""),5)="Refer"),"REFER","AUTO-BIND"))))</f>
        <v/>
      </c>
      <c r="CY281" s="106" t="str">
        <f t="shared" si="63"/>
        <v/>
      </c>
      <c r="CZ281" s="97" t="str">
        <f>IF($CY281="","",IF($CY281&lt;'Technical Premium'!$C$19,"BEYOND AUTHORITY",IF($CY281&gt;0.005,"Above technical",IF($CY281&lt;-0.005,"BELOW technical","At technical"))))</f>
        <v/>
      </c>
      <c r="DA281" s="97" t="str">
        <f>IF($A281="","",IF($CX281="AUTO-BIND","",TRIM(IF($J281&lt;'Technical Premium'!$C$18,"Below programme minimum agreed value. ","")&amp;IF(N($AQ281)&lt;'Technical Premium'!$C$19,"DISCOUNT AUTHORITY BREACH. ","")&amp;IF(N($AQ281)&gt;'Technical Premium'!$C$20,"Load authority breach. ","")&amp;IF($J281&gt;='Technical Premium'!$C$16,"Agreed value at or above auto-bind limit. ","")&amp;IF(AND(ISNUMBER($CD281),$CD281&gt;='Technical Premium'!$C$17),"Composite factor at cap. ","")&amp;IF(AND(ISNUMBER($CD281),$CD281&gt;2.5),"Composite factor above 2.50. ","")&amp;IF(LEFT(IFERROR(INDEX('Driver Factors'!$D$6:$D$15,MATCH($R281,'Driver Factors'!$B$6:$B$15,0)),""),7)="DECLINE","DECLINE - driver age. ",IF(LEFT(IFERROR(INDEX('Driver Factors'!$D$6:$D$15,MATCH($R281,'Driver Factors'!$B$6:$B$15,0)),""),5)="Refer","Driver age band. ",""))&amp;IF(LEFT(IFERROR(INDEX('Driver Factors'!$D$28:$D$36,MATCH($T281,'Driver Factors'!$B$28:$B$36,0)),""),7)="DECLINE","DECLINE - MVR. ",IF(LEFT(IFERROR(INDEX('Driver Factors'!$D$28:$D$36,MATCH($T281,'Driver Factors'!$B$28:$B$36,0)),""),5)="Refer","MVR record. ",""))&amp;IF(LEFT(IFERROR(INDEX('Claims History'!$D$6:$D$15,MATCH($U281,'Claims History'!$B$6:$B$15,0)),""),7)="DECLINE","DECLINE - claims. ",IF(LEFT(IFERROR(INDEX('Claims History'!$D$6:$D$15,MATCH($U281,'Claims History'!$B$6:$B$15,0)),""),5)="Refer","Claims history. ",""))&amp;IF(LEFT(IFERROR(INDEX('Usage and Coverage'!$E$6:$E$20,MATCH($N281,'Usage and Coverage'!$C$6:$C$20,0)),""),7)="DECLINE","DECLINE - usage class. ",IF(LEFT(IFERROR(INDEX('Usage and Coverage'!$E$6:$E$20,MATCH($N281,'Usage and Coverage'!$C$6:$C$20,0)),""),5)="Refer","Usage class. ",""))&amp;IF($CX281="CHECK INPUTS","Incomplete inputs. ",""))))</f>
        <v/>
      </c>
      <c r="DB281" s="92"/>
      <c r="DC281" s="92"/>
      <c r="DD281" s="93"/>
      <c r="DE281" s="92"/>
      <c r="DF281" s="92"/>
      <c r="DG281" s="97" t="str">
        <f t="shared" si="64"/>
        <v/>
      </c>
      <c r="DH281" s="97" t="str">
        <f>IF($A281="","",IF(OR($CX281="REFER",$CX281="DECLINE"),COUNTIF($CX$5:$CX281,"REFER")+COUNTIF($CX$5:$CX281,"DECLINE"),""))</f>
        <v/>
      </c>
      <c r="DI281" s="92"/>
    </row>
    <row r="282" spans="1:113" x14ac:dyDescent="0.25">
      <c r="A282" s="92"/>
      <c r="B282" s="92"/>
      <c r="C282" s="93"/>
      <c r="D282" s="93"/>
      <c r="E282" s="94"/>
      <c r="F282" s="92"/>
      <c r="G282" s="92"/>
      <c r="H282" s="92"/>
      <c r="I282" s="92"/>
      <c r="J282" s="95"/>
      <c r="K282" s="92"/>
      <c r="L282" s="92"/>
      <c r="M282" s="92"/>
      <c r="N282" s="92"/>
      <c r="O282" s="92"/>
      <c r="P282" s="92"/>
      <c r="Q282" s="92"/>
      <c r="R282" s="92"/>
      <c r="S282" s="92"/>
      <c r="T282" s="92"/>
      <c r="U282" s="92"/>
      <c r="V282" s="92"/>
      <c r="W282" s="92"/>
      <c r="X282" s="92"/>
      <c r="Y282" s="92"/>
      <c r="Z282" s="92"/>
      <c r="AA282" s="92"/>
      <c r="AB282" s="92"/>
      <c r="AC282" s="92"/>
      <c r="AD282" s="92"/>
      <c r="AE282" s="92"/>
      <c r="AF282" s="92"/>
      <c r="AG282" s="92"/>
      <c r="AH282" s="92"/>
      <c r="AI282" s="92"/>
      <c r="AJ282" s="92"/>
      <c r="AK282" s="92"/>
      <c r="AL282" s="92"/>
      <c r="AM282" s="92"/>
      <c r="AN282" s="92"/>
      <c r="AO282" s="92"/>
      <c r="AP282" s="92"/>
      <c r="AQ282" s="96"/>
      <c r="AR282" s="97" t="str">
        <f t="shared" si="52"/>
        <v/>
      </c>
      <c r="AS282" s="97" t="str">
        <f>IF($A282="","",IF($AP282&lt;&gt;"",$AP282,IFERROR(INDEX('Cat Zone by ZIP'!$D$6:$D$856,MATCH($AR282,'Cat Zone by ZIP'!$B$6:$B$856,0)),IFERROR(INDEX('Cat Zone by ZIP'!$C$860:$C$910,MATCH($K282,'Cat Zone by ZIP'!$B$860:$B$910,0)),"NOT FOUND"))))</f>
        <v/>
      </c>
      <c r="AT282" s="97" t="str">
        <f>IF($A282="","",IF($AP282&lt;&gt;"","Override",IF(ISNUMBER(MATCH($AR282,'Cat Zone by ZIP'!$B$6:$B$856,0)),"ZIP-3","State default")))</f>
        <v/>
      </c>
      <c r="AU282" s="98" t="str">
        <f>IF($A282="","",IFERROR(INDEX('Natural Catastrophe'!$D$6:$D$17,MATCH($AS282,'Natural Catastrophe'!$B$6:$B$17,0)),"?"))</f>
        <v/>
      </c>
      <c r="AV282" s="98" t="str">
        <f>IF($A282="","",IFERROR(INDEX('Natural Catastrophe'!$C$21:$C$26,MATCH($AA282,'Natural Catastrophe'!$B$21:$B$26,0)),"?"))</f>
        <v/>
      </c>
      <c r="AW282" s="97" t="str">
        <f>IF($A282="","",IFERROR(INDEX('Base Rates'!$C$4:$I$4,MATCH(MAX($J282,'Technical Premium'!$C$18),'Base Rates'!$C$3:$I$3,1)),"?"))</f>
        <v/>
      </c>
      <c r="AX282" s="99" t="str">
        <f>IF($A282="","",IFERROR(INDEX('Base Rates'!$C$5:$I$16,MATCH($I282,'Base Rates'!$B$5:$B$16,0),MATCH(MAX($J282,'Technical Premium'!$C$18),'Base Rates'!$C$3:$I$3,1)),"?"))</f>
        <v/>
      </c>
      <c r="AY282" s="100" t="str">
        <f t="shared" si="53"/>
        <v/>
      </c>
      <c r="AZ282" s="97" t="str">
        <f>IF($A282="","",IFERROR(INDEX('Make Factors'!$G$5:$G$69,MATCH($F282,'Make Factors'!$B$5:$B$69,0)),"?"))</f>
        <v/>
      </c>
      <c r="BA282" s="97" t="str">
        <f>IF($A282="","",IFERROR(INDEX('Driver Factors'!$C$6:$C$15,MATCH($R282,'Driver Factors'!$B$6:$B$15,0)),"?"))</f>
        <v/>
      </c>
      <c r="BB282" s="97" t="str">
        <f>IF($A282="","",IFERROR(INDEX('Driver Factors'!$C$19:$C$24,MATCH($S282,'Driver Factors'!$B$19:$B$24,0)),"?"))</f>
        <v/>
      </c>
      <c r="BC282" s="97" t="str">
        <f>IF($A282="","",IFERROR(INDEX('Driver Factors'!$C$28:$C$36,MATCH($T282,'Driver Factors'!$B$28:$B$36,0)),"?"))</f>
        <v/>
      </c>
      <c r="BD282" s="97" t="str">
        <f>IF($A282="","",IFERROR(INDEX('Claims History'!$C$6:$C$15,MATCH($U282,'Claims History'!$B$6:$B$15,0)),"?"))</f>
        <v/>
      </c>
      <c r="BE282" s="97" t="str">
        <f>IF($A282="","",IFERROR(INDEX('Territory Factors'!$E$6:$E$56,MATCH($K282,'Territory Factors'!$B$6:$B$56,0)),"?"))</f>
        <v/>
      </c>
      <c r="BF282" s="97" t="str">
        <f>IF($A282="","",IFERROR(INDEX('City Accident Ratings'!$G$6:$G$54,MATCH($Z282,'City Accident Ratings'!$B$6:$B$54,0)),"?"))</f>
        <v/>
      </c>
      <c r="BG282" s="97" t="str">
        <f>IF($A282="","",IFERROR(INDEX('Usage and Coverage'!$D$6:$D$20,MATCH($N282,'Usage and Coverage'!$C$6:$C$20,0)),"?"))</f>
        <v/>
      </c>
      <c r="BH282" s="97" t="str">
        <f>IF($A282="","",IFERROR(INDEX('Usage and Coverage'!$C$24:$C$30,MATCH($O282,'Usage and Coverage'!$B$24:$B$30,0)),"?"))</f>
        <v/>
      </c>
      <c r="BI282" s="97" t="str">
        <f>IF($A282="","",IFERROR(INDEX('Usage and Coverage'!$C$34:$C$40,MATCH($P282,'Usage and Coverage'!$B$34:$B$40,0)),"?"))</f>
        <v/>
      </c>
      <c r="BJ282" s="97" t="str">
        <f>IF($A282="","",IFERROR(INDEX('Usage and Coverage'!$C$44:$C$49,MATCH($Q282,'Usage and Coverage'!$B$44:$B$49,0)),"?"))</f>
        <v/>
      </c>
      <c r="BK282" s="97" t="str">
        <f>IF($A282="","",IFERROR(INDEX(Deductibles!$C$6:$I$15,MATCH($W282,Deductibles!$B$6:$B$15,0),MATCH(MAX($J282,'Technical Premium'!$C$18),'Base Rates'!$C$3:$I$3,1)),"?"))</f>
        <v/>
      </c>
      <c r="BL282" s="97" t="str">
        <f>IF($A282="","",IFERROR(INDEX('Usage and Coverage'!$C$63:$C$66,MATCH($X282,'Usage and Coverage'!$B$63:$B$66,0)),"?"))</f>
        <v/>
      </c>
      <c r="BM282" s="97" t="str">
        <f>IF($A282="","",IFERROR(INDEX('Usage and Coverage'!$C$70:$C$75,MATCH($V282,'Usage and Coverage'!$B$70:$B$75,0)),"?"))</f>
        <v/>
      </c>
      <c r="BN282" s="97" t="str">
        <f>IF($A282="","",IF($AB282="",1,IFERROR(INDEX(Deductibles!$C$48:$C$51,MATCH($AB282,Deductibles!$B$48:$B$51,0)),"?")))</f>
        <v/>
      </c>
      <c r="BO282" s="97" t="str">
        <f>IF($A282="","",IF($AC282="",1,IFERROR(INDEX(Deductibles!$C$55:$C$57,MATCH($AC282,Deductibles!$B$55:$B$57,0)),"?")))</f>
        <v/>
      </c>
      <c r="BP282" s="97" t="str">
        <f>IF($A282="","",IF($AD282="",1,IFERROR(INDEX(Deductibles!$C$61:$C$63,MATCH($AD282,Deductibles!$B$61:$B$63,0)),"?")))</f>
        <v/>
      </c>
      <c r="BQ282" s="97" t="str">
        <f>IF($A282="","",IF($AE282="",1,IFERROR(INDEX(Deductibles!$C$67:$C$69,MATCH($AE282,Deductibles!$B$67:$B$69,0)),"?")))</f>
        <v/>
      </c>
      <c r="BR282" s="97" t="str">
        <f>IF($A282="","",IF($AF282="",1,IFERROR(INDEX(Deductibles!$C$73:$C$74,MATCH($AF282,Deductibles!$B$73:$B$74,0)),"?")))</f>
        <v/>
      </c>
      <c r="BS282" s="97" t="str">
        <f>IF($A282="","",IF($AG282="",1,IFERROR(INDEX('Sublimits and Parts'!$C$49:$C$52,MATCH($AG282,'Sublimits and Parts'!$B$49:$B$52,0)),"?")))</f>
        <v/>
      </c>
      <c r="BT282" s="97" t="str">
        <f>IF($A282="","",IF($AH282="",1,IFERROR(INDEX('Sublimits and Parts'!$C$56:$C$60,MATCH($AH282,'Sublimits and Parts'!$B$56:$B$60,0)),"?")))</f>
        <v/>
      </c>
      <c r="BU282" s="97" t="str">
        <f>IF($A282="","",IF($AI282="",1,IFERROR(INDEX('Sublimits and Parts'!$C$64:$C$67,MATCH($AI282,'Sublimits and Parts'!$B$64:$B$67,0)),"?")))</f>
        <v/>
      </c>
      <c r="BV282" s="97" t="str">
        <f>IF($A282="","",IF($AJ282="",1,IFERROR(INDEX('Sublimits and Parts'!$C$71:$C$74,MATCH($AJ282,'Sublimits and Parts'!$B$71:$B$74,0)),"?")))</f>
        <v/>
      </c>
      <c r="BW282" s="97" t="str">
        <f>IF($A282="","",IF($AK282="",1,IFERROR(INDEX('Sublimits and Parts'!$C$78:$C$80,MATCH($AK282,'Sublimits and Parts'!$B$78:$B$80,0)),"?")))</f>
        <v/>
      </c>
      <c r="BX282" s="97" t="str">
        <f>IF($A282="","",IF($AL282="",1,IFERROR(INDEX('Sublimits and Parts'!$C$84:$C$87,MATCH($AL282,'Sublimits and Parts'!$B$84:$B$87,0)),"?")))</f>
        <v/>
      </c>
      <c r="BY282" s="97" t="str">
        <f>IF($A282="","",IF($AM282="",1,IFERROR(INDEX('Sublimits and Parts'!$C$91:$C$94,MATCH($AM282,'Sublimits and Parts'!$B$91:$B$94,0)),"?")))</f>
        <v/>
      </c>
      <c r="BZ282" s="97" t="str">
        <f>IF($A282="","",IF($AN282="",1,IFERROR(INDEX('Sublimits and Parts'!$C$98:$C$101,MATCH($AN282,'Sublimits and Parts'!$B$98:$B$101,0)),"?")))</f>
        <v/>
      </c>
      <c r="CA282" s="97" t="str">
        <f>IF($A282="","",IF($AO282="",1,IFERROR(INDEX('Sublimits and Parts'!$C$105:$C$109,MATCH($AO282,'Sublimits and Parts'!$B$105:$B$109,0)),"?")))</f>
        <v/>
      </c>
      <c r="CB282" s="98" t="str">
        <f t="shared" si="54"/>
        <v/>
      </c>
      <c r="CC282" s="98" t="str">
        <f t="shared" si="55"/>
        <v/>
      </c>
      <c r="CD282" s="101" t="str">
        <f>IF($A282="","",IF(OR($CB282="?",$CC282="?"),"?",MIN($CB282*$CC282,'Technical Premium'!$C$17)))</f>
        <v/>
      </c>
      <c r="CE282" s="100" t="str">
        <f t="shared" si="56"/>
        <v/>
      </c>
      <c r="CF282" s="100" t="str">
        <f>IF($A282="","",IFERROR(INDEX('Territory Factors'!$F$6:$F$56,MATCH($K282,'Territory Factors'!$B$6:$B$56,0)),"?"))</f>
        <v/>
      </c>
      <c r="CG282" s="98" t="str">
        <f>IF($A282="","",IFERROR(INDEX('Usage and Coverage'!$C$79:$C$84,MATCH($Y282,'Usage and Coverage'!$B$79:$B$84,0)),"?"))</f>
        <v/>
      </c>
      <c r="CH282" s="100" t="str">
        <f>IFERROR(IF(ISNUMBER($CD282),$CF282*$CG282*MIN($BG282*$BA282*$BC282*$BD282*$BH282*$BF282,'Technical Premium'!$C$17),""),"")</f>
        <v/>
      </c>
      <c r="CI282" s="100" t="str">
        <f t="shared" si="57"/>
        <v/>
      </c>
      <c r="CJ282" s="100" t="str">
        <f>IFERROR($CI282*(1+'Technical Premium'!$C$5)*(1+'Technical Premium'!$C$6),"")</f>
        <v/>
      </c>
      <c r="CK282" s="100" t="str">
        <f>IFERROR($CE282*INDEX('Territory Factors'!$G$6:$G$56,MATCH($K282,'Territory Factors'!$B$6:$B$56,0))*$AU282*$AV282,"")</f>
        <v/>
      </c>
      <c r="CL282" s="100" t="str">
        <f>IFERROR(($CJ282+$CK282)*(1+'Technical Premium'!$C$7),"")</f>
        <v/>
      </c>
      <c r="CM282" s="102" t="str">
        <f>IFERROR($CL282/'Technical Premium'!$C$13,"")</f>
        <v/>
      </c>
      <c r="CN282" s="103" t="str">
        <f t="shared" si="58"/>
        <v/>
      </c>
      <c r="CO282" s="102" t="str">
        <f t="shared" si="59"/>
        <v/>
      </c>
      <c r="CP282" s="103" t="str">
        <f t="shared" si="60"/>
        <v/>
      </c>
      <c r="CQ282" s="104" t="str">
        <f t="shared" si="61"/>
        <v/>
      </c>
      <c r="CR282" s="100" t="str">
        <f>IF(ISNUMBER($CM282),'Technical Premium'!$C$14+IF($J282&gt;=1000000,'Technical Premium'!$C$15,0),"")</f>
        <v/>
      </c>
      <c r="CS282" s="100" t="str">
        <f>IFERROR(($CO282+$CR282)*(INDEX('Territory Factors'!$K$6:$K$56,MATCH($K282,'Territory Factors'!$B$6:$B$56,0))+'Commission Structure'!$C$21),"")</f>
        <v/>
      </c>
      <c r="CT282" s="102" t="str">
        <f t="shared" si="62"/>
        <v/>
      </c>
      <c r="CU282" s="100" t="str">
        <f>IFERROR($CO282*('Commission Structure'!$C$6+'Commission Structure'!$C$7),"")</f>
        <v/>
      </c>
      <c r="CV282" s="100" t="str">
        <f>IFERROR($CO282*'Commission Structure'!$C$5-$CU282,"")</f>
        <v/>
      </c>
      <c r="CW282" s="100" t="str">
        <f>IFERROR($CO282*(1-'Commission Structure'!$C$5),"")</f>
        <v/>
      </c>
      <c r="CX282" s="105" t="str">
        <f>IF($A282="","",IF(OR($CB282="?",$CC282="?",NOT(ISNUMBER($AU282))),"CHECK INPUTS",IF(OR($J282&lt;'Technical Premium'!$C$18,LEFT(IFERROR(INDEX('Driver Factors'!$D$6:$D$15,MATCH($R282,'Driver Factors'!$B$6:$B$15,0)),""),7)="DECLINE",LEFT(IFERROR(INDEX('Driver Factors'!$D$28:$D$36,MATCH($T282,'Driver Factors'!$B$28:$B$36,0)),""),7)="DECLINE",LEFT(IFERROR(INDEX('Claims History'!$D$6:$D$15,MATCH($U282,'Claims History'!$B$6:$B$15,0)),""),7)="DECLINE",LEFT(IFERROR(INDEX('Usage and Coverage'!$E$6:$E$20,MATCH($N282,'Usage and Coverage'!$C$6:$C$20,0)),""),7)="DECLINE"),"DECLINE",IF(OR($CD282&gt;2.5,$CD282&gt;='Technical Premium'!$C$17,$J282&gt;='Technical Premium'!$C$16,N($AQ282)&lt;'Technical Premium'!$C$19,N($AQ282)&gt;'Technical Premium'!$C$20,LEFT(IFERROR(INDEX('Driver Factors'!$D$6:$D$15,MATCH($R282,'Driver Factors'!$B$6:$B$15,0)),""),5)="Refer",LEFT(IFERROR(INDEX('Driver Factors'!$D$28:$D$36,MATCH($T282,'Driver Factors'!$B$28:$B$36,0)),""),5)="Refer",LEFT(IFERROR(INDEX('Claims History'!$D$6:$D$15,MATCH($U282,'Claims History'!$B$6:$B$15,0)),""),5)="Refer",LEFT(IFERROR(INDEX('Usage and Coverage'!$E$6:$E$20,MATCH($N282,'Usage and Coverage'!$C$6:$C$20,0)),""),5)="Refer"),"REFER","AUTO-BIND"))))</f>
        <v/>
      </c>
      <c r="CY282" s="106" t="str">
        <f t="shared" si="63"/>
        <v/>
      </c>
      <c r="CZ282" s="97" t="str">
        <f>IF($CY282="","",IF($CY282&lt;'Technical Premium'!$C$19,"BEYOND AUTHORITY",IF($CY282&gt;0.005,"Above technical",IF($CY282&lt;-0.005,"BELOW technical","At technical"))))</f>
        <v/>
      </c>
      <c r="DA282" s="97" t="str">
        <f>IF($A282="","",IF($CX282="AUTO-BIND","",TRIM(IF($J282&lt;'Technical Premium'!$C$18,"Below programme minimum agreed value. ","")&amp;IF(N($AQ282)&lt;'Technical Premium'!$C$19,"DISCOUNT AUTHORITY BREACH. ","")&amp;IF(N($AQ282)&gt;'Technical Premium'!$C$20,"Load authority breach. ","")&amp;IF($J282&gt;='Technical Premium'!$C$16,"Agreed value at or above auto-bind limit. ","")&amp;IF(AND(ISNUMBER($CD282),$CD282&gt;='Technical Premium'!$C$17),"Composite factor at cap. ","")&amp;IF(AND(ISNUMBER($CD282),$CD282&gt;2.5),"Composite factor above 2.50. ","")&amp;IF(LEFT(IFERROR(INDEX('Driver Factors'!$D$6:$D$15,MATCH($R282,'Driver Factors'!$B$6:$B$15,0)),""),7)="DECLINE","DECLINE - driver age. ",IF(LEFT(IFERROR(INDEX('Driver Factors'!$D$6:$D$15,MATCH($R282,'Driver Factors'!$B$6:$B$15,0)),""),5)="Refer","Driver age band. ",""))&amp;IF(LEFT(IFERROR(INDEX('Driver Factors'!$D$28:$D$36,MATCH($T282,'Driver Factors'!$B$28:$B$36,0)),""),7)="DECLINE","DECLINE - MVR. ",IF(LEFT(IFERROR(INDEX('Driver Factors'!$D$28:$D$36,MATCH($T282,'Driver Factors'!$B$28:$B$36,0)),""),5)="Refer","MVR record. ",""))&amp;IF(LEFT(IFERROR(INDEX('Claims History'!$D$6:$D$15,MATCH($U282,'Claims History'!$B$6:$B$15,0)),""),7)="DECLINE","DECLINE - claims. ",IF(LEFT(IFERROR(INDEX('Claims History'!$D$6:$D$15,MATCH($U282,'Claims History'!$B$6:$B$15,0)),""),5)="Refer","Claims history. ",""))&amp;IF(LEFT(IFERROR(INDEX('Usage and Coverage'!$E$6:$E$20,MATCH($N282,'Usage and Coverage'!$C$6:$C$20,0)),""),7)="DECLINE","DECLINE - usage class. ",IF(LEFT(IFERROR(INDEX('Usage and Coverage'!$E$6:$E$20,MATCH($N282,'Usage and Coverage'!$C$6:$C$20,0)),""),5)="Refer","Usage class. ",""))&amp;IF($CX282="CHECK INPUTS","Incomplete inputs. ",""))))</f>
        <v/>
      </c>
      <c r="DB282" s="92"/>
      <c r="DC282" s="92"/>
      <c r="DD282" s="93"/>
      <c r="DE282" s="92"/>
      <c r="DF282" s="92"/>
      <c r="DG282" s="97" t="str">
        <f t="shared" si="64"/>
        <v/>
      </c>
      <c r="DH282" s="97" t="str">
        <f>IF($A282="","",IF(OR($CX282="REFER",$CX282="DECLINE"),COUNTIF($CX$5:$CX282,"REFER")+COUNTIF($CX$5:$CX282,"DECLINE"),""))</f>
        <v/>
      </c>
      <c r="DI282" s="92"/>
    </row>
    <row r="283" spans="1:113" x14ac:dyDescent="0.25">
      <c r="A283" s="92"/>
      <c r="B283" s="92"/>
      <c r="C283" s="93"/>
      <c r="D283" s="93"/>
      <c r="E283" s="94"/>
      <c r="F283" s="92"/>
      <c r="G283" s="92"/>
      <c r="H283" s="92"/>
      <c r="I283" s="92"/>
      <c r="J283" s="95"/>
      <c r="K283" s="92"/>
      <c r="L283" s="92"/>
      <c r="M283" s="92"/>
      <c r="N283" s="92"/>
      <c r="O283" s="92"/>
      <c r="P283" s="92"/>
      <c r="Q283" s="92"/>
      <c r="R283" s="92"/>
      <c r="S283" s="92"/>
      <c r="T283" s="92"/>
      <c r="U283" s="92"/>
      <c r="V283" s="92"/>
      <c r="W283" s="92"/>
      <c r="X283" s="92"/>
      <c r="Y283" s="92"/>
      <c r="Z283" s="92"/>
      <c r="AA283" s="92"/>
      <c r="AB283" s="92"/>
      <c r="AC283" s="92"/>
      <c r="AD283" s="92"/>
      <c r="AE283" s="92"/>
      <c r="AF283" s="92"/>
      <c r="AG283" s="92"/>
      <c r="AH283" s="92"/>
      <c r="AI283" s="92"/>
      <c r="AJ283" s="92"/>
      <c r="AK283" s="92"/>
      <c r="AL283" s="92"/>
      <c r="AM283" s="92"/>
      <c r="AN283" s="92"/>
      <c r="AO283" s="92"/>
      <c r="AP283" s="92"/>
      <c r="AQ283" s="96"/>
      <c r="AR283" s="97" t="str">
        <f t="shared" si="52"/>
        <v/>
      </c>
      <c r="AS283" s="97" t="str">
        <f>IF($A283="","",IF($AP283&lt;&gt;"",$AP283,IFERROR(INDEX('Cat Zone by ZIP'!$D$6:$D$856,MATCH($AR283,'Cat Zone by ZIP'!$B$6:$B$856,0)),IFERROR(INDEX('Cat Zone by ZIP'!$C$860:$C$910,MATCH($K283,'Cat Zone by ZIP'!$B$860:$B$910,0)),"NOT FOUND"))))</f>
        <v/>
      </c>
      <c r="AT283" s="97" t="str">
        <f>IF($A283="","",IF($AP283&lt;&gt;"","Override",IF(ISNUMBER(MATCH($AR283,'Cat Zone by ZIP'!$B$6:$B$856,0)),"ZIP-3","State default")))</f>
        <v/>
      </c>
      <c r="AU283" s="98" t="str">
        <f>IF($A283="","",IFERROR(INDEX('Natural Catastrophe'!$D$6:$D$17,MATCH($AS283,'Natural Catastrophe'!$B$6:$B$17,0)),"?"))</f>
        <v/>
      </c>
      <c r="AV283" s="98" t="str">
        <f>IF($A283="","",IFERROR(INDEX('Natural Catastrophe'!$C$21:$C$26,MATCH($AA283,'Natural Catastrophe'!$B$21:$B$26,0)),"?"))</f>
        <v/>
      </c>
      <c r="AW283" s="97" t="str">
        <f>IF($A283="","",IFERROR(INDEX('Base Rates'!$C$4:$I$4,MATCH(MAX($J283,'Technical Premium'!$C$18),'Base Rates'!$C$3:$I$3,1)),"?"))</f>
        <v/>
      </c>
      <c r="AX283" s="99" t="str">
        <f>IF($A283="","",IFERROR(INDEX('Base Rates'!$C$5:$I$16,MATCH($I283,'Base Rates'!$B$5:$B$16,0),MATCH(MAX($J283,'Technical Premium'!$C$18),'Base Rates'!$C$3:$I$3,1)),"?"))</f>
        <v/>
      </c>
      <c r="AY283" s="100" t="str">
        <f t="shared" si="53"/>
        <v/>
      </c>
      <c r="AZ283" s="97" t="str">
        <f>IF($A283="","",IFERROR(INDEX('Make Factors'!$G$5:$G$69,MATCH($F283,'Make Factors'!$B$5:$B$69,0)),"?"))</f>
        <v/>
      </c>
      <c r="BA283" s="97" t="str">
        <f>IF($A283="","",IFERROR(INDEX('Driver Factors'!$C$6:$C$15,MATCH($R283,'Driver Factors'!$B$6:$B$15,0)),"?"))</f>
        <v/>
      </c>
      <c r="BB283" s="97" t="str">
        <f>IF($A283="","",IFERROR(INDEX('Driver Factors'!$C$19:$C$24,MATCH($S283,'Driver Factors'!$B$19:$B$24,0)),"?"))</f>
        <v/>
      </c>
      <c r="BC283" s="97" t="str">
        <f>IF($A283="","",IFERROR(INDEX('Driver Factors'!$C$28:$C$36,MATCH($T283,'Driver Factors'!$B$28:$B$36,0)),"?"))</f>
        <v/>
      </c>
      <c r="BD283" s="97" t="str">
        <f>IF($A283="","",IFERROR(INDEX('Claims History'!$C$6:$C$15,MATCH($U283,'Claims History'!$B$6:$B$15,0)),"?"))</f>
        <v/>
      </c>
      <c r="BE283" s="97" t="str">
        <f>IF($A283="","",IFERROR(INDEX('Territory Factors'!$E$6:$E$56,MATCH($K283,'Territory Factors'!$B$6:$B$56,0)),"?"))</f>
        <v/>
      </c>
      <c r="BF283" s="97" t="str">
        <f>IF($A283="","",IFERROR(INDEX('City Accident Ratings'!$G$6:$G$54,MATCH($Z283,'City Accident Ratings'!$B$6:$B$54,0)),"?"))</f>
        <v/>
      </c>
      <c r="BG283" s="97" t="str">
        <f>IF($A283="","",IFERROR(INDEX('Usage and Coverage'!$D$6:$D$20,MATCH($N283,'Usage and Coverage'!$C$6:$C$20,0)),"?"))</f>
        <v/>
      </c>
      <c r="BH283" s="97" t="str">
        <f>IF($A283="","",IFERROR(INDEX('Usage and Coverage'!$C$24:$C$30,MATCH($O283,'Usage and Coverage'!$B$24:$B$30,0)),"?"))</f>
        <v/>
      </c>
      <c r="BI283" s="97" t="str">
        <f>IF($A283="","",IFERROR(INDEX('Usage and Coverage'!$C$34:$C$40,MATCH($P283,'Usage and Coverage'!$B$34:$B$40,0)),"?"))</f>
        <v/>
      </c>
      <c r="BJ283" s="97" t="str">
        <f>IF($A283="","",IFERROR(INDEX('Usage and Coverage'!$C$44:$C$49,MATCH($Q283,'Usage and Coverage'!$B$44:$B$49,0)),"?"))</f>
        <v/>
      </c>
      <c r="BK283" s="97" t="str">
        <f>IF($A283="","",IFERROR(INDEX(Deductibles!$C$6:$I$15,MATCH($W283,Deductibles!$B$6:$B$15,0),MATCH(MAX($J283,'Technical Premium'!$C$18),'Base Rates'!$C$3:$I$3,1)),"?"))</f>
        <v/>
      </c>
      <c r="BL283" s="97" t="str">
        <f>IF($A283="","",IFERROR(INDEX('Usage and Coverage'!$C$63:$C$66,MATCH($X283,'Usage and Coverage'!$B$63:$B$66,0)),"?"))</f>
        <v/>
      </c>
      <c r="BM283" s="97" t="str">
        <f>IF($A283="","",IFERROR(INDEX('Usage and Coverage'!$C$70:$C$75,MATCH($V283,'Usage and Coverage'!$B$70:$B$75,0)),"?"))</f>
        <v/>
      </c>
      <c r="BN283" s="97" t="str">
        <f>IF($A283="","",IF($AB283="",1,IFERROR(INDEX(Deductibles!$C$48:$C$51,MATCH($AB283,Deductibles!$B$48:$B$51,0)),"?")))</f>
        <v/>
      </c>
      <c r="BO283" s="97" t="str">
        <f>IF($A283="","",IF($AC283="",1,IFERROR(INDEX(Deductibles!$C$55:$C$57,MATCH($AC283,Deductibles!$B$55:$B$57,0)),"?")))</f>
        <v/>
      </c>
      <c r="BP283" s="97" t="str">
        <f>IF($A283="","",IF($AD283="",1,IFERROR(INDEX(Deductibles!$C$61:$C$63,MATCH($AD283,Deductibles!$B$61:$B$63,0)),"?")))</f>
        <v/>
      </c>
      <c r="BQ283" s="97" t="str">
        <f>IF($A283="","",IF($AE283="",1,IFERROR(INDEX(Deductibles!$C$67:$C$69,MATCH($AE283,Deductibles!$B$67:$B$69,0)),"?")))</f>
        <v/>
      </c>
      <c r="BR283" s="97" t="str">
        <f>IF($A283="","",IF($AF283="",1,IFERROR(INDEX(Deductibles!$C$73:$C$74,MATCH($AF283,Deductibles!$B$73:$B$74,0)),"?")))</f>
        <v/>
      </c>
      <c r="BS283" s="97" t="str">
        <f>IF($A283="","",IF($AG283="",1,IFERROR(INDEX('Sublimits and Parts'!$C$49:$C$52,MATCH($AG283,'Sublimits and Parts'!$B$49:$B$52,0)),"?")))</f>
        <v/>
      </c>
      <c r="BT283" s="97" t="str">
        <f>IF($A283="","",IF($AH283="",1,IFERROR(INDEX('Sublimits and Parts'!$C$56:$C$60,MATCH($AH283,'Sublimits and Parts'!$B$56:$B$60,0)),"?")))</f>
        <v/>
      </c>
      <c r="BU283" s="97" t="str">
        <f>IF($A283="","",IF($AI283="",1,IFERROR(INDEX('Sublimits and Parts'!$C$64:$C$67,MATCH($AI283,'Sublimits and Parts'!$B$64:$B$67,0)),"?")))</f>
        <v/>
      </c>
      <c r="BV283" s="97" t="str">
        <f>IF($A283="","",IF($AJ283="",1,IFERROR(INDEX('Sublimits and Parts'!$C$71:$C$74,MATCH($AJ283,'Sublimits and Parts'!$B$71:$B$74,0)),"?")))</f>
        <v/>
      </c>
      <c r="BW283" s="97" t="str">
        <f>IF($A283="","",IF($AK283="",1,IFERROR(INDEX('Sublimits and Parts'!$C$78:$C$80,MATCH($AK283,'Sublimits and Parts'!$B$78:$B$80,0)),"?")))</f>
        <v/>
      </c>
      <c r="BX283" s="97" t="str">
        <f>IF($A283="","",IF($AL283="",1,IFERROR(INDEX('Sublimits and Parts'!$C$84:$C$87,MATCH($AL283,'Sublimits and Parts'!$B$84:$B$87,0)),"?")))</f>
        <v/>
      </c>
      <c r="BY283" s="97" t="str">
        <f>IF($A283="","",IF($AM283="",1,IFERROR(INDEX('Sublimits and Parts'!$C$91:$C$94,MATCH($AM283,'Sublimits and Parts'!$B$91:$B$94,0)),"?")))</f>
        <v/>
      </c>
      <c r="BZ283" s="97" t="str">
        <f>IF($A283="","",IF($AN283="",1,IFERROR(INDEX('Sublimits and Parts'!$C$98:$C$101,MATCH($AN283,'Sublimits and Parts'!$B$98:$B$101,0)),"?")))</f>
        <v/>
      </c>
      <c r="CA283" s="97" t="str">
        <f>IF($A283="","",IF($AO283="",1,IFERROR(INDEX('Sublimits and Parts'!$C$105:$C$109,MATCH($AO283,'Sublimits and Parts'!$B$105:$B$109,0)),"?")))</f>
        <v/>
      </c>
      <c r="CB283" s="98" t="str">
        <f t="shared" si="54"/>
        <v/>
      </c>
      <c r="CC283" s="98" t="str">
        <f t="shared" si="55"/>
        <v/>
      </c>
      <c r="CD283" s="101" t="str">
        <f>IF($A283="","",IF(OR($CB283="?",$CC283="?"),"?",MIN($CB283*$CC283,'Technical Premium'!$C$17)))</f>
        <v/>
      </c>
      <c r="CE283" s="100" t="str">
        <f t="shared" si="56"/>
        <v/>
      </c>
      <c r="CF283" s="100" t="str">
        <f>IF($A283="","",IFERROR(INDEX('Territory Factors'!$F$6:$F$56,MATCH($K283,'Territory Factors'!$B$6:$B$56,0)),"?"))</f>
        <v/>
      </c>
      <c r="CG283" s="98" t="str">
        <f>IF($A283="","",IFERROR(INDEX('Usage and Coverage'!$C$79:$C$84,MATCH($Y283,'Usage and Coverage'!$B$79:$B$84,0)),"?"))</f>
        <v/>
      </c>
      <c r="CH283" s="100" t="str">
        <f>IFERROR(IF(ISNUMBER($CD283),$CF283*$CG283*MIN($BG283*$BA283*$BC283*$BD283*$BH283*$BF283,'Technical Premium'!$C$17),""),"")</f>
        <v/>
      </c>
      <c r="CI283" s="100" t="str">
        <f t="shared" si="57"/>
        <v/>
      </c>
      <c r="CJ283" s="100" t="str">
        <f>IFERROR($CI283*(1+'Technical Premium'!$C$5)*(1+'Technical Premium'!$C$6),"")</f>
        <v/>
      </c>
      <c r="CK283" s="100" t="str">
        <f>IFERROR($CE283*INDEX('Territory Factors'!$G$6:$G$56,MATCH($K283,'Territory Factors'!$B$6:$B$56,0))*$AU283*$AV283,"")</f>
        <v/>
      </c>
      <c r="CL283" s="100" t="str">
        <f>IFERROR(($CJ283+$CK283)*(1+'Technical Premium'!$C$7),"")</f>
        <v/>
      </c>
      <c r="CM283" s="102" t="str">
        <f>IFERROR($CL283/'Technical Premium'!$C$13,"")</f>
        <v/>
      </c>
      <c r="CN283" s="103" t="str">
        <f t="shared" si="58"/>
        <v/>
      </c>
      <c r="CO283" s="102" t="str">
        <f t="shared" si="59"/>
        <v/>
      </c>
      <c r="CP283" s="103" t="str">
        <f t="shared" si="60"/>
        <v/>
      </c>
      <c r="CQ283" s="104" t="str">
        <f t="shared" si="61"/>
        <v/>
      </c>
      <c r="CR283" s="100" t="str">
        <f>IF(ISNUMBER($CM283),'Technical Premium'!$C$14+IF($J283&gt;=1000000,'Technical Premium'!$C$15,0),"")</f>
        <v/>
      </c>
      <c r="CS283" s="100" t="str">
        <f>IFERROR(($CO283+$CR283)*(INDEX('Territory Factors'!$K$6:$K$56,MATCH($K283,'Territory Factors'!$B$6:$B$56,0))+'Commission Structure'!$C$21),"")</f>
        <v/>
      </c>
      <c r="CT283" s="102" t="str">
        <f t="shared" si="62"/>
        <v/>
      </c>
      <c r="CU283" s="100" t="str">
        <f>IFERROR($CO283*('Commission Structure'!$C$6+'Commission Structure'!$C$7),"")</f>
        <v/>
      </c>
      <c r="CV283" s="100" t="str">
        <f>IFERROR($CO283*'Commission Structure'!$C$5-$CU283,"")</f>
        <v/>
      </c>
      <c r="CW283" s="100" t="str">
        <f>IFERROR($CO283*(1-'Commission Structure'!$C$5),"")</f>
        <v/>
      </c>
      <c r="CX283" s="105" t="str">
        <f>IF($A283="","",IF(OR($CB283="?",$CC283="?",NOT(ISNUMBER($AU283))),"CHECK INPUTS",IF(OR($J283&lt;'Technical Premium'!$C$18,LEFT(IFERROR(INDEX('Driver Factors'!$D$6:$D$15,MATCH($R283,'Driver Factors'!$B$6:$B$15,0)),""),7)="DECLINE",LEFT(IFERROR(INDEX('Driver Factors'!$D$28:$D$36,MATCH($T283,'Driver Factors'!$B$28:$B$36,0)),""),7)="DECLINE",LEFT(IFERROR(INDEX('Claims History'!$D$6:$D$15,MATCH($U283,'Claims History'!$B$6:$B$15,0)),""),7)="DECLINE",LEFT(IFERROR(INDEX('Usage and Coverage'!$E$6:$E$20,MATCH($N283,'Usage and Coverage'!$C$6:$C$20,0)),""),7)="DECLINE"),"DECLINE",IF(OR($CD283&gt;2.5,$CD283&gt;='Technical Premium'!$C$17,$J283&gt;='Technical Premium'!$C$16,N($AQ283)&lt;'Technical Premium'!$C$19,N($AQ283)&gt;'Technical Premium'!$C$20,LEFT(IFERROR(INDEX('Driver Factors'!$D$6:$D$15,MATCH($R283,'Driver Factors'!$B$6:$B$15,0)),""),5)="Refer",LEFT(IFERROR(INDEX('Driver Factors'!$D$28:$D$36,MATCH($T283,'Driver Factors'!$B$28:$B$36,0)),""),5)="Refer",LEFT(IFERROR(INDEX('Claims History'!$D$6:$D$15,MATCH($U283,'Claims History'!$B$6:$B$15,0)),""),5)="Refer",LEFT(IFERROR(INDEX('Usage and Coverage'!$E$6:$E$20,MATCH($N283,'Usage and Coverage'!$C$6:$C$20,0)),""),5)="Refer"),"REFER","AUTO-BIND"))))</f>
        <v/>
      </c>
      <c r="CY283" s="106" t="str">
        <f t="shared" si="63"/>
        <v/>
      </c>
      <c r="CZ283" s="97" t="str">
        <f>IF($CY283="","",IF($CY283&lt;'Technical Premium'!$C$19,"BEYOND AUTHORITY",IF($CY283&gt;0.005,"Above technical",IF($CY283&lt;-0.005,"BELOW technical","At technical"))))</f>
        <v/>
      </c>
      <c r="DA283" s="97" t="str">
        <f>IF($A283="","",IF($CX283="AUTO-BIND","",TRIM(IF($J283&lt;'Technical Premium'!$C$18,"Below programme minimum agreed value. ","")&amp;IF(N($AQ283)&lt;'Technical Premium'!$C$19,"DISCOUNT AUTHORITY BREACH. ","")&amp;IF(N($AQ283)&gt;'Technical Premium'!$C$20,"Load authority breach. ","")&amp;IF($J283&gt;='Technical Premium'!$C$16,"Agreed value at or above auto-bind limit. ","")&amp;IF(AND(ISNUMBER($CD283),$CD283&gt;='Technical Premium'!$C$17),"Composite factor at cap. ","")&amp;IF(AND(ISNUMBER($CD283),$CD283&gt;2.5),"Composite factor above 2.50. ","")&amp;IF(LEFT(IFERROR(INDEX('Driver Factors'!$D$6:$D$15,MATCH($R283,'Driver Factors'!$B$6:$B$15,0)),""),7)="DECLINE","DECLINE - driver age. ",IF(LEFT(IFERROR(INDEX('Driver Factors'!$D$6:$D$15,MATCH($R283,'Driver Factors'!$B$6:$B$15,0)),""),5)="Refer","Driver age band. ",""))&amp;IF(LEFT(IFERROR(INDEX('Driver Factors'!$D$28:$D$36,MATCH($T283,'Driver Factors'!$B$28:$B$36,0)),""),7)="DECLINE","DECLINE - MVR. ",IF(LEFT(IFERROR(INDEX('Driver Factors'!$D$28:$D$36,MATCH($T283,'Driver Factors'!$B$28:$B$36,0)),""),5)="Refer","MVR record. ",""))&amp;IF(LEFT(IFERROR(INDEX('Claims History'!$D$6:$D$15,MATCH($U283,'Claims History'!$B$6:$B$15,0)),""),7)="DECLINE","DECLINE - claims. ",IF(LEFT(IFERROR(INDEX('Claims History'!$D$6:$D$15,MATCH($U283,'Claims History'!$B$6:$B$15,0)),""),5)="Refer","Claims history. ",""))&amp;IF(LEFT(IFERROR(INDEX('Usage and Coverage'!$E$6:$E$20,MATCH($N283,'Usage and Coverage'!$C$6:$C$20,0)),""),7)="DECLINE","DECLINE - usage class. ",IF(LEFT(IFERROR(INDEX('Usage and Coverage'!$E$6:$E$20,MATCH($N283,'Usage and Coverage'!$C$6:$C$20,0)),""),5)="Refer","Usage class. ",""))&amp;IF($CX283="CHECK INPUTS","Incomplete inputs. ",""))))</f>
        <v/>
      </c>
      <c r="DB283" s="92"/>
      <c r="DC283" s="92"/>
      <c r="DD283" s="93"/>
      <c r="DE283" s="92"/>
      <c r="DF283" s="92"/>
      <c r="DG283" s="97" t="str">
        <f t="shared" si="64"/>
        <v/>
      </c>
      <c r="DH283" s="97" t="str">
        <f>IF($A283="","",IF(OR($CX283="REFER",$CX283="DECLINE"),COUNTIF($CX$5:$CX283,"REFER")+COUNTIF($CX$5:$CX283,"DECLINE"),""))</f>
        <v/>
      </c>
      <c r="DI283" s="92"/>
    </row>
    <row r="284" spans="1:113" x14ac:dyDescent="0.25">
      <c r="A284" s="92"/>
      <c r="B284" s="92"/>
      <c r="C284" s="93"/>
      <c r="D284" s="93"/>
      <c r="E284" s="94"/>
      <c r="F284" s="92"/>
      <c r="G284" s="92"/>
      <c r="H284" s="92"/>
      <c r="I284" s="92"/>
      <c r="J284" s="95"/>
      <c r="K284" s="92"/>
      <c r="L284" s="92"/>
      <c r="M284" s="92"/>
      <c r="N284" s="92"/>
      <c r="O284" s="92"/>
      <c r="P284" s="92"/>
      <c r="Q284" s="92"/>
      <c r="R284" s="92"/>
      <c r="S284" s="92"/>
      <c r="T284" s="92"/>
      <c r="U284" s="92"/>
      <c r="V284" s="92"/>
      <c r="W284" s="92"/>
      <c r="X284" s="92"/>
      <c r="Y284" s="92"/>
      <c r="Z284" s="92"/>
      <c r="AA284" s="92"/>
      <c r="AB284" s="92"/>
      <c r="AC284" s="92"/>
      <c r="AD284" s="92"/>
      <c r="AE284" s="92"/>
      <c r="AF284" s="92"/>
      <c r="AG284" s="92"/>
      <c r="AH284" s="92"/>
      <c r="AI284" s="92"/>
      <c r="AJ284" s="92"/>
      <c r="AK284" s="92"/>
      <c r="AL284" s="92"/>
      <c r="AM284" s="92"/>
      <c r="AN284" s="92"/>
      <c r="AO284" s="92"/>
      <c r="AP284" s="92"/>
      <c r="AQ284" s="96"/>
      <c r="AR284" s="97" t="str">
        <f t="shared" si="52"/>
        <v/>
      </c>
      <c r="AS284" s="97" t="str">
        <f>IF($A284="","",IF($AP284&lt;&gt;"",$AP284,IFERROR(INDEX('Cat Zone by ZIP'!$D$6:$D$856,MATCH($AR284,'Cat Zone by ZIP'!$B$6:$B$856,0)),IFERROR(INDEX('Cat Zone by ZIP'!$C$860:$C$910,MATCH($K284,'Cat Zone by ZIP'!$B$860:$B$910,0)),"NOT FOUND"))))</f>
        <v/>
      </c>
      <c r="AT284" s="97" t="str">
        <f>IF($A284="","",IF($AP284&lt;&gt;"","Override",IF(ISNUMBER(MATCH($AR284,'Cat Zone by ZIP'!$B$6:$B$856,0)),"ZIP-3","State default")))</f>
        <v/>
      </c>
      <c r="AU284" s="98" t="str">
        <f>IF($A284="","",IFERROR(INDEX('Natural Catastrophe'!$D$6:$D$17,MATCH($AS284,'Natural Catastrophe'!$B$6:$B$17,0)),"?"))</f>
        <v/>
      </c>
      <c r="AV284" s="98" t="str">
        <f>IF($A284="","",IFERROR(INDEX('Natural Catastrophe'!$C$21:$C$26,MATCH($AA284,'Natural Catastrophe'!$B$21:$B$26,0)),"?"))</f>
        <v/>
      </c>
      <c r="AW284" s="97" t="str">
        <f>IF($A284="","",IFERROR(INDEX('Base Rates'!$C$4:$I$4,MATCH(MAX($J284,'Technical Premium'!$C$18),'Base Rates'!$C$3:$I$3,1)),"?"))</f>
        <v/>
      </c>
      <c r="AX284" s="99" t="str">
        <f>IF($A284="","",IFERROR(INDEX('Base Rates'!$C$5:$I$16,MATCH($I284,'Base Rates'!$B$5:$B$16,0),MATCH(MAX($J284,'Technical Premium'!$C$18),'Base Rates'!$C$3:$I$3,1)),"?"))</f>
        <v/>
      </c>
      <c r="AY284" s="100" t="str">
        <f t="shared" si="53"/>
        <v/>
      </c>
      <c r="AZ284" s="97" t="str">
        <f>IF($A284="","",IFERROR(INDEX('Make Factors'!$G$5:$G$69,MATCH($F284,'Make Factors'!$B$5:$B$69,0)),"?"))</f>
        <v/>
      </c>
      <c r="BA284" s="97" t="str">
        <f>IF($A284="","",IFERROR(INDEX('Driver Factors'!$C$6:$C$15,MATCH($R284,'Driver Factors'!$B$6:$B$15,0)),"?"))</f>
        <v/>
      </c>
      <c r="BB284" s="97" t="str">
        <f>IF($A284="","",IFERROR(INDEX('Driver Factors'!$C$19:$C$24,MATCH($S284,'Driver Factors'!$B$19:$B$24,0)),"?"))</f>
        <v/>
      </c>
      <c r="BC284" s="97" t="str">
        <f>IF($A284="","",IFERROR(INDEX('Driver Factors'!$C$28:$C$36,MATCH($T284,'Driver Factors'!$B$28:$B$36,0)),"?"))</f>
        <v/>
      </c>
      <c r="BD284" s="97" t="str">
        <f>IF($A284="","",IFERROR(INDEX('Claims History'!$C$6:$C$15,MATCH($U284,'Claims History'!$B$6:$B$15,0)),"?"))</f>
        <v/>
      </c>
      <c r="BE284" s="97" t="str">
        <f>IF($A284="","",IFERROR(INDEX('Territory Factors'!$E$6:$E$56,MATCH($K284,'Territory Factors'!$B$6:$B$56,0)),"?"))</f>
        <v/>
      </c>
      <c r="BF284" s="97" t="str">
        <f>IF($A284="","",IFERROR(INDEX('City Accident Ratings'!$G$6:$G$54,MATCH($Z284,'City Accident Ratings'!$B$6:$B$54,0)),"?"))</f>
        <v/>
      </c>
      <c r="BG284" s="97" t="str">
        <f>IF($A284="","",IFERROR(INDEX('Usage and Coverage'!$D$6:$D$20,MATCH($N284,'Usage and Coverage'!$C$6:$C$20,0)),"?"))</f>
        <v/>
      </c>
      <c r="BH284" s="97" t="str">
        <f>IF($A284="","",IFERROR(INDEX('Usage and Coverage'!$C$24:$C$30,MATCH($O284,'Usage and Coverage'!$B$24:$B$30,0)),"?"))</f>
        <v/>
      </c>
      <c r="BI284" s="97" t="str">
        <f>IF($A284="","",IFERROR(INDEX('Usage and Coverage'!$C$34:$C$40,MATCH($P284,'Usage and Coverage'!$B$34:$B$40,0)),"?"))</f>
        <v/>
      </c>
      <c r="BJ284" s="97" t="str">
        <f>IF($A284="","",IFERROR(INDEX('Usage and Coverage'!$C$44:$C$49,MATCH($Q284,'Usage and Coverage'!$B$44:$B$49,0)),"?"))</f>
        <v/>
      </c>
      <c r="BK284" s="97" t="str">
        <f>IF($A284="","",IFERROR(INDEX(Deductibles!$C$6:$I$15,MATCH($W284,Deductibles!$B$6:$B$15,0),MATCH(MAX($J284,'Technical Premium'!$C$18),'Base Rates'!$C$3:$I$3,1)),"?"))</f>
        <v/>
      </c>
      <c r="BL284" s="97" t="str">
        <f>IF($A284="","",IFERROR(INDEX('Usage and Coverage'!$C$63:$C$66,MATCH($X284,'Usage and Coverage'!$B$63:$B$66,0)),"?"))</f>
        <v/>
      </c>
      <c r="BM284" s="97" t="str">
        <f>IF($A284="","",IFERROR(INDEX('Usage and Coverage'!$C$70:$C$75,MATCH($V284,'Usage and Coverage'!$B$70:$B$75,0)),"?"))</f>
        <v/>
      </c>
      <c r="BN284" s="97" t="str">
        <f>IF($A284="","",IF($AB284="",1,IFERROR(INDEX(Deductibles!$C$48:$C$51,MATCH($AB284,Deductibles!$B$48:$B$51,0)),"?")))</f>
        <v/>
      </c>
      <c r="BO284" s="97" t="str">
        <f>IF($A284="","",IF($AC284="",1,IFERROR(INDEX(Deductibles!$C$55:$C$57,MATCH($AC284,Deductibles!$B$55:$B$57,0)),"?")))</f>
        <v/>
      </c>
      <c r="BP284" s="97" t="str">
        <f>IF($A284="","",IF($AD284="",1,IFERROR(INDEX(Deductibles!$C$61:$C$63,MATCH($AD284,Deductibles!$B$61:$B$63,0)),"?")))</f>
        <v/>
      </c>
      <c r="BQ284" s="97" t="str">
        <f>IF($A284="","",IF($AE284="",1,IFERROR(INDEX(Deductibles!$C$67:$C$69,MATCH($AE284,Deductibles!$B$67:$B$69,0)),"?")))</f>
        <v/>
      </c>
      <c r="BR284" s="97" t="str">
        <f>IF($A284="","",IF($AF284="",1,IFERROR(INDEX(Deductibles!$C$73:$C$74,MATCH($AF284,Deductibles!$B$73:$B$74,0)),"?")))</f>
        <v/>
      </c>
      <c r="BS284" s="97" t="str">
        <f>IF($A284="","",IF($AG284="",1,IFERROR(INDEX('Sublimits and Parts'!$C$49:$C$52,MATCH($AG284,'Sublimits and Parts'!$B$49:$B$52,0)),"?")))</f>
        <v/>
      </c>
      <c r="BT284" s="97" t="str">
        <f>IF($A284="","",IF($AH284="",1,IFERROR(INDEX('Sublimits and Parts'!$C$56:$C$60,MATCH($AH284,'Sublimits and Parts'!$B$56:$B$60,0)),"?")))</f>
        <v/>
      </c>
      <c r="BU284" s="97" t="str">
        <f>IF($A284="","",IF($AI284="",1,IFERROR(INDEX('Sublimits and Parts'!$C$64:$C$67,MATCH($AI284,'Sublimits and Parts'!$B$64:$B$67,0)),"?")))</f>
        <v/>
      </c>
      <c r="BV284" s="97" t="str">
        <f>IF($A284="","",IF($AJ284="",1,IFERROR(INDEX('Sublimits and Parts'!$C$71:$C$74,MATCH($AJ284,'Sublimits and Parts'!$B$71:$B$74,0)),"?")))</f>
        <v/>
      </c>
      <c r="BW284" s="97" t="str">
        <f>IF($A284="","",IF($AK284="",1,IFERROR(INDEX('Sublimits and Parts'!$C$78:$C$80,MATCH($AK284,'Sublimits and Parts'!$B$78:$B$80,0)),"?")))</f>
        <v/>
      </c>
      <c r="BX284" s="97" t="str">
        <f>IF($A284="","",IF($AL284="",1,IFERROR(INDEX('Sublimits and Parts'!$C$84:$C$87,MATCH($AL284,'Sublimits and Parts'!$B$84:$B$87,0)),"?")))</f>
        <v/>
      </c>
      <c r="BY284" s="97" t="str">
        <f>IF($A284="","",IF($AM284="",1,IFERROR(INDEX('Sublimits and Parts'!$C$91:$C$94,MATCH($AM284,'Sublimits and Parts'!$B$91:$B$94,0)),"?")))</f>
        <v/>
      </c>
      <c r="BZ284" s="97" t="str">
        <f>IF($A284="","",IF($AN284="",1,IFERROR(INDEX('Sublimits and Parts'!$C$98:$C$101,MATCH($AN284,'Sublimits and Parts'!$B$98:$B$101,0)),"?")))</f>
        <v/>
      </c>
      <c r="CA284" s="97" t="str">
        <f>IF($A284="","",IF($AO284="",1,IFERROR(INDEX('Sublimits and Parts'!$C$105:$C$109,MATCH($AO284,'Sublimits and Parts'!$B$105:$B$109,0)),"?")))</f>
        <v/>
      </c>
      <c r="CB284" s="98" t="str">
        <f t="shared" si="54"/>
        <v/>
      </c>
      <c r="CC284" s="98" t="str">
        <f t="shared" si="55"/>
        <v/>
      </c>
      <c r="CD284" s="101" t="str">
        <f>IF($A284="","",IF(OR($CB284="?",$CC284="?"),"?",MIN($CB284*$CC284,'Technical Premium'!$C$17)))</f>
        <v/>
      </c>
      <c r="CE284" s="100" t="str">
        <f t="shared" si="56"/>
        <v/>
      </c>
      <c r="CF284" s="100" t="str">
        <f>IF($A284="","",IFERROR(INDEX('Territory Factors'!$F$6:$F$56,MATCH($K284,'Territory Factors'!$B$6:$B$56,0)),"?"))</f>
        <v/>
      </c>
      <c r="CG284" s="98" t="str">
        <f>IF($A284="","",IFERROR(INDEX('Usage and Coverage'!$C$79:$C$84,MATCH($Y284,'Usage and Coverage'!$B$79:$B$84,0)),"?"))</f>
        <v/>
      </c>
      <c r="CH284" s="100" t="str">
        <f>IFERROR(IF(ISNUMBER($CD284),$CF284*$CG284*MIN($BG284*$BA284*$BC284*$BD284*$BH284*$BF284,'Technical Premium'!$C$17),""),"")</f>
        <v/>
      </c>
      <c r="CI284" s="100" t="str">
        <f t="shared" si="57"/>
        <v/>
      </c>
      <c r="CJ284" s="100" t="str">
        <f>IFERROR($CI284*(1+'Technical Premium'!$C$5)*(1+'Technical Premium'!$C$6),"")</f>
        <v/>
      </c>
      <c r="CK284" s="100" t="str">
        <f>IFERROR($CE284*INDEX('Territory Factors'!$G$6:$G$56,MATCH($K284,'Territory Factors'!$B$6:$B$56,0))*$AU284*$AV284,"")</f>
        <v/>
      </c>
      <c r="CL284" s="100" t="str">
        <f>IFERROR(($CJ284+$CK284)*(1+'Technical Premium'!$C$7),"")</f>
        <v/>
      </c>
      <c r="CM284" s="102" t="str">
        <f>IFERROR($CL284/'Technical Premium'!$C$13,"")</f>
        <v/>
      </c>
      <c r="CN284" s="103" t="str">
        <f t="shared" si="58"/>
        <v/>
      </c>
      <c r="CO284" s="102" t="str">
        <f t="shared" si="59"/>
        <v/>
      </c>
      <c r="CP284" s="103" t="str">
        <f t="shared" si="60"/>
        <v/>
      </c>
      <c r="CQ284" s="104" t="str">
        <f t="shared" si="61"/>
        <v/>
      </c>
      <c r="CR284" s="100" t="str">
        <f>IF(ISNUMBER($CM284),'Technical Premium'!$C$14+IF($J284&gt;=1000000,'Technical Premium'!$C$15,0),"")</f>
        <v/>
      </c>
      <c r="CS284" s="100" t="str">
        <f>IFERROR(($CO284+$CR284)*(INDEX('Territory Factors'!$K$6:$K$56,MATCH($K284,'Territory Factors'!$B$6:$B$56,0))+'Commission Structure'!$C$21),"")</f>
        <v/>
      </c>
      <c r="CT284" s="102" t="str">
        <f t="shared" si="62"/>
        <v/>
      </c>
      <c r="CU284" s="100" t="str">
        <f>IFERROR($CO284*('Commission Structure'!$C$6+'Commission Structure'!$C$7),"")</f>
        <v/>
      </c>
      <c r="CV284" s="100" t="str">
        <f>IFERROR($CO284*'Commission Structure'!$C$5-$CU284,"")</f>
        <v/>
      </c>
      <c r="CW284" s="100" t="str">
        <f>IFERROR($CO284*(1-'Commission Structure'!$C$5),"")</f>
        <v/>
      </c>
      <c r="CX284" s="105" t="str">
        <f>IF($A284="","",IF(OR($CB284="?",$CC284="?",NOT(ISNUMBER($AU284))),"CHECK INPUTS",IF(OR($J284&lt;'Technical Premium'!$C$18,LEFT(IFERROR(INDEX('Driver Factors'!$D$6:$D$15,MATCH($R284,'Driver Factors'!$B$6:$B$15,0)),""),7)="DECLINE",LEFT(IFERROR(INDEX('Driver Factors'!$D$28:$D$36,MATCH($T284,'Driver Factors'!$B$28:$B$36,0)),""),7)="DECLINE",LEFT(IFERROR(INDEX('Claims History'!$D$6:$D$15,MATCH($U284,'Claims History'!$B$6:$B$15,0)),""),7)="DECLINE",LEFT(IFERROR(INDEX('Usage and Coverage'!$E$6:$E$20,MATCH($N284,'Usage and Coverage'!$C$6:$C$20,0)),""),7)="DECLINE"),"DECLINE",IF(OR($CD284&gt;2.5,$CD284&gt;='Technical Premium'!$C$17,$J284&gt;='Technical Premium'!$C$16,N($AQ284)&lt;'Technical Premium'!$C$19,N($AQ284)&gt;'Technical Premium'!$C$20,LEFT(IFERROR(INDEX('Driver Factors'!$D$6:$D$15,MATCH($R284,'Driver Factors'!$B$6:$B$15,0)),""),5)="Refer",LEFT(IFERROR(INDEX('Driver Factors'!$D$28:$D$36,MATCH($T284,'Driver Factors'!$B$28:$B$36,0)),""),5)="Refer",LEFT(IFERROR(INDEX('Claims History'!$D$6:$D$15,MATCH($U284,'Claims History'!$B$6:$B$15,0)),""),5)="Refer",LEFT(IFERROR(INDEX('Usage and Coverage'!$E$6:$E$20,MATCH($N284,'Usage and Coverage'!$C$6:$C$20,0)),""),5)="Refer"),"REFER","AUTO-BIND"))))</f>
        <v/>
      </c>
      <c r="CY284" s="106" t="str">
        <f t="shared" si="63"/>
        <v/>
      </c>
      <c r="CZ284" s="97" t="str">
        <f>IF($CY284="","",IF($CY284&lt;'Technical Premium'!$C$19,"BEYOND AUTHORITY",IF($CY284&gt;0.005,"Above technical",IF($CY284&lt;-0.005,"BELOW technical","At technical"))))</f>
        <v/>
      </c>
      <c r="DA284" s="97" t="str">
        <f>IF($A284="","",IF($CX284="AUTO-BIND","",TRIM(IF($J284&lt;'Technical Premium'!$C$18,"Below programme minimum agreed value. ","")&amp;IF(N($AQ284)&lt;'Technical Premium'!$C$19,"DISCOUNT AUTHORITY BREACH. ","")&amp;IF(N($AQ284)&gt;'Technical Premium'!$C$20,"Load authority breach. ","")&amp;IF($J284&gt;='Technical Premium'!$C$16,"Agreed value at or above auto-bind limit. ","")&amp;IF(AND(ISNUMBER($CD284),$CD284&gt;='Technical Premium'!$C$17),"Composite factor at cap. ","")&amp;IF(AND(ISNUMBER($CD284),$CD284&gt;2.5),"Composite factor above 2.50. ","")&amp;IF(LEFT(IFERROR(INDEX('Driver Factors'!$D$6:$D$15,MATCH($R284,'Driver Factors'!$B$6:$B$15,0)),""),7)="DECLINE","DECLINE - driver age. ",IF(LEFT(IFERROR(INDEX('Driver Factors'!$D$6:$D$15,MATCH($R284,'Driver Factors'!$B$6:$B$15,0)),""),5)="Refer","Driver age band. ",""))&amp;IF(LEFT(IFERROR(INDEX('Driver Factors'!$D$28:$D$36,MATCH($T284,'Driver Factors'!$B$28:$B$36,0)),""),7)="DECLINE","DECLINE - MVR. ",IF(LEFT(IFERROR(INDEX('Driver Factors'!$D$28:$D$36,MATCH($T284,'Driver Factors'!$B$28:$B$36,0)),""),5)="Refer","MVR record. ",""))&amp;IF(LEFT(IFERROR(INDEX('Claims History'!$D$6:$D$15,MATCH($U284,'Claims History'!$B$6:$B$15,0)),""),7)="DECLINE","DECLINE - claims. ",IF(LEFT(IFERROR(INDEX('Claims History'!$D$6:$D$15,MATCH($U284,'Claims History'!$B$6:$B$15,0)),""),5)="Refer","Claims history. ",""))&amp;IF(LEFT(IFERROR(INDEX('Usage and Coverage'!$E$6:$E$20,MATCH($N284,'Usage and Coverage'!$C$6:$C$20,0)),""),7)="DECLINE","DECLINE - usage class. ",IF(LEFT(IFERROR(INDEX('Usage and Coverage'!$E$6:$E$20,MATCH($N284,'Usage and Coverage'!$C$6:$C$20,0)),""),5)="Refer","Usage class. ",""))&amp;IF($CX284="CHECK INPUTS","Incomplete inputs. ",""))))</f>
        <v/>
      </c>
      <c r="DB284" s="92"/>
      <c r="DC284" s="92"/>
      <c r="DD284" s="93"/>
      <c r="DE284" s="92"/>
      <c r="DF284" s="92"/>
      <c r="DG284" s="97" t="str">
        <f t="shared" si="64"/>
        <v/>
      </c>
      <c r="DH284" s="97" t="str">
        <f>IF($A284="","",IF(OR($CX284="REFER",$CX284="DECLINE"),COUNTIF($CX$5:$CX284,"REFER")+COUNTIF($CX$5:$CX284,"DECLINE"),""))</f>
        <v/>
      </c>
      <c r="DI284" s="92"/>
    </row>
    <row r="285" spans="1:113" x14ac:dyDescent="0.25">
      <c r="A285" s="92"/>
      <c r="B285" s="92"/>
      <c r="C285" s="93"/>
      <c r="D285" s="93"/>
      <c r="E285" s="94"/>
      <c r="F285" s="92"/>
      <c r="G285" s="92"/>
      <c r="H285" s="92"/>
      <c r="I285" s="92"/>
      <c r="J285" s="95"/>
      <c r="K285" s="92"/>
      <c r="L285" s="92"/>
      <c r="M285" s="92"/>
      <c r="N285" s="92"/>
      <c r="O285" s="92"/>
      <c r="P285" s="92"/>
      <c r="Q285" s="92"/>
      <c r="R285" s="92"/>
      <c r="S285" s="92"/>
      <c r="T285" s="92"/>
      <c r="U285" s="92"/>
      <c r="V285" s="92"/>
      <c r="W285" s="92"/>
      <c r="X285" s="92"/>
      <c r="Y285" s="92"/>
      <c r="Z285" s="92"/>
      <c r="AA285" s="92"/>
      <c r="AB285" s="92"/>
      <c r="AC285" s="92"/>
      <c r="AD285" s="92"/>
      <c r="AE285" s="92"/>
      <c r="AF285" s="92"/>
      <c r="AG285" s="92"/>
      <c r="AH285" s="92"/>
      <c r="AI285" s="92"/>
      <c r="AJ285" s="92"/>
      <c r="AK285" s="92"/>
      <c r="AL285" s="92"/>
      <c r="AM285" s="92"/>
      <c r="AN285" s="92"/>
      <c r="AO285" s="92"/>
      <c r="AP285" s="92"/>
      <c r="AQ285" s="96"/>
      <c r="AR285" s="97" t="str">
        <f t="shared" si="52"/>
        <v/>
      </c>
      <c r="AS285" s="97" t="str">
        <f>IF($A285="","",IF($AP285&lt;&gt;"",$AP285,IFERROR(INDEX('Cat Zone by ZIP'!$D$6:$D$856,MATCH($AR285,'Cat Zone by ZIP'!$B$6:$B$856,0)),IFERROR(INDEX('Cat Zone by ZIP'!$C$860:$C$910,MATCH($K285,'Cat Zone by ZIP'!$B$860:$B$910,0)),"NOT FOUND"))))</f>
        <v/>
      </c>
      <c r="AT285" s="97" t="str">
        <f>IF($A285="","",IF($AP285&lt;&gt;"","Override",IF(ISNUMBER(MATCH($AR285,'Cat Zone by ZIP'!$B$6:$B$856,0)),"ZIP-3","State default")))</f>
        <v/>
      </c>
      <c r="AU285" s="98" t="str">
        <f>IF($A285="","",IFERROR(INDEX('Natural Catastrophe'!$D$6:$D$17,MATCH($AS285,'Natural Catastrophe'!$B$6:$B$17,0)),"?"))</f>
        <v/>
      </c>
      <c r="AV285" s="98" t="str">
        <f>IF($A285="","",IFERROR(INDEX('Natural Catastrophe'!$C$21:$C$26,MATCH($AA285,'Natural Catastrophe'!$B$21:$B$26,0)),"?"))</f>
        <v/>
      </c>
      <c r="AW285" s="97" t="str">
        <f>IF($A285="","",IFERROR(INDEX('Base Rates'!$C$4:$I$4,MATCH(MAX($J285,'Technical Premium'!$C$18),'Base Rates'!$C$3:$I$3,1)),"?"))</f>
        <v/>
      </c>
      <c r="AX285" s="99" t="str">
        <f>IF($A285="","",IFERROR(INDEX('Base Rates'!$C$5:$I$16,MATCH($I285,'Base Rates'!$B$5:$B$16,0),MATCH(MAX($J285,'Technical Premium'!$C$18),'Base Rates'!$C$3:$I$3,1)),"?"))</f>
        <v/>
      </c>
      <c r="AY285" s="100" t="str">
        <f t="shared" si="53"/>
        <v/>
      </c>
      <c r="AZ285" s="97" t="str">
        <f>IF($A285="","",IFERROR(INDEX('Make Factors'!$G$5:$G$69,MATCH($F285,'Make Factors'!$B$5:$B$69,0)),"?"))</f>
        <v/>
      </c>
      <c r="BA285" s="97" t="str">
        <f>IF($A285="","",IFERROR(INDEX('Driver Factors'!$C$6:$C$15,MATCH($R285,'Driver Factors'!$B$6:$B$15,0)),"?"))</f>
        <v/>
      </c>
      <c r="BB285" s="97" t="str">
        <f>IF($A285="","",IFERROR(INDEX('Driver Factors'!$C$19:$C$24,MATCH($S285,'Driver Factors'!$B$19:$B$24,0)),"?"))</f>
        <v/>
      </c>
      <c r="BC285" s="97" t="str">
        <f>IF($A285="","",IFERROR(INDEX('Driver Factors'!$C$28:$C$36,MATCH($T285,'Driver Factors'!$B$28:$B$36,0)),"?"))</f>
        <v/>
      </c>
      <c r="BD285" s="97" t="str">
        <f>IF($A285="","",IFERROR(INDEX('Claims History'!$C$6:$C$15,MATCH($U285,'Claims History'!$B$6:$B$15,0)),"?"))</f>
        <v/>
      </c>
      <c r="BE285" s="97" t="str">
        <f>IF($A285="","",IFERROR(INDEX('Territory Factors'!$E$6:$E$56,MATCH($K285,'Territory Factors'!$B$6:$B$56,0)),"?"))</f>
        <v/>
      </c>
      <c r="BF285" s="97" t="str">
        <f>IF($A285="","",IFERROR(INDEX('City Accident Ratings'!$G$6:$G$54,MATCH($Z285,'City Accident Ratings'!$B$6:$B$54,0)),"?"))</f>
        <v/>
      </c>
      <c r="BG285" s="97" t="str">
        <f>IF($A285="","",IFERROR(INDEX('Usage and Coverage'!$D$6:$D$20,MATCH($N285,'Usage and Coverage'!$C$6:$C$20,0)),"?"))</f>
        <v/>
      </c>
      <c r="BH285" s="97" t="str">
        <f>IF($A285="","",IFERROR(INDEX('Usage and Coverage'!$C$24:$C$30,MATCH($O285,'Usage and Coverage'!$B$24:$B$30,0)),"?"))</f>
        <v/>
      </c>
      <c r="BI285" s="97" t="str">
        <f>IF($A285="","",IFERROR(INDEX('Usage and Coverage'!$C$34:$C$40,MATCH($P285,'Usage and Coverage'!$B$34:$B$40,0)),"?"))</f>
        <v/>
      </c>
      <c r="BJ285" s="97" t="str">
        <f>IF($A285="","",IFERROR(INDEX('Usage and Coverage'!$C$44:$C$49,MATCH($Q285,'Usage and Coverage'!$B$44:$B$49,0)),"?"))</f>
        <v/>
      </c>
      <c r="BK285" s="97" t="str">
        <f>IF($A285="","",IFERROR(INDEX(Deductibles!$C$6:$I$15,MATCH($W285,Deductibles!$B$6:$B$15,0),MATCH(MAX($J285,'Technical Premium'!$C$18),'Base Rates'!$C$3:$I$3,1)),"?"))</f>
        <v/>
      </c>
      <c r="BL285" s="97" t="str">
        <f>IF($A285="","",IFERROR(INDEX('Usage and Coverage'!$C$63:$C$66,MATCH($X285,'Usage and Coverage'!$B$63:$B$66,0)),"?"))</f>
        <v/>
      </c>
      <c r="BM285" s="97" t="str">
        <f>IF($A285="","",IFERROR(INDEX('Usage and Coverage'!$C$70:$C$75,MATCH($V285,'Usage and Coverage'!$B$70:$B$75,0)),"?"))</f>
        <v/>
      </c>
      <c r="BN285" s="97" t="str">
        <f>IF($A285="","",IF($AB285="",1,IFERROR(INDEX(Deductibles!$C$48:$C$51,MATCH($AB285,Deductibles!$B$48:$B$51,0)),"?")))</f>
        <v/>
      </c>
      <c r="BO285" s="97" t="str">
        <f>IF($A285="","",IF($AC285="",1,IFERROR(INDEX(Deductibles!$C$55:$C$57,MATCH($AC285,Deductibles!$B$55:$B$57,0)),"?")))</f>
        <v/>
      </c>
      <c r="BP285" s="97" t="str">
        <f>IF($A285="","",IF($AD285="",1,IFERROR(INDEX(Deductibles!$C$61:$C$63,MATCH($AD285,Deductibles!$B$61:$B$63,0)),"?")))</f>
        <v/>
      </c>
      <c r="BQ285" s="97" t="str">
        <f>IF($A285="","",IF($AE285="",1,IFERROR(INDEX(Deductibles!$C$67:$C$69,MATCH($AE285,Deductibles!$B$67:$B$69,0)),"?")))</f>
        <v/>
      </c>
      <c r="BR285" s="97" t="str">
        <f>IF($A285="","",IF($AF285="",1,IFERROR(INDEX(Deductibles!$C$73:$C$74,MATCH($AF285,Deductibles!$B$73:$B$74,0)),"?")))</f>
        <v/>
      </c>
      <c r="BS285" s="97" t="str">
        <f>IF($A285="","",IF($AG285="",1,IFERROR(INDEX('Sublimits and Parts'!$C$49:$C$52,MATCH($AG285,'Sublimits and Parts'!$B$49:$B$52,0)),"?")))</f>
        <v/>
      </c>
      <c r="BT285" s="97" t="str">
        <f>IF($A285="","",IF($AH285="",1,IFERROR(INDEX('Sublimits and Parts'!$C$56:$C$60,MATCH($AH285,'Sublimits and Parts'!$B$56:$B$60,0)),"?")))</f>
        <v/>
      </c>
      <c r="BU285" s="97" t="str">
        <f>IF($A285="","",IF($AI285="",1,IFERROR(INDEX('Sublimits and Parts'!$C$64:$C$67,MATCH($AI285,'Sublimits and Parts'!$B$64:$B$67,0)),"?")))</f>
        <v/>
      </c>
      <c r="BV285" s="97" t="str">
        <f>IF($A285="","",IF($AJ285="",1,IFERROR(INDEX('Sublimits and Parts'!$C$71:$C$74,MATCH($AJ285,'Sublimits and Parts'!$B$71:$B$74,0)),"?")))</f>
        <v/>
      </c>
      <c r="BW285" s="97" t="str">
        <f>IF($A285="","",IF($AK285="",1,IFERROR(INDEX('Sublimits and Parts'!$C$78:$C$80,MATCH($AK285,'Sublimits and Parts'!$B$78:$B$80,0)),"?")))</f>
        <v/>
      </c>
      <c r="BX285" s="97" t="str">
        <f>IF($A285="","",IF($AL285="",1,IFERROR(INDEX('Sublimits and Parts'!$C$84:$C$87,MATCH($AL285,'Sublimits and Parts'!$B$84:$B$87,0)),"?")))</f>
        <v/>
      </c>
      <c r="BY285" s="97" t="str">
        <f>IF($A285="","",IF($AM285="",1,IFERROR(INDEX('Sublimits and Parts'!$C$91:$C$94,MATCH($AM285,'Sublimits and Parts'!$B$91:$B$94,0)),"?")))</f>
        <v/>
      </c>
      <c r="BZ285" s="97" t="str">
        <f>IF($A285="","",IF($AN285="",1,IFERROR(INDEX('Sublimits and Parts'!$C$98:$C$101,MATCH($AN285,'Sublimits and Parts'!$B$98:$B$101,0)),"?")))</f>
        <v/>
      </c>
      <c r="CA285" s="97" t="str">
        <f>IF($A285="","",IF($AO285="",1,IFERROR(INDEX('Sublimits and Parts'!$C$105:$C$109,MATCH($AO285,'Sublimits and Parts'!$B$105:$B$109,0)),"?")))</f>
        <v/>
      </c>
      <c r="CB285" s="98" t="str">
        <f t="shared" si="54"/>
        <v/>
      </c>
      <c r="CC285" s="98" t="str">
        <f t="shared" si="55"/>
        <v/>
      </c>
      <c r="CD285" s="101" t="str">
        <f>IF($A285="","",IF(OR($CB285="?",$CC285="?"),"?",MIN($CB285*$CC285,'Technical Premium'!$C$17)))</f>
        <v/>
      </c>
      <c r="CE285" s="100" t="str">
        <f t="shared" si="56"/>
        <v/>
      </c>
      <c r="CF285" s="100" t="str">
        <f>IF($A285="","",IFERROR(INDEX('Territory Factors'!$F$6:$F$56,MATCH($K285,'Territory Factors'!$B$6:$B$56,0)),"?"))</f>
        <v/>
      </c>
      <c r="CG285" s="98" t="str">
        <f>IF($A285="","",IFERROR(INDEX('Usage and Coverage'!$C$79:$C$84,MATCH($Y285,'Usage and Coverage'!$B$79:$B$84,0)),"?"))</f>
        <v/>
      </c>
      <c r="CH285" s="100" t="str">
        <f>IFERROR(IF(ISNUMBER($CD285),$CF285*$CG285*MIN($BG285*$BA285*$BC285*$BD285*$BH285*$BF285,'Technical Premium'!$C$17),""),"")</f>
        <v/>
      </c>
      <c r="CI285" s="100" t="str">
        <f t="shared" si="57"/>
        <v/>
      </c>
      <c r="CJ285" s="100" t="str">
        <f>IFERROR($CI285*(1+'Technical Premium'!$C$5)*(1+'Technical Premium'!$C$6),"")</f>
        <v/>
      </c>
      <c r="CK285" s="100" t="str">
        <f>IFERROR($CE285*INDEX('Territory Factors'!$G$6:$G$56,MATCH($K285,'Territory Factors'!$B$6:$B$56,0))*$AU285*$AV285,"")</f>
        <v/>
      </c>
      <c r="CL285" s="100" t="str">
        <f>IFERROR(($CJ285+$CK285)*(1+'Technical Premium'!$C$7),"")</f>
        <v/>
      </c>
      <c r="CM285" s="102" t="str">
        <f>IFERROR($CL285/'Technical Premium'!$C$13,"")</f>
        <v/>
      </c>
      <c r="CN285" s="103" t="str">
        <f t="shared" si="58"/>
        <v/>
      </c>
      <c r="CO285" s="102" t="str">
        <f t="shared" si="59"/>
        <v/>
      </c>
      <c r="CP285" s="103" t="str">
        <f t="shared" si="60"/>
        <v/>
      </c>
      <c r="CQ285" s="104" t="str">
        <f t="shared" si="61"/>
        <v/>
      </c>
      <c r="CR285" s="100" t="str">
        <f>IF(ISNUMBER($CM285),'Technical Premium'!$C$14+IF($J285&gt;=1000000,'Technical Premium'!$C$15,0),"")</f>
        <v/>
      </c>
      <c r="CS285" s="100" t="str">
        <f>IFERROR(($CO285+$CR285)*(INDEX('Territory Factors'!$K$6:$K$56,MATCH($K285,'Territory Factors'!$B$6:$B$56,0))+'Commission Structure'!$C$21),"")</f>
        <v/>
      </c>
      <c r="CT285" s="102" t="str">
        <f t="shared" si="62"/>
        <v/>
      </c>
      <c r="CU285" s="100" t="str">
        <f>IFERROR($CO285*('Commission Structure'!$C$6+'Commission Structure'!$C$7),"")</f>
        <v/>
      </c>
      <c r="CV285" s="100" t="str">
        <f>IFERROR($CO285*'Commission Structure'!$C$5-$CU285,"")</f>
        <v/>
      </c>
      <c r="CW285" s="100" t="str">
        <f>IFERROR($CO285*(1-'Commission Structure'!$C$5),"")</f>
        <v/>
      </c>
      <c r="CX285" s="105" t="str">
        <f>IF($A285="","",IF(OR($CB285="?",$CC285="?",NOT(ISNUMBER($AU285))),"CHECK INPUTS",IF(OR($J285&lt;'Technical Premium'!$C$18,LEFT(IFERROR(INDEX('Driver Factors'!$D$6:$D$15,MATCH($R285,'Driver Factors'!$B$6:$B$15,0)),""),7)="DECLINE",LEFT(IFERROR(INDEX('Driver Factors'!$D$28:$D$36,MATCH($T285,'Driver Factors'!$B$28:$B$36,0)),""),7)="DECLINE",LEFT(IFERROR(INDEX('Claims History'!$D$6:$D$15,MATCH($U285,'Claims History'!$B$6:$B$15,0)),""),7)="DECLINE",LEFT(IFERROR(INDEX('Usage and Coverage'!$E$6:$E$20,MATCH($N285,'Usage and Coverage'!$C$6:$C$20,0)),""),7)="DECLINE"),"DECLINE",IF(OR($CD285&gt;2.5,$CD285&gt;='Technical Premium'!$C$17,$J285&gt;='Technical Premium'!$C$16,N($AQ285)&lt;'Technical Premium'!$C$19,N($AQ285)&gt;'Technical Premium'!$C$20,LEFT(IFERROR(INDEX('Driver Factors'!$D$6:$D$15,MATCH($R285,'Driver Factors'!$B$6:$B$15,0)),""),5)="Refer",LEFT(IFERROR(INDEX('Driver Factors'!$D$28:$D$36,MATCH($T285,'Driver Factors'!$B$28:$B$36,0)),""),5)="Refer",LEFT(IFERROR(INDEX('Claims History'!$D$6:$D$15,MATCH($U285,'Claims History'!$B$6:$B$15,0)),""),5)="Refer",LEFT(IFERROR(INDEX('Usage and Coverage'!$E$6:$E$20,MATCH($N285,'Usage and Coverage'!$C$6:$C$20,0)),""),5)="Refer"),"REFER","AUTO-BIND"))))</f>
        <v/>
      </c>
      <c r="CY285" s="106" t="str">
        <f t="shared" si="63"/>
        <v/>
      </c>
      <c r="CZ285" s="97" t="str">
        <f>IF($CY285="","",IF($CY285&lt;'Technical Premium'!$C$19,"BEYOND AUTHORITY",IF($CY285&gt;0.005,"Above technical",IF($CY285&lt;-0.005,"BELOW technical","At technical"))))</f>
        <v/>
      </c>
      <c r="DA285" s="97" t="str">
        <f>IF($A285="","",IF($CX285="AUTO-BIND","",TRIM(IF($J285&lt;'Technical Premium'!$C$18,"Below programme minimum agreed value. ","")&amp;IF(N($AQ285)&lt;'Technical Premium'!$C$19,"DISCOUNT AUTHORITY BREACH. ","")&amp;IF(N($AQ285)&gt;'Technical Premium'!$C$20,"Load authority breach. ","")&amp;IF($J285&gt;='Technical Premium'!$C$16,"Agreed value at or above auto-bind limit. ","")&amp;IF(AND(ISNUMBER($CD285),$CD285&gt;='Technical Premium'!$C$17),"Composite factor at cap. ","")&amp;IF(AND(ISNUMBER($CD285),$CD285&gt;2.5),"Composite factor above 2.50. ","")&amp;IF(LEFT(IFERROR(INDEX('Driver Factors'!$D$6:$D$15,MATCH($R285,'Driver Factors'!$B$6:$B$15,0)),""),7)="DECLINE","DECLINE - driver age. ",IF(LEFT(IFERROR(INDEX('Driver Factors'!$D$6:$D$15,MATCH($R285,'Driver Factors'!$B$6:$B$15,0)),""),5)="Refer","Driver age band. ",""))&amp;IF(LEFT(IFERROR(INDEX('Driver Factors'!$D$28:$D$36,MATCH($T285,'Driver Factors'!$B$28:$B$36,0)),""),7)="DECLINE","DECLINE - MVR. ",IF(LEFT(IFERROR(INDEX('Driver Factors'!$D$28:$D$36,MATCH($T285,'Driver Factors'!$B$28:$B$36,0)),""),5)="Refer","MVR record. ",""))&amp;IF(LEFT(IFERROR(INDEX('Claims History'!$D$6:$D$15,MATCH($U285,'Claims History'!$B$6:$B$15,0)),""),7)="DECLINE","DECLINE - claims. ",IF(LEFT(IFERROR(INDEX('Claims History'!$D$6:$D$15,MATCH($U285,'Claims History'!$B$6:$B$15,0)),""),5)="Refer","Claims history. ",""))&amp;IF(LEFT(IFERROR(INDEX('Usage and Coverage'!$E$6:$E$20,MATCH($N285,'Usage and Coverage'!$C$6:$C$20,0)),""),7)="DECLINE","DECLINE - usage class. ",IF(LEFT(IFERROR(INDEX('Usage and Coverage'!$E$6:$E$20,MATCH($N285,'Usage and Coverage'!$C$6:$C$20,0)),""),5)="Refer","Usage class. ",""))&amp;IF($CX285="CHECK INPUTS","Incomplete inputs. ",""))))</f>
        <v/>
      </c>
      <c r="DB285" s="92"/>
      <c r="DC285" s="92"/>
      <c r="DD285" s="93"/>
      <c r="DE285" s="92"/>
      <c r="DF285" s="92"/>
      <c r="DG285" s="97" t="str">
        <f t="shared" si="64"/>
        <v/>
      </c>
      <c r="DH285" s="97" t="str">
        <f>IF($A285="","",IF(OR($CX285="REFER",$CX285="DECLINE"),COUNTIF($CX$5:$CX285,"REFER")+COUNTIF($CX$5:$CX285,"DECLINE"),""))</f>
        <v/>
      </c>
      <c r="DI285" s="92"/>
    </row>
    <row r="286" spans="1:113" x14ac:dyDescent="0.25">
      <c r="A286" s="92"/>
      <c r="B286" s="92"/>
      <c r="C286" s="93"/>
      <c r="D286" s="93"/>
      <c r="E286" s="94"/>
      <c r="F286" s="92"/>
      <c r="G286" s="92"/>
      <c r="H286" s="92"/>
      <c r="I286" s="92"/>
      <c r="J286" s="95"/>
      <c r="K286" s="92"/>
      <c r="L286" s="92"/>
      <c r="M286" s="92"/>
      <c r="N286" s="92"/>
      <c r="O286" s="92"/>
      <c r="P286" s="92"/>
      <c r="Q286" s="92"/>
      <c r="R286" s="92"/>
      <c r="S286" s="92"/>
      <c r="T286" s="92"/>
      <c r="U286" s="92"/>
      <c r="V286" s="92"/>
      <c r="W286" s="92"/>
      <c r="X286" s="92"/>
      <c r="Y286" s="92"/>
      <c r="Z286" s="92"/>
      <c r="AA286" s="92"/>
      <c r="AB286" s="92"/>
      <c r="AC286" s="92"/>
      <c r="AD286" s="92"/>
      <c r="AE286" s="92"/>
      <c r="AF286" s="92"/>
      <c r="AG286" s="92"/>
      <c r="AH286" s="92"/>
      <c r="AI286" s="92"/>
      <c r="AJ286" s="92"/>
      <c r="AK286" s="92"/>
      <c r="AL286" s="92"/>
      <c r="AM286" s="92"/>
      <c r="AN286" s="92"/>
      <c r="AO286" s="92"/>
      <c r="AP286" s="92"/>
      <c r="AQ286" s="96"/>
      <c r="AR286" s="97" t="str">
        <f t="shared" si="52"/>
        <v/>
      </c>
      <c r="AS286" s="97" t="str">
        <f>IF($A286="","",IF($AP286&lt;&gt;"",$AP286,IFERROR(INDEX('Cat Zone by ZIP'!$D$6:$D$856,MATCH($AR286,'Cat Zone by ZIP'!$B$6:$B$856,0)),IFERROR(INDEX('Cat Zone by ZIP'!$C$860:$C$910,MATCH($K286,'Cat Zone by ZIP'!$B$860:$B$910,0)),"NOT FOUND"))))</f>
        <v/>
      </c>
      <c r="AT286" s="97" t="str">
        <f>IF($A286="","",IF($AP286&lt;&gt;"","Override",IF(ISNUMBER(MATCH($AR286,'Cat Zone by ZIP'!$B$6:$B$856,0)),"ZIP-3","State default")))</f>
        <v/>
      </c>
      <c r="AU286" s="98" t="str">
        <f>IF($A286="","",IFERROR(INDEX('Natural Catastrophe'!$D$6:$D$17,MATCH($AS286,'Natural Catastrophe'!$B$6:$B$17,0)),"?"))</f>
        <v/>
      </c>
      <c r="AV286" s="98" t="str">
        <f>IF($A286="","",IFERROR(INDEX('Natural Catastrophe'!$C$21:$C$26,MATCH($AA286,'Natural Catastrophe'!$B$21:$B$26,0)),"?"))</f>
        <v/>
      </c>
      <c r="AW286" s="97" t="str">
        <f>IF($A286="","",IFERROR(INDEX('Base Rates'!$C$4:$I$4,MATCH(MAX($J286,'Technical Premium'!$C$18),'Base Rates'!$C$3:$I$3,1)),"?"))</f>
        <v/>
      </c>
      <c r="AX286" s="99" t="str">
        <f>IF($A286="","",IFERROR(INDEX('Base Rates'!$C$5:$I$16,MATCH($I286,'Base Rates'!$B$5:$B$16,0),MATCH(MAX($J286,'Technical Premium'!$C$18),'Base Rates'!$C$3:$I$3,1)),"?"))</f>
        <v/>
      </c>
      <c r="AY286" s="100" t="str">
        <f t="shared" si="53"/>
        <v/>
      </c>
      <c r="AZ286" s="97" t="str">
        <f>IF($A286="","",IFERROR(INDEX('Make Factors'!$G$5:$G$69,MATCH($F286,'Make Factors'!$B$5:$B$69,0)),"?"))</f>
        <v/>
      </c>
      <c r="BA286" s="97" t="str">
        <f>IF($A286="","",IFERROR(INDEX('Driver Factors'!$C$6:$C$15,MATCH($R286,'Driver Factors'!$B$6:$B$15,0)),"?"))</f>
        <v/>
      </c>
      <c r="BB286" s="97" t="str">
        <f>IF($A286="","",IFERROR(INDEX('Driver Factors'!$C$19:$C$24,MATCH($S286,'Driver Factors'!$B$19:$B$24,0)),"?"))</f>
        <v/>
      </c>
      <c r="BC286" s="97" t="str">
        <f>IF($A286="","",IFERROR(INDEX('Driver Factors'!$C$28:$C$36,MATCH($T286,'Driver Factors'!$B$28:$B$36,0)),"?"))</f>
        <v/>
      </c>
      <c r="BD286" s="97" t="str">
        <f>IF($A286="","",IFERROR(INDEX('Claims History'!$C$6:$C$15,MATCH($U286,'Claims History'!$B$6:$B$15,0)),"?"))</f>
        <v/>
      </c>
      <c r="BE286" s="97" t="str">
        <f>IF($A286="","",IFERROR(INDEX('Territory Factors'!$E$6:$E$56,MATCH($K286,'Territory Factors'!$B$6:$B$56,0)),"?"))</f>
        <v/>
      </c>
      <c r="BF286" s="97" t="str">
        <f>IF($A286="","",IFERROR(INDEX('City Accident Ratings'!$G$6:$G$54,MATCH($Z286,'City Accident Ratings'!$B$6:$B$54,0)),"?"))</f>
        <v/>
      </c>
      <c r="BG286" s="97" t="str">
        <f>IF($A286="","",IFERROR(INDEX('Usage and Coverage'!$D$6:$D$20,MATCH($N286,'Usage and Coverage'!$C$6:$C$20,0)),"?"))</f>
        <v/>
      </c>
      <c r="BH286" s="97" t="str">
        <f>IF($A286="","",IFERROR(INDEX('Usage and Coverage'!$C$24:$C$30,MATCH($O286,'Usage and Coverage'!$B$24:$B$30,0)),"?"))</f>
        <v/>
      </c>
      <c r="BI286" s="97" t="str">
        <f>IF($A286="","",IFERROR(INDEX('Usage and Coverage'!$C$34:$C$40,MATCH($P286,'Usage and Coverage'!$B$34:$B$40,0)),"?"))</f>
        <v/>
      </c>
      <c r="BJ286" s="97" t="str">
        <f>IF($A286="","",IFERROR(INDEX('Usage and Coverage'!$C$44:$C$49,MATCH($Q286,'Usage and Coverage'!$B$44:$B$49,0)),"?"))</f>
        <v/>
      </c>
      <c r="BK286" s="97" t="str">
        <f>IF($A286="","",IFERROR(INDEX(Deductibles!$C$6:$I$15,MATCH($W286,Deductibles!$B$6:$B$15,0),MATCH(MAX($J286,'Technical Premium'!$C$18),'Base Rates'!$C$3:$I$3,1)),"?"))</f>
        <v/>
      </c>
      <c r="BL286" s="97" t="str">
        <f>IF($A286="","",IFERROR(INDEX('Usage and Coverage'!$C$63:$C$66,MATCH($X286,'Usage and Coverage'!$B$63:$B$66,0)),"?"))</f>
        <v/>
      </c>
      <c r="BM286" s="97" t="str">
        <f>IF($A286="","",IFERROR(INDEX('Usage and Coverage'!$C$70:$C$75,MATCH($V286,'Usage and Coverage'!$B$70:$B$75,0)),"?"))</f>
        <v/>
      </c>
      <c r="BN286" s="97" t="str">
        <f>IF($A286="","",IF($AB286="",1,IFERROR(INDEX(Deductibles!$C$48:$C$51,MATCH($AB286,Deductibles!$B$48:$B$51,0)),"?")))</f>
        <v/>
      </c>
      <c r="BO286" s="97" t="str">
        <f>IF($A286="","",IF($AC286="",1,IFERROR(INDEX(Deductibles!$C$55:$C$57,MATCH($AC286,Deductibles!$B$55:$B$57,0)),"?")))</f>
        <v/>
      </c>
      <c r="BP286" s="97" t="str">
        <f>IF($A286="","",IF($AD286="",1,IFERROR(INDEX(Deductibles!$C$61:$C$63,MATCH($AD286,Deductibles!$B$61:$B$63,0)),"?")))</f>
        <v/>
      </c>
      <c r="BQ286" s="97" t="str">
        <f>IF($A286="","",IF($AE286="",1,IFERROR(INDEX(Deductibles!$C$67:$C$69,MATCH($AE286,Deductibles!$B$67:$B$69,0)),"?")))</f>
        <v/>
      </c>
      <c r="BR286" s="97" t="str">
        <f>IF($A286="","",IF($AF286="",1,IFERROR(INDEX(Deductibles!$C$73:$C$74,MATCH($AF286,Deductibles!$B$73:$B$74,0)),"?")))</f>
        <v/>
      </c>
      <c r="BS286" s="97" t="str">
        <f>IF($A286="","",IF($AG286="",1,IFERROR(INDEX('Sublimits and Parts'!$C$49:$C$52,MATCH($AG286,'Sublimits and Parts'!$B$49:$B$52,0)),"?")))</f>
        <v/>
      </c>
      <c r="BT286" s="97" t="str">
        <f>IF($A286="","",IF($AH286="",1,IFERROR(INDEX('Sublimits and Parts'!$C$56:$C$60,MATCH($AH286,'Sublimits and Parts'!$B$56:$B$60,0)),"?")))</f>
        <v/>
      </c>
      <c r="BU286" s="97" t="str">
        <f>IF($A286="","",IF($AI286="",1,IFERROR(INDEX('Sublimits and Parts'!$C$64:$C$67,MATCH($AI286,'Sublimits and Parts'!$B$64:$B$67,0)),"?")))</f>
        <v/>
      </c>
      <c r="BV286" s="97" t="str">
        <f>IF($A286="","",IF($AJ286="",1,IFERROR(INDEX('Sublimits and Parts'!$C$71:$C$74,MATCH($AJ286,'Sublimits and Parts'!$B$71:$B$74,0)),"?")))</f>
        <v/>
      </c>
      <c r="BW286" s="97" t="str">
        <f>IF($A286="","",IF($AK286="",1,IFERROR(INDEX('Sublimits and Parts'!$C$78:$C$80,MATCH($AK286,'Sublimits and Parts'!$B$78:$B$80,0)),"?")))</f>
        <v/>
      </c>
      <c r="BX286" s="97" t="str">
        <f>IF($A286="","",IF($AL286="",1,IFERROR(INDEX('Sublimits and Parts'!$C$84:$C$87,MATCH($AL286,'Sublimits and Parts'!$B$84:$B$87,0)),"?")))</f>
        <v/>
      </c>
      <c r="BY286" s="97" t="str">
        <f>IF($A286="","",IF($AM286="",1,IFERROR(INDEX('Sublimits and Parts'!$C$91:$C$94,MATCH($AM286,'Sublimits and Parts'!$B$91:$B$94,0)),"?")))</f>
        <v/>
      </c>
      <c r="BZ286" s="97" t="str">
        <f>IF($A286="","",IF($AN286="",1,IFERROR(INDEX('Sublimits and Parts'!$C$98:$C$101,MATCH($AN286,'Sublimits and Parts'!$B$98:$B$101,0)),"?")))</f>
        <v/>
      </c>
      <c r="CA286" s="97" t="str">
        <f>IF($A286="","",IF($AO286="",1,IFERROR(INDEX('Sublimits and Parts'!$C$105:$C$109,MATCH($AO286,'Sublimits and Parts'!$B$105:$B$109,0)),"?")))</f>
        <v/>
      </c>
      <c r="CB286" s="98" t="str">
        <f t="shared" si="54"/>
        <v/>
      </c>
      <c r="CC286" s="98" t="str">
        <f t="shared" si="55"/>
        <v/>
      </c>
      <c r="CD286" s="101" t="str">
        <f>IF($A286="","",IF(OR($CB286="?",$CC286="?"),"?",MIN($CB286*$CC286,'Technical Premium'!$C$17)))</f>
        <v/>
      </c>
      <c r="CE286" s="100" t="str">
        <f t="shared" si="56"/>
        <v/>
      </c>
      <c r="CF286" s="100" t="str">
        <f>IF($A286="","",IFERROR(INDEX('Territory Factors'!$F$6:$F$56,MATCH($K286,'Territory Factors'!$B$6:$B$56,0)),"?"))</f>
        <v/>
      </c>
      <c r="CG286" s="98" t="str">
        <f>IF($A286="","",IFERROR(INDEX('Usage and Coverage'!$C$79:$C$84,MATCH($Y286,'Usage and Coverage'!$B$79:$B$84,0)),"?"))</f>
        <v/>
      </c>
      <c r="CH286" s="100" t="str">
        <f>IFERROR(IF(ISNUMBER($CD286),$CF286*$CG286*MIN($BG286*$BA286*$BC286*$BD286*$BH286*$BF286,'Technical Premium'!$C$17),""),"")</f>
        <v/>
      </c>
      <c r="CI286" s="100" t="str">
        <f t="shared" si="57"/>
        <v/>
      </c>
      <c r="CJ286" s="100" t="str">
        <f>IFERROR($CI286*(1+'Technical Premium'!$C$5)*(1+'Technical Premium'!$C$6),"")</f>
        <v/>
      </c>
      <c r="CK286" s="100" t="str">
        <f>IFERROR($CE286*INDEX('Territory Factors'!$G$6:$G$56,MATCH($K286,'Territory Factors'!$B$6:$B$56,0))*$AU286*$AV286,"")</f>
        <v/>
      </c>
      <c r="CL286" s="100" t="str">
        <f>IFERROR(($CJ286+$CK286)*(1+'Technical Premium'!$C$7),"")</f>
        <v/>
      </c>
      <c r="CM286" s="102" t="str">
        <f>IFERROR($CL286/'Technical Premium'!$C$13,"")</f>
        <v/>
      </c>
      <c r="CN286" s="103" t="str">
        <f t="shared" si="58"/>
        <v/>
      </c>
      <c r="CO286" s="102" t="str">
        <f t="shared" si="59"/>
        <v/>
      </c>
      <c r="CP286" s="103" t="str">
        <f t="shared" si="60"/>
        <v/>
      </c>
      <c r="CQ286" s="104" t="str">
        <f t="shared" si="61"/>
        <v/>
      </c>
      <c r="CR286" s="100" t="str">
        <f>IF(ISNUMBER($CM286),'Technical Premium'!$C$14+IF($J286&gt;=1000000,'Technical Premium'!$C$15,0),"")</f>
        <v/>
      </c>
      <c r="CS286" s="100" t="str">
        <f>IFERROR(($CO286+$CR286)*(INDEX('Territory Factors'!$K$6:$K$56,MATCH($K286,'Territory Factors'!$B$6:$B$56,0))+'Commission Structure'!$C$21),"")</f>
        <v/>
      </c>
      <c r="CT286" s="102" t="str">
        <f t="shared" si="62"/>
        <v/>
      </c>
      <c r="CU286" s="100" t="str">
        <f>IFERROR($CO286*('Commission Structure'!$C$6+'Commission Structure'!$C$7),"")</f>
        <v/>
      </c>
      <c r="CV286" s="100" t="str">
        <f>IFERROR($CO286*'Commission Structure'!$C$5-$CU286,"")</f>
        <v/>
      </c>
      <c r="CW286" s="100" t="str">
        <f>IFERROR($CO286*(1-'Commission Structure'!$C$5),"")</f>
        <v/>
      </c>
      <c r="CX286" s="105" t="str">
        <f>IF($A286="","",IF(OR($CB286="?",$CC286="?",NOT(ISNUMBER($AU286))),"CHECK INPUTS",IF(OR($J286&lt;'Technical Premium'!$C$18,LEFT(IFERROR(INDEX('Driver Factors'!$D$6:$D$15,MATCH($R286,'Driver Factors'!$B$6:$B$15,0)),""),7)="DECLINE",LEFT(IFERROR(INDEX('Driver Factors'!$D$28:$D$36,MATCH($T286,'Driver Factors'!$B$28:$B$36,0)),""),7)="DECLINE",LEFT(IFERROR(INDEX('Claims History'!$D$6:$D$15,MATCH($U286,'Claims History'!$B$6:$B$15,0)),""),7)="DECLINE",LEFT(IFERROR(INDEX('Usage and Coverage'!$E$6:$E$20,MATCH($N286,'Usage and Coverage'!$C$6:$C$20,0)),""),7)="DECLINE"),"DECLINE",IF(OR($CD286&gt;2.5,$CD286&gt;='Technical Premium'!$C$17,$J286&gt;='Technical Premium'!$C$16,N($AQ286)&lt;'Technical Premium'!$C$19,N($AQ286)&gt;'Technical Premium'!$C$20,LEFT(IFERROR(INDEX('Driver Factors'!$D$6:$D$15,MATCH($R286,'Driver Factors'!$B$6:$B$15,0)),""),5)="Refer",LEFT(IFERROR(INDEX('Driver Factors'!$D$28:$D$36,MATCH($T286,'Driver Factors'!$B$28:$B$36,0)),""),5)="Refer",LEFT(IFERROR(INDEX('Claims History'!$D$6:$D$15,MATCH($U286,'Claims History'!$B$6:$B$15,0)),""),5)="Refer",LEFT(IFERROR(INDEX('Usage and Coverage'!$E$6:$E$20,MATCH($N286,'Usage and Coverage'!$C$6:$C$20,0)),""),5)="Refer"),"REFER","AUTO-BIND"))))</f>
        <v/>
      </c>
      <c r="CY286" s="106" t="str">
        <f t="shared" si="63"/>
        <v/>
      </c>
      <c r="CZ286" s="97" t="str">
        <f>IF($CY286="","",IF($CY286&lt;'Technical Premium'!$C$19,"BEYOND AUTHORITY",IF($CY286&gt;0.005,"Above technical",IF($CY286&lt;-0.005,"BELOW technical","At technical"))))</f>
        <v/>
      </c>
      <c r="DA286" s="97" t="str">
        <f>IF($A286="","",IF($CX286="AUTO-BIND","",TRIM(IF($J286&lt;'Technical Premium'!$C$18,"Below programme minimum agreed value. ","")&amp;IF(N($AQ286)&lt;'Technical Premium'!$C$19,"DISCOUNT AUTHORITY BREACH. ","")&amp;IF(N($AQ286)&gt;'Technical Premium'!$C$20,"Load authority breach. ","")&amp;IF($J286&gt;='Technical Premium'!$C$16,"Agreed value at or above auto-bind limit. ","")&amp;IF(AND(ISNUMBER($CD286),$CD286&gt;='Technical Premium'!$C$17),"Composite factor at cap. ","")&amp;IF(AND(ISNUMBER($CD286),$CD286&gt;2.5),"Composite factor above 2.50. ","")&amp;IF(LEFT(IFERROR(INDEX('Driver Factors'!$D$6:$D$15,MATCH($R286,'Driver Factors'!$B$6:$B$15,0)),""),7)="DECLINE","DECLINE - driver age. ",IF(LEFT(IFERROR(INDEX('Driver Factors'!$D$6:$D$15,MATCH($R286,'Driver Factors'!$B$6:$B$15,0)),""),5)="Refer","Driver age band. ",""))&amp;IF(LEFT(IFERROR(INDEX('Driver Factors'!$D$28:$D$36,MATCH($T286,'Driver Factors'!$B$28:$B$36,0)),""),7)="DECLINE","DECLINE - MVR. ",IF(LEFT(IFERROR(INDEX('Driver Factors'!$D$28:$D$36,MATCH($T286,'Driver Factors'!$B$28:$B$36,0)),""),5)="Refer","MVR record. ",""))&amp;IF(LEFT(IFERROR(INDEX('Claims History'!$D$6:$D$15,MATCH($U286,'Claims History'!$B$6:$B$15,0)),""),7)="DECLINE","DECLINE - claims. ",IF(LEFT(IFERROR(INDEX('Claims History'!$D$6:$D$15,MATCH($U286,'Claims History'!$B$6:$B$15,0)),""),5)="Refer","Claims history. ",""))&amp;IF(LEFT(IFERROR(INDEX('Usage and Coverage'!$E$6:$E$20,MATCH($N286,'Usage and Coverage'!$C$6:$C$20,0)),""),7)="DECLINE","DECLINE - usage class. ",IF(LEFT(IFERROR(INDEX('Usage and Coverage'!$E$6:$E$20,MATCH($N286,'Usage and Coverage'!$C$6:$C$20,0)),""),5)="Refer","Usage class. ",""))&amp;IF($CX286="CHECK INPUTS","Incomplete inputs. ",""))))</f>
        <v/>
      </c>
      <c r="DB286" s="92"/>
      <c r="DC286" s="92"/>
      <c r="DD286" s="93"/>
      <c r="DE286" s="92"/>
      <c r="DF286" s="92"/>
      <c r="DG286" s="97" t="str">
        <f t="shared" si="64"/>
        <v/>
      </c>
      <c r="DH286" s="97" t="str">
        <f>IF($A286="","",IF(OR($CX286="REFER",$CX286="DECLINE"),COUNTIF($CX$5:$CX286,"REFER")+COUNTIF($CX$5:$CX286,"DECLINE"),""))</f>
        <v/>
      </c>
      <c r="DI286" s="92"/>
    </row>
    <row r="287" spans="1:113" x14ac:dyDescent="0.25">
      <c r="A287" s="92"/>
      <c r="B287" s="92"/>
      <c r="C287" s="93"/>
      <c r="D287" s="93"/>
      <c r="E287" s="94"/>
      <c r="F287" s="92"/>
      <c r="G287" s="92"/>
      <c r="H287" s="92"/>
      <c r="I287" s="92"/>
      <c r="J287" s="95"/>
      <c r="K287" s="92"/>
      <c r="L287" s="92"/>
      <c r="M287" s="92"/>
      <c r="N287" s="92"/>
      <c r="O287" s="92"/>
      <c r="P287" s="92"/>
      <c r="Q287" s="92"/>
      <c r="R287" s="92"/>
      <c r="S287" s="92"/>
      <c r="T287" s="92"/>
      <c r="U287" s="92"/>
      <c r="V287" s="92"/>
      <c r="W287" s="92"/>
      <c r="X287" s="92"/>
      <c r="Y287" s="92"/>
      <c r="Z287" s="92"/>
      <c r="AA287" s="92"/>
      <c r="AB287" s="92"/>
      <c r="AC287" s="92"/>
      <c r="AD287" s="92"/>
      <c r="AE287" s="92"/>
      <c r="AF287" s="92"/>
      <c r="AG287" s="92"/>
      <c r="AH287" s="92"/>
      <c r="AI287" s="92"/>
      <c r="AJ287" s="92"/>
      <c r="AK287" s="92"/>
      <c r="AL287" s="92"/>
      <c r="AM287" s="92"/>
      <c r="AN287" s="92"/>
      <c r="AO287" s="92"/>
      <c r="AP287" s="92"/>
      <c r="AQ287" s="96"/>
      <c r="AR287" s="97" t="str">
        <f t="shared" si="52"/>
        <v/>
      </c>
      <c r="AS287" s="97" t="str">
        <f>IF($A287="","",IF($AP287&lt;&gt;"",$AP287,IFERROR(INDEX('Cat Zone by ZIP'!$D$6:$D$856,MATCH($AR287,'Cat Zone by ZIP'!$B$6:$B$856,0)),IFERROR(INDEX('Cat Zone by ZIP'!$C$860:$C$910,MATCH($K287,'Cat Zone by ZIP'!$B$860:$B$910,0)),"NOT FOUND"))))</f>
        <v/>
      </c>
      <c r="AT287" s="97" t="str">
        <f>IF($A287="","",IF($AP287&lt;&gt;"","Override",IF(ISNUMBER(MATCH($AR287,'Cat Zone by ZIP'!$B$6:$B$856,0)),"ZIP-3","State default")))</f>
        <v/>
      </c>
      <c r="AU287" s="98" t="str">
        <f>IF($A287="","",IFERROR(INDEX('Natural Catastrophe'!$D$6:$D$17,MATCH($AS287,'Natural Catastrophe'!$B$6:$B$17,0)),"?"))</f>
        <v/>
      </c>
      <c r="AV287" s="98" t="str">
        <f>IF($A287="","",IFERROR(INDEX('Natural Catastrophe'!$C$21:$C$26,MATCH($AA287,'Natural Catastrophe'!$B$21:$B$26,0)),"?"))</f>
        <v/>
      </c>
      <c r="AW287" s="97" t="str">
        <f>IF($A287="","",IFERROR(INDEX('Base Rates'!$C$4:$I$4,MATCH(MAX($J287,'Technical Premium'!$C$18),'Base Rates'!$C$3:$I$3,1)),"?"))</f>
        <v/>
      </c>
      <c r="AX287" s="99" t="str">
        <f>IF($A287="","",IFERROR(INDEX('Base Rates'!$C$5:$I$16,MATCH($I287,'Base Rates'!$B$5:$B$16,0),MATCH(MAX($J287,'Technical Premium'!$C$18),'Base Rates'!$C$3:$I$3,1)),"?"))</f>
        <v/>
      </c>
      <c r="AY287" s="100" t="str">
        <f t="shared" si="53"/>
        <v/>
      </c>
      <c r="AZ287" s="97" t="str">
        <f>IF($A287="","",IFERROR(INDEX('Make Factors'!$G$5:$G$69,MATCH($F287,'Make Factors'!$B$5:$B$69,0)),"?"))</f>
        <v/>
      </c>
      <c r="BA287" s="97" t="str">
        <f>IF($A287="","",IFERROR(INDEX('Driver Factors'!$C$6:$C$15,MATCH($R287,'Driver Factors'!$B$6:$B$15,0)),"?"))</f>
        <v/>
      </c>
      <c r="BB287" s="97" t="str">
        <f>IF($A287="","",IFERROR(INDEX('Driver Factors'!$C$19:$C$24,MATCH($S287,'Driver Factors'!$B$19:$B$24,0)),"?"))</f>
        <v/>
      </c>
      <c r="BC287" s="97" t="str">
        <f>IF($A287="","",IFERROR(INDEX('Driver Factors'!$C$28:$C$36,MATCH($T287,'Driver Factors'!$B$28:$B$36,0)),"?"))</f>
        <v/>
      </c>
      <c r="BD287" s="97" t="str">
        <f>IF($A287="","",IFERROR(INDEX('Claims History'!$C$6:$C$15,MATCH($U287,'Claims History'!$B$6:$B$15,0)),"?"))</f>
        <v/>
      </c>
      <c r="BE287" s="97" t="str">
        <f>IF($A287="","",IFERROR(INDEX('Territory Factors'!$E$6:$E$56,MATCH($K287,'Territory Factors'!$B$6:$B$56,0)),"?"))</f>
        <v/>
      </c>
      <c r="BF287" s="97" t="str">
        <f>IF($A287="","",IFERROR(INDEX('City Accident Ratings'!$G$6:$G$54,MATCH($Z287,'City Accident Ratings'!$B$6:$B$54,0)),"?"))</f>
        <v/>
      </c>
      <c r="BG287" s="97" t="str">
        <f>IF($A287="","",IFERROR(INDEX('Usage and Coverage'!$D$6:$D$20,MATCH($N287,'Usage and Coverage'!$C$6:$C$20,0)),"?"))</f>
        <v/>
      </c>
      <c r="BH287" s="97" t="str">
        <f>IF($A287="","",IFERROR(INDEX('Usage and Coverage'!$C$24:$C$30,MATCH($O287,'Usage and Coverage'!$B$24:$B$30,0)),"?"))</f>
        <v/>
      </c>
      <c r="BI287" s="97" t="str">
        <f>IF($A287="","",IFERROR(INDEX('Usage and Coverage'!$C$34:$C$40,MATCH($P287,'Usage and Coverage'!$B$34:$B$40,0)),"?"))</f>
        <v/>
      </c>
      <c r="BJ287" s="97" t="str">
        <f>IF($A287="","",IFERROR(INDEX('Usage and Coverage'!$C$44:$C$49,MATCH($Q287,'Usage and Coverage'!$B$44:$B$49,0)),"?"))</f>
        <v/>
      </c>
      <c r="BK287" s="97" t="str">
        <f>IF($A287="","",IFERROR(INDEX(Deductibles!$C$6:$I$15,MATCH($W287,Deductibles!$B$6:$B$15,0),MATCH(MAX($J287,'Technical Premium'!$C$18),'Base Rates'!$C$3:$I$3,1)),"?"))</f>
        <v/>
      </c>
      <c r="BL287" s="97" t="str">
        <f>IF($A287="","",IFERROR(INDEX('Usage and Coverage'!$C$63:$C$66,MATCH($X287,'Usage and Coverage'!$B$63:$B$66,0)),"?"))</f>
        <v/>
      </c>
      <c r="BM287" s="97" t="str">
        <f>IF($A287="","",IFERROR(INDEX('Usage and Coverage'!$C$70:$C$75,MATCH($V287,'Usage and Coverage'!$B$70:$B$75,0)),"?"))</f>
        <v/>
      </c>
      <c r="BN287" s="97" t="str">
        <f>IF($A287="","",IF($AB287="",1,IFERROR(INDEX(Deductibles!$C$48:$C$51,MATCH($AB287,Deductibles!$B$48:$B$51,0)),"?")))</f>
        <v/>
      </c>
      <c r="BO287" s="97" t="str">
        <f>IF($A287="","",IF($AC287="",1,IFERROR(INDEX(Deductibles!$C$55:$C$57,MATCH($AC287,Deductibles!$B$55:$B$57,0)),"?")))</f>
        <v/>
      </c>
      <c r="BP287" s="97" t="str">
        <f>IF($A287="","",IF($AD287="",1,IFERROR(INDEX(Deductibles!$C$61:$C$63,MATCH($AD287,Deductibles!$B$61:$B$63,0)),"?")))</f>
        <v/>
      </c>
      <c r="BQ287" s="97" t="str">
        <f>IF($A287="","",IF($AE287="",1,IFERROR(INDEX(Deductibles!$C$67:$C$69,MATCH($AE287,Deductibles!$B$67:$B$69,0)),"?")))</f>
        <v/>
      </c>
      <c r="BR287" s="97" t="str">
        <f>IF($A287="","",IF($AF287="",1,IFERROR(INDEX(Deductibles!$C$73:$C$74,MATCH($AF287,Deductibles!$B$73:$B$74,0)),"?")))</f>
        <v/>
      </c>
      <c r="BS287" s="97" t="str">
        <f>IF($A287="","",IF($AG287="",1,IFERROR(INDEX('Sublimits and Parts'!$C$49:$C$52,MATCH($AG287,'Sublimits and Parts'!$B$49:$B$52,0)),"?")))</f>
        <v/>
      </c>
      <c r="BT287" s="97" t="str">
        <f>IF($A287="","",IF($AH287="",1,IFERROR(INDEX('Sublimits and Parts'!$C$56:$C$60,MATCH($AH287,'Sublimits and Parts'!$B$56:$B$60,0)),"?")))</f>
        <v/>
      </c>
      <c r="BU287" s="97" t="str">
        <f>IF($A287="","",IF($AI287="",1,IFERROR(INDEX('Sublimits and Parts'!$C$64:$C$67,MATCH($AI287,'Sublimits and Parts'!$B$64:$B$67,0)),"?")))</f>
        <v/>
      </c>
      <c r="BV287" s="97" t="str">
        <f>IF($A287="","",IF($AJ287="",1,IFERROR(INDEX('Sublimits and Parts'!$C$71:$C$74,MATCH($AJ287,'Sublimits and Parts'!$B$71:$B$74,0)),"?")))</f>
        <v/>
      </c>
      <c r="BW287" s="97" t="str">
        <f>IF($A287="","",IF($AK287="",1,IFERROR(INDEX('Sublimits and Parts'!$C$78:$C$80,MATCH($AK287,'Sublimits and Parts'!$B$78:$B$80,0)),"?")))</f>
        <v/>
      </c>
      <c r="BX287" s="97" t="str">
        <f>IF($A287="","",IF($AL287="",1,IFERROR(INDEX('Sublimits and Parts'!$C$84:$C$87,MATCH($AL287,'Sublimits and Parts'!$B$84:$B$87,0)),"?")))</f>
        <v/>
      </c>
      <c r="BY287" s="97" t="str">
        <f>IF($A287="","",IF($AM287="",1,IFERROR(INDEX('Sublimits and Parts'!$C$91:$C$94,MATCH($AM287,'Sublimits and Parts'!$B$91:$B$94,0)),"?")))</f>
        <v/>
      </c>
      <c r="BZ287" s="97" t="str">
        <f>IF($A287="","",IF($AN287="",1,IFERROR(INDEX('Sublimits and Parts'!$C$98:$C$101,MATCH($AN287,'Sublimits and Parts'!$B$98:$B$101,0)),"?")))</f>
        <v/>
      </c>
      <c r="CA287" s="97" t="str">
        <f>IF($A287="","",IF($AO287="",1,IFERROR(INDEX('Sublimits and Parts'!$C$105:$C$109,MATCH($AO287,'Sublimits and Parts'!$B$105:$B$109,0)),"?")))</f>
        <v/>
      </c>
      <c r="CB287" s="98" t="str">
        <f t="shared" si="54"/>
        <v/>
      </c>
      <c r="CC287" s="98" t="str">
        <f t="shared" si="55"/>
        <v/>
      </c>
      <c r="CD287" s="101" t="str">
        <f>IF($A287="","",IF(OR($CB287="?",$CC287="?"),"?",MIN($CB287*$CC287,'Technical Premium'!$C$17)))</f>
        <v/>
      </c>
      <c r="CE287" s="100" t="str">
        <f t="shared" si="56"/>
        <v/>
      </c>
      <c r="CF287" s="100" t="str">
        <f>IF($A287="","",IFERROR(INDEX('Territory Factors'!$F$6:$F$56,MATCH($K287,'Territory Factors'!$B$6:$B$56,0)),"?"))</f>
        <v/>
      </c>
      <c r="CG287" s="98" t="str">
        <f>IF($A287="","",IFERROR(INDEX('Usage and Coverage'!$C$79:$C$84,MATCH($Y287,'Usage and Coverage'!$B$79:$B$84,0)),"?"))</f>
        <v/>
      </c>
      <c r="CH287" s="100" t="str">
        <f>IFERROR(IF(ISNUMBER($CD287),$CF287*$CG287*MIN($BG287*$BA287*$BC287*$BD287*$BH287*$BF287,'Technical Premium'!$C$17),""),"")</f>
        <v/>
      </c>
      <c r="CI287" s="100" t="str">
        <f t="shared" si="57"/>
        <v/>
      </c>
      <c r="CJ287" s="100" t="str">
        <f>IFERROR($CI287*(1+'Technical Premium'!$C$5)*(1+'Technical Premium'!$C$6),"")</f>
        <v/>
      </c>
      <c r="CK287" s="100" t="str">
        <f>IFERROR($CE287*INDEX('Territory Factors'!$G$6:$G$56,MATCH($K287,'Territory Factors'!$B$6:$B$56,0))*$AU287*$AV287,"")</f>
        <v/>
      </c>
      <c r="CL287" s="100" t="str">
        <f>IFERROR(($CJ287+$CK287)*(1+'Technical Premium'!$C$7),"")</f>
        <v/>
      </c>
      <c r="CM287" s="102" t="str">
        <f>IFERROR($CL287/'Technical Premium'!$C$13,"")</f>
        <v/>
      </c>
      <c r="CN287" s="103" t="str">
        <f t="shared" si="58"/>
        <v/>
      </c>
      <c r="CO287" s="102" t="str">
        <f t="shared" si="59"/>
        <v/>
      </c>
      <c r="CP287" s="103" t="str">
        <f t="shared" si="60"/>
        <v/>
      </c>
      <c r="CQ287" s="104" t="str">
        <f t="shared" si="61"/>
        <v/>
      </c>
      <c r="CR287" s="100" t="str">
        <f>IF(ISNUMBER($CM287),'Technical Premium'!$C$14+IF($J287&gt;=1000000,'Technical Premium'!$C$15,0),"")</f>
        <v/>
      </c>
      <c r="CS287" s="100" t="str">
        <f>IFERROR(($CO287+$CR287)*(INDEX('Territory Factors'!$K$6:$K$56,MATCH($K287,'Territory Factors'!$B$6:$B$56,0))+'Commission Structure'!$C$21),"")</f>
        <v/>
      </c>
      <c r="CT287" s="102" t="str">
        <f t="shared" si="62"/>
        <v/>
      </c>
      <c r="CU287" s="100" t="str">
        <f>IFERROR($CO287*('Commission Structure'!$C$6+'Commission Structure'!$C$7),"")</f>
        <v/>
      </c>
      <c r="CV287" s="100" t="str">
        <f>IFERROR($CO287*'Commission Structure'!$C$5-$CU287,"")</f>
        <v/>
      </c>
      <c r="CW287" s="100" t="str">
        <f>IFERROR($CO287*(1-'Commission Structure'!$C$5),"")</f>
        <v/>
      </c>
      <c r="CX287" s="105" t="str">
        <f>IF($A287="","",IF(OR($CB287="?",$CC287="?",NOT(ISNUMBER($AU287))),"CHECK INPUTS",IF(OR($J287&lt;'Technical Premium'!$C$18,LEFT(IFERROR(INDEX('Driver Factors'!$D$6:$D$15,MATCH($R287,'Driver Factors'!$B$6:$B$15,0)),""),7)="DECLINE",LEFT(IFERROR(INDEX('Driver Factors'!$D$28:$D$36,MATCH($T287,'Driver Factors'!$B$28:$B$36,0)),""),7)="DECLINE",LEFT(IFERROR(INDEX('Claims History'!$D$6:$D$15,MATCH($U287,'Claims History'!$B$6:$B$15,0)),""),7)="DECLINE",LEFT(IFERROR(INDEX('Usage and Coverage'!$E$6:$E$20,MATCH($N287,'Usage and Coverage'!$C$6:$C$20,0)),""),7)="DECLINE"),"DECLINE",IF(OR($CD287&gt;2.5,$CD287&gt;='Technical Premium'!$C$17,$J287&gt;='Technical Premium'!$C$16,N($AQ287)&lt;'Technical Premium'!$C$19,N($AQ287)&gt;'Technical Premium'!$C$20,LEFT(IFERROR(INDEX('Driver Factors'!$D$6:$D$15,MATCH($R287,'Driver Factors'!$B$6:$B$15,0)),""),5)="Refer",LEFT(IFERROR(INDEX('Driver Factors'!$D$28:$D$36,MATCH($T287,'Driver Factors'!$B$28:$B$36,0)),""),5)="Refer",LEFT(IFERROR(INDEX('Claims History'!$D$6:$D$15,MATCH($U287,'Claims History'!$B$6:$B$15,0)),""),5)="Refer",LEFT(IFERROR(INDEX('Usage and Coverage'!$E$6:$E$20,MATCH($N287,'Usage and Coverage'!$C$6:$C$20,0)),""),5)="Refer"),"REFER","AUTO-BIND"))))</f>
        <v/>
      </c>
      <c r="CY287" s="106" t="str">
        <f t="shared" si="63"/>
        <v/>
      </c>
      <c r="CZ287" s="97" t="str">
        <f>IF($CY287="","",IF($CY287&lt;'Technical Premium'!$C$19,"BEYOND AUTHORITY",IF($CY287&gt;0.005,"Above technical",IF($CY287&lt;-0.005,"BELOW technical","At technical"))))</f>
        <v/>
      </c>
      <c r="DA287" s="97" t="str">
        <f>IF($A287="","",IF($CX287="AUTO-BIND","",TRIM(IF($J287&lt;'Technical Premium'!$C$18,"Below programme minimum agreed value. ","")&amp;IF(N($AQ287)&lt;'Technical Premium'!$C$19,"DISCOUNT AUTHORITY BREACH. ","")&amp;IF(N($AQ287)&gt;'Technical Premium'!$C$20,"Load authority breach. ","")&amp;IF($J287&gt;='Technical Premium'!$C$16,"Agreed value at or above auto-bind limit. ","")&amp;IF(AND(ISNUMBER($CD287),$CD287&gt;='Technical Premium'!$C$17),"Composite factor at cap. ","")&amp;IF(AND(ISNUMBER($CD287),$CD287&gt;2.5),"Composite factor above 2.50. ","")&amp;IF(LEFT(IFERROR(INDEX('Driver Factors'!$D$6:$D$15,MATCH($R287,'Driver Factors'!$B$6:$B$15,0)),""),7)="DECLINE","DECLINE - driver age. ",IF(LEFT(IFERROR(INDEX('Driver Factors'!$D$6:$D$15,MATCH($R287,'Driver Factors'!$B$6:$B$15,0)),""),5)="Refer","Driver age band. ",""))&amp;IF(LEFT(IFERROR(INDEX('Driver Factors'!$D$28:$D$36,MATCH($T287,'Driver Factors'!$B$28:$B$36,0)),""),7)="DECLINE","DECLINE - MVR. ",IF(LEFT(IFERROR(INDEX('Driver Factors'!$D$28:$D$36,MATCH($T287,'Driver Factors'!$B$28:$B$36,0)),""),5)="Refer","MVR record. ",""))&amp;IF(LEFT(IFERROR(INDEX('Claims History'!$D$6:$D$15,MATCH($U287,'Claims History'!$B$6:$B$15,0)),""),7)="DECLINE","DECLINE - claims. ",IF(LEFT(IFERROR(INDEX('Claims History'!$D$6:$D$15,MATCH($U287,'Claims History'!$B$6:$B$15,0)),""),5)="Refer","Claims history. ",""))&amp;IF(LEFT(IFERROR(INDEX('Usage and Coverage'!$E$6:$E$20,MATCH($N287,'Usage and Coverage'!$C$6:$C$20,0)),""),7)="DECLINE","DECLINE - usage class. ",IF(LEFT(IFERROR(INDEX('Usage and Coverage'!$E$6:$E$20,MATCH($N287,'Usage and Coverage'!$C$6:$C$20,0)),""),5)="Refer","Usage class. ",""))&amp;IF($CX287="CHECK INPUTS","Incomplete inputs. ",""))))</f>
        <v/>
      </c>
      <c r="DB287" s="92"/>
      <c r="DC287" s="92"/>
      <c r="DD287" s="93"/>
      <c r="DE287" s="92"/>
      <c r="DF287" s="92"/>
      <c r="DG287" s="97" t="str">
        <f t="shared" si="64"/>
        <v/>
      </c>
      <c r="DH287" s="97" t="str">
        <f>IF($A287="","",IF(OR($CX287="REFER",$CX287="DECLINE"),COUNTIF($CX$5:$CX287,"REFER")+COUNTIF($CX$5:$CX287,"DECLINE"),""))</f>
        <v/>
      </c>
      <c r="DI287" s="92"/>
    </row>
    <row r="288" spans="1:113" x14ac:dyDescent="0.25">
      <c r="A288" s="92"/>
      <c r="B288" s="92"/>
      <c r="C288" s="93"/>
      <c r="D288" s="93"/>
      <c r="E288" s="94"/>
      <c r="F288" s="92"/>
      <c r="G288" s="92"/>
      <c r="H288" s="92"/>
      <c r="I288" s="92"/>
      <c r="J288" s="95"/>
      <c r="K288" s="92"/>
      <c r="L288" s="92"/>
      <c r="M288" s="92"/>
      <c r="N288" s="92"/>
      <c r="O288" s="92"/>
      <c r="P288" s="92"/>
      <c r="Q288" s="92"/>
      <c r="R288" s="92"/>
      <c r="S288" s="92"/>
      <c r="T288" s="92"/>
      <c r="U288" s="92"/>
      <c r="V288" s="92"/>
      <c r="W288" s="92"/>
      <c r="X288" s="92"/>
      <c r="Y288" s="92"/>
      <c r="Z288" s="92"/>
      <c r="AA288" s="92"/>
      <c r="AB288" s="92"/>
      <c r="AC288" s="92"/>
      <c r="AD288" s="92"/>
      <c r="AE288" s="92"/>
      <c r="AF288" s="92"/>
      <c r="AG288" s="92"/>
      <c r="AH288" s="92"/>
      <c r="AI288" s="92"/>
      <c r="AJ288" s="92"/>
      <c r="AK288" s="92"/>
      <c r="AL288" s="92"/>
      <c r="AM288" s="92"/>
      <c r="AN288" s="92"/>
      <c r="AO288" s="92"/>
      <c r="AP288" s="92"/>
      <c r="AQ288" s="96"/>
      <c r="AR288" s="97" t="str">
        <f t="shared" si="52"/>
        <v/>
      </c>
      <c r="AS288" s="97" t="str">
        <f>IF($A288="","",IF($AP288&lt;&gt;"",$AP288,IFERROR(INDEX('Cat Zone by ZIP'!$D$6:$D$856,MATCH($AR288,'Cat Zone by ZIP'!$B$6:$B$856,0)),IFERROR(INDEX('Cat Zone by ZIP'!$C$860:$C$910,MATCH($K288,'Cat Zone by ZIP'!$B$860:$B$910,0)),"NOT FOUND"))))</f>
        <v/>
      </c>
      <c r="AT288" s="97" t="str">
        <f>IF($A288="","",IF($AP288&lt;&gt;"","Override",IF(ISNUMBER(MATCH($AR288,'Cat Zone by ZIP'!$B$6:$B$856,0)),"ZIP-3","State default")))</f>
        <v/>
      </c>
      <c r="AU288" s="98" t="str">
        <f>IF($A288="","",IFERROR(INDEX('Natural Catastrophe'!$D$6:$D$17,MATCH($AS288,'Natural Catastrophe'!$B$6:$B$17,0)),"?"))</f>
        <v/>
      </c>
      <c r="AV288" s="98" t="str">
        <f>IF($A288="","",IFERROR(INDEX('Natural Catastrophe'!$C$21:$C$26,MATCH($AA288,'Natural Catastrophe'!$B$21:$B$26,0)),"?"))</f>
        <v/>
      </c>
      <c r="AW288" s="97" t="str">
        <f>IF($A288="","",IFERROR(INDEX('Base Rates'!$C$4:$I$4,MATCH(MAX($J288,'Technical Premium'!$C$18),'Base Rates'!$C$3:$I$3,1)),"?"))</f>
        <v/>
      </c>
      <c r="AX288" s="99" t="str">
        <f>IF($A288="","",IFERROR(INDEX('Base Rates'!$C$5:$I$16,MATCH($I288,'Base Rates'!$B$5:$B$16,0),MATCH(MAX($J288,'Technical Premium'!$C$18),'Base Rates'!$C$3:$I$3,1)),"?"))</f>
        <v/>
      </c>
      <c r="AY288" s="100" t="str">
        <f t="shared" si="53"/>
        <v/>
      </c>
      <c r="AZ288" s="97" t="str">
        <f>IF($A288="","",IFERROR(INDEX('Make Factors'!$G$5:$G$69,MATCH($F288,'Make Factors'!$B$5:$B$69,0)),"?"))</f>
        <v/>
      </c>
      <c r="BA288" s="97" t="str">
        <f>IF($A288="","",IFERROR(INDEX('Driver Factors'!$C$6:$C$15,MATCH($R288,'Driver Factors'!$B$6:$B$15,0)),"?"))</f>
        <v/>
      </c>
      <c r="BB288" s="97" t="str">
        <f>IF($A288="","",IFERROR(INDEX('Driver Factors'!$C$19:$C$24,MATCH($S288,'Driver Factors'!$B$19:$B$24,0)),"?"))</f>
        <v/>
      </c>
      <c r="BC288" s="97" t="str">
        <f>IF($A288="","",IFERROR(INDEX('Driver Factors'!$C$28:$C$36,MATCH($T288,'Driver Factors'!$B$28:$B$36,0)),"?"))</f>
        <v/>
      </c>
      <c r="BD288" s="97" t="str">
        <f>IF($A288="","",IFERROR(INDEX('Claims History'!$C$6:$C$15,MATCH($U288,'Claims History'!$B$6:$B$15,0)),"?"))</f>
        <v/>
      </c>
      <c r="BE288" s="97" t="str">
        <f>IF($A288="","",IFERROR(INDEX('Territory Factors'!$E$6:$E$56,MATCH($K288,'Territory Factors'!$B$6:$B$56,0)),"?"))</f>
        <v/>
      </c>
      <c r="BF288" s="97" t="str">
        <f>IF($A288="","",IFERROR(INDEX('City Accident Ratings'!$G$6:$G$54,MATCH($Z288,'City Accident Ratings'!$B$6:$B$54,0)),"?"))</f>
        <v/>
      </c>
      <c r="BG288" s="97" t="str">
        <f>IF($A288="","",IFERROR(INDEX('Usage and Coverage'!$D$6:$D$20,MATCH($N288,'Usage and Coverage'!$C$6:$C$20,0)),"?"))</f>
        <v/>
      </c>
      <c r="BH288" s="97" t="str">
        <f>IF($A288="","",IFERROR(INDEX('Usage and Coverage'!$C$24:$C$30,MATCH($O288,'Usage and Coverage'!$B$24:$B$30,0)),"?"))</f>
        <v/>
      </c>
      <c r="BI288" s="97" t="str">
        <f>IF($A288="","",IFERROR(INDEX('Usage and Coverage'!$C$34:$C$40,MATCH($P288,'Usage and Coverage'!$B$34:$B$40,0)),"?"))</f>
        <v/>
      </c>
      <c r="BJ288" s="97" t="str">
        <f>IF($A288="","",IFERROR(INDEX('Usage and Coverage'!$C$44:$C$49,MATCH($Q288,'Usage and Coverage'!$B$44:$B$49,0)),"?"))</f>
        <v/>
      </c>
      <c r="BK288" s="97" t="str">
        <f>IF($A288="","",IFERROR(INDEX(Deductibles!$C$6:$I$15,MATCH($W288,Deductibles!$B$6:$B$15,0),MATCH(MAX($J288,'Technical Premium'!$C$18),'Base Rates'!$C$3:$I$3,1)),"?"))</f>
        <v/>
      </c>
      <c r="BL288" s="97" t="str">
        <f>IF($A288="","",IFERROR(INDEX('Usage and Coverage'!$C$63:$C$66,MATCH($X288,'Usage and Coverage'!$B$63:$B$66,0)),"?"))</f>
        <v/>
      </c>
      <c r="BM288" s="97" t="str">
        <f>IF($A288="","",IFERROR(INDEX('Usage and Coverage'!$C$70:$C$75,MATCH($V288,'Usage and Coverage'!$B$70:$B$75,0)),"?"))</f>
        <v/>
      </c>
      <c r="BN288" s="97" t="str">
        <f>IF($A288="","",IF($AB288="",1,IFERROR(INDEX(Deductibles!$C$48:$C$51,MATCH($AB288,Deductibles!$B$48:$B$51,0)),"?")))</f>
        <v/>
      </c>
      <c r="BO288" s="97" t="str">
        <f>IF($A288="","",IF($AC288="",1,IFERROR(INDEX(Deductibles!$C$55:$C$57,MATCH($AC288,Deductibles!$B$55:$B$57,0)),"?")))</f>
        <v/>
      </c>
      <c r="BP288" s="97" t="str">
        <f>IF($A288="","",IF($AD288="",1,IFERROR(INDEX(Deductibles!$C$61:$C$63,MATCH($AD288,Deductibles!$B$61:$B$63,0)),"?")))</f>
        <v/>
      </c>
      <c r="BQ288" s="97" t="str">
        <f>IF($A288="","",IF($AE288="",1,IFERROR(INDEX(Deductibles!$C$67:$C$69,MATCH($AE288,Deductibles!$B$67:$B$69,0)),"?")))</f>
        <v/>
      </c>
      <c r="BR288" s="97" t="str">
        <f>IF($A288="","",IF($AF288="",1,IFERROR(INDEX(Deductibles!$C$73:$C$74,MATCH($AF288,Deductibles!$B$73:$B$74,0)),"?")))</f>
        <v/>
      </c>
      <c r="BS288" s="97" t="str">
        <f>IF($A288="","",IF($AG288="",1,IFERROR(INDEX('Sublimits and Parts'!$C$49:$C$52,MATCH($AG288,'Sublimits and Parts'!$B$49:$B$52,0)),"?")))</f>
        <v/>
      </c>
      <c r="BT288" s="97" t="str">
        <f>IF($A288="","",IF($AH288="",1,IFERROR(INDEX('Sublimits and Parts'!$C$56:$C$60,MATCH($AH288,'Sublimits and Parts'!$B$56:$B$60,0)),"?")))</f>
        <v/>
      </c>
      <c r="BU288" s="97" t="str">
        <f>IF($A288="","",IF($AI288="",1,IFERROR(INDEX('Sublimits and Parts'!$C$64:$C$67,MATCH($AI288,'Sublimits and Parts'!$B$64:$B$67,0)),"?")))</f>
        <v/>
      </c>
      <c r="BV288" s="97" t="str">
        <f>IF($A288="","",IF($AJ288="",1,IFERROR(INDEX('Sublimits and Parts'!$C$71:$C$74,MATCH($AJ288,'Sublimits and Parts'!$B$71:$B$74,0)),"?")))</f>
        <v/>
      </c>
      <c r="BW288" s="97" t="str">
        <f>IF($A288="","",IF($AK288="",1,IFERROR(INDEX('Sublimits and Parts'!$C$78:$C$80,MATCH($AK288,'Sublimits and Parts'!$B$78:$B$80,0)),"?")))</f>
        <v/>
      </c>
      <c r="BX288" s="97" t="str">
        <f>IF($A288="","",IF($AL288="",1,IFERROR(INDEX('Sublimits and Parts'!$C$84:$C$87,MATCH($AL288,'Sublimits and Parts'!$B$84:$B$87,0)),"?")))</f>
        <v/>
      </c>
      <c r="BY288" s="97" t="str">
        <f>IF($A288="","",IF($AM288="",1,IFERROR(INDEX('Sublimits and Parts'!$C$91:$C$94,MATCH($AM288,'Sublimits and Parts'!$B$91:$B$94,0)),"?")))</f>
        <v/>
      </c>
      <c r="BZ288" s="97" t="str">
        <f>IF($A288="","",IF($AN288="",1,IFERROR(INDEX('Sublimits and Parts'!$C$98:$C$101,MATCH($AN288,'Sublimits and Parts'!$B$98:$B$101,0)),"?")))</f>
        <v/>
      </c>
      <c r="CA288" s="97" t="str">
        <f>IF($A288="","",IF($AO288="",1,IFERROR(INDEX('Sublimits and Parts'!$C$105:$C$109,MATCH($AO288,'Sublimits and Parts'!$B$105:$B$109,0)),"?")))</f>
        <v/>
      </c>
      <c r="CB288" s="98" t="str">
        <f t="shared" si="54"/>
        <v/>
      </c>
      <c r="CC288" s="98" t="str">
        <f t="shared" si="55"/>
        <v/>
      </c>
      <c r="CD288" s="101" t="str">
        <f>IF($A288="","",IF(OR($CB288="?",$CC288="?"),"?",MIN($CB288*$CC288,'Technical Premium'!$C$17)))</f>
        <v/>
      </c>
      <c r="CE288" s="100" t="str">
        <f t="shared" si="56"/>
        <v/>
      </c>
      <c r="CF288" s="100" t="str">
        <f>IF($A288="","",IFERROR(INDEX('Territory Factors'!$F$6:$F$56,MATCH($K288,'Territory Factors'!$B$6:$B$56,0)),"?"))</f>
        <v/>
      </c>
      <c r="CG288" s="98" t="str">
        <f>IF($A288="","",IFERROR(INDEX('Usage and Coverage'!$C$79:$C$84,MATCH($Y288,'Usage and Coverage'!$B$79:$B$84,0)),"?"))</f>
        <v/>
      </c>
      <c r="CH288" s="100" t="str">
        <f>IFERROR(IF(ISNUMBER($CD288),$CF288*$CG288*MIN($BG288*$BA288*$BC288*$BD288*$BH288*$BF288,'Technical Premium'!$C$17),""),"")</f>
        <v/>
      </c>
      <c r="CI288" s="100" t="str">
        <f t="shared" si="57"/>
        <v/>
      </c>
      <c r="CJ288" s="100" t="str">
        <f>IFERROR($CI288*(1+'Technical Premium'!$C$5)*(1+'Technical Premium'!$C$6),"")</f>
        <v/>
      </c>
      <c r="CK288" s="100" t="str">
        <f>IFERROR($CE288*INDEX('Territory Factors'!$G$6:$G$56,MATCH($K288,'Territory Factors'!$B$6:$B$56,0))*$AU288*$AV288,"")</f>
        <v/>
      </c>
      <c r="CL288" s="100" t="str">
        <f>IFERROR(($CJ288+$CK288)*(1+'Technical Premium'!$C$7),"")</f>
        <v/>
      </c>
      <c r="CM288" s="102" t="str">
        <f>IFERROR($CL288/'Technical Premium'!$C$13,"")</f>
        <v/>
      </c>
      <c r="CN288" s="103" t="str">
        <f t="shared" si="58"/>
        <v/>
      </c>
      <c r="CO288" s="102" t="str">
        <f t="shared" si="59"/>
        <v/>
      </c>
      <c r="CP288" s="103" t="str">
        <f t="shared" si="60"/>
        <v/>
      </c>
      <c r="CQ288" s="104" t="str">
        <f t="shared" si="61"/>
        <v/>
      </c>
      <c r="CR288" s="100" t="str">
        <f>IF(ISNUMBER($CM288),'Technical Premium'!$C$14+IF($J288&gt;=1000000,'Technical Premium'!$C$15,0),"")</f>
        <v/>
      </c>
      <c r="CS288" s="100" t="str">
        <f>IFERROR(($CO288+$CR288)*(INDEX('Territory Factors'!$K$6:$K$56,MATCH($K288,'Territory Factors'!$B$6:$B$56,0))+'Commission Structure'!$C$21),"")</f>
        <v/>
      </c>
      <c r="CT288" s="102" t="str">
        <f t="shared" si="62"/>
        <v/>
      </c>
      <c r="CU288" s="100" t="str">
        <f>IFERROR($CO288*('Commission Structure'!$C$6+'Commission Structure'!$C$7),"")</f>
        <v/>
      </c>
      <c r="CV288" s="100" t="str">
        <f>IFERROR($CO288*'Commission Structure'!$C$5-$CU288,"")</f>
        <v/>
      </c>
      <c r="CW288" s="100" t="str">
        <f>IFERROR($CO288*(1-'Commission Structure'!$C$5),"")</f>
        <v/>
      </c>
      <c r="CX288" s="105" t="str">
        <f>IF($A288="","",IF(OR($CB288="?",$CC288="?",NOT(ISNUMBER($AU288))),"CHECK INPUTS",IF(OR($J288&lt;'Technical Premium'!$C$18,LEFT(IFERROR(INDEX('Driver Factors'!$D$6:$D$15,MATCH($R288,'Driver Factors'!$B$6:$B$15,0)),""),7)="DECLINE",LEFT(IFERROR(INDEX('Driver Factors'!$D$28:$D$36,MATCH($T288,'Driver Factors'!$B$28:$B$36,0)),""),7)="DECLINE",LEFT(IFERROR(INDEX('Claims History'!$D$6:$D$15,MATCH($U288,'Claims History'!$B$6:$B$15,0)),""),7)="DECLINE",LEFT(IFERROR(INDEX('Usage and Coverage'!$E$6:$E$20,MATCH($N288,'Usage and Coverage'!$C$6:$C$20,0)),""),7)="DECLINE"),"DECLINE",IF(OR($CD288&gt;2.5,$CD288&gt;='Technical Premium'!$C$17,$J288&gt;='Technical Premium'!$C$16,N($AQ288)&lt;'Technical Premium'!$C$19,N($AQ288)&gt;'Technical Premium'!$C$20,LEFT(IFERROR(INDEX('Driver Factors'!$D$6:$D$15,MATCH($R288,'Driver Factors'!$B$6:$B$15,0)),""),5)="Refer",LEFT(IFERROR(INDEX('Driver Factors'!$D$28:$D$36,MATCH($T288,'Driver Factors'!$B$28:$B$36,0)),""),5)="Refer",LEFT(IFERROR(INDEX('Claims History'!$D$6:$D$15,MATCH($U288,'Claims History'!$B$6:$B$15,0)),""),5)="Refer",LEFT(IFERROR(INDEX('Usage and Coverage'!$E$6:$E$20,MATCH($N288,'Usage and Coverage'!$C$6:$C$20,0)),""),5)="Refer"),"REFER","AUTO-BIND"))))</f>
        <v/>
      </c>
      <c r="CY288" s="106" t="str">
        <f t="shared" si="63"/>
        <v/>
      </c>
      <c r="CZ288" s="97" t="str">
        <f>IF($CY288="","",IF($CY288&lt;'Technical Premium'!$C$19,"BEYOND AUTHORITY",IF($CY288&gt;0.005,"Above technical",IF($CY288&lt;-0.005,"BELOW technical","At technical"))))</f>
        <v/>
      </c>
      <c r="DA288" s="97" t="str">
        <f>IF($A288="","",IF($CX288="AUTO-BIND","",TRIM(IF($J288&lt;'Technical Premium'!$C$18,"Below programme minimum agreed value. ","")&amp;IF(N($AQ288)&lt;'Technical Premium'!$C$19,"DISCOUNT AUTHORITY BREACH. ","")&amp;IF(N($AQ288)&gt;'Technical Premium'!$C$20,"Load authority breach. ","")&amp;IF($J288&gt;='Technical Premium'!$C$16,"Agreed value at or above auto-bind limit. ","")&amp;IF(AND(ISNUMBER($CD288),$CD288&gt;='Technical Premium'!$C$17),"Composite factor at cap. ","")&amp;IF(AND(ISNUMBER($CD288),$CD288&gt;2.5),"Composite factor above 2.50. ","")&amp;IF(LEFT(IFERROR(INDEX('Driver Factors'!$D$6:$D$15,MATCH($R288,'Driver Factors'!$B$6:$B$15,0)),""),7)="DECLINE","DECLINE - driver age. ",IF(LEFT(IFERROR(INDEX('Driver Factors'!$D$6:$D$15,MATCH($R288,'Driver Factors'!$B$6:$B$15,0)),""),5)="Refer","Driver age band. ",""))&amp;IF(LEFT(IFERROR(INDEX('Driver Factors'!$D$28:$D$36,MATCH($T288,'Driver Factors'!$B$28:$B$36,0)),""),7)="DECLINE","DECLINE - MVR. ",IF(LEFT(IFERROR(INDEX('Driver Factors'!$D$28:$D$36,MATCH($T288,'Driver Factors'!$B$28:$B$36,0)),""),5)="Refer","MVR record. ",""))&amp;IF(LEFT(IFERROR(INDEX('Claims History'!$D$6:$D$15,MATCH($U288,'Claims History'!$B$6:$B$15,0)),""),7)="DECLINE","DECLINE - claims. ",IF(LEFT(IFERROR(INDEX('Claims History'!$D$6:$D$15,MATCH($U288,'Claims History'!$B$6:$B$15,0)),""),5)="Refer","Claims history. ",""))&amp;IF(LEFT(IFERROR(INDEX('Usage and Coverage'!$E$6:$E$20,MATCH($N288,'Usage and Coverage'!$C$6:$C$20,0)),""),7)="DECLINE","DECLINE - usage class. ",IF(LEFT(IFERROR(INDEX('Usage and Coverage'!$E$6:$E$20,MATCH($N288,'Usage and Coverage'!$C$6:$C$20,0)),""),5)="Refer","Usage class. ",""))&amp;IF($CX288="CHECK INPUTS","Incomplete inputs. ",""))))</f>
        <v/>
      </c>
      <c r="DB288" s="92"/>
      <c r="DC288" s="92"/>
      <c r="DD288" s="93"/>
      <c r="DE288" s="92"/>
      <c r="DF288" s="92"/>
      <c r="DG288" s="97" t="str">
        <f t="shared" si="64"/>
        <v/>
      </c>
      <c r="DH288" s="97" t="str">
        <f>IF($A288="","",IF(OR($CX288="REFER",$CX288="DECLINE"),COUNTIF($CX$5:$CX288,"REFER")+COUNTIF($CX$5:$CX288,"DECLINE"),""))</f>
        <v/>
      </c>
      <c r="DI288" s="92"/>
    </row>
    <row r="289" spans="1:113" x14ac:dyDescent="0.25">
      <c r="A289" s="92"/>
      <c r="B289" s="92"/>
      <c r="C289" s="93"/>
      <c r="D289" s="93"/>
      <c r="E289" s="94"/>
      <c r="F289" s="92"/>
      <c r="G289" s="92"/>
      <c r="H289" s="92"/>
      <c r="I289" s="92"/>
      <c r="J289" s="95"/>
      <c r="K289" s="92"/>
      <c r="L289" s="92"/>
      <c r="M289" s="92"/>
      <c r="N289" s="92"/>
      <c r="O289" s="92"/>
      <c r="P289" s="92"/>
      <c r="Q289" s="92"/>
      <c r="R289" s="92"/>
      <c r="S289" s="92"/>
      <c r="T289" s="92"/>
      <c r="U289" s="92"/>
      <c r="V289" s="92"/>
      <c r="W289" s="92"/>
      <c r="X289" s="92"/>
      <c r="Y289" s="92"/>
      <c r="Z289" s="92"/>
      <c r="AA289" s="92"/>
      <c r="AB289" s="92"/>
      <c r="AC289" s="92"/>
      <c r="AD289" s="92"/>
      <c r="AE289" s="92"/>
      <c r="AF289" s="92"/>
      <c r="AG289" s="92"/>
      <c r="AH289" s="92"/>
      <c r="AI289" s="92"/>
      <c r="AJ289" s="92"/>
      <c r="AK289" s="92"/>
      <c r="AL289" s="92"/>
      <c r="AM289" s="92"/>
      <c r="AN289" s="92"/>
      <c r="AO289" s="92"/>
      <c r="AP289" s="92"/>
      <c r="AQ289" s="96"/>
      <c r="AR289" s="97" t="str">
        <f t="shared" si="52"/>
        <v/>
      </c>
      <c r="AS289" s="97" t="str">
        <f>IF($A289="","",IF($AP289&lt;&gt;"",$AP289,IFERROR(INDEX('Cat Zone by ZIP'!$D$6:$D$856,MATCH($AR289,'Cat Zone by ZIP'!$B$6:$B$856,0)),IFERROR(INDEX('Cat Zone by ZIP'!$C$860:$C$910,MATCH($K289,'Cat Zone by ZIP'!$B$860:$B$910,0)),"NOT FOUND"))))</f>
        <v/>
      </c>
      <c r="AT289" s="97" t="str">
        <f>IF($A289="","",IF($AP289&lt;&gt;"","Override",IF(ISNUMBER(MATCH($AR289,'Cat Zone by ZIP'!$B$6:$B$856,0)),"ZIP-3","State default")))</f>
        <v/>
      </c>
      <c r="AU289" s="98" t="str">
        <f>IF($A289="","",IFERROR(INDEX('Natural Catastrophe'!$D$6:$D$17,MATCH($AS289,'Natural Catastrophe'!$B$6:$B$17,0)),"?"))</f>
        <v/>
      </c>
      <c r="AV289" s="98" t="str">
        <f>IF($A289="","",IFERROR(INDEX('Natural Catastrophe'!$C$21:$C$26,MATCH($AA289,'Natural Catastrophe'!$B$21:$B$26,0)),"?"))</f>
        <v/>
      </c>
      <c r="AW289" s="97" t="str">
        <f>IF($A289="","",IFERROR(INDEX('Base Rates'!$C$4:$I$4,MATCH(MAX($J289,'Technical Premium'!$C$18),'Base Rates'!$C$3:$I$3,1)),"?"))</f>
        <v/>
      </c>
      <c r="AX289" s="99" t="str">
        <f>IF($A289="","",IFERROR(INDEX('Base Rates'!$C$5:$I$16,MATCH($I289,'Base Rates'!$B$5:$B$16,0),MATCH(MAX($J289,'Technical Premium'!$C$18),'Base Rates'!$C$3:$I$3,1)),"?"))</f>
        <v/>
      </c>
      <c r="AY289" s="100" t="str">
        <f t="shared" si="53"/>
        <v/>
      </c>
      <c r="AZ289" s="97" t="str">
        <f>IF($A289="","",IFERROR(INDEX('Make Factors'!$G$5:$G$69,MATCH($F289,'Make Factors'!$B$5:$B$69,0)),"?"))</f>
        <v/>
      </c>
      <c r="BA289" s="97" t="str">
        <f>IF($A289="","",IFERROR(INDEX('Driver Factors'!$C$6:$C$15,MATCH($R289,'Driver Factors'!$B$6:$B$15,0)),"?"))</f>
        <v/>
      </c>
      <c r="BB289" s="97" t="str">
        <f>IF($A289="","",IFERROR(INDEX('Driver Factors'!$C$19:$C$24,MATCH($S289,'Driver Factors'!$B$19:$B$24,0)),"?"))</f>
        <v/>
      </c>
      <c r="BC289" s="97" t="str">
        <f>IF($A289="","",IFERROR(INDEX('Driver Factors'!$C$28:$C$36,MATCH($T289,'Driver Factors'!$B$28:$B$36,0)),"?"))</f>
        <v/>
      </c>
      <c r="BD289" s="97" t="str">
        <f>IF($A289="","",IFERROR(INDEX('Claims History'!$C$6:$C$15,MATCH($U289,'Claims History'!$B$6:$B$15,0)),"?"))</f>
        <v/>
      </c>
      <c r="BE289" s="97" t="str">
        <f>IF($A289="","",IFERROR(INDEX('Territory Factors'!$E$6:$E$56,MATCH($K289,'Territory Factors'!$B$6:$B$56,0)),"?"))</f>
        <v/>
      </c>
      <c r="BF289" s="97" t="str">
        <f>IF($A289="","",IFERROR(INDEX('City Accident Ratings'!$G$6:$G$54,MATCH($Z289,'City Accident Ratings'!$B$6:$B$54,0)),"?"))</f>
        <v/>
      </c>
      <c r="BG289" s="97" t="str">
        <f>IF($A289="","",IFERROR(INDEX('Usage and Coverage'!$D$6:$D$20,MATCH($N289,'Usage and Coverage'!$C$6:$C$20,0)),"?"))</f>
        <v/>
      </c>
      <c r="BH289" s="97" t="str">
        <f>IF($A289="","",IFERROR(INDEX('Usage and Coverage'!$C$24:$C$30,MATCH($O289,'Usage and Coverage'!$B$24:$B$30,0)),"?"))</f>
        <v/>
      </c>
      <c r="BI289" s="97" t="str">
        <f>IF($A289="","",IFERROR(INDEX('Usage and Coverage'!$C$34:$C$40,MATCH($P289,'Usage and Coverage'!$B$34:$B$40,0)),"?"))</f>
        <v/>
      </c>
      <c r="BJ289" s="97" t="str">
        <f>IF($A289="","",IFERROR(INDEX('Usage and Coverage'!$C$44:$C$49,MATCH($Q289,'Usage and Coverage'!$B$44:$B$49,0)),"?"))</f>
        <v/>
      </c>
      <c r="BK289" s="97" t="str">
        <f>IF($A289="","",IFERROR(INDEX(Deductibles!$C$6:$I$15,MATCH($W289,Deductibles!$B$6:$B$15,0),MATCH(MAX($J289,'Technical Premium'!$C$18),'Base Rates'!$C$3:$I$3,1)),"?"))</f>
        <v/>
      </c>
      <c r="BL289" s="97" t="str">
        <f>IF($A289="","",IFERROR(INDEX('Usage and Coverage'!$C$63:$C$66,MATCH($X289,'Usage and Coverage'!$B$63:$B$66,0)),"?"))</f>
        <v/>
      </c>
      <c r="BM289" s="97" t="str">
        <f>IF($A289="","",IFERROR(INDEX('Usage and Coverage'!$C$70:$C$75,MATCH($V289,'Usage and Coverage'!$B$70:$B$75,0)),"?"))</f>
        <v/>
      </c>
      <c r="BN289" s="97" t="str">
        <f>IF($A289="","",IF($AB289="",1,IFERROR(INDEX(Deductibles!$C$48:$C$51,MATCH($AB289,Deductibles!$B$48:$B$51,0)),"?")))</f>
        <v/>
      </c>
      <c r="BO289" s="97" t="str">
        <f>IF($A289="","",IF($AC289="",1,IFERROR(INDEX(Deductibles!$C$55:$C$57,MATCH($AC289,Deductibles!$B$55:$B$57,0)),"?")))</f>
        <v/>
      </c>
      <c r="BP289" s="97" t="str">
        <f>IF($A289="","",IF($AD289="",1,IFERROR(INDEX(Deductibles!$C$61:$C$63,MATCH($AD289,Deductibles!$B$61:$B$63,0)),"?")))</f>
        <v/>
      </c>
      <c r="BQ289" s="97" t="str">
        <f>IF($A289="","",IF($AE289="",1,IFERROR(INDEX(Deductibles!$C$67:$C$69,MATCH($AE289,Deductibles!$B$67:$B$69,0)),"?")))</f>
        <v/>
      </c>
      <c r="BR289" s="97" t="str">
        <f>IF($A289="","",IF($AF289="",1,IFERROR(INDEX(Deductibles!$C$73:$C$74,MATCH($AF289,Deductibles!$B$73:$B$74,0)),"?")))</f>
        <v/>
      </c>
      <c r="BS289" s="97" t="str">
        <f>IF($A289="","",IF($AG289="",1,IFERROR(INDEX('Sublimits and Parts'!$C$49:$C$52,MATCH($AG289,'Sublimits and Parts'!$B$49:$B$52,0)),"?")))</f>
        <v/>
      </c>
      <c r="BT289" s="97" t="str">
        <f>IF($A289="","",IF($AH289="",1,IFERROR(INDEX('Sublimits and Parts'!$C$56:$C$60,MATCH($AH289,'Sublimits and Parts'!$B$56:$B$60,0)),"?")))</f>
        <v/>
      </c>
      <c r="BU289" s="97" t="str">
        <f>IF($A289="","",IF($AI289="",1,IFERROR(INDEX('Sublimits and Parts'!$C$64:$C$67,MATCH($AI289,'Sublimits and Parts'!$B$64:$B$67,0)),"?")))</f>
        <v/>
      </c>
      <c r="BV289" s="97" t="str">
        <f>IF($A289="","",IF($AJ289="",1,IFERROR(INDEX('Sublimits and Parts'!$C$71:$C$74,MATCH($AJ289,'Sublimits and Parts'!$B$71:$B$74,0)),"?")))</f>
        <v/>
      </c>
      <c r="BW289" s="97" t="str">
        <f>IF($A289="","",IF($AK289="",1,IFERROR(INDEX('Sublimits and Parts'!$C$78:$C$80,MATCH($AK289,'Sublimits and Parts'!$B$78:$B$80,0)),"?")))</f>
        <v/>
      </c>
      <c r="BX289" s="97" t="str">
        <f>IF($A289="","",IF($AL289="",1,IFERROR(INDEX('Sublimits and Parts'!$C$84:$C$87,MATCH($AL289,'Sublimits and Parts'!$B$84:$B$87,0)),"?")))</f>
        <v/>
      </c>
      <c r="BY289" s="97" t="str">
        <f>IF($A289="","",IF($AM289="",1,IFERROR(INDEX('Sublimits and Parts'!$C$91:$C$94,MATCH($AM289,'Sublimits and Parts'!$B$91:$B$94,0)),"?")))</f>
        <v/>
      </c>
      <c r="BZ289" s="97" t="str">
        <f>IF($A289="","",IF($AN289="",1,IFERROR(INDEX('Sublimits and Parts'!$C$98:$C$101,MATCH($AN289,'Sublimits and Parts'!$B$98:$B$101,0)),"?")))</f>
        <v/>
      </c>
      <c r="CA289" s="97" t="str">
        <f>IF($A289="","",IF($AO289="",1,IFERROR(INDEX('Sublimits and Parts'!$C$105:$C$109,MATCH($AO289,'Sublimits and Parts'!$B$105:$B$109,0)),"?")))</f>
        <v/>
      </c>
      <c r="CB289" s="98" t="str">
        <f t="shared" si="54"/>
        <v/>
      </c>
      <c r="CC289" s="98" t="str">
        <f t="shared" si="55"/>
        <v/>
      </c>
      <c r="CD289" s="101" t="str">
        <f>IF($A289="","",IF(OR($CB289="?",$CC289="?"),"?",MIN($CB289*$CC289,'Technical Premium'!$C$17)))</f>
        <v/>
      </c>
      <c r="CE289" s="100" t="str">
        <f t="shared" si="56"/>
        <v/>
      </c>
      <c r="CF289" s="100" t="str">
        <f>IF($A289="","",IFERROR(INDEX('Territory Factors'!$F$6:$F$56,MATCH($K289,'Territory Factors'!$B$6:$B$56,0)),"?"))</f>
        <v/>
      </c>
      <c r="CG289" s="98" t="str">
        <f>IF($A289="","",IFERROR(INDEX('Usage and Coverage'!$C$79:$C$84,MATCH($Y289,'Usage and Coverage'!$B$79:$B$84,0)),"?"))</f>
        <v/>
      </c>
      <c r="CH289" s="100" t="str">
        <f>IFERROR(IF(ISNUMBER($CD289),$CF289*$CG289*MIN($BG289*$BA289*$BC289*$BD289*$BH289*$BF289,'Technical Premium'!$C$17),""),"")</f>
        <v/>
      </c>
      <c r="CI289" s="100" t="str">
        <f t="shared" si="57"/>
        <v/>
      </c>
      <c r="CJ289" s="100" t="str">
        <f>IFERROR($CI289*(1+'Technical Premium'!$C$5)*(1+'Technical Premium'!$C$6),"")</f>
        <v/>
      </c>
      <c r="CK289" s="100" t="str">
        <f>IFERROR($CE289*INDEX('Territory Factors'!$G$6:$G$56,MATCH($K289,'Territory Factors'!$B$6:$B$56,0))*$AU289*$AV289,"")</f>
        <v/>
      </c>
      <c r="CL289" s="100" t="str">
        <f>IFERROR(($CJ289+$CK289)*(1+'Technical Premium'!$C$7),"")</f>
        <v/>
      </c>
      <c r="CM289" s="102" t="str">
        <f>IFERROR($CL289/'Technical Premium'!$C$13,"")</f>
        <v/>
      </c>
      <c r="CN289" s="103" t="str">
        <f t="shared" si="58"/>
        <v/>
      </c>
      <c r="CO289" s="102" t="str">
        <f t="shared" si="59"/>
        <v/>
      </c>
      <c r="CP289" s="103" t="str">
        <f t="shared" si="60"/>
        <v/>
      </c>
      <c r="CQ289" s="104" t="str">
        <f t="shared" si="61"/>
        <v/>
      </c>
      <c r="CR289" s="100" t="str">
        <f>IF(ISNUMBER($CM289),'Technical Premium'!$C$14+IF($J289&gt;=1000000,'Technical Premium'!$C$15,0),"")</f>
        <v/>
      </c>
      <c r="CS289" s="100" t="str">
        <f>IFERROR(($CO289+$CR289)*(INDEX('Territory Factors'!$K$6:$K$56,MATCH($K289,'Territory Factors'!$B$6:$B$56,0))+'Commission Structure'!$C$21),"")</f>
        <v/>
      </c>
      <c r="CT289" s="102" t="str">
        <f t="shared" si="62"/>
        <v/>
      </c>
      <c r="CU289" s="100" t="str">
        <f>IFERROR($CO289*('Commission Structure'!$C$6+'Commission Structure'!$C$7),"")</f>
        <v/>
      </c>
      <c r="CV289" s="100" t="str">
        <f>IFERROR($CO289*'Commission Structure'!$C$5-$CU289,"")</f>
        <v/>
      </c>
      <c r="CW289" s="100" t="str">
        <f>IFERROR($CO289*(1-'Commission Structure'!$C$5),"")</f>
        <v/>
      </c>
      <c r="CX289" s="105" t="str">
        <f>IF($A289="","",IF(OR($CB289="?",$CC289="?",NOT(ISNUMBER($AU289))),"CHECK INPUTS",IF(OR($J289&lt;'Technical Premium'!$C$18,LEFT(IFERROR(INDEX('Driver Factors'!$D$6:$D$15,MATCH($R289,'Driver Factors'!$B$6:$B$15,0)),""),7)="DECLINE",LEFT(IFERROR(INDEX('Driver Factors'!$D$28:$D$36,MATCH($T289,'Driver Factors'!$B$28:$B$36,0)),""),7)="DECLINE",LEFT(IFERROR(INDEX('Claims History'!$D$6:$D$15,MATCH($U289,'Claims History'!$B$6:$B$15,0)),""),7)="DECLINE",LEFT(IFERROR(INDEX('Usage and Coverage'!$E$6:$E$20,MATCH($N289,'Usage and Coverage'!$C$6:$C$20,0)),""),7)="DECLINE"),"DECLINE",IF(OR($CD289&gt;2.5,$CD289&gt;='Technical Premium'!$C$17,$J289&gt;='Technical Premium'!$C$16,N($AQ289)&lt;'Technical Premium'!$C$19,N($AQ289)&gt;'Technical Premium'!$C$20,LEFT(IFERROR(INDEX('Driver Factors'!$D$6:$D$15,MATCH($R289,'Driver Factors'!$B$6:$B$15,0)),""),5)="Refer",LEFT(IFERROR(INDEX('Driver Factors'!$D$28:$D$36,MATCH($T289,'Driver Factors'!$B$28:$B$36,0)),""),5)="Refer",LEFT(IFERROR(INDEX('Claims History'!$D$6:$D$15,MATCH($U289,'Claims History'!$B$6:$B$15,0)),""),5)="Refer",LEFT(IFERROR(INDEX('Usage and Coverage'!$E$6:$E$20,MATCH($N289,'Usage and Coverage'!$C$6:$C$20,0)),""),5)="Refer"),"REFER","AUTO-BIND"))))</f>
        <v/>
      </c>
      <c r="CY289" s="106" t="str">
        <f t="shared" si="63"/>
        <v/>
      </c>
      <c r="CZ289" s="97" t="str">
        <f>IF($CY289="","",IF($CY289&lt;'Technical Premium'!$C$19,"BEYOND AUTHORITY",IF($CY289&gt;0.005,"Above technical",IF($CY289&lt;-0.005,"BELOW technical","At technical"))))</f>
        <v/>
      </c>
      <c r="DA289" s="97" t="str">
        <f>IF($A289="","",IF($CX289="AUTO-BIND","",TRIM(IF($J289&lt;'Technical Premium'!$C$18,"Below programme minimum agreed value. ","")&amp;IF(N($AQ289)&lt;'Technical Premium'!$C$19,"DISCOUNT AUTHORITY BREACH. ","")&amp;IF(N($AQ289)&gt;'Technical Premium'!$C$20,"Load authority breach. ","")&amp;IF($J289&gt;='Technical Premium'!$C$16,"Agreed value at or above auto-bind limit. ","")&amp;IF(AND(ISNUMBER($CD289),$CD289&gt;='Technical Premium'!$C$17),"Composite factor at cap. ","")&amp;IF(AND(ISNUMBER($CD289),$CD289&gt;2.5),"Composite factor above 2.50. ","")&amp;IF(LEFT(IFERROR(INDEX('Driver Factors'!$D$6:$D$15,MATCH($R289,'Driver Factors'!$B$6:$B$15,0)),""),7)="DECLINE","DECLINE - driver age. ",IF(LEFT(IFERROR(INDEX('Driver Factors'!$D$6:$D$15,MATCH($R289,'Driver Factors'!$B$6:$B$15,0)),""),5)="Refer","Driver age band. ",""))&amp;IF(LEFT(IFERROR(INDEX('Driver Factors'!$D$28:$D$36,MATCH($T289,'Driver Factors'!$B$28:$B$36,0)),""),7)="DECLINE","DECLINE - MVR. ",IF(LEFT(IFERROR(INDEX('Driver Factors'!$D$28:$D$36,MATCH($T289,'Driver Factors'!$B$28:$B$36,0)),""),5)="Refer","MVR record. ",""))&amp;IF(LEFT(IFERROR(INDEX('Claims History'!$D$6:$D$15,MATCH($U289,'Claims History'!$B$6:$B$15,0)),""),7)="DECLINE","DECLINE - claims. ",IF(LEFT(IFERROR(INDEX('Claims History'!$D$6:$D$15,MATCH($U289,'Claims History'!$B$6:$B$15,0)),""),5)="Refer","Claims history. ",""))&amp;IF(LEFT(IFERROR(INDEX('Usage and Coverage'!$E$6:$E$20,MATCH($N289,'Usage and Coverage'!$C$6:$C$20,0)),""),7)="DECLINE","DECLINE - usage class. ",IF(LEFT(IFERROR(INDEX('Usage and Coverage'!$E$6:$E$20,MATCH($N289,'Usage and Coverage'!$C$6:$C$20,0)),""),5)="Refer","Usage class. ",""))&amp;IF($CX289="CHECK INPUTS","Incomplete inputs. ",""))))</f>
        <v/>
      </c>
      <c r="DB289" s="92"/>
      <c r="DC289" s="92"/>
      <c r="DD289" s="93"/>
      <c r="DE289" s="92"/>
      <c r="DF289" s="92"/>
      <c r="DG289" s="97" t="str">
        <f t="shared" si="64"/>
        <v/>
      </c>
      <c r="DH289" s="97" t="str">
        <f>IF($A289="","",IF(OR($CX289="REFER",$CX289="DECLINE"),COUNTIF($CX$5:$CX289,"REFER")+COUNTIF($CX$5:$CX289,"DECLINE"),""))</f>
        <v/>
      </c>
      <c r="DI289" s="92"/>
    </row>
    <row r="290" spans="1:113" x14ac:dyDescent="0.25">
      <c r="A290" s="92"/>
      <c r="B290" s="92"/>
      <c r="C290" s="93"/>
      <c r="D290" s="93"/>
      <c r="E290" s="94"/>
      <c r="F290" s="92"/>
      <c r="G290" s="92"/>
      <c r="H290" s="92"/>
      <c r="I290" s="92"/>
      <c r="J290" s="95"/>
      <c r="K290" s="92"/>
      <c r="L290" s="92"/>
      <c r="M290" s="92"/>
      <c r="N290" s="92"/>
      <c r="O290" s="92"/>
      <c r="P290" s="92"/>
      <c r="Q290" s="92"/>
      <c r="R290" s="92"/>
      <c r="S290" s="92"/>
      <c r="T290" s="92"/>
      <c r="U290" s="92"/>
      <c r="V290" s="92"/>
      <c r="W290" s="92"/>
      <c r="X290" s="92"/>
      <c r="Y290" s="92"/>
      <c r="Z290" s="92"/>
      <c r="AA290" s="92"/>
      <c r="AB290" s="92"/>
      <c r="AC290" s="92"/>
      <c r="AD290" s="92"/>
      <c r="AE290" s="92"/>
      <c r="AF290" s="92"/>
      <c r="AG290" s="92"/>
      <c r="AH290" s="92"/>
      <c r="AI290" s="92"/>
      <c r="AJ290" s="92"/>
      <c r="AK290" s="92"/>
      <c r="AL290" s="92"/>
      <c r="AM290" s="92"/>
      <c r="AN290" s="92"/>
      <c r="AO290" s="92"/>
      <c r="AP290" s="92"/>
      <c r="AQ290" s="96"/>
      <c r="AR290" s="97" t="str">
        <f t="shared" si="52"/>
        <v/>
      </c>
      <c r="AS290" s="97" t="str">
        <f>IF($A290="","",IF($AP290&lt;&gt;"",$AP290,IFERROR(INDEX('Cat Zone by ZIP'!$D$6:$D$856,MATCH($AR290,'Cat Zone by ZIP'!$B$6:$B$856,0)),IFERROR(INDEX('Cat Zone by ZIP'!$C$860:$C$910,MATCH($K290,'Cat Zone by ZIP'!$B$860:$B$910,0)),"NOT FOUND"))))</f>
        <v/>
      </c>
      <c r="AT290" s="97" t="str">
        <f>IF($A290="","",IF($AP290&lt;&gt;"","Override",IF(ISNUMBER(MATCH($AR290,'Cat Zone by ZIP'!$B$6:$B$856,0)),"ZIP-3","State default")))</f>
        <v/>
      </c>
      <c r="AU290" s="98" t="str">
        <f>IF($A290="","",IFERROR(INDEX('Natural Catastrophe'!$D$6:$D$17,MATCH($AS290,'Natural Catastrophe'!$B$6:$B$17,0)),"?"))</f>
        <v/>
      </c>
      <c r="AV290" s="98" t="str">
        <f>IF($A290="","",IFERROR(INDEX('Natural Catastrophe'!$C$21:$C$26,MATCH($AA290,'Natural Catastrophe'!$B$21:$B$26,0)),"?"))</f>
        <v/>
      </c>
      <c r="AW290" s="97" t="str">
        <f>IF($A290="","",IFERROR(INDEX('Base Rates'!$C$4:$I$4,MATCH(MAX($J290,'Technical Premium'!$C$18),'Base Rates'!$C$3:$I$3,1)),"?"))</f>
        <v/>
      </c>
      <c r="AX290" s="99" t="str">
        <f>IF($A290="","",IFERROR(INDEX('Base Rates'!$C$5:$I$16,MATCH($I290,'Base Rates'!$B$5:$B$16,0),MATCH(MAX($J290,'Technical Premium'!$C$18),'Base Rates'!$C$3:$I$3,1)),"?"))</f>
        <v/>
      </c>
      <c r="AY290" s="100" t="str">
        <f t="shared" si="53"/>
        <v/>
      </c>
      <c r="AZ290" s="97" t="str">
        <f>IF($A290="","",IFERROR(INDEX('Make Factors'!$G$5:$G$69,MATCH($F290,'Make Factors'!$B$5:$B$69,0)),"?"))</f>
        <v/>
      </c>
      <c r="BA290" s="97" t="str">
        <f>IF($A290="","",IFERROR(INDEX('Driver Factors'!$C$6:$C$15,MATCH($R290,'Driver Factors'!$B$6:$B$15,0)),"?"))</f>
        <v/>
      </c>
      <c r="BB290" s="97" t="str">
        <f>IF($A290="","",IFERROR(INDEX('Driver Factors'!$C$19:$C$24,MATCH($S290,'Driver Factors'!$B$19:$B$24,0)),"?"))</f>
        <v/>
      </c>
      <c r="BC290" s="97" t="str">
        <f>IF($A290="","",IFERROR(INDEX('Driver Factors'!$C$28:$C$36,MATCH($T290,'Driver Factors'!$B$28:$B$36,0)),"?"))</f>
        <v/>
      </c>
      <c r="BD290" s="97" t="str">
        <f>IF($A290="","",IFERROR(INDEX('Claims History'!$C$6:$C$15,MATCH($U290,'Claims History'!$B$6:$B$15,0)),"?"))</f>
        <v/>
      </c>
      <c r="BE290" s="97" t="str">
        <f>IF($A290="","",IFERROR(INDEX('Territory Factors'!$E$6:$E$56,MATCH($K290,'Territory Factors'!$B$6:$B$56,0)),"?"))</f>
        <v/>
      </c>
      <c r="BF290" s="97" t="str">
        <f>IF($A290="","",IFERROR(INDEX('City Accident Ratings'!$G$6:$G$54,MATCH($Z290,'City Accident Ratings'!$B$6:$B$54,0)),"?"))</f>
        <v/>
      </c>
      <c r="BG290" s="97" t="str">
        <f>IF($A290="","",IFERROR(INDEX('Usage and Coverage'!$D$6:$D$20,MATCH($N290,'Usage and Coverage'!$C$6:$C$20,0)),"?"))</f>
        <v/>
      </c>
      <c r="BH290" s="97" t="str">
        <f>IF($A290="","",IFERROR(INDEX('Usage and Coverage'!$C$24:$C$30,MATCH($O290,'Usage and Coverage'!$B$24:$B$30,0)),"?"))</f>
        <v/>
      </c>
      <c r="BI290" s="97" t="str">
        <f>IF($A290="","",IFERROR(INDEX('Usage and Coverage'!$C$34:$C$40,MATCH($P290,'Usage and Coverage'!$B$34:$B$40,0)),"?"))</f>
        <v/>
      </c>
      <c r="BJ290" s="97" t="str">
        <f>IF($A290="","",IFERROR(INDEX('Usage and Coverage'!$C$44:$C$49,MATCH($Q290,'Usage and Coverage'!$B$44:$B$49,0)),"?"))</f>
        <v/>
      </c>
      <c r="BK290" s="97" t="str">
        <f>IF($A290="","",IFERROR(INDEX(Deductibles!$C$6:$I$15,MATCH($W290,Deductibles!$B$6:$B$15,0),MATCH(MAX($J290,'Technical Premium'!$C$18),'Base Rates'!$C$3:$I$3,1)),"?"))</f>
        <v/>
      </c>
      <c r="BL290" s="97" t="str">
        <f>IF($A290="","",IFERROR(INDEX('Usage and Coverage'!$C$63:$C$66,MATCH($X290,'Usage and Coverage'!$B$63:$B$66,0)),"?"))</f>
        <v/>
      </c>
      <c r="BM290" s="97" t="str">
        <f>IF($A290="","",IFERROR(INDEX('Usage and Coverage'!$C$70:$C$75,MATCH($V290,'Usage and Coverage'!$B$70:$B$75,0)),"?"))</f>
        <v/>
      </c>
      <c r="BN290" s="97" t="str">
        <f>IF($A290="","",IF($AB290="",1,IFERROR(INDEX(Deductibles!$C$48:$C$51,MATCH($AB290,Deductibles!$B$48:$B$51,0)),"?")))</f>
        <v/>
      </c>
      <c r="BO290" s="97" t="str">
        <f>IF($A290="","",IF($AC290="",1,IFERROR(INDEX(Deductibles!$C$55:$C$57,MATCH($AC290,Deductibles!$B$55:$B$57,0)),"?")))</f>
        <v/>
      </c>
      <c r="BP290" s="97" t="str">
        <f>IF($A290="","",IF($AD290="",1,IFERROR(INDEX(Deductibles!$C$61:$C$63,MATCH($AD290,Deductibles!$B$61:$B$63,0)),"?")))</f>
        <v/>
      </c>
      <c r="BQ290" s="97" t="str">
        <f>IF($A290="","",IF($AE290="",1,IFERROR(INDEX(Deductibles!$C$67:$C$69,MATCH($AE290,Deductibles!$B$67:$B$69,0)),"?")))</f>
        <v/>
      </c>
      <c r="BR290" s="97" t="str">
        <f>IF($A290="","",IF($AF290="",1,IFERROR(INDEX(Deductibles!$C$73:$C$74,MATCH($AF290,Deductibles!$B$73:$B$74,0)),"?")))</f>
        <v/>
      </c>
      <c r="BS290" s="97" t="str">
        <f>IF($A290="","",IF($AG290="",1,IFERROR(INDEX('Sublimits and Parts'!$C$49:$C$52,MATCH($AG290,'Sublimits and Parts'!$B$49:$B$52,0)),"?")))</f>
        <v/>
      </c>
      <c r="BT290" s="97" t="str">
        <f>IF($A290="","",IF($AH290="",1,IFERROR(INDEX('Sublimits and Parts'!$C$56:$C$60,MATCH($AH290,'Sublimits and Parts'!$B$56:$B$60,0)),"?")))</f>
        <v/>
      </c>
      <c r="BU290" s="97" t="str">
        <f>IF($A290="","",IF($AI290="",1,IFERROR(INDEX('Sublimits and Parts'!$C$64:$C$67,MATCH($AI290,'Sublimits and Parts'!$B$64:$B$67,0)),"?")))</f>
        <v/>
      </c>
      <c r="BV290" s="97" t="str">
        <f>IF($A290="","",IF($AJ290="",1,IFERROR(INDEX('Sublimits and Parts'!$C$71:$C$74,MATCH($AJ290,'Sublimits and Parts'!$B$71:$B$74,0)),"?")))</f>
        <v/>
      </c>
      <c r="BW290" s="97" t="str">
        <f>IF($A290="","",IF($AK290="",1,IFERROR(INDEX('Sublimits and Parts'!$C$78:$C$80,MATCH($AK290,'Sublimits and Parts'!$B$78:$B$80,0)),"?")))</f>
        <v/>
      </c>
      <c r="BX290" s="97" t="str">
        <f>IF($A290="","",IF($AL290="",1,IFERROR(INDEX('Sublimits and Parts'!$C$84:$C$87,MATCH($AL290,'Sublimits and Parts'!$B$84:$B$87,0)),"?")))</f>
        <v/>
      </c>
      <c r="BY290" s="97" t="str">
        <f>IF($A290="","",IF($AM290="",1,IFERROR(INDEX('Sublimits and Parts'!$C$91:$C$94,MATCH($AM290,'Sublimits and Parts'!$B$91:$B$94,0)),"?")))</f>
        <v/>
      </c>
      <c r="BZ290" s="97" t="str">
        <f>IF($A290="","",IF($AN290="",1,IFERROR(INDEX('Sublimits and Parts'!$C$98:$C$101,MATCH($AN290,'Sublimits and Parts'!$B$98:$B$101,0)),"?")))</f>
        <v/>
      </c>
      <c r="CA290" s="97" t="str">
        <f>IF($A290="","",IF($AO290="",1,IFERROR(INDEX('Sublimits and Parts'!$C$105:$C$109,MATCH($AO290,'Sublimits and Parts'!$B$105:$B$109,0)),"?")))</f>
        <v/>
      </c>
      <c r="CB290" s="98" t="str">
        <f t="shared" si="54"/>
        <v/>
      </c>
      <c r="CC290" s="98" t="str">
        <f t="shared" si="55"/>
        <v/>
      </c>
      <c r="CD290" s="101" t="str">
        <f>IF($A290="","",IF(OR($CB290="?",$CC290="?"),"?",MIN($CB290*$CC290,'Technical Premium'!$C$17)))</f>
        <v/>
      </c>
      <c r="CE290" s="100" t="str">
        <f t="shared" si="56"/>
        <v/>
      </c>
      <c r="CF290" s="100" t="str">
        <f>IF($A290="","",IFERROR(INDEX('Territory Factors'!$F$6:$F$56,MATCH($K290,'Territory Factors'!$B$6:$B$56,0)),"?"))</f>
        <v/>
      </c>
      <c r="CG290" s="98" t="str">
        <f>IF($A290="","",IFERROR(INDEX('Usage and Coverage'!$C$79:$C$84,MATCH($Y290,'Usage and Coverage'!$B$79:$B$84,0)),"?"))</f>
        <v/>
      </c>
      <c r="CH290" s="100" t="str">
        <f>IFERROR(IF(ISNUMBER($CD290),$CF290*$CG290*MIN($BG290*$BA290*$BC290*$BD290*$BH290*$BF290,'Technical Premium'!$C$17),""),"")</f>
        <v/>
      </c>
      <c r="CI290" s="100" t="str">
        <f t="shared" si="57"/>
        <v/>
      </c>
      <c r="CJ290" s="100" t="str">
        <f>IFERROR($CI290*(1+'Technical Premium'!$C$5)*(1+'Technical Premium'!$C$6),"")</f>
        <v/>
      </c>
      <c r="CK290" s="100" t="str">
        <f>IFERROR($CE290*INDEX('Territory Factors'!$G$6:$G$56,MATCH($K290,'Territory Factors'!$B$6:$B$56,0))*$AU290*$AV290,"")</f>
        <v/>
      </c>
      <c r="CL290" s="100" t="str">
        <f>IFERROR(($CJ290+$CK290)*(1+'Technical Premium'!$C$7),"")</f>
        <v/>
      </c>
      <c r="CM290" s="102" t="str">
        <f>IFERROR($CL290/'Technical Premium'!$C$13,"")</f>
        <v/>
      </c>
      <c r="CN290" s="103" t="str">
        <f t="shared" si="58"/>
        <v/>
      </c>
      <c r="CO290" s="102" t="str">
        <f t="shared" si="59"/>
        <v/>
      </c>
      <c r="CP290" s="103" t="str">
        <f t="shared" si="60"/>
        <v/>
      </c>
      <c r="CQ290" s="104" t="str">
        <f t="shared" si="61"/>
        <v/>
      </c>
      <c r="CR290" s="100" t="str">
        <f>IF(ISNUMBER($CM290),'Technical Premium'!$C$14+IF($J290&gt;=1000000,'Technical Premium'!$C$15,0),"")</f>
        <v/>
      </c>
      <c r="CS290" s="100" t="str">
        <f>IFERROR(($CO290+$CR290)*(INDEX('Territory Factors'!$K$6:$K$56,MATCH($K290,'Territory Factors'!$B$6:$B$56,0))+'Commission Structure'!$C$21),"")</f>
        <v/>
      </c>
      <c r="CT290" s="102" t="str">
        <f t="shared" si="62"/>
        <v/>
      </c>
      <c r="CU290" s="100" t="str">
        <f>IFERROR($CO290*('Commission Structure'!$C$6+'Commission Structure'!$C$7),"")</f>
        <v/>
      </c>
      <c r="CV290" s="100" t="str">
        <f>IFERROR($CO290*'Commission Structure'!$C$5-$CU290,"")</f>
        <v/>
      </c>
      <c r="CW290" s="100" t="str">
        <f>IFERROR($CO290*(1-'Commission Structure'!$C$5),"")</f>
        <v/>
      </c>
      <c r="CX290" s="105" t="str">
        <f>IF($A290="","",IF(OR($CB290="?",$CC290="?",NOT(ISNUMBER($AU290))),"CHECK INPUTS",IF(OR($J290&lt;'Technical Premium'!$C$18,LEFT(IFERROR(INDEX('Driver Factors'!$D$6:$D$15,MATCH($R290,'Driver Factors'!$B$6:$B$15,0)),""),7)="DECLINE",LEFT(IFERROR(INDEX('Driver Factors'!$D$28:$D$36,MATCH($T290,'Driver Factors'!$B$28:$B$36,0)),""),7)="DECLINE",LEFT(IFERROR(INDEX('Claims History'!$D$6:$D$15,MATCH($U290,'Claims History'!$B$6:$B$15,0)),""),7)="DECLINE",LEFT(IFERROR(INDEX('Usage and Coverage'!$E$6:$E$20,MATCH($N290,'Usage and Coverage'!$C$6:$C$20,0)),""),7)="DECLINE"),"DECLINE",IF(OR($CD290&gt;2.5,$CD290&gt;='Technical Premium'!$C$17,$J290&gt;='Technical Premium'!$C$16,N($AQ290)&lt;'Technical Premium'!$C$19,N($AQ290)&gt;'Technical Premium'!$C$20,LEFT(IFERROR(INDEX('Driver Factors'!$D$6:$D$15,MATCH($R290,'Driver Factors'!$B$6:$B$15,0)),""),5)="Refer",LEFT(IFERROR(INDEX('Driver Factors'!$D$28:$D$36,MATCH($T290,'Driver Factors'!$B$28:$B$36,0)),""),5)="Refer",LEFT(IFERROR(INDEX('Claims History'!$D$6:$D$15,MATCH($U290,'Claims History'!$B$6:$B$15,0)),""),5)="Refer",LEFT(IFERROR(INDEX('Usage and Coverage'!$E$6:$E$20,MATCH($N290,'Usage and Coverage'!$C$6:$C$20,0)),""),5)="Refer"),"REFER","AUTO-BIND"))))</f>
        <v/>
      </c>
      <c r="CY290" s="106" t="str">
        <f t="shared" si="63"/>
        <v/>
      </c>
      <c r="CZ290" s="97" t="str">
        <f>IF($CY290="","",IF($CY290&lt;'Technical Premium'!$C$19,"BEYOND AUTHORITY",IF($CY290&gt;0.005,"Above technical",IF($CY290&lt;-0.005,"BELOW technical","At technical"))))</f>
        <v/>
      </c>
      <c r="DA290" s="97" t="str">
        <f>IF($A290="","",IF($CX290="AUTO-BIND","",TRIM(IF($J290&lt;'Technical Premium'!$C$18,"Below programme minimum agreed value. ","")&amp;IF(N($AQ290)&lt;'Technical Premium'!$C$19,"DISCOUNT AUTHORITY BREACH. ","")&amp;IF(N($AQ290)&gt;'Technical Premium'!$C$20,"Load authority breach. ","")&amp;IF($J290&gt;='Technical Premium'!$C$16,"Agreed value at or above auto-bind limit. ","")&amp;IF(AND(ISNUMBER($CD290),$CD290&gt;='Technical Premium'!$C$17),"Composite factor at cap. ","")&amp;IF(AND(ISNUMBER($CD290),$CD290&gt;2.5),"Composite factor above 2.50. ","")&amp;IF(LEFT(IFERROR(INDEX('Driver Factors'!$D$6:$D$15,MATCH($R290,'Driver Factors'!$B$6:$B$15,0)),""),7)="DECLINE","DECLINE - driver age. ",IF(LEFT(IFERROR(INDEX('Driver Factors'!$D$6:$D$15,MATCH($R290,'Driver Factors'!$B$6:$B$15,0)),""),5)="Refer","Driver age band. ",""))&amp;IF(LEFT(IFERROR(INDEX('Driver Factors'!$D$28:$D$36,MATCH($T290,'Driver Factors'!$B$28:$B$36,0)),""),7)="DECLINE","DECLINE - MVR. ",IF(LEFT(IFERROR(INDEX('Driver Factors'!$D$28:$D$36,MATCH($T290,'Driver Factors'!$B$28:$B$36,0)),""),5)="Refer","MVR record. ",""))&amp;IF(LEFT(IFERROR(INDEX('Claims History'!$D$6:$D$15,MATCH($U290,'Claims History'!$B$6:$B$15,0)),""),7)="DECLINE","DECLINE - claims. ",IF(LEFT(IFERROR(INDEX('Claims History'!$D$6:$D$15,MATCH($U290,'Claims History'!$B$6:$B$15,0)),""),5)="Refer","Claims history. ",""))&amp;IF(LEFT(IFERROR(INDEX('Usage and Coverage'!$E$6:$E$20,MATCH($N290,'Usage and Coverage'!$C$6:$C$20,0)),""),7)="DECLINE","DECLINE - usage class. ",IF(LEFT(IFERROR(INDEX('Usage and Coverage'!$E$6:$E$20,MATCH($N290,'Usage and Coverage'!$C$6:$C$20,0)),""),5)="Refer","Usage class. ",""))&amp;IF($CX290="CHECK INPUTS","Incomplete inputs. ",""))))</f>
        <v/>
      </c>
      <c r="DB290" s="92"/>
      <c r="DC290" s="92"/>
      <c r="DD290" s="93"/>
      <c r="DE290" s="92"/>
      <c r="DF290" s="92"/>
      <c r="DG290" s="97" t="str">
        <f t="shared" si="64"/>
        <v/>
      </c>
      <c r="DH290" s="97" t="str">
        <f>IF($A290="","",IF(OR($CX290="REFER",$CX290="DECLINE"),COUNTIF($CX$5:$CX290,"REFER")+COUNTIF($CX$5:$CX290,"DECLINE"),""))</f>
        <v/>
      </c>
      <c r="DI290" s="92"/>
    </row>
    <row r="291" spans="1:113" x14ac:dyDescent="0.25">
      <c r="A291" s="92"/>
      <c r="B291" s="92"/>
      <c r="C291" s="93"/>
      <c r="D291" s="93"/>
      <c r="E291" s="94"/>
      <c r="F291" s="92"/>
      <c r="G291" s="92"/>
      <c r="H291" s="92"/>
      <c r="I291" s="92"/>
      <c r="J291" s="95"/>
      <c r="K291" s="92"/>
      <c r="L291" s="92"/>
      <c r="M291" s="92"/>
      <c r="N291" s="92"/>
      <c r="O291" s="92"/>
      <c r="P291" s="92"/>
      <c r="Q291" s="92"/>
      <c r="R291" s="92"/>
      <c r="S291" s="92"/>
      <c r="T291" s="92"/>
      <c r="U291" s="92"/>
      <c r="V291" s="92"/>
      <c r="W291" s="92"/>
      <c r="X291" s="92"/>
      <c r="Y291" s="92"/>
      <c r="Z291" s="92"/>
      <c r="AA291" s="92"/>
      <c r="AB291" s="92"/>
      <c r="AC291" s="92"/>
      <c r="AD291" s="92"/>
      <c r="AE291" s="92"/>
      <c r="AF291" s="92"/>
      <c r="AG291" s="92"/>
      <c r="AH291" s="92"/>
      <c r="AI291" s="92"/>
      <c r="AJ291" s="92"/>
      <c r="AK291" s="92"/>
      <c r="AL291" s="92"/>
      <c r="AM291" s="92"/>
      <c r="AN291" s="92"/>
      <c r="AO291" s="92"/>
      <c r="AP291" s="92"/>
      <c r="AQ291" s="96"/>
      <c r="AR291" s="97" t="str">
        <f t="shared" si="52"/>
        <v/>
      </c>
      <c r="AS291" s="97" t="str">
        <f>IF($A291="","",IF($AP291&lt;&gt;"",$AP291,IFERROR(INDEX('Cat Zone by ZIP'!$D$6:$D$856,MATCH($AR291,'Cat Zone by ZIP'!$B$6:$B$856,0)),IFERROR(INDEX('Cat Zone by ZIP'!$C$860:$C$910,MATCH($K291,'Cat Zone by ZIP'!$B$860:$B$910,0)),"NOT FOUND"))))</f>
        <v/>
      </c>
      <c r="AT291" s="97" t="str">
        <f>IF($A291="","",IF($AP291&lt;&gt;"","Override",IF(ISNUMBER(MATCH($AR291,'Cat Zone by ZIP'!$B$6:$B$856,0)),"ZIP-3","State default")))</f>
        <v/>
      </c>
      <c r="AU291" s="98" t="str">
        <f>IF($A291="","",IFERROR(INDEX('Natural Catastrophe'!$D$6:$D$17,MATCH($AS291,'Natural Catastrophe'!$B$6:$B$17,0)),"?"))</f>
        <v/>
      </c>
      <c r="AV291" s="98" t="str">
        <f>IF($A291="","",IFERROR(INDEX('Natural Catastrophe'!$C$21:$C$26,MATCH($AA291,'Natural Catastrophe'!$B$21:$B$26,0)),"?"))</f>
        <v/>
      </c>
      <c r="AW291" s="97" t="str">
        <f>IF($A291="","",IFERROR(INDEX('Base Rates'!$C$4:$I$4,MATCH(MAX($J291,'Technical Premium'!$C$18),'Base Rates'!$C$3:$I$3,1)),"?"))</f>
        <v/>
      </c>
      <c r="AX291" s="99" t="str">
        <f>IF($A291="","",IFERROR(INDEX('Base Rates'!$C$5:$I$16,MATCH($I291,'Base Rates'!$B$5:$B$16,0),MATCH(MAX($J291,'Technical Premium'!$C$18),'Base Rates'!$C$3:$I$3,1)),"?"))</f>
        <v/>
      </c>
      <c r="AY291" s="100" t="str">
        <f t="shared" si="53"/>
        <v/>
      </c>
      <c r="AZ291" s="97" t="str">
        <f>IF($A291="","",IFERROR(INDEX('Make Factors'!$G$5:$G$69,MATCH($F291,'Make Factors'!$B$5:$B$69,0)),"?"))</f>
        <v/>
      </c>
      <c r="BA291" s="97" t="str">
        <f>IF($A291="","",IFERROR(INDEX('Driver Factors'!$C$6:$C$15,MATCH($R291,'Driver Factors'!$B$6:$B$15,0)),"?"))</f>
        <v/>
      </c>
      <c r="BB291" s="97" t="str">
        <f>IF($A291="","",IFERROR(INDEX('Driver Factors'!$C$19:$C$24,MATCH($S291,'Driver Factors'!$B$19:$B$24,0)),"?"))</f>
        <v/>
      </c>
      <c r="BC291" s="97" t="str">
        <f>IF($A291="","",IFERROR(INDEX('Driver Factors'!$C$28:$C$36,MATCH($T291,'Driver Factors'!$B$28:$B$36,0)),"?"))</f>
        <v/>
      </c>
      <c r="BD291" s="97" t="str">
        <f>IF($A291="","",IFERROR(INDEX('Claims History'!$C$6:$C$15,MATCH($U291,'Claims History'!$B$6:$B$15,0)),"?"))</f>
        <v/>
      </c>
      <c r="BE291" s="97" t="str">
        <f>IF($A291="","",IFERROR(INDEX('Territory Factors'!$E$6:$E$56,MATCH($K291,'Territory Factors'!$B$6:$B$56,0)),"?"))</f>
        <v/>
      </c>
      <c r="BF291" s="97" t="str">
        <f>IF($A291="","",IFERROR(INDEX('City Accident Ratings'!$G$6:$G$54,MATCH($Z291,'City Accident Ratings'!$B$6:$B$54,0)),"?"))</f>
        <v/>
      </c>
      <c r="BG291" s="97" t="str">
        <f>IF($A291="","",IFERROR(INDEX('Usage and Coverage'!$D$6:$D$20,MATCH($N291,'Usage and Coverage'!$C$6:$C$20,0)),"?"))</f>
        <v/>
      </c>
      <c r="BH291" s="97" t="str">
        <f>IF($A291="","",IFERROR(INDEX('Usage and Coverage'!$C$24:$C$30,MATCH($O291,'Usage and Coverage'!$B$24:$B$30,0)),"?"))</f>
        <v/>
      </c>
      <c r="BI291" s="97" t="str">
        <f>IF($A291="","",IFERROR(INDEX('Usage and Coverage'!$C$34:$C$40,MATCH($P291,'Usage and Coverage'!$B$34:$B$40,0)),"?"))</f>
        <v/>
      </c>
      <c r="BJ291" s="97" t="str">
        <f>IF($A291="","",IFERROR(INDEX('Usage and Coverage'!$C$44:$C$49,MATCH($Q291,'Usage and Coverage'!$B$44:$B$49,0)),"?"))</f>
        <v/>
      </c>
      <c r="BK291" s="97" t="str">
        <f>IF($A291="","",IFERROR(INDEX(Deductibles!$C$6:$I$15,MATCH($W291,Deductibles!$B$6:$B$15,0),MATCH(MAX($J291,'Technical Premium'!$C$18),'Base Rates'!$C$3:$I$3,1)),"?"))</f>
        <v/>
      </c>
      <c r="BL291" s="97" t="str">
        <f>IF($A291="","",IFERROR(INDEX('Usage and Coverage'!$C$63:$C$66,MATCH($X291,'Usage and Coverage'!$B$63:$B$66,0)),"?"))</f>
        <v/>
      </c>
      <c r="BM291" s="97" t="str">
        <f>IF($A291="","",IFERROR(INDEX('Usage and Coverage'!$C$70:$C$75,MATCH($V291,'Usage and Coverage'!$B$70:$B$75,0)),"?"))</f>
        <v/>
      </c>
      <c r="BN291" s="97" t="str">
        <f>IF($A291="","",IF($AB291="",1,IFERROR(INDEX(Deductibles!$C$48:$C$51,MATCH($AB291,Deductibles!$B$48:$B$51,0)),"?")))</f>
        <v/>
      </c>
      <c r="BO291" s="97" t="str">
        <f>IF($A291="","",IF($AC291="",1,IFERROR(INDEX(Deductibles!$C$55:$C$57,MATCH($AC291,Deductibles!$B$55:$B$57,0)),"?")))</f>
        <v/>
      </c>
      <c r="BP291" s="97" t="str">
        <f>IF($A291="","",IF($AD291="",1,IFERROR(INDEX(Deductibles!$C$61:$C$63,MATCH($AD291,Deductibles!$B$61:$B$63,0)),"?")))</f>
        <v/>
      </c>
      <c r="BQ291" s="97" t="str">
        <f>IF($A291="","",IF($AE291="",1,IFERROR(INDEX(Deductibles!$C$67:$C$69,MATCH($AE291,Deductibles!$B$67:$B$69,0)),"?")))</f>
        <v/>
      </c>
      <c r="BR291" s="97" t="str">
        <f>IF($A291="","",IF($AF291="",1,IFERROR(INDEX(Deductibles!$C$73:$C$74,MATCH($AF291,Deductibles!$B$73:$B$74,0)),"?")))</f>
        <v/>
      </c>
      <c r="BS291" s="97" t="str">
        <f>IF($A291="","",IF($AG291="",1,IFERROR(INDEX('Sublimits and Parts'!$C$49:$C$52,MATCH($AG291,'Sublimits and Parts'!$B$49:$B$52,0)),"?")))</f>
        <v/>
      </c>
      <c r="BT291" s="97" t="str">
        <f>IF($A291="","",IF($AH291="",1,IFERROR(INDEX('Sublimits and Parts'!$C$56:$C$60,MATCH($AH291,'Sublimits and Parts'!$B$56:$B$60,0)),"?")))</f>
        <v/>
      </c>
      <c r="BU291" s="97" t="str">
        <f>IF($A291="","",IF($AI291="",1,IFERROR(INDEX('Sublimits and Parts'!$C$64:$C$67,MATCH($AI291,'Sublimits and Parts'!$B$64:$B$67,0)),"?")))</f>
        <v/>
      </c>
      <c r="BV291" s="97" t="str">
        <f>IF($A291="","",IF($AJ291="",1,IFERROR(INDEX('Sublimits and Parts'!$C$71:$C$74,MATCH($AJ291,'Sublimits and Parts'!$B$71:$B$74,0)),"?")))</f>
        <v/>
      </c>
      <c r="BW291" s="97" t="str">
        <f>IF($A291="","",IF($AK291="",1,IFERROR(INDEX('Sublimits and Parts'!$C$78:$C$80,MATCH($AK291,'Sublimits and Parts'!$B$78:$B$80,0)),"?")))</f>
        <v/>
      </c>
      <c r="BX291" s="97" t="str">
        <f>IF($A291="","",IF($AL291="",1,IFERROR(INDEX('Sublimits and Parts'!$C$84:$C$87,MATCH($AL291,'Sublimits and Parts'!$B$84:$B$87,0)),"?")))</f>
        <v/>
      </c>
      <c r="BY291" s="97" t="str">
        <f>IF($A291="","",IF($AM291="",1,IFERROR(INDEX('Sublimits and Parts'!$C$91:$C$94,MATCH($AM291,'Sublimits and Parts'!$B$91:$B$94,0)),"?")))</f>
        <v/>
      </c>
      <c r="BZ291" s="97" t="str">
        <f>IF($A291="","",IF($AN291="",1,IFERROR(INDEX('Sublimits and Parts'!$C$98:$C$101,MATCH($AN291,'Sublimits and Parts'!$B$98:$B$101,0)),"?")))</f>
        <v/>
      </c>
      <c r="CA291" s="97" t="str">
        <f>IF($A291="","",IF($AO291="",1,IFERROR(INDEX('Sublimits and Parts'!$C$105:$C$109,MATCH($AO291,'Sublimits and Parts'!$B$105:$B$109,0)),"?")))</f>
        <v/>
      </c>
      <c r="CB291" s="98" t="str">
        <f t="shared" si="54"/>
        <v/>
      </c>
      <c r="CC291" s="98" t="str">
        <f t="shared" si="55"/>
        <v/>
      </c>
      <c r="CD291" s="101" t="str">
        <f>IF($A291="","",IF(OR($CB291="?",$CC291="?"),"?",MIN($CB291*$CC291,'Technical Premium'!$C$17)))</f>
        <v/>
      </c>
      <c r="CE291" s="100" t="str">
        <f t="shared" si="56"/>
        <v/>
      </c>
      <c r="CF291" s="100" t="str">
        <f>IF($A291="","",IFERROR(INDEX('Territory Factors'!$F$6:$F$56,MATCH($K291,'Territory Factors'!$B$6:$B$56,0)),"?"))</f>
        <v/>
      </c>
      <c r="CG291" s="98" t="str">
        <f>IF($A291="","",IFERROR(INDEX('Usage and Coverage'!$C$79:$C$84,MATCH($Y291,'Usage and Coverage'!$B$79:$B$84,0)),"?"))</f>
        <v/>
      </c>
      <c r="CH291" s="100" t="str">
        <f>IFERROR(IF(ISNUMBER($CD291),$CF291*$CG291*MIN($BG291*$BA291*$BC291*$BD291*$BH291*$BF291,'Technical Premium'!$C$17),""),"")</f>
        <v/>
      </c>
      <c r="CI291" s="100" t="str">
        <f t="shared" si="57"/>
        <v/>
      </c>
      <c r="CJ291" s="100" t="str">
        <f>IFERROR($CI291*(1+'Technical Premium'!$C$5)*(1+'Technical Premium'!$C$6),"")</f>
        <v/>
      </c>
      <c r="CK291" s="100" t="str">
        <f>IFERROR($CE291*INDEX('Territory Factors'!$G$6:$G$56,MATCH($K291,'Territory Factors'!$B$6:$B$56,0))*$AU291*$AV291,"")</f>
        <v/>
      </c>
      <c r="CL291" s="100" t="str">
        <f>IFERROR(($CJ291+$CK291)*(1+'Technical Premium'!$C$7),"")</f>
        <v/>
      </c>
      <c r="CM291" s="102" t="str">
        <f>IFERROR($CL291/'Technical Premium'!$C$13,"")</f>
        <v/>
      </c>
      <c r="CN291" s="103" t="str">
        <f t="shared" si="58"/>
        <v/>
      </c>
      <c r="CO291" s="102" t="str">
        <f t="shared" si="59"/>
        <v/>
      </c>
      <c r="CP291" s="103" t="str">
        <f t="shared" si="60"/>
        <v/>
      </c>
      <c r="CQ291" s="104" t="str">
        <f t="shared" si="61"/>
        <v/>
      </c>
      <c r="CR291" s="100" t="str">
        <f>IF(ISNUMBER($CM291),'Technical Premium'!$C$14+IF($J291&gt;=1000000,'Technical Premium'!$C$15,0),"")</f>
        <v/>
      </c>
      <c r="CS291" s="100" t="str">
        <f>IFERROR(($CO291+$CR291)*(INDEX('Territory Factors'!$K$6:$K$56,MATCH($K291,'Territory Factors'!$B$6:$B$56,0))+'Commission Structure'!$C$21),"")</f>
        <v/>
      </c>
      <c r="CT291" s="102" t="str">
        <f t="shared" si="62"/>
        <v/>
      </c>
      <c r="CU291" s="100" t="str">
        <f>IFERROR($CO291*('Commission Structure'!$C$6+'Commission Structure'!$C$7),"")</f>
        <v/>
      </c>
      <c r="CV291" s="100" t="str">
        <f>IFERROR($CO291*'Commission Structure'!$C$5-$CU291,"")</f>
        <v/>
      </c>
      <c r="CW291" s="100" t="str">
        <f>IFERROR($CO291*(1-'Commission Structure'!$C$5),"")</f>
        <v/>
      </c>
      <c r="CX291" s="105" t="str">
        <f>IF($A291="","",IF(OR($CB291="?",$CC291="?",NOT(ISNUMBER($AU291))),"CHECK INPUTS",IF(OR($J291&lt;'Technical Premium'!$C$18,LEFT(IFERROR(INDEX('Driver Factors'!$D$6:$D$15,MATCH($R291,'Driver Factors'!$B$6:$B$15,0)),""),7)="DECLINE",LEFT(IFERROR(INDEX('Driver Factors'!$D$28:$D$36,MATCH($T291,'Driver Factors'!$B$28:$B$36,0)),""),7)="DECLINE",LEFT(IFERROR(INDEX('Claims History'!$D$6:$D$15,MATCH($U291,'Claims History'!$B$6:$B$15,0)),""),7)="DECLINE",LEFT(IFERROR(INDEX('Usage and Coverage'!$E$6:$E$20,MATCH($N291,'Usage and Coverage'!$C$6:$C$20,0)),""),7)="DECLINE"),"DECLINE",IF(OR($CD291&gt;2.5,$CD291&gt;='Technical Premium'!$C$17,$J291&gt;='Technical Premium'!$C$16,N($AQ291)&lt;'Technical Premium'!$C$19,N($AQ291)&gt;'Technical Premium'!$C$20,LEFT(IFERROR(INDEX('Driver Factors'!$D$6:$D$15,MATCH($R291,'Driver Factors'!$B$6:$B$15,0)),""),5)="Refer",LEFT(IFERROR(INDEX('Driver Factors'!$D$28:$D$36,MATCH($T291,'Driver Factors'!$B$28:$B$36,0)),""),5)="Refer",LEFT(IFERROR(INDEX('Claims History'!$D$6:$D$15,MATCH($U291,'Claims History'!$B$6:$B$15,0)),""),5)="Refer",LEFT(IFERROR(INDEX('Usage and Coverage'!$E$6:$E$20,MATCH($N291,'Usage and Coverage'!$C$6:$C$20,0)),""),5)="Refer"),"REFER","AUTO-BIND"))))</f>
        <v/>
      </c>
      <c r="CY291" s="106" t="str">
        <f t="shared" si="63"/>
        <v/>
      </c>
      <c r="CZ291" s="97" t="str">
        <f>IF($CY291="","",IF($CY291&lt;'Technical Premium'!$C$19,"BEYOND AUTHORITY",IF($CY291&gt;0.005,"Above technical",IF($CY291&lt;-0.005,"BELOW technical","At technical"))))</f>
        <v/>
      </c>
      <c r="DA291" s="97" t="str">
        <f>IF($A291="","",IF($CX291="AUTO-BIND","",TRIM(IF($J291&lt;'Technical Premium'!$C$18,"Below programme minimum agreed value. ","")&amp;IF(N($AQ291)&lt;'Technical Premium'!$C$19,"DISCOUNT AUTHORITY BREACH. ","")&amp;IF(N($AQ291)&gt;'Technical Premium'!$C$20,"Load authority breach. ","")&amp;IF($J291&gt;='Technical Premium'!$C$16,"Agreed value at or above auto-bind limit. ","")&amp;IF(AND(ISNUMBER($CD291),$CD291&gt;='Technical Premium'!$C$17),"Composite factor at cap. ","")&amp;IF(AND(ISNUMBER($CD291),$CD291&gt;2.5),"Composite factor above 2.50. ","")&amp;IF(LEFT(IFERROR(INDEX('Driver Factors'!$D$6:$D$15,MATCH($R291,'Driver Factors'!$B$6:$B$15,0)),""),7)="DECLINE","DECLINE - driver age. ",IF(LEFT(IFERROR(INDEX('Driver Factors'!$D$6:$D$15,MATCH($R291,'Driver Factors'!$B$6:$B$15,0)),""),5)="Refer","Driver age band. ",""))&amp;IF(LEFT(IFERROR(INDEX('Driver Factors'!$D$28:$D$36,MATCH($T291,'Driver Factors'!$B$28:$B$36,0)),""),7)="DECLINE","DECLINE - MVR. ",IF(LEFT(IFERROR(INDEX('Driver Factors'!$D$28:$D$36,MATCH($T291,'Driver Factors'!$B$28:$B$36,0)),""),5)="Refer","MVR record. ",""))&amp;IF(LEFT(IFERROR(INDEX('Claims History'!$D$6:$D$15,MATCH($U291,'Claims History'!$B$6:$B$15,0)),""),7)="DECLINE","DECLINE - claims. ",IF(LEFT(IFERROR(INDEX('Claims History'!$D$6:$D$15,MATCH($U291,'Claims History'!$B$6:$B$15,0)),""),5)="Refer","Claims history. ",""))&amp;IF(LEFT(IFERROR(INDEX('Usage and Coverage'!$E$6:$E$20,MATCH($N291,'Usage and Coverage'!$C$6:$C$20,0)),""),7)="DECLINE","DECLINE - usage class. ",IF(LEFT(IFERROR(INDEX('Usage and Coverage'!$E$6:$E$20,MATCH($N291,'Usage and Coverage'!$C$6:$C$20,0)),""),5)="Refer","Usage class. ",""))&amp;IF($CX291="CHECK INPUTS","Incomplete inputs. ",""))))</f>
        <v/>
      </c>
      <c r="DB291" s="92"/>
      <c r="DC291" s="92"/>
      <c r="DD291" s="93"/>
      <c r="DE291" s="92"/>
      <c r="DF291" s="92"/>
      <c r="DG291" s="97" t="str">
        <f t="shared" si="64"/>
        <v/>
      </c>
      <c r="DH291" s="97" t="str">
        <f>IF($A291="","",IF(OR($CX291="REFER",$CX291="DECLINE"),COUNTIF($CX$5:$CX291,"REFER")+COUNTIF($CX$5:$CX291,"DECLINE"),""))</f>
        <v/>
      </c>
      <c r="DI291" s="92"/>
    </row>
    <row r="292" spans="1:113" x14ac:dyDescent="0.25">
      <c r="A292" s="92"/>
      <c r="B292" s="92"/>
      <c r="C292" s="93"/>
      <c r="D292" s="93"/>
      <c r="E292" s="94"/>
      <c r="F292" s="92"/>
      <c r="G292" s="92"/>
      <c r="H292" s="92"/>
      <c r="I292" s="92"/>
      <c r="J292" s="95"/>
      <c r="K292" s="92"/>
      <c r="L292" s="92"/>
      <c r="M292" s="92"/>
      <c r="N292" s="92"/>
      <c r="O292" s="92"/>
      <c r="P292" s="92"/>
      <c r="Q292" s="92"/>
      <c r="R292" s="92"/>
      <c r="S292" s="92"/>
      <c r="T292" s="92"/>
      <c r="U292" s="92"/>
      <c r="V292" s="92"/>
      <c r="W292" s="92"/>
      <c r="X292" s="92"/>
      <c r="Y292" s="92"/>
      <c r="Z292" s="92"/>
      <c r="AA292" s="92"/>
      <c r="AB292" s="92"/>
      <c r="AC292" s="92"/>
      <c r="AD292" s="92"/>
      <c r="AE292" s="92"/>
      <c r="AF292" s="92"/>
      <c r="AG292" s="92"/>
      <c r="AH292" s="92"/>
      <c r="AI292" s="92"/>
      <c r="AJ292" s="92"/>
      <c r="AK292" s="92"/>
      <c r="AL292" s="92"/>
      <c r="AM292" s="92"/>
      <c r="AN292" s="92"/>
      <c r="AO292" s="92"/>
      <c r="AP292" s="92"/>
      <c r="AQ292" s="96"/>
      <c r="AR292" s="97" t="str">
        <f t="shared" si="52"/>
        <v/>
      </c>
      <c r="AS292" s="97" t="str">
        <f>IF($A292="","",IF($AP292&lt;&gt;"",$AP292,IFERROR(INDEX('Cat Zone by ZIP'!$D$6:$D$856,MATCH($AR292,'Cat Zone by ZIP'!$B$6:$B$856,0)),IFERROR(INDEX('Cat Zone by ZIP'!$C$860:$C$910,MATCH($K292,'Cat Zone by ZIP'!$B$860:$B$910,0)),"NOT FOUND"))))</f>
        <v/>
      </c>
      <c r="AT292" s="97" t="str">
        <f>IF($A292="","",IF($AP292&lt;&gt;"","Override",IF(ISNUMBER(MATCH($AR292,'Cat Zone by ZIP'!$B$6:$B$856,0)),"ZIP-3","State default")))</f>
        <v/>
      </c>
      <c r="AU292" s="98" t="str">
        <f>IF($A292="","",IFERROR(INDEX('Natural Catastrophe'!$D$6:$D$17,MATCH($AS292,'Natural Catastrophe'!$B$6:$B$17,0)),"?"))</f>
        <v/>
      </c>
      <c r="AV292" s="98" t="str">
        <f>IF($A292="","",IFERROR(INDEX('Natural Catastrophe'!$C$21:$C$26,MATCH($AA292,'Natural Catastrophe'!$B$21:$B$26,0)),"?"))</f>
        <v/>
      </c>
      <c r="AW292" s="97" t="str">
        <f>IF($A292="","",IFERROR(INDEX('Base Rates'!$C$4:$I$4,MATCH(MAX($J292,'Technical Premium'!$C$18),'Base Rates'!$C$3:$I$3,1)),"?"))</f>
        <v/>
      </c>
      <c r="AX292" s="99" t="str">
        <f>IF($A292="","",IFERROR(INDEX('Base Rates'!$C$5:$I$16,MATCH($I292,'Base Rates'!$B$5:$B$16,0),MATCH(MAX($J292,'Technical Premium'!$C$18),'Base Rates'!$C$3:$I$3,1)),"?"))</f>
        <v/>
      </c>
      <c r="AY292" s="100" t="str">
        <f t="shared" si="53"/>
        <v/>
      </c>
      <c r="AZ292" s="97" t="str">
        <f>IF($A292="","",IFERROR(INDEX('Make Factors'!$G$5:$G$69,MATCH($F292,'Make Factors'!$B$5:$B$69,0)),"?"))</f>
        <v/>
      </c>
      <c r="BA292" s="97" t="str">
        <f>IF($A292="","",IFERROR(INDEX('Driver Factors'!$C$6:$C$15,MATCH($R292,'Driver Factors'!$B$6:$B$15,0)),"?"))</f>
        <v/>
      </c>
      <c r="BB292" s="97" t="str">
        <f>IF($A292="","",IFERROR(INDEX('Driver Factors'!$C$19:$C$24,MATCH($S292,'Driver Factors'!$B$19:$B$24,0)),"?"))</f>
        <v/>
      </c>
      <c r="BC292" s="97" t="str">
        <f>IF($A292="","",IFERROR(INDEX('Driver Factors'!$C$28:$C$36,MATCH($T292,'Driver Factors'!$B$28:$B$36,0)),"?"))</f>
        <v/>
      </c>
      <c r="BD292" s="97" t="str">
        <f>IF($A292="","",IFERROR(INDEX('Claims History'!$C$6:$C$15,MATCH($U292,'Claims History'!$B$6:$B$15,0)),"?"))</f>
        <v/>
      </c>
      <c r="BE292" s="97" t="str">
        <f>IF($A292="","",IFERROR(INDEX('Territory Factors'!$E$6:$E$56,MATCH($K292,'Territory Factors'!$B$6:$B$56,0)),"?"))</f>
        <v/>
      </c>
      <c r="BF292" s="97" t="str">
        <f>IF($A292="","",IFERROR(INDEX('City Accident Ratings'!$G$6:$G$54,MATCH($Z292,'City Accident Ratings'!$B$6:$B$54,0)),"?"))</f>
        <v/>
      </c>
      <c r="BG292" s="97" t="str">
        <f>IF($A292="","",IFERROR(INDEX('Usage and Coverage'!$D$6:$D$20,MATCH($N292,'Usage and Coverage'!$C$6:$C$20,0)),"?"))</f>
        <v/>
      </c>
      <c r="BH292" s="97" t="str">
        <f>IF($A292="","",IFERROR(INDEX('Usage and Coverage'!$C$24:$C$30,MATCH($O292,'Usage and Coverage'!$B$24:$B$30,0)),"?"))</f>
        <v/>
      </c>
      <c r="BI292" s="97" t="str">
        <f>IF($A292="","",IFERROR(INDEX('Usage and Coverage'!$C$34:$C$40,MATCH($P292,'Usage and Coverage'!$B$34:$B$40,0)),"?"))</f>
        <v/>
      </c>
      <c r="BJ292" s="97" t="str">
        <f>IF($A292="","",IFERROR(INDEX('Usage and Coverage'!$C$44:$C$49,MATCH($Q292,'Usage and Coverage'!$B$44:$B$49,0)),"?"))</f>
        <v/>
      </c>
      <c r="BK292" s="97" t="str">
        <f>IF($A292="","",IFERROR(INDEX(Deductibles!$C$6:$I$15,MATCH($W292,Deductibles!$B$6:$B$15,0),MATCH(MAX($J292,'Technical Premium'!$C$18),'Base Rates'!$C$3:$I$3,1)),"?"))</f>
        <v/>
      </c>
      <c r="BL292" s="97" t="str">
        <f>IF($A292="","",IFERROR(INDEX('Usage and Coverage'!$C$63:$C$66,MATCH($X292,'Usage and Coverage'!$B$63:$B$66,0)),"?"))</f>
        <v/>
      </c>
      <c r="BM292" s="97" t="str">
        <f>IF($A292="","",IFERROR(INDEX('Usage and Coverage'!$C$70:$C$75,MATCH($V292,'Usage and Coverage'!$B$70:$B$75,0)),"?"))</f>
        <v/>
      </c>
      <c r="BN292" s="97" t="str">
        <f>IF($A292="","",IF($AB292="",1,IFERROR(INDEX(Deductibles!$C$48:$C$51,MATCH($AB292,Deductibles!$B$48:$B$51,0)),"?")))</f>
        <v/>
      </c>
      <c r="BO292" s="97" t="str">
        <f>IF($A292="","",IF($AC292="",1,IFERROR(INDEX(Deductibles!$C$55:$C$57,MATCH($AC292,Deductibles!$B$55:$B$57,0)),"?")))</f>
        <v/>
      </c>
      <c r="BP292" s="97" t="str">
        <f>IF($A292="","",IF($AD292="",1,IFERROR(INDEX(Deductibles!$C$61:$C$63,MATCH($AD292,Deductibles!$B$61:$B$63,0)),"?")))</f>
        <v/>
      </c>
      <c r="BQ292" s="97" t="str">
        <f>IF($A292="","",IF($AE292="",1,IFERROR(INDEX(Deductibles!$C$67:$C$69,MATCH($AE292,Deductibles!$B$67:$B$69,0)),"?")))</f>
        <v/>
      </c>
      <c r="BR292" s="97" t="str">
        <f>IF($A292="","",IF($AF292="",1,IFERROR(INDEX(Deductibles!$C$73:$C$74,MATCH($AF292,Deductibles!$B$73:$B$74,0)),"?")))</f>
        <v/>
      </c>
      <c r="BS292" s="97" t="str">
        <f>IF($A292="","",IF($AG292="",1,IFERROR(INDEX('Sublimits and Parts'!$C$49:$C$52,MATCH($AG292,'Sublimits and Parts'!$B$49:$B$52,0)),"?")))</f>
        <v/>
      </c>
      <c r="BT292" s="97" t="str">
        <f>IF($A292="","",IF($AH292="",1,IFERROR(INDEX('Sublimits and Parts'!$C$56:$C$60,MATCH($AH292,'Sublimits and Parts'!$B$56:$B$60,0)),"?")))</f>
        <v/>
      </c>
      <c r="BU292" s="97" t="str">
        <f>IF($A292="","",IF($AI292="",1,IFERROR(INDEX('Sublimits and Parts'!$C$64:$C$67,MATCH($AI292,'Sublimits and Parts'!$B$64:$B$67,0)),"?")))</f>
        <v/>
      </c>
      <c r="BV292" s="97" t="str">
        <f>IF($A292="","",IF($AJ292="",1,IFERROR(INDEX('Sublimits and Parts'!$C$71:$C$74,MATCH($AJ292,'Sublimits and Parts'!$B$71:$B$74,0)),"?")))</f>
        <v/>
      </c>
      <c r="BW292" s="97" t="str">
        <f>IF($A292="","",IF($AK292="",1,IFERROR(INDEX('Sublimits and Parts'!$C$78:$C$80,MATCH($AK292,'Sublimits and Parts'!$B$78:$B$80,0)),"?")))</f>
        <v/>
      </c>
      <c r="BX292" s="97" t="str">
        <f>IF($A292="","",IF($AL292="",1,IFERROR(INDEX('Sublimits and Parts'!$C$84:$C$87,MATCH($AL292,'Sublimits and Parts'!$B$84:$B$87,0)),"?")))</f>
        <v/>
      </c>
      <c r="BY292" s="97" t="str">
        <f>IF($A292="","",IF($AM292="",1,IFERROR(INDEX('Sublimits and Parts'!$C$91:$C$94,MATCH($AM292,'Sublimits and Parts'!$B$91:$B$94,0)),"?")))</f>
        <v/>
      </c>
      <c r="BZ292" s="97" t="str">
        <f>IF($A292="","",IF($AN292="",1,IFERROR(INDEX('Sublimits and Parts'!$C$98:$C$101,MATCH($AN292,'Sublimits and Parts'!$B$98:$B$101,0)),"?")))</f>
        <v/>
      </c>
      <c r="CA292" s="97" t="str">
        <f>IF($A292="","",IF($AO292="",1,IFERROR(INDEX('Sublimits and Parts'!$C$105:$C$109,MATCH($AO292,'Sublimits and Parts'!$B$105:$B$109,0)),"?")))</f>
        <v/>
      </c>
      <c r="CB292" s="98" t="str">
        <f t="shared" si="54"/>
        <v/>
      </c>
      <c r="CC292" s="98" t="str">
        <f t="shared" si="55"/>
        <v/>
      </c>
      <c r="CD292" s="101" t="str">
        <f>IF($A292="","",IF(OR($CB292="?",$CC292="?"),"?",MIN($CB292*$CC292,'Technical Premium'!$C$17)))</f>
        <v/>
      </c>
      <c r="CE292" s="100" t="str">
        <f t="shared" si="56"/>
        <v/>
      </c>
      <c r="CF292" s="100" t="str">
        <f>IF($A292="","",IFERROR(INDEX('Territory Factors'!$F$6:$F$56,MATCH($K292,'Territory Factors'!$B$6:$B$56,0)),"?"))</f>
        <v/>
      </c>
      <c r="CG292" s="98" t="str">
        <f>IF($A292="","",IFERROR(INDEX('Usage and Coverage'!$C$79:$C$84,MATCH($Y292,'Usage and Coverage'!$B$79:$B$84,0)),"?"))</f>
        <v/>
      </c>
      <c r="CH292" s="100" t="str">
        <f>IFERROR(IF(ISNUMBER($CD292),$CF292*$CG292*MIN($BG292*$BA292*$BC292*$BD292*$BH292*$BF292,'Technical Premium'!$C$17),""),"")</f>
        <v/>
      </c>
      <c r="CI292" s="100" t="str">
        <f t="shared" si="57"/>
        <v/>
      </c>
      <c r="CJ292" s="100" t="str">
        <f>IFERROR($CI292*(1+'Technical Premium'!$C$5)*(1+'Technical Premium'!$C$6),"")</f>
        <v/>
      </c>
      <c r="CK292" s="100" t="str">
        <f>IFERROR($CE292*INDEX('Territory Factors'!$G$6:$G$56,MATCH($K292,'Territory Factors'!$B$6:$B$56,0))*$AU292*$AV292,"")</f>
        <v/>
      </c>
      <c r="CL292" s="100" t="str">
        <f>IFERROR(($CJ292+$CK292)*(1+'Technical Premium'!$C$7),"")</f>
        <v/>
      </c>
      <c r="CM292" s="102" t="str">
        <f>IFERROR($CL292/'Technical Premium'!$C$13,"")</f>
        <v/>
      </c>
      <c r="CN292" s="103" t="str">
        <f t="shared" si="58"/>
        <v/>
      </c>
      <c r="CO292" s="102" t="str">
        <f t="shared" si="59"/>
        <v/>
      </c>
      <c r="CP292" s="103" t="str">
        <f t="shared" si="60"/>
        <v/>
      </c>
      <c r="CQ292" s="104" t="str">
        <f t="shared" si="61"/>
        <v/>
      </c>
      <c r="CR292" s="100" t="str">
        <f>IF(ISNUMBER($CM292),'Technical Premium'!$C$14+IF($J292&gt;=1000000,'Technical Premium'!$C$15,0),"")</f>
        <v/>
      </c>
      <c r="CS292" s="100" t="str">
        <f>IFERROR(($CO292+$CR292)*(INDEX('Territory Factors'!$K$6:$K$56,MATCH($K292,'Territory Factors'!$B$6:$B$56,0))+'Commission Structure'!$C$21),"")</f>
        <v/>
      </c>
      <c r="CT292" s="102" t="str">
        <f t="shared" si="62"/>
        <v/>
      </c>
      <c r="CU292" s="100" t="str">
        <f>IFERROR($CO292*('Commission Structure'!$C$6+'Commission Structure'!$C$7),"")</f>
        <v/>
      </c>
      <c r="CV292" s="100" t="str">
        <f>IFERROR($CO292*'Commission Structure'!$C$5-$CU292,"")</f>
        <v/>
      </c>
      <c r="CW292" s="100" t="str">
        <f>IFERROR($CO292*(1-'Commission Structure'!$C$5),"")</f>
        <v/>
      </c>
      <c r="CX292" s="105" t="str">
        <f>IF($A292="","",IF(OR($CB292="?",$CC292="?",NOT(ISNUMBER($AU292))),"CHECK INPUTS",IF(OR($J292&lt;'Technical Premium'!$C$18,LEFT(IFERROR(INDEX('Driver Factors'!$D$6:$D$15,MATCH($R292,'Driver Factors'!$B$6:$B$15,0)),""),7)="DECLINE",LEFT(IFERROR(INDEX('Driver Factors'!$D$28:$D$36,MATCH($T292,'Driver Factors'!$B$28:$B$36,0)),""),7)="DECLINE",LEFT(IFERROR(INDEX('Claims History'!$D$6:$D$15,MATCH($U292,'Claims History'!$B$6:$B$15,0)),""),7)="DECLINE",LEFT(IFERROR(INDEX('Usage and Coverage'!$E$6:$E$20,MATCH($N292,'Usage and Coverage'!$C$6:$C$20,0)),""),7)="DECLINE"),"DECLINE",IF(OR($CD292&gt;2.5,$CD292&gt;='Technical Premium'!$C$17,$J292&gt;='Technical Premium'!$C$16,N($AQ292)&lt;'Technical Premium'!$C$19,N($AQ292)&gt;'Technical Premium'!$C$20,LEFT(IFERROR(INDEX('Driver Factors'!$D$6:$D$15,MATCH($R292,'Driver Factors'!$B$6:$B$15,0)),""),5)="Refer",LEFT(IFERROR(INDEX('Driver Factors'!$D$28:$D$36,MATCH($T292,'Driver Factors'!$B$28:$B$36,0)),""),5)="Refer",LEFT(IFERROR(INDEX('Claims History'!$D$6:$D$15,MATCH($U292,'Claims History'!$B$6:$B$15,0)),""),5)="Refer",LEFT(IFERROR(INDEX('Usage and Coverage'!$E$6:$E$20,MATCH($N292,'Usage and Coverage'!$C$6:$C$20,0)),""),5)="Refer"),"REFER","AUTO-BIND"))))</f>
        <v/>
      </c>
      <c r="CY292" s="106" t="str">
        <f t="shared" si="63"/>
        <v/>
      </c>
      <c r="CZ292" s="97" t="str">
        <f>IF($CY292="","",IF($CY292&lt;'Technical Premium'!$C$19,"BEYOND AUTHORITY",IF($CY292&gt;0.005,"Above technical",IF($CY292&lt;-0.005,"BELOW technical","At technical"))))</f>
        <v/>
      </c>
      <c r="DA292" s="97" t="str">
        <f>IF($A292="","",IF($CX292="AUTO-BIND","",TRIM(IF($J292&lt;'Technical Premium'!$C$18,"Below programme minimum agreed value. ","")&amp;IF(N($AQ292)&lt;'Technical Premium'!$C$19,"DISCOUNT AUTHORITY BREACH. ","")&amp;IF(N($AQ292)&gt;'Technical Premium'!$C$20,"Load authority breach. ","")&amp;IF($J292&gt;='Technical Premium'!$C$16,"Agreed value at or above auto-bind limit. ","")&amp;IF(AND(ISNUMBER($CD292),$CD292&gt;='Technical Premium'!$C$17),"Composite factor at cap. ","")&amp;IF(AND(ISNUMBER($CD292),$CD292&gt;2.5),"Composite factor above 2.50. ","")&amp;IF(LEFT(IFERROR(INDEX('Driver Factors'!$D$6:$D$15,MATCH($R292,'Driver Factors'!$B$6:$B$15,0)),""),7)="DECLINE","DECLINE - driver age. ",IF(LEFT(IFERROR(INDEX('Driver Factors'!$D$6:$D$15,MATCH($R292,'Driver Factors'!$B$6:$B$15,0)),""),5)="Refer","Driver age band. ",""))&amp;IF(LEFT(IFERROR(INDEX('Driver Factors'!$D$28:$D$36,MATCH($T292,'Driver Factors'!$B$28:$B$36,0)),""),7)="DECLINE","DECLINE - MVR. ",IF(LEFT(IFERROR(INDEX('Driver Factors'!$D$28:$D$36,MATCH($T292,'Driver Factors'!$B$28:$B$36,0)),""),5)="Refer","MVR record. ",""))&amp;IF(LEFT(IFERROR(INDEX('Claims History'!$D$6:$D$15,MATCH($U292,'Claims History'!$B$6:$B$15,0)),""),7)="DECLINE","DECLINE - claims. ",IF(LEFT(IFERROR(INDEX('Claims History'!$D$6:$D$15,MATCH($U292,'Claims History'!$B$6:$B$15,0)),""),5)="Refer","Claims history. ",""))&amp;IF(LEFT(IFERROR(INDEX('Usage and Coverage'!$E$6:$E$20,MATCH($N292,'Usage and Coverage'!$C$6:$C$20,0)),""),7)="DECLINE","DECLINE - usage class. ",IF(LEFT(IFERROR(INDEX('Usage and Coverage'!$E$6:$E$20,MATCH($N292,'Usage and Coverage'!$C$6:$C$20,0)),""),5)="Refer","Usage class. ",""))&amp;IF($CX292="CHECK INPUTS","Incomplete inputs. ",""))))</f>
        <v/>
      </c>
      <c r="DB292" s="92"/>
      <c r="DC292" s="92"/>
      <c r="DD292" s="93"/>
      <c r="DE292" s="92"/>
      <c r="DF292" s="92"/>
      <c r="DG292" s="97" t="str">
        <f t="shared" si="64"/>
        <v/>
      </c>
      <c r="DH292" s="97" t="str">
        <f>IF($A292="","",IF(OR($CX292="REFER",$CX292="DECLINE"),COUNTIF($CX$5:$CX292,"REFER")+COUNTIF($CX$5:$CX292,"DECLINE"),""))</f>
        <v/>
      </c>
      <c r="DI292" s="92"/>
    </row>
    <row r="293" spans="1:113" x14ac:dyDescent="0.25">
      <c r="A293" s="92"/>
      <c r="B293" s="92"/>
      <c r="C293" s="93"/>
      <c r="D293" s="93"/>
      <c r="E293" s="94"/>
      <c r="F293" s="92"/>
      <c r="G293" s="92"/>
      <c r="H293" s="92"/>
      <c r="I293" s="92"/>
      <c r="J293" s="95"/>
      <c r="K293" s="92"/>
      <c r="L293" s="92"/>
      <c r="M293" s="92"/>
      <c r="N293" s="92"/>
      <c r="O293" s="92"/>
      <c r="P293" s="92"/>
      <c r="Q293" s="92"/>
      <c r="R293" s="92"/>
      <c r="S293" s="92"/>
      <c r="T293" s="92"/>
      <c r="U293" s="92"/>
      <c r="V293" s="92"/>
      <c r="W293" s="92"/>
      <c r="X293" s="92"/>
      <c r="Y293" s="92"/>
      <c r="Z293" s="92"/>
      <c r="AA293" s="92"/>
      <c r="AB293" s="92"/>
      <c r="AC293" s="92"/>
      <c r="AD293" s="92"/>
      <c r="AE293" s="92"/>
      <c r="AF293" s="92"/>
      <c r="AG293" s="92"/>
      <c r="AH293" s="92"/>
      <c r="AI293" s="92"/>
      <c r="AJ293" s="92"/>
      <c r="AK293" s="92"/>
      <c r="AL293" s="92"/>
      <c r="AM293" s="92"/>
      <c r="AN293" s="92"/>
      <c r="AO293" s="92"/>
      <c r="AP293" s="92"/>
      <c r="AQ293" s="96"/>
      <c r="AR293" s="97" t="str">
        <f t="shared" si="52"/>
        <v/>
      </c>
      <c r="AS293" s="97" t="str">
        <f>IF($A293="","",IF($AP293&lt;&gt;"",$AP293,IFERROR(INDEX('Cat Zone by ZIP'!$D$6:$D$856,MATCH($AR293,'Cat Zone by ZIP'!$B$6:$B$856,0)),IFERROR(INDEX('Cat Zone by ZIP'!$C$860:$C$910,MATCH($K293,'Cat Zone by ZIP'!$B$860:$B$910,0)),"NOT FOUND"))))</f>
        <v/>
      </c>
      <c r="AT293" s="97" t="str">
        <f>IF($A293="","",IF($AP293&lt;&gt;"","Override",IF(ISNUMBER(MATCH($AR293,'Cat Zone by ZIP'!$B$6:$B$856,0)),"ZIP-3","State default")))</f>
        <v/>
      </c>
      <c r="AU293" s="98" t="str">
        <f>IF($A293="","",IFERROR(INDEX('Natural Catastrophe'!$D$6:$D$17,MATCH($AS293,'Natural Catastrophe'!$B$6:$B$17,0)),"?"))</f>
        <v/>
      </c>
      <c r="AV293" s="98" t="str">
        <f>IF($A293="","",IFERROR(INDEX('Natural Catastrophe'!$C$21:$C$26,MATCH($AA293,'Natural Catastrophe'!$B$21:$B$26,0)),"?"))</f>
        <v/>
      </c>
      <c r="AW293" s="97" t="str">
        <f>IF($A293="","",IFERROR(INDEX('Base Rates'!$C$4:$I$4,MATCH(MAX($J293,'Technical Premium'!$C$18),'Base Rates'!$C$3:$I$3,1)),"?"))</f>
        <v/>
      </c>
      <c r="AX293" s="99" t="str">
        <f>IF($A293="","",IFERROR(INDEX('Base Rates'!$C$5:$I$16,MATCH($I293,'Base Rates'!$B$5:$B$16,0),MATCH(MAX($J293,'Technical Premium'!$C$18),'Base Rates'!$C$3:$I$3,1)),"?"))</f>
        <v/>
      </c>
      <c r="AY293" s="100" t="str">
        <f t="shared" si="53"/>
        <v/>
      </c>
      <c r="AZ293" s="97" t="str">
        <f>IF($A293="","",IFERROR(INDEX('Make Factors'!$G$5:$G$69,MATCH($F293,'Make Factors'!$B$5:$B$69,0)),"?"))</f>
        <v/>
      </c>
      <c r="BA293" s="97" t="str">
        <f>IF($A293="","",IFERROR(INDEX('Driver Factors'!$C$6:$C$15,MATCH($R293,'Driver Factors'!$B$6:$B$15,0)),"?"))</f>
        <v/>
      </c>
      <c r="BB293" s="97" t="str">
        <f>IF($A293="","",IFERROR(INDEX('Driver Factors'!$C$19:$C$24,MATCH($S293,'Driver Factors'!$B$19:$B$24,0)),"?"))</f>
        <v/>
      </c>
      <c r="BC293" s="97" t="str">
        <f>IF($A293="","",IFERROR(INDEX('Driver Factors'!$C$28:$C$36,MATCH($T293,'Driver Factors'!$B$28:$B$36,0)),"?"))</f>
        <v/>
      </c>
      <c r="BD293" s="97" t="str">
        <f>IF($A293="","",IFERROR(INDEX('Claims History'!$C$6:$C$15,MATCH($U293,'Claims History'!$B$6:$B$15,0)),"?"))</f>
        <v/>
      </c>
      <c r="BE293" s="97" t="str">
        <f>IF($A293="","",IFERROR(INDEX('Territory Factors'!$E$6:$E$56,MATCH($K293,'Territory Factors'!$B$6:$B$56,0)),"?"))</f>
        <v/>
      </c>
      <c r="BF293" s="97" t="str">
        <f>IF($A293="","",IFERROR(INDEX('City Accident Ratings'!$G$6:$G$54,MATCH($Z293,'City Accident Ratings'!$B$6:$B$54,0)),"?"))</f>
        <v/>
      </c>
      <c r="BG293" s="97" t="str">
        <f>IF($A293="","",IFERROR(INDEX('Usage and Coverage'!$D$6:$D$20,MATCH($N293,'Usage and Coverage'!$C$6:$C$20,0)),"?"))</f>
        <v/>
      </c>
      <c r="BH293" s="97" t="str">
        <f>IF($A293="","",IFERROR(INDEX('Usage and Coverage'!$C$24:$C$30,MATCH($O293,'Usage and Coverage'!$B$24:$B$30,0)),"?"))</f>
        <v/>
      </c>
      <c r="BI293" s="97" t="str">
        <f>IF($A293="","",IFERROR(INDEX('Usage and Coverage'!$C$34:$C$40,MATCH($P293,'Usage and Coverage'!$B$34:$B$40,0)),"?"))</f>
        <v/>
      </c>
      <c r="BJ293" s="97" t="str">
        <f>IF($A293="","",IFERROR(INDEX('Usage and Coverage'!$C$44:$C$49,MATCH($Q293,'Usage and Coverage'!$B$44:$B$49,0)),"?"))</f>
        <v/>
      </c>
      <c r="BK293" s="97" t="str">
        <f>IF($A293="","",IFERROR(INDEX(Deductibles!$C$6:$I$15,MATCH($W293,Deductibles!$B$6:$B$15,0),MATCH(MAX($J293,'Technical Premium'!$C$18),'Base Rates'!$C$3:$I$3,1)),"?"))</f>
        <v/>
      </c>
      <c r="BL293" s="97" t="str">
        <f>IF($A293="","",IFERROR(INDEX('Usage and Coverage'!$C$63:$C$66,MATCH($X293,'Usage and Coverage'!$B$63:$B$66,0)),"?"))</f>
        <v/>
      </c>
      <c r="BM293" s="97" t="str">
        <f>IF($A293="","",IFERROR(INDEX('Usage and Coverage'!$C$70:$C$75,MATCH($V293,'Usage and Coverage'!$B$70:$B$75,0)),"?"))</f>
        <v/>
      </c>
      <c r="BN293" s="97" t="str">
        <f>IF($A293="","",IF($AB293="",1,IFERROR(INDEX(Deductibles!$C$48:$C$51,MATCH($AB293,Deductibles!$B$48:$B$51,0)),"?")))</f>
        <v/>
      </c>
      <c r="BO293" s="97" t="str">
        <f>IF($A293="","",IF($AC293="",1,IFERROR(INDEX(Deductibles!$C$55:$C$57,MATCH($AC293,Deductibles!$B$55:$B$57,0)),"?")))</f>
        <v/>
      </c>
      <c r="BP293" s="97" t="str">
        <f>IF($A293="","",IF($AD293="",1,IFERROR(INDEX(Deductibles!$C$61:$C$63,MATCH($AD293,Deductibles!$B$61:$B$63,0)),"?")))</f>
        <v/>
      </c>
      <c r="BQ293" s="97" t="str">
        <f>IF($A293="","",IF($AE293="",1,IFERROR(INDEX(Deductibles!$C$67:$C$69,MATCH($AE293,Deductibles!$B$67:$B$69,0)),"?")))</f>
        <v/>
      </c>
      <c r="BR293" s="97" t="str">
        <f>IF($A293="","",IF($AF293="",1,IFERROR(INDEX(Deductibles!$C$73:$C$74,MATCH($AF293,Deductibles!$B$73:$B$74,0)),"?")))</f>
        <v/>
      </c>
      <c r="BS293" s="97" t="str">
        <f>IF($A293="","",IF($AG293="",1,IFERROR(INDEX('Sublimits and Parts'!$C$49:$C$52,MATCH($AG293,'Sublimits and Parts'!$B$49:$B$52,0)),"?")))</f>
        <v/>
      </c>
      <c r="BT293" s="97" t="str">
        <f>IF($A293="","",IF($AH293="",1,IFERROR(INDEX('Sublimits and Parts'!$C$56:$C$60,MATCH($AH293,'Sublimits and Parts'!$B$56:$B$60,0)),"?")))</f>
        <v/>
      </c>
      <c r="BU293" s="97" t="str">
        <f>IF($A293="","",IF($AI293="",1,IFERROR(INDEX('Sublimits and Parts'!$C$64:$C$67,MATCH($AI293,'Sublimits and Parts'!$B$64:$B$67,0)),"?")))</f>
        <v/>
      </c>
      <c r="BV293" s="97" t="str">
        <f>IF($A293="","",IF($AJ293="",1,IFERROR(INDEX('Sublimits and Parts'!$C$71:$C$74,MATCH($AJ293,'Sublimits and Parts'!$B$71:$B$74,0)),"?")))</f>
        <v/>
      </c>
      <c r="BW293" s="97" t="str">
        <f>IF($A293="","",IF($AK293="",1,IFERROR(INDEX('Sublimits and Parts'!$C$78:$C$80,MATCH($AK293,'Sublimits and Parts'!$B$78:$B$80,0)),"?")))</f>
        <v/>
      </c>
      <c r="BX293" s="97" t="str">
        <f>IF($A293="","",IF($AL293="",1,IFERROR(INDEX('Sublimits and Parts'!$C$84:$C$87,MATCH($AL293,'Sublimits and Parts'!$B$84:$B$87,0)),"?")))</f>
        <v/>
      </c>
      <c r="BY293" s="97" t="str">
        <f>IF($A293="","",IF($AM293="",1,IFERROR(INDEX('Sublimits and Parts'!$C$91:$C$94,MATCH($AM293,'Sublimits and Parts'!$B$91:$B$94,0)),"?")))</f>
        <v/>
      </c>
      <c r="BZ293" s="97" t="str">
        <f>IF($A293="","",IF($AN293="",1,IFERROR(INDEX('Sublimits and Parts'!$C$98:$C$101,MATCH($AN293,'Sublimits and Parts'!$B$98:$B$101,0)),"?")))</f>
        <v/>
      </c>
      <c r="CA293" s="97" t="str">
        <f>IF($A293="","",IF($AO293="",1,IFERROR(INDEX('Sublimits and Parts'!$C$105:$C$109,MATCH($AO293,'Sublimits and Parts'!$B$105:$B$109,0)),"?")))</f>
        <v/>
      </c>
      <c r="CB293" s="98" t="str">
        <f t="shared" si="54"/>
        <v/>
      </c>
      <c r="CC293" s="98" t="str">
        <f t="shared" si="55"/>
        <v/>
      </c>
      <c r="CD293" s="101" t="str">
        <f>IF($A293="","",IF(OR($CB293="?",$CC293="?"),"?",MIN($CB293*$CC293,'Technical Premium'!$C$17)))</f>
        <v/>
      </c>
      <c r="CE293" s="100" t="str">
        <f t="shared" si="56"/>
        <v/>
      </c>
      <c r="CF293" s="100" t="str">
        <f>IF($A293="","",IFERROR(INDEX('Territory Factors'!$F$6:$F$56,MATCH($K293,'Territory Factors'!$B$6:$B$56,0)),"?"))</f>
        <v/>
      </c>
      <c r="CG293" s="98" t="str">
        <f>IF($A293="","",IFERROR(INDEX('Usage and Coverage'!$C$79:$C$84,MATCH($Y293,'Usage and Coverage'!$B$79:$B$84,0)),"?"))</f>
        <v/>
      </c>
      <c r="CH293" s="100" t="str">
        <f>IFERROR(IF(ISNUMBER($CD293),$CF293*$CG293*MIN($BG293*$BA293*$BC293*$BD293*$BH293*$BF293,'Technical Premium'!$C$17),""),"")</f>
        <v/>
      </c>
      <c r="CI293" s="100" t="str">
        <f t="shared" si="57"/>
        <v/>
      </c>
      <c r="CJ293" s="100" t="str">
        <f>IFERROR($CI293*(1+'Technical Premium'!$C$5)*(1+'Technical Premium'!$C$6),"")</f>
        <v/>
      </c>
      <c r="CK293" s="100" t="str">
        <f>IFERROR($CE293*INDEX('Territory Factors'!$G$6:$G$56,MATCH($K293,'Territory Factors'!$B$6:$B$56,0))*$AU293*$AV293,"")</f>
        <v/>
      </c>
      <c r="CL293" s="100" t="str">
        <f>IFERROR(($CJ293+$CK293)*(1+'Technical Premium'!$C$7),"")</f>
        <v/>
      </c>
      <c r="CM293" s="102" t="str">
        <f>IFERROR($CL293/'Technical Premium'!$C$13,"")</f>
        <v/>
      </c>
      <c r="CN293" s="103" t="str">
        <f t="shared" si="58"/>
        <v/>
      </c>
      <c r="CO293" s="102" t="str">
        <f t="shared" si="59"/>
        <v/>
      </c>
      <c r="CP293" s="103" t="str">
        <f t="shared" si="60"/>
        <v/>
      </c>
      <c r="CQ293" s="104" t="str">
        <f t="shared" si="61"/>
        <v/>
      </c>
      <c r="CR293" s="100" t="str">
        <f>IF(ISNUMBER($CM293),'Technical Premium'!$C$14+IF($J293&gt;=1000000,'Technical Premium'!$C$15,0),"")</f>
        <v/>
      </c>
      <c r="CS293" s="100" t="str">
        <f>IFERROR(($CO293+$CR293)*(INDEX('Territory Factors'!$K$6:$K$56,MATCH($K293,'Territory Factors'!$B$6:$B$56,0))+'Commission Structure'!$C$21),"")</f>
        <v/>
      </c>
      <c r="CT293" s="102" t="str">
        <f t="shared" si="62"/>
        <v/>
      </c>
      <c r="CU293" s="100" t="str">
        <f>IFERROR($CO293*('Commission Structure'!$C$6+'Commission Structure'!$C$7),"")</f>
        <v/>
      </c>
      <c r="CV293" s="100" t="str">
        <f>IFERROR($CO293*'Commission Structure'!$C$5-$CU293,"")</f>
        <v/>
      </c>
      <c r="CW293" s="100" t="str">
        <f>IFERROR($CO293*(1-'Commission Structure'!$C$5),"")</f>
        <v/>
      </c>
      <c r="CX293" s="105" t="str">
        <f>IF($A293="","",IF(OR($CB293="?",$CC293="?",NOT(ISNUMBER($AU293))),"CHECK INPUTS",IF(OR($J293&lt;'Technical Premium'!$C$18,LEFT(IFERROR(INDEX('Driver Factors'!$D$6:$D$15,MATCH($R293,'Driver Factors'!$B$6:$B$15,0)),""),7)="DECLINE",LEFT(IFERROR(INDEX('Driver Factors'!$D$28:$D$36,MATCH($T293,'Driver Factors'!$B$28:$B$36,0)),""),7)="DECLINE",LEFT(IFERROR(INDEX('Claims History'!$D$6:$D$15,MATCH($U293,'Claims History'!$B$6:$B$15,0)),""),7)="DECLINE",LEFT(IFERROR(INDEX('Usage and Coverage'!$E$6:$E$20,MATCH($N293,'Usage and Coverage'!$C$6:$C$20,0)),""),7)="DECLINE"),"DECLINE",IF(OR($CD293&gt;2.5,$CD293&gt;='Technical Premium'!$C$17,$J293&gt;='Technical Premium'!$C$16,N($AQ293)&lt;'Technical Premium'!$C$19,N($AQ293)&gt;'Technical Premium'!$C$20,LEFT(IFERROR(INDEX('Driver Factors'!$D$6:$D$15,MATCH($R293,'Driver Factors'!$B$6:$B$15,0)),""),5)="Refer",LEFT(IFERROR(INDEX('Driver Factors'!$D$28:$D$36,MATCH($T293,'Driver Factors'!$B$28:$B$36,0)),""),5)="Refer",LEFT(IFERROR(INDEX('Claims History'!$D$6:$D$15,MATCH($U293,'Claims History'!$B$6:$B$15,0)),""),5)="Refer",LEFT(IFERROR(INDEX('Usage and Coverage'!$E$6:$E$20,MATCH($N293,'Usage and Coverage'!$C$6:$C$20,0)),""),5)="Refer"),"REFER","AUTO-BIND"))))</f>
        <v/>
      </c>
      <c r="CY293" s="106" t="str">
        <f t="shared" si="63"/>
        <v/>
      </c>
      <c r="CZ293" s="97" t="str">
        <f>IF($CY293="","",IF($CY293&lt;'Technical Premium'!$C$19,"BEYOND AUTHORITY",IF($CY293&gt;0.005,"Above technical",IF($CY293&lt;-0.005,"BELOW technical","At technical"))))</f>
        <v/>
      </c>
      <c r="DA293" s="97" t="str">
        <f>IF($A293="","",IF($CX293="AUTO-BIND","",TRIM(IF($J293&lt;'Technical Premium'!$C$18,"Below programme minimum agreed value. ","")&amp;IF(N($AQ293)&lt;'Technical Premium'!$C$19,"DISCOUNT AUTHORITY BREACH. ","")&amp;IF(N($AQ293)&gt;'Technical Premium'!$C$20,"Load authority breach. ","")&amp;IF($J293&gt;='Technical Premium'!$C$16,"Agreed value at or above auto-bind limit. ","")&amp;IF(AND(ISNUMBER($CD293),$CD293&gt;='Technical Premium'!$C$17),"Composite factor at cap. ","")&amp;IF(AND(ISNUMBER($CD293),$CD293&gt;2.5),"Composite factor above 2.50. ","")&amp;IF(LEFT(IFERROR(INDEX('Driver Factors'!$D$6:$D$15,MATCH($R293,'Driver Factors'!$B$6:$B$15,0)),""),7)="DECLINE","DECLINE - driver age. ",IF(LEFT(IFERROR(INDEX('Driver Factors'!$D$6:$D$15,MATCH($R293,'Driver Factors'!$B$6:$B$15,0)),""),5)="Refer","Driver age band. ",""))&amp;IF(LEFT(IFERROR(INDEX('Driver Factors'!$D$28:$D$36,MATCH($T293,'Driver Factors'!$B$28:$B$36,0)),""),7)="DECLINE","DECLINE - MVR. ",IF(LEFT(IFERROR(INDEX('Driver Factors'!$D$28:$D$36,MATCH($T293,'Driver Factors'!$B$28:$B$36,0)),""),5)="Refer","MVR record. ",""))&amp;IF(LEFT(IFERROR(INDEX('Claims History'!$D$6:$D$15,MATCH($U293,'Claims History'!$B$6:$B$15,0)),""),7)="DECLINE","DECLINE - claims. ",IF(LEFT(IFERROR(INDEX('Claims History'!$D$6:$D$15,MATCH($U293,'Claims History'!$B$6:$B$15,0)),""),5)="Refer","Claims history. ",""))&amp;IF(LEFT(IFERROR(INDEX('Usage and Coverage'!$E$6:$E$20,MATCH($N293,'Usage and Coverage'!$C$6:$C$20,0)),""),7)="DECLINE","DECLINE - usage class. ",IF(LEFT(IFERROR(INDEX('Usage and Coverage'!$E$6:$E$20,MATCH($N293,'Usage and Coverage'!$C$6:$C$20,0)),""),5)="Refer","Usage class. ",""))&amp;IF($CX293="CHECK INPUTS","Incomplete inputs. ",""))))</f>
        <v/>
      </c>
      <c r="DB293" s="92"/>
      <c r="DC293" s="92"/>
      <c r="DD293" s="93"/>
      <c r="DE293" s="92"/>
      <c r="DF293" s="92"/>
      <c r="DG293" s="97" t="str">
        <f t="shared" si="64"/>
        <v/>
      </c>
      <c r="DH293" s="97" t="str">
        <f>IF($A293="","",IF(OR($CX293="REFER",$CX293="DECLINE"),COUNTIF($CX$5:$CX293,"REFER")+COUNTIF($CX$5:$CX293,"DECLINE"),""))</f>
        <v/>
      </c>
      <c r="DI293" s="92"/>
    </row>
    <row r="294" spans="1:113" x14ac:dyDescent="0.25">
      <c r="A294" s="92"/>
      <c r="B294" s="92"/>
      <c r="C294" s="93"/>
      <c r="D294" s="93"/>
      <c r="E294" s="94"/>
      <c r="F294" s="92"/>
      <c r="G294" s="92"/>
      <c r="H294" s="92"/>
      <c r="I294" s="92"/>
      <c r="J294" s="95"/>
      <c r="K294" s="92"/>
      <c r="L294" s="92"/>
      <c r="M294" s="92"/>
      <c r="N294" s="92"/>
      <c r="O294" s="92"/>
      <c r="P294" s="92"/>
      <c r="Q294" s="92"/>
      <c r="R294" s="92"/>
      <c r="S294" s="92"/>
      <c r="T294" s="92"/>
      <c r="U294" s="92"/>
      <c r="V294" s="92"/>
      <c r="W294" s="92"/>
      <c r="X294" s="92"/>
      <c r="Y294" s="92"/>
      <c r="Z294" s="92"/>
      <c r="AA294" s="92"/>
      <c r="AB294" s="92"/>
      <c r="AC294" s="92"/>
      <c r="AD294" s="92"/>
      <c r="AE294" s="92"/>
      <c r="AF294" s="92"/>
      <c r="AG294" s="92"/>
      <c r="AH294" s="92"/>
      <c r="AI294" s="92"/>
      <c r="AJ294" s="92"/>
      <c r="AK294" s="92"/>
      <c r="AL294" s="92"/>
      <c r="AM294" s="92"/>
      <c r="AN294" s="92"/>
      <c r="AO294" s="92"/>
      <c r="AP294" s="92"/>
      <c r="AQ294" s="96"/>
      <c r="AR294" s="97" t="str">
        <f t="shared" si="52"/>
        <v/>
      </c>
      <c r="AS294" s="97" t="str">
        <f>IF($A294="","",IF($AP294&lt;&gt;"",$AP294,IFERROR(INDEX('Cat Zone by ZIP'!$D$6:$D$856,MATCH($AR294,'Cat Zone by ZIP'!$B$6:$B$856,0)),IFERROR(INDEX('Cat Zone by ZIP'!$C$860:$C$910,MATCH($K294,'Cat Zone by ZIP'!$B$860:$B$910,0)),"NOT FOUND"))))</f>
        <v/>
      </c>
      <c r="AT294" s="97" t="str">
        <f>IF($A294="","",IF($AP294&lt;&gt;"","Override",IF(ISNUMBER(MATCH($AR294,'Cat Zone by ZIP'!$B$6:$B$856,0)),"ZIP-3","State default")))</f>
        <v/>
      </c>
      <c r="AU294" s="98" t="str">
        <f>IF($A294="","",IFERROR(INDEX('Natural Catastrophe'!$D$6:$D$17,MATCH($AS294,'Natural Catastrophe'!$B$6:$B$17,0)),"?"))</f>
        <v/>
      </c>
      <c r="AV294" s="98" t="str">
        <f>IF($A294="","",IFERROR(INDEX('Natural Catastrophe'!$C$21:$C$26,MATCH($AA294,'Natural Catastrophe'!$B$21:$B$26,0)),"?"))</f>
        <v/>
      </c>
      <c r="AW294" s="97" t="str">
        <f>IF($A294="","",IFERROR(INDEX('Base Rates'!$C$4:$I$4,MATCH(MAX($J294,'Technical Premium'!$C$18),'Base Rates'!$C$3:$I$3,1)),"?"))</f>
        <v/>
      </c>
      <c r="AX294" s="99" t="str">
        <f>IF($A294="","",IFERROR(INDEX('Base Rates'!$C$5:$I$16,MATCH($I294,'Base Rates'!$B$5:$B$16,0),MATCH(MAX($J294,'Technical Premium'!$C$18),'Base Rates'!$C$3:$I$3,1)),"?"))</f>
        <v/>
      </c>
      <c r="AY294" s="100" t="str">
        <f t="shared" si="53"/>
        <v/>
      </c>
      <c r="AZ294" s="97" t="str">
        <f>IF($A294="","",IFERROR(INDEX('Make Factors'!$G$5:$G$69,MATCH($F294,'Make Factors'!$B$5:$B$69,0)),"?"))</f>
        <v/>
      </c>
      <c r="BA294" s="97" t="str">
        <f>IF($A294="","",IFERROR(INDEX('Driver Factors'!$C$6:$C$15,MATCH($R294,'Driver Factors'!$B$6:$B$15,0)),"?"))</f>
        <v/>
      </c>
      <c r="BB294" s="97" t="str">
        <f>IF($A294="","",IFERROR(INDEX('Driver Factors'!$C$19:$C$24,MATCH($S294,'Driver Factors'!$B$19:$B$24,0)),"?"))</f>
        <v/>
      </c>
      <c r="BC294" s="97" t="str">
        <f>IF($A294="","",IFERROR(INDEX('Driver Factors'!$C$28:$C$36,MATCH($T294,'Driver Factors'!$B$28:$B$36,0)),"?"))</f>
        <v/>
      </c>
      <c r="BD294" s="97" t="str">
        <f>IF($A294="","",IFERROR(INDEX('Claims History'!$C$6:$C$15,MATCH($U294,'Claims History'!$B$6:$B$15,0)),"?"))</f>
        <v/>
      </c>
      <c r="BE294" s="97" t="str">
        <f>IF($A294="","",IFERROR(INDEX('Territory Factors'!$E$6:$E$56,MATCH($K294,'Territory Factors'!$B$6:$B$56,0)),"?"))</f>
        <v/>
      </c>
      <c r="BF294" s="97" t="str">
        <f>IF($A294="","",IFERROR(INDEX('City Accident Ratings'!$G$6:$G$54,MATCH($Z294,'City Accident Ratings'!$B$6:$B$54,0)),"?"))</f>
        <v/>
      </c>
      <c r="BG294" s="97" t="str">
        <f>IF($A294="","",IFERROR(INDEX('Usage and Coverage'!$D$6:$D$20,MATCH($N294,'Usage and Coverage'!$C$6:$C$20,0)),"?"))</f>
        <v/>
      </c>
      <c r="BH294" s="97" t="str">
        <f>IF($A294="","",IFERROR(INDEX('Usage and Coverage'!$C$24:$C$30,MATCH($O294,'Usage and Coverage'!$B$24:$B$30,0)),"?"))</f>
        <v/>
      </c>
      <c r="BI294" s="97" t="str">
        <f>IF($A294="","",IFERROR(INDEX('Usage and Coverage'!$C$34:$C$40,MATCH($P294,'Usage and Coverage'!$B$34:$B$40,0)),"?"))</f>
        <v/>
      </c>
      <c r="BJ294" s="97" t="str">
        <f>IF($A294="","",IFERROR(INDEX('Usage and Coverage'!$C$44:$C$49,MATCH($Q294,'Usage and Coverage'!$B$44:$B$49,0)),"?"))</f>
        <v/>
      </c>
      <c r="BK294" s="97" t="str">
        <f>IF($A294="","",IFERROR(INDEX(Deductibles!$C$6:$I$15,MATCH($W294,Deductibles!$B$6:$B$15,0),MATCH(MAX($J294,'Technical Premium'!$C$18),'Base Rates'!$C$3:$I$3,1)),"?"))</f>
        <v/>
      </c>
      <c r="BL294" s="97" t="str">
        <f>IF($A294="","",IFERROR(INDEX('Usage and Coverage'!$C$63:$C$66,MATCH($X294,'Usage and Coverage'!$B$63:$B$66,0)),"?"))</f>
        <v/>
      </c>
      <c r="BM294" s="97" t="str">
        <f>IF($A294="","",IFERROR(INDEX('Usage and Coverage'!$C$70:$C$75,MATCH($V294,'Usage and Coverage'!$B$70:$B$75,0)),"?"))</f>
        <v/>
      </c>
      <c r="BN294" s="97" t="str">
        <f>IF($A294="","",IF($AB294="",1,IFERROR(INDEX(Deductibles!$C$48:$C$51,MATCH($AB294,Deductibles!$B$48:$B$51,0)),"?")))</f>
        <v/>
      </c>
      <c r="BO294" s="97" t="str">
        <f>IF($A294="","",IF($AC294="",1,IFERROR(INDEX(Deductibles!$C$55:$C$57,MATCH($AC294,Deductibles!$B$55:$B$57,0)),"?")))</f>
        <v/>
      </c>
      <c r="BP294" s="97" t="str">
        <f>IF($A294="","",IF($AD294="",1,IFERROR(INDEX(Deductibles!$C$61:$C$63,MATCH($AD294,Deductibles!$B$61:$B$63,0)),"?")))</f>
        <v/>
      </c>
      <c r="BQ294" s="97" t="str">
        <f>IF($A294="","",IF($AE294="",1,IFERROR(INDEX(Deductibles!$C$67:$C$69,MATCH($AE294,Deductibles!$B$67:$B$69,0)),"?")))</f>
        <v/>
      </c>
      <c r="BR294" s="97" t="str">
        <f>IF($A294="","",IF($AF294="",1,IFERROR(INDEX(Deductibles!$C$73:$C$74,MATCH($AF294,Deductibles!$B$73:$B$74,0)),"?")))</f>
        <v/>
      </c>
      <c r="BS294" s="97" t="str">
        <f>IF($A294="","",IF($AG294="",1,IFERROR(INDEX('Sublimits and Parts'!$C$49:$C$52,MATCH($AG294,'Sublimits and Parts'!$B$49:$B$52,0)),"?")))</f>
        <v/>
      </c>
      <c r="BT294" s="97" t="str">
        <f>IF($A294="","",IF($AH294="",1,IFERROR(INDEX('Sublimits and Parts'!$C$56:$C$60,MATCH($AH294,'Sublimits and Parts'!$B$56:$B$60,0)),"?")))</f>
        <v/>
      </c>
      <c r="BU294" s="97" t="str">
        <f>IF($A294="","",IF($AI294="",1,IFERROR(INDEX('Sublimits and Parts'!$C$64:$C$67,MATCH($AI294,'Sublimits and Parts'!$B$64:$B$67,0)),"?")))</f>
        <v/>
      </c>
      <c r="BV294" s="97" t="str">
        <f>IF($A294="","",IF($AJ294="",1,IFERROR(INDEX('Sublimits and Parts'!$C$71:$C$74,MATCH($AJ294,'Sublimits and Parts'!$B$71:$B$74,0)),"?")))</f>
        <v/>
      </c>
      <c r="BW294" s="97" t="str">
        <f>IF($A294="","",IF($AK294="",1,IFERROR(INDEX('Sublimits and Parts'!$C$78:$C$80,MATCH($AK294,'Sublimits and Parts'!$B$78:$B$80,0)),"?")))</f>
        <v/>
      </c>
      <c r="BX294" s="97" t="str">
        <f>IF($A294="","",IF($AL294="",1,IFERROR(INDEX('Sublimits and Parts'!$C$84:$C$87,MATCH($AL294,'Sublimits and Parts'!$B$84:$B$87,0)),"?")))</f>
        <v/>
      </c>
      <c r="BY294" s="97" t="str">
        <f>IF($A294="","",IF($AM294="",1,IFERROR(INDEX('Sublimits and Parts'!$C$91:$C$94,MATCH($AM294,'Sublimits and Parts'!$B$91:$B$94,0)),"?")))</f>
        <v/>
      </c>
      <c r="BZ294" s="97" t="str">
        <f>IF($A294="","",IF($AN294="",1,IFERROR(INDEX('Sublimits and Parts'!$C$98:$C$101,MATCH($AN294,'Sublimits and Parts'!$B$98:$B$101,0)),"?")))</f>
        <v/>
      </c>
      <c r="CA294" s="97" t="str">
        <f>IF($A294="","",IF($AO294="",1,IFERROR(INDEX('Sublimits and Parts'!$C$105:$C$109,MATCH($AO294,'Sublimits and Parts'!$B$105:$B$109,0)),"?")))</f>
        <v/>
      </c>
      <c r="CB294" s="98" t="str">
        <f t="shared" si="54"/>
        <v/>
      </c>
      <c r="CC294" s="98" t="str">
        <f t="shared" si="55"/>
        <v/>
      </c>
      <c r="CD294" s="101" t="str">
        <f>IF($A294="","",IF(OR($CB294="?",$CC294="?"),"?",MIN($CB294*$CC294,'Technical Premium'!$C$17)))</f>
        <v/>
      </c>
      <c r="CE294" s="100" t="str">
        <f t="shared" si="56"/>
        <v/>
      </c>
      <c r="CF294" s="100" t="str">
        <f>IF($A294="","",IFERROR(INDEX('Territory Factors'!$F$6:$F$56,MATCH($K294,'Territory Factors'!$B$6:$B$56,0)),"?"))</f>
        <v/>
      </c>
      <c r="CG294" s="98" t="str">
        <f>IF($A294="","",IFERROR(INDEX('Usage and Coverage'!$C$79:$C$84,MATCH($Y294,'Usage and Coverage'!$B$79:$B$84,0)),"?"))</f>
        <v/>
      </c>
      <c r="CH294" s="100" t="str">
        <f>IFERROR(IF(ISNUMBER($CD294),$CF294*$CG294*MIN($BG294*$BA294*$BC294*$BD294*$BH294*$BF294,'Technical Premium'!$C$17),""),"")</f>
        <v/>
      </c>
      <c r="CI294" s="100" t="str">
        <f t="shared" si="57"/>
        <v/>
      </c>
      <c r="CJ294" s="100" t="str">
        <f>IFERROR($CI294*(1+'Technical Premium'!$C$5)*(1+'Technical Premium'!$C$6),"")</f>
        <v/>
      </c>
      <c r="CK294" s="100" t="str">
        <f>IFERROR($CE294*INDEX('Territory Factors'!$G$6:$G$56,MATCH($K294,'Territory Factors'!$B$6:$B$56,0))*$AU294*$AV294,"")</f>
        <v/>
      </c>
      <c r="CL294" s="100" t="str">
        <f>IFERROR(($CJ294+$CK294)*(1+'Technical Premium'!$C$7),"")</f>
        <v/>
      </c>
      <c r="CM294" s="102" t="str">
        <f>IFERROR($CL294/'Technical Premium'!$C$13,"")</f>
        <v/>
      </c>
      <c r="CN294" s="103" t="str">
        <f t="shared" si="58"/>
        <v/>
      </c>
      <c r="CO294" s="102" t="str">
        <f t="shared" si="59"/>
        <v/>
      </c>
      <c r="CP294" s="103" t="str">
        <f t="shared" si="60"/>
        <v/>
      </c>
      <c r="CQ294" s="104" t="str">
        <f t="shared" si="61"/>
        <v/>
      </c>
      <c r="CR294" s="100" t="str">
        <f>IF(ISNUMBER($CM294),'Technical Premium'!$C$14+IF($J294&gt;=1000000,'Technical Premium'!$C$15,0),"")</f>
        <v/>
      </c>
      <c r="CS294" s="100" t="str">
        <f>IFERROR(($CO294+$CR294)*(INDEX('Territory Factors'!$K$6:$K$56,MATCH($K294,'Territory Factors'!$B$6:$B$56,0))+'Commission Structure'!$C$21),"")</f>
        <v/>
      </c>
      <c r="CT294" s="102" t="str">
        <f t="shared" si="62"/>
        <v/>
      </c>
      <c r="CU294" s="100" t="str">
        <f>IFERROR($CO294*('Commission Structure'!$C$6+'Commission Structure'!$C$7),"")</f>
        <v/>
      </c>
      <c r="CV294" s="100" t="str">
        <f>IFERROR($CO294*'Commission Structure'!$C$5-$CU294,"")</f>
        <v/>
      </c>
      <c r="CW294" s="100" t="str">
        <f>IFERROR($CO294*(1-'Commission Structure'!$C$5),"")</f>
        <v/>
      </c>
      <c r="CX294" s="105" t="str">
        <f>IF($A294="","",IF(OR($CB294="?",$CC294="?",NOT(ISNUMBER($AU294))),"CHECK INPUTS",IF(OR($J294&lt;'Technical Premium'!$C$18,LEFT(IFERROR(INDEX('Driver Factors'!$D$6:$D$15,MATCH($R294,'Driver Factors'!$B$6:$B$15,0)),""),7)="DECLINE",LEFT(IFERROR(INDEX('Driver Factors'!$D$28:$D$36,MATCH($T294,'Driver Factors'!$B$28:$B$36,0)),""),7)="DECLINE",LEFT(IFERROR(INDEX('Claims History'!$D$6:$D$15,MATCH($U294,'Claims History'!$B$6:$B$15,0)),""),7)="DECLINE",LEFT(IFERROR(INDEX('Usage and Coverage'!$E$6:$E$20,MATCH($N294,'Usage and Coverage'!$C$6:$C$20,0)),""),7)="DECLINE"),"DECLINE",IF(OR($CD294&gt;2.5,$CD294&gt;='Technical Premium'!$C$17,$J294&gt;='Technical Premium'!$C$16,N($AQ294)&lt;'Technical Premium'!$C$19,N($AQ294)&gt;'Technical Premium'!$C$20,LEFT(IFERROR(INDEX('Driver Factors'!$D$6:$D$15,MATCH($R294,'Driver Factors'!$B$6:$B$15,0)),""),5)="Refer",LEFT(IFERROR(INDEX('Driver Factors'!$D$28:$D$36,MATCH($T294,'Driver Factors'!$B$28:$B$36,0)),""),5)="Refer",LEFT(IFERROR(INDEX('Claims History'!$D$6:$D$15,MATCH($U294,'Claims History'!$B$6:$B$15,0)),""),5)="Refer",LEFT(IFERROR(INDEX('Usage and Coverage'!$E$6:$E$20,MATCH($N294,'Usage and Coverage'!$C$6:$C$20,0)),""),5)="Refer"),"REFER","AUTO-BIND"))))</f>
        <v/>
      </c>
      <c r="CY294" s="106" t="str">
        <f t="shared" si="63"/>
        <v/>
      </c>
      <c r="CZ294" s="97" t="str">
        <f>IF($CY294="","",IF($CY294&lt;'Technical Premium'!$C$19,"BEYOND AUTHORITY",IF($CY294&gt;0.005,"Above technical",IF($CY294&lt;-0.005,"BELOW technical","At technical"))))</f>
        <v/>
      </c>
      <c r="DA294" s="97" t="str">
        <f>IF($A294="","",IF($CX294="AUTO-BIND","",TRIM(IF($J294&lt;'Technical Premium'!$C$18,"Below programme minimum agreed value. ","")&amp;IF(N($AQ294)&lt;'Technical Premium'!$C$19,"DISCOUNT AUTHORITY BREACH. ","")&amp;IF(N($AQ294)&gt;'Technical Premium'!$C$20,"Load authority breach. ","")&amp;IF($J294&gt;='Technical Premium'!$C$16,"Agreed value at or above auto-bind limit. ","")&amp;IF(AND(ISNUMBER($CD294),$CD294&gt;='Technical Premium'!$C$17),"Composite factor at cap. ","")&amp;IF(AND(ISNUMBER($CD294),$CD294&gt;2.5),"Composite factor above 2.50. ","")&amp;IF(LEFT(IFERROR(INDEX('Driver Factors'!$D$6:$D$15,MATCH($R294,'Driver Factors'!$B$6:$B$15,0)),""),7)="DECLINE","DECLINE - driver age. ",IF(LEFT(IFERROR(INDEX('Driver Factors'!$D$6:$D$15,MATCH($R294,'Driver Factors'!$B$6:$B$15,0)),""),5)="Refer","Driver age band. ",""))&amp;IF(LEFT(IFERROR(INDEX('Driver Factors'!$D$28:$D$36,MATCH($T294,'Driver Factors'!$B$28:$B$36,0)),""),7)="DECLINE","DECLINE - MVR. ",IF(LEFT(IFERROR(INDEX('Driver Factors'!$D$28:$D$36,MATCH($T294,'Driver Factors'!$B$28:$B$36,0)),""),5)="Refer","MVR record. ",""))&amp;IF(LEFT(IFERROR(INDEX('Claims History'!$D$6:$D$15,MATCH($U294,'Claims History'!$B$6:$B$15,0)),""),7)="DECLINE","DECLINE - claims. ",IF(LEFT(IFERROR(INDEX('Claims History'!$D$6:$D$15,MATCH($U294,'Claims History'!$B$6:$B$15,0)),""),5)="Refer","Claims history. ",""))&amp;IF(LEFT(IFERROR(INDEX('Usage and Coverage'!$E$6:$E$20,MATCH($N294,'Usage and Coverage'!$C$6:$C$20,0)),""),7)="DECLINE","DECLINE - usage class. ",IF(LEFT(IFERROR(INDEX('Usage and Coverage'!$E$6:$E$20,MATCH($N294,'Usage and Coverage'!$C$6:$C$20,0)),""),5)="Refer","Usage class. ",""))&amp;IF($CX294="CHECK INPUTS","Incomplete inputs. ",""))))</f>
        <v/>
      </c>
      <c r="DB294" s="92"/>
      <c r="DC294" s="92"/>
      <c r="DD294" s="93"/>
      <c r="DE294" s="92"/>
      <c r="DF294" s="92"/>
      <c r="DG294" s="97" t="str">
        <f t="shared" si="64"/>
        <v/>
      </c>
      <c r="DH294" s="97" t="str">
        <f>IF($A294="","",IF(OR($CX294="REFER",$CX294="DECLINE"),COUNTIF($CX$5:$CX294,"REFER")+COUNTIF($CX$5:$CX294,"DECLINE"),""))</f>
        <v/>
      </c>
      <c r="DI294" s="92"/>
    </row>
    <row r="295" spans="1:113" x14ac:dyDescent="0.25">
      <c r="A295" s="92"/>
      <c r="B295" s="92"/>
      <c r="C295" s="93"/>
      <c r="D295" s="93"/>
      <c r="E295" s="94"/>
      <c r="F295" s="92"/>
      <c r="G295" s="92"/>
      <c r="H295" s="92"/>
      <c r="I295" s="92"/>
      <c r="J295" s="95"/>
      <c r="K295" s="92"/>
      <c r="L295" s="92"/>
      <c r="M295" s="92"/>
      <c r="N295" s="92"/>
      <c r="O295" s="92"/>
      <c r="P295" s="92"/>
      <c r="Q295" s="92"/>
      <c r="R295" s="92"/>
      <c r="S295" s="92"/>
      <c r="T295" s="92"/>
      <c r="U295" s="92"/>
      <c r="V295" s="92"/>
      <c r="W295" s="92"/>
      <c r="X295" s="92"/>
      <c r="Y295" s="92"/>
      <c r="Z295" s="92"/>
      <c r="AA295" s="92"/>
      <c r="AB295" s="92"/>
      <c r="AC295" s="92"/>
      <c r="AD295" s="92"/>
      <c r="AE295" s="92"/>
      <c r="AF295" s="92"/>
      <c r="AG295" s="92"/>
      <c r="AH295" s="92"/>
      <c r="AI295" s="92"/>
      <c r="AJ295" s="92"/>
      <c r="AK295" s="92"/>
      <c r="AL295" s="92"/>
      <c r="AM295" s="92"/>
      <c r="AN295" s="92"/>
      <c r="AO295" s="92"/>
      <c r="AP295" s="92"/>
      <c r="AQ295" s="96"/>
      <c r="AR295" s="97" t="str">
        <f t="shared" si="52"/>
        <v/>
      </c>
      <c r="AS295" s="97" t="str">
        <f>IF($A295="","",IF($AP295&lt;&gt;"",$AP295,IFERROR(INDEX('Cat Zone by ZIP'!$D$6:$D$856,MATCH($AR295,'Cat Zone by ZIP'!$B$6:$B$856,0)),IFERROR(INDEX('Cat Zone by ZIP'!$C$860:$C$910,MATCH($K295,'Cat Zone by ZIP'!$B$860:$B$910,0)),"NOT FOUND"))))</f>
        <v/>
      </c>
      <c r="AT295" s="97" t="str">
        <f>IF($A295="","",IF($AP295&lt;&gt;"","Override",IF(ISNUMBER(MATCH($AR295,'Cat Zone by ZIP'!$B$6:$B$856,0)),"ZIP-3","State default")))</f>
        <v/>
      </c>
      <c r="AU295" s="98" t="str">
        <f>IF($A295="","",IFERROR(INDEX('Natural Catastrophe'!$D$6:$D$17,MATCH($AS295,'Natural Catastrophe'!$B$6:$B$17,0)),"?"))</f>
        <v/>
      </c>
      <c r="AV295" s="98" t="str">
        <f>IF($A295="","",IFERROR(INDEX('Natural Catastrophe'!$C$21:$C$26,MATCH($AA295,'Natural Catastrophe'!$B$21:$B$26,0)),"?"))</f>
        <v/>
      </c>
      <c r="AW295" s="97" t="str">
        <f>IF($A295="","",IFERROR(INDEX('Base Rates'!$C$4:$I$4,MATCH(MAX($J295,'Technical Premium'!$C$18),'Base Rates'!$C$3:$I$3,1)),"?"))</f>
        <v/>
      </c>
      <c r="AX295" s="99" t="str">
        <f>IF($A295="","",IFERROR(INDEX('Base Rates'!$C$5:$I$16,MATCH($I295,'Base Rates'!$B$5:$B$16,0),MATCH(MAX($J295,'Technical Premium'!$C$18),'Base Rates'!$C$3:$I$3,1)),"?"))</f>
        <v/>
      </c>
      <c r="AY295" s="100" t="str">
        <f t="shared" si="53"/>
        <v/>
      </c>
      <c r="AZ295" s="97" t="str">
        <f>IF($A295="","",IFERROR(INDEX('Make Factors'!$G$5:$G$69,MATCH($F295,'Make Factors'!$B$5:$B$69,0)),"?"))</f>
        <v/>
      </c>
      <c r="BA295" s="97" t="str">
        <f>IF($A295="","",IFERROR(INDEX('Driver Factors'!$C$6:$C$15,MATCH($R295,'Driver Factors'!$B$6:$B$15,0)),"?"))</f>
        <v/>
      </c>
      <c r="BB295" s="97" t="str">
        <f>IF($A295="","",IFERROR(INDEX('Driver Factors'!$C$19:$C$24,MATCH($S295,'Driver Factors'!$B$19:$B$24,0)),"?"))</f>
        <v/>
      </c>
      <c r="BC295" s="97" t="str">
        <f>IF($A295="","",IFERROR(INDEX('Driver Factors'!$C$28:$C$36,MATCH($T295,'Driver Factors'!$B$28:$B$36,0)),"?"))</f>
        <v/>
      </c>
      <c r="BD295" s="97" t="str">
        <f>IF($A295="","",IFERROR(INDEX('Claims History'!$C$6:$C$15,MATCH($U295,'Claims History'!$B$6:$B$15,0)),"?"))</f>
        <v/>
      </c>
      <c r="BE295" s="97" t="str">
        <f>IF($A295="","",IFERROR(INDEX('Territory Factors'!$E$6:$E$56,MATCH($K295,'Territory Factors'!$B$6:$B$56,0)),"?"))</f>
        <v/>
      </c>
      <c r="BF295" s="97" t="str">
        <f>IF($A295="","",IFERROR(INDEX('City Accident Ratings'!$G$6:$G$54,MATCH($Z295,'City Accident Ratings'!$B$6:$B$54,0)),"?"))</f>
        <v/>
      </c>
      <c r="BG295" s="97" t="str">
        <f>IF($A295="","",IFERROR(INDEX('Usage and Coverage'!$D$6:$D$20,MATCH($N295,'Usage and Coverage'!$C$6:$C$20,0)),"?"))</f>
        <v/>
      </c>
      <c r="BH295" s="97" t="str">
        <f>IF($A295="","",IFERROR(INDEX('Usage and Coverage'!$C$24:$C$30,MATCH($O295,'Usage and Coverage'!$B$24:$B$30,0)),"?"))</f>
        <v/>
      </c>
      <c r="BI295" s="97" t="str">
        <f>IF($A295="","",IFERROR(INDEX('Usage and Coverage'!$C$34:$C$40,MATCH($P295,'Usage and Coverage'!$B$34:$B$40,0)),"?"))</f>
        <v/>
      </c>
      <c r="BJ295" s="97" t="str">
        <f>IF($A295="","",IFERROR(INDEX('Usage and Coverage'!$C$44:$C$49,MATCH($Q295,'Usage and Coverage'!$B$44:$B$49,0)),"?"))</f>
        <v/>
      </c>
      <c r="BK295" s="97" t="str">
        <f>IF($A295="","",IFERROR(INDEX(Deductibles!$C$6:$I$15,MATCH($W295,Deductibles!$B$6:$B$15,0),MATCH(MAX($J295,'Technical Premium'!$C$18),'Base Rates'!$C$3:$I$3,1)),"?"))</f>
        <v/>
      </c>
      <c r="BL295" s="97" t="str">
        <f>IF($A295="","",IFERROR(INDEX('Usage and Coverage'!$C$63:$C$66,MATCH($X295,'Usage and Coverage'!$B$63:$B$66,0)),"?"))</f>
        <v/>
      </c>
      <c r="BM295" s="97" t="str">
        <f>IF($A295="","",IFERROR(INDEX('Usage and Coverage'!$C$70:$C$75,MATCH($V295,'Usage and Coverage'!$B$70:$B$75,0)),"?"))</f>
        <v/>
      </c>
      <c r="BN295" s="97" t="str">
        <f>IF($A295="","",IF($AB295="",1,IFERROR(INDEX(Deductibles!$C$48:$C$51,MATCH($AB295,Deductibles!$B$48:$B$51,0)),"?")))</f>
        <v/>
      </c>
      <c r="BO295" s="97" t="str">
        <f>IF($A295="","",IF($AC295="",1,IFERROR(INDEX(Deductibles!$C$55:$C$57,MATCH($AC295,Deductibles!$B$55:$B$57,0)),"?")))</f>
        <v/>
      </c>
      <c r="BP295" s="97" t="str">
        <f>IF($A295="","",IF($AD295="",1,IFERROR(INDEX(Deductibles!$C$61:$C$63,MATCH($AD295,Deductibles!$B$61:$B$63,0)),"?")))</f>
        <v/>
      </c>
      <c r="BQ295" s="97" t="str">
        <f>IF($A295="","",IF($AE295="",1,IFERROR(INDEX(Deductibles!$C$67:$C$69,MATCH($AE295,Deductibles!$B$67:$B$69,0)),"?")))</f>
        <v/>
      </c>
      <c r="BR295" s="97" t="str">
        <f>IF($A295="","",IF($AF295="",1,IFERROR(INDEX(Deductibles!$C$73:$C$74,MATCH($AF295,Deductibles!$B$73:$B$74,0)),"?")))</f>
        <v/>
      </c>
      <c r="BS295" s="97" t="str">
        <f>IF($A295="","",IF($AG295="",1,IFERROR(INDEX('Sublimits and Parts'!$C$49:$C$52,MATCH($AG295,'Sublimits and Parts'!$B$49:$B$52,0)),"?")))</f>
        <v/>
      </c>
      <c r="BT295" s="97" t="str">
        <f>IF($A295="","",IF($AH295="",1,IFERROR(INDEX('Sublimits and Parts'!$C$56:$C$60,MATCH($AH295,'Sublimits and Parts'!$B$56:$B$60,0)),"?")))</f>
        <v/>
      </c>
      <c r="BU295" s="97" t="str">
        <f>IF($A295="","",IF($AI295="",1,IFERROR(INDEX('Sublimits and Parts'!$C$64:$C$67,MATCH($AI295,'Sublimits and Parts'!$B$64:$B$67,0)),"?")))</f>
        <v/>
      </c>
      <c r="BV295" s="97" t="str">
        <f>IF($A295="","",IF($AJ295="",1,IFERROR(INDEX('Sublimits and Parts'!$C$71:$C$74,MATCH($AJ295,'Sublimits and Parts'!$B$71:$B$74,0)),"?")))</f>
        <v/>
      </c>
      <c r="BW295" s="97" t="str">
        <f>IF($A295="","",IF($AK295="",1,IFERROR(INDEX('Sublimits and Parts'!$C$78:$C$80,MATCH($AK295,'Sublimits and Parts'!$B$78:$B$80,0)),"?")))</f>
        <v/>
      </c>
      <c r="BX295" s="97" t="str">
        <f>IF($A295="","",IF($AL295="",1,IFERROR(INDEX('Sublimits and Parts'!$C$84:$C$87,MATCH($AL295,'Sublimits and Parts'!$B$84:$B$87,0)),"?")))</f>
        <v/>
      </c>
      <c r="BY295" s="97" t="str">
        <f>IF($A295="","",IF($AM295="",1,IFERROR(INDEX('Sublimits and Parts'!$C$91:$C$94,MATCH($AM295,'Sublimits and Parts'!$B$91:$B$94,0)),"?")))</f>
        <v/>
      </c>
      <c r="BZ295" s="97" t="str">
        <f>IF($A295="","",IF($AN295="",1,IFERROR(INDEX('Sublimits and Parts'!$C$98:$C$101,MATCH($AN295,'Sublimits and Parts'!$B$98:$B$101,0)),"?")))</f>
        <v/>
      </c>
      <c r="CA295" s="97" t="str">
        <f>IF($A295="","",IF($AO295="",1,IFERROR(INDEX('Sublimits and Parts'!$C$105:$C$109,MATCH($AO295,'Sublimits and Parts'!$B$105:$B$109,0)),"?")))</f>
        <v/>
      </c>
      <c r="CB295" s="98" t="str">
        <f t="shared" si="54"/>
        <v/>
      </c>
      <c r="CC295" s="98" t="str">
        <f t="shared" si="55"/>
        <v/>
      </c>
      <c r="CD295" s="101" t="str">
        <f>IF($A295="","",IF(OR($CB295="?",$CC295="?"),"?",MIN($CB295*$CC295,'Technical Premium'!$C$17)))</f>
        <v/>
      </c>
      <c r="CE295" s="100" t="str">
        <f t="shared" si="56"/>
        <v/>
      </c>
      <c r="CF295" s="100" t="str">
        <f>IF($A295="","",IFERROR(INDEX('Territory Factors'!$F$6:$F$56,MATCH($K295,'Territory Factors'!$B$6:$B$56,0)),"?"))</f>
        <v/>
      </c>
      <c r="CG295" s="98" t="str">
        <f>IF($A295="","",IFERROR(INDEX('Usage and Coverage'!$C$79:$C$84,MATCH($Y295,'Usage and Coverage'!$B$79:$B$84,0)),"?"))</f>
        <v/>
      </c>
      <c r="CH295" s="100" t="str">
        <f>IFERROR(IF(ISNUMBER($CD295),$CF295*$CG295*MIN($BG295*$BA295*$BC295*$BD295*$BH295*$BF295,'Technical Premium'!$C$17),""),"")</f>
        <v/>
      </c>
      <c r="CI295" s="100" t="str">
        <f t="shared" si="57"/>
        <v/>
      </c>
      <c r="CJ295" s="100" t="str">
        <f>IFERROR($CI295*(1+'Technical Premium'!$C$5)*(1+'Technical Premium'!$C$6),"")</f>
        <v/>
      </c>
      <c r="CK295" s="100" t="str">
        <f>IFERROR($CE295*INDEX('Territory Factors'!$G$6:$G$56,MATCH($K295,'Territory Factors'!$B$6:$B$56,0))*$AU295*$AV295,"")</f>
        <v/>
      </c>
      <c r="CL295" s="100" t="str">
        <f>IFERROR(($CJ295+$CK295)*(1+'Technical Premium'!$C$7),"")</f>
        <v/>
      </c>
      <c r="CM295" s="102" t="str">
        <f>IFERROR($CL295/'Technical Premium'!$C$13,"")</f>
        <v/>
      </c>
      <c r="CN295" s="103" t="str">
        <f t="shared" si="58"/>
        <v/>
      </c>
      <c r="CO295" s="102" t="str">
        <f t="shared" si="59"/>
        <v/>
      </c>
      <c r="CP295" s="103" t="str">
        <f t="shared" si="60"/>
        <v/>
      </c>
      <c r="CQ295" s="104" t="str">
        <f t="shared" si="61"/>
        <v/>
      </c>
      <c r="CR295" s="100" t="str">
        <f>IF(ISNUMBER($CM295),'Technical Premium'!$C$14+IF($J295&gt;=1000000,'Technical Premium'!$C$15,0),"")</f>
        <v/>
      </c>
      <c r="CS295" s="100" t="str">
        <f>IFERROR(($CO295+$CR295)*(INDEX('Territory Factors'!$K$6:$K$56,MATCH($K295,'Territory Factors'!$B$6:$B$56,0))+'Commission Structure'!$C$21),"")</f>
        <v/>
      </c>
      <c r="CT295" s="102" t="str">
        <f t="shared" si="62"/>
        <v/>
      </c>
      <c r="CU295" s="100" t="str">
        <f>IFERROR($CO295*('Commission Structure'!$C$6+'Commission Structure'!$C$7),"")</f>
        <v/>
      </c>
      <c r="CV295" s="100" t="str">
        <f>IFERROR($CO295*'Commission Structure'!$C$5-$CU295,"")</f>
        <v/>
      </c>
      <c r="CW295" s="100" t="str">
        <f>IFERROR($CO295*(1-'Commission Structure'!$C$5),"")</f>
        <v/>
      </c>
      <c r="CX295" s="105" t="str">
        <f>IF($A295="","",IF(OR($CB295="?",$CC295="?",NOT(ISNUMBER($AU295))),"CHECK INPUTS",IF(OR($J295&lt;'Technical Premium'!$C$18,LEFT(IFERROR(INDEX('Driver Factors'!$D$6:$D$15,MATCH($R295,'Driver Factors'!$B$6:$B$15,0)),""),7)="DECLINE",LEFT(IFERROR(INDEX('Driver Factors'!$D$28:$D$36,MATCH($T295,'Driver Factors'!$B$28:$B$36,0)),""),7)="DECLINE",LEFT(IFERROR(INDEX('Claims History'!$D$6:$D$15,MATCH($U295,'Claims History'!$B$6:$B$15,0)),""),7)="DECLINE",LEFT(IFERROR(INDEX('Usage and Coverage'!$E$6:$E$20,MATCH($N295,'Usage and Coverage'!$C$6:$C$20,0)),""),7)="DECLINE"),"DECLINE",IF(OR($CD295&gt;2.5,$CD295&gt;='Technical Premium'!$C$17,$J295&gt;='Technical Premium'!$C$16,N($AQ295)&lt;'Technical Premium'!$C$19,N($AQ295)&gt;'Technical Premium'!$C$20,LEFT(IFERROR(INDEX('Driver Factors'!$D$6:$D$15,MATCH($R295,'Driver Factors'!$B$6:$B$15,0)),""),5)="Refer",LEFT(IFERROR(INDEX('Driver Factors'!$D$28:$D$36,MATCH($T295,'Driver Factors'!$B$28:$B$36,0)),""),5)="Refer",LEFT(IFERROR(INDEX('Claims History'!$D$6:$D$15,MATCH($U295,'Claims History'!$B$6:$B$15,0)),""),5)="Refer",LEFT(IFERROR(INDEX('Usage and Coverage'!$E$6:$E$20,MATCH($N295,'Usage and Coverage'!$C$6:$C$20,0)),""),5)="Refer"),"REFER","AUTO-BIND"))))</f>
        <v/>
      </c>
      <c r="CY295" s="106" t="str">
        <f t="shared" si="63"/>
        <v/>
      </c>
      <c r="CZ295" s="97" t="str">
        <f>IF($CY295="","",IF($CY295&lt;'Technical Premium'!$C$19,"BEYOND AUTHORITY",IF($CY295&gt;0.005,"Above technical",IF($CY295&lt;-0.005,"BELOW technical","At technical"))))</f>
        <v/>
      </c>
      <c r="DA295" s="97" t="str">
        <f>IF($A295="","",IF($CX295="AUTO-BIND","",TRIM(IF($J295&lt;'Technical Premium'!$C$18,"Below programme minimum agreed value. ","")&amp;IF(N($AQ295)&lt;'Technical Premium'!$C$19,"DISCOUNT AUTHORITY BREACH. ","")&amp;IF(N($AQ295)&gt;'Technical Premium'!$C$20,"Load authority breach. ","")&amp;IF($J295&gt;='Technical Premium'!$C$16,"Agreed value at or above auto-bind limit. ","")&amp;IF(AND(ISNUMBER($CD295),$CD295&gt;='Technical Premium'!$C$17),"Composite factor at cap. ","")&amp;IF(AND(ISNUMBER($CD295),$CD295&gt;2.5),"Composite factor above 2.50. ","")&amp;IF(LEFT(IFERROR(INDEX('Driver Factors'!$D$6:$D$15,MATCH($R295,'Driver Factors'!$B$6:$B$15,0)),""),7)="DECLINE","DECLINE - driver age. ",IF(LEFT(IFERROR(INDEX('Driver Factors'!$D$6:$D$15,MATCH($R295,'Driver Factors'!$B$6:$B$15,0)),""),5)="Refer","Driver age band. ",""))&amp;IF(LEFT(IFERROR(INDEX('Driver Factors'!$D$28:$D$36,MATCH($T295,'Driver Factors'!$B$28:$B$36,0)),""),7)="DECLINE","DECLINE - MVR. ",IF(LEFT(IFERROR(INDEX('Driver Factors'!$D$28:$D$36,MATCH($T295,'Driver Factors'!$B$28:$B$36,0)),""),5)="Refer","MVR record. ",""))&amp;IF(LEFT(IFERROR(INDEX('Claims History'!$D$6:$D$15,MATCH($U295,'Claims History'!$B$6:$B$15,0)),""),7)="DECLINE","DECLINE - claims. ",IF(LEFT(IFERROR(INDEX('Claims History'!$D$6:$D$15,MATCH($U295,'Claims History'!$B$6:$B$15,0)),""),5)="Refer","Claims history. ",""))&amp;IF(LEFT(IFERROR(INDEX('Usage and Coverage'!$E$6:$E$20,MATCH($N295,'Usage and Coverage'!$C$6:$C$20,0)),""),7)="DECLINE","DECLINE - usage class. ",IF(LEFT(IFERROR(INDEX('Usage and Coverage'!$E$6:$E$20,MATCH($N295,'Usage and Coverage'!$C$6:$C$20,0)),""),5)="Refer","Usage class. ",""))&amp;IF($CX295="CHECK INPUTS","Incomplete inputs. ",""))))</f>
        <v/>
      </c>
      <c r="DB295" s="92"/>
      <c r="DC295" s="92"/>
      <c r="DD295" s="93"/>
      <c r="DE295" s="92"/>
      <c r="DF295" s="92"/>
      <c r="DG295" s="97" t="str">
        <f t="shared" si="64"/>
        <v/>
      </c>
      <c r="DH295" s="97" t="str">
        <f>IF($A295="","",IF(OR($CX295="REFER",$CX295="DECLINE"),COUNTIF($CX$5:$CX295,"REFER")+COUNTIF($CX$5:$CX295,"DECLINE"),""))</f>
        <v/>
      </c>
      <c r="DI295" s="92"/>
    </row>
    <row r="296" spans="1:113" x14ac:dyDescent="0.25">
      <c r="A296" s="92"/>
      <c r="B296" s="92"/>
      <c r="C296" s="93"/>
      <c r="D296" s="93"/>
      <c r="E296" s="94"/>
      <c r="F296" s="92"/>
      <c r="G296" s="92"/>
      <c r="H296" s="92"/>
      <c r="I296" s="92"/>
      <c r="J296" s="95"/>
      <c r="K296" s="92"/>
      <c r="L296" s="92"/>
      <c r="M296" s="92"/>
      <c r="N296" s="92"/>
      <c r="O296" s="92"/>
      <c r="P296" s="92"/>
      <c r="Q296" s="92"/>
      <c r="R296" s="92"/>
      <c r="S296" s="92"/>
      <c r="T296" s="92"/>
      <c r="U296" s="92"/>
      <c r="V296" s="92"/>
      <c r="W296" s="92"/>
      <c r="X296" s="92"/>
      <c r="Y296" s="92"/>
      <c r="Z296" s="92"/>
      <c r="AA296" s="92"/>
      <c r="AB296" s="92"/>
      <c r="AC296" s="92"/>
      <c r="AD296" s="92"/>
      <c r="AE296" s="92"/>
      <c r="AF296" s="92"/>
      <c r="AG296" s="92"/>
      <c r="AH296" s="92"/>
      <c r="AI296" s="92"/>
      <c r="AJ296" s="92"/>
      <c r="AK296" s="92"/>
      <c r="AL296" s="92"/>
      <c r="AM296" s="92"/>
      <c r="AN296" s="92"/>
      <c r="AO296" s="92"/>
      <c r="AP296" s="92"/>
      <c r="AQ296" s="96"/>
      <c r="AR296" s="97" t="str">
        <f t="shared" si="52"/>
        <v/>
      </c>
      <c r="AS296" s="97" t="str">
        <f>IF($A296="","",IF($AP296&lt;&gt;"",$AP296,IFERROR(INDEX('Cat Zone by ZIP'!$D$6:$D$856,MATCH($AR296,'Cat Zone by ZIP'!$B$6:$B$856,0)),IFERROR(INDEX('Cat Zone by ZIP'!$C$860:$C$910,MATCH($K296,'Cat Zone by ZIP'!$B$860:$B$910,0)),"NOT FOUND"))))</f>
        <v/>
      </c>
      <c r="AT296" s="97" t="str">
        <f>IF($A296="","",IF($AP296&lt;&gt;"","Override",IF(ISNUMBER(MATCH($AR296,'Cat Zone by ZIP'!$B$6:$B$856,0)),"ZIP-3","State default")))</f>
        <v/>
      </c>
      <c r="AU296" s="98" t="str">
        <f>IF($A296="","",IFERROR(INDEX('Natural Catastrophe'!$D$6:$D$17,MATCH($AS296,'Natural Catastrophe'!$B$6:$B$17,0)),"?"))</f>
        <v/>
      </c>
      <c r="AV296" s="98" t="str">
        <f>IF($A296="","",IFERROR(INDEX('Natural Catastrophe'!$C$21:$C$26,MATCH($AA296,'Natural Catastrophe'!$B$21:$B$26,0)),"?"))</f>
        <v/>
      </c>
      <c r="AW296" s="97" t="str">
        <f>IF($A296="","",IFERROR(INDEX('Base Rates'!$C$4:$I$4,MATCH(MAX($J296,'Technical Premium'!$C$18),'Base Rates'!$C$3:$I$3,1)),"?"))</f>
        <v/>
      </c>
      <c r="AX296" s="99" t="str">
        <f>IF($A296="","",IFERROR(INDEX('Base Rates'!$C$5:$I$16,MATCH($I296,'Base Rates'!$B$5:$B$16,0),MATCH(MAX($J296,'Technical Premium'!$C$18),'Base Rates'!$C$3:$I$3,1)),"?"))</f>
        <v/>
      </c>
      <c r="AY296" s="100" t="str">
        <f t="shared" si="53"/>
        <v/>
      </c>
      <c r="AZ296" s="97" t="str">
        <f>IF($A296="","",IFERROR(INDEX('Make Factors'!$G$5:$G$69,MATCH($F296,'Make Factors'!$B$5:$B$69,0)),"?"))</f>
        <v/>
      </c>
      <c r="BA296" s="97" t="str">
        <f>IF($A296="","",IFERROR(INDEX('Driver Factors'!$C$6:$C$15,MATCH($R296,'Driver Factors'!$B$6:$B$15,0)),"?"))</f>
        <v/>
      </c>
      <c r="BB296" s="97" t="str">
        <f>IF($A296="","",IFERROR(INDEX('Driver Factors'!$C$19:$C$24,MATCH($S296,'Driver Factors'!$B$19:$B$24,0)),"?"))</f>
        <v/>
      </c>
      <c r="BC296" s="97" t="str">
        <f>IF($A296="","",IFERROR(INDEX('Driver Factors'!$C$28:$C$36,MATCH($T296,'Driver Factors'!$B$28:$B$36,0)),"?"))</f>
        <v/>
      </c>
      <c r="BD296" s="97" t="str">
        <f>IF($A296="","",IFERROR(INDEX('Claims History'!$C$6:$C$15,MATCH($U296,'Claims History'!$B$6:$B$15,0)),"?"))</f>
        <v/>
      </c>
      <c r="BE296" s="97" t="str">
        <f>IF($A296="","",IFERROR(INDEX('Territory Factors'!$E$6:$E$56,MATCH($K296,'Territory Factors'!$B$6:$B$56,0)),"?"))</f>
        <v/>
      </c>
      <c r="BF296" s="97" t="str">
        <f>IF($A296="","",IFERROR(INDEX('City Accident Ratings'!$G$6:$G$54,MATCH($Z296,'City Accident Ratings'!$B$6:$B$54,0)),"?"))</f>
        <v/>
      </c>
      <c r="BG296" s="97" t="str">
        <f>IF($A296="","",IFERROR(INDEX('Usage and Coverage'!$D$6:$D$20,MATCH($N296,'Usage and Coverage'!$C$6:$C$20,0)),"?"))</f>
        <v/>
      </c>
      <c r="BH296" s="97" t="str">
        <f>IF($A296="","",IFERROR(INDEX('Usage and Coverage'!$C$24:$C$30,MATCH($O296,'Usage and Coverage'!$B$24:$B$30,0)),"?"))</f>
        <v/>
      </c>
      <c r="BI296" s="97" t="str">
        <f>IF($A296="","",IFERROR(INDEX('Usage and Coverage'!$C$34:$C$40,MATCH($P296,'Usage and Coverage'!$B$34:$B$40,0)),"?"))</f>
        <v/>
      </c>
      <c r="BJ296" s="97" t="str">
        <f>IF($A296="","",IFERROR(INDEX('Usage and Coverage'!$C$44:$C$49,MATCH($Q296,'Usage and Coverage'!$B$44:$B$49,0)),"?"))</f>
        <v/>
      </c>
      <c r="BK296" s="97" t="str">
        <f>IF($A296="","",IFERROR(INDEX(Deductibles!$C$6:$I$15,MATCH($W296,Deductibles!$B$6:$B$15,0),MATCH(MAX($J296,'Technical Premium'!$C$18),'Base Rates'!$C$3:$I$3,1)),"?"))</f>
        <v/>
      </c>
      <c r="BL296" s="97" t="str">
        <f>IF($A296="","",IFERROR(INDEX('Usage and Coverage'!$C$63:$C$66,MATCH($X296,'Usage and Coverage'!$B$63:$B$66,0)),"?"))</f>
        <v/>
      </c>
      <c r="BM296" s="97" t="str">
        <f>IF($A296="","",IFERROR(INDEX('Usage and Coverage'!$C$70:$C$75,MATCH($V296,'Usage and Coverage'!$B$70:$B$75,0)),"?"))</f>
        <v/>
      </c>
      <c r="BN296" s="97" t="str">
        <f>IF($A296="","",IF($AB296="",1,IFERROR(INDEX(Deductibles!$C$48:$C$51,MATCH($AB296,Deductibles!$B$48:$B$51,0)),"?")))</f>
        <v/>
      </c>
      <c r="BO296" s="97" t="str">
        <f>IF($A296="","",IF($AC296="",1,IFERROR(INDEX(Deductibles!$C$55:$C$57,MATCH($AC296,Deductibles!$B$55:$B$57,0)),"?")))</f>
        <v/>
      </c>
      <c r="BP296" s="97" t="str">
        <f>IF($A296="","",IF($AD296="",1,IFERROR(INDEX(Deductibles!$C$61:$C$63,MATCH($AD296,Deductibles!$B$61:$B$63,0)),"?")))</f>
        <v/>
      </c>
      <c r="BQ296" s="97" t="str">
        <f>IF($A296="","",IF($AE296="",1,IFERROR(INDEX(Deductibles!$C$67:$C$69,MATCH($AE296,Deductibles!$B$67:$B$69,0)),"?")))</f>
        <v/>
      </c>
      <c r="BR296" s="97" t="str">
        <f>IF($A296="","",IF($AF296="",1,IFERROR(INDEX(Deductibles!$C$73:$C$74,MATCH($AF296,Deductibles!$B$73:$B$74,0)),"?")))</f>
        <v/>
      </c>
      <c r="BS296" s="97" t="str">
        <f>IF($A296="","",IF($AG296="",1,IFERROR(INDEX('Sublimits and Parts'!$C$49:$C$52,MATCH($AG296,'Sublimits and Parts'!$B$49:$B$52,0)),"?")))</f>
        <v/>
      </c>
      <c r="BT296" s="97" t="str">
        <f>IF($A296="","",IF($AH296="",1,IFERROR(INDEX('Sublimits and Parts'!$C$56:$C$60,MATCH($AH296,'Sublimits and Parts'!$B$56:$B$60,0)),"?")))</f>
        <v/>
      </c>
      <c r="BU296" s="97" t="str">
        <f>IF($A296="","",IF($AI296="",1,IFERROR(INDEX('Sublimits and Parts'!$C$64:$C$67,MATCH($AI296,'Sublimits and Parts'!$B$64:$B$67,0)),"?")))</f>
        <v/>
      </c>
      <c r="BV296" s="97" t="str">
        <f>IF($A296="","",IF($AJ296="",1,IFERROR(INDEX('Sublimits and Parts'!$C$71:$C$74,MATCH($AJ296,'Sublimits and Parts'!$B$71:$B$74,0)),"?")))</f>
        <v/>
      </c>
      <c r="BW296" s="97" t="str">
        <f>IF($A296="","",IF($AK296="",1,IFERROR(INDEX('Sublimits and Parts'!$C$78:$C$80,MATCH($AK296,'Sublimits and Parts'!$B$78:$B$80,0)),"?")))</f>
        <v/>
      </c>
      <c r="BX296" s="97" t="str">
        <f>IF($A296="","",IF($AL296="",1,IFERROR(INDEX('Sublimits and Parts'!$C$84:$C$87,MATCH($AL296,'Sublimits and Parts'!$B$84:$B$87,0)),"?")))</f>
        <v/>
      </c>
      <c r="BY296" s="97" t="str">
        <f>IF($A296="","",IF($AM296="",1,IFERROR(INDEX('Sublimits and Parts'!$C$91:$C$94,MATCH($AM296,'Sublimits and Parts'!$B$91:$B$94,0)),"?")))</f>
        <v/>
      </c>
      <c r="BZ296" s="97" t="str">
        <f>IF($A296="","",IF($AN296="",1,IFERROR(INDEX('Sublimits and Parts'!$C$98:$C$101,MATCH($AN296,'Sublimits and Parts'!$B$98:$B$101,0)),"?")))</f>
        <v/>
      </c>
      <c r="CA296" s="97" t="str">
        <f>IF($A296="","",IF($AO296="",1,IFERROR(INDEX('Sublimits and Parts'!$C$105:$C$109,MATCH($AO296,'Sublimits and Parts'!$B$105:$B$109,0)),"?")))</f>
        <v/>
      </c>
      <c r="CB296" s="98" t="str">
        <f t="shared" si="54"/>
        <v/>
      </c>
      <c r="CC296" s="98" t="str">
        <f t="shared" si="55"/>
        <v/>
      </c>
      <c r="CD296" s="101" t="str">
        <f>IF($A296="","",IF(OR($CB296="?",$CC296="?"),"?",MIN($CB296*$CC296,'Technical Premium'!$C$17)))</f>
        <v/>
      </c>
      <c r="CE296" s="100" t="str">
        <f t="shared" si="56"/>
        <v/>
      </c>
      <c r="CF296" s="100" t="str">
        <f>IF($A296="","",IFERROR(INDEX('Territory Factors'!$F$6:$F$56,MATCH($K296,'Territory Factors'!$B$6:$B$56,0)),"?"))</f>
        <v/>
      </c>
      <c r="CG296" s="98" t="str">
        <f>IF($A296="","",IFERROR(INDEX('Usage and Coverage'!$C$79:$C$84,MATCH($Y296,'Usage and Coverage'!$B$79:$B$84,0)),"?"))</f>
        <v/>
      </c>
      <c r="CH296" s="100" t="str">
        <f>IFERROR(IF(ISNUMBER($CD296),$CF296*$CG296*MIN($BG296*$BA296*$BC296*$BD296*$BH296*$BF296,'Technical Premium'!$C$17),""),"")</f>
        <v/>
      </c>
      <c r="CI296" s="100" t="str">
        <f t="shared" si="57"/>
        <v/>
      </c>
      <c r="CJ296" s="100" t="str">
        <f>IFERROR($CI296*(1+'Technical Premium'!$C$5)*(1+'Technical Premium'!$C$6),"")</f>
        <v/>
      </c>
      <c r="CK296" s="100" t="str">
        <f>IFERROR($CE296*INDEX('Territory Factors'!$G$6:$G$56,MATCH($K296,'Territory Factors'!$B$6:$B$56,0))*$AU296*$AV296,"")</f>
        <v/>
      </c>
      <c r="CL296" s="100" t="str">
        <f>IFERROR(($CJ296+$CK296)*(1+'Technical Premium'!$C$7),"")</f>
        <v/>
      </c>
      <c r="CM296" s="102" t="str">
        <f>IFERROR($CL296/'Technical Premium'!$C$13,"")</f>
        <v/>
      </c>
      <c r="CN296" s="103" t="str">
        <f t="shared" si="58"/>
        <v/>
      </c>
      <c r="CO296" s="102" t="str">
        <f t="shared" si="59"/>
        <v/>
      </c>
      <c r="CP296" s="103" t="str">
        <f t="shared" si="60"/>
        <v/>
      </c>
      <c r="CQ296" s="104" t="str">
        <f t="shared" si="61"/>
        <v/>
      </c>
      <c r="CR296" s="100" t="str">
        <f>IF(ISNUMBER($CM296),'Technical Premium'!$C$14+IF($J296&gt;=1000000,'Technical Premium'!$C$15,0),"")</f>
        <v/>
      </c>
      <c r="CS296" s="100" t="str">
        <f>IFERROR(($CO296+$CR296)*(INDEX('Territory Factors'!$K$6:$K$56,MATCH($K296,'Territory Factors'!$B$6:$B$56,0))+'Commission Structure'!$C$21),"")</f>
        <v/>
      </c>
      <c r="CT296" s="102" t="str">
        <f t="shared" si="62"/>
        <v/>
      </c>
      <c r="CU296" s="100" t="str">
        <f>IFERROR($CO296*('Commission Structure'!$C$6+'Commission Structure'!$C$7),"")</f>
        <v/>
      </c>
      <c r="CV296" s="100" t="str">
        <f>IFERROR($CO296*'Commission Structure'!$C$5-$CU296,"")</f>
        <v/>
      </c>
      <c r="CW296" s="100" t="str">
        <f>IFERROR($CO296*(1-'Commission Structure'!$C$5),"")</f>
        <v/>
      </c>
      <c r="CX296" s="105" t="str">
        <f>IF($A296="","",IF(OR($CB296="?",$CC296="?",NOT(ISNUMBER($AU296))),"CHECK INPUTS",IF(OR($J296&lt;'Technical Premium'!$C$18,LEFT(IFERROR(INDEX('Driver Factors'!$D$6:$D$15,MATCH($R296,'Driver Factors'!$B$6:$B$15,0)),""),7)="DECLINE",LEFT(IFERROR(INDEX('Driver Factors'!$D$28:$D$36,MATCH($T296,'Driver Factors'!$B$28:$B$36,0)),""),7)="DECLINE",LEFT(IFERROR(INDEX('Claims History'!$D$6:$D$15,MATCH($U296,'Claims History'!$B$6:$B$15,0)),""),7)="DECLINE",LEFT(IFERROR(INDEX('Usage and Coverage'!$E$6:$E$20,MATCH($N296,'Usage and Coverage'!$C$6:$C$20,0)),""),7)="DECLINE"),"DECLINE",IF(OR($CD296&gt;2.5,$CD296&gt;='Technical Premium'!$C$17,$J296&gt;='Technical Premium'!$C$16,N($AQ296)&lt;'Technical Premium'!$C$19,N($AQ296)&gt;'Technical Premium'!$C$20,LEFT(IFERROR(INDEX('Driver Factors'!$D$6:$D$15,MATCH($R296,'Driver Factors'!$B$6:$B$15,0)),""),5)="Refer",LEFT(IFERROR(INDEX('Driver Factors'!$D$28:$D$36,MATCH($T296,'Driver Factors'!$B$28:$B$36,0)),""),5)="Refer",LEFT(IFERROR(INDEX('Claims History'!$D$6:$D$15,MATCH($U296,'Claims History'!$B$6:$B$15,0)),""),5)="Refer",LEFT(IFERROR(INDEX('Usage and Coverage'!$E$6:$E$20,MATCH($N296,'Usage and Coverage'!$C$6:$C$20,0)),""),5)="Refer"),"REFER","AUTO-BIND"))))</f>
        <v/>
      </c>
      <c r="CY296" s="106" t="str">
        <f t="shared" si="63"/>
        <v/>
      </c>
      <c r="CZ296" s="97" t="str">
        <f>IF($CY296="","",IF($CY296&lt;'Technical Premium'!$C$19,"BEYOND AUTHORITY",IF($CY296&gt;0.005,"Above technical",IF($CY296&lt;-0.005,"BELOW technical","At technical"))))</f>
        <v/>
      </c>
      <c r="DA296" s="97" t="str">
        <f>IF($A296="","",IF($CX296="AUTO-BIND","",TRIM(IF($J296&lt;'Technical Premium'!$C$18,"Below programme minimum agreed value. ","")&amp;IF(N($AQ296)&lt;'Technical Premium'!$C$19,"DISCOUNT AUTHORITY BREACH. ","")&amp;IF(N($AQ296)&gt;'Technical Premium'!$C$20,"Load authority breach. ","")&amp;IF($J296&gt;='Technical Premium'!$C$16,"Agreed value at or above auto-bind limit. ","")&amp;IF(AND(ISNUMBER($CD296),$CD296&gt;='Technical Premium'!$C$17),"Composite factor at cap. ","")&amp;IF(AND(ISNUMBER($CD296),$CD296&gt;2.5),"Composite factor above 2.50. ","")&amp;IF(LEFT(IFERROR(INDEX('Driver Factors'!$D$6:$D$15,MATCH($R296,'Driver Factors'!$B$6:$B$15,0)),""),7)="DECLINE","DECLINE - driver age. ",IF(LEFT(IFERROR(INDEX('Driver Factors'!$D$6:$D$15,MATCH($R296,'Driver Factors'!$B$6:$B$15,0)),""),5)="Refer","Driver age band. ",""))&amp;IF(LEFT(IFERROR(INDEX('Driver Factors'!$D$28:$D$36,MATCH($T296,'Driver Factors'!$B$28:$B$36,0)),""),7)="DECLINE","DECLINE - MVR. ",IF(LEFT(IFERROR(INDEX('Driver Factors'!$D$28:$D$36,MATCH($T296,'Driver Factors'!$B$28:$B$36,0)),""),5)="Refer","MVR record. ",""))&amp;IF(LEFT(IFERROR(INDEX('Claims History'!$D$6:$D$15,MATCH($U296,'Claims History'!$B$6:$B$15,0)),""),7)="DECLINE","DECLINE - claims. ",IF(LEFT(IFERROR(INDEX('Claims History'!$D$6:$D$15,MATCH($U296,'Claims History'!$B$6:$B$15,0)),""),5)="Refer","Claims history. ",""))&amp;IF(LEFT(IFERROR(INDEX('Usage and Coverage'!$E$6:$E$20,MATCH($N296,'Usage and Coverage'!$C$6:$C$20,0)),""),7)="DECLINE","DECLINE - usage class. ",IF(LEFT(IFERROR(INDEX('Usage and Coverage'!$E$6:$E$20,MATCH($N296,'Usage and Coverage'!$C$6:$C$20,0)),""),5)="Refer","Usage class. ",""))&amp;IF($CX296="CHECK INPUTS","Incomplete inputs. ",""))))</f>
        <v/>
      </c>
      <c r="DB296" s="92"/>
      <c r="DC296" s="92"/>
      <c r="DD296" s="93"/>
      <c r="DE296" s="92"/>
      <c r="DF296" s="92"/>
      <c r="DG296" s="97" t="str">
        <f t="shared" si="64"/>
        <v/>
      </c>
      <c r="DH296" s="97" t="str">
        <f>IF($A296="","",IF(OR($CX296="REFER",$CX296="DECLINE"),COUNTIF($CX$5:$CX296,"REFER")+COUNTIF($CX$5:$CX296,"DECLINE"),""))</f>
        <v/>
      </c>
      <c r="DI296" s="92"/>
    </row>
    <row r="297" spans="1:113" x14ac:dyDescent="0.25">
      <c r="A297" s="92"/>
      <c r="B297" s="92"/>
      <c r="C297" s="93"/>
      <c r="D297" s="93"/>
      <c r="E297" s="94"/>
      <c r="F297" s="92"/>
      <c r="G297" s="92"/>
      <c r="H297" s="92"/>
      <c r="I297" s="92"/>
      <c r="J297" s="95"/>
      <c r="K297" s="92"/>
      <c r="L297" s="92"/>
      <c r="M297" s="92"/>
      <c r="N297" s="92"/>
      <c r="O297" s="92"/>
      <c r="P297" s="92"/>
      <c r="Q297" s="92"/>
      <c r="R297" s="92"/>
      <c r="S297" s="92"/>
      <c r="T297" s="92"/>
      <c r="U297" s="92"/>
      <c r="V297" s="92"/>
      <c r="W297" s="92"/>
      <c r="X297" s="92"/>
      <c r="Y297" s="92"/>
      <c r="Z297" s="92"/>
      <c r="AA297" s="92"/>
      <c r="AB297" s="92"/>
      <c r="AC297" s="92"/>
      <c r="AD297" s="92"/>
      <c r="AE297" s="92"/>
      <c r="AF297" s="92"/>
      <c r="AG297" s="92"/>
      <c r="AH297" s="92"/>
      <c r="AI297" s="92"/>
      <c r="AJ297" s="92"/>
      <c r="AK297" s="92"/>
      <c r="AL297" s="92"/>
      <c r="AM297" s="92"/>
      <c r="AN297" s="92"/>
      <c r="AO297" s="92"/>
      <c r="AP297" s="92"/>
      <c r="AQ297" s="96"/>
      <c r="AR297" s="97" t="str">
        <f t="shared" si="52"/>
        <v/>
      </c>
      <c r="AS297" s="97" t="str">
        <f>IF($A297="","",IF($AP297&lt;&gt;"",$AP297,IFERROR(INDEX('Cat Zone by ZIP'!$D$6:$D$856,MATCH($AR297,'Cat Zone by ZIP'!$B$6:$B$856,0)),IFERROR(INDEX('Cat Zone by ZIP'!$C$860:$C$910,MATCH($K297,'Cat Zone by ZIP'!$B$860:$B$910,0)),"NOT FOUND"))))</f>
        <v/>
      </c>
      <c r="AT297" s="97" t="str">
        <f>IF($A297="","",IF($AP297&lt;&gt;"","Override",IF(ISNUMBER(MATCH($AR297,'Cat Zone by ZIP'!$B$6:$B$856,0)),"ZIP-3","State default")))</f>
        <v/>
      </c>
      <c r="AU297" s="98" t="str">
        <f>IF($A297="","",IFERROR(INDEX('Natural Catastrophe'!$D$6:$D$17,MATCH($AS297,'Natural Catastrophe'!$B$6:$B$17,0)),"?"))</f>
        <v/>
      </c>
      <c r="AV297" s="98" t="str">
        <f>IF($A297="","",IFERROR(INDEX('Natural Catastrophe'!$C$21:$C$26,MATCH($AA297,'Natural Catastrophe'!$B$21:$B$26,0)),"?"))</f>
        <v/>
      </c>
      <c r="AW297" s="97" t="str">
        <f>IF($A297="","",IFERROR(INDEX('Base Rates'!$C$4:$I$4,MATCH(MAX($J297,'Technical Premium'!$C$18),'Base Rates'!$C$3:$I$3,1)),"?"))</f>
        <v/>
      </c>
      <c r="AX297" s="99" t="str">
        <f>IF($A297="","",IFERROR(INDEX('Base Rates'!$C$5:$I$16,MATCH($I297,'Base Rates'!$B$5:$B$16,0),MATCH(MAX($J297,'Technical Premium'!$C$18),'Base Rates'!$C$3:$I$3,1)),"?"))</f>
        <v/>
      </c>
      <c r="AY297" s="100" t="str">
        <f t="shared" si="53"/>
        <v/>
      </c>
      <c r="AZ297" s="97" t="str">
        <f>IF($A297="","",IFERROR(INDEX('Make Factors'!$G$5:$G$69,MATCH($F297,'Make Factors'!$B$5:$B$69,0)),"?"))</f>
        <v/>
      </c>
      <c r="BA297" s="97" t="str">
        <f>IF($A297="","",IFERROR(INDEX('Driver Factors'!$C$6:$C$15,MATCH($R297,'Driver Factors'!$B$6:$B$15,0)),"?"))</f>
        <v/>
      </c>
      <c r="BB297" s="97" t="str">
        <f>IF($A297="","",IFERROR(INDEX('Driver Factors'!$C$19:$C$24,MATCH($S297,'Driver Factors'!$B$19:$B$24,0)),"?"))</f>
        <v/>
      </c>
      <c r="BC297" s="97" t="str">
        <f>IF($A297="","",IFERROR(INDEX('Driver Factors'!$C$28:$C$36,MATCH($T297,'Driver Factors'!$B$28:$B$36,0)),"?"))</f>
        <v/>
      </c>
      <c r="BD297" s="97" t="str">
        <f>IF($A297="","",IFERROR(INDEX('Claims History'!$C$6:$C$15,MATCH($U297,'Claims History'!$B$6:$B$15,0)),"?"))</f>
        <v/>
      </c>
      <c r="BE297" s="97" t="str">
        <f>IF($A297="","",IFERROR(INDEX('Territory Factors'!$E$6:$E$56,MATCH($K297,'Territory Factors'!$B$6:$B$56,0)),"?"))</f>
        <v/>
      </c>
      <c r="BF297" s="97" t="str">
        <f>IF($A297="","",IFERROR(INDEX('City Accident Ratings'!$G$6:$G$54,MATCH($Z297,'City Accident Ratings'!$B$6:$B$54,0)),"?"))</f>
        <v/>
      </c>
      <c r="BG297" s="97" t="str">
        <f>IF($A297="","",IFERROR(INDEX('Usage and Coverage'!$D$6:$D$20,MATCH($N297,'Usage and Coverage'!$C$6:$C$20,0)),"?"))</f>
        <v/>
      </c>
      <c r="BH297" s="97" t="str">
        <f>IF($A297="","",IFERROR(INDEX('Usage and Coverage'!$C$24:$C$30,MATCH($O297,'Usage and Coverage'!$B$24:$B$30,0)),"?"))</f>
        <v/>
      </c>
      <c r="BI297" s="97" t="str">
        <f>IF($A297="","",IFERROR(INDEX('Usage and Coverage'!$C$34:$C$40,MATCH($P297,'Usage and Coverage'!$B$34:$B$40,0)),"?"))</f>
        <v/>
      </c>
      <c r="BJ297" s="97" t="str">
        <f>IF($A297="","",IFERROR(INDEX('Usage and Coverage'!$C$44:$C$49,MATCH($Q297,'Usage and Coverage'!$B$44:$B$49,0)),"?"))</f>
        <v/>
      </c>
      <c r="BK297" s="97" t="str">
        <f>IF($A297="","",IFERROR(INDEX(Deductibles!$C$6:$I$15,MATCH($W297,Deductibles!$B$6:$B$15,0),MATCH(MAX($J297,'Technical Premium'!$C$18),'Base Rates'!$C$3:$I$3,1)),"?"))</f>
        <v/>
      </c>
      <c r="BL297" s="97" t="str">
        <f>IF($A297="","",IFERROR(INDEX('Usage and Coverage'!$C$63:$C$66,MATCH($X297,'Usage and Coverage'!$B$63:$B$66,0)),"?"))</f>
        <v/>
      </c>
      <c r="BM297" s="97" t="str">
        <f>IF($A297="","",IFERROR(INDEX('Usage and Coverage'!$C$70:$C$75,MATCH($V297,'Usage and Coverage'!$B$70:$B$75,0)),"?"))</f>
        <v/>
      </c>
      <c r="BN297" s="97" t="str">
        <f>IF($A297="","",IF($AB297="",1,IFERROR(INDEX(Deductibles!$C$48:$C$51,MATCH($AB297,Deductibles!$B$48:$B$51,0)),"?")))</f>
        <v/>
      </c>
      <c r="BO297" s="97" t="str">
        <f>IF($A297="","",IF($AC297="",1,IFERROR(INDEX(Deductibles!$C$55:$C$57,MATCH($AC297,Deductibles!$B$55:$B$57,0)),"?")))</f>
        <v/>
      </c>
      <c r="BP297" s="97" t="str">
        <f>IF($A297="","",IF($AD297="",1,IFERROR(INDEX(Deductibles!$C$61:$C$63,MATCH($AD297,Deductibles!$B$61:$B$63,0)),"?")))</f>
        <v/>
      </c>
      <c r="BQ297" s="97" t="str">
        <f>IF($A297="","",IF($AE297="",1,IFERROR(INDEX(Deductibles!$C$67:$C$69,MATCH($AE297,Deductibles!$B$67:$B$69,0)),"?")))</f>
        <v/>
      </c>
      <c r="BR297" s="97" t="str">
        <f>IF($A297="","",IF($AF297="",1,IFERROR(INDEX(Deductibles!$C$73:$C$74,MATCH($AF297,Deductibles!$B$73:$B$74,0)),"?")))</f>
        <v/>
      </c>
      <c r="BS297" s="97" t="str">
        <f>IF($A297="","",IF($AG297="",1,IFERROR(INDEX('Sublimits and Parts'!$C$49:$C$52,MATCH($AG297,'Sublimits and Parts'!$B$49:$B$52,0)),"?")))</f>
        <v/>
      </c>
      <c r="BT297" s="97" t="str">
        <f>IF($A297="","",IF($AH297="",1,IFERROR(INDEX('Sublimits and Parts'!$C$56:$C$60,MATCH($AH297,'Sublimits and Parts'!$B$56:$B$60,0)),"?")))</f>
        <v/>
      </c>
      <c r="BU297" s="97" t="str">
        <f>IF($A297="","",IF($AI297="",1,IFERROR(INDEX('Sublimits and Parts'!$C$64:$C$67,MATCH($AI297,'Sublimits and Parts'!$B$64:$B$67,0)),"?")))</f>
        <v/>
      </c>
      <c r="BV297" s="97" t="str">
        <f>IF($A297="","",IF($AJ297="",1,IFERROR(INDEX('Sublimits and Parts'!$C$71:$C$74,MATCH($AJ297,'Sublimits and Parts'!$B$71:$B$74,0)),"?")))</f>
        <v/>
      </c>
      <c r="BW297" s="97" t="str">
        <f>IF($A297="","",IF($AK297="",1,IFERROR(INDEX('Sublimits and Parts'!$C$78:$C$80,MATCH($AK297,'Sublimits and Parts'!$B$78:$B$80,0)),"?")))</f>
        <v/>
      </c>
      <c r="BX297" s="97" t="str">
        <f>IF($A297="","",IF($AL297="",1,IFERROR(INDEX('Sublimits and Parts'!$C$84:$C$87,MATCH($AL297,'Sublimits and Parts'!$B$84:$B$87,0)),"?")))</f>
        <v/>
      </c>
      <c r="BY297" s="97" t="str">
        <f>IF($A297="","",IF($AM297="",1,IFERROR(INDEX('Sublimits and Parts'!$C$91:$C$94,MATCH($AM297,'Sublimits and Parts'!$B$91:$B$94,0)),"?")))</f>
        <v/>
      </c>
      <c r="BZ297" s="97" t="str">
        <f>IF($A297="","",IF($AN297="",1,IFERROR(INDEX('Sublimits and Parts'!$C$98:$C$101,MATCH($AN297,'Sublimits and Parts'!$B$98:$B$101,0)),"?")))</f>
        <v/>
      </c>
      <c r="CA297" s="97" t="str">
        <f>IF($A297="","",IF($AO297="",1,IFERROR(INDEX('Sublimits and Parts'!$C$105:$C$109,MATCH($AO297,'Sublimits and Parts'!$B$105:$B$109,0)),"?")))</f>
        <v/>
      </c>
      <c r="CB297" s="98" t="str">
        <f t="shared" si="54"/>
        <v/>
      </c>
      <c r="CC297" s="98" t="str">
        <f t="shared" si="55"/>
        <v/>
      </c>
      <c r="CD297" s="101" t="str">
        <f>IF($A297="","",IF(OR($CB297="?",$CC297="?"),"?",MIN($CB297*$CC297,'Technical Premium'!$C$17)))</f>
        <v/>
      </c>
      <c r="CE297" s="100" t="str">
        <f t="shared" si="56"/>
        <v/>
      </c>
      <c r="CF297" s="100" t="str">
        <f>IF($A297="","",IFERROR(INDEX('Territory Factors'!$F$6:$F$56,MATCH($K297,'Territory Factors'!$B$6:$B$56,0)),"?"))</f>
        <v/>
      </c>
      <c r="CG297" s="98" t="str">
        <f>IF($A297="","",IFERROR(INDEX('Usage and Coverage'!$C$79:$C$84,MATCH($Y297,'Usage and Coverage'!$B$79:$B$84,0)),"?"))</f>
        <v/>
      </c>
      <c r="CH297" s="100" t="str">
        <f>IFERROR(IF(ISNUMBER($CD297),$CF297*$CG297*MIN($BG297*$BA297*$BC297*$BD297*$BH297*$BF297,'Technical Premium'!$C$17),""),"")</f>
        <v/>
      </c>
      <c r="CI297" s="100" t="str">
        <f t="shared" si="57"/>
        <v/>
      </c>
      <c r="CJ297" s="100" t="str">
        <f>IFERROR($CI297*(1+'Technical Premium'!$C$5)*(1+'Technical Premium'!$C$6),"")</f>
        <v/>
      </c>
      <c r="CK297" s="100" t="str">
        <f>IFERROR($CE297*INDEX('Territory Factors'!$G$6:$G$56,MATCH($K297,'Territory Factors'!$B$6:$B$56,0))*$AU297*$AV297,"")</f>
        <v/>
      </c>
      <c r="CL297" s="100" t="str">
        <f>IFERROR(($CJ297+$CK297)*(1+'Technical Premium'!$C$7),"")</f>
        <v/>
      </c>
      <c r="CM297" s="102" t="str">
        <f>IFERROR($CL297/'Technical Premium'!$C$13,"")</f>
        <v/>
      </c>
      <c r="CN297" s="103" t="str">
        <f t="shared" si="58"/>
        <v/>
      </c>
      <c r="CO297" s="102" t="str">
        <f t="shared" si="59"/>
        <v/>
      </c>
      <c r="CP297" s="103" t="str">
        <f t="shared" si="60"/>
        <v/>
      </c>
      <c r="CQ297" s="104" t="str">
        <f t="shared" si="61"/>
        <v/>
      </c>
      <c r="CR297" s="100" t="str">
        <f>IF(ISNUMBER($CM297),'Technical Premium'!$C$14+IF($J297&gt;=1000000,'Technical Premium'!$C$15,0),"")</f>
        <v/>
      </c>
      <c r="CS297" s="100" t="str">
        <f>IFERROR(($CO297+$CR297)*(INDEX('Territory Factors'!$K$6:$K$56,MATCH($K297,'Territory Factors'!$B$6:$B$56,0))+'Commission Structure'!$C$21),"")</f>
        <v/>
      </c>
      <c r="CT297" s="102" t="str">
        <f t="shared" si="62"/>
        <v/>
      </c>
      <c r="CU297" s="100" t="str">
        <f>IFERROR($CO297*('Commission Structure'!$C$6+'Commission Structure'!$C$7),"")</f>
        <v/>
      </c>
      <c r="CV297" s="100" t="str">
        <f>IFERROR($CO297*'Commission Structure'!$C$5-$CU297,"")</f>
        <v/>
      </c>
      <c r="CW297" s="100" t="str">
        <f>IFERROR($CO297*(1-'Commission Structure'!$C$5),"")</f>
        <v/>
      </c>
      <c r="CX297" s="105" t="str">
        <f>IF($A297="","",IF(OR($CB297="?",$CC297="?",NOT(ISNUMBER($AU297))),"CHECK INPUTS",IF(OR($J297&lt;'Technical Premium'!$C$18,LEFT(IFERROR(INDEX('Driver Factors'!$D$6:$D$15,MATCH($R297,'Driver Factors'!$B$6:$B$15,0)),""),7)="DECLINE",LEFT(IFERROR(INDEX('Driver Factors'!$D$28:$D$36,MATCH($T297,'Driver Factors'!$B$28:$B$36,0)),""),7)="DECLINE",LEFT(IFERROR(INDEX('Claims History'!$D$6:$D$15,MATCH($U297,'Claims History'!$B$6:$B$15,0)),""),7)="DECLINE",LEFT(IFERROR(INDEX('Usage and Coverage'!$E$6:$E$20,MATCH($N297,'Usage and Coverage'!$C$6:$C$20,0)),""),7)="DECLINE"),"DECLINE",IF(OR($CD297&gt;2.5,$CD297&gt;='Technical Premium'!$C$17,$J297&gt;='Technical Premium'!$C$16,N($AQ297)&lt;'Technical Premium'!$C$19,N($AQ297)&gt;'Technical Premium'!$C$20,LEFT(IFERROR(INDEX('Driver Factors'!$D$6:$D$15,MATCH($R297,'Driver Factors'!$B$6:$B$15,0)),""),5)="Refer",LEFT(IFERROR(INDEX('Driver Factors'!$D$28:$D$36,MATCH($T297,'Driver Factors'!$B$28:$B$36,0)),""),5)="Refer",LEFT(IFERROR(INDEX('Claims History'!$D$6:$D$15,MATCH($U297,'Claims History'!$B$6:$B$15,0)),""),5)="Refer",LEFT(IFERROR(INDEX('Usage and Coverage'!$E$6:$E$20,MATCH($N297,'Usage and Coverage'!$C$6:$C$20,0)),""),5)="Refer"),"REFER","AUTO-BIND"))))</f>
        <v/>
      </c>
      <c r="CY297" s="106" t="str">
        <f t="shared" si="63"/>
        <v/>
      </c>
      <c r="CZ297" s="97" t="str">
        <f>IF($CY297="","",IF($CY297&lt;'Technical Premium'!$C$19,"BEYOND AUTHORITY",IF($CY297&gt;0.005,"Above technical",IF($CY297&lt;-0.005,"BELOW technical","At technical"))))</f>
        <v/>
      </c>
      <c r="DA297" s="97" t="str">
        <f>IF($A297="","",IF($CX297="AUTO-BIND","",TRIM(IF($J297&lt;'Technical Premium'!$C$18,"Below programme minimum agreed value. ","")&amp;IF(N($AQ297)&lt;'Technical Premium'!$C$19,"DISCOUNT AUTHORITY BREACH. ","")&amp;IF(N($AQ297)&gt;'Technical Premium'!$C$20,"Load authority breach. ","")&amp;IF($J297&gt;='Technical Premium'!$C$16,"Agreed value at or above auto-bind limit. ","")&amp;IF(AND(ISNUMBER($CD297),$CD297&gt;='Technical Premium'!$C$17),"Composite factor at cap. ","")&amp;IF(AND(ISNUMBER($CD297),$CD297&gt;2.5),"Composite factor above 2.50. ","")&amp;IF(LEFT(IFERROR(INDEX('Driver Factors'!$D$6:$D$15,MATCH($R297,'Driver Factors'!$B$6:$B$15,0)),""),7)="DECLINE","DECLINE - driver age. ",IF(LEFT(IFERROR(INDEX('Driver Factors'!$D$6:$D$15,MATCH($R297,'Driver Factors'!$B$6:$B$15,0)),""),5)="Refer","Driver age band. ",""))&amp;IF(LEFT(IFERROR(INDEX('Driver Factors'!$D$28:$D$36,MATCH($T297,'Driver Factors'!$B$28:$B$36,0)),""),7)="DECLINE","DECLINE - MVR. ",IF(LEFT(IFERROR(INDEX('Driver Factors'!$D$28:$D$36,MATCH($T297,'Driver Factors'!$B$28:$B$36,0)),""),5)="Refer","MVR record. ",""))&amp;IF(LEFT(IFERROR(INDEX('Claims History'!$D$6:$D$15,MATCH($U297,'Claims History'!$B$6:$B$15,0)),""),7)="DECLINE","DECLINE - claims. ",IF(LEFT(IFERROR(INDEX('Claims History'!$D$6:$D$15,MATCH($U297,'Claims History'!$B$6:$B$15,0)),""),5)="Refer","Claims history. ",""))&amp;IF(LEFT(IFERROR(INDEX('Usage and Coverage'!$E$6:$E$20,MATCH($N297,'Usage and Coverage'!$C$6:$C$20,0)),""),7)="DECLINE","DECLINE - usage class. ",IF(LEFT(IFERROR(INDEX('Usage and Coverage'!$E$6:$E$20,MATCH($N297,'Usage and Coverage'!$C$6:$C$20,0)),""),5)="Refer","Usage class. ",""))&amp;IF($CX297="CHECK INPUTS","Incomplete inputs. ",""))))</f>
        <v/>
      </c>
      <c r="DB297" s="92"/>
      <c r="DC297" s="92"/>
      <c r="DD297" s="93"/>
      <c r="DE297" s="92"/>
      <c r="DF297" s="92"/>
      <c r="DG297" s="97" t="str">
        <f t="shared" si="64"/>
        <v/>
      </c>
      <c r="DH297" s="97" t="str">
        <f>IF($A297="","",IF(OR($CX297="REFER",$CX297="DECLINE"),COUNTIF($CX$5:$CX297,"REFER")+COUNTIF($CX$5:$CX297,"DECLINE"),""))</f>
        <v/>
      </c>
      <c r="DI297" s="92"/>
    </row>
    <row r="298" spans="1:113" x14ac:dyDescent="0.25">
      <c r="A298" s="92"/>
      <c r="B298" s="92"/>
      <c r="C298" s="93"/>
      <c r="D298" s="93"/>
      <c r="E298" s="94"/>
      <c r="F298" s="92"/>
      <c r="G298" s="92"/>
      <c r="H298" s="92"/>
      <c r="I298" s="92"/>
      <c r="J298" s="95"/>
      <c r="K298" s="92"/>
      <c r="L298" s="92"/>
      <c r="M298" s="92"/>
      <c r="N298" s="92"/>
      <c r="O298" s="92"/>
      <c r="P298" s="92"/>
      <c r="Q298" s="92"/>
      <c r="R298" s="92"/>
      <c r="S298" s="92"/>
      <c r="T298" s="92"/>
      <c r="U298" s="92"/>
      <c r="V298" s="92"/>
      <c r="W298" s="92"/>
      <c r="X298" s="92"/>
      <c r="Y298" s="92"/>
      <c r="Z298" s="92"/>
      <c r="AA298" s="92"/>
      <c r="AB298" s="92"/>
      <c r="AC298" s="92"/>
      <c r="AD298" s="92"/>
      <c r="AE298" s="92"/>
      <c r="AF298" s="92"/>
      <c r="AG298" s="92"/>
      <c r="AH298" s="92"/>
      <c r="AI298" s="92"/>
      <c r="AJ298" s="92"/>
      <c r="AK298" s="92"/>
      <c r="AL298" s="92"/>
      <c r="AM298" s="92"/>
      <c r="AN298" s="92"/>
      <c r="AO298" s="92"/>
      <c r="AP298" s="92"/>
      <c r="AQ298" s="96"/>
      <c r="AR298" s="97" t="str">
        <f t="shared" si="52"/>
        <v/>
      </c>
      <c r="AS298" s="97" t="str">
        <f>IF($A298="","",IF($AP298&lt;&gt;"",$AP298,IFERROR(INDEX('Cat Zone by ZIP'!$D$6:$D$856,MATCH($AR298,'Cat Zone by ZIP'!$B$6:$B$856,0)),IFERROR(INDEX('Cat Zone by ZIP'!$C$860:$C$910,MATCH($K298,'Cat Zone by ZIP'!$B$860:$B$910,0)),"NOT FOUND"))))</f>
        <v/>
      </c>
      <c r="AT298" s="97" t="str">
        <f>IF($A298="","",IF($AP298&lt;&gt;"","Override",IF(ISNUMBER(MATCH($AR298,'Cat Zone by ZIP'!$B$6:$B$856,0)),"ZIP-3","State default")))</f>
        <v/>
      </c>
      <c r="AU298" s="98" t="str">
        <f>IF($A298="","",IFERROR(INDEX('Natural Catastrophe'!$D$6:$D$17,MATCH($AS298,'Natural Catastrophe'!$B$6:$B$17,0)),"?"))</f>
        <v/>
      </c>
      <c r="AV298" s="98" t="str">
        <f>IF($A298="","",IFERROR(INDEX('Natural Catastrophe'!$C$21:$C$26,MATCH($AA298,'Natural Catastrophe'!$B$21:$B$26,0)),"?"))</f>
        <v/>
      </c>
      <c r="AW298" s="97" t="str">
        <f>IF($A298="","",IFERROR(INDEX('Base Rates'!$C$4:$I$4,MATCH(MAX($J298,'Technical Premium'!$C$18),'Base Rates'!$C$3:$I$3,1)),"?"))</f>
        <v/>
      </c>
      <c r="AX298" s="99" t="str">
        <f>IF($A298="","",IFERROR(INDEX('Base Rates'!$C$5:$I$16,MATCH($I298,'Base Rates'!$B$5:$B$16,0),MATCH(MAX($J298,'Technical Premium'!$C$18),'Base Rates'!$C$3:$I$3,1)),"?"))</f>
        <v/>
      </c>
      <c r="AY298" s="100" t="str">
        <f t="shared" si="53"/>
        <v/>
      </c>
      <c r="AZ298" s="97" t="str">
        <f>IF($A298="","",IFERROR(INDEX('Make Factors'!$G$5:$G$69,MATCH($F298,'Make Factors'!$B$5:$B$69,0)),"?"))</f>
        <v/>
      </c>
      <c r="BA298" s="97" t="str">
        <f>IF($A298="","",IFERROR(INDEX('Driver Factors'!$C$6:$C$15,MATCH($R298,'Driver Factors'!$B$6:$B$15,0)),"?"))</f>
        <v/>
      </c>
      <c r="BB298" s="97" t="str">
        <f>IF($A298="","",IFERROR(INDEX('Driver Factors'!$C$19:$C$24,MATCH($S298,'Driver Factors'!$B$19:$B$24,0)),"?"))</f>
        <v/>
      </c>
      <c r="BC298" s="97" t="str">
        <f>IF($A298="","",IFERROR(INDEX('Driver Factors'!$C$28:$C$36,MATCH($T298,'Driver Factors'!$B$28:$B$36,0)),"?"))</f>
        <v/>
      </c>
      <c r="BD298" s="97" t="str">
        <f>IF($A298="","",IFERROR(INDEX('Claims History'!$C$6:$C$15,MATCH($U298,'Claims History'!$B$6:$B$15,0)),"?"))</f>
        <v/>
      </c>
      <c r="BE298" s="97" t="str">
        <f>IF($A298="","",IFERROR(INDEX('Territory Factors'!$E$6:$E$56,MATCH($K298,'Territory Factors'!$B$6:$B$56,0)),"?"))</f>
        <v/>
      </c>
      <c r="BF298" s="97" t="str">
        <f>IF($A298="","",IFERROR(INDEX('City Accident Ratings'!$G$6:$G$54,MATCH($Z298,'City Accident Ratings'!$B$6:$B$54,0)),"?"))</f>
        <v/>
      </c>
      <c r="BG298" s="97" t="str">
        <f>IF($A298="","",IFERROR(INDEX('Usage and Coverage'!$D$6:$D$20,MATCH($N298,'Usage and Coverage'!$C$6:$C$20,0)),"?"))</f>
        <v/>
      </c>
      <c r="BH298" s="97" t="str">
        <f>IF($A298="","",IFERROR(INDEX('Usage and Coverage'!$C$24:$C$30,MATCH($O298,'Usage and Coverage'!$B$24:$B$30,0)),"?"))</f>
        <v/>
      </c>
      <c r="BI298" s="97" t="str">
        <f>IF($A298="","",IFERROR(INDEX('Usage and Coverage'!$C$34:$C$40,MATCH($P298,'Usage and Coverage'!$B$34:$B$40,0)),"?"))</f>
        <v/>
      </c>
      <c r="BJ298" s="97" t="str">
        <f>IF($A298="","",IFERROR(INDEX('Usage and Coverage'!$C$44:$C$49,MATCH($Q298,'Usage and Coverage'!$B$44:$B$49,0)),"?"))</f>
        <v/>
      </c>
      <c r="BK298" s="97" t="str">
        <f>IF($A298="","",IFERROR(INDEX(Deductibles!$C$6:$I$15,MATCH($W298,Deductibles!$B$6:$B$15,0),MATCH(MAX($J298,'Technical Premium'!$C$18),'Base Rates'!$C$3:$I$3,1)),"?"))</f>
        <v/>
      </c>
      <c r="BL298" s="97" t="str">
        <f>IF($A298="","",IFERROR(INDEX('Usage and Coverage'!$C$63:$C$66,MATCH($X298,'Usage and Coverage'!$B$63:$B$66,0)),"?"))</f>
        <v/>
      </c>
      <c r="BM298" s="97" t="str">
        <f>IF($A298="","",IFERROR(INDEX('Usage and Coverage'!$C$70:$C$75,MATCH($V298,'Usage and Coverage'!$B$70:$B$75,0)),"?"))</f>
        <v/>
      </c>
      <c r="BN298" s="97" t="str">
        <f>IF($A298="","",IF($AB298="",1,IFERROR(INDEX(Deductibles!$C$48:$C$51,MATCH($AB298,Deductibles!$B$48:$B$51,0)),"?")))</f>
        <v/>
      </c>
      <c r="BO298" s="97" t="str">
        <f>IF($A298="","",IF($AC298="",1,IFERROR(INDEX(Deductibles!$C$55:$C$57,MATCH($AC298,Deductibles!$B$55:$B$57,0)),"?")))</f>
        <v/>
      </c>
      <c r="BP298" s="97" t="str">
        <f>IF($A298="","",IF($AD298="",1,IFERROR(INDEX(Deductibles!$C$61:$C$63,MATCH($AD298,Deductibles!$B$61:$B$63,0)),"?")))</f>
        <v/>
      </c>
      <c r="BQ298" s="97" t="str">
        <f>IF($A298="","",IF($AE298="",1,IFERROR(INDEX(Deductibles!$C$67:$C$69,MATCH($AE298,Deductibles!$B$67:$B$69,0)),"?")))</f>
        <v/>
      </c>
      <c r="BR298" s="97" t="str">
        <f>IF($A298="","",IF($AF298="",1,IFERROR(INDEX(Deductibles!$C$73:$C$74,MATCH($AF298,Deductibles!$B$73:$B$74,0)),"?")))</f>
        <v/>
      </c>
      <c r="BS298" s="97" t="str">
        <f>IF($A298="","",IF($AG298="",1,IFERROR(INDEX('Sublimits and Parts'!$C$49:$C$52,MATCH($AG298,'Sublimits and Parts'!$B$49:$B$52,0)),"?")))</f>
        <v/>
      </c>
      <c r="BT298" s="97" t="str">
        <f>IF($A298="","",IF($AH298="",1,IFERROR(INDEX('Sublimits and Parts'!$C$56:$C$60,MATCH($AH298,'Sublimits and Parts'!$B$56:$B$60,0)),"?")))</f>
        <v/>
      </c>
      <c r="BU298" s="97" t="str">
        <f>IF($A298="","",IF($AI298="",1,IFERROR(INDEX('Sublimits and Parts'!$C$64:$C$67,MATCH($AI298,'Sublimits and Parts'!$B$64:$B$67,0)),"?")))</f>
        <v/>
      </c>
      <c r="BV298" s="97" t="str">
        <f>IF($A298="","",IF($AJ298="",1,IFERROR(INDEX('Sublimits and Parts'!$C$71:$C$74,MATCH($AJ298,'Sublimits and Parts'!$B$71:$B$74,0)),"?")))</f>
        <v/>
      </c>
      <c r="BW298" s="97" t="str">
        <f>IF($A298="","",IF($AK298="",1,IFERROR(INDEX('Sublimits and Parts'!$C$78:$C$80,MATCH($AK298,'Sublimits and Parts'!$B$78:$B$80,0)),"?")))</f>
        <v/>
      </c>
      <c r="BX298" s="97" t="str">
        <f>IF($A298="","",IF($AL298="",1,IFERROR(INDEX('Sublimits and Parts'!$C$84:$C$87,MATCH($AL298,'Sublimits and Parts'!$B$84:$B$87,0)),"?")))</f>
        <v/>
      </c>
      <c r="BY298" s="97" t="str">
        <f>IF($A298="","",IF($AM298="",1,IFERROR(INDEX('Sublimits and Parts'!$C$91:$C$94,MATCH($AM298,'Sublimits and Parts'!$B$91:$B$94,0)),"?")))</f>
        <v/>
      </c>
      <c r="BZ298" s="97" t="str">
        <f>IF($A298="","",IF($AN298="",1,IFERROR(INDEX('Sublimits and Parts'!$C$98:$C$101,MATCH($AN298,'Sublimits and Parts'!$B$98:$B$101,0)),"?")))</f>
        <v/>
      </c>
      <c r="CA298" s="97" t="str">
        <f>IF($A298="","",IF($AO298="",1,IFERROR(INDEX('Sublimits and Parts'!$C$105:$C$109,MATCH($AO298,'Sublimits and Parts'!$B$105:$B$109,0)),"?")))</f>
        <v/>
      </c>
      <c r="CB298" s="98" t="str">
        <f t="shared" si="54"/>
        <v/>
      </c>
      <c r="CC298" s="98" t="str">
        <f t="shared" si="55"/>
        <v/>
      </c>
      <c r="CD298" s="101" t="str">
        <f>IF($A298="","",IF(OR($CB298="?",$CC298="?"),"?",MIN($CB298*$CC298,'Technical Premium'!$C$17)))</f>
        <v/>
      </c>
      <c r="CE298" s="100" t="str">
        <f t="shared" si="56"/>
        <v/>
      </c>
      <c r="CF298" s="100" t="str">
        <f>IF($A298="","",IFERROR(INDEX('Territory Factors'!$F$6:$F$56,MATCH($K298,'Territory Factors'!$B$6:$B$56,0)),"?"))</f>
        <v/>
      </c>
      <c r="CG298" s="98" t="str">
        <f>IF($A298="","",IFERROR(INDEX('Usage and Coverage'!$C$79:$C$84,MATCH($Y298,'Usage and Coverage'!$B$79:$B$84,0)),"?"))</f>
        <v/>
      </c>
      <c r="CH298" s="100" t="str">
        <f>IFERROR(IF(ISNUMBER($CD298),$CF298*$CG298*MIN($BG298*$BA298*$BC298*$BD298*$BH298*$BF298,'Technical Premium'!$C$17),""),"")</f>
        <v/>
      </c>
      <c r="CI298" s="100" t="str">
        <f t="shared" si="57"/>
        <v/>
      </c>
      <c r="CJ298" s="100" t="str">
        <f>IFERROR($CI298*(1+'Technical Premium'!$C$5)*(1+'Technical Premium'!$C$6),"")</f>
        <v/>
      </c>
      <c r="CK298" s="100" t="str">
        <f>IFERROR($CE298*INDEX('Territory Factors'!$G$6:$G$56,MATCH($K298,'Territory Factors'!$B$6:$B$56,0))*$AU298*$AV298,"")</f>
        <v/>
      </c>
      <c r="CL298" s="100" t="str">
        <f>IFERROR(($CJ298+$CK298)*(1+'Technical Premium'!$C$7),"")</f>
        <v/>
      </c>
      <c r="CM298" s="102" t="str">
        <f>IFERROR($CL298/'Technical Premium'!$C$13,"")</f>
        <v/>
      </c>
      <c r="CN298" s="103" t="str">
        <f t="shared" si="58"/>
        <v/>
      </c>
      <c r="CO298" s="102" t="str">
        <f t="shared" si="59"/>
        <v/>
      </c>
      <c r="CP298" s="103" t="str">
        <f t="shared" si="60"/>
        <v/>
      </c>
      <c r="CQ298" s="104" t="str">
        <f t="shared" si="61"/>
        <v/>
      </c>
      <c r="CR298" s="100" t="str">
        <f>IF(ISNUMBER($CM298),'Technical Premium'!$C$14+IF($J298&gt;=1000000,'Technical Premium'!$C$15,0),"")</f>
        <v/>
      </c>
      <c r="CS298" s="100" t="str">
        <f>IFERROR(($CO298+$CR298)*(INDEX('Territory Factors'!$K$6:$K$56,MATCH($K298,'Territory Factors'!$B$6:$B$56,0))+'Commission Structure'!$C$21),"")</f>
        <v/>
      </c>
      <c r="CT298" s="102" t="str">
        <f t="shared" si="62"/>
        <v/>
      </c>
      <c r="CU298" s="100" t="str">
        <f>IFERROR($CO298*('Commission Structure'!$C$6+'Commission Structure'!$C$7),"")</f>
        <v/>
      </c>
      <c r="CV298" s="100" t="str">
        <f>IFERROR($CO298*'Commission Structure'!$C$5-$CU298,"")</f>
        <v/>
      </c>
      <c r="CW298" s="100" t="str">
        <f>IFERROR($CO298*(1-'Commission Structure'!$C$5),"")</f>
        <v/>
      </c>
      <c r="CX298" s="105" t="str">
        <f>IF($A298="","",IF(OR($CB298="?",$CC298="?",NOT(ISNUMBER($AU298))),"CHECK INPUTS",IF(OR($J298&lt;'Technical Premium'!$C$18,LEFT(IFERROR(INDEX('Driver Factors'!$D$6:$D$15,MATCH($R298,'Driver Factors'!$B$6:$B$15,0)),""),7)="DECLINE",LEFT(IFERROR(INDEX('Driver Factors'!$D$28:$D$36,MATCH($T298,'Driver Factors'!$B$28:$B$36,0)),""),7)="DECLINE",LEFT(IFERROR(INDEX('Claims History'!$D$6:$D$15,MATCH($U298,'Claims History'!$B$6:$B$15,0)),""),7)="DECLINE",LEFT(IFERROR(INDEX('Usage and Coverage'!$E$6:$E$20,MATCH($N298,'Usage and Coverage'!$C$6:$C$20,0)),""),7)="DECLINE"),"DECLINE",IF(OR($CD298&gt;2.5,$CD298&gt;='Technical Premium'!$C$17,$J298&gt;='Technical Premium'!$C$16,N($AQ298)&lt;'Technical Premium'!$C$19,N($AQ298)&gt;'Technical Premium'!$C$20,LEFT(IFERROR(INDEX('Driver Factors'!$D$6:$D$15,MATCH($R298,'Driver Factors'!$B$6:$B$15,0)),""),5)="Refer",LEFT(IFERROR(INDEX('Driver Factors'!$D$28:$D$36,MATCH($T298,'Driver Factors'!$B$28:$B$36,0)),""),5)="Refer",LEFT(IFERROR(INDEX('Claims History'!$D$6:$D$15,MATCH($U298,'Claims History'!$B$6:$B$15,0)),""),5)="Refer",LEFT(IFERROR(INDEX('Usage and Coverage'!$E$6:$E$20,MATCH($N298,'Usage and Coverage'!$C$6:$C$20,0)),""),5)="Refer"),"REFER","AUTO-BIND"))))</f>
        <v/>
      </c>
      <c r="CY298" s="106" t="str">
        <f t="shared" si="63"/>
        <v/>
      </c>
      <c r="CZ298" s="97" t="str">
        <f>IF($CY298="","",IF($CY298&lt;'Technical Premium'!$C$19,"BEYOND AUTHORITY",IF($CY298&gt;0.005,"Above technical",IF($CY298&lt;-0.005,"BELOW technical","At technical"))))</f>
        <v/>
      </c>
      <c r="DA298" s="97" t="str">
        <f>IF($A298="","",IF($CX298="AUTO-BIND","",TRIM(IF($J298&lt;'Technical Premium'!$C$18,"Below programme minimum agreed value. ","")&amp;IF(N($AQ298)&lt;'Technical Premium'!$C$19,"DISCOUNT AUTHORITY BREACH. ","")&amp;IF(N($AQ298)&gt;'Technical Premium'!$C$20,"Load authority breach. ","")&amp;IF($J298&gt;='Technical Premium'!$C$16,"Agreed value at or above auto-bind limit. ","")&amp;IF(AND(ISNUMBER($CD298),$CD298&gt;='Technical Premium'!$C$17),"Composite factor at cap. ","")&amp;IF(AND(ISNUMBER($CD298),$CD298&gt;2.5),"Composite factor above 2.50. ","")&amp;IF(LEFT(IFERROR(INDEX('Driver Factors'!$D$6:$D$15,MATCH($R298,'Driver Factors'!$B$6:$B$15,0)),""),7)="DECLINE","DECLINE - driver age. ",IF(LEFT(IFERROR(INDEX('Driver Factors'!$D$6:$D$15,MATCH($R298,'Driver Factors'!$B$6:$B$15,0)),""),5)="Refer","Driver age band. ",""))&amp;IF(LEFT(IFERROR(INDEX('Driver Factors'!$D$28:$D$36,MATCH($T298,'Driver Factors'!$B$28:$B$36,0)),""),7)="DECLINE","DECLINE - MVR. ",IF(LEFT(IFERROR(INDEX('Driver Factors'!$D$28:$D$36,MATCH($T298,'Driver Factors'!$B$28:$B$36,0)),""),5)="Refer","MVR record. ",""))&amp;IF(LEFT(IFERROR(INDEX('Claims History'!$D$6:$D$15,MATCH($U298,'Claims History'!$B$6:$B$15,0)),""),7)="DECLINE","DECLINE - claims. ",IF(LEFT(IFERROR(INDEX('Claims History'!$D$6:$D$15,MATCH($U298,'Claims History'!$B$6:$B$15,0)),""),5)="Refer","Claims history. ",""))&amp;IF(LEFT(IFERROR(INDEX('Usage and Coverage'!$E$6:$E$20,MATCH($N298,'Usage and Coverage'!$C$6:$C$20,0)),""),7)="DECLINE","DECLINE - usage class. ",IF(LEFT(IFERROR(INDEX('Usage and Coverage'!$E$6:$E$20,MATCH($N298,'Usage and Coverage'!$C$6:$C$20,0)),""),5)="Refer","Usage class. ",""))&amp;IF($CX298="CHECK INPUTS","Incomplete inputs. ",""))))</f>
        <v/>
      </c>
      <c r="DB298" s="92"/>
      <c r="DC298" s="92"/>
      <c r="DD298" s="93"/>
      <c r="DE298" s="92"/>
      <c r="DF298" s="92"/>
      <c r="DG298" s="97" t="str">
        <f t="shared" si="64"/>
        <v/>
      </c>
      <c r="DH298" s="97" t="str">
        <f>IF($A298="","",IF(OR($CX298="REFER",$CX298="DECLINE"),COUNTIF($CX$5:$CX298,"REFER")+COUNTIF($CX$5:$CX298,"DECLINE"),""))</f>
        <v/>
      </c>
      <c r="DI298" s="92"/>
    </row>
    <row r="299" spans="1:113" x14ac:dyDescent="0.25">
      <c r="A299" s="92"/>
      <c r="B299" s="92"/>
      <c r="C299" s="93"/>
      <c r="D299" s="93"/>
      <c r="E299" s="94"/>
      <c r="F299" s="92"/>
      <c r="G299" s="92"/>
      <c r="H299" s="92"/>
      <c r="I299" s="92"/>
      <c r="J299" s="95"/>
      <c r="K299" s="92"/>
      <c r="L299" s="92"/>
      <c r="M299" s="92"/>
      <c r="N299" s="92"/>
      <c r="O299" s="92"/>
      <c r="P299" s="92"/>
      <c r="Q299" s="92"/>
      <c r="R299" s="92"/>
      <c r="S299" s="92"/>
      <c r="T299" s="92"/>
      <c r="U299" s="92"/>
      <c r="V299" s="92"/>
      <c r="W299" s="92"/>
      <c r="X299" s="92"/>
      <c r="Y299" s="92"/>
      <c r="Z299" s="92"/>
      <c r="AA299" s="92"/>
      <c r="AB299" s="92"/>
      <c r="AC299" s="92"/>
      <c r="AD299" s="92"/>
      <c r="AE299" s="92"/>
      <c r="AF299" s="92"/>
      <c r="AG299" s="92"/>
      <c r="AH299" s="92"/>
      <c r="AI299" s="92"/>
      <c r="AJ299" s="92"/>
      <c r="AK299" s="92"/>
      <c r="AL299" s="92"/>
      <c r="AM299" s="92"/>
      <c r="AN299" s="92"/>
      <c r="AO299" s="92"/>
      <c r="AP299" s="92"/>
      <c r="AQ299" s="96"/>
      <c r="AR299" s="97" t="str">
        <f t="shared" si="52"/>
        <v/>
      </c>
      <c r="AS299" s="97" t="str">
        <f>IF($A299="","",IF($AP299&lt;&gt;"",$AP299,IFERROR(INDEX('Cat Zone by ZIP'!$D$6:$D$856,MATCH($AR299,'Cat Zone by ZIP'!$B$6:$B$856,0)),IFERROR(INDEX('Cat Zone by ZIP'!$C$860:$C$910,MATCH($K299,'Cat Zone by ZIP'!$B$860:$B$910,0)),"NOT FOUND"))))</f>
        <v/>
      </c>
      <c r="AT299" s="97" t="str">
        <f>IF($A299="","",IF($AP299&lt;&gt;"","Override",IF(ISNUMBER(MATCH($AR299,'Cat Zone by ZIP'!$B$6:$B$856,0)),"ZIP-3","State default")))</f>
        <v/>
      </c>
      <c r="AU299" s="98" t="str">
        <f>IF($A299="","",IFERROR(INDEX('Natural Catastrophe'!$D$6:$D$17,MATCH($AS299,'Natural Catastrophe'!$B$6:$B$17,0)),"?"))</f>
        <v/>
      </c>
      <c r="AV299" s="98" t="str">
        <f>IF($A299="","",IFERROR(INDEX('Natural Catastrophe'!$C$21:$C$26,MATCH($AA299,'Natural Catastrophe'!$B$21:$B$26,0)),"?"))</f>
        <v/>
      </c>
      <c r="AW299" s="97" t="str">
        <f>IF($A299="","",IFERROR(INDEX('Base Rates'!$C$4:$I$4,MATCH(MAX($J299,'Technical Premium'!$C$18),'Base Rates'!$C$3:$I$3,1)),"?"))</f>
        <v/>
      </c>
      <c r="AX299" s="99" t="str">
        <f>IF($A299="","",IFERROR(INDEX('Base Rates'!$C$5:$I$16,MATCH($I299,'Base Rates'!$B$5:$B$16,0),MATCH(MAX($J299,'Technical Premium'!$C$18),'Base Rates'!$C$3:$I$3,1)),"?"))</f>
        <v/>
      </c>
      <c r="AY299" s="100" t="str">
        <f t="shared" si="53"/>
        <v/>
      </c>
      <c r="AZ299" s="97" t="str">
        <f>IF($A299="","",IFERROR(INDEX('Make Factors'!$G$5:$G$69,MATCH($F299,'Make Factors'!$B$5:$B$69,0)),"?"))</f>
        <v/>
      </c>
      <c r="BA299" s="97" t="str">
        <f>IF($A299="","",IFERROR(INDEX('Driver Factors'!$C$6:$C$15,MATCH($R299,'Driver Factors'!$B$6:$B$15,0)),"?"))</f>
        <v/>
      </c>
      <c r="BB299" s="97" t="str">
        <f>IF($A299="","",IFERROR(INDEX('Driver Factors'!$C$19:$C$24,MATCH($S299,'Driver Factors'!$B$19:$B$24,0)),"?"))</f>
        <v/>
      </c>
      <c r="BC299" s="97" t="str">
        <f>IF($A299="","",IFERROR(INDEX('Driver Factors'!$C$28:$C$36,MATCH($T299,'Driver Factors'!$B$28:$B$36,0)),"?"))</f>
        <v/>
      </c>
      <c r="BD299" s="97" t="str">
        <f>IF($A299="","",IFERROR(INDEX('Claims History'!$C$6:$C$15,MATCH($U299,'Claims History'!$B$6:$B$15,0)),"?"))</f>
        <v/>
      </c>
      <c r="BE299" s="97" t="str">
        <f>IF($A299="","",IFERROR(INDEX('Territory Factors'!$E$6:$E$56,MATCH($K299,'Territory Factors'!$B$6:$B$56,0)),"?"))</f>
        <v/>
      </c>
      <c r="BF299" s="97" t="str">
        <f>IF($A299="","",IFERROR(INDEX('City Accident Ratings'!$G$6:$G$54,MATCH($Z299,'City Accident Ratings'!$B$6:$B$54,0)),"?"))</f>
        <v/>
      </c>
      <c r="BG299" s="97" t="str">
        <f>IF($A299="","",IFERROR(INDEX('Usage and Coverage'!$D$6:$D$20,MATCH($N299,'Usage and Coverage'!$C$6:$C$20,0)),"?"))</f>
        <v/>
      </c>
      <c r="BH299" s="97" t="str">
        <f>IF($A299="","",IFERROR(INDEX('Usage and Coverage'!$C$24:$C$30,MATCH($O299,'Usage and Coverage'!$B$24:$B$30,0)),"?"))</f>
        <v/>
      </c>
      <c r="BI299" s="97" t="str">
        <f>IF($A299="","",IFERROR(INDEX('Usage and Coverage'!$C$34:$C$40,MATCH($P299,'Usage and Coverage'!$B$34:$B$40,0)),"?"))</f>
        <v/>
      </c>
      <c r="BJ299" s="97" t="str">
        <f>IF($A299="","",IFERROR(INDEX('Usage and Coverage'!$C$44:$C$49,MATCH($Q299,'Usage and Coverage'!$B$44:$B$49,0)),"?"))</f>
        <v/>
      </c>
      <c r="BK299" s="97" t="str">
        <f>IF($A299="","",IFERROR(INDEX(Deductibles!$C$6:$I$15,MATCH($W299,Deductibles!$B$6:$B$15,0),MATCH(MAX($J299,'Technical Premium'!$C$18),'Base Rates'!$C$3:$I$3,1)),"?"))</f>
        <v/>
      </c>
      <c r="BL299" s="97" t="str">
        <f>IF($A299="","",IFERROR(INDEX('Usage and Coverage'!$C$63:$C$66,MATCH($X299,'Usage and Coverage'!$B$63:$B$66,0)),"?"))</f>
        <v/>
      </c>
      <c r="BM299" s="97" t="str">
        <f>IF($A299="","",IFERROR(INDEX('Usage and Coverage'!$C$70:$C$75,MATCH($V299,'Usage and Coverage'!$B$70:$B$75,0)),"?"))</f>
        <v/>
      </c>
      <c r="BN299" s="97" t="str">
        <f>IF($A299="","",IF($AB299="",1,IFERROR(INDEX(Deductibles!$C$48:$C$51,MATCH($AB299,Deductibles!$B$48:$B$51,0)),"?")))</f>
        <v/>
      </c>
      <c r="BO299" s="97" t="str">
        <f>IF($A299="","",IF($AC299="",1,IFERROR(INDEX(Deductibles!$C$55:$C$57,MATCH($AC299,Deductibles!$B$55:$B$57,0)),"?")))</f>
        <v/>
      </c>
      <c r="BP299" s="97" t="str">
        <f>IF($A299="","",IF($AD299="",1,IFERROR(INDEX(Deductibles!$C$61:$C$63,MATCH($AD299,Deductibles!$B$61:$B$63,0)),"?")))</f>
        <v/>
      </c>
      <c r="BQ299" s="97" t="str">
        <f>IF($A299="","",IF($AE299="",1,IFERROR(INDEX(Deductibles!$C$67:$C$69,MATCH($AE299,Deductibles!$B$67:$B$69,0)),"?")))</f>
        <v/>
      </c>
      <c r="BR299" s="97" t="str">
        <f>IF($A299="","",IF($AF299="",1,IFERROR(INDEX(Deductibles!$C$73:$C$74,MATCH($AF299,Deductibles!$B$73:$B$74,0)),"?")))</f>
        <v/>
      </c>
      <c r="BS299" s="97" t="str">
        <f>IF($A299="","",IF($AG299="",1,IFERROR(INDEX('Sublimits and Parts'!$C$49:$C$52,MATCH($AG299,'Sublimits and Parts'!$B$49:$B$52,0)),"?")))</f>
        <v/>
      </c>
      <c r="BT299" s="97" t="str">
        <f>IF($A299="","",IF($AH299="",1,IFERROR(INDEX('Sublimits and Parts'!$C$56:$C$60,MATCH($AH299,'Sublimits and Parts'!$B$56:$B$60,0)),"?")))</f>
        <v/>
      </c>
      <c r="BU299" s="97" t="str">
        <f>IF($A299="","",IF($AI299="",1,IFERROR(INDEX('Sublimits and Parts'!$C$64:$C$67,MATCH($AI299,'Sublimits and Parts'!$B$64:$B$67,0)),"?")))</f>
        <v/>
      </c>
      <c r="BV299" s="97" t="str">
        <f>IF($A299="","",IF($AJ299="",1,IFERROR(INDEX('Sublimits and Parts'!$C$71:$C$74,MATCH($AJ299,'Sublimits and Parts'!$B$71:$B$74,0)),"?")))</f>
        <v/>
      </c>
      <c r="BW299" s="97" t="str">
        <f>IF($A299="","",IF($AK299="",1,IFERROR(INDEX('Sublimits and Parts'!$C$78:$C$80,MATCH($AK299,'Sublimits and Parts'!$B$78:$B$80,0)),"?")))</f>
        <v/>
      </c>
      <c r="BX299" s="97" t="str">
        <f>IF($A299="","",IF($AL299="",1,IFERROR(INDEX('Sublimits and Parts'!$C$84:$C$87,MATCH($AL299,'Sublimits and Parts'!$B$84:$B$87,0)),"?")))</f>
        <v/>
      </c>
      <c r="BY299" s="97" t="str">
        <f>IF($A299="","",IF($AM299="",1,IFERROR(INDEX('Sublimits and Parts'!$C$91:$C$94,MATCH($AM299,'Sublimits and Parts'!$B$91:$B$94,0)),"?")))</f>
        <v/>
      </c>
      <c r="BZ299" s="97" t="str">
        <f>IF($A299="","",IF($AN299="",1,IFERROR(INDEX('Sublimits and Parts'!$C$98:$C$101,MATCH($AN299,'Sublimits and Parts'!$B$98:$B$101,0)),"?")))</f>
        <v/>
      </c>
      <c r="CA299" s="97" t="str">
        <f>IF($A299="","",IF($AO299="",1,IFERROR(INDEX('Sublimits and Parts'!$C$105:$C$109,MATCH($AO299,'Sublimits and Parts'!$B$105:$B$109,0)),"?")))</f>
        <v/>
      </c>
      <c r="CB299" s="98" t="str">
        <f t="shared" si="54"/>
        <v/>
      </c>
      <c r="CC299" s="98" t="str">
        <f t="shared" si="55"/>
        <v/>
      </c>
      <c r="CD299" s="101" t="str">
        <f>IF($A299="","",IF(OR($CB299="?",$CC299="?"),"?",MIN($CB299*$CC299,'Technical Premium'!$C$17)))</f>
        <v/>
      </c>
      <c r="CE299" s="100" t="str">
        <f t="shared" si="56"/>
        <v/>
      </c>
      <c r="CF299" s="100" t="str">
        <f>IF($A299="","",IFERROR(INDEX('Territory Factors'!$F$6:$F$56,MATCH($K299,'Territory Factors'!$B$6:$B$56,0)),"?"))</f>
        <v/>
      </c>
      <c r="CG299" s="98" t="str">
        <f>IF($A299="","",IFERROR(INDEX('Usage and Coverage'!$C$79:$C$84,MATCH($Y299,'Usage and Coverage'!$B$79:$B$84,0)),"?"))</f>
        <v/>
      </c>
      <c r="CH299" s="100" t="str">
        <f>IFERROR(IF(ISNUMBER($CD299),$CF299*$CG299*MIN($BG299*$BA299*$BC299*$BD299*$BH299*$BF299,'Technical Premium'!$C$17),""),"")</f>
        <v/>
      </c>
      <c r="CI299" s="100" t="str">
        <f t="shared" si="57"/>
        <v/>
      </c>
      <c r="CJ299" s="100" t="str">
        <f>IFERROR($CI299*(1+'Technical Premium'!$C$5)*(1+'Technical Premium'!$C$6),"")</f>
        <v/>
      </c>
      <c r="CK299" s="100" t="str">
        <f>IFERROR($CE299*INDEX('Territory Factors'!$G$6:$G$56,MATCH($K299,'Territory Factors'!$B$6:$B$56,0))*$AU299*$AV299,"")</f>
        <v/>
      </c>
      <c r="CL299" s="100" t="str">
        <f>IFERROR(($CJ299+$CK299)*(1+'Technical Premium'!$C$7),"")</f>
        <v/>
      </c>
      <c r="CM299" s="102" t="str">
        <f>IFERROR($CL299/'Technical Premium'!$C$13,"")</f>
        <v/>
      </c>
      <c r="CN299" s="103" t="str">
        <f t="shared" si="58"/>
        <v/>
      </c>
      <c r="CO299" s="102" t="str">
        <f t="shared" si="59"/>
        <v/>
      </c>
      <c r="CP299" s="103" t="str">
        <f t="shared" si="60"/>
        <v/>
      </c>
      <c r="CQ299" s="104" t="str">
        <f t="shared" si="61"/>
        <v/>
      </c>
      <c r="CR299" s="100" t="str">
        <f>IF(ISNUMBER($CM299),'Technical Premium'!$C$14+IF($J299&gt;=1000000,'Technical Premium'!$C$15,0),"")</f>
        <v/>
      </c>
      <c r="CS299" s="100" t="str">
        <f>IFERROR(($CO299+$CR299)*(INDEX('Territory Factors'!$K$6:$K$56,MATCH($K299,'Territory Factors'!$B$6:$B$56,0))+'Commission Structure'!$C$21),"")</f>
        <v/>
      </c>
      <c r="CT299" s="102" t="str">
        <f t="shared" si="62"/>
        <v/>
      </c>
      <c r="CU299" s="100" t="str">
        <f>IFERROR($CO299*('Commission Structure'!$C$6+'Commission Structure'!$C$7),"")</f>
        <v/>
      </c>
      <c r="CV299" s="100" t="str">
        <f>IFERROR($CO299*'Commission Structure'!$C$5-$CU299,"")</f>
        <v/>
      </c>
      <c r="CW299" s="100" t="str">
        <f>IFERROR($CO299*(1-'Commission Structure'!$C$5),"")</f>
        <v/>
      </c>
      <c r="CX299" s="105" t="str">
        <f>IF($A299="","",IF(OR($CB299="?",$CC299="?",NOT(ISNUMBER($AU299))),"CHECK INPUTS",IF(OR($J299&lt;'Technical Premium'!$C$18,LEFT(IFERROR(INDEX('Driver Factors'!$D$6:$D$15,MATCH($R299,'Driver Factors'!$B$6:$B$15,0)),""),7)="DECLINE",LEFT(IFERROR(INDEX('Driver Factors'!$D$28:$D$36,MATCH($T299,'Driver Factors'!$B$28:$B$36,0)),""),7)="DECLINE",LEFT(IFERROR(INDEX('Claims History'!$D$6:$D$15,MATCH($U299,'Claims History'!$B$6:$B$15,0)),""),7)="DECLINE",LEFT(IFERROR(INDEX('Usage and Coverage'!$E$6:$E$20,MATCH($N299,'Usage and Coverage'!$C$6:$C$20,0)),""),7)="DECLINE"),"DECLINE",IF(OR($CD299&gt;2.5,$CD299&gt;='Technical Premium'!$C$17,$J299&gt;='Technical Premium'!$C$16,N($AQ299)&lt;'Technical Premium'!$C$19,N($AQ299)&gt;'Technical Premium'!$C$20,LEFT(IFERROR(INDEX('Driver Factors'!$D$6:$D$15,MATCH($R299,'Driver Factors'!$B$6:$B$15,0)),""),5)="Refer",LEFT(IFERROR(INDEX('Driver Factors'!$D$28:$D$36,MATCH($T299,'Driver Factors'!$B$28:$B$36,0)),""),5)="Refer",LEFT(IFERROR(INDEX('Claims History'!$D$6:$D$15,MATCH($U299,'Claims History'!$B$6:$B$15,0)),""),5)="Refer",LEFT(IFERROR(INDEX('Usage and Coverage'!$E$6:$E$20,MATCH($N299,'Usage and Coverage'!$C$6:$C$20,0)),""),5)="Refer"),"REFER","AUTO-BIND"))))</f>
        <v/>
      </c>
      <c r="CY299" s="106" t="str">
        <f t="shared" si="63"/>
        <v/>
      </c>
      <c r="CZ299" s="97" t="str">
        <f>IF($CY299="","",IF($CY299&lt;'Technical Premium'!$C$19,"BEYOND AUTHORITY",IF($CY299&gt;0.005,"Above technical",IF($CY299&lt;-0.005,"BELOW technical","At technical"))))</f>
        <v/>
      </c>
      <c r="DA299" s="97" t="str">
        <f>IF($A299="","",IF($CX299="AUTO-BIND","",TRIM(IF($J299&lt;'Technical Premium'!$C$18,"Below programme minimum agreed value. ","")&amp;IF(N($AQ299)&lt;'Technical Premium'!$C$19,"DISCOUNT AUTHORITY BREACH. ","")&amp;IF(N($AQ299)&gt;'Technical Premium'!$C$20,"Load authority breach. ","")&amp;IF($J299&gt;='Technical Premium'!$C$16,"Agreed value at or above auto-bind limit. ","")&amp;IF(AND(ISNUMBER($CD299),$CD299&gt;='Technical Premium'!$C$17),"Composite factor at cap. ","")&amp;IF(AND(ISNUMBER($CD299),$CD299&gt;2.5),"Composite factor above 2.50. ","")&amp;IF(LEFT(IFERROR(INDEX('Driver Factors'!$D$6:$D$15,MATCH($R299,'Driver Factors'!$B$6:$B$15,0)),""),7)="DECLINE","DECLINE - driver age. ",IF(LEFT(IFERROR(INDEX('Driver Factors'!$D$6:$D$15,MATCH($R299,'Driver Factors'!$B$6:$B$15,0)),""),5)="Refer","Driver age band. ",""))&amp;IF(LEFT(IFERROR(INDEX('Driver Factors'!$D$28:$D$36,MATCH($T299,'Driver Factors'!$B$28:$B$36,0)),""),7)="DECLINE","DECLINE - MVR. ",IF(LEFT(IFERROR(INDEX('Driver Factors'!$D$28:$D$36,MATCH($T299,'Driver Factors'!$B$28:$B$36,0)),""),5)="Refer","MVR record. ",""))&amp;IF(LEFT(IFERROR(INDEX('Claims History'!$D$6:$D$15,MATCH($U299,'Claims History'!$B$6:$B$15,0)),""),7)="DECLINE","DECLINE - claims. ",IF(LEFT(IFERROR(INDEX('Claims History'!$D$6:$D$15,MATCH($U299,'Claims History'!$B$6:$B$15,0)),""),5)="Refer","Claims history. ",""))&amp;IF(LEFT(IFERROR(INDEX('Usage and Coverage'!$E$6:$E$20,MATCH($N299,'Usage and Coverage'!$C$6:$C$20,0)),""),7)="DECLINE","DECLINE - usage class. ",IF(LEFT(IFERROR(INDEX('Usage and Coverage'!$E$6:$E$20,MATCH($N299,'Usage and Coverage'!$C$6:$C$20,0)),""),5)="Refer","Usage class. ",""))&amp;IF($CX299="CHECK INPUTS","Incomplete inputs. ",""))))</f>
        <v/>
      </c>
      <c r="DB299" s="92"/>
      <c r="DC299" s="92"/>
      <c r="DD299" s="93"/>
      <c r="DE299" s="92"/>
      <c r="DF299" s="92"/>
      <c r="DG299" s="97" t="str">
        <f t="shared" si="64"/>
        <v/>
      </c>
      <c r="DH299" s="97" t="str">
        <f>IF($A299="","",IF(OR($CX299="REFER",$CX299="DECLINE"),COUNTIF($CX$5:$CX299,"REFER")+COUNTIF($CX$5:$CX299,"DECLINE"),""))</f>
        <v/>
      </c>
      <c r="DI299" s="92"/>
    </row>
    <row r="300" spans="1:113" x14ac:dyDescent="0.25">
      <c r="A300" s="92"/>
      <c r="B300" s="92"/>
      <c r="C300" s="93"/>
      <c r="D300" s="93"/>
      <c r="E300" s="94"/>
      <c r="F300" s="92"/>
      <c r="G300" s="92"/>
      <c r="H300" s="92"/>
      <c r="I300" s="92"/>
      <c r="J300" s="95"/>
      <c r="K300" s="92"/>
      <c r="L300" s="92"/>
      <c r="M300" s="92"/>
      <c r="N300" s="92"/>
      <c r="O300" s="92"/>
      <c r="P300" s="92"/>
      <c r="Q300" s="92"/>
      <c r="R300" s="92"/>
      <c r="S300" s="92"/>
      <c r="T300" s="92"/>
      <c r="U300" s="92"/>
      <c r="V300" s="92"/>
      <c r="W300" s="92"/>
      <c r="X300" s="92"/>
      <c r="Y300" s="92"/>
      <c r="Z300" s="92"/>
      <c r="AA300" s="92"/>
      <c r="AB300" s="92"/>
      <c r="AC300" s="92"/>
      <c r="AD300" s="92"/>
      <c r="AE300" s="92"/>
      <c r="AF300" s="92"/>
      <c r="AG300" s="92"/>
      <c r="AH300" s="92"/>
      <c r="AI300" s="92"/>
      <c r="AJ300" s="92"/>
      <c r="AK300" s="92"/>
      <c r="AL300" s="92"/>
      <c r="AM300" s="92"/>
      <c r="AN300" s="92"/>
      <c r="AO300" s="92"/>
      <c r="AP300" s="92"/>
      <c r="AQ300" s="96"/>
      <c r="AR300" s="97" t="str">
        <f t="shared" si="52"/>
        <v/>
      </c>
      <c r="AS300" s="97" t="str">
        <f>IF($A300="","",IF($AP300&lt;&gt;"",$AP300,IFERROR(INDEX('Cat Zone by ZIP'!$D$6:$D$856,MATCH($AR300,'Cat Zone by ZIP'!$B$6:$B$856,0)),IFERROR(INDEX('Cat Zone by ZIP'!$C$860:$C$910,MATCH($K300,'Cat Zone by ZIP'!$B$860:$B$910,0)),"NOT FOUND"))))</f>
        <v/>
      </c>
      <c r="AT300" s="97" t="str">
        <f>IF($A300="","",IF($AP300&lt;&gt;"","Override",IF(ISNUMBER(MATCH($AR300,'Cat Zone by ZIP'!$B$6:$B$856,0)),"ZIP-3","State default")))</f>
        <v/>
      </c>
      <c r="AU300" s="98" t="str">
        <f>IF($A300="","",IFERROR(INDEX('Natural Catastrophe'!$D$6:$D$17,MATCH($AS300,'Natural Catastrophe'!$B$6:$B$17,0)),"?"))</f>
        <v/>
      </c>
      <c r="AV300" s="98" t="str">
        <f>IF($A300="","",IFERROR(INDEX('Natural Catastrophe'!$C$21:$C$26,MATCH($AA300,'Natural Catastrophe'!$B$21:$B$26,0)),"?"))</f>
        <v/>
      </c>
      <c r="AW300" s="97" t="str">
        <f>IF($A300="","",IFERROR(INDEX('Base Rates'!$C$4:$I$4,MATCH(MAX($J300,'Technical Premium'!$C$18),'Base Rates'!$C$3:$I$3,1)),"?"))</f>
        <v/>
      </c>
      <c r="AX300" s="99" t="str">
        <f>IF($A300="","",IFERROR(INDEX('Base Rates'!$C$5:$I$16,MATCH($I300,'Base Rates'!$B$5:$B$16,0),MATCH(MAX($J300,'Technical Premium'!$C$18),'Base Rates'!$C$3:$I$3,1)),"?"))</f>
        <v/>
      </c>
      <c r="AY300" s="100" t="str">
        <f t="shared" si="53"/>
        <v/>
      </c>
      <c r="AZ300" s="97" t="str">
        <f>IF($A300="","",IFERROR(INDEX('Make Factors'!$G$5:$G$69,MATCH($F300,'Make Factors'!$B$5:$B$69,0)),"?"))</f>
        <v/>
      </c>
      <c r="BA300" s="97" t="str">
        <f>IF($A300="","",IFERROR(INDEX('Driver Factors'!$C$6:$C$15,MATCH($R300,'Driver Factors'!$B$6:$B$15,0)),"?"))</f>
        <v/>
      </c>
      <c r="BB300" s="97" t="str">
        <f>IF($A300="","",IFERROR(INDEX('Driver Factors'!$C$19:$C$24,MATCH($S300,'Driver Factors'!$B$19:$B$24,0)),"?"))</f>
        <v/>
      </c>
      <c r="BC300" s="97" t="str">
        <f>IF($A300="","",IFERROR(INDEX('Driver Factors'!$C$28:$C$36,MATCH($T300,'Driver Factors'!$B$28:$B$36,0)),"?"))</f>
        <v/>
      </c>
      <c r="BD300" s="97" t="str">
        <f>IF($A300="","",IFERROR(INDEX('Claims History'!$C$6:$C$15,MATCH($U300,'Claims History'!$B$6:$B$15,0)),"?"))</f>
        <v/>
      </c>
      <c r="BE300" s="97" t="str">
        <f>IF($A300="","",IFERROR(INDEX('Territory Factors'!$E$6:$E$56,MATCH($K300,'Territory Factors'!$B$6:$B$56,0)),"?"))</f>
        <v/>
      </c>
      <c r="BF300" s="97" t="str">
        <f>IF($A300="","",IFERROR(INDEX('City Accident Ratings'!$G$6:$G$54,MATCH($Z300,'City Accident Ratings'!$B$6:$B$54,0)),"?"))</f>
        <v/>
      </c>
      <c r="BG300" s="97" t="str">
        <f>IF($A300="","",IFERROR(INDEX('Usage and Coverage'!$D$6:$D$20,MATCH($N300,'Usage and Coverage'!$C$6:$C$20,0)),"?"))</f>
        <v/>
      </c>
      <c r="BH300" s="97" t="str">
        <f>IF($A300="","",IFERROR(INDEX('Usage and Coverage'!$C$24:$C$30,MATCH($O300,'Usage and Coverage'!$B$24:$B$30,0)),"?"))</f>
        <v/>
      </c>
      <c r="BI300" s="97" t="str">
        <f>IF($A300="","",IFERROR(INDEX('Usage and Coverage'!$C$34:$C$40,MATCH($P300,'Usage and Coverage'!$B$34:$B$40,0)),"?"))</f>
        <v/>
      </c>
      <c r="BJ300" s="97" t="str">
        <f>IF($A300="","",IFERROR(INDEX('Usage and Coverage'!$C$44:$C$49,MATCH($Q300,'Usage and Coverage'!$B$44:$B$49,0)),"?"))</f>
        <v/>
      </c>
      <c r="BK300" s="97" t="str">
        <f>IF($A300="","",IFERROR(INDEX(Deductibles!$C$6:$I$15,MATCH($W300,Deductibles!$B$6:$B$15,0),MATCH(MAX($J300,'Technical Premium'!$C$18),'Base Rates'!$C$3:$I$3,1)),"?"))</f>
        <v/>
      </c>
      <c r="BL300" s="97" t="str">
        <f>IF($A300="","",IFERROR(INDEX('Usage and Coverage'!$C$63:$C$66,MATCH($X300,'Usage and Coverage'!$B$63:$B$66,0)),"?"))</f>
        <v/>
      </c>
      <c r="BM300" s="97" t="str">
        <f>IF($A300="","",IFERROR(INDEX('Usage and Coverage'!$C$70:$C$75,MATCH($V300,'Usage and Coverage'!$B$70:$B$75,0)),"?"))</f>
        <v/>
      </c>
      <c r="BN300" s="97" t="str">
        <f>IF($A300="","",IF($AB300="",1,IFERROR(INDEX(Deductibles!$C$48:$C$51,MATCH($AB300,Deductibles!$B$48:$B$51,0)),"?")))</f>
        <v/>
      </c>
      <c r="BO300" s="97" t="str">
        <f>IF($A300="","",IF($AC300="",1,IFERROR(INDEX(Deductibles!$C$55:$C$57,MATCH($AC300,Deductibles!$B$55:$B$57,0)),"?")))</f>
        <v/>
      </c>
      <c r="BP300" s="97" t="str">
        <f>IF($A300="","",IF($AD300="",1,IFERROR(INDEX(Deductibles!$C$61:$C$63,MATCH($AD300,Deductibles!$B$61:$B$63,0)),"?")))</f>
        <v/>
      </c>
      <c r="BQ300" s="97" t="str">
        <f>IF($A300="","",IF($AE300="",1,IFERROR(INDEX(Deductibles!$C$67:$C$69,MATCH($AE300,Deductibles!$B$67:$B$69,0)),"?")))</f>
        <v/>
      </c>
      <c r="BR300" s="97" t="str">
        <f>IF($A300="","",IF($AF300="",1,IFERROR(INDEX(Deductibles!$C$73:$C$74,MATCH($AF300,Deductibles!$B$73:$B$74,0)),"?")))</f>
        <v/>
      </c>
      <c r="BS300" s="97" t="str">
        <f>IF($A300="","",IF($AG300="",1,IFERROR(INDEX('Sublimits and Parts'!$C$49:$C$52,MATCH($AG300,'Sublimits and Parts'!$B$49:$B$52,0)),"?")))</f>
        <v/>
      </c>
      <c r="BT300" s="97" t="str">
        <f>IF($A300="","",IF($AH300="",1,IFERROR(INDEX('Sublimits and Parts'!$C$56:$C$60,MATCH($AH300,'Sublimits and Parts'!$B$56:$B$60,0)),"?")))</f>
        <v/>
      </c>
      <c r="BU300" s="97" t="str">
        <f>IF($A300="","",IF($AI300="",1,IFERROR(INDEX('Sublimits and Parts'!$C$64:$C$67,MATCH($AI300,'Sublimits and Parts'!$B$64:$B$67,0)),"?")))</f>
        <v/>
      </c>
      <c r="BV300" s="97" t="str">
        <f>IF($A300="","",IF($AJ300="",1,IFERROR(INDEX('Sublimits and Parts'!$C$71:$C$74,MATCH($AJ300,'Sublimits and Parts'!$B$71:$B$74,0)),"?")))</f>
        <v/>
      </c>
      <c r="BW300" s="97" t="str">
        <f>IF($A300="","",IF($AK300="",1,IFERROR(INDEX('Sublimits and Parts'!$C$78:$C$80,MATCH($AK300,'Sublimits and Parts'!$B$78:$B$80,0)),"?")))</f>
        <v/>
      </c>
      <c r="BX300" s="97" t="str">
        <f>IF($A300="","",IF($AL300="",1,IFERROR(INDEX('Sublimits and Parts'!$C$84:$C$87,MATCH($AL300,'Sublimits and Parts'!$B$84:$B$87,0)),"?")))</f>
        <v/>
      </c>
      <c r="BY300" s="97" t="str">
        <f>IF($A300="","",IF($AM300="",1,IFERROR(INDEX('Sublimits and Parts'!$C$91:$C$94,MATCH($AM300,'Sublimits and Parts'!$B$91:$B$94,0)),"?")))</f>
        <v/>
      </c>
      <c r="BZ300" s="97" t="str">
        <f>IF($A300="","",IF($AN300="",1,IFERROR(INDEX('Sublimits and Parts'!$C$98:$C$101,MATCH($AN300,'Sublimits and Parts'!$B$98:$B$101,0)),"?")))</f>
        <v/>
      </c>
      <c r="CA300" s="97" t="str">
        <f>IF($A300="","",IF($AO300="",1,IFERROR(INDEX('Sublimits and Parts'!$C$105:$C$109,MATCH($AO300,'Sublimits and Parts'!$B$105:$B$109,0)),"?")))</f>
        <v/>
      </c>
      <c r="CB300" s="98" t="str">
        <f t="shared" si="54"/>
        <v/>
      </c>
      <c r="CC300" s="98" t="str">
        <f t="shared" si="55"/>
        <v/>
      </c>
      <c r="CD300" s="101" t="str">
        <f>IF($A300="","",IF(OR($CB300="?",$CC300="?"),"?",MIN($CB300*$CC300,'Technical Premium'!$C$17)))</f>
        <v/>
      </c>
      <c r="CE300" s="100" t="str">
        <f t="shared" si="56"/>
        <v/>
      </c>
      <c r="CF300" s="100" t="str">
        <f>IF($A300="","",IFERROR(INDEX('Territory Factors'!$F$6:$F$56,MATCH($K300,'Territory Factors'!$B$6:$B$56,0)),"?"))</f>
        <v/>
      </c>
      <c r="CG300" s="98" t="str">
        <f>IF($A300="","",IFERROR(INDEX('Usage and Coverage'!$C$79:$C$84,MATCH($Y300,'Usage and Coverage'!$B$79:$B$84,0)),"?"))</f>
        <v/>
      </c>
      <c r="CH300" s="100" t="str">
        <f>IFERROR(IF(ISNUMBER($CD300),$CF300*$CG300*MIN($BG300*$BA300*$BC300*$BD300*$BH300*$BF300,'Technical Premium'!$C$17),""),"")</f>
        <v/>
      </c>
      <c r="CI300" s="100" t="str">
        <f t="shared" si="57"/>
        <v/>
      </c>
      <c r="CJ300" s="100" t="str">
        <f>IFERROR($CI300*(1+'Technical Premium'!$C$5)*(1+'Technical Premium'!$C$6),"")</f>
        <v/>
      </c>
      <c r="CK300" s="100" t="str">
        <f>IFERROR($CE300*INDEX('Territory Factors'!$G$6:$G$56,MATCH($K300,'Territory Factors'!$B$6:$B$56,0))*$AU300*$AV300,"")</f>
        <v/>
      </c>
      <c r="CL300" s="100" t="str">
        <f>IFERROR(($CJ300+$CK300)*(1+'Technical Premium'!$C$7),"")</f>
        <v/>
      </c>
      <c r="CM300" s="102" t="str">
        <f>IFERROR($CL300/'Technical Premium'!$C$13,"")</f>
        <v/>
      </c>
      <c r="CN300" s="103" t="str">
        <f t="shared" si="58"/>
        <v/>
      </c>
      <c r="CO300" s="102" t="str">
        <f t="shared" si="59"/>
        <v/>
      </c>
      <c r="CP300" s="103" t="str">
        <f t="shared" si="60"/>
        <v/>
      </c>
      <c r="CQ300" s="104" t="str">
        <f t="shared" si="61"/>
        <v/>
      </c>
      <c r="CR300" s="100" t="str">
        <f>IF(ISNUMBER($CM300),'Technical Premium'!$C$14+IF($J300&gt;=1000000,'Technical Premium'!$C$15,0),"")</f>
        <v/>
      </c>
      <c r="CS300" s="100" t="str">
        <f>IFERROR(($CO300+$CR300)*(INDEX('Territory Factors'!$K$6:$K$56,MATCH($K300,'Territory Factors'!$B$6:$B$56,0))+'Commission Structure'!$C$21),"")</f>
        <v/>
      </c>
      <c r="CT300" s="102" t="str">
        <f t="shared" si="62"/>
        <v/>
      </c>
      <c r="CU300" s="100" t="str">
        <f>IFERROR($CO300*('Commission Structure'!$C$6+'Commission Structure'!$C$7),"")</f>
        <v/>
      </c>
      <c r="CV300" s="100" t="str">
        <f>IFERROR($CO300*'Commission Structure'!$C$5-$CU300,"")</f>
        <v/>
      </c>
      <c r="CW300" s="100" t="str">
        <f>IFERROR($CO300*(1-'Commission Structure'!$C$5),"")</f>
        <v/>
      </c>
      <c r="CX300" s="105" t="str">
        <f>IF($A300="","",IF(OR($CB300="?",$CC300="?",NOT(ISNUMBER($AU300))),"CHECK INPUTS",IF(OR($J300&lt;'Technical Premium'!$C$18,LEFT(IFERROR(INDEX('Driver Factors'!$D$6:$D$15,MATCH($R300,'Driver Factors'!$B$6:$B$15,0)),""),7)="DECLINE",LEFT(IFERROR(INDEX('Driver Factors'!$D$28:$D$36,MATCH($T300,'Driver Factors'!$B$28:$B$36,0)),""),7)="DECLINE",LEFT(IFERROR(INDEX('Claims History'!$D$6:$D$15,MATCH($U300,'Claims History'!$B$6:$B$15,0)),""),7)="DECLINE",LEFT(IFERROR(INDEX('Usage and Coverage'!$E$6:$E$20,MATCH($N300,'Usage and Coverage'!$C$6:$C$20,0)),""),7)="DECLINE"),"DECLINE",IF(OR($CD300&gt;2.5,$CD300&gt;='Technical Premium'!$C$17,$J300&gt;='Technical Premium'!$C$16,N($AQ300)&lt;'Technical Premium'!$C$19,N($AQ300)&gt;'Technical Premium'!$C$20,LEFT(IFERROR(INDEX('Driver Factors'!$D$6:$D$15,MATCH($R300,'Driver Factors'!$B$6:$B$15,0)),""),5)="Refer",LEFT(IFERROR(INDEX('Driver Factors'!$D$28:$D$36,MATCH($T300,'Driver Factors'!$B$28:$B$36,0)),""),5)="Refer",LEFT(IFERROR(INDEX('Claims History'!$D$6:$D$15,MATCH($U300,'Claims History'!$B$6:$B$15,0)),""),5)="Refer",LEFT(IFERROR(INDEX('Usage and Coverage'!$E$6:$E$20,MATCH($N300,'Usage and Coverage'!$C$6:$C$20,0)),""),5)="Refer"),"REFER","AUTO-BIND"))))</f>
        <v/>
      </c>
      <c r="CY300" s="106" t="str">
        <f t="shared" si="63"/>
        <v/>
      </c>
      <c r="CZ300" s="97" t="str">
        <f>IF($CY300="","",IF($CY300&lt;'Technical Premium'!$C$19,"BEYOND AUTHORITY",IF($CY300&gt;0.005,"Above technical",IF($CY300&lt;-0.005,"BELOW technical","At technical"))))</f>
        <v/>
      </c>
      <c r="DA300" s="97" t="str">
        <f>IF($A300="","",IF($CX300="AUTO-BIND","",TRIM(IF($J300&lt;'Technical Premium'!$C$18,"Below programme minimum agreed value. ","")&amp;IF(N($AQ300)&lt;'Technical Premium'!$C$19,"DISCOUNT AUTHORITY BREACH. ","")&amp;IF(N($AQ300)&gt;'Technical Premium'!$C$20,"Load authority breach. ","")&amp;IF($J300&gt;='Technical Premium'!$C$16,"Agreed value at or above auto-bind limit. ","")&amp;IF(AND(ISNUMBER($CD300),$CD300&gt;='Technical Premium'!$C$17),"Composite factor at cap. ","")&amp;IF(AND(ISNUMBER($CD300),$CD300&gt;2.5),"Composite factor above 2.50. ","")&amp;IF(LEFT(IFERROR(INDEX('Driver Factors'!$D$6:$D$15,MATCH($R300,'Driver Factors'!$B$6:$B$15,0)),""),7)="DECLINE","DECLINE - driver age. ",IF(LEFT(IFERROR(INDEX('Driver Factors'!$D$6:$D$15,MATCH($R300,'Driver Factors'!$B$6:$B$15,0)),""),5)="Refer","Driver age band. ",""))&amp;IF(LEFT(IFERROR(INDEX('Driver Factors'!$D$28:$D$36,MATCH($T300,'Driver Factors'!$B$28:$B$36,0)),""),7)="DECLINE","DECLINE - MVR. ",IF(LEFT(IFERROR(INDEX('Driver Factors'!$D$28:$D$36,MATCH($T300,'Driver Factors'!$B$28:$B$36,0)),""),5)="Refer","MVR record. ",""))&amp;IF(LEFT(IFERROR(INDEX('Claims History'!$D$6:$D$15,MATCH($U300,'Claims History'!$B$6:$B$15,0)),""),7)="DECLINE","DECLINE - claims. ",IF(LEFT(IFERROR(INDEX('Claims History'!$D$6:$D$15,MATCH($U300,'Claims History'!$B$6:$B$15,0)),""),5)="Refer","Claims history. ",""))&amp;IF(LEFT(IFERROR(INDEX('Usage and Coverage'!$E$6:$E$20,MATCH($N300,'Usage and Coverage'!$C$6:$C$20,0)),""),7)="DECLINE","DECLINE - usage class. ",IF(LEFT(IFERROR(INDEX('Usage and Coverage'!$E$6:$E$20,MATCH($N300,'Usage and Coverage'!$C$6:$C$20,0)),""),5)="Refer","Usage class. ",""))&amp;IF($CX300="CHECK INPUTS","Incomplete inputs. ",""))))</f>
        <v/>
      </c>
      <c r="DB300" s="92"/>
      <c r="DC300" s="92"/>
      <c r="DD300" s="93"/>
      <c r="DE300" s="92"/>
      <c r="DF300" s="92"/>
      <c r="DG300" s="97" t="str">
        <f t="shared" si="64"/>
        <v/>
      </c>
      <c r="DH300" s="97" t="str">
        <f>IF($A300="","",IF(OR($CX300="REFER",$CX300="DECLINE"),COUNTIF($CX$5:$CX300,"REFER")+COUNTIF($CX$5:$CX300,"DECLINE"),""))</f>
        <v/>
      </c>
      <c r="DI300" s="92"/>
    </row>
    <row r="301" spans="1:113" x14ac:dyDescent="0.25">
      <c r="A301" s="92"/>
      <c r="B301" s="92"/>
      <c r="C301" s="93"/>
      <c r="D301" s="93"/>
      <c r="E301" s="94"/>
      <c r="F301" s="92"/>
      <c r="G301" s="92"/>
      <c r="H301" s="92"/>
      <c r="I301" s="92"/>
      <c r="J301" s="95"/>
      <c r="K301" s="92"/>
      <c r="L301" s="92"/>
      <c r="M301" s="92"/>
      <c r="N301" s="92"/>
      <c r="O301" s="92"/>
      <c r="P301" s="92"/>
      <c r="Q301" s="92"/>
      <c r="R301" s="92"/>
      <c r="S301" s="92"/>
      <c r="T301" s="92"/>
      <c r="U301" s="92"/>
      <c r="V301" s="92"/>
      <c r="W301" s="92"/>
      <c r="X301" s="92"/>
      <c r="Y301" s="92"/>
      <c r="Z301" s="92"/>
      <c r="AA301" s="92"/>
      <c r="AB301" s="92"/>
      <c r="AC301" s="92"/>
      <c r="AD301" s="92"/>
      <c r="AE301" s="92"/>
      <c r="AF301" s="92"/>
      <c r="AG301" s="92"/>
      <c r="AH301" s="92"/>
      <c r="AI301" s="92"/>
      <c r="AJ301" s="92"/>
      <c r="AK301" s="92"/>
      <c r="AL301" s="92"/>
      <c r="AM301" s="92"/>
      <c r="AN301" s="92"/>
      <c r="AO301" s="92"/>
      <c r="AP301" s="92"/>
      <c r="AQ301" s="96"/>
      <c r="AR301" s="97" t="str">
        <f t="shared" si="52"/>
        <v/>
      </c>
      <c r="AS301" s="97" t="str">
        <f>IF($A301="","",IF($AP301&lt;&gt;"",$AP301,IFERROR(INDEX('Cat Zone by ZIP'!$D$6:$D$856,MATCH($AR301,'Cat Zone by ZIP'!$B$6:$B$856,0)),IFERROR(INDEX('Cat Zone by ZIP'!$C$860:$C$910,MATCH($K301,'Cat Zone by ZIP'!$B$860:$B$910,0)),"NOT FOUND"))))</f>
        <v/>
      </c>
      <c r="AT301" s="97" t="str">
        <f>IF($A301="","",IF($AP301&lt;&gt;"","Override",IF(ISNUMBER(MATCH($AR301,'Cat Zone by ZIP'!$B$6:$B$856,0)),"ZIP-3","State default")))</f>
        <v/>
      </c>
      <c r="AU301" s="98" t="str">
        <f>IF($A301="","",IFERROR(INDEX('Natural Catastrophe'!$D$6:$D$17,MATCH($AS301,'Natural Catastrophe'!$B$6:$B$17,0)),"?"))</f>
        <v/>
      </c>
      <c r="AV301" s="98" t="str">
        <f>IF($A301="","",IFERROR(INDEX('Natural Catastrophe'!$C$21:$C$26,MATCH($AA301,'Natural Catastrophe'!$B$21:$B$26,0)),"?"))</f>
        <v/>
      </c>
      <c r="AW301" s="97" t="str">
        <f>IF($A301="","",IFERROR(INDEX('Base Rates'!$C$4:$I$4,MATCH(MAX($J301,'Technical Premium'!$C$18),'Base Rates'!$C$3:$I$3,1)),"?"))</f>
        <v/>
      </c>
      <c r="AX301" s="99" t="str">
        <f>IF($A301="","",IFERROR(INDEX('Base Rates'!$C$5:$I$16,MATCH($I301,'Base Rates'!$B$5:$B$16,0),MATCH(MAX($J301,'Technical Premium'!$C$18),'Base Rates'!$C$3:$I$3,1)),"?"))</f>
        <v/>
      </c>
      <c r="AY301" s="100" t="str">
        <f t="shared" si="53"/>
        <v/>
      </c>
      <c r="AZ301" s="97" t="str">
        <f>IF($A301="","",IFERROR(INDEX('Make Factors'!$G$5:$G$69,MATCH($F301,'Make Factors'!$B$5:$B$69,0)),"?"))</f>
        <v/>
      </c>
      <c r="BA301" s="97" t="str">
        <f>IF($A301="","",IFERROR(INDEX('Driver Factors'!$C$6:$C$15,MATCH($R301,'Driver Factors'!$B$6:$B$15,0)),"?"))</f>
        <v/>
      </c>
      <c r="BB301" s="97" t="str">
        <f>IF($A301="","",IFERROR(INDEX('Driver Factors'!$C$19:$C$24,MATCH($S301,'Driver Factors'!$B$19:$B$24,0)),"?"))</f>
        <v/>
      </c>
      <c r="BC301" s="97" t="str">
        <f>IF($A301="","",IFERROR(INDEX('Driver Factors'!$C$28:$C$36,MATCH($T301,'Driver Factors'!$B$28:$B$36,0)),"?"))</f>
        <v/>
      </c>
      <c r="BD301" s="97" t="str">
        <f>IF($A301="","",IFERROR(INDEX('Claims History'!$C$6:$C$15,MATCH($U301,'Claims History'!$B$6:$B$15,0)),"?"))</f>
        <v/>
      </c>
      <c r="BE301" s="97" t="str">
        <f>IF($A301="","",IFERROR(INDEX('Territory Factors'!$E$6:$E$56,MATCH($K301,'Territory Factors'!$B$6:$B$56,0)),"?"))</f>
        <v/>
      </c>
      <c r="BF301" s="97" t="str">
        <f>IF($A301="","",IFERROR(INDEX('City Accident Ratings'!$G$6:$G$54,MATCH($Z301,'City Accident Ratings'!$B$6:$B$54,0)),"?"))</f>
        <v/>
      </c>
      <c r="BG301" s="97" t="str">
        <f>IF($A301="","",IFERROR(INDEX('Usage and Coverage'!$D$6:$D$20,MATCH($N301,'Usage and Coverage'!$C$6:$C$20,0)),"?"))</f>
        <v/>
      </c>
      <c r="BH301" s="97" t="str">
        <f>IF($A301="","",IFERROR(INDEX('Usage and Coverage'!$C$24:$C$30,MATCH($O301,'Usage and Coverage'!$B$24:$B$30,0)),"?"))</f>
        <v/>
      </c>
      <c r="BI301" s="97" t="str">
        <f>IF($A301="","",IFERROR(INDEX('Usage and Coverage'!$C$34:$C$40,MATCH($P301,'Usage and Coverage'!$B$34:$B$40,0)),"?"))</f>
        <v/>
      </c>
      <c r="BJ301" s="97" t="str">
        <f>IF($A301="","",IFERROR(INDEX('Usage and Coverage'!$C$44:$C$49,MATCH($Q301,'Usage and Coverage'!$B$44:$B$49,0)),"?"))</f>
        <v/>
      </c>
      <c r="BK301" s="97" t="str">
        <f>IF($A301="","",IFERROR(INDEX(Deductibles!$C$6:$I$15,MATCH($W301,Deductibles!$B$6:$B$15,0),MATCH(MAX($J301,'Technical Premium'!$C$18),'Base Rates'!$C$3:$I$3,1)),"?"))</f>
        <v/>
      </c>
      <c r="BL301" s="97" t="str">
        <f>IF($A301="","",IFERROR(INDEX('Usage and Coverage'!$C$63:$C$66,MATCH($X301,'Usage and Coverage'!$B$63:$B$66,0)),"?"))</f>
        <v/>
      </c>
      <c r="BM301" s="97" t="str">
        <f>IF($A301="","",IFERROR(INDEX('Usage and Coverage'!$C$70:$C$75,MATCH($V301,'Usage and Coverage'!$B$70:$B$75,0)),"?"))</f>
        <v/>
      </c>
      <c r="BN301" s="97" t="str">
        <f>IF($A301="","",IF($AB301="",1,IFERROR(INDEX(Deductibles!$C$48:$C$51,MATCH($AB301,Deductibles!$B$48:$B$51,0)),"?")))</f>
        <v/>
      </c>
      <c r="BO301" s="97" t="str">
        <f>IF($A301="","",IF($AC301="",1,IFERROR(INDEX(Deductibles!$C$55:$C$57,MATCH($AC301,Deductibles!$B$55:$B$57,0)),"?")))</f>
        <v/>
      </c>
      <c r="BP301" s="97" t="str">
        <f>IF($A301="","",IF($AD301="",1,IFERROR(INDEX(Deductibles!$C$61:$C$63,MATCH($AD301,Deductibles!$B$61:$B$63,0)),"?")))</f>
        <v/>
      </c>
      <c r="BQ301" s="97" t="str">
        <f>IF($A301="","",IF($AE301="",1,IFERROR(INDEX(Deductibles!$C$67:$C$69,MATCH($AE301,Deductibles!$B$67:$B$69,0)),"?")))</f>
        <v/>
      </c>
      <c r="BR301" s="97" t="str">
        <f>IF($A301="","",IF($AF301="",1,IFERROR(INDEX(Deductibles!$C$73:$C$74,MATCH($AF301,Deductibles!$B$73:$B$74,0)),"?")))</f>
        <v/>
      </c>
      <c r="BS301" s="97" t="str">
        <f>IF($A301="","",IF($AG301="",1,IFERROR(INDEX('Sublimits and Parts'!$C$49:$C$52,MATCH($AG301,'Sublimits and Parts'!$B$49:$B$52,0)),"?")))</f>
        <v/>
      </c>
      <c r="BT301" s="97" t="str">
        <f>IF($A301="","",IF($AH301="",1,IFERROR(INDEX('Sublimits and Parts'!$C$56:$C$60,MATCH($AH301,'Sublimits and Parts'!$B$56:$B$60,0)),"?")))</f>
        <v/>
      </c>
      <c r="BU301" s="97" t="str">
        <f>IF($A301="","",IF($AI301="",1,IFERROR(INDEX('Sublimits and Parts'!$C$64:$C$67,MATCH($AI301,'Sublimits and Parts'!$B$64:$B$67,0)),"?")))</f>
        <v/>
      </c>
      <c r="BV301" s="97" t="str">
        <f>IF($A301="","",IF($AJ301="",1,IFERROR(INDEX('Sublimits and Parts'!$C$71:$C$74,MATCH($AJ301,'Sublimits and Parts'!$B$71:$B$74,0)),"?")))</f>
        <v/>
      </c>
      <c r="BW301" s="97" t="str">
        <f>IF($A301="","",IF($AK301="",1,IFERROR(INDEX('Sublimits and Parts'!$C$78:$C$80,MATCH($AK301,'Sublimits and Parts'!$B$78:$B$80,0)),"?")))</f>
        <v/>
      </c>
      <c r="BX301" s="97" t="str">
        <f>IF($A301="","",IF($AL301="",1,IFERROR(INDEX('Sublimits and Parts'!$C$84:$C$87,MATCH($AL301,'Sublimits and Parts'!$B$84:$B$87,0)),"?")))</f>
        <v/>
      </c>
      <c r="BY301" s="97" t="str">
        <f>IF($A301="","",IF($AM301="",1,IFERROR(INDEX('Sublimits and Parts'!$C$91:$C$94,MATCH($AM301,'Sublimits and Parts'!$B$91:$B$94,0)),"?")))</f>
        <v/>
      </c>
      <c r="BZ301" s="97" t="str">
        <f>IF($A301="","",IF($AN301="",1,IFERROR(INDEX('Sublimits and Parts'!$C$98:$C$101,MATCH($AN301,'Sublimits and Parts'!$B$98:$B$101,0)),"?")))</f>
        <v/>
      </c>
      <c r="CA301" s="97" t="str">
        <f>IF($A301="","",IF($AO301="",1,IFERROR(INDEX('Sublimits and Parts'!$C$105:$C$109,MATCH($AO301,'Sublimits and Parts'!$B$105:$B$109,0)),"?")))</f>
        <v/>
      </c>
      <c r="CB301" s="98" t="str">
        <f t="shared" si="54"/>
        <v/>
      </c>
      <c r="CC301" s="98" t="str">
        <f t="shared" si="55"/>
        <v/>
      </c>
      <c r="CD301" s="101" t="str">
        <f>IF($A301="","",IF(OR($CB301="?",$CC301="?"),"?",MIN($CB301*$CC301,'Technical Premium'!$C$17)))</f>
        <v/>
      </c>
      <c r="CE301" s="100" t="str">
        <f t="shared" si="56"/>
        <v/>
      </c>
      <c r="CF301" s="100" t="str">
        <f>IF($A301="","",IFERROR(INDEX('Territory Factors'!$F$6:$F$56,MATCH($K301,'Territory Factors'!$B$6:$B$56,0)),"?"))</f>
        <v/>
      </c>
      <c r="CG301" s="98" t="str">
        <f>IF($A301="","",IFERROR(INDEX('Usage and Coverage'!$C$79:$C$84,MATCH($Y301,'Usage and Coverage'!$B$79:$B$84,0)),"?"))</f>
        <v/>
      </c>
      <c r="CH301" s="100" t="str">
        <f>IFERROR(IF(ISNUMBER($CD301),$CF301*$CG301*MIN($BG301*$BA301*$BC301*$BD301*$BH301*$BF301,'Technical Premium'!$C$17),""),"")</f>
        <v/>
      </c>
      <c r="CI301" s="100" t="str">
        <f t="shared" si="57"/>
        <v/>
      </c>
      <c r="CJ301" s="100" t="str">
        <f>IFERROR($CI301*(1+'Technical Premium'!$C$5)*(1+'Technical Premium'!$C$6),"")</f>
        <v/>
      </c>
      <c r="CK301" s="100" t="str">
        <f>IFERROR($CE301*INDEX('Territory Factors'!$G$6:$G$56,MATCH($K301,'Territory Factors'!$B$6:$B$56,0))*$AU301*$AV301,"")</f>
        <v/>
      </c>
      <c r="CL301" s="100" t="str">
        <f>IFERROR(($CJ301+$CK301)*(1+'Technical Premium'!$C$7),"")</f>
        <v/>
      </c>
      <c r="CM301" s="102" t="str">
        <f>IFERROR($CL301/'Technical Premium'!$C$13,"")</f>
        <v/>
      </c>
      <c r="CN301" s="103" t="str">
        <f t="shared" si="58"/>
        <v/>
      </c>
      <c r="CO301" s="102" t="str">
        <f t="shared" si="59"/>
        <v/>
      </c>
      <c r="CP301" s="103" t="str">
        <f t="shared" si="60"/>
        <v/>
      </c>
      <c r="CQ301" s="104" t="str">
        <f t="shared" si="61"/>
        <v/>
      </c>
      <c r="CR301" s="100" t="str">
        <f>IF(ISNUMBER($CM301),'Technical Premium'!$C$14+IF($J301&gt;=1000000,'Technical Premium'!$C$15,0),"")</f>
        <v/>
      </c>
      <c r="CS301" s="100" t="str">
        <f>IFERROR(($CO301+$CR301)*(INDEX('Territory Factors'!$K$6:$K$56,MATCH($K301,'Territory Factors'!$B$6:$B$56,0))+'Commission Structure'!$C$21),"")</f>
        <v/>
      </c>
      <c r="CT301" s="102" t="str">
        <f t="shared" si="62"/>
        <v/>
      </c>
      <c r="CU301" s="100" t="str">
        <f>IFERROR($CO301*('Commission Structure'!$C$6+'Commission Structure'!$C$7),"")</f>
        <v/>
      </c>
      <c r="CV301" s="100" t="str">
        <f>IFERROR($CO301*'Commission Structure'!$C$5-$CU301,"")</f>
        <v/>
      </c>
      <c r="CW301" s="100" t="str">
        <f>IFERROR($CO301*(1-'Commission Structure'!$C$5),"")</f>
        <v/>
      </c>
      <c r="CX301" s="105" t="str">
        <f>IF($A301="","",IF(OR($CB301="?",$CC301="?",NOT(ISNUMBER($AU301))),"CHECK INPUTS",IF(OR($J301&lt;'Technical Premium'!$C$18,LEFT(IFERROR(INDEX('Driver Factors'!$D$6:$D$15,MATCH($R301,'Driver Factors'!$B$6:$B$15,0)),""),7)="DECLINE",LEFT(IFERROR(INDEX('Driver Factors'!$D$28:$D$36,MATCH($T301,'Driver Factors'!$B$28:$B$36,0)),""),7)="DECLINE",LEFT(IFERROR(INDEX('Claims History'!$D$6:$D$15,MATCH($U301,'Claims History'!$B$6:$B$15,0)),""),7)="DECLINE",LEFT(IFERROR(INDEX('Usage and Coverage'!$E$6:$E$20,MATCH($N301,'Usage and Coverage'!$C$6:$C$20,0)),""),7)="DECLINE"),"DECLINE",IF(OR($CD301&gt;2.5,$CD301&gt;='Technical Premium'!$C$17,$J301&gt;='Technical Premium'!$C$16,N($AQ301)&lt;'Technical Premium'!$C$19,N($AQ301)&gt;'Technical Premium'!$C$20,LEFT(IFERROR(INDEX('Driver Factors'!$D$6:$D$15,MATCH($R301,'Driver Factors'!$B$6:$B$15,0)),""),5)="Refer",LEFT(IFERROR(INDEX('Driver Factors'!$D$28:$D$36,MATCH($T301,'Driver Factors'!$B$28:$B$36,0)),""),5)="Refer",LEFT(IFERROR(INDEX('Claims History'!$D$6:$D$15,MATCH($U301,'Claims History'!$B$6:$B$15,0)),""),5)="Refer",LEFT(IFERROR(INDEX('Usage and Coverage'!$E$6:$E$20,MATCH($N301,'Usage and Coverage'!$C$6:$C$20,0)),""),5)="Refer"),"REFER","AUTO-BIND"))))</f>
        <v/>
      </c>
      <c r="CY301" s="106" t="str">
        <f t="shared" si="63"/>
        <v/>
      </c>
      <c r="CZ301" s="97" t="str">
        <f>IF($CY301="","",IF($CY301&lt;'Technical Premium'!$C$19,"BEYOND AUTHORITY",IF($CY301&gt;0.005,"Above technical",IF($CY301&lt;-0.005,"BELOW technical","At technical"))))</f>
        <v/>
      </c>
      <c r="DA301" s="97" t="str">
        <f>IF($A301="","",IF($CX301="AUTO-BIND","",TRIM(IF($J301&lt;'Technical Premium'!$C$18,"Below programme minimum agreed value. ","")&amp;IF(N($AQ301)&lt;'Technical Premium'!$C$19,"DISCOUNT AUTHORITY BREACH. ","")&amp;IF(N($AQ301)&gt;'Technical Premium'!$C$20,"Load authority breach. ","")&amp;IF($J301&gt;='Technical Premium'!$C$16,"Agreed value at or above auto-bind limit. ","")&amp;IF(AND(ISNUMBER($CD301),$CD301&gt;='Technical Premium'!$C$17),"Composite factor at cap. ","")&amp;IF(AND(ISNUMBER($CD301),$CD301&gt;2.5),"Composite factor above 2.50. ","")&amp;IF(LEFT(IFERROR(INDEX('Driver Factors'!$D$6:$D$15,MATCH($R301,'Driver Factors'!$B$6:$B$15,0)),""),7)="DECLINE","DECLINE - driver age. ",IF(LEFT(IFERROR(INDEX('Driver Factors'!$D$6:$D$15,MATCH($R301,'Driver Factors'!$B$6:$B$15,0)),""),5)="Refer","Driver age band. ",""))&amp;IF(LEFT(IFERROR(INDEX('Driver Factors'!$D$28:$D$36,MATCH($T301,'Driver Factors'!$B$28:$B$36,0)),""),7)="DECLINE","DECLINE - MVR. ",IF(LEFT(IFERROR(INDEX('Driver Factors'!$D$28:$D$36,MATCH($T301,'Driver Factors'!$B$28:$B$36,0)),""),5)="Refer","MVR record. ",""))&amp;IF(LEFT(IFERROR(INDEX('Claims History'!$D$6:$D$15,MATCH($U301,'Claims History'!$B$6:$B$15,0)),""),7)="DECLINE","DECLINE - claims. ",IF(LEFT(IFERROR(INDEX('Claims History'!$D$6:$D$15,MATCH($U301,'Claims History'!$B$6:$B$15,0)),""),5)="Refer","Claims history. ",""))&amp;IF(LEFT(IFERROR(INDEX('Usage and Coverage'!$E$6:$E$20,MATCH($N301,'Usage and Coverage'!$C$6:$C$20,0)),""),7)="DECLINE","DECLINE - usage class. ",IF(LEFT(IFERROR(INDEX('Usage and Coverage'!$E$6:$E$20,MATCH($N301,'Usage and Coverage'!$C$6:$C$20,0)),""),5)="Refer","Usage class. ",""))&amp;IF($CX301="CHECK INPUTS","Incomplete inputs. ",""))))</f>
        <v/>
      </c>
      <c r="DB301" s="92"/>
      <c r="DC301" s="92"/>
      <c r="DD301" s="93"/>
      <c r="DE301" s="92"/>
      <c r="DF301" s="92"/>
      <c r="DG301" s="97" t="str">
        <f t="shared" si="64"/>
        <v/>
      </c>
      <c r="DH301" s="97" t="str">
        <f>IF($A301="","",IF(OR($CX301="REFER",$CX301="DECLINE"),COUNTIF($CX$5:$CX301,"REFER")+COUNTIF($CX$5:$CX301,"DECLINE"),""))</f>
        <v/>
      </c>
      <c r="DI301" s="92"/>
    </row>
    <row r="302" spans="1:113" x14ac:dyDescent="0.25">
      <c r="A302" s="92"/>
      <c r="B302" s="92"/>
      <c r="C302" s="93"/>
      <c r="D302" s="93"/>
      <c r="E302" s="94"/>
      <c r="F302" s="92"/>
      <c r="G302" s="92"/>
      <c r="H302" s="92"/>
      <c r="I302" s="92"/>
      <c r="J302" s="95"/>
      <c r="K302" s="92"/>
      <c r="L302" s="92"/>
      <c r="M302" s="92"/>
      <c r="N302" s="92"/>
      <c r="O302" s="92"/>
      <c r="P302" s="92"/>
      <c r="Q302" s="92"/>
      <c r="R302" s="92"/>
      <c r="S302" s="92"/>
      <c r="T302" s="92"/>
      <c r="U302" s="92"/>
      <c r="V302" s="92"/>
      <c r="W302" s="92"/>
      <c r="X302" s="92"/>
      <c r="Y302" s="92"/>
      <c r="Z302" s="92"/>
      <c r="AA302" s="92"/>
      <c r="AB302" s="92"/>
      <c r="AC302" s="92"/>
      <c r="AD302" s="92"/>
      <c r="AE302" s="92"/>
      <c r="AF302" s="92"/>
      <c r="AG302" s="92"/>
      <c r="AH302" s="92"/>
      <c r="AI302" s="92"/>
      <c r="AJ302" s="92"/>
      <c r="AK302" s="92"/>
      <c r="AL302" s="92"/>
      <c r="AM302" s="92"/>
      <c r="AN302" s="92"/>
      <c r="AO302" s="92"/>
      <c r="AP302" s="92"/>
      <c r="AQ302" s="96"/>
      <c r="AR302" s="97" t="str">
        <f t="shared" si="52"/>
        <v/>
      </c>
      <c r="AS302" s="97" t="str">
        <f>IF($A302="","",IF($AP302&lt;&gt;"",$AP302,IFERROR(INDEX('Cat Zone by ZIP'!$D$6:$D$856,MATCH($AR302,'Cat Zone by ZIP'!$B$6:$B$856,0)),IFERROR(INDEX('Cat Zone by ZIP'!$C$860:$C$910,MATCH($K302,'Cat Zone by ZIP'!$B$860:$B$910,0)),"NOT FOUND"))))</f>
        <v/>
      </c>
      <c r="AT302" s="97" t="str">
        <f>IF($A302="","",IF($AP302&lt;&gt;"","Override",IF(ISNUMBER(MATCH($AR302,'Cat Zone by ZIP'!$B$6:$B$856,0)),"ZIP-3","State default")))</f>
        <v/>
      </c>
      <c r="AU302" s="98" t="str">
        <f>IF($A302="","",IFERROR(INDEX('Natural Catastrophe'!$D$6:$D$17,MATCH($AS302,'Natural Catastrophe'!$B$6:$B$17,0)),"?"))</f>
        <v/>
      </c>
      <c r="AV302" s="98" t="str">
        <f>IF($A302="","",IFERROR(INDEX('Natural Catastrophe'!$C$21:$C$26,MATCH($AA302,'Natural Catastrophe'!$B$21:$B$26,0)),"?"))</f>
        <v/>
      </c>
      <c r="AW302" s="97" t="str">
        <f>IF($A302="","",IFERROR(INDEX('Base Rates'!$C$4:$I$4,MATCH(MAX($J302,'Technical Premium'!$C$18),'Base Rates'!$C$3:$I$3,1)),"?"))</f>
        <v/>
      </c>
      <c r="AX302" s="99" t="str">
        <f>IF($A302="","",IFERROR(INDEX('Base Rates'!$C$5:$I$16,MATCH($I302,'Base Rates'!$B$5:$B$16,0),MATCH(MAX($J302,'Technical Premium'!$C$18),'Base Rates'!$C$3:$I$3,1)),"?"))</f>
        <v/>
      </c>
      <c r="AY302" s="100" t="str">
        <f t="shared" si="53"/>
        <v/>
      </c>
      <c r="AZ302" s="97" t="str">
        <f>IF($A302="","",IFERROR(INDEX('Make Factors'!$G$5:$G$69,MATCH($F302,'Make Factors'!$B$5:$B$69,0)),"?"))</f>
        <v/>
      </c>
      <c r="BA302" s="97" t="str">
        <f>IF($A302="","",IFERROR(INDEX('Driver Factors'!$C$6:$C$15,MATCH($R302,'Driver Factors'!$B$6:$B$15,0)),"?"))</f>
        <v/>
      </c>
      <c r="BB302" s="97" t="str">
        <f>IF($A302="","",IFERROR(INDEX('Driver Factors'!$C$19:$C$24,MATCH($S302,'Driver Factors'!$B$19:$B$24,0)),"?"))</f>
        <v/>
      </c>
      <c r="BC302" s="97" t="str">
        <f>IF($A302="","",IFERROR(INDEX('Driver Factors'!$C$28:$C$36,MATCH($T302,'Driver Factors'!$B$28:$B$36,0)),"?"))</f>
        <v/>
      </c>
      <c r="BD302" s="97" t="str">
        <f>IF($A302="","",IFERROR(INDEX('Claims History'!$C$6:$C$15,MATCH($U302,'Claims History'!$B$6:$B$15,0)),"?"))</f>
        <v/>
      </c>
      <c r="BE302" s="97" t="str">
        <f>IF($A302="","",IFERROR(INDEX('Territory Factors'!$E$6:$E$56,MATCH($K302,'Territory Factors'!$B$6:$B$56,0)),"?"))</f>
        <v/>
      </c>
      <c r="BF302" s="97" t="str">
        <f>IF($A302="","",IFERROR(INDEX('City Accident Ratings'!$G$6:$G$54,MATCH($Z302,'City Accident Ratings'!$B$6:$B$54,0)),"?"))</f>
        <v/>
      </c>
      <c r="BG302" s="97" t="str">
        <f>IF($A302="","",IFERROR(INDEX('Usage and Coverage'!$D$6:$D$20,MATCH($N302,'Usage and Coverage'!$C$6:$C$20,0)),"?"))</f>
        <v/>
      </c>
      <c r="BH302" s="97" t="str">
        <f>IF($A302="","",IFERROR(INDEX('Usage and Coverage'!$C$24:$C$30,MATCH($O302,'Usage and Coverage'!$B$24:$B$30,0)),"?"))</f>
        <v/>
      </c>
      <c r="BI302" s="97" t="str">
        <f>IF($A302="","",IFERROR(INDEX('Usage and Coverage'!$C$34:$C$40,MATCH($P302,'Usage and Coverage'!$B$34:$B$40,0)),"?"))</f>
        <v/>
      </c>
      <c r="BJ302" s="97" t="str">
        <f>IF($A302="","",IFERROR(INDEX('Usage and Coverage'!$C$44:$C$49,MATCH($Q302,'Usage and Coverage'!$B$44:$B$49,0)),"?"))</f>
        <v/>
      </c>
      <c r="BK302" s="97" t="str">
        <f>IF($A302="","",IFERROR(INDEX(Deductibles!$C$6:$I$15,MATCH($W302,Deductibles!$B$6:$B$15,0),MATCH(MAX($J302,'Technical Premium'!$C$18),'Base Rates'!$C$3:$I$3,1)),"?"))</f>
        <v/>
      </c>
      <c r="BL302" s="97" t="str">
        <f>IF($A302="","",IFERROR(INDEX('Usage and Coverage'!$C$63:$C$66,MATCH($X302,'Usage and Coverage'!$B$63:$B$66,0)),"?"))</f>
        <v/>
      </c>
      <c r="BM302" s="97" t="str">
        <f>IF($A302="","",IFERROR(INDEX('Usage and Coverage'!$C$70:$C$75,MATCH($V302,'Usage and Coverage'!$B$70:$B$75,0)),"?"))</f>
        <v/>
      </c>
      <c r="BN302" s="97" t="str">
        <f>IF($A302="","",IF($AB302="",1,IFERROR(INDEX(Deductibles!$C$48:$C$51,MATCH($AB302,Deductibles!$B$48:$B$51,0)),"?")))</f>
        <v/>
      </c>
      <c r="BO302" s="97" t="str">
        <f>IF($A302="","",IF($AC302="",1,IFERROR(INDEX(Deductibles!$C$55:$C$57,MATCH($AC302,Deductibles!$B$55:$B$57,0)),"?")))</f>
        <v/>
      </c>
      <c r="BP302" s="97" t="str">
        <f>IF($A302="","",IF($AD302="",1,IFERROR(INDEX(Deductibles!$C$61:$C$63,MATCH($AD302,Deductibles!$B$61:$B$63,0)),"?")))</f>
        <v/>
      </c>
      <c r="BQ302" s="97" t="str">
        <f>IF($A302="","",IF($AE302="",1,IFERROR(INDEX(Deductibles!$C$67:$C$69,MATCH($AE302,Deductibles!$B$67:$B$69,0)),"?")))</f>
        <v/>
      </c>
      <c r="BR302" s="97" t="str">
        <f>IF($A302="","",IF($AF302="",1,IFERROR(INDEX(Deductibles!$C$73:$C$74,MATCH($AF302,Deductibles!$B$73:$B$74,0)),"?")))</f>
        <v/>
      </c>
      <c r="BS302" s="97" t="str">
        <f>IF($A302="","",IF($AG302="",1,IFERROR(INDEX('Sublimits and Parts'!$C$49:$C$52,MATCH($AG302,'Sublimits and Parts'!$B$49:$B$52,0)),"?")))</f>
        <v/>
      </c>
      <c r="BT302" s="97" t="str">
        <f>IF($A302="","",IF($AH302="",1,IFERROR(INDEX('Sublimits and Parts'!$C$56:$C$60,MATCH($AH302,'Sublimits and Parts'!$B$56:$B$60,0)),"?")))</f>
        <v/>
      </c>
      <c r="BU302" s="97" t="str">
        <f>IF($A302="","",IF($AI302="",1,IFERROR(INDEX('Sublimits and Parts'!$C$64:$C$67,MATCH($AI302,'Sublimits and Parts'!$B$64:$B$67,0)),"?")))</f>
        <v/>
      </c>
      <c r="BV302" s="97" t="str">
        <f>IF($A302="","",IF($AJ302="",1,IFERROR(INDEX('Sublimits and Parts'!$C$71:$C$74,MATCH($AJ302,'Sublimits and Parts'!$B$71:$B$74,0)),"?")))</f>
        <v/>
      </c>
      <c r="BW302" s="97" t="str">
        <f>IF($A302="","",IF($AK302="",1,IFERROR(INDEX('Sublimits and Parts'!$C$78:$C$80,MATCH($AK302,'Sublimits and Parts'!$B$78:$B$80,0)),"?")))</f>
        <v/>
      </c>
      <c r="BX302" s="97" t="str">
        <f>IF($A302="","",IF($AL302="",1,IFERROR(INDEX('Sublimits and Parts'!$C$84:$C$87,MATCH($AL302,'Sublimits and Parts'!$B$84:$B$87,0)),"?")))</f>
        <v/>
      </c>
      <c r="BY302" s="97" t="str">
        <f>IF($A302="","",IF($AM302="",1,IFERROR(INDEX('Sublimits and Parts'!$C$91:$C$94,MATCH($AM302,'Sublimits and Parts'!$B$91:$B$94,0)),"?")))</f>
        <v/>
      </c>
      <c r="BZ302" s="97" t="str">
        <f>IF($A302="","",IF($AN302="",1,IFERROR(INDEX('Sublimits and Parts'!$C$98:$C$101,MATCH($AN302,'Sublimits and Parts'!$B$98:$B$101,0)),"?")))</f>
        <v/>
      </c>
      <c r="CA302" s="97" t="str">
        <f>IF($A302="","",IF($AO302="",1,IFERROR(INDEX('Sublimits and Parts'!$C$105:$C$109,MATCH($AO302,'Sublimits and Parts'!$B$105:$B$109,0)),"?")))</f>
        <v/>
      </c>
      <c r="CB302" s="98" t="str">
        <f t="shared" si="54"/>
        <v/>
      </c>
      <c r="CC302" s="98" t="str">
        <f t="shared" si="55"/>
        <v/>
      </c>
      <c r="CD302" s="101" t="str">
        <f>IF($A302="","",IF(OR($CB302="?",$CC302="?"),"?",MIN($CB302*$CC302,'Technical Premium'!$C$17)))</f>
        <v/>
      </c>
      <c r="CE302" s="100" t="str">
        <f t="shared" si="56"/>
        <v/>
      </c>
      <c r="CF302" s="100" t="str">
        <f>IF($A302="","",IFERROR(INDEX('Territory Factors'!$F$6:$F$56,MATCH($K302,'Territory Factors'!$B$6:$B$56,0)),"?"))</f>
        <v/>
      </c>
      <c r="CG302" s="98" t="str">
        <f>IF($A302="","",IFERROR(INDEX('Usage and Coverage'!$C$79:$C$84,MATCH($Y302,'Usage and Coverage'!$B$79:$B$84,0)),"?"))</f>
        <v/>
      </c>
      <c r="CH302" s="100" t="str">
        <f>IFERROR(IF(ISNUMBER($CD302),$CF302*$CG302*MIN($BG302*$BA302*$BC302*$BD302*$BH302*$BF302,'Technical Premium'!$C$17),""),"")</f>
        <v/>
      </c>
      <c r="CI302" s="100" t="str">
        <f t="shared" si="57"/>
        <v/>
      </c>
      <c r="CJ302" s="100" t="str">
        <f>IFERROR($CI302*(1+'Technical Premium'!$C$5)*(1+'Technical Premium'!$C$6),"")</f>
        <v/>
      </c>
      <c r="CK302" s="100" t="str">
        <f>IFERROR($CE302*INDEX('Territory Factors'!$G$6:$G$56,MATCH($K302,'Territory Factors'!$B$6:$B$56,0))*$AU302*$AV302,"")</f>
        <v/>
      </c>
      <c r="CL302" s="100" t="str">
        <f>IFERROR(($CJ302+$CK302)*(1+'Technical Premium'!$C$7),"")</f>
        <v/>
      </c>
      <c r="CM302" s="102" t="str">
        <f>IFERROR($CL302/'Technical Premium'!$C$13,"")</f>
        <v/>
      </c>
      <c r="CN302" s="103" t="str">
        <f t="shared" si="58"/>
        <v/>
      </c>
      <c r="CO302" s="102" t="str">
        <f t="shared" si="59"/>
        <v/>
      </c>
      <c r="CP302" s="103" t="str">
        <f t="shared" si="60"/>
        <v/>
      </c>
      <c r="CQ302" s="104" t="str">
        <f t="shared" si="61"/>
        <v/>
      </c>
      <c r="CR302" s="100" t="str">
        <f>IF(ISNUMBER($CM302),'Technical Premium'!$C$14+IF($J302&gt;=1000000,'Technical Premium'!$C$15,0),"")</f>
        <v/>
      </c>
      <c r="CS302" s="100" t="str">
        <f>IFERROR(($CO302+$CR302)*(INDEX('Territory Factors'!$K$6:$K$56,MATCH($K302,'Territory Factors'!$B$6:$B$56,0))+'Commission Structure'!$C$21),"")</f>
        <v/>
      </c>
      <c r="CT302" s="102" t="str">
        <f t="shared" si="62"/>
        <v/>
      </c>
      <c r="CU302" s="100" t="str">
        <f>IFERROR($CO302*('Commission Structure'!$C$6+'Commission Structure'!$C$7),"")</f>
        <v/>
      </c>
      <c r="CV302" s="100" t="str">
        <f>IFERROR($CO302*'Commission Structure'!$C$5-$CU302,"")</f>
        <v/>
      </c>
      <c r="CW302" s="100" t="str">
        <f>IFERROR($CO302*(1-'Commission Structure'!$C$5),"")</f>
        <v/>
      </c>
      <c r="CX302" s="105" t="str">
        <f>IF($A302="","",IF(OR($CB302="?",$CC302="?",NOT(ISNUMBER($AU302))),"CHECK INPUTS",IF(OR($J302&lt;'Technical Premium'!$C$18,LEFT(IFERROR(INDEX('Driver Factors'!$D$6:$D$15,MATCH($R302,'Driver Factors'!$B$6:$B$15,0)),""),7)="DECLINE",LEFT(IFERROR(INDEX('Driver Factors'!$D$28:$D$36,MATCH($T302,'Driver Factors'!$B$28:$B$36,0)),""),7)="DECLINE",LEFT(IFERROR(INDEX('Claims History'!$D$6:$D$15,MATCH($U302,'Claims History'!$B$6:$B$15,0)),""),7)="DECLINE",LEFT(IFERROR(INDEX('Usage and Coverage'!$E$6:$E$20,MATCH($N302,'Usage and Coverage'!$C$6:$C$20,0)),""),7)="DECLINE"),"DECLINE",IF(OR($CD302&gt;2.5,$CD302&gt;='Technical Premium'!$C$17,$J302&gt;='Technical Premium'!$C$16,N($AQ302)&lt;'Technical Premium'!$C$19,N($AQ302)&gt;'Technical Premium'!$C$20,LEFT(IFERROR(INDEX('Driver Factors'!$D$6:$D$15,MATCH($R302,'Driver Factors'!$B$6:$B$15,0)),""),5)="Refer",LEFT(IFERROR(INDEX('Driver Factors'!$D$28:$D$36,MATCH($T302,'Driver Factors'!$B$28:$B$36,0)),""),5)="Refer",LEFT(IFERROR(INDEX('Claims History'!$D$6:$D$15,MATCH($U302,'Claims History'!$B$6:$B$15,0)),""),5)="Refer",LEFT(IFERROR(INDEX('Usage and Coverage'!$E$6:$E$20,MATCH($N302,'Usage and Coverage'!$C$6:$C$20,0)),""),5)="Refer"),"REFER","AUTO-BIND"))))</f>
        <v/>
      </c>
      <c r="CY302" s="106" t="str">
        <f t="shared" si="63"/>
        <v/>
      </c>
      <c r="CZ302" s="97" t="str">
        <f>IF($CY302="","",IF($CY302&lt;'Technical Premium'!$C$19,"BEYOND AUTHORITY",IF($CY302&gt;0.005,"Above technical",IF($CY302&lt;-0.005,"BELOW technical","At technical"))))</f>
        <v/>
      </c>
      <c r="DA302" s="97" t="str">
        <f>IF($A302="","",IF($CX302="AUTO-BIND","",TRIM(IF($J302&lt;'Technical Premium'!$C$18,"Below programme minimum agreed value. ","")&amp;IF(N($AQ302)&lt;'Technical Premium'!$C$19,"DISCOUNT AUTHORITY BREACH. ","")&amp;IF(N($AQ302)&gt;'Technical Premium'!$C$20,"Load authority breach. ","")&amp;IF($J302&gt;='Technical Premium'!$C$16,"Agreed value at or above auto-bind limit. ","")&amp;IF(AND(ISNUMBER($CD302),$CD302&gt;='Technical Premium'!$C$17),"Composite factor at cap. ","")&amp;IF(AND(ISNUMBER($CD302),$CD302&gt;2.5),"Composite factor above 2.50. ","")&amp;IF(LEFT(IFERROR(INDEX('Driver Factors'!$D$6:$D$15,MATCH($R302,'Driver Factors'!$B$6:$B$15,0)),""),7)="DECLINE","DECLINE - driver age. ",IF(LEFT(IFERROR(INDEX('Driver Factors'!$D$6:$D$15,MATCH($R302,'Driver Factors'!$B$6:$B$15,0)),""),5)="Refer","Driver age band. ",""))&amp;IF(LEFT(IFERROR(INDEX('Driver Factors'!$D$28:$D$36,MATCH($T302,'Driver Factors'!$B$28:$B$36,0)),""),7)="DECLINE","DECLINE - MVR. ",IF(LEFT(IFERROR(INDEX('Driver Factors'!$D$28:$D$36,MATCH($T302,'Driver Factors'!$B$28:$B$36,0)),""),5)="Refer","MVR record. ",""))&amp;IF(LEFT(IFERROR(INDEX('Claims History'!$D$6:$D$15,MATCH($U302,'Claims History'!$B$6:$B$15,0)),""),7)="DECLINE","DECLINE - claims. ",IF(LEFT(IFERROR(INDEX('Claims History'!$D$6:$D$15,MATCH($U302,'Claims History'!$B$6:$B$15,0)),""),5)="Refer","Claims history. ",""))&amp;IF(LEFT(IFERROR(INDEX('Usage and Coverage'!$E$6:$E$20,MATCH($N302,'Usage and Coverage'!$C$6:$C$20,0)),""),7)="DECLINE","DECLINE - usage class. ",IF(LEFT(IFERROR(INDEX('Usage and Coverage'!$E$6:$E$20,MATCH($N302,'Usage and Coverage'!$C$6:$C$20,0)),""),5)="Refer","Usage class. ",""))&amp;IF($CX302="CHECK INPUTS","Incomplete inputs. ",""))))</f>
        <v/>
      </c>
      <c r="DB302" s="92"/>
      <c r="DC302" s="92"/>
      <c r="DD302" s="93"/>
      <c r="DE302" s="92"/>
      <c r="DF302" s="92"/>
      <c r="DG302" s="97" t="str">
        <f t="shared" si="64"/>
        <v/>
      </c>
      <c r="DH302" s="97" t="str">
        <f>IF($A302="","",IF(OR($CX302="REFER",$CX302="DECLINE"),COUNTIF($CX$5:$CX302,"REFER")+COUNTIF($CX$5:$CX302,"DECLINE"),""))</f>
        <v/>
      </c>
      <c r="DI302" s="92"/>
    </row>
    <row r="303" spans="1:113" x14ac:dyDescent="0.25">
      <c r="A303" s="92"/>
      <c r="B303" s="92"/>
      <c r="C303" s="93"/>
      <c r="D303" s="93"/>
      <c r="E303" s="94"/>
      <c r="F303" s="92"/>
      <c r="G303" s="92"/>
      <c r="H303" s="92"/>
      <c r="I303" s="92"/>
      <c r="J303" s="95"/>
      <c r="K303" s="92"/>
      <c r="L303" s="92"/>
      <c r="M303" s="92"/>
      <c r="N303" s="92"/>
      <c r="O303" s="92"/>
      <c r="P303" s="92"/>
      <c r="Q303" s="92"/>
      <c r="R303" s="92"/>
      <c r="S303" s="92"/>
      <c r="T303" s="92"/>
      <c r="U303" s="92"/>
      <c r="V303" s="92"/>
      <c r="W303" s="92"/>
      <c r="X303" s="92"/>
      <c r="Y303" s="92"/>
      <c r="Z303" s="92"/>
      <c r="AA303" s="92"/>
      <c r="AB303" s="92"/>
      <c r="AC303" s="92"/>
      <c r="AD303" s="92"/>
      <c r="AE303" s="92"/>
      <c r="AF303" s="92"/>
      <c r="AG303" s="92"/>
      <c r="AH303" s="92"/>
      <c r="AI303" s="92"/>
      <c r="AJ303" s="92"/>
      <c r="AK303" s="92"/>
      <c r="AL303" s="92"/>
      <c r="AM303" s="92"/>
      <c r="AN303" s="92"/>
      <c r="AO303" s="92"/>
      <c r="AP303" s="92"/>
      <c r="AQ303" s="96"/>
      <c r="AR303" s="97" t="str">
        <f t="shared" si="52"/>
        <v/>
      </c>
      <c r="AS303" s="97" t="str">
        <f>IF($A303="","",IF($AP303&lt;&gt;"",$AP303,IFERROR(INDEX('Cat Zone by ZIP'!$D$6:$D$856,MATCH($AR303,'Cat Zone by ZIP'!$B$6:$B$856,0)),IFERROR(INDEX('Cat Zone by ZIP'!$C$860:$C$910,MATCH($K303,'Cat Zone by ZIP'!$B$860:$B$910,0)),"NOT FOUND"))))</f>
        <v/>
      </c>
      <c r="AT303" s="97" t="str">
        <f>IF($A303="","",IF($AP303&lt;&gt;"","Override",IF(ISNUMBER(MATCH($AR303,'Cat Zone by ZIP'!$B$6:$B$856,0)),"ZIP-3","State default")))</f>
        <v/>
      </c>
      <c r="AU303" s="98" t="str">
        <f>IF($A303="","",IFERROR(INDEX('Natural Catastrophe'!$D$6:$D$17,MATCH($AS303,'Natural Catastrophe'!$B$6:$B$17,0)),"?"))</f>
        <v/>
      </c>
      <c r="AV303" s="98" t="str">
        <f>IF($A303="","",IFERROR(INDEX('Natural Catastrophe'!$C$21:$C$26,MATCH($AA303,'Natural Catastrophe'!$B$21:$B$26,0)),"?"))</f>
        <v/>
      </c>
      <c r="AW303" s="97" t="str">
        <f>IF($A303="","",IFERROR(INDEX('Base Rates'!$C$4:$I$4,MATCH(MAX($J303,'Technical Premium'!$C$18),'Base Rates'!$C$3:$I$3,1)),"?"))</f>
        <v/>
      </c>
      <c r="AX303" s="99" t="str">
        <f>IF($A303="","",IFERROR(INDEX('Base Rates'!$C$5:$I$16,MATCH($I303,'Base Rates'!$B$5:$B$16,0),MATCH(MAX($J303,'Technical Premium'!$C$18),'Base Rates'!$C$3:$I$3,1)),"?"))</f>
        <v/>
      </c>
      <c r="AY303" s="100" t="str">
        <f t="shared" si="53"/>
        <v/>
      </c>
      <c r="AZ303" s="97" t="str">
        <f>IF($A303="","",IFERROR(INDEX('Make Factors'!$G$5:$G$69,MATCH($F303,'Make Factors'!$B$5:$B$69,0)),"?"))</f>
        <v/>
      </c>
      <c r="BA303" s="97" t="str">
        <f>IF($A303="","",IFERROR(INDEX('Driver Factors'!$C$6:$C$15,MATCH($R303,'Driver Factors'!$B$6:$B$15,0)),"?"))</f>
        <v/>
      </c>
      <c r="BB303" s="97" t="str">
        <f>IF($A303="","",IFERROR(INDEX('Driver Factors'!$C$19:$C$24,MATCH($S303,'Driver Factors'!$B$19:$B$24,0)),"?"))</f>
        <v/>
      </c>
      <c r="BC303" s="97" t="str">
        <f>IF($A303="","",IFERROR(INDEX('Driver Factors'!$C$28:$C$36,MATCH($T303,'Driver Factors'!$B$28:$B$36,0)),"?"))</f>
        <v/>
      </c>
      <c r="BD303" s="97" t="str">
        <f>IF($A303="","",IFERROR(INDEX('Claims History'!$C$6:$C$15,MATCH($U303,'Claims History'!$B$6:$B$15,0)),"?"))</f>
        <v/>
      </c>
      <c r="BE303" s="97" t="str">
        <f>IF($A303="","",IFERROR(INDEX('Territory Factors'!$E$6:$E$56,MATCH($K303,'Territory Factors'!$B$6:$B$56,0)),"?"))</f>
        <v/>
      </c>
      <c r="BF303" s="97" t="str">
        <f>IF($A303="","",IFERROR(INDEX('City Accident Ratings'!$G$6:$G$54,MATCH($Z303,'City Accident Ratings'!$B$6:$B$54,0)),"?"))</f>
        <v/>
      </c>
      <c r="BG303" s="97" t="str">
        <f>IF($A303="","",IFERROR(INDEX('Usage and Coverage'!$D$6:$D$20,MATCH($N303,'Usage and Coverage'!$C$6:$C$20,0)),"?"))</f>
        <v/>
      </c>
      <c r="BH303" s="97" t="str">
        <f>IF($A303="","",IFERROR(INDEX('Usage and Coverage'!$C$24:$C$30,MATCH($O303,'Usage and Coverage'!$B$24:$B$30,0)),"?"))</f>
        <v/>
      </c>
      <c r="BI303" s="97" t="str">
        <f>IF($A303="","",IFERROR(INDEX('Usage and Coverage'!$C$34:$C$40,MATCH($P303,'Usage and Coverage'!$B$34:$B$40,0)),"?"))</f>
        <v/>
      </c>
      <c r="BJ303" s="97" t="str">
        <f>IF($A303="","",IFERROR(INDEX('Usage and Coverage'!$C$44:$C$49,MATCH($Q303,'Usage and Coverage'!$B$44:$B$49,0)),"?"))</f>
        <v/>
      </c>
      <c r="BK303" s="97" t="str">
        <f>IF($A303="","",IFERROR(INDEX(Deductibles!$C$6:$I$15,MATCH($W303,Deductibles!$B$6:$B$15,0),MATCH(MAX($J303,'Technical Premium'!$C$18),'Base Rates'!$C$3:$I$3,1)),"?"))</f>
        <v/>
      </c>
      <c r="BL303" s="97" t="str">
        <f>IF($A303="","",IFERROR(INDEX('Usage and Coverage'!$C$63:$C$66,MATCH($X303,'Usage and Coverage'!$B$63:$B$66,0)),"?"))</f>
        <v/>
      </c>
      <c r="BM303" s="97" t="str">
        <f>IF($A303="","",IFERROR(INDEX('Usage and Coverage'!$C$70:$C$75,MATCH($V303,'Usage and Coverage'!$B$70:$B$75,0)),"?"))</f>
        <v/>
      </c>
      <c r="BN303" s="97" t="str">
        <f>IF($A303="","",IF($AB303="",1,IFERROR(INDEX(Deductibles!$C$48:$C$51,MATCH($AB303,Deductibles!$B$48:$B$51,0)),"?")))</f>
        <v/>
      </c>
      <c r="BO303" s="97" t="str">
        <f>IF($A303="","",IF($AC303="",1,IFERROR(INDEX(Deductibles!$C$55:$C$57,MATCH($AC303,Deductibles!$B$55:$B$57,0)),"?")))</f>
        <v/>
      </c>
      <c r="BP303" s="97" t="str">
        <f>IF($A303="","",IF($AD303="",1,IFERROR(INDEX(Deductibles!$C$61:$C$63,MATCH($AD303,Deductibles!$B$61:$B$63,0)),"?")))</f>
        <v/>
      </c>
      <c r="BQ303" s="97" t="str">
        <f>IF($A303="","",IF($AE303="",1,IFERROR(INDEX(Deductibles!$C$67:$C$69,MATCH($AE303,Deductibles!$B$67:$B$69,0)),"?")))</f>
        <v/>
      </c>
      <c r="BR303" s="97" t="str">
        <f>IF($A303="","",IF($AF303="",1,IFERROR(INDEX(Deductibles!$C$73:$C$74,MATCH($AF303,Deductibles!$B$73:$B$74,0)),"?")))</f>
        <v/>
      </c>
      <c r="BS303" s="97" t="str">
        <f>IF($A303="","",IF($AG303="",1,IFERROR(INDEX('Sublimits and Parts'!$C$49:$C$52,MATCH($AG303,'Sublimits and Parts'!$B$49:$B$52,0)),"?")))</f>
        <v/>
      </c>
      <c r="BT303" s="97" t="str">
        <f>IF($A303="","",IF($AH303="",1,IFERROR(INDEX('Sublimits and Parts'!$C$56:$C$60,MATCH($AH303,'Sublimits and Parts'!$B$56:$B$60,0)),"?")))</f>
        <v/>
      </c>
      <c r="BU303" s="97" t="str">
        <f>IF($A303="","",IF($AI303="",1,IFERROR(INDEX('Sublimits and Parts'!$C$64:$C$67,MATCH($AI303,'Sublimits and Parts'!$B$64:$B$67,0)),"?")))</f>
        <v/>
      </c>
      <c r="BV303" s="97" t="str">
        <f>IF($A303="","",IF($AJ303="",1,IFERROR(INDEX('Sublimits and Parts'!$C$71:$C$74,MATCH($AJ303,'Sublimits and Parts'!$B$71:$B$74,0)),"?")))</f>
        <v/>
      </c>
      <c r="BW303" s="97" t="str">
        <f>IF($A303="","",IF($AK303="",1,IFERROR(INDEX('Sublimits and Parts'!$C$78:$C$80,MATCH($AK303,'Sublimits and Parts'!$B$78:$B$80,0)),"?")))</f>
        <v/>
      </c>
      <c r="BX303" s="97" t="str">
        <f>IF($A303="","",IF($AL303="",1,IFERROR(INDEX('Sublimits and Parts'!$C$84:$C$87,MATCH($AL303,'Sublimits and Parts'!$B$84:$B$87,0)),"?")))</f>
        <v/>
      </c>
      <c r="BY303" s="97" t="str">
        <f>IF($A303="","",IF($AM303="",1,IFERROR(INDEX('Sublimits and Parts'!$C$91:$C$94,MATCH($AM303,'Sublimits and Parts'!$B$91:$B$94,0)),"?")))</f>
        <v/>
      </c>
      <c r="BZ303" s="97" t="str">
        <f>IF($A303="","",IF($AN303="",1,IFERROR(INDEX('Sublimits and Parts'!$C$98:$C$101,MATCH($AN303,'Sublimits and Parts'!$B$98:$B$101,0)),"?")))</f>
        <v/>
      </c>
      <c r="CA303" s="97" t="str">
        <f>IF($A303="","",IF($AO303="",1,IFERROR(INDEX('Sublimits and Parts'!$C$105:$C$109,MATCH($AO303,'Sublimits and Parts'!$B$105:$B$109,0)),"?")))</f>
        <v/>
      </c>
      <c r="CB303" s="98" t="str">
        <f t="shared" si="54"/>
        <v/>
      </c>
      <c r="CC303" s="98" t="str">
        <f t="shared" si="55"/>
        <v/>
      </c>
      <c r="CD303" s="101" t="str">
        <f>IF($A303="","",IF(OR($CB303="?",$CC303="?"),"?",MIN($CB303*$CC303,'Technical Premium'!$C$17)))</f>
        <v/>
      </c>
      <c r="CE303" s="100" t="str">
        <f t="shared" si="56"/>
        <v/>
      </c>
      <c r="CF303" s="100" t="str">
        <f>IF($A303="","",IFERROR(INDEX('Territory Factors'!$F$6:$F$56,MATCH($K303,'Territory Factors'!$B$6:$B$56,0)),"?"))</f>
        <v/>
      </c>
      <c r="CG303" s="98" t="str">
        <f>IF($A303="","",IFERROR(INDEX('Usage and Coverage'!$C$79:$C$84,MATCH($Y303,'Usage and Coverage'!$B$79:$B$84,0)),"?"))</f>
        <v/>
      </c>
      <c r="CH303" s="100" t="str">
        <f>IFERROR(IF(ISNUMBER($CD303),$CF303*$CG303*MIN($BG303*$BA303*$BC303*$BD303*$BH303*$BF303,'Technical Premium'!$C$17),""),"")</f>
        <v/>
      </c>
      <c r="CI303" s="100" t="str">
        <f t="shared" si="57"/>
        <v/>
      </c>
      <c r="CJ303" s="100" t="str">
        <f>IFERROR($CI303*(1+'Technical Premium'!$C$5)*(1+'Technical Premium'!$C$6),"")</f>
        <v/>
      </c>
      <c r="CK303" s="100" t="str">
        <f>IFERROR($CE303*INDEX('Territory Factors'!$G$6:$G$56,MATCH($K303,'Territory Factors'!$B$6:$B$56,0))*$AU303*$AV303,"")</f>
        <v/>
      </c>
      <c r="CL303" s="100" t="str">
        <f>IFERROR(($CJ303+$CK303)*(1+'Technical Premium'!$C$7),"")</f>
        <v/>
      </c>
      <c r="CM303" s="102" t="str">
        <f>IFERROR($CL303/'Technical Premium'!$C$13,"")</f>
        <v/>
      </c>
      <c r="CN303" s="103" t="str">
        <f t="shared" si="58"/>
        <v/>
      </c>
      <c r="CO303" s="102" t="str">
        <f t="shared" si="59"/>
        <v/>
      </c>
      <c r="CP303" s="103" t="str">
        <f t="shared" si="60"/>
        <v/>
      </c>
      <c r="CQ303" s="104" t="str">
        <f t="shared" si="61"/>
        <v/>
      </c>
      <c r="CR303" s="100" t="str">
        <f>IF(ISNUMBER($CM303),'Technical Premium'!$C$14+IF($J303&gt;=1000000,'Technical Premium'!$C$15,0),"")</f>
        <v/>
      </c>
      <c r="CS303" s="100" t="str">
        <f>IFERROR(($CO303+$CR303)*(INDEX('Territory Factors'!$K$6:$K$56,MATCH($K303,'Territory Factors'!$B$6:$B$56,0))+'Commission Structure'!$C$21),"")</f>
        <v/>
      </c>
      <c r="CT303" s="102" t="str">
        <f t="shared" si="62"/>
        <v/>
      </c>
      <c r="CU303" s="100" t="str">
        <f>IFERROR($CO303*('Commission Structure'!$C$6+'Commission Structure'!$C$7),"")</f>
        <v/>
      </c>
      <c r="CV303" s="100" t="str">
        <f>IFERROR($CO303*'Commission Structure'!$C$5-$CU303,"")</f>
        <v/>
      </c>
      <c r="CW303" s="100" t="str">
        <f>IFERROR($CO303*(1-'Commission Structure'!$C$5),"")</f>
        <v/>
      </c>
      <c r="CX303" s="105" t="str">
        <f>IF($A303="","",IF(OR($CB303="?",$CC303="?",NOT(ISNUMBER($AU303))),"CHECK INPUTS",IF(OR($J303&lt;'Technical Premium'!$C$18,LEFT(IFERROR(INDEX('Driver Factors'!$D$6:$D$15,MATCH($R303,'Driver Factors'!$B$6:$B$15,0)),""),7)="DECLINE",LEFT(IFERROR(INDEX('Driver Factors'!$D$28:$D$36,MATCH($T303,'Driver Factors'!$B$28:$B$36,0)),""),7)="DECLINE",LEFT(IFERROR(INDEX('Claims History'!$D$6:$D$15,MATCH($U303,'Claims History'!$B$6:$B$15,0)),""),7)="DECLINE",LEFT(IFERROR(INDEX('Usage and Coverage'!$E$6:$E$20,MATCH($N303,'Usage and Coverage'!$C$6:$C$20,0)),""),7)="DECLINE"),"DECLINE",IF(OR($CD303&gt;2.5,$CD303&gt;='Technical Premium'!$C$17,$J303&gt;='Technical Premium'!$C$16,N($AQ303)&lt;'Technical Premium'!$C$19,N($AQ303)&gt;'Technical Premium'!$C$20,LEFT(IFERROR(INDEX('Driver Factors'!$D$6:$D$15,MATCH($R303,'Driver Factors'!$B$6:$B$15,0)),""),5)="Refer",LEFT(IFERROR(INDEX('Driver Factors'!$D$28:$D$36,MATCH($T303,'Driver Factors'!$B$28:$B$36,0)),""),5)="Refer",LEFT(IFERROR(INDEX('Claims History'!$D$6:$D$15,MATCH($U303,'Claims History'!$B$6:$B$15,0)),""),5)="Refer",LEFT(IFERROR(INDEX('Usage and Coverage'!$E$6:$E$20,MATCH($N303,'Usage and Coverage'!$C$6:$C$20,0)),""),5)="Refer"),"REFER","AUTO-BIND"))))</f>
        <v/>
      </c>
      <c r="CY303" s="106" t="str">
        <f t="shared" si="63"/>
        <v/>
      </c>
      <c r="CZ303" s="97" t="str">
        <f>IF($CY303="","",IF($CY303&lt;'Technical Premium'!$C$19,"BEYOND AUTHORITY",IF($CY303&gt;0.005,"Above technical",IF($CY303&lt;-0.005,"BELOW technical","At technical"))))</f>
        <v/>
      </c>
      <c r="DA303" s="97" t="str">
        <f>IF($A303="","",IF($CX303="AUTO-BIND","",TRIM(IF($J303&lt;'Technical Premium'!$C$18,"Below programme minimum agreed value. ","")&amp;IF(N($AQ303)&lt;'Technical Premium'!$C$19,"DISCOUNT AUTHORITY BREACH. ","")&amp;IF(N($AQ303)&gt;'Technical Premium'!$C$20,"Load authority breach. ","")&amp;IF($J303&gt;='Technical Premium'!$C$16,"Agreed value at or above auto-bind limit. ","")&amp;IF(AND(ISNUMBER($CD303),$CD303&gt;='Technical Premium'!$C$17),"Composite factor at cap. ","")&amp;IF(AND(ISNUMBER($CD303),$CD303&gt;2.5),"Composite factor above 2.50. ","")&amp;IF(LEFT(IFERROR(INDEX('Driver Factors'!$D$6:$D$15,MATCH($R303,'Driver Factors'!$B$6:$B$15,0)),""),7)="DECLINE","DECLINE - driver age. ",IF(LEFT(IFERROR(INDEX('Driver Factors'!$D$6:$D$15,MATCH($R303,'Driver Factors'!$B$6:$B$15,0)),""),5)="Refer","Driver age band. ",""))&amp;IF(LEFT(IFERROR(INDEX('Driver Factors'!$D$28:$D$36,MATCH($T303,'Driver Factors'!$B$28:$B$36,0)),""),7)="DECLINE","DECLINE - MVR. ",IF(LEFT(IFERROR(INDEX('Driver Factors'!$D$28:$D$36,MATCH($T303,'Driver Factors'!$B$28:$B$36,0)),""),5)="Refer","MVR record. ",""))&amp;IF(LEFT(IFERROR(INDEX('Claims History'!$D$6:$D$15,MATCH($U303,'Claims History'!$B$6:$B$15,0)),""),7)="DECLINE","DECLINE - claims. ",IF(LEFT(IFERROR(INDEX('Claims History'!$D$6:$D$15,MATCH($U303,'Claims History'!$B$6:$B$15,0)),""),5)="Refer","Claims history. ",""))&amp;IF(LEFT(IFERROR(INDEX('Usage and Coverage'!$E$6:$E$20,MATCH($N303,'Usage and Coverage'!$C$6:$C$20,0)),""),7)="DECLINE","DECLINE - usage class. ",IF(LEFT(IFERROR(INDEX('Usage and Coverage'!$E$6:$E$20,MATCH($N303,'Usage and Coverage'!$C$6:$C$20,0)),""),5)="Refer","Usage class. ",""))&amp;IF($CX303="CHECK INPUTS","Incomplete inputs. ",""))))</f>
        <v/>
      </c>
      <c r="DB303" s="92"/>
      <c r="DC303" s="92"/>
      <c r="DD303" s="93"/>
      <c r="DE303" s="92"/>
      <c r="DF303" s="92"/>
      <c r="DG303" s="97" t="str">
        <f t="shared" si="64"/>
        <v/>
      </c>
      <c r="DH303" s="97" t="str">
        <f>IF($A303="","",IF(OR($CX303="REFER",$CX303="DECLINE"),COUNTIF($CX$5:$CX303,"REFER")+COUNTIF($CX$5:$CX303,"DECLINE"),""))</f>
        <v/>
      </c>
      <c r="DI303" s="92"/>
    </row>
    <row r="304" spans="1:113" x14ac:dyDescent="0.25">
      <c r="A304" s="92"/>
      <c r="B304" s="92"/>
      <c r="C304" s="93"/>
      <c r="D304" s="93"/>
      <c r="E304" s="94"/>
      <c r="F304" s="92"/>
      <c r="G304" s="92"/>
      <c r="H304" s="92"/>
      <c r="I304" s="92"/>
      <c r="J304" s="95"/>
      <c r="K304" s="92"/>
      <c r="L304" s="92"/>
      <c r="M304" s="92"/>
      <c r="N304" s="92"/>
      <c r="O304" s="92"/>
      <c r="P304" s="92"/>
      <c r="Q304" s="92"/>
      <c r="R304" s="92"/>
      <c r="S304" s="92"/>
      <c r="T304" s="92"/>
      <c r="U304" s="92"/>
      <c r="V304" s="92"/>
      <c r="W304" s="92"/>
      <c r="X304" s="92"/>
      <c r="Y304" s="92"/>
      <c r="Z304" s="92"/>
      <c r="AA304" s="92"/>
      <c r="AB304" s="92"/>
      <c r="AC304" s="92"/>
      <c r="AD304" s="92"/>
      <c r="AE304" s="92"/>
      <c r="AF304" s="92"/>
      <c r="AG304" s="92"/>
      <c r="AH304" s="92"/>
      <c r="AI304" s="92"/>
      <c r="AJ304" s="92"/>
      <c r="AK304" s="92"/>
      <c r="AL304" s="92"/>
      <c r="AM304" s="92"/>
      <c r="AN304" s="92"/>
      <c r="AO304" s="92"/>
      <c r="AP304" s="92"/>
      <c r="AQ304" s="96"/>
      <c r="AR304" s="97" t="str">
        <f t="shared" si="52"/>
        <v/>
      </c>
      <c r="AS304" s="97" t="str">
        <f>IF($A304="","",IF($AP304&lt;&gt;"",$AP304,IFERROR(INDEX('Cat Zone by ZIP'!$D$6:$D$856,MATCH($AR304,'Cat Zone by ZIP'!$B$6:$B$856,0)),IFERROR(INDEX('Cat Zone by ZIP'!$C$860:$C$910,MATCH($K304,'Cat Zone by ZIP'!$B$860:$B$910,0)),"NOT FOUND"))))</f>
        <v/>
      </c>
      <c r="AT304" s="97" t="str">
        <f>IF($A304="","",IF($AP304&lt;&gt;"","Override",IF(ISNUMBER(MATCH($AR304,'Cat Zone by ZIP'!$B$6:$B$856,0)),"ZIP-3","State default")))</f>
        <v/>
      </c>
      <c r="AU304" s="98" t="str">
        <f>IF($A304="","",IFERROR(INDEX('Natural Catastrophe'!$D$6:$D$17,MATCH($AS304,'Natural Catastrophe'!$B$6:$B$17,0)),"?"))</f>
        <v/>
      </c>
      <c r="AV304" s="98" t="str">
        <f>IF($A304="","",IFERROR(INDEX('Natural Catastrophe'!$C$21:$C$26,MATCH($AA304,'Natural Catastrophe'!$B$21:$B$26,0)),"?"))</f>
        <v/>
      </c>
      <c r="AW304" s="97" t="str">
        <f>IF($A304="","",IFERROR(INDEX('Base Rates'!$C$4:$I$4,MATCH(MAX($J304,'Technical Premium'!$C$18),'Base Rates'!$C$3:$I$3,1)),"?"))</f>
        <v/>
      </c>
      <c r="AX304" s="99" t="str">
        <f>IF($A304="","",IFERROR(INDEX('Base Rates'!$C$5:$I$16,MATCH($I304,'Base Rates'!$B$5:$B$16,0),MATCH(MAX($J304,'Technical Premium'!$C$18),'Base Rates'!$C$3:$I$3,1)),"?"))</f>
        <v/>
      </c>
      <c r="AY304" s="100" t="str">
        <f t="shared" si="53"/>
        <v/>
      </c>
      <c r="AZ304" s="97" t="str">
        <f>IF($A304="","",IFERROR(INDEX('Make Factors'!$G$5:$G$69,MATCH($F304,'Make Factors'!$B$5:$B$69,0)),"?"))</f>
        <v/>
      </c>
      <c r="BA304" s="97" t="str">
        <f>IF($A304="","",IFERROR(INDEX('Driver Factors'!$C$6:$C$15,MATCH($R304,'Driver Factors'!$B$6:$B$15,0)),"?"))</f>
        <v/>
      </c>
      <c r="BB304" s="97" t="str">
        <f>IF($A304="","",IFERROR(INDEX('Driver Factors'!$C$19:$C$24,MATCH($S304,'Driver Factors'!$B$19:$B$24,0)),"?"))</f>
        <v/>
      </c>
      <c r="BC304" s="97" t="str">
        <f>IF($A304="","",IFERROR(INDEX('Driver Factors'!$C$28:$C$36,MATCH($T304,'Driver Factors'!$B$28:$B$36,0)),"?"))</f>
        <v/>
      </c>
      <c r="BD304" s="97" t="str">
        <f>IF($A304="","",IFERROR(INDEX('Claims History'!$C$6:$C$15,MATCH($U304,'Claims History'!$B$6:$B$15,0)),"?"))</f>
        <v/>
      </c>
      <c r="BE304" s="97" t="str">
        <f>IF($A304="","",IFERROR(INDEX('Territory Factors'!$E$6:$E$56,MATCH($K304,'Territory Factors'!$B$6:$B$56,0)),"?"))</f>
        <v/>
      </c>
      <c r="BF304" s="97" t="str">
        <f>IF($A304="","",IFERROR(INDEX('City Accident Ratings'!$G$6:$G$54,MATCH($Z304,'City Accident Ratings'!$B$6:$B$54,0)),"?"))</f>
        <v/>
      </c>
      <c r="BG304" s="97" t="str">
        <f>IF($A304="","",IFERROR(INDEX('Usage and Coverage'!$D$6:$D$20,MATCH($N304,'Usage and Coverage'!$C$6:$C$20,0)),"?"))</f>
        <v/>
      </c>
      <c r="BH304" s="97" t="str">
        <f>IF($A304="","",IFERROR(INDEX('Usage and Coverage'!$C$24:$C$30,MATCH($O304,'Usage and Coverage'!$B$24:$B$30,0)),"?"))</f>
        <v/>
      </c>
      <c r="BI304" s="97" t="str">
        <f>IF($A304="","",IFERROR(INDEX('Usage and Coverage'!$C$34:$C$40,MATCH($P304,'Usage and Coverage'!$B$34:$B$40,0)),"?"))</f>
        <v/>
      </c>
      <c r="BJ304" s="97" t="str">
        <f>IF($A304="","",IFERROR(INDEX('Usage and Coverage'!$C$44:$C$49,MATCH($Q304,'Usage and Coverage'!$B$44:$B$49,0)),"?"))</f>
        <v/>
      </c>
      <c r="BK304" s="97" t="str">
        <f>IF($A304="","",IFERROR(INDEX(Deductibles!$C$6:$I$15,MATCH($W304,Deductibles!$B$6:$B$15,0),MATCH(MAX($J304,'Technical Premium'!$C$18),'Base Rates'!$C$3:$I$3,1)),"?"))</f>
        <v/>
      </c>
      <c r="BL304" s="97" t="str">
        <f>IF($A304="","",IFERROR(INDEX('Usage and Coverage'!$C$63:$C$66,MATCH($X304,'Usage and Coverage'!$B$63:$B$66,0)),"?"))</f>
        <v/>
      </c>
      <c r="BM304" s="97" t="str">
        <f>IF($A304="","",IFERROR(INDEX('Usage and Coverage'!$C$70:$C$75,MATCH($V304,'Usage and Coverage'!$B$70:$B$75,0)),"?"))</f>
        <v/>
      </c>
      <c r="BN304" s="97" t="str">
        <f>IF($A304="","",IF($AB304="",1,IFERROR(INDEX(Deductibles!$C$48:$C$51,MATCH($AB304,Deductibles!$B$48:$B$51,0)),"?")))</f>
        <v/>
      </c>
      <c r="BO304" s="97" t="str">
        <f>IF($A304="","",IF($AC304="",1,IFERROR(INDEX(Deductibles!$C$55:$C$57,MATCH($AC304,Deductibles!$B$55:$B$57,0)),"?")))</f>
        <v/>
      </c>
      <c r="BP304" s="97" t="str">
        <f>IF($A304="","",IF($AD304="",1,IFERROR(INDEX(Deductibles!$C$61:$C$63,MATCH($AD304,Deductibles!$B$61:$B$63,0)),"?")))</f>
        <v/>
      </c>
      <c r="BQ304" s="97" t="str">
        <f>IF($A304="","",IF($AE304="",1,IFERROR(INDEX(Deductibles!$C$67:$C$69,MATCH($AE304,Deductibles!$B$67:$B$69,0)),"?")))</f>
        <v/>
      </c>
      <c r="BR304" s="97" t="str">
        <f>IF($A304="","",IF($AF304="",1,IFERROR(INDEX(Deductibles!$C$73:$C$74,MATCH($AF304,Deductibles!$B$73:$B$74,0)),"?")))</f>
        <v/>
      </c>
      <c r="BS304" s="97" t="str">
        <f>IF($A304="","",IF($AG304="",1,IFERROR(INDEX('Sublimits and Parts'!$C$49:$C$52,MATCH($AG304,'Sublimits and Parts'!$B$49:$B$52,0)),"?")))</f>
        <v/>
      </c>
      <c r="BT304" s="97" t="str">
        <f>IF($A304="","",IF($AH304="",1,IFERROR(INDEX('Sublimits and Parts'!$C$56:$C$60,MATCH($AH304,'Sublimits and Parts'!$B$56:$B$60,0)),"?")))</f>
        <v/>
      </c>
      <c r="BU304" s="97" t="str">
        <f>IF($A304="","",IF($AI304="",1,IFERROR(INDEX('Sublimits and Parts'!$C$64:$C$67,MATCH($AI304,'Sublimits and Parts'!$B$64:$B$67,0)),"?")))</f>
        <v/>
      </c>
      <c r="BV304" s="97" t="str">
        <f>IF($A304="","",IF($AJ304="",1,IFERROR(INDEX('Sublimits and Parts'!$C$71:$C$74,MATCH($AJ304,'Sublimits and Parts'!$B$71:$B$74,0)),"?")))</f>
        <v/>
      </c>
      <c r="BW304" s="97" t="str">
        <f>IF($A304="","",IF($AK304="",1,IFERROR(INDEX('Sublimits and Parts'!$C$78:$C$80,MATCH($AK304,'Sublimits and Parts'!$B$78:$B$80,0)),"?")))</f>
        <v/>
      </c>
      <c r="BX304" s="97" t="str">
        <f>IF($A304="","",IF($AL304="",1,IFERROR(INDEX('Sublimits and Parts'!$C$84:$C$87,MATCH($AL304,'Sublimits and Parts'!$B$84:$B$87,0)),"?")))</f>
        <v/>
      </c>
      <c r="BY304" s="97" t="str">
        <f>IF($A304="","",IF($AM304="",1,IFERROR(INDEX('Sublimits and Parts'!$C$91:$C$94,MATCH($AM304,'Sublimits and Parts'!$B$91:$B$94,0)),"?")))</f>
        <v/>
      </c>
      <c r="BZ304" s="97" t="str">
        <f>IF($A304="","",IF($AN304="",1,IFERROR(INDEX('Sublimits and Parts'!$C$98:$C$101,MATCH($AN304,'Sublimits and Parts'!$B$98:$B$101,0)),"?")))</f>
        <v/>
      </c>
      <c r="CA304" s="97" t="str">
        <f>IF($A304="","",IF($AO304="",1,IFERROR(INDEX('Sublimits and Parts'!$C$105:$C$109,MATCH($AO304,'Sublimits and Parts'!$B$105:$B$109,0)),"?")))</f>
        <v/>
      </c>
      <c r="CB304" s="98" t="str">
        <f t="shared" si="54"/>
        <v/>
      </c>
      <c r="CC304" s="98" t="str">
        <f t="shared" si="55"/>
        <v/>
      </c>
      <c r="CD304" s="101" t="str">
        <f>IF($A304="","",IF(OR($CB304="?",$CC304="?"),"?",MIN($CB304*$CC304,'Technical Premium'!$C$17)))</f>
        <v/>
      </c>
      <c r="CE304" s="100" t="str">
        <f t="shared" si="56"/>
        <v/>
      </c>
      <c r="CF304" s="100" t="str">
        <f>IF($A304="","",IFERROR(INDEX('Territory Factors'!$F$6:$F$56,MATCH($K304,'Territory Factors'!$B$6:$B$56,0)),"?"))</f>
        <v/>
      </c>
      <c r="CG304" s="98" t="str">
        <f>IF($A304="","",IFERROR(INDEX('Usage and Coverage'!$C$79:$C$84,MATCH($Y304,'Usage and Coverage'!$B$79:$B$84,0)),"?"))</f>
        <v/>
      </c>
      <c r="CH304" s="100" t="str">
        <f>IFERROR(IF(ISNUMBER($CD304),$CF304*$CG304*MIN($BG304*$BA304*$BC304*$BD304*$BH304*$BF304,'Technical Premium'!$C$17),""),"")</f>
        <v/>
      </c>
      <c r="CI304" s="100" t="str">
        <f t="shared" si="57"/>
        <v/>
      </c>
      <c r="CJ304" s="100" t="str">
        <f>IFERROR($CI304*(1+'Technical Premium'!$C$5)*(1+'Technical Premium'!$C$6),"")</f>
        <v/>
      </c>
      <c r="CK304" s="100" t="str">
        <f>IFERROR($CE304*INDEX('Territory Factors'!$G$6:$G$56,MATCH($K304,'Territory Factors'!$B$6:$B$56,0))*$AU304*$AV304,"")</f>
        <v/>
      </c>
      <c r="CL304" s="100" t="str">
        <f>IFERROR(($CJ304+$CK304)*(1+'Technical Premium'!$C$7),"")</f>
        <v/>
      </c>
      <c r="CM304" s="102" t="str">
        <f>IFERROR($CL304/'Technical Premium'!$C$13,"")</f>
        <v/>
      </c>
      <c r="CN304" s="103" t="str">
        <f t="shared" si="58"/>
        <v/>
      </c>
      <c r="CO304" s="102" t="str">
        <f t="shared" si="59"/>
        <v/>
      </c>
      <c r="CP304" s="103" t="str">
        <f t="shared" si="60"/>
        <v/>
      </c>
      <c r="CQ304" s="104" t="str">
        <f t="shared" si="61"/>
        <v/>
      </c>
      <c r="CR304" s="100" t="str">
        <f>IF(ISNUMBER($CM304),'Technical Premium'!$C$14+IF($J304&gt;=1000000,'Technical Premium'!$C$15,0),"")</f>
        <v/>
      </c>
      <c r="CS304" s="100" t="str">
        <f>IFERROR(($CO304+$CR304)*(INDEX('Territory Factors'!$K$6:$K$56,MATCH($K304,'Territory Factors'!$B$6:$B$56,0))+'Commission Structure'!$C$21),"")</f>
        <v/>
      </c>
      <c r="CT304" s="102" t="str">
        <f t="shared" si="62"/>
        <v/>
      </c>
      <c r="CU304" s="100" t="str">
        <f>IFERROR($CO304*('Commission Structure'!$C$6+'Commission Structure'!$C$7),"")</f>
        <v/>
      </c>
      <c r="CV304" s="100" t="str">
        <f>IFERROR($CO304*'Commission Structure'!$C$5-$CU304,"")</f>
        <v/>
      </c>
      <c r="CW304" s="100" t="str">
        <f>IFERROR($CO304*(1-'Commission Structure'!$C$5),"")</f>
        <v/>
      </c>
      <c r="CX304" s="105" t="str">
        <f>IF($A304="","",IF(OR($CB304="?",$CC304="?",NOT(ISNUMBER($AU304))),"CHECK INPUTS",IF(OR($J304&lt;'Technical Premium'!$C$18,LEFT(IFERROR(INDEX('Driver Factors'!$D$6:$D$15,MATCH($R304,'Driver Factors'!$B$6:$B$15,0)),""),7)="DECLINE",LEFT(IFERROR(INDEX('Driver Factors'!$D$28:$D$36,MATCH($T304,'Driver Factors'!$B$28:$B$36,0)),""),7)="DECLINE",LEFT(IFERROR(INDEX('Claims History'!$D$6:$D$15,MATCH($U304,'Claims History'!$B$6:$B$15,0)),""),7)="DECLINE",LEFT(IFERROR(INDEX('Usage and Coverage'!$E$6:$E$20,MATCH($N304,'Usage and Coverage'!$C$6:$C$20,0)),""),7)="DECLINE"),"DECLINE",IF(OR($CD304&gt;2.5,$CD304&gt;='Technical Premium'!$C$17,$J304&gt;='Technical Premium'!$C$16,N($AQ304)&lt;'Technical Premium'!$C$19,N($AQ304)&gt;'Technical Premium'!$C$20,LEFT(IFERROR(INDEX('Driver Factors'!$D$6:$D$15,MATCH($R304,'Driver Factors'!$B$6:$B$15,0)),""),5)="Refer",LEFT(IFERROR(INDEX('Driver Factors'!$D$28:$D$36,MATCH($T304,'Driver Factors'!$B$28:$B$36,0)),""),5)="Refer",LEFT(IFERROR(INDEX('Claims History'!$D$6:$D$15,MATCH($U304,'Claims History'!$B$6:$B$15,0)),""),5)="Refer",LEFT(IFERROR(INDEX('Usage and Coverage'!$E$6:$E$20,MATCH($N304,'Usage and Coverage'!$C$6:$C$20,0)),""),5)="Refer"),"REFER","AUTO-BIND"))))</f>
        <v/>
      </c>
      <c r="CY304" s="106" t="str">
        <f t="shared" si="63"/>
        <v/>
      </c>
      <c r="CZ304" s="97" t="str">
        <f>IF($CY304="","",IF($CY304&lt;'Technical Premium'!$C$19,"BEYOND AUTHORITY",IF($CY304&gt;0.005,"Above technical",IF($CY304&lt;-0.005,"BELOW technical","At technical"))))</f>
        <v/>
      </c>
      <c r="DA304" s="97" t="str">
        <f>IF($A304="","",IF($CX304="AUTO-BIND","",TRIM(IF($J304&lt;'Technical Premium'!$C$18,"Below programme minimum agreed value. ","")&amp;IF(N($AQ304)&lt;'Technical Premium'!$C$19,"DISCOUNT AUTHORITY BREACH. ","")&amp;IF(N($AQ304)&gt;'Technical Premium'!$C$20,"Load authority breach. ","")&amp;IF($J304&gt;='Technical Premium'!$C$16,"Agreed value at or above auto-bind limit. ","")&amp;IF(AND(ISNUMBER($CD304),$CD304&gt;='Technical Premium'!$C$17),"Composite factor at cap. ","")&amp;IF(AND(ISNUMBER($CD304),$CD304&gt;2.5),"Composite factor above 2.50. ","")&amp;IF(LEFT(IFERROR(INDEX('Driver Factors'!$D$6:$D$15,MATCH($R304,'Driver Factors'!$B$6:$B$15,0)),""),7)="DECLINE","DECLINE - driver age. ",IF(LEFT(IFERROR(INDEX('Driver Factors'!$D$6:$D$15,MATCH($R304,'Driver Factors'!$B$6:$B$15,0)),""),5)="Refer","Driver age band. ",""))&amp;IF(LEFT(IFERROR(INDEX('Driver Factors'!$D$28:$D$36,MATCH($T304,'Driver Factors'!$B$28:$B$36,0)),""),7)="DECLINE","DECLINE - MVR. ",IF(LEFT(IFERROR(INDEX('Driver Factors'!$D$28:$D$36,MATCH($T304,'Driver Factors'!$B$28:$B$36,0)),""),5)="Refer","MVR record. ",""))&amp;IF(LEFT(IFERROR(INDEX('Claims History'!$D$6:$D$15,MATCH($U304,'Claims History'!$B$6:$B$15,0)),""),7)="DECLINE","DECLINE - claims. ",IF(LEFT(IFERROR(INDEX('Claims History'!$D$6:$D$15,MATCH($U304,'Claims History'!$B$6:$B$15,0)),""),5)="Refer","Claims history. ",""))&amp;IF(LEFT(IFERROR(INDEX('Usage and Coverage'!$E$6:$E$20,MATCH($N304,'Usage and Coverage'!$C$6:$C$20,0)),""),7)="DECLINE","DECLINE - usage class. ",IF(LEFT(IFERROR(INDEX('Usage and Coverage'!$E$6:$E$20,MATCH($N304,'Usage and Coverage'!$C$6:$C$20,0)),""),5)="Refer","Usage class. ",""))&amp;IF($CX304="CHECK INPUTS","Incomplete inputs. ",""))))</f>
        <v/>
      </c>
      <c r="DB304" s="92"/>
      <c r="DC304" s="92"/>
      <c r="DD304" s="93"/>
      <c r="DE304" s="92"/>
      <c r="DF304" s="92"/>
      <c r="DG304" s="97" t="str">
        <f t="shared" si="64"/>
        <v/>
      </c>
      <c r="DH304" s="97" t="str">
        <f>IF($A304="","",IF(OR($CX304="REFER",$CX304="DECLINE"),COUNTIF($CX$5:$CX304,"REFER")+COUNTIF($CX$5:$CX304,"DECLINE"),""))</f>
        <v/>
      </c>
      <c r="DI304" s="92"/>
    </row>
  </sheetData>
  <mergeCells count="11">
    <mergeCell ref="DA3:DI3"/>
    <mergeCell ref="AG3:AP3"/>
    <mergeCell ref="AR3:AV3"/>
    <mergeCell ref="AW3:CA3"/>
    <mergeCell ref="CB3:CT3"/>
    <mergeCell ref="CU3:CZ3"/>
    <mergeCell ref="B1:AD1"/>
    <mergeCell ref="B2:AD2"/>
    <mergeCell ref="A3:M3"/>
    <mergeCell ref="N3:AA3"/>
    <mergeCell ref="AB3:AF3"/>
  </mergeCells>
  <dataValidations count="1">
    <dataValidation type="list" allowBlank="1" sqref="M5:M304" xr:uid="{00000000-0002-0000-04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3">
        <x14:dataValidation type="list" allowBlank="1" xr:uid="{00000000-0002-0000-0400-000000000000}">
          <x14:formula1>
            <xm:f>'Make Factors'!$B$5:$B$69</xm:f>
          </x14:formula1>
          <x14:formula2>
            <xm:f>0</xm:f>
          </x14:formula2>
          <xm:sqref>F5:F304</xm:sqref>
        </x14:dataValidation>
        <x14:dataValidation type="list" allowBlank="1" xr:uid="{00000000-0002-0000-0400-000001000000}">
          <x14:formula1>
            <xm:f>'Base Rates'!$B$5:$B$16</xm:f>
          </x14:formula1>
          <x14:formula2>
            <xm:f>0</xm:f>
          </x14:formula2>
          <xm:sqref>I5:I304</xm:sqref>
        </x14:dataValidation>
        <x14:dataValidation type="list" allowBlank="1" xr:uid="{00000000-0002-0000-0400-000002000000}">
          <x14:formula1>
            <xm:f>'Territory Factors'!$B$6:$B$56</xm:f>
          </x14:formula1>
          <x14:formula2>
            <xm:f>0</xm:f>
          </x14:formula2>
          <xm:sqref>K5:K304</xm:sqref>
        </x14:dataValidation>
        <x14:dataValidation type="list" allowBlank="1" xr:uid="{00000000-0002-0000-0400-000004000000}">
          <x14:formula1>
            <xm:f>'Usage and Coverage'!$C$6:$C$20</xm:f>
          </x14:formula1>
          <x14:formula2>
            <xm:f>0</xm:f>
          </x14:formula2>
          <xm:sqref>N5:N304</xm:sqref>
        </x14:dataValidation>
        <x14:dataValidation type="list" allowBlank="1" xr:uid="{00000000-0002-0000-0400-000005000000}">
          <x14:formula1>
            <xm:f>'Usage and Coverage'!$B$24:$B$30</xm:f>
          </x14:formula1>
          <x14:formula2>
            <xm:f>0</xm:f>
          </x14:formula2>
          <xm:sqref>O5:O304</xm:sqref>
        </x14:dataValidation>
        <x14:dataValidation type="list" allowBlank="1" xr:uid="{00000000-0002-0000-0400-000006000000}">
          <x14:formula1>
            <xm:f>'Usage and Coverage'!$B$34:$B$40</xm:f>
          </x14:formula1>
          <x14:formula2>
            <xm:f>0</xm:f>
          </x14:formula2>
          <xm:sqref>P5:P304</xm:sqref>
        </x14:dataValidation>
        <x14:dataValidation type="list" allowBlank="1" xr:uid="{00000000-0002-0000-0400-000007000000}">
          <x14:formula1>
            <xm:f>'Usage and Coverage'!$B$44:$B$49</xm:f>
          </x14:formula1>
          <x14:formula2>
            <xm:f>0</xm:f>
          </x14:formula2>
          <xm:sqref>Q5:Q304</xm:sqref>
        </x14:dataValidation>
        <x14:dataValidation type="list" allowBlank="1" xr:uid="{00000000-0002-0000-0400-000008000000}">
          <x14:formula1>
            <xm:f>'Driver Factors'!$B$6:$B$15</xm:f>
          </x14:formula1>
          <x14:formula2>
            <xm:f>0</xm:f>
          </x14:formula2>
          <xm:sqref>R5:R304</xm:sqref>
        </x14:dataValidation>
        <x14:dataValidation type="list" allowBlank="1" xr:uid="{00000000-0002-0000-0400-000009000000}">
          <x14:formula1>
            <xm:f>'Driver Factors'!$B$19:$B$24</xm:f>
          </x14:formula1>
          <x14:formula2>
            <xm:f>0</xm:f>
          </x14:formula2>
          <xm:sqref>S5:S304</xm:sqref>
        </x14:dataValidation>
        <x14:dataValidation type="list" allowBlank="1" xr:uid="{00000000-0002-0000-0400-00000A000000}">
          <x14:formula1>
            <xm:f>'Driver Factors'!$B$28:$B$36</xm:f>
          </x14:formula1>
          <x14:formula2>
            <xm:f>0</xm:f>
          </x14:formula2>
          <xm:sqref>T5:T304</xm:sqref>
        </x14:dataValidation>
        <x14:dataValidation type="list" allowBlank="1" xr:uid="{00000000-0002-0000-0400-00000B000000}">
          <x14:formula1>
            <xm:f>'Claims History'!$B$6:$B$15</xm:f>
          </x14:formula1>
          <x14:formula2>
            <xm:f>0</xm:f>
          </x14:formula2>
          <xm:sqref>U5:U304</xm:sqref>
        </x14:dataValidation>
        <x14:dataValidation type="list" allowBlank="1" xr:uid="{00000000-0002-0000-0400-00000C000000}">
          <x14:formula1>
            <xm:f>'Usage and Coverage'!$B$70:$B$75</xm:f>
          </x14:formula1>
          <x14:formula2>
            <xm:f>0</xm:f>
          </x14:formula2>
          <xm:sqref>V5:V304</xm:sqref>
        </x14:dataValidation>
        <x14:dataValidation type="list" allowBlank="1" xr:uid="{00000000-0002-0000-0400-00000D000000}">
          <x14:formula1>
            <xm:f>Deductibles!$B$6:$B$15</xm:f>
          </x14:formula1>
          <x14:formula2>
            <xm:f>0</xm:f>
          </x14:formula2>
          <xm:sqref>W5:W304</xm:sqref>
        </x14:dataValidation>
        <x14:dataValidation type="list" allowBlank="1" xr:uid="{00000000-0002-0000-0400-00000E000000}">
          <x14:formula1>
            <xm:f>'Usage and Coverage'!$B$63:$B$66</xm:f>
          </x14:formula1>
          <x14:formula2>
            <xm:f>0</xm:f>
          </x14:formula2>
          <xm:sqref>X5:X304</xm:sqref>
        </x14:dataValidation>
        <x14:dataValidation type="list" allowBlank="1" xr:uid="{00000000-0002-0000-0400-00000F000000}">
          <x14:formula1>
            <xm:f>'Usage and Coverage'!$B$79:$B$84</xm:f>
          </x14:formula1>
          <x14:formula2>
            <xm:f>0</xm:f>
          </x14:formula2>
          <xm:sqref>Y5:Y304</xm:sqref>
        </x14:dataValidation>
        <x14:dataValidation type="list" allowBlank="1" xr:uid="{00000000-0002-0000-0400-000010000000}">
          <x14:formula1>
            <xm:f>'City Accident Ratings'!$B$6:$B$54</xm:f>
          </x14:formula1>
          <x14:formula2>
            <xm:f>0</xm:f>
          </x14:formula2>
          <xm:sqref>Z5:Z304</xm:sqref>
        </x14:dataValidation>
        <x14:dataValidation type="list" allowBlank="1" xr:uid="{00000000-0002-0000-0400-000011000000}">
          <x14:formula1>
            <xm:f>'Natural Catastrophe'!$B$21:$B$26</xm:f>
          </x14:formula1>
          <x14:formula2>
            <xm:f>0</xm:f>
          </x14:formula2>
          <xm:sqref>AA5:AA304</xm:sqref>
        </x14:dataValidation>
        <x14:dataValidation type="list" allowBlank="1" xr:uid="{00000000-0002-0000-0400-000012000000}">
          <x14:formula1>
            <xm:f>Deductibles!$B$48:$B$51</xm:f>
          </x14:formula1>
          <x14:formula2>
            <xm:f>0</xm:f>
          </x14:formula2>
          <xm:sqref>AB5:AB304</xm:sqref>
        </x14:dataValidation>
        <x14:dataValidation type="list" allowBlank="1" xr:uid="{00000000-0002-0000-0400-000013000000}">
          <x14:formula1>
            <xm:f>Deductibles!$B$55:$B$57</xm:f>
          </x14:formula1>
          <x14:formula2>
            <xm:f>0</xm:f>
          </x14:formula2>
          <xm:sqref>AC5:AC304</xm:sqref>
        </x14:dataValidation>
        <x14:dataValidation type="list" allowBlank="1" xr:uid="{00000000-0002-0000-0400-000014000000}">
          <x14:formula1>
            <xm:f>Deductibles!$B$61:$B$63</xm:f>
          </x14:formula1>
          <x14:formula2>
            <xm:f>0</xm:f>
          </x14:formula2>
          <xm:sqref>AD5:AD304</xm:sqref>
        </x14:dataValidation>
        <x14:dataValidation type="list" allowBlank="1" xr:uid="{00000000-0002-0000-0400-000015000000}">
          <x14:formula1>
            <xm:f>Deductibles!$B$67:$B$69</xm:f>
          </x14:formula1>
          <x14:formula2>
            <xm:f>0</xm:f>
          </x14:formula2>
          <xm:sqref>AE5:AE304</xm:sqref>
        </x14:dataValidation>
        <x14:dataValidation type="list" allowBlank="1" xr:uid="{00000000-0002-0000-0400-000016000000}">
          <x14:formula1>
            <xm:f>Deductibles!$B$73:$B$74</xm:f>
          </x14:formula1>
          <x14:formula2>
            <xm:f>0</xm:f>
          </x14:formula2>
          <xm:sqref>AF5:AF304</xm:sqref>
        </x14:dataValidation>
        <x14:dataValidation type="list" allowBlank="1" xr:uid="{00000000-0002-0000-0400-000017000000}">
          <x14:formula1>
            <xm:f>'Sublimits and Parts'!$B$49:$B$52</xm:f>
          </x14:formula1>
          <x14:formula2>
            <xm:f>0</xm:f>
          </x14:formula2>
          <xm:sqref>AG5:AG304</xm:sqref>
        </x14:dataValidation>
        <x14:dataValidation type="list" allowBlank="1" xr:uid="{00000000-0002-0000-0400-000018000000}">
          <x14:formula1>
            <xm:f>'Sublimits and Parts'!$B$56:$B$60</xm:f>
          </x14:formula1>
          <x14:formula2>
            <xm:f>0</xm:f>
          </x14:formula2>
          <xm:sqref>AH5:AH304</xm:sqref>
        </x14:dataValidation>
        <x14:dataValidation type="list" allowBlank="1" xr:uid="{00000000-0002-0000-0400-000019000000}">
          <x14:formula1>
            <xm:f>'Sublimits and Parts'!$B$64:$B$67</xm:f>
          </x14:formula1>
          <x14:formula2>
            <xm:f>0</xm:f>
          </x14:formula2>
          <xm:sqref>AI5:AI304</xm:sqref>
        </x14:dataValidation>
        <x14:dataValidation type="list" allowBlank="1" xr:uid="{00000000-0002-0000-0400-00001A000000}">
          <x14:formula1>
            <xm:f>'Sublimits and Parts'!$B$71:$B$74</xm:f>
          </x14:formula1>
          <x14:formula2>
            <xm:f>0</xm:f>
          </x14:formula2>
          <xm:sqref>AJ5:AJ304</xm:sqref>
        </x14:dataValidation>
        <x14:dataValidation type="list" allowBlank="1" xr:uid="{00000000-0002-0000-0400-00001B000000}">
          <x14:formula1>
            <xm:f>'Sublimits and Parts'!$B$78:$B$80</xm:f>
          </x14:formula1>
          <x14:formula2>
            <xm:f>0</xm:f>
          </x14:formula2>
          <xm:sqref>AK5:AK304</xm:sqref>
        </x14:dataValidation>
        <x14:dataValidation type="list" allowBlank="1" xr:uid="{00000000-0002-0000-0400-00001C000000}">
          <x14:formula1>
            <xm:f>'Sublimits and Parts'!$B$84:$B$87</xm:f>
          </x14:formula1>
          <x14:formula2>
            <xm:f>0</xm:f>
          </x14:formula2>
          <xm:sqref>AL5:AL304</xm:sqref>
        </x14:dataValidation>
        <x14:dataValidation type="list" allowBlank="1" xr:uid="{00000000-0002-0000-0400-00001D000000}">
          <x14:formula1>
            <xm:f>'Sublimits and Parts'!$B$91:$B$94</xm:f>
          </x14:formula1>
          <x14:formula2>
            <xm:f>0</xm:f>
          </x14:formula2>
          <xm:sqref>AM5:AM304</xm:sqref>
        </x14:dataValidation>
        <x14:dataValidation type="list" allowBlank="1" xr:uid="{00000000-0002-0000-0400-00001E000000}">
          <x14:formula1>
            <xm:f>'Sublimits and Parts'!$B$98:$B$101</xm:f>
          </x14:formula1>
          <x14:formula2>
            <xm:f>0</xm:f>
          </x14:formula2>
          <xm:sqref>AN5:AN304</xm:sqref>
        </x14:dataValidation>
        <x14:dataValidation type="list" allowBlank="1" xr:uid="{00000000-0002-0000-0400-00001F000000}">
          <x14:formula1>
            <xm:f>'Sublimits and Parts'!$B$105:$B$109</xm:f>
          </x14:formula1>
          <x14:formula2>
            <xm:f>0</xm:f>
          </x14:formula2>
          <xm:sqref>AO5:AO304</xm:sqref>
        </x14:dataValidation>
        <x14:dataValidation type="list" allowBlank="1" xr:uid="{00000000-0002-0000-0400-000020000000}">
          <x14:formula1>
            <xm:f>'Natural Catastrophe'!$B$6:$B$17</xm:f>
          </x14:formula1>
          <x14:formula2>
            <xm:f>0</xm:f>
          </x14:formula2>
          <xm:sqref>AP5:AP304</xm:sqref>
        </x14:dataValidation>
        <x14:dataValidation type="list" allowBlank="1" xr:uid="{00000000-0002-0000-0400-000021000000}">
          <x14:formula1>
            <xm:f>'Referral Log'!$B$6:$B$10</xm:f>
          </x14:formula1>
          <x14:formula2>
            <xm:f>0</xm:f>
          </x14:formula2>
          <xm:sqref>DC5:DC304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162"/>
  <sheetViews>
    <sheetView showGridLines="0" zoomScaleNormal="100" workbookViewId="0"/>
  </sheetViews>
  <sheetFormatPr defaultColWidth="8.7109375" defaultRowHeight="15" x14ac:dyDescent="0.25"/>
  <cols>
    <col min="1" max="1" width="2" customWidth="1"/>
    <col min="2" max="2" width="40" customWidth="1"/>
    <col min="3" max="3" width="15" customWidth="1"/>
    <col min="4" max="6" width="16" customWidth="1"/>
    <col min="7" max="7" width="14" customWidth="1"/>
    <col min="8" max="8" width="40" customWidth="1"/>
  </cols>
  <sheetData>
    <row r="1" spans="2:8" ht="25.5" customHeight="1" x14ac:dyDescent="0.25">
      <c r="B1" s="14" t="s">
        <v>575</v>
      </c>
      <c r="C1" s="14"/>
      <c r="D1" s="14"/>
      <c r="E1" s="14"/>
      <c r="F1" s="14"/>
      <c r="G1" s="14"/>
      <c r="H1" s="14"/>
    </row>
    <row r="2" spans="2:8" ht="15" customHeight="1" x14ac:dyDescent="0.25">
      <c r="B2" s="13" t="s">
        <v>576</v>
      </c>
      <c r="C2" s="13"/>
      <c r="D2" s="13"/>
      <c r="E2" s="13"/>
      <c r="F2" s="13"/>
      <c r="G2" s="13"/>
      <c r="H2" s="13"/>
    </row>
    <row r="4" spans="2:8" ht="18" customHeight="1" x14ac:dyDescent="0.25">
      <c r="B4" s="12" t="s">
        <v>577</v>
      </c>
      <c r="C4" s="12"/>
      <c r="D4" s="12"/>
      <c r="E4" s="12"/>
      <c r="F4" s="12"/>
      <c r="G4" s="12"/>
      <c r="H4" s="12"/>
    </row>
    <row r="5" spans="2:8" x14ac:dyDescent="0.25">
      <c r="B5" s="36" t="s">
        <v>578</v>
      </c>
      <c r="C5" s="107">
        <f>COUNTA('Portfolio Register'!$A$5:$A$304)</f>
        <v>6</v>
      </c>
    </row>
    <row r="6" spans="2:8" x14ac:dyDescent="0.25">
      <c r="B6" s="36" t="s">
        <v>579</v>
      </c>
      <c r="C6" s="58">
        <f>SUM('Portfolio Register'!$J$5:$J$304)</f>
        <v>8140000</v>
      </c>
    </row>
    <row r="7" spans="2:8" x14ac:dyDescent="0.25">
      <c r="B7" s="32" t="s">
        <v>580</v>
      </c>
      <c r="C7" s="76">
        <f>SUM('Portfolio Register'!$CM$5:$CM$304)</f>
        <v>206413.86321032306</v>
      </c>
    </row>
    <row r="8" spans="2:8" x14ac:dyDescent="0.25">
      <c r="B8" s="32" t="s">
        <v>581</v>
      </c>
      <c r="C8" s="76">
        <f>SUM('Portfolio Register'!$CO$5:$CO$304)</f>
        <v>213646.92679144282</v>
      </c>
    </row>
    <row r="9" spans="2:8" x14ac:dyDescent="0.25">
      <c r="B9" s="36" t="s">
        <v>582</v>
      </c>
      <c r="C9" s="58">
        <f>SUM('Portfolio Register'!$CR$5:$CR$304)+SUM('Portfolio Register'!$CS$5:$CS$304)</f>
        <v>10517.43260989488</v>
      </c>
    </row>
    <row r="10" spans="2:8" x14ac:dyDescent="0.25">
      <c r="B10" s="36" t="s">
        <v>583</v>
      </c>
      <c r="C10" s="58">
        <f>SUM('Portfolio Register'!$CT$5:$CT$304)</f>
        <v>224164.35940133772</v>
      </c>
    </row>
    <row r="11" spans="2:8" x14ac:dyDescent="0.25">
      <c r="B11" s="36" t="s">
        <v>584</v>
      </c>
      <c r="C11" s="58">
        <f>SUM('Portfolio Register'!$CU$5:$CU$304)</f>
        <v>37388.212188502497</v>
      </c>
    </row>
    <row r="12" spans="2:8" x14ac:dyDescent="0.25">
      <c r="B12" s="32" t="s">
        <v>585</v>
      </c>
      <c r="C12" s="76">
        <f>SUM('Portfolio Register'!$CV$5:$CV$304)</f>
        <v>21364.692679144289</v>
      </c>
    </row>
    <row r="13" spans="2:8" x14ac:dyDescent="0.25">
      <c r="B13" s="36" t="s">
        <v>346</v>
      </c>
      <c r="C13" s="58">
        <f>SUM('Portfolio Register'!$CW$5:$CW$304)</f>
        <v>154894.02192379604</v>
      </c>
    </row>
    <row r="14" spans="2:8" x14ac:dyDescent="0.25">
      <c r="B14" s="36" t="s">
        <v>586</v>
      </c>
      <c r="C14" s="108">
        <f>IFERROR(SUM('Portfolio Register'!$CM$5:$CM$304)/SUM('Portfolio Register'!$J$5:$J$304)*100,0)</f>
        <v>2.5357968453356641</v>
      </c>
    </row>
    <row r="15" spans="2:8" x14ac:dyDescent="0.25">
      <c r="B15" s="36" t="s">
        <v>587</v>
      </c>
      <c r="C15" s="108">
        <f>IFERROR(SUM('Portfolio Register'!$CO$5:$CO$304)/SUM('Portfolio Register'!$J$5:$J$304)*100,0)</f>
        <v>2.6246551202879953</v>
      </c>
    </row>
    <row r="16" spans="2:8" x14ac:dyDescent="0.25">
      <c r="B16" s="32" t="s">
        <v>588</v>
      </c>
      <c r="C16" s="109">
        <f>IFERROR(SUM('Portfolio Register'!$CO$5:$CO$304)/SUM('Portfolio Register'!$CM$5:$CM$304),0)</f>
        <v>1.0350415590727533</v>
      </c>
    </row>
    <row r="17" spans="2:8" x14ac:dyDescent="0.25">
      <c r="B17" s="36" t="s">
        <v>589</v>
      </c>
      <c r="C17" s="58">
        <f>IFERROR(C8/C5,0)</f>
        <v>35607.821131907134</v>
      </c>
    </row>
    <row r="18" spans="2:8" x14ac:dyDescent="0.25">
      <c r="B18" s="36" t="s">
        <v>590</v>
      </c>
      <c r="C18" s="58">
        <f>IFERROR(MAX('Portfolio Register'!$J$5:$J$304),0)</f>
        <v>3600000</v>
      </c>
    </row>
    <row r="19" spans="2:8" x14ac:dyDescent="0.25">
      <c r="B19" s="36" t="s">
        <v>591</v>
      </c>
      <c r="C19" s="107">
        <f>COUNTIF('Portfolio Register'!$CX$5:$CX$304,"AUTO-BIND")</f>
        <v>3</v>
      </c>
    </row>
    <row r="20" spans="2:8" x14ac:dyDescent="0.25">
      <c r="B20" s="36" t="s">
        <v>592</v>
      </c>
      <c r="C20" s="107">
        <f>COUNTIF('Portfolio Register'!$CX$5:$CX$304,"REFER")</f>
        <v>3</v>
      </c>
    </row>
    <row r="21" spans="2:8" x14ac:dyDescent="0.25">
      <c r="B21" s="36" t="s">
        <v>593</v>
      </c>
      <c r="C21" s="107">
        <f>COUNTIF('Portfolio Register'!$CX$5:$CX$304,"DECLINE")</f>
        <v>0</v>
      </c>
    </row>
    <row r="22" spans="2:8" x14ac:dyDescent="0.25">
      <c r="B22" s="36" t="s">
        <v>594</v>
      </c>
      <c r="C22" s="107">
        <f>COUNTIF('Portfolio Register'!$CX$5:$CX$304,"CHECK INPUTS")</f>
        <v>0</v>
      </c>
    </row>
    <row r="24" spans="2:8" ht="18" customHeight="1" x14ac:dyDescent="0.25">
      <c r="B24" s="12" t="s">
        <v>595</v>
      </c>
      <c r="C24" s="12"/>
      <c r="D24" s="12"/>
      <c r="E24" s="12"/>
      <c r="F24" s="12"/>
      <c r="G24" s="12"/>
      <c r="H24" s="12"/>
    </row>
    <row r="25" spans="2:8" ht="27.75" customHeight="1" x14ac:dyDescent="0.25">
      <c r="B25" s="110" t="s">
        <v>165</v>
      </c>
      <c r="C25" s="110" t="s">
        <v>596</v>
      </c>
      <c r="D25" s="110" t="s">
        <v>597</v>
      </c>
      <c r="E25" s="110" t="s">
        <v>598</v>
      </c>
      <c r="F25" s="110" t="s">
        <v>599</v>
      </c>
      <c r="G25" s="110" t="s">
        <v>600</v>
      </c>
    </row>
    <row r="26" spans="2:8" x14ac:dyDescent="0.25">
      <c r="B26" s="27" t="str">
        <f>'Base Rates'!B5</f>
        <v>01 - Luxury Sedan / SUV</v>
      </c>
      <c r="C26" s="111">
        <f>COUNTIFS('Portfolio Register'!$I$5:$I$304,$B26)</f>
        <v>0</v>
      </c>
      <c r="D26" s="112">
        <f>SUMIFS('Portfolio Register'!$J$5:$J$304,'Portfolio Register'!$I$5:$I$304,$B26)</f>
        <v>0</v>
      </c>
      <c r="E26" s="112">
        <f>SUMIFS('Portfolio Register'!$CM$5:$CM$304,'Portfolio Register'!$I$5:$I$304,$B26)</f>
        <v>0</v>
      </c>
      <c r="F26" s="112">
        <f>SUMIFS('Portfolio Register'!$CO$5:$CO$304,'Portfolio Register'!$I$5:$I$304,$B26)</f>
        <v>0</v>
      </c>
      <c r="G26" s="113" t="str">
        <f t="shared" ref="G26:G37" si="0">IFERROR(E26/D26*100,"")</f>
        <v/>
      </c>
    </row>
    <row r="27" spans="2:8" x14ac:dyDescent="0.25">
      <c r="B27" s="114" t="str">
        <f>'Base Rates'!B6</f>
        <v>02 - Sports / GT</v>
      </c>
      <c r="C27" s="115">
        <f>COUNTIFS('Portfolio Register'!$I$5:$I$304,$B27)</f>
        <v>1</v>
      </c>
      <c r="D27" s="116">
        <f>SUMIFS('Portfolio Register'!$J$5:$J$304,'Portfolio Register'!$I$5:$I$304,$B27)</f>
        <v>185000</v>
      </c>
      <c r="E27" s="116">
        <f>SUMIFS('Portfolio Register'!$CM$5:$CM$304,'Portfolio Register'!$I$5:$I$304,$B27)</f>
        <v>3482.471573774309</v>
      </c>
      <c r="F27" s="116">
        <f>SUMIFS('Portfolio Register'!$CO$5:$CO$304,'Portfolio Register'!$I$5:$I$304,$B27)</f>
        <v>3064.5749849213921</v>
      </c>
      <c r="G27" s="117">
        <f t="shared" si="0"/>
        <v>1.882417066905032</v>
      </c>
    </row>
    <row r="28" spans="2:8" x14ac:dyDescent="0.25">
      <c r="B28" s="27" t="str">
        <f>'Base Rates'!B7</f>
        <v>03 - Supercar</v>
      </c>
      <c r="C28" s="111">
        <f>COUNTIFS('Portfolio Register'!$I$5:$I$304,$B28)</f>
        <v>2</v>
      </c>
      <c r="D28" s="112">
        <f>SUMIFS('Portfolio Register'!$J$5:$J$304,'Portfolio Register'!$I$5:$I$304,$B28)</f>
        <v>705000</v>
      </c>
      <c r="E28" s="112">
        <f>SUMIFS('Portfolio Register'!$CM$5:$CM$304,'Portfolio Register'!$I$5:$I$304,$B28)</f>
        <v>71244.432618247462</v>
      </c>
      <c r="F28" s="112">
        <f>SUMIFS('Portfolio Register'!$CO$5:$CO$304,'Portfolio Register'!$I$5:$I$304,$B28)</f>
        <v>75863.118983112334</v>
      </c>
      <c r="G28" s="113">
        <f t="shared" si="0"/>
        <v>10.105593279184037</v>
      </c>
    </row>
    <row r="29" spans="2:8" x14ac:dyDescent="0.25">
      <c r="B29" s="114" t="str">
        <f>'Base Rates'!B8</f>
        <v>04 - Hypercar</v>
      </c>
      <c r="C29" s="115">
        <f>COUNTIFS('Portfolio Register'!$I$5:$I$304,$B29)</f>
        <v>1</v>
      </c>
      <c r="D29" s="116">
        <f>SUMIFS('Portfolio Register'!$J$5:$J$304,'Portfolio Register'!$I$5:$I$304,$B29)</f>
        <v>3600000</v>
      </c>
      <c r="E29" s="116">
        <f>SUMIFS('Portfolio Register'!$CM$5:$CM$304,'Portfolio Register'!$I$5:$I$304,$B29)</f>
        <v>45279.628095021042</v>
      </c>
      <c r="F29" s="116">
        <f>SUMIFS('Portfolio Register'!$CO$5:$CO$304,'Portfolio Register'!$I$5:$I$304,$B29)</f>
        <v>45279.628095021042</v>
      </c>
      <c r="G29" s="117">
        <f t="shared" si="0"/>
        <v>1.257767447083918</v>
      </c>
    </row>
    <row r="30" spans="2:8" x14ac:dyDescent="0.25">
      <c r="B30" s="27" t="str">
        <f>'Base Rates'!B9</f>
        <v>05 - Limited Edition / Track-Focused</v>
      </c>
      <c r="C30" s="111">
        <f>COUNTIFS('Portfolio Register'!$I$5:$I$304,$B30)</f>
        <v>0</v>
      </c>
      <c r="D30" s="112">
        <f>SUMIFS('Portfolio Register'!$J$5:$J$304,'Portfolio Register'!$I$5:$I$304,$B30)</f>
        <v>0</v>
      </c>
      <c r="E30" s="112">
        <f>SUMIFS('Portfolio Register'!$CM$5:$CM$304,'Portfolio Register'!$I$5:$I$304,$B30)</f>
        <v>0</v>
      </c>
      <c r="F30" s="112">
        <f>SUMIFS('Portfolio Register'!$CO$5:$CO$304,'Portfolio Register'!$I$5:$I$304,$B30)</f>
        <v>0</v>
      </c>
      <c r="G30" s="113" t="str">
        <f t="shared" si="0"/>
        <v/>
      </c>
    </row>
    <row r="31" spans="2:8" x14ac:dyDescent="0.25">
      <c r="B31" s="114" t="str">
        <f>'Base Rates'!B10</f>
        <v>06 - Vintage Pre-War (pre-1946)</v>
      </c>
      <c r="C31" s="115">
        <f>COUNTIFS('Portfolio Register'!$I$5:$I$304,$B31)</f>
        <v>0</v>
      </c>
      <c r="D31" s="116">
        <f>SUMIFS('Portfolio Register'!$J$5:$J$304,'Portfolio Register'!$I$5:$I$304,$B31)</f>
        <v>0</v>
      </c>
      <c r="E31" s="116">
        <f>SUMIFS('Portfolio Register'!$CM$5:$CM$304,'Portfolio Register'!$I$5:$I$304,$B31)</f>
        <v>0</v>
      </c>
      <c r="F31" s="116">
        <f>SUMIFS('Portfolio Register'!$CO$5:$CO$304,'Portfolio Register'!$I$5:$I$304,$B31)</f>
        <v>0</v>
      </c>
      <c r="G31" s="117" t="str">
        <f t="shared" si="0"/>
        <v/>
      </c>
    </row>
    <row r="32" spans="2:8" x14ac:dyDescent="0.25">
      <c r="B32" s="27" t="str">
        <f>'Base Rates'!B11</f>
        <v>07 - Post-War Classic (1946-1972)</v>
      </c>
      <c r="C32" s="111">
        <f>COUNTIFS('Portfolio Register'!$I$5:$I$304,$B32)</f>
        <v>1</v>
      </c>
      <c r="D32" s="112">
        <f>SUMIFS('Portfolio Register'!$J$5:$J$304,'Portfolio Register'!$I$5:$I$304,$B32)</f>
        <v>1450000</v>
      </c>
      <c r="E32" s="112">
        <f>SUMIFS('Portfolio Register'!$CM$5:$CM$304,'Portfolio Register'!$I$5:$I$304,$B32)</f>
        <v>9908.4057004322822</v>
      </c>
      <c r="F32" s="112">
        <f>SUMIFS('Portfolio Register'!$CO$5:$CO$304,'Portfolio Register'!$I$5:$I$304,$B32)</f>
        <v>9115.7332443976993</v>
      </c>
      <c r="G32" s="113">
        <f t="shared" si="0"/>
        <v>0.68333832416774365</v>
      </c>
    </row>
    <row r="33" spans="2:8" x14ac:dyDescent="0.25">
      <c r="B33" s="114" t="str">
        <f>'Base Rates'!B12</f>
        <v>08 - Modern Classic (1973-1999)</v>
      </c>
      <c r="C33" s="115">
        <f>COUNTIFS('Portfolio Register'!$I$5:$I$304,$B33)</f>
        <v>0</v>
      </c>
      <c r="D33" s="116">
        <f>SUMIFS('Portfolio Register'!$J$5:$J$304,'Portfolio Register'!$I$5:$I$304,$B33)</f>
        <v>0</v>
      </c>
      <c r="E33" s="116">
        <f>SUMIFS('Portfolio Register'!$CM$5:$CM$304,'Portfolio Register'!$I$5:$I$304,$B33)</f>
        <v>0</v>
      </c>
      <c r="F33" s="116">
        <f>SUMIFS('Portfolio Register'!$CO$5:$CO$304,'Portfolio Register'!$I$5:$I$304,$B33)</f>
        <v>0</v>
      </c>
      <c r="G33" s="117" t="str">
        <f t="shared" si="0"/>
        <v/>
      </c>
    </row>
    <row r="34" spans="2:8" x14ac:dyDescent="0.25">
      <c r="B34" s="27" t="str">
        <f>'Base Rates'!B13</f>
        <v>09 - Youngtimer / Collectible (2000-2010)</v>
      </c>
      <c r="C34" s="111">
        <f>COUNTIFS('Portfolio Register'!$I$5:$I$304,$B34)</f>
        <v>0</v>
      </c>
      <c r="D34" s="112">
        <f>SUMIFS('Portfolio Register'!$J$5:$J$304,'Portfolio Register'!$I$5:$I$304,$B34)</f>
        <v>0</v>
      </c>
      <c r="E34" s="112">
        <f>SUMIFS('Portfolio Register'!$CM$5:$CM$304,'Portfolio Register'!$I$5:$I$304,$B34)</f>
        <v>0</v>
      </c>
      <c r="F34" s="112">
        <f>SUMIFS('Portfolio Register'!$CO$5:$CO$304,'Portfolio Register'!$I$5:$I$304,$B34)</f>
        <v>0</v>
      </c>
      <c r="G34" s="113" t="str">
        <f t="shared" si="0"/>
        <v/>
      </c>
    </row>
    <row r="35" spans="2:8" x14ac:dyDescent="0.25">
      <c r="B35" s="114" t="str">
        <f>'Base Rates'!B14</f>
        <v>10 - Competition / Race Car (non-competitive use)</v>
      </c>
      <c r="C35" s="115">
        <f>COUNTIFS('Portfolio Register'!$I$5:$I$304,$B35)</f>
        <v>0</v>
      </c>
      <c r="D35" s="116">
        <f>SUMIFS('Portfolio Register'!$J$5:$J$304,'Portfolio Register'!$I$5:$I$304,$B35)</f>
        <v>0</v>
      </c>
      <c r="E35" s="116">
        <f>SUMIFS('Portfolio Register'!$CM$5:$CM$304,'Portfolio Register'!$I$5:$I$304,$B35)</f>
        <v>0</v>
      </c>
      <c r="F35" s="116">
        <f>SUMIFS('Portfolio Register'!$CO$5:$CO$304,'Portfolio Register'!$I$5:$I$304,$B35)</f>
        <v>0</v>
      </c>
      <c r="G35" s="117" t="str">
        <f t="shared" si="0"/>
        <v/>
      </c>
    </row>
    <row r="36" spans="2:8" x14ac:dyDescent="0.25">
      <c r="B36" s="27" t="str">
        <f>'Base Rates'!B15</f>
        <v>11 - Restomod / Coachbuilt / Bespoke</v>
      </c>
      <c r="C36" s="111">
        <f>COUNTIFS('Portfolio Register'!$I$5:$I$304,$B36)</f>
        <v>1</v>
      </c>
      <c r="D36" s="112">
        <f>SUMIFS('Portfolio Register'!$J$5:$J$304,'Portfolio Register'!$I$5:$I$304,$B36)</f>
        <v>2200000</v>
      </c>
      <c r="E36" s="112">
        <f>SUMIFS('Portfolio Register'!$CM$5:$CM$304,'Portfolio Register'!$I$5:$I$304,$B36)</f>
        <v>76498.925222847975</v>
      </c>
      <c r="F36" s="112">
        <f>SUMIFS('Portfolio Register'!$CO$5:$CO$304,'Portfolio Register'!$I$5:$I$304,$B36)</f>
        <v>80323.87148399037</v>
      </c>
      <c r="G36" s="113">
        <f t="shared" si="0"/>
        <v>3.4772238737658165</v>
      </c>
    </row>
    <row r="37" spans="2:8" x14ac:dyDescent="0.25">
      <c r="B37" s="114" t="str">
        <f>'Base Rates'!B16</f>
        <v>12 - Performance EV / Electric Hyper</v>
      </c>
      <c r="C37" s="115">
        <f>COUNTIFS('Portfolio Register'!$I$5:$I$304,$B37)</f>
        <v>0</v>
      </c>
      <c r="D37" s="116">
        <f>SUMIFS('Portfolio Register'!$J$5:$J$304,'Portfolio Register'!$I$5:$I$304,$B37)</f>
        <v>0</v>
      </c>
      <c r="E37" s="116">
        <f>SUMIFS('Portfolio Register'!$CM$5:$CM$304,'Portfolio Register'!$I$5:$I$304,$B37)</f>
        <v>0</v>
      </c>
      <c r="F37" s="116">
        <f>SUMIFS('Portfolio Register'!$CO$5:$CO$304,'Portfolio Register'!$I$5:$I$304,$B37)</f>
        <v>0</v>
      </c>
      <c r="G37" s="117" t="str">
        <f t="shared" si="0"/>
        <v/>
      </c>
    </row>
    <row r="39" spans="2:8" ht="18" customHeight="1" x14ac:dyDescent="0.25">
      <c r="B39" s="12" t="s">
        <v>601</v>
      </c>
      <c r="C39" s="12"/>
      <c r="D39" s="12"/>
      <c r="E39" s="12"/>
      <c r="F39" s="12"/>
      <c r="G39" s="12"/>
      <c r="H39" s="12"/>
    </row>
    <row r="40" spans="2:8" ht="27.75" customHeight="1" x14ac:dyDescent="0.25">
      <c r="B40" s="110" t="s">
        <v>602</v>
      </c>
      <c r="C40" s="110" t="s">
        <v>596</v>
      </c>
      <c r="D40" s="110" t="s">
        <v>597</v>
      </c>
      <c r="E40" s="110" t="s">
        <v>599</v>
      </c>
      <c r="F40" s="110" t="s">
        <v>603</v>
      </c>
    </row>
    <row r="41" spans="2:8" x14ac:dyDescent="0.25">
      <c r="B41" s="27" t="str">
        <f>'Territory Factors'!B6</f>
        <v>Alabama</v>
      </c>
      <c r="C41" s="111">
        <f>COUNTIFS('Portfolio Register'!$K$5:$K$304,$B41)</f>
        <v>0</v>
      </c>
      <c r="D41" s="112">
        <f>SUMIFS('Portfolio Register'!$J$5:$J$304,'Portfolio Register'!$K$5:$K$304,$B41)</f>
        <v>0</v>
      </c>
      <c r="E41" s="112">
        <f>SUMIFS('Portfolio Register'!$CO$5:$CO$304,'Portfolio Register'!$K$5:$K$304,$B41)</f>
        <v>0</v>
      </c>
      <c r="F41" s="113" t="str">
        <f t="shared" ref="F41:F72" si="1">IFERROR(E41/D41*100,"")</f>
        <v/>
      </c>
    </row>
    <row r="42" spans="2:8" x14ac:dyDescent="0.25">
      <c r="B42" s="114" t="str">
        <f>'Territory Factors'!B7</f>
        <v>Alaska</v>
      </c>
      <c r="C42" s="115">
        <f>COUNTIFS('Portfolio Register'!$K$5:$K$304,$B42)</f>
        <v>0</v>
      </c>
      <c r="D42" s="116">
        <f>SUMIFS('Portfolio Register'!$J$5:$J$304,'Portfolio Register'!$K$5:$K$304,$B42)</f>
        <v>0</v>
      </c>
      <c r="E42" s="116">
        <f>SUMIFS('Portfolio Register'!$CO$5:$CO$304,'Portfolio Register'!$K$5:$K$304,$B42)</f>
        <v>0</v>
      </c>
      <c r="F42" s="117" t="str">
        <f t="shared" si="1"/>
        <v/>
      </c>
    </row>
    <row r="43" spans="2:8" x14ac:dyDescent="0.25">
      <c r="B43" s="27" t="str">
        <f>'Territory Factors'!B8</f>
        <v>Arizona</v>
      </c>
      <c r="C43" s="111">
        <f>COUNTIFS('Portfolio Register'!$K$5:$K$304,$B43)</f>
        <v>2</v>
      </c>
      <c r="D43" s="112">
        <f>SUMIFS('Portfolio Register'!$J$5:$J$304,'Portfolio Register'!$K$5:$K$304,$B43)</f>
        <v>5050000</v>
      </c>
      <c r="E43" s="112">
        <f>SUMIFS('Portfolio Register'!$CO$5:$CO$304,'Portfolio Register'!$K$5:$K$304,$B43)</f>
        <v>54395.361339418741</v>
      </c>
      <c r="F43" s="113">
        <f t="shared" si="1"/>
        <v>1.0771358681073018</v>
      </c>
    </row>
    <row r="44" spans="2:8" x14ac:dyDescent="0.25">
      <c r="B44" s="114" t="str">
        <f>'Territory Factors'!B9</f>
        <v>Arkansas</v>
      </c>
      <c r="C44" s="115">
        <f>COUNTIFS('Portfolio Register'!$K$5:$K$304,$B44)</f>
        <v>0</v>
      </c>
      <c r="D44" s="116">
        <f>SUMIFS('Portfolio Register'!$J$5:$J$304,'Portfolio Register'!$K$5:$K$304,$B44)</f>
        <v>0</v>
      </c>
      <c r="E44" s="116">
        <f>SUMIFS('Portfolio Register'!$CO$5:$CO$304,'Portfolio Register'!$K$5:$K$304,$B44)</f>
        <v>0</v>
      </c>
      <c r="F44" s="117" t="str">
        <f t="shared" si="1"/>
        <v/>
      </c>
    </row>
    <row r="45" spans="2:8" x14ac:dyDescent="0.25">
      <c r="B45" s="27" t="str">
        <f>'Territory Factors'!B10</f>
        <v>California</v>
      </c>
      <c r="C45" s="111">
        <f>COUNTIFS('Portfolio Register'!$K$5:$K$304,$B45)</f>
        <v>1</v>
      </c>
      <c r="D45" s="112">
        <f>SUMIFS('Portfolio Register'!$J$5:$J$304,'Portfolio Register'!$K$5:$K$304,$B45)</f>
        <v>2200000</v>
      </c>
      <c r="E45" s="112">
        <f>SUMIFS('Portfolio Register'!$CO$5:$CO$304,'Portfolio Register'!$K$5:$K$304,$B45)</f>
        <v>80323.87148399037</v>
      </c>
      <c r="F45" s="113">
        <f t="shared" si="1"/>
        <v>3.6510850674541082</v>
      </c>
    </row>
    <row r="46" spans="2:8" x14ac:dyDescent="0.25">
      <c r="B46" s="114" t="str">
        <f>'Territory Factors'!B11</f>
        <v>Colorado</v>
      </c>
      <c r="C46" s="115">
        <f>COUNTIFS('Portfolio Register'!$K$5:$K$304,$B46)</f>
        <v>0</v>
      </c>
      <c r="D46" s="116">
        <f>SUMIFS('Portfolio Register'!$J$5:$J$304,'Portfolio Register'!$K$5:$K$304,$B46)</f>
        <v>0</v>
      </c>
      <c r="E46" s="116">
        <f>SUMIFS('Portfolio Register'!$CO$5:$CO$304,'Portfolio Register'!$K$5:$K$304,$B46)</f>
        <v>0</v>
      </c>
      <c r="F46" s="117" t="str">
        <f t="shared" si="1"/>
        <v/>
      </c>
    </row>
    <row r="47" spans="2:8" x14ac:dyDescent="0.25">
      <c r="B47" s="27" t="str">
        <f>'Territory Factors'!B12</f>
        <v>Connecticut</v>
      </c>
      <c r="C47" s="111">
        <f>COUNTIFS('Portfolio Register'!$K$5:$K$304,$B47)</f>
        <v>0</v>
      </c>
      <c r="D47" s="112">
        <f>SUMIFS('Portfolio Register'!$J$5:$J$304,'Portfolio Register'!$K$5:$K$304,$B47)</f>
        <v>0</v>
      </c>
      <c r="E47" s="112">
        <f>SUMIFS('Portfolio Register'!$CO$5:$CO$304,'Portfolio Register'!$K$5:$K$304,$B47)</f>
        <v>0</v>
      </c>
      <c r="F47" s="113" t="str">
        <f t="shared" si="1"/>
        <v/>
      </c>
    </row>
    <row r="48" spans="2:8" x14ac:dyDescent="0.25">
      <c r="B48" s="114" t="str">
        <f>'Territory Factors'!B13</f>
        <v>Delaware</v>
      </c>
      <c r="C48" s="115">
        <f>COUNTIFS('Portfolio Register'!$K$5:$K$304,$B48)</f>
        <v>0</v>
      </c>
      <c r="D48" s="116">
        <f>SUMIFS('Portfolio Register'!$J$5:$J$304,'Portfolio Register'!$K$5:$K$304,$B48)</f>
        <v>0</v>
      </c>
      <c r="E48" s="116">
        <f>SUMIFS('Portfolio Register'!$CO$5:$CO$304,'Portfolio Register'!$K$5:$K$304,$B48)</f>
        <v>0</v>
      </c>
      <c r="F48" s="117" t="str">
        <f t="shared" si="1"/>
        <v/>
      </c>
    </row>
    <row r="49" spans="2:6" x14ac:dyDescent="0.25">
      <c r="B49" s="27" t="str">
        <f>'Territory Factors'!B14</f>
        <v>District of Columbia</v>
      </c>
      <c r="C49" s="111">
        <f>COUNTIFS('Portfolio Register'!$K$5:$K$304,$B49)</f>
        <v>0</v>
      </c>
      <c r="D49" s="112">
        <f>SUMIFS('Portfolio Register'!$J$5:$J$304,'Portfolio Register'!$K$5:$K$304,$B49)</f>
        <v>0</v>
      </c>
      <c r="E49" s="112">
        <f>SUMIFS('Portfolio Register'!$CO$5:$CO$304,'Portfolio Register'!$K$5:$K$304,$B49)</f>
        <v>0</v>
      </c>
      <c r="F49" s="113" t="str">
        <f t="shared" si="1"/>
        <v/>
      </c>
    </row>
    <row r="50" spans="2:6" x14ac:dyDescent="0.25">
      <c r="B50" s="114" t="str">
        <f>'Territory Factors'!B15</f>
        <v>Florida</v>
      </c>
      <c r="C50" s="115">
        <f>COUNTIFS('Portfolio Register'!$K$5:$K$304,$B50)</f>
        <v>1</v>
      </c>
      <c r="D50" s="116">
        <f>SUMIFS('Portfolio Register'!$J$5:$J$304,'Portfolio Register'!$K$5:$K$304,$B50)</f>
        <v>425000</v>
      </c>
      <c r="E50" s="116">
        <f>SUMIFS('Portfolio Register'!$CO$5:$CO$304,'Portfolio Register'!$K$5:$K$304,$B50)</f>
        <v>25057.568969598808</v>
      </c>
      <c r="F50" s="117">
        <f t="shared" si="1"/>
        <v>5.8958985810820721</v>
      </c>
    </row>
    <row r="51" spans="2:6" x14ac:dyDescent="0.25">
      <c r="B51" s="27" t="str">
        <f>'Territory Factors'!B16</f>
        <v>Georgia</v>
      </c>
      <c r="C51" s="111">
        <f>COUNTIFS('Portfolio Register'!$K$5:$K$304,$B51)</f>
        <v>0</v>
      </c>
      <c r="D51" s="112">
        <f>SUMIFS('Portfolio Register'!$J$5:$J$304,'Portfolio Register'!$K$5:$K$304,$B51)</f>
        <v>0</v>
      </c>
      <c r="E51" s="112">
        <f>SUMIFS('Portfolio Register'!$CO$5:$CO$304,'Portfolio Register'!$K$5:$K$304,$B51)</f>
        <v>0</v>
      </c>
      <c r="F51" s="113" t="str">
        <f t="shared" si="1"/>
        <v/>
      </c>
    </row>
    <row r="52" spans="2:6" x14ac:dyDescent="0.25">
      <c r="B52" s="114" t="str">
        <f>'Territory Factors'!B17</f>
        <v>Hawaii</v>
      </c>
      <c r="C52" s="115">
        <f>COUNTIFS('Portfolio Register'!$K$5:$K$304,$B52)</f>
        <v>0</v>
      </c>
      <c r="D52" s="116">
        <f>SUMIFS('Portfolio Register'!$J$5:$J$304,'Portfolio Register'!$K$5:$K$304,$B52)</f>
        <v>0</v>
      </c>
      <c r="E52" s="116">
        <f>SUMIFS('Portfolio Register'!$CO$5:$CO$304,'Portfolio Register'!$K$5:$K$304,$B52)</f>
        <v>0</v>
      </c>
      <c r="F52" s="117" t="str">
        <f t="shared" si="1"/>
        <v/>
      </c>
    </row>
    <row r="53" spans="2:6" x14ac:dyDescent="0.25">
      <c r="B53" s="27" t="str">
        <f>'Territory Factors'!B18</f>
        <v>Idaho</v>
      </c>
      <c r="C53" s="111">
        <f>COUNTIFS('Portfolio Register'!$K$5:$K$304,$B53)</f>
        <v>0</v>
      </c>
      <c r="D53" s="112">
        <f>SUMIFS('Portfolio Register'!$J$5:$J$304,'Portfolio Register'!$K$5:$K$304,$B53)</f>
        <v>0</v>
      </c>
      <c r="E53" s="112">
        <f>SUMIFS('Portfolio Register'!$CO$5:$CO$304,'Portfolio Register'!$K$5:$K$304,$B53)</f>
        <v>0</v>
      </c>
      <c r="F53" s="113" t="str">
        <f t="shared" si="1"/>
        <v/>
      </c>
    </row>
    <row r="54" spans="2:6" x14ac:dyDescent="0.25">
      <c r="B54" s="114" t="str">
        <f>'Territory Factors'!B19</f>
        <v>Illinois</v>
      </c>
      <c r="C54" s="115">
        <f>COUNTIFS('Portfolio Register'!$K$5:$K$304,$B54)</f>
        <v>0</v>
      </c>
      <c r="D54" s="116">
        <f>SUMIFS('Portfolio Register'!$J$5:$J$304,'Portfolio Register'!$K$5:$K$304,$B54)</f>
        <v>0</v>
      </c>
      <c r="E54" s="116">
        <f>SUMIFS('Portfolio Register'!$CO$5:$CO$304,'Portfolio Register'!$K$5:$K$304,$B54)</f>
        <v>0</v>
      </c>
      <c r="F54" s="117" t="str">
        <f t="shared" si="1"/>
        <v/>
      </c>
    </row>
    <row r="55" spans="2:6" x14ac:dyDescent="0.25">
      <c r="B55" s="27" t="str">
        <f>'Territory Factors'!B20</f>
        <v>Indiana</v>
      </c>
      <c r="C55" s="111">
        <f>COUNTIFS('Portfolio Register'!$K$5:$K$304,$B55)</f>
        <v>0</v>
      </c>
      <c r="D55" s="112">
        <f>SUMIFS('Portfolio Register'!$J$5:$J$304,'Portfolio Register'!$K$5:$K$304,$B55)</f>
        <v>0</v>
      </c>
      <c r="E55" s="112">
        <f>SUMIFS('Portfolio Register'!$CO$5:$CO$304,'Portfolio Register'!$K$5:$K$304,$B55)</f>
        <v>0</v>
      </c>
      <c r="F55" s="113" t="str">
        <f t="shared" si="1"/>
        <v/>
      </c>
    </row>
    <row r="56" spans="2:6" x14ac:dyDescent="0.25">
      <c r="B56" s="114" t="str">
        <f>'Territory Factors'!B21</f>
        <v>Iowa</v>
      </c>
      <c r="C56" s="115">
        <f>COUNTIFS('Portfolio Register'!$K$5:$K$304,$B56)</f>
        <v>0</v>
      </c>
      <c r="D56" s="116">
        <f>SUMIFS('Portfolio Register'!$J$5:$J$304,'Portfolio Register'!$K$5:$K$304,$B56)</f>
        <v>0</v>
      </c>
      <c r="E56" s="116">
        <f>SUMIFS('Portfolio Register'!$CO$5:$CO$304,'Portfolio Register'!$K$5:$K$304,$B56)</f>
        <v>0</v>
      </c>
      <c r="F56" s="117" t="str">
        <f t="shared" si="1"/>
        <v/>
      </c>
    </row>
    <row r="57" spans="2:6" x14ac:dyDescent="0.25">
      <c r="B57" s="27" t="str">
        <f>'Territory Factors'!B22</f>
        <v>Kansas</v>
      </c>
      <c r="C57" s="111">
        <f>COUNTIFS('Portfolio Register'!$K$5:$K$304,$B57)</f>
        <v>0</v>
      </c>
      <c r="D57" s="112">
        <f>SUMIFS('Portfolio Register'!$J$5:$J$304,'Portfolio Register'!$K$5:$K$304,$B57)</f>
        <v>0</v>
      </c>
      <c r="E57" s="112">
        <f>SUMIFS('Portfolio Register'!$CO$5:$CO$304,'Portfolio Register'!$K$5:$K$304,$B57)</f>
        <v>0</v>
      </c>
      <c r="F57" s="113" t="str">
        <f t="shared" si="1"/>
        <v/>
      </c>
    </row>
    <row r="58" spans="2:6" x14ac:dyDescent="0.25">
      <c r="B58" s="114" t="str">
        <f>'Territory Factors'!B23</f>
        <v>Kentucky</v>
      </c>
      <c r="C58" s="115">
        <f>COUNTIFS('Portfolio Register'!$K$5:$K$304,$B58)</f>
        <v>0</v>
      </c>
      <c r="D58" s="116">
        <f>SUMIFS('Portfolio Register'!$J$5:$J$304,'Portfolio Register'!$K$5:$K$304,$B58)</f>
        <v>0</v>
      </c>
      <c r="E58" s="116">
        <f>SUMIFS('Portfolio Register'!$CO$5:$CO$304,'Portfolio Register'!$K$5:$K$304,$B58)</f>
        <v>0</v>
      </c>
      <c r="F58" s="117" t="str">
        <f t="shared" si="1"/>
        <v/>
      </c>
    </row>
    <row r="59" spans="2:6" x14ac:dyDescent="0.25">
      <c r="B59" s="27" t="str">
        <f>'Territory Factors'!B24</f>
        <v>Louisiana</v>
      </c>
      <c r="C59" s="111">
        <f>COUNTIFS('Portfolio Register'!$K$5:$K$304,$B59)</f>
        <v>0</v>
      </c>
      <c r="D59" s="112">
        <f>SUMIFS('Portfolio Register'!$J$5:$J$304,'Portfolio Register'!$K$5:$K$304,$B59)</f>
        <v>0</v>
      </c>
      <c r="E59" s="112">
        <f>SUMIFS('Portfolio Register'!$CO$5:$CO$304,'Portfolio Register'!$K$5:$K$304,$B59)</f>
        <v>0</v>
      </c>
      <c r="F59" s="113" t="str">
        <f t="shared" si="1"/>
        <v/>
      </c>
    </row>
    <row r="60" spans="2:6" x14ac:dyDescent="0.25">
      <c r="B60" s="114" t="str">
        <f>'Territory Factors'!B25</f>
        <v>Maine</v>
      </c>
      <c r="C60" s="115">
        <f>COUNTIFS('Portfolio Register'!$K$5:$K$304,$B60)</f>
        <v>0</v>
      </c>
      <c r="D60" s="116">
        <f>SUMIFS('Portfolio Register'!$J$5:$J$304,'Portfolio Register'!$K$5:$K$304,$B60)</f>
        <v>0</v>
      </c>
      <c r="E60" s="116">
        <f>SUMIFS('Portfolio Register'!$CO$5:$CO$304,'Portfolio Register'!$K$5:$K$304,$B60)</f>
        <v>0</v>
      </c>
      <c r="F60" s="117" t="str">
        <f t="shared" si="1"/>
        <v/>
      </c>
    </row>
    <row r="61" spans="2:6" x14ac:dyDescent="0.25">
      <c r="B61" s="27" t="str">
        <f>'Territory Factors'!B26</f>
        <v>Maryland</v>
      </c>
      <c r="C61" s="111">
        <f>COUNTIFS('Portfolio Register'!$K$5:$K$304,$B61)</f>
        <v>0</v>
      </c>
      <c r="D61" s="112">
        <f>SUMIFS('Portfolio Register'!$J$5:$J$304,'Portfolio Register'!$K$5:$K$304,$B61)</f>
        <v>0</v>
      </c>
      <c r="E61" s="112">
        <f>SUMIFS('Portfolio Register'!$CO$5:$CO$304,'Portfolio Register'!$K$5:$K$304,$B61)</f>
        <v>0</v>
      </c>
      <c r="F61" s="113" t="str">
        <f t="shared" si="1"/>
        <v/>
      </c>
    </row>
    <row r="62" spans="2:6" x14ac:dyDescent="0.25">
      <c r="B62" s="114" t="str">
        <f>'Territory Factors'!B27</f>
        <v>Massachusetts</v>
      </c>
      <c r="C62" s="115">
        <f>COUNTIFS('Portfolio Register'!$K$5:$K$304,$B62)</f>
        <v>0</v>
      </c>
      <c r="D62" s="116">
        <f>SUMIFS('Portfolio Register'!$J$5:$J$304,'Portfolio Register'!$K$5:$K$304,$B62)</f>
        <v>0</v>
      </c>
      <c r="E62" s="116">
        <f>SUMIFS('Portfolio Register'!$CO$5:$CO$304,'Portfolio Register'!$K$5:$K$304,$B62)</f>
        <v>0</v>
      </c>
      <c r="F62" s="117" t="str">
        <f t="shared" si="1"/>
        <v/>
      </c>
    </row>
    <row r="63" spans="2:6" x14ac:dyDescent="0.25">
      <c r="B63" s="27" t="str">
        <f>'Territory Factors'!B28</f>
        <v>Michigan</v>
      </c>
      <c r="C63" s="111">
        <f>COUNTIFS('Portfolio Register'!$K$5:$K$304,$B63)</f>
        <v>0</v>
      </c>
      <c r="D63" s="112">
        <f>SUMIFS('Portfolio Register'!$J$5:$J$304,'Portfolio Register'!$K$5:$K$304,$B63)</f>
        <v>0</v>
      </c>
      <c r="E63" s="112">
        <f>SUMIFS('Portfolio Register'!$CO$5:$CO$304,'Portfolio Register'!$K$5:$K$304,$B63)</f>
        <v>0</v>
      </c>
      <c r="F63" s="113" t="str">
        <f t="shared" si="1"/>
        <v/>
      </c>
    </row>
    <row r="64" spans="2:6" x14ac:dyDescent="0.25">
      <c r="B64" s="114" t="str">
        <f>'Territory Factors'!B29</f>
        <v>Minnesota</v>
      </c>
      <c r="C64" s="115">
        <f>COUNTIFS('Portfolio Register'!$K$5:$K$304,$B64)</f>
        <v>0</v>
      </c>
      <c r="D64" s="116">
        <f>SUMIFS('Portfolio Register'!$J$5:$J$304,'Portfolio Register'!$K$5:$K$304,$B64)</f>
        <v>0</v>
      </c>
      <c r="E64" s="116">
        <f>SUMIFS('Portfolio Register'!$CO$5:$CO$304,'Portfolio Register'!$K$5:$K$304,$B64)</f>
        <v>0</v>
      </c>
      <c r="F64" s="117" t="str">
        <f t="shared" si="1"/>
        <v/>
      </c>
    </row>
    <row r="65" spans="2:6" x14ac:dyDescent="0.25">
      <c r="B65" s="27" t="str">
        <f>'Territory Factors'!B30</f>
        <v>Mississippi</v>
      </c>
      <c r="C65" s="111">
        <f>COUNTIFS('Portfolio Register'!$K$5:$K$304,$B65)</f>
        <v>0</v>
      </c>
      <c r="D65" s="112">
        <f>SUMIFS('Portfolio Register'!$J$5:$J$304,'Portfolio Register'!$K$5:$K$304,$B65)</f>
        <v>0</v>
      </c>
      <c r="E65" s="112">
        <f>SUMIFS('Portfolio Register'!$CO$5:$CO$304,'Portfolio Register'!$K$5:$K$304,$B65)</f>
        <v>0</v>
      </c>
      <c r="F65" s="113" t="str">
        <f t="shared" si="1"/>
        <v/>
      </c>
    </row>
    <row r="66" spans="2:6" x14ac:dyDescent="0.25">
      <c r="B66" s="114" t="str">
        <f>'Territory Factors'!B31</f>
        <v>Missouri</v>
      </c>
      <c r="C66" s="115">
        <f>COUNTIFS('Portfolio Register'!$K$5:$K$304,$B66)</f>
        <v>0</v>
      </c>
      <c r="D66" s="116">
        <f>SUMIFS('Portfolio Register'!$J$5:$J$304,'Portfolio Register'!$K$5:$K$304,$B66)</f>
        <v>0</v>
      </c>
      <c r="E66" s="116">
        <f>SUMIFS('Portfolio Register'!$CO$5:$CO$304,'Portfolio Register'!$K$5:$K$304,$B66)</f>
        <v>0</v>
      </c>
      <c r="F66" s="117" t="str">
        <f t="shared" si="1"/>
        <v/>
      </c>
    </row>
    <row r="67" spans="2:6" x14ac:dyDescent="0.25">
      <c r="B67" s="27" t="str">
        <f>'Territory Factors'!B32</f>
        <v>Montana</v>
      </c>
      <c r="C67" s="111">
        <f>COUNTIFS('Portfolio Register'!$K$5:$K$304,$B67)</f>
        <v>0</v>
      </c>
      <c r="D67" s="112">
        <f>SUMIFS('Portfolio Register'!$J$5:$J$304,'Portfolio Register'!$K$5:$K$304,$B67)</f>
        <v>0</v>
      </c>
      <c r="E67" s="112">
        <f>SUMIFS('Portfolio Register'!$CO$5:$CO$304,'Portfolio Register'!$K$5:$K$304,$B67)</f>
        <v>0</v>
      </c>
      <c r="F67" s="113" t="str">
        <f t="shared" si="1"/>
        <v/>
      </c>
    </row>
    <row r="68" spans="2:6" x14ac:dyDescent="0.25">
      <c r="B68" s="114" t="str">
        <f>'Territory Factors'!B33</f>
        <v>Nebraska</v>
      </c>
      <c r="C68" s="115">
        <f>COUNTIFS('Portfolio Register'!$K$5:$K$304,$B68)</f>
        <v>0</v>
      </c>
      <c r="D68" s="116">
        <f>SUMIFS('Portfolio Register'!$J$5:$J$304,'Portfolio Register'!$K$5:$K$304,$B68)</f>
        <v>0</v>
      </c>
      <c r="E68" s="116">
        <f>SUMIFS('Portfolio Register'!$CO$5:$CO$304,'Portfolio Register'!$K$5:$K$304,$B68)</f>
        <v>0</v>
      </c>
      <c r="F68" s="117" t="str">
        <f t="shared" si="1"/>
        <v/>
      </c>
    </row>
    <row r="69" spans="2:6" x14ac:dyDescent="0.25">
      <c r="B69" s="27" t="str">
        <f>'Territory Factors'!B34</f>
        <v>Nevada</v>
      </c>
      <c r="C69" s="111">
        <f>COUNTIFS('Portfolio Register'!$K$5:$K$304,$B69)</f>
        <v>1</v>
      </c>
      <c r="D69" s="112">
        <f>SUMIFS('Portfolio Register'!$J$5:$J$304,'Portfolio Register'!$K$5:$K$304,$B69)</f>
        <v>280000</v>
      </c>
      <c r="E69" s="112">
        <f>SUMIFS('Portfolio Register'!$CO$5:$CO$304,'Portfolio Register'!$K$5:$K$304,$B69)</f>
        <v>50805.550013513523</v>
      </c>
      <c r="F69" s="113">
        <f t="shared" si="1"/>
        <v>18.144839290540542</v>
      </c>
    </row>
    <row r="70" spans="2:6" x14ac:dyDescent="0.25">
      <c r="B70" s="114" t="str">
        <f>'Territory Factors'!B35</f>
        <v>New Hampshire</v>
      </c>
      <c r="C70" s="115">
        <f>COUNTIFS('Portfolio Register'!$K$5:$K$304,$B70)</f>
        <v>0</v>
      </c>
      <c r="D70" s="116">
        <f>SUMIFS('Portfolio Register'!$J$5:$J$304,'Portfolio Register'!$K$5:$K$304,$B70)</f>
        <v>0</v>
      </c>
      <c r="E70" s="116">
        <f>SUMIFS('Portfolio Register'!$CO$5:$CO$304,'Portfolio Register'!$K$5:$K$304,$B70)</f>
        <v>0</v>
      </c>
      <c r="F70" s="117" t="str">
        <f t="shared" si="1"/>
        <v/>
      </c>
    </row>
    <row r="71" spans="2:6" x14ac:dyDescent="0.25">
      <c r="B71" s="27" t="str">
        <f>'Territory Factors'!B36</f>
        <v>New Jersey</v>
      </c>
      <c r="C71" s="111">
        <f>COUNTIFS('Portfolio Register'!$K$5:$K$304,$B71)</f>
        <v>0</v>
      </c>
      <c r="D71" s="112">
        <f>SUMIFS('Portfolio Register'!$J$5:$J$304,'Portfolio Register'!$K$5:$K$304,$B71)</f>
        <v>0</v>
      </c>
      <c r="E71" s="112">
        <f>SUMIFS('Portfolio Register'!$CO$5:$CO$304,'Portfolio Register'!$K$5:$K$304,$B71)</f>
        <v>0</v>
      </c>
      <c r="F71" s="113" t="str">
        <f t="shared" si="1"/>
        <v/>
      </c>
    </row>
    <row r="72" spans="2:6" x14ac:dyDescent="0.25">
      <c r="B72" s="114" t="str">
        <f>'Territory Factors'!B37</f>
        <v>New Mexico</v>
      </c>
      <c r="C72" s="115">
        <f>COUNTIFS('Portfolio Register'!$K$5:$K$304,$B72)</f>
        <v>0</v>
      </c>
      <c r="D72" s="116">
        <f>SUMIFS('Portfolio Register'!$J$5:$J$304,'Portfolio Register'!$K$5:$K$304,$B72)</f>
        <v>0</v>
      </c>
      <c r="E72" s="116">
        <f>SUMIFS('Portfolio Register'!$CO$5:$CO$304,'Portfolio Register'!$K$5:$K$304,$B72)</f>
        <v>0</v>
      </c>
      <c r="F72" s="117" t="str">
        <f t="shared" si="1"/>
        <v/>
      </c>
    </row>
    <row r="73" spans="2:6" x14ac:dyDescent="0.25">
      <c r="B73" s="27" t="str">
        <f>'Territory Factors'!B38</f>
        <v>New York</v>
      </c>
      <c r="C73" s="111">
        <f>COUNTIFS('Portfolio Register'!$K$5:$K$304,$B73)</f>
        <v>0</v>
      </c>
      <c r="D73" s="112">
        <f>SUMIFS('Portfolio Register'!$J$5:$J$304,'Portfolio Register'!$K$5:$K$304,$B73)</f>
        <v>0</v>
      </c>
      <c r="E73" s="112">
        <f>SUMIFS('Portfolio Register'!$CO$5:$CO$304,'Portfolio Register'!$K$5:$K$304,$B73)</f>
        <v>0</v>
      </c>
      <c r="F73" s="113" t="str">
        <f t="shared" ref="F73:F104" si="2">IFERROR(E73/D73*100,"")</f>
        <v/>
      </c>
    </row>
    <row r="74" spans="2:6" x14ac:dyDescent="0.25">
      <c r="B74" s="114" t="str">
        <f>'Territory Factors'!B39</f>
        <v>North Carolina</v>
      </c>
      <c r="C74" s="115">
        <f>COUNTIFS('Portfolio Register'!$K$5:$K$304,$B74)</f>
        <v>0</v>
      </c>
      <c r="D74" s="116">
        <f>SUMIFS('Portfolio Register'!$J$5:$J$304,'Portfolio Register'!$K$5:$K$304,$B74)</f>
        <v>0</v>
      </c>
      <c r="E74" s="116">
        <f>SUMIFS('Portfolio Register'!$CO$5:$CO$304,'Portfolio Register'!$K$5:$K$304,$B74)</f>
        <v>0</v>
      </c>
      <c r="F74" s="117" t="str">
        <f t="shared" si="2"/>
        <v/>
      </c>
    </row>
    <row r="75" spans="2:6" x14ac:dyDescent="0.25">
      <c r="B75" s="27" t="str">
        <f>'Territory Factors'!B40</f>
        <v>North Dakota</v>
      </c>
      <c r="C75" s="111">
        <f>COUNTIFS('Portfolio Register'!$K$5:$K$304,$B75)</f>
        <v>0</v>
      </c>
      <c r="D75" s="112">
        <f>SUMIFS('Portfolio Register'!$J$5:$J$304,'Portfolio Register'!$K$5:$K$304,$B75)</f>
        <v>0</v>
      </c>
      <c r="E75" s="112">
        <f>SUMIFS('Portfolio Register'!$CO$5:$CO$304,'Portfolio Register'!$K$5:$K$304,$B75)</f>
        <v>0</v>
      </c>
      <c r="F75" s="113" t="str">
        <f t="shared" si="2"/>
        <v/>
      </c>
    </row>
    <row r="76" spans="2:6" x14ac:dyDescent="0.25">
      <c r="B76" s="114" t="str">
        <f>'Territory Factors'!B41</f>
        <v>Ohio</v>
      </c>
      <c r="C76" s="115">
        <f>COUNTIFS('Portfolio Register'!$K$5:$K$304,$B76)</f>
        <v>0</v>
      </c>
      <c r="D76" s="116">
        <f>SUMIFS('Portfolio Register'!$J$5:$J$304,'Portfolio Register'!$K$5:$K$304,$B76)</f>
        <v>0</v>
      </c>
      <c r="E76" s="116">
        <f>SUMIFS('Portfolio Register'!$CO$5:$CO$304,'Portfolio Register'!$K$5:$K$304,$B76)</f>
        <v>0</v>
      </c>
      <c r="F76" s="117" t="str">
        <f t="shared" si="2"/>
        <v/>
      </c>
    </row>
    <row r="77" spans="2:6" x14ac:dyDescent="0.25">
      <c r="B77" s="27" t="str">
        <f>'Territory Factors'!B42</f>
        <v>Oklahoma</v>
      </c>
      <c r="C77" s="111">
        <f>COUNTIFS('Portfolio Register'!$K$5:$K$304,$B77)</f>
        <v>0</v>
      </c>
      <c r="D77" s="112">
        <f>SUMIFS('Portfolio Register'!$J$5:$J$304,'Portfolio Register'!$K$5:$K$304,$B77)</f>
        <v>0</v>
      </c>
      <c r="E77" s="112">
        <f>SUMIFS('Portfolio Register'!$CO$5:$CO$304,'Portfolio Register'!$K$5:$K$304,$B77)</f>
        <v>0</v>
      </c>
      <c r="F77" s="113" t="str">
        <f t="shared" si="2"/>
        <v/>
      </c>
    </row>
    <row r="78" spans="2:6" x14ac:dyDescent="0.25">
      <c r="B78" s="114" t="str">
        <f>'Territory Factors'!B43</f>
        <v>Oregon</v>
      </c>
      <c r="C78" s="115">
        <f>COUNTIFS('Portfolio Register'!$K$5:$K$304,$B78)</f>
        <v>0</v>
      </c>
      <c r="D78" s="116">
        <f>SUMIFS('Portfolio Register'!$J$5:$J$304,'Portfolio Register'!$K$5:$K$304,$B78)</f>
        <v>0</v>
      </c>
      <c r="E78" s="116">
        <f>SUMIFS('Portfolio Register'!$CO$5:$CO$304,'Portfolio Register'!$K$5:$K$304,$B78)</f>
        <v>0</v>
      </c>
      <c r="F78" s="117" t="str">
        <f t="shared" si="2"/>
        <v/>
      </c>
    </row>
    <row r="79" spans="2:6" x14ac:dyDescent="0.25">
      <c r="B79" s="27" t="str">
        <f>'Territory Factors'!B44</f>
        <v>Pennsylvania</v>
      </c>
      <c r="C79" s="111">
        <f>COUNTIFS('Portfolio Register'!$K$5:$K$304,$B79)</f>
        <v>0</v>
      </c>
      <c r="D79" s="112">
        <f>SUMIFS('Portfolio Register'!$J$5:$J$304,'Portfolio Register'!$K$5:$K$304,$B79)</f>
        <v>0</v>
      </c>
      <c r="E79" s="112">
        <f>SUMIFS('Portfolio Register'!$CO$5:$CO$304,'Portfolio Register'!$K$5:$K$304,$B79)</f>
        <v>0</v>
      </c>
      <c r="F79" s="113" t="str">
        <f t="shared" si="2"/>
        <v/>
      </c>
    </row>
    <row r="80" spans="2:6" x14ac:dyDescent="0.25">
      <c r="B80" s="114" t="str">
        <f>'Territory Factors'!B45</f>
        <v>Rhode Island</v>
      </c>
      <c r="C80" s="115">
        <f>COUNTIFS('Portfolio Register'!$K$5:$K$304,$B80)</f>
        <v>1</v>
      </c>
      <c r="D80" s="116">
        <f>SUMIFS('Portfolio Register'!$J$5:$J$304,'Portfolio Register'!$K$5:$K$304,$B80)</f>
        <v>185000</v>
      </c>
      <c r="E80" s="116">
        <f>SUMIFS('Portfolio Register'!$CO$5:$CO$304,'Portfolio Register'!$K$5:$K$304,$B80)</f>
        <v>3064.5749849213921</v>
      </c>
      <c r="F80" s="117">
        <f t="shared" si="2"/>
        <v>1.6565270188764283</v>
      </c>
    </row>
    <row r="81" spans="2:8" x14ac:dyDescent="0.25">
      <c r="B81" s="27" t="str">
        <f>'Territory Factors'!B46</f>
        <v>South Carolina</v>
      </c>
      <c r="C81" s="111">
        <f>COUNTIFS('Portfolio Register'!$K$5:$K$304,$B81)</f>
        <v>0</v>
      </c>
      <c r="D81" s="112">
        <f>SUMIFS('Portfolio Register'!$J$5:$J$304,'Portfolio Register'!$K$5:$K$304,$B81)</f>
        <v>0</v>
      </c>
      <c r="E81" s="112">
        <f>SUMIFS('Portfolio Register'!$CO$5:$CO$304,'Portfolio Register'!$K$5:$K$304,$B81)</f>
        <v>0</v>
      </c>
      <c r="F81" s="113" t="str">
        <f t="shared" si="2"/>
        <v/>
      </c>
    </row>
    <row r="82" spans="2:8" x14ac:dyDescent="0.25">
      <c r="B82" s="114" t="str">
        <f>'Territory Factors'!B47</f>
        <v>South Dakota</v>
      </c>
      <c r="C82" s="115">
        <f>COUNTIFS('Portfolio Register'!$K$5:$K$304,$B82)</f>
        <v>0</v>
      </c>
      <c r="D82" s="116">
        <f>SUMIFS('Portfolio Register'!$J$5:$J$304,'Portfolio Register'!$K$5:$K$304,$B82)</f>
        <v>0</v>
      </c>
      <c r="E82" s="116">
        <f>SUMIFS('Portfolio Register'!$CO$5:$CO$304,'Portfolio Register'!$K$5:$K$304,$B82)</f>
        <v>0</v>
      </c>
      <c r="F82" s="117" t="str">
        <f t="shared" si="2"/>
        <v/>
      </c>
    </row>
    <row r="83" spans="2:8" x14ac:dyDescent="0.25">
      <c r="B83" s="27" t="str">
        <f>'Territory Factors'!B48</f>
        <v>Tennessee</v>
      </c>
      <c r="C83" s="111">
        <f>COUNTIFS('Portfolio Register'!$K$5:$K$304,$B83)</f>
        <v>0</v>
      </c>
      <c r="D83" s="112">
        <f>SUMIFS('Portfolio Register'!$J$5:$J$304,'Portfolio Register'!$K$5:$K$304,$B83)</f>
        <v>0</v>
      </c>
      <c r="E83" s="112">
        <f>SUMIFS('Portfolio Register'!$CO$5:$CO$304,'Portfolio Register'!$K$5:$K$304,$B83)</f>
        <v>0</v>
      </c>
      <c r="F83" s="113" t="str">
        <f t="shared" si="2"/>
        <v/>
      </c>
    </row>
    <row r="84" spans="2:8" x14ac:dyDescent="0.25">
      <c r="B84" s="114" t="str">
        <f>'Territory Factors'!B49</f>
        <v>Texas</v>
      </c>
      <c r="C84" s="115">
        <f>COUNTIFS('Portfolio Register'!$K$5:$K$304,$B84)</f>
        <v>0</v>
      </c>
      <c r="D84" s="116">
        <f>SUMIFS('Portfolio Register'!$J$5:$J$304,'Portfolio Register'!$K$5:$K$304,$B84)</f>
        <v>0</v>
      </c>
      <c r="E84" s="116">
        <f>SUMIFS('Portfolio Register'!$CO$5:$CO$304,'Portfolio Register'!$K$5:$K$304,$B84)</f>
        <v>0</v>
      </c>
      <c r="F84" s="117" t="str">
        <f t="shared" si="2"/>
        <v/>
      </c>
    </row>
    <row r="85" spans="2:8" x14ac:dyDescent="0.25">
      <c r="B85" s="27" t="str">
        <f>'Territory Factors'!B50</f>
        <v>Utah</v>
      </c>
      <c r="C85" s="111">
        <f>COUNTIFS('Portfolio Register'!$K$5:$K$304,$B85)</f>
        <v>0</v>
      </c>
      <c r="D85" s="112">
        <f>SUMIFS('Portfolio Register'!$J$5:$J$304,'Portfolio Register'!$K$5:$K$304,$B85)</f>
        <v>0</v>
      </c>
      <c r="E85" s="112">
        <f>SUMIFS('Portfolio Register'!$CO$5:$CO$304,'Portfolio Register'!$K$5:$K$304,$B85)</f>
        <v>0</v>
      </c>
      <c r="F85" s="113" t="str">
        <f t="shared" si="2"/>
        <v/>
      </c>
    </row>
    <row r="86" spans="2:8" x14ac:dyDescent="0.25">
      <c r="B86" s="114" t="str">
        <f>'Territory Factors'!B51</f>
        <v>Vermont</v>
      </c>
      <c r="C86" s="115">
        <f>COUNTIFS('Portfolio Register'!$K$5:$K$304,$B86)</f>
        <v>0</v>
      </c>
      <c r="D86" s="116">
        <f>SUMIFS('Portfolio Register'!$J$5:$J$304,'Portfolio Register'!$K$5:$K$304,$B86)</f>
        <v>0</v>
      </c>
      <c r="E86" s="116">
        <f>SUMIFS('Portfolio Register'!$CO$5:$CO$304,'Portfolio Register'!$K$5:$K$304,$B86)</f>
        <v>0</v>
      </c>
      <c r="F86" s="117" t="str">
        <f t="shared" si="2"/>
        <v/>
      </c>
    </row>
    <row r="87" spans="2:8" x14ac:dyDescent="0.25">
      <c r="B87" s="27" t="str">
        <f>'Territory Factors'!B52</f>
        <v>Virginia</v>
      </c>
      <c r="C87" s="111">
        <f>COUNTIFS('Portfolio Register'!$K$5:$K$304,$B87)</f>
        <v>0</v>
      </c>
      <c r="D87" s="112">
        <f>SUMIFS('Portfolio Register'!$J$5:$J$304,'Portfolio Register'!$K$5:$K$304,$B87)</f>
        <v>0</v>
      </c>
      <c r="E87" s="112">
        <f>SUMIFS('Portfolio Register'!$CO$5:$CO$304,'Portfolio Register'!$K$5:$K$304,$B87)</f>
        <v>0</v>
      </c>
      <c r="F87" s="113" t="str">
        <f t="shared" si="2"/>
        <v/>
      </c>
    </row>
    <row r="88" spans="2:8" x14ac:dyDescent="0.25">
      <c r="B88" s="114" t="str">
        <f>'Territory Factors'!B53</f>
        <v>Washington</v>
      </c>
      <c r="C88" s="115">
        <f>COUNTIFS('Portfolio Register'!$K$5:$K$304,$B88)</f>
        <v>0</v>
      </c>
      <c r="D88" s="116">
        <f>SUMIFS('Portfolio Register'!$J$5:$J$304,'Portfolio Register'!$K$5:$K$304,$B88)</f>
        <v>0</v>
      </c>
      <c r="E88" s="116">
        <f>SUMIFS('Portfolio Register'!$CO$5:$CO$304,'Portfolio Register'!$K$5:$K$304,$B88)</f>
        <v>0</v>
      </c>
      <c r="F88" s="117" t="str">
        <f t="shared" si="2"/>
        <v/>
      </c>
    </row>
    <row r="89" spans="2:8" x14ac:dyDescent="0.25">
      <c r="B89" s="27" t="str">
        <f>'Territory Factors'!B54</f>
        <v>West Virginia</v>
      </c>
      <c r="C89" s="111">
        <f>COUNTIFS('Portfolio Register'!$K$5:$K$304,$B89)</f>
        <v>0</v>
      </c>
      <c r="D89" s="112">
        <f>SUMIFS('Portfolio Register'!$J$5:$J$304,'Portfolio Register'!$K$5:$K$304,$B89)</f>
        <v>0</v>
      </c>
      <c r="E89" s="112">
        <f>SUMIFS('Portfolio Register'!$CO$5:$CO$304,'Portfolio Register'!$K$5:$K$304,$B89)</f>
        <v>0</v>
      </c>
      <c r="F89" s="113" t="str">
        <f t="shared" si="2"/>
        <v/>
      </c>
    </row>
    <row r="90" spans="2:8" x14ac:dyDescent="0.25">
      <c r="B90" s="114" t="str">
        <f>'Territory Factors'!B55</f>
        <v>Wisconsin</v>
      </c>
      <c r="C90" s="115">
        <f>COUNTIFS('Portfolio Register'!$K$5:$K$304,$B90)</f>
        <v>0</v>
      </c>
      <c r="D90" s="116">
        <f>SUMIFS('Portfolio Register'!$J$5:$J$304,'Portfolio Register'!$K$5:$K$304,$B90)</f>
        <v>0</v>
      </c>
      <c r="E90" s="116">
        <f>SUMIFS('Portfolio Register'!$CO$5:$CO$304,'Portfolio Register'!$K$5:$K$304,$B90)</f>
        <v>0</v>
      </c>
      <c r="F90" s="117" t="str">
        <f t="shared" si="2"/>
        <v/>
      </c>
    </row>
    <row r="91" spans="2:8" x14ac:dyDescent="0.25">
      <c r="B91" s="27" t="str">
        <f>'Territory Factors'!B56</f>
        <v>Wyoming</v>
      </c>
      <c r="C91" s="111">
        <f>COUNTIFS('Portfolio Register'!$K$5:$K$304,$B91)</f>
        <v>0</v>
      </c>
      <c r="D91" s="112">
        <f>SUMIFS('Portfolio Register'!$J$5:$J$304,'Portfolio Register'!$K$5:$K$304,$B91)</f>
        <v>0</v>
      </c>
      <c r="E91" s="112">
        <f>SUMIFS('Portfolio Register'!$CO$5:$CO$304,'Portfolio Register'!$K$5:$K$304,$B91)</f>
        <v>0</v>
      </c>
      <c r="F91" s="113" t="str">
        <f t="shared" si="2"/>
        <v/>
      </c>
    </row>
    <row r="94" spans="2:8" ht="18" customHeight="1" x14ac:dyDescent="0.25">
      <c r="B94" s="12" t="s">
        <v>604</v>
      </c>
      <c r="C94" s="12"/>
      <c r="D94" s="12"/>
      <c r="E94" s="12"/>
      <c r="F94" s="12"/>
      <c r="G94" s="12"/>
      <c r="H94" s="12"/>
    </row>
    <row r="95" spans="2:8" ht="27.75" customHeight="1" x14ac:dyDescent="0.25">
      <c r="B95" s="110" t="s">
        <v>605</v>
      </c>
      <c r="C95" s="110" t="s">
        <v>606</v>
      </c>
      <c r="D95" s="110" t="s">
        <v>607</v>
      </c>
      <c r="E95" s="110" t="s">
        <v>608</v>
      </c>
    </row>
    <row r="96" spans="2:8" x14ac:dyDescent="0.25">
      <c r="B96" s="27" t="str">
        <f>'Natural Catastrophe'!B6</f>
        <v>Tier 1 - Coastal wind / surge (0-1 mile, FEMA V or Coastal A)</v>
      </c>
      <c r="C96" s="111">
        <f>COUNTIFS('Portfolio Register'!$AS$5:$AS$304,$B96)</f>
        <v>1</v>
      </c>
      <c r="D96" s="112">
        <f>SUMIFS('Portfolio Register'!$J$5:$J$304,'Portfolio Register'!$AS$5:$AS$304,$B96)</f>
        <v>425000</v>
      </c>
      <c r="E96" s="112">
        <f>SUMIFS('Portfolio Register'!$CO$5:$CO$304,'Portfolio Register'!$AS$5:$AS$304,$B96)</f>
        <v>25057.568969598808</v>
      </c>
    </row>
    <row r="97" spans="2:8" x14ac:dyDescent="0.25">
      <c r="B97" s="114" t="str">
        <f>'Natural Catastrophe'!B7</f>
        <v>Tier 2 - Coastal wind (1-25 miles)</v>
      </c>
      <c r="C97" s="115">
        <f>COUNTIFS('Portfolio Register'!$AS$5:$AS$304,$B97)</f>
        <v>1</v>
      </c>
      <c r="D97" s="116">
        <f>SUMIFS('Portfolio Register'!$J$5:$J$304,'Portfolio Register'!$AS$5:$AS$304,$B97)</f>
        <v>185000</v>
      </c>
      <c r="E97" s="116">
        <f>SUMIFS('Portfolio Register'!$CO$5:$CO$304,'Portfolio Register'!$AS$5:$AS$304,$B97)</f>
        <v>3064.5749849213921</v>
      </c>
    </row>
    <row r="98" spans="2:8" x14ac:dyDescent="0.25">
      <c r="B98" s="27" t="str">
        <f>'Natural Catastrophe'!B8</f>
        <v>Tier 3 - Coastal wind (25-100 miles)</v>
      </c>
      <c r="C98" s="111">
        <f>COUNTIFS('Portfolio Register'!$AS$5:$AS$304,$B98)</f>
        <v>0</v>
      </c>
      <c r="D98" s="112">
        <f>SUMIFS('Portfolio Register'!$J$5:$J$304,'Portfolio Register'!$AS$5:$AS$304,$B98)</f>
        <v>0</v>
      </c>
      <c r="E98" s="112">
        <f>SUMIFS('Portfolio Register'!$CO$5:$CO$304,'Portfolio Register'!$AS$5:$AS$304,$B98)</f>
        <v>0</v>
      </c>
    </row>
    <row r="99" spans="2:8" x14ac:dyDescent="0.25">
      <c r="B99" s="114" t="str">
        <f>'Natural Catastrophe'!B9</f>
        <v>Inland - hurricane remnant only (100+ miles)</v>
      </c>
      <c r="C99" s="115">
        <f>COUNTIFS('Portfolio Register'!$AS$5:$AS$304,$B99)</f>
        <v>0</v>
      </c>
      <c r="D99" s="116">
        <f>SUMIFS('Portfolio Register'!$J$5:$J$304,'Portfolio Register'!$AS$5:$AS$304,$B99)</f>
        <v>0</v>
      </c>
      <c r="E99" s="116">
        <f>SUMIFS('Portfolio Register'!$CO$5:$CO$304,'Portfolio Register'!$AS$5:$AS$304,$B99)</f>
        <v>0</v>
      </c>
    </row>
    <row r="100" spans="2:8" x14ac:dyDescent="0.25">
      <c r="B100" s="27" t="str">
        <f>'Natural Catastrophe'!B10</f>
        <v>Severe convective - hail alley (high)</v>
      </c>
      <c r="C100" s="111">
        <f>COUNTIFS('Portfolio Register'!$AS$5:$AS$304,$B100)</f>
        <v>0</v>
      </c>
      <c r="D100" s="112">
        <f>SUMIFS('Portfolio Register'!$J$5:$J$304,'Portfolio Register'!$AS$5:$AS$304,$B100)</f>
        <v>0</v>
      </c>
      <c r="E100" s="112">
        <f>SUMIFS('Portfolio Register'!$CO$5:$CO$304,'Portfolio Register'!$AS$5:$AS$304,$B100)</f>
        <v>0</v>
      </c>
    </row>
    <row r="101" spans="2:8" x14ac:dyDescent="0.25">
      <c r="B101" s="114" t="str">
        <f>'Natural Catastrophe'!B11</f>
        <v>Severe convective - hail / tornado (moderate)</v>
      </c>
      <c r="C101" s="115">
        <f>COUNTIFS('Portfolio Register'!$AS$5:$AS$304,$B101)</f>
        <v>2</v>
      </c>
      <c r="D101" s="116">
        <f>SUMIFS('Portfolio Register'!$J$5:$J$304,'Portfolio Register'!$AS$5:$AS$304,$B101)</f>
        <v>5050000</v>
      </c>
      <c r="E101" s="116">
        <f>SUMIFS('Portfolio Register'!$CO$5:$CO$304,'Portfolio Register'!$AS$5:$AS$304,$B101)</f>
        <v>54395.361339418741</v>
      </c>
    </row>
    <row r="102" spans="2:8" x14ac:dyDescent="0.25">
      <c r="B102" s="27" t="str">
        <f>'Natural Catastrophe'!B12</f>
        <v>Wildfire - WUI high hazard</v>
      </c>
      <c r="C102" s="111">
        <f>COUNTIFS('Portfolio Register'!$AS$5:$AS$304,$B102)</f>
        <v>1</v>
      </c>
      <c r="D102" s="112">
        <f>SUMIFS('Portfolio Register'!$J$5:$J$304,'Portfolio Register'!$AS$5:$AS$304,$B102)</f>
        <v>2200000</v>
      </c>
      <c r="E102" s="112">
        <f>SUMIFS('Portfolio Register'!$CO$5:$CO$304,'Portfolio Register'!$AS$5:$AS$304,$B102)</f>
        <v>80323.87148399037</v>
      </c>
    </row>
    <row r="103" spans="2:8" x14ac:dyDescent="0.25">
      <c r="B103" s="114" t="str">
        <f>'Natural Catastrophe'!B13</f>
        <v>Wildfire - moderate hazard</v>
      </c>
      <c r="C103" s="115">
        <f>COUNTIFS('Portfolio Register'!$AS$5:$AS$304,$B103)</f>
        <v>0</v>
      </c>
      <c r="D103" s="116">
        <f>SUMIFS('Portfolio Register'!$J$5:$J$304,'Portfolio Register'!$AS$5:$AS$304,$B103)</f>
        <v>0</v>
      </c>
      <c r="E103" s="116">
        <f>SUMIFS('Portfolio Register'!$CO$5:$CO$304,'Portfolio Register'!$AS$5:$AS$304,$B103)</f>
        <v>0</v>
      </c>
    </row>
    <row r="104" spans="2:8" x14ac:dyDescent="0.25">
      <c r="B104" s="27" t="str">
        <f>'Natural Catastrophe'!B14</f>
        <v>Earthquake - high (CA, Cascadia, New Madrid)</v>
      </c>
      <c r="C104" s="111">
        <f>COUNTIFS('Portfolio Register'!$AS$5:$AS$304,$B104)</f>
        <v>0</v>
      </c>
      <c r="D104" s="112">
        <f>SUMIFS('Portfolio Register'!$J$5:$J$304,'Portfolio Register'!$AS$5:$AS$304,$B104)</f>
        <v>0</v>
      </c>
      <c r="E104" s="112">
        <f>SUMIFS('Portfolio Register'!$CO$5:$CO$304,'Portfolio Register'!$AS$5:$AS$304,$B104)</f>
        <v>0</v>
      </c>
    </row>
    <row r="105" spans="2:8" x14ac:dyDescent="0.25">
      <c r="B105" s="114" t="str">
        <f>'Natural Catastrophe'!B15</f>
        <v>Flood - FEMA SFHA (zone A / AE / V)</v>
      </c>
      <c r="C105" s="115">
        <f>COUNTIFS('Portfolio Register'!$AS$5:$AS$304,$B105)</f>
        <v>0</v>
      </c>
      <c r="D105" s="116">
        <f>SUMIFS('Portfolio Register'!$J$5:$J$304,'Portfolio Register'!$AS$5:$AS$304,$B105)</f>
        <v>0</v>
      </c>
      <c r="E105" s="116">
        <f>SUMIFS('Portfolio Register'!$CO$5:$CO$304,'Portfolio Register'!$AS$5:$AS$304,$B105)</f>
        <v>0</v>
      </c>
    </row>
    <row r="106" spans="2:8" x14ac:dyDescent="0.25">
      <c r="B106" s="27" t="str">
        <f>'Natural Catastrophe'!B16</f>
        <v>Winter freeze / ice / severe road salt</v>
      </c>
      <c r="C106" s="111">
        <f>COUNTIFS('Portfolio Register'!$AS$5:$AS$304,$B106)</f>
        <v>0</v>
      </c>
      <c r="D106" s="112">
        <f>SUMIFS('Portfolio Register'!$J$5:$J$304,'Portfolio Register'!$AS$5:$AS$304,$B106)</f>
        <v>0</v>
      </c>
      <c r="E106" s="112">
        <f>SUMIFS('Portfolio Register'!$CO$5:$CO$304,'Portfolio Register'!$AS$5:$AS$304,$B106)</f>
        <v>0</v>
      </c>
    </row>
    <row r="107" spans="2:8" x14ac:dyDescent="0.25">
      <c r="B107" s="114" t="str">
        <f>'Natural Catastrophe'!B17</f>
        <v>Low hazard - inland benign</v>
      </c>
      <c r="C107" s="115">
        <f>COUNTIFS('Portfolio Register'!$AS$5:$AS$304,$B107)</f>
        <v>1</v>
      </c>
      <c r="D107" s="116">
        <f>SUMIFS('Portfolio Register'!$J$5:$J$304,'Portfolio Register'!$AS$5:$AS$304,$B107)</f>
        <v>280000</v>
      </c>
      <c r="E107" s="116">
        <f>SUMIFS('Portfolio Register'!$CO$5:$CO$304,'Portfolio Register'!$AS$5:$AS$304,$B107)</f>
        <v>50805.550013513523</v>
      </c>
    </row>
    <row r="109" spans="2:8" ht="15" customHeight="1" x14ac:dyDescent="0.25">
      <c r="B109" s="10" t="s">
        <v>609</v>
      </c>
      <c r="C109" s="10"/>
      <c r="D109" s="10"/>
      <c r="E109" s="10"/>
      <c r="F109" s="10"/>
      <c r="G109" s="10"/>
      <c r="H109" s="10"/>
    </row>
    <row r="110" spans="2:8" x14ac:dyDescent="0.25">
      <c r="B110" s="10"/>
      <c r="C110" s="10"/>
      <c r="D110" s="10"/>
      <c r="E110" s="10"/>
      <c r="F110" s="10"/>
      <c r="G110" s="10"/>
      <c r="H110" s="10"/>
    </row>
    <row r="111" spans="2:8" x14ac:dyDescent="0.25">
      <c r="B111" s="10"/>
      <c r="C111" s="10"/>
      <c r="D111" s="10"/>
      <c r="E111" s="10"/>
      <c r="F111" s="10"/>
      <c r="G111" s="10"/>
      <c r="H111" s="10"/>
    </row>
    <row r="112" spans="2:8" ht="18" customHeight="1" x14ac:dyDescent="0.25">
      <c r="B112" s="12" t="s">
        <v>610</v>
      </c>
      <c r="C112" s="12"/>
      <c r="D112" s="12"/>
      <c r="E112" s="12"/>
      <c r="F112" s="12"/>
      <c r="G112" s="12"/>
      <c r="H112" s="12"/>
    </row>
    <row r="113" spans="2:8" ht="27.75" customHeight="1" x14ac:dyDescent="0.25">
      <c r="B113" s="110" t="s">
        <v>484</v>
      </c>
      <c r="C113" s="110" t="s">
        <v>606</v>
      </c>
      <c r="D113" s="110" t="s">
        <v>611</v>
      </c>
      <c r="E113" s="110" t="s">
        <v>612</v>
      </c>
      <c r="F113" s="110" t="s">
        <v>613</v>
      </c>
      <c r="G113" s="110" t="s">
        <v>598</v>
      </c>
      <c r="H113" s="110" t="s">
        <v>614</v>
      </c>
    </row>
    <row r="114" spans="2:8" x14ac:dyDescent="0.25">
      <c r="B114" s="20" t="s">
        <v>615</v>
      </c>
      <c r="C114" s="111">
        <f>COUNTIFS('Portfolio Register'!$CZ$5:$CZ$304,$B114)</f>
        <v>2</v>
      </c>
      <c r="D114" s="118">
        <f>IFERROR(C114/$C$5,0)</f>
        <v>0.33333333333333331</v>
      </c>
      <c r="E114" s="112">
        <f>SUMIFS('Portfolio Register'!$CO$5:$CO$304,'Portfolio Register'!$CZ$5:$CZ$304,$B114)</f>
        <v>131129.42149750388</v>
      </c>
      <c r="F114" s="118">
        <f>IFERROR(E114/$C$8,0)</f>
        <v>0.61376694468209869</v>
      </c>
      <c r="G114" s="112">
        <f>SUMIFS('Portfolio Register'!$CM$5:$CM$304,'Portfolio Register'!$CZ$5:$CZ$304,$B114)</f>
        <v>122685.78887149662</v>
      </c>
      <c r="H114" s="112">
        <f>E114-G114</f>
        <v>8443.6326260072528</v>
      </c>
    </row>
    <row r="115" spans="2:8" x14ac:dyDescent="0.25">
      <c r="B115" s="119" t="s">
        <v>616</v>
      </c>
      <c r="C115" s="115">
        <f>COUNTIFS('Portfolio Register'!$CZ$5:$CZ$304,$B115)</f>
        <v>2</v>
      </c>
      <c r="D115" s="120">
        <f>IFERROR(C115/$C$5,0)</f>
        <v>0.33333333333333331</v>
      </c>
      <c r="E115" s="116">
        <f>SUMIFS('Portfolio Register'!$CO$5:$CO$304,'Portfolio Register'!$CZ$5:$CZ$304,$B115)</f>
        <v>70337.197064619846</v>
      </c>
      <c r="F115" s="120">
        <f>IFERROR(E115/$C$8,0)</f>
        <v>0.32922166548775772</v>
      </c>
      <c r="G115" s="116">
        <f>SUMIFS('Portfolio Register'!$CM$5:$CM$304,'Portfolio Register'!$CZ$5:$CZ$304,$B115)</f>
        <v>70337.197064619846</v>
      </c>
      <c r="H115" s="116">
        <f>E115-G115</f>
        <v>0</v>
      </c>
    </row>
    <row r="116" spans="2:8" x14ac:dyDescent="0.25">
      <c r="B116" s="121" t="s">
        <v>617</v>
      </c>
      <c r="C116" s="111">
        <f>COUNTIFS('Portfolio Register'!$CZ$5:$CZ$304,$B116)</f>
        <v>2</v>
      </c>
      <c r="D116" s="118">
        <f>IFERROR(C116/$C$5,0)</f>
        <v>0.33333333333333331</v>
      </c>
      <c r="E116" s="112">
        <f>SUMIFS('Portfolio Register'!$CO$5:$CO$304,'Portfolio Register'!$CZ$5:$CZ$304,$B116)</f>
        <v>12180.308229319091</v>
      </c>
      <c r="F116" s="118">
        <f>IFERROR(E116/$C$8,0)</f>
        <v>5.7011389830143568E-2</v>
      </c>
      <c r="G116" s="112">
        <f>SUMIFS('Portfolio Register'!$CM$5:$CM$304,'Portfolio Register'!$CZ$5:$CZ$304,$B116)</f>
        <v>13390.877274206592</v>
      </c>
      <c r="H116" s="112">
        <f>E116-G116</f>
        <v>-1210.5690448875011</v>
      </c>
    </row>
    <row r="117" spans="2:8" x14ac:dyDescent="0.25">
      <c r="B117" s="119" t="s">
        <v>618</v>
      </c>
      <c r="C117" s="115">
        <f>COUNTIFS('Portfolio Register'!$CZ$5:$CZ$304,$B117)</f>
        <v>0</v>
      </c>
      <c r="D117" s="120">
        <f>IFERROR(C117/$C$5,0)</f>
        <v>0</v>
      </c>
      <c r="E117" s="116">
        <f>SUMIFS('Portfolio Register'!$CO$5:$CO$304,'Portfolio Register'!$CZ$5:$CZ$304,$B117)</f>
        <v>0</v>
      </c>
      <c r="F117" s="120">
        <f>IFERROR(E117/$C$8,0)</f>
        <v>0</v>
      </c>
      <c r="G117" s="116">
        <f>SUMIFS('Portfolio Register'!$CM$5:$CM$304,'Portfolio Register'!$CZ$5:$CZ$304,$B117)</f>
        <v>0</v>
      </c>
      <c r="H117" s="116">
        <f>E117-G117</f>
        <v>0</v>
      </c>
    </row>
    <row r="119" spans="2:8" x14ac:dyDescent="0.25">
      <c r="B119" s="32" t="s">
        <v>619</v>
      </c>
      <c r="C119" s="122">
        <f>IFERROR($C$8/$C$7-1,0)</f>
        <v>3.5041559072753303E-2</v>
      </c>
    </row>
    <row r="120" spans="2:8" x14ac:dyDescent="0.25">
      <c r="B120" s="36" t="s">
        <v>620</v>
      </c>
      <c r="C120" s="58">
        <f>SUMIF('Portfolio Register'!$CZ$5:$CZ$304,"Above technical",'Portfolio Register'!$CO$5:$CO$304)-SUMIF('Portfolio Register'!$CZ$5:$CZ$304,"Above technical",'Portfolio Register'!$CM$5:$CM$304)</f>
        <v>8443.6326260072528</v>
      </c>
    </row>
    <row r="121" spans="2:8" x14ac:dyDescent="0.25">
      <c r="B121" s="36" t="s">
        <v>621</v>
      </c>
      <c r="C121" s="58">
        <f>SUMIF('Portfolio Register'!$CZ$5:$CZ$304,"BELOW technical",'Portfolio Register'!$CO$5:$CO$304)-SUMIF('Portfolio Register'!$CZ$5:$CZ$304,"BELOW technical",'Portfolio Register'!$CM$5:$CM$304)</f>
        <v>-1210.5690448875011</v>
      </c>
    </row>
    <row r="122" spans="2:8" x14ac:dyDescent="0.25">
      <c r="B122" s="32" t="s">
        <v>622</v>
      </c>
      <c r="C122" s="76">
        <f>$C$8-$C$7</f>
        <v>7233.0635811197571</v>
      </c>
    </row>
    <row r="123" spans="2:8" x14ac:dyDescent="0.25">
      <c r="B123" s="36" t="s">
        <v>623</v>
      </c>
      <c r="C123" s="123">
        <f>IFERROR(MIN('Portfolio Register'!$CY$5:$CY$304),0)</f>
        <v>-0.12</v>
      </c>
    </row>
    <row r="124" spans="2:8" x14ac:dyDescent="0.25">
      <c r="B124" s="36" t="s">
        <v>624</v>
      </c>
      <c r="C124" s="123">
        <f>IFERROR(MAX('Portfolio Register'!$CY$5:$CY$304),0)</f>
        <v>0.10000000000000009</v>
      </c>
    </row>
    <row r="125" spans="2:8" x14ac:dyDescent="0.25">
      <c r="B125" s="36" t="s">
        <v>625</v>
      </c>
      <c r="C125" s="123">
        <f>'Technical Premium'!$C$19</f>
        <v>-0.15</v>
      </c>
    </row>
    <row r="126" spans="2:8" x14ac:dyDescent="0.25">
      <c r="B126" s="32" t="s">
        <v>626</v>
      </c>
      <c r="C126" s="124">
        <f>COUNTIF('Portfolio Register'!$CY$5:$CY$304,"&lt;"&amp;'Technical Premium'!$C$19)</f>
        <v>0</v>
      </c>
    </row>
    <row r="127" spans="2:8" x14ac:dyDescent="0.25">
      <c r="B127" s="36" t="s">
        <v>627</v>
      </c>
      <c r="C127" s="58">
        <f>SUMIF('Portfolio Register'!$CZ$5:$CZ$304,"BEYOND AUTHORITY",'Portfolio Register'!$CO$5:$CO$304)</f>
        <v>0</v>
      </c>
    </row>
    <row r="130" spans="2:9" ht="18" customHeight="1" x14ac:dyDescent="0.25">
      <c r="B130" s="12" t="s">
        <v>628</v>
      </c>
      <c r="C130" s="12"/>
      <c r="D130" s="12"/>
      <c r="E130" s="12"/>
      <c r="F130" s="12"/>
      <c r="G130" s="12"/>
      <c r="H130" s="12"/>
    </row>
    <row r="131" spans="2:9" x14ac:dyDescent="0.25">
      <c r="B131" s="125" t="s">
        <v>629</v>
      </c>
      <c r="C131" s="126">
        <v>46023</v>
      </c>
      <c r="E131" s="127" t="s">
        <v>630</v>
      </c>
    </row>
    <row r="133" spans="2:9" ht="30" customHeight="1" x14ac:dyDescent="0.25">
      <c r="B133" s="110" t="s">
        <v>631</v>
      </c>
      <c r="C133" s="110" t="s">
        <v>606</v>
      </c>
      <c r="D133" s="110" t="s">
        <v>597</v>
      </c>
      <c r="E133" s="110" t="s">
        <v>598</v>
      </c>
      <c r="F133" s="110" t="s">
        <v>612</v>
      </c>
      <c r="G133" s="110" t="s">
        <v>473</v>
      </c>
      <c r="H133" s="110" t="s">
        <v>475</v>
      </c>
      <c r="I133" s="110" t="s">
        <v>124</v>
      </c>
    </row>
    <row r="134" spans="2:9" x14ac:dyDescent="0.25">
      <c r="B134" s="128">
        <f>EDATE($C$131,0)</f>
        <v>46023</v>
      </c>
      <c r="C134" s="111">
        <f>COUNTIFS('Portfolio Register'!$C$5:$C$304,"&gt;="&amp;$B134,'Portfolio Register'!$C$5:$C$304,"&lt;"&amp;EDATE($B134,1))</f>
        <v>0</v>
      </c>
      <c r="D134" s="112">
        <f>SUMIFS('Portfolio Register'!$J$5:$J$304,'Portfolio Register'!$C$5:$C$304,"&gt;="&amp;$B134,'Portfolio Register'!$C$5:$C$304,"&lt;"&amp;EDATE($B134,1))</f>
        <v>0</v>
      </c>
      <c r="E134" s="112">
        <f>SUMIFS('Portfolio Register'!$CM$5:$CM$304,'Portfolio Register'!$C$5:$C$304,"&gt;="&amp;$B134,'Portfolio Register'!$C$5:$C$304,"&lt;"&amp;EDATE($B134,1))</f>
        <v>0</v>
      </c>
      <c r="F134" s="112">
        <f>SUMIFS('Portfolio Register'!$CO$5:$CO$304,'Portfolio Register'!$C$5:$C$304,"&gt;="&amp;$B134,'Portfolio Register'!$C$5:$C$304,"&lt;"&amp;EDATE($B134,1))</f>
        <v>0</v>
      </c>
      <c r="G134" s="113" t="str">
        <f t="shared" ref="G134:G157" si="3">IF($D134=0,"",$E134/$D134*100)</f>
        <v/>
      </c>
      <c r="H134" s="113" t="str">
        <f t="shared" ref="H134:H157" si="4">IF($D134=0,"",$F134/$D134*100)</f>
        <v/>
      </c>
      <c r="I134" s="129" t="str">
        <f t="shared" ref="I134:I157" si="5">IF($E134=0,"",$F134/$E134)</f>
        <v/>
      </c>
    </row>
    <row r="135" spans="2:9" x14ac:dyDescent="0.25">
      <c r="B135" s="130">
        <f>EDATE($C$131,1)</f>
        <v>46054</v>
      </c>
      <c r="C135" s="115">
        <f>COUNTIFS('Portfolio Register'!$C$5:$C$304,"&gt;="&amp;$B135,'Portfolio Register'!$C$5:$C$304,"&lt;"&amp;EDATE($B135,1))</f>
        <v>0</v>
      </c>
      <c r="D135" s="116">
        <f>SUMIFS('Portfolio Register'!$J$5:$J$304,'Portfolio Register'!$C$5:$C$304,"&gt;="&amp;$B135,'Portfolio Register'!$C$5:$C$304,"&lt;"&amp;EDATE($B135,1))</f>
        <v>0</v>
      </c>
      <c r="E135" s="116">
        <f>SUMIFS('Portfolio Register'!$CM$5:$CM$304,'Portfolio Register'!$C$5:$C$304,"&gt;="&amp;$B135,'Portfolio Register'!$C$5:$C$304,"&lt;"&amp;EDATE($B135,1))</f>
        <v>0</v>
      </c>
      <c r="F135" s="116">
        <f>SUMIFS('Portfolio Register'!$CO$5:$CO$304,'Portfolio Register'!$C$5:$C$304,"&gt;="&amp;$B135,'Portfolio Register'!$C$5:$C$304,"&lt;"&amp;EDATE($B135,1))</f>
        <v>0</v>
      </c>
      <c r="G135" s="117" t="str">
        <f t="shared" si="3"/>
        <v/>
      </c>
      <c r="H135" s="117" t="str">
        <f t="shared" si="4"/>
        <v/>
      </c>
      <c r="I135" s="131" t="str">
        <f t="shared" si="5"/>
        <v/>
      </c>
    </row>
    <row r="136" spans="2:9" x14ac:dyDescent="0.25">
      <c r="B136" s="128">
        <f>EDATE($C$131,2)</f>
        <v>46082</v>
      </c>
      <c r="C136" s="111">
        <f>COUNTIFS('Portfolio Register'!$C$5:$C$304,"&gt;="&amp;$B136,'Portfolio Register'!$C$5:$C$304,"&lt;"&amp;EDATE($B136,1))</f>
        <v>1</v>
      </c>
      <c r="D136" s="112">
        <f>SUMIFS('Portfolio Register'!$J$5:$J$304,'Portfolio Register'!$C$5:$C$304,"&gt;="&amp;$B136,'Portfolio Register'!$C$5:$C$304,"&lt;"&amp;EDATE($B136,1))</f>
        <v>425000</v>
      </c>
      <c r="E136" s="112">
        <f>SUMIFS('Portfolio Register'!$CM$5:$CM$304,'Portfolio Register'!$C$5:$C$304,"&gt;="&amp;$B136,'Portfolio Register'!$C$5:$C$304,"&lt;"&amp;EDATE($B136,1))</f>
        <v>25057.568969598808</v>
      </c>
      <c r="F136" s="112">
        <f>SUMIFS('Portfolio Register'!$CO$5:$CO$304,'Portfolio Register'!$C$5:$C$304,"&gt;="&amp;$B136,'Portfolio Register'!$C$5:$C$304,"&lt;"&amp;EDATE($B136,1))</f>
        <v>25057.568969598808</v>
      </c>
      <c r="G136" s="113">
        <f t="shared" si="3"/>
        <v>5.8958985810820721</v>
      </c>
      <c r="H136" s="113">
        <f t="shared" si="4"/>
        <v>5.8958985810820721</v>
      </c>
      <c r="I136" s="129">
        <f t="shared" si="5"/>
        <v>1</v>
      </c>
    </row>
    <row r="137" spans="2:9" x14ac:dyDescent="0.25">
      <c r="B137" s="130">
        <f>EDATE($C$131,3)</f>
        <v>46113</v>
      </c>
      <c r="C137" s="115">
        <f>COUNTIFS('Portfolio Register'!$C$5:$C$304,"&gt;="&amp;$B137,'Portfolio Register'!$C$5:$C$304,"&lt;"&amp;EDATE($B137,1))</f>
        <v>1</v>
      </c>
      <c r="D137" s="116">
        <f>SUMIFS('Portfolio Register'!$J$5:$J$304,'Portfolio Register'!$C$5:$C$304,"&gt;="&amp;$B137,'Portfolio Register'!$C$5:$C$304,"&lt;"&amp;EDATE($B137,1))</f>
        <v>3600000</v>
      </c>
      <c r="E137" s="116">
        <f>SUMIFS('Portfolio Register'!$CM$5:$CM$304,'Portfolio Register'!$C$5:$C$304,"&gt;="&amp;$B137,'Portfolio Register'!$C$5:$C$304,"&lt;"&amp;EDATE($B137,1))</f>
        <v>45279.628095021042</v>
      </c>
      <c r="F137" s="116">
        <f>SUMIFS('Portfolio Register'!$CO$5:$CO$304,'Portfolio Register'!$C$5:$C$304,"&gt;="&amp;$B137,'Portfolio Register'!$C$5:$C$304,"&lt;"&amp;EDATE($B137,1))</f>
        <v>45279.628095021042</v>
      </c>
      <c r="G137" s="117">
        <f t="shared" si="3"/>
        <v>1.257767447083918</v>
      </c>
      <c r="H137" s="117">
        <f t="shared" si="4"/>
        <v>1.257767447083918</v>
      </c>
      <c r="I137" s="131">
        <f t="shared" si="5"/>
        <v>1</v>
      </c>
    </row>
    <row r="138" spans="2:9" x14ac:dyDescent="0.25">
      <c r="B138" s="128">
        <f>EDATE($C$131,4)</f>
        <v>46143</v>
      </c>
      <c r="C138" s="111">
        <f>COUNTIFS('Portfolio Register'!$C$5:$C$304,"&gt;="&amp;$B138,'Portfolio Register'!$C$5:$C$304,"&lt;"&amp;EDATE($B138,1))</f>
        <v>1</v>
      </c>
      <c r="D138" s="112">
        <f>SUMIFS('Portfolio Register'!$J$5:$J$304,'Portfolio Register'!$C$5:$C$304,"&gt;="&amp;$B138,'Portfolio Register'!$C$5:$C$304,"&lt;"&amp;EDATE($B138,1))</f>
        <v>1450000</v>
      </c>
      <c r="E138" s="112">
        <f>SUMIFS('Portfolio Register'!$CM$5:$CM$304,'Portfolio Register'!$C$5:$C$304,"&gt;="&amp;$B138,'Portfolio Register'!$C$5:$C$304,"&lt;"&amp;EDATE($B138,1))</f>
        <v>9908.4057004322822</v>
      </c>
      <c r="F138" s="112">
        <f>SUMIFS('Portfolio Register'!$CO$5:$CO$304,'Portfolio Register'!$C$5:$C$304,"&gt;="&amp;$B138,'Portfolio Register'!$C$5:$C$304,"&lt;"&amp;EDATE($B138,1))</f>
        <v>9115.7332443976993</v>
      </c>
      <c r="G138" s="113">
        <f t="shared" si="3"/>
        <v>0.68333832416774365</v>
      </c>
      <c r="H138" s="113">
        <f t="shared" si="4"/>
        <v>0.62867125823432413</v>
      </c>
      <c r="I138" s="129">
        <f t="shared" si="5"/>
        <v>0.91999999999999993</v>
      </c>
    </row>
    <row r="139" spans="2:9" x14ac:dyDescent="0.25">
      <c r="B139" s="130">
        <f>EDATE($C$131,5)</f>
        <v>46174</v>
      </c>
      <c r="C139" s="115">
        <f>COUNTIFS('Portfolio Register'!$C$5:$C$304,"&gt;="&amp;$B139,'Portfolio Register'!$C$5:$C$304,"&lt;"&amp;EDATE($B139,1))</f>
        <v>1</v>
      </c>
      <c r="D139" s="116">
        <f>SUMIFS('Portfolio Register'!$J$5:$J$304,'Portfolio Register'!$C$5:$C$304,"&gt;="&amp;$B139,'Portfolio Register'!$C$5:$C$304,"&lt;"&amp;EDATE($B139,1))</f>
        <v>280000</v>
      </c>
      <c r="E139" s="116">
        <f>SUMIFS('Portfolio Register'!$CM$5:$CM$304,'Portfolio Register'!$C$5:$C$304,"&gt;="&amp;$B139,'Portfolio Register'!$C$5:$C$304,"&lt;"&amp;EDATE($B139,1))</f>
        <v>46186.86364864865</v>
      </c>
      <c r="F139" s="116">
        <f>SUMIFS('Portfolio Register'!$CO$5:$CO$304,'Portfolio Register'!$C$5:$C$304,"&gt;="&amp;$B139,'Portfolio Register'!$C$5:$C$304,"&lt;"&amp;EDATE($B139,1))</f>
        <v>50805.550013513523</v>
      </c>
      <c r="G139" s="117">
        <f t="shared" si="3"/>
        <v>16.495308445945948</v>
      </c>
      <c r="H139" s="117">
        <f t="shared" si="4"/>
        <v>18.144839290540542</v>
      </c>
      <c r="I139" s="131">
        <f t="shared" si="5"/>
        <v>1.1000000000000001</v>
      </c>
    </row>
    <row r="140" spans="2:9" x14ac:dyDescent="0.25">
      <c r="B140" s="128">
        <f>EDATE($C$131,6)</f>
        <v>46204</v>
      </c>
      <c r="C140" s="111">
        <f>COUNTIFS('Portfolio Register'!$C$5:$C$304,"&gt;="&amp;$B140,'Portfolio Register'!$C$5:$C$304,"&lt;"&amp;EDATE($B140,1))</f>
        <v>1</v>
      </c>
      <c r="D140" s="112">
        <f>SUMIFS('Portfolio Register'!$J$5:$J$304,'Portfolio Register'!$C$5:$C$304,"&gt;="&amp;$B140,'Portfolio Register'!$C$5:$C$304,"&lt;"&amp;EDATE($B140,1))</f>
        <v>185000</v>
      </c>
      <c r="E140" s="112">
        <f>SUMIFS('Portfolio Register'!$CM$5:$CM$304,'Portfolio Register'!$C$5:$C$304,"&gt;="&amp;$B140,'Portfolio Register'!$C$5:$C$304,"&lt;"&amp;EDATE($B140,1))</f>
        <v>3482.471573774309</v>
      </c>
      <c r="F140" s="112">
        <f>SUMIFS('Portfolio Register'!$CO$5:$CO$304,'Portfolio Register'!$C$5:$C$304,"&gt;="&amp;$B140,'Portfolio Register'!$C$5:$C$304,"&lt;"&amp;EDATE($B140,1))</f>
        <v>3064.5749849213921</v>
      </c>
      <c r="G140" s="113">
        <f t="shared" si="3"/>
        <v>1.882417066905032</v>
      </c>
      <c r="H140" s="113">
        <f t="shared" si="4"/>
        <v>1.6565270188764283</v>
      </c>
      <c r="I140" s="129">
        <f t="shared" si="5"/>
        <v>0.88</v>
      </c>
    </row>
    <row r="141" spans="2:9" x14ac:dyDescent="0.25">
      <c r="B141" s="130">
        <f>EDATE($C$131,7)</f>
        <v>46235</v>
      </c>
      <c r="C141" s="115">
        <f>COUNTIFS('Portfolio Register'!$C$5:$C$304,"&gt;="&amp;$B141,'Portfolio Register'!$C$5:$C$304,"&lt;"&amp;EDATE($B141,1))</f>
        <v>1</v>
      </c>
      <c r="D141" s="116">
        <f>SUMIFS('Portfolio Register'!$J$5:$J$304,'Portfolio Register'!$C$5:$C$304,"&gt;="&amp;$B141,'Portfolio Register'!$C$5:$C$304,"&lt;"&amp;EDATE($B141,1))</f>
        <v>2200000</v>
      </c>
      <c r="E141" s="116">
        <f>SUMIFS('Portfolio Register'!$CM$5:$CM$304,'Portfolio Register'!$C$5:$C$304,"&gt;="&amp;$B141,'Portfolio Register'!$C$5:$C$304,"&lt;"&amp;EDATE($B141,1))</f>
        <v>76498.925222847975</v>
      </c>
      <c r="F141" s="116">
        <f>SUMIFS('Portfolio Register'!$CO$5:$CO$304,'Portfolio Register'!$C$5:$C$304,"&gt;="&amp;$B141,'Portfolio Register'!$C$5:$C$304,"&lt;"&amp;EDATE($B141,1))</f>
        <v>80323.87148399037</v>
      </c>
      <c r="G141" s="117">
        <f t="shared" si="3"/>
        <v>3.4772238737658165</v>
      </c>
      <c r="H141" s="117">
        <f t="shared" si="4"/>
        <v>3.6510850674541082</v>
      </c>
      <c r="I141" s="131">
        <f t="shared" si="5"/>
        <v>1.05</v>
      </c>
    </row>
    <row r="142" spans="2:9" x14ac:dyDescent="0.25">
      <c r="B142" s="128">
        <f>EDATE($C$131,8)</f>
        <v>46266</v>
      </c>
      <c r="C142" s="111">
        <f>COUNTIFS('Portfolio Register'!$C$5:$C$304,"&gt;="&amp;$B142,'Portfolio Register'!$C$5:$C$304,"&lt;"&amp;EDATE($B142,1))</f>
        <v>0</v>
      </c>
      <c r="D142" s="112">
        <f>SUMIFS('Portfolio Register'!$J$5:$J$304,'Portfolio Register'!$C$5:$C$304,"&gt;="&amp;$B142,'Portfolio Register'!$C$5:$C$304,"&lt;"&amp;EDATE($B142,1))</f>
        <v>0</v>
      </c>
      <c r="E142" s="112">
        <f>SUMIFS('Portfolio Register'!$CM$5:$CM$304,'Portfolio Register'!$C$5:$C$304,"&gt;="&amp;$B142,'Portfolio Register'!$C$5:$C$304,"&lt;"&amp;EDATE($B142,1))</f>
        <v>0</v>
      </c>
      <c r="F142" s="112">
        <f>SUMIFS('Portfolio Register'!$CO$5:$CO$304,'Portfolio Register'!$C$5:$C$304,"&gt;="&amp;$B142,'Portfolio Register'!$C$5:$C$304,"&lt;"&amp;EDATE($B142,1))</f>
        <v>0</v>
      </c>
      <c r="G142" s="113" t="str">
        <f t="shared" si="3"/>
        <v/>
      </c>
      <c r="H142" s="113" t="str">
        <f t="shared" si="4"/>
        <v/>
      </c>
      <c r="I142" s="129" t="str">
        <f t="shared" si="5"/>
        <v/>
      </c>
    </row>
    <row r="143" spans="2:9" x14ac:dyDescent="0.25">
      <c r="B143" s="130">
        <f>EDATE($C$131,9)</f>
        <v>46296</v>
      </c>
      <c r="C143" s="115">
        <f>COUNTIFS('Portfolio Register'!$C$5:$C$304,"&gt;="&amp;$B143,'Portfolio Register'!$C$5:$C$304,"&lt;"&amp;EDATE($B143,1))</f>
        <v>0</v>
      </c>
      <c r="D143" s="116">
        <f>SUMIFS('Portfolio Register'!$J$5:$J$304,'Portfolio Register'!$C$5:$C$304,"&gt;="&amp;$B143,'Portfolio Register'!$C$5:$C$304,"&lt;"&amp;EDATE($B143,1))</f>
        <v>0</v>
      </c>
      <c r="E143" s="116">
        <f>SUMIFS('Portfolio Register'!$CM$5:$CM$304,'Portfolio Register'!$C$5:$C$304,"&gt;="&amp;$B143,'Portfolio Register'!$C$5:$C$304,"&lt;"&amp;EDATE($B143,1))</f>
        <v>0</v>
      </c>
      <c r="F143" s="116">
        <f>SUMIFS('Portfolio Register'!$CO$5:$CO$304,'Portfolio Register'!$C$5:$C$304,"&gt;="&amp;$B143,'Portfolio Register'!$C$5:$C$304,"&lt;"&amp;EDATE($B143,1))</f>
        <v>0</v>
      </c>
      <c r="G143" s="117" t="str">
        <f t="shared" si="3"/>
        <v/>
      </c>
      <c r="H143" s="117" t="str">
        <f t="shared" si="4"/>
        <v/>
      </c>
      <c r="I143" s="131" t="str">
        <f t="shared" si="5"/>
        <v/>
      </c>
    </row>
    <row r="144" spans="2:9" x14ac:dyDescent="0.25">
      <c r="B144" s="128">
        <f>EDATE($C$131,10)</f>
        <v>46327</v>
      </c>
      <c r="C144" s="111">
        <f>COUNTIFS('Portfolio Register'!$C$5:$C$304,"&gt;="&amp;$B144,'Portfolio Register'!$C$5:$C$304,"&lt;"&amp;EDATE($B144,1))</f>
        <v>0</v>
      </c>
      <c r="D144" s="112">
        <f>SUMIFS('Portfolio Register'!$J$5:$J$304,'Portfolio Register'!$C$5:$C$304,"&gt;="&amp;$B144,'Portfolio Register'!$C$5:$C$304,"&lt;"&amp;EDATE($B144,1))</f>
        <v>0</v>
      </c>
      <c r="E144" s="112">
        <f>SUMIFS('Portfolio Register'!$CM$5:$CM$304,'Portfolio Register'!$C$5:$C$304,"&gt;="&amp;$B144,'Portfolio Register'!$C$5:$C$304,"&lt;"&amp;EDATE($B144,1))</f>
        <v>0</v>
      </c>
      <c r="F144" s="112">
        <f>SUMIFS('Portfolio Register'!$CO$5:$CO$304,'Portfolio Register'!$C$5:$C$304,"&gt;="&amp;$B144,'Portfolio Register'!$C$5:$C$304,"&lt;"&amp;EDATE($B144,1))</f>
        <v>0</v>
      </c>
      <c r="G144" s="113" t="str">
        <f t="shared" si="3"/>
        <v/>
      </c>
      <c r="H144" s="113" t="str">
        <f t="shared" si="4"/>
        <v/>
      </c>
      <c r="I144" s="129" t="str">
        <f t="shared" si="5"/>
        <v/>
      </c>
    </row>
    <row r="145" spans="2:9" x14ac:dyDescent="0.25">
      <c r="B145" s="130">
        <f>EDATE($C$131,11)</f>
        <v>46357</v>
      </c>
      <c r="C145" s="115">
        <f>COUNTIFS('Portfolio Register'!$C$5:$C$304,"&gt;="&amp;$B145,'Portfolio Register'!$C$5:$C$304,"&lt;"&amp;EDATE($B145,1))</f>
        <v>0</v>
      </c>
      <c r="D145" s="116">
        <f>SUMIFS('Portfolio Register'!$J$5:$J$304,'Portfolio Register'!$C$5:$C$304,"&gt;="&amp;$B145,'Portfolio Register'!$C$5:$C$304,"&lt;"&amp;EDATE($B145,1))</f>
        <v>0</v>
      </c>
      <c r="E145" s="116">
        <f>SUMIFS('Portfolio Register'!$CM$5:$CM$304,'Portfolio Register'!$C$5:$C$304,"&gt;="&amp;$B145,'Portfolio Register'!$C$5:$C$304,"&lt;"&amp;EDATE($B145,1))</f>
        <v>0</v>
      </c>
      <c r="F145" s="116">
        <f>SUMIFS('Portfolio Register'!$CO$5:$CO$304,'Portfolio Register'!$C$5:$C$304,"&gt;="&amp;$B145,'Portfolio Register'!$C$5:$C$304,"&lt;"&amp;EDATE($B145,1))</f>
        <v>0</v>
      </c>
      <c r="G145" s="117" t="str">
        <f t="shared" si="3"/>
        <v/>
      </c>
      <c r="H145" s="117" t="str">
        <f t="shared" si="4"/>
        <v/>
      </c>
      <c r="I145" s="131" t="str">
        <f t="shared" si="5"/>
        <v/>
      </c>
    </row>
    <row r="146" spans="2:9" x14ac:dyDescent="0.25">
      <c r="B146" s="128">
        <f>EDATE($C$131,12)</f>
        <v>46388</v>
      </c>
      <c r="C146" s="111">
        <f>COUNTIFS('Portfolio Register'!$C$5:$C$304,"&gt;="&amp;$B146,'Portfolio Register'!$C$5:$C$304,"&lt;"&amp;EDATE($B146,1))</f>
        <v>0</v>
      </c>
      <c r="D146" s="112">
        <f>SUMIFS('Portfolio Register'!$J$5:$J$304,'Portfolio Register'!$C$5:$C$304,"&gt;="&amp;$B146,'Portfolio Register'!$C$5:$C$304,"&lt;"&amp;EDATE($B146,1))</f>
        <v>0</v>
      </c>
      <c r="E146" s="112">
        <f>SUMIFS('Portfolio Register'!$CM$5:$CM$304,'Portfolio Register'!$C$5:$C$304,"&gt;="&amp;$B146,'Portfolio Register'!$C$5:$C$304,"&lt;"&amp;EDATE($B146,1))</f>
        <v>0</v>
      </c>
      <c r="F146" s="112">
        <f>SUMIFS('Portfolio Register'!$CO$5:$CO$304,'Portfolio Register'!$C$5:$C$304,"&gt;="&amp;$B146,'Portfolio Register'!$C$5:$C$304,"&lt;"&amp;EDATE($B146,1))</f>
        <v>0</v>
      </c>
      <c r="G146" s="113" t="str">
        <f t="shared" si="3"/>
        <v/>
      </c>
      <c r="H146" s="113" t="str">
        <f t="shared" si="4"/>
        <v/>
      </c>
      <c r="I146" s="129" t="str">
        <f t="shared" si="5"/>
        <v/>
      </c>
    </row>
    <row r="147" spans="2:9" x14ac:dyDescent="0.25">
      <c r="B147" s="130">
        <f>EDATE($C$131,13)</f>
        <v>46419</v>
      </c>
      <c r="C147" s="115">
        <f>COUNTIFS('Portfolio Register'!$C$5:$C$304,"&gt;="&amp;$B147,'Portfolio Register'!$C$5:$C$304,"&lt;"&amp;EDATE($B147,1))</f>
        <v>0</v>
      </c>
      <c r="D147" s="116">
        <f>SUMIFS('Portfolio Register'!$J$5:$J$304,'Portfolio Register'!$C$5:$C$304,"&gt;="&amp;$B147,'Portfolio Register'!$C$5:$C$304,"&lt;"&amp;EDATE($B147,1))</f>
        <v>0</v>
      </c>
      <c r="E147" s="116">
        <f>SUMIFS('Portfolio Register'!$CM$5:$CM$304,'Portfolio Register'!$C$5:$C$304,"&gt;="&amp;$B147,'Portfolio Register'!$C$5:$C$304,"&lt;"&amp;EDATE($B147,1))</f>
        <v>0</v>
      </c>
      <c r="F147" s="116">
        <f>SUMIFS('Portfolio Register'!$CO$5:$CO$304,'Portfolio Register'!$C$5:$C$304,"&gt;="&amp;$B147,'Portfolio Register'!$C$5:$C$304,"&lt;"&amp;EDATE($B147,1))</f>
        <v>0</v>
      </c>
      <c r="G147" s="117" t="str">
        <f t="shared" si="3"/>
        <v/>
      </c>
      <c r="H147" s="117" t="str">
        <f t="shared" si="4"/>
        <v/>
      </c>
      <c r="I147" s="131" t="str">
        <f t="shared" si="5"/>
        <v/>
      </c>
    </row>
    <row r="148" spans="2:9" x14ac:dyDescent="0.25">
      <c r="B148" s="128">
        <f>EDATE($C$131,14)</f>
        <v>46447</v>
      </c>
      <c r="C148" s="111">
        <f>COUNTIFS('Portfolio Register'!$C$5:$C$304,"&gt;="&amp;$B148,'Portfolio Register'!$C$5:$C$304,"&lt;"&amp;EDATE($B148,1))</f>
        <v>0</v>
      </c>
      <c r="D148" s="112">
        <f>SUMIFS('Portfolio Register'!$J$5:$J$304,'Portfolio Register'!$C$5:$C$304,"&gt;="&amp;$B148,'Portfolio Register'!$C$5:$C$304,"&lt;"&amp;EDATE($B148,1))</f>
        <v>0</v>
      </c>
      <c r="E148" s="112">
        <f>SUMIFS('Portfolio Register'!$CM$5:$CM$304,'Portfolio Register'!$C$5:$C$304,"&gt;="&amp;$B148,'Portfolio Register'!$C$5:$C$304,"&lt;"&amp;EDATE($B148,1))</f>
        <v>0</v>
      </c>
      <c r="F148" s="112">
        <f>SUMIFS('Portfolio Register'!$CO$5:$CO$304,'Portfolio Register'!$C$5:$C$304,"&gt;="&amp;$B148,'Portfolio Register'!$C$5:$C$304,"&lt;"&amp;EDATE($B148,1))</f>
        <v>0</v>
      </c>
      <c r="G148" s="113" t="str">
        <f t="shared" si="3"/>
        <v/>
      </c>
      <c r="H148" s="113" t="str">
        <f t="shared" si="4"/>
        <v/>
      </c>
      <c r="I148" s="129" t="str">
        <f t="shared" si="5"/>
        <v/>
      </c>
    </row>
    <row r="149" spans="2:9" x14ac:dyDescent="0.25">
      <c r="B149" s="130">
        <f>EDATE($C$131,15)</f>
        <v>46478</v>
      </c>
      <c r="C149" s="115">
        <f>COUNTIFS('Portfolio Register'!$C$5:$C$304,"&gt;="&amp;$B149,'Portfolio Register'!$C$5:$C$304,"&lt;"&amp;EDATE($B149,1))</f>
        <v>0</v>
      </c>
      <c r="D149" s="116">
        <f>SUMIFS('Portfolio Register'!$J$5:$J$304,'Portfolio Register'!$C$5:$C$304,"&gt;="&amp;$B149,'Portfolio Register'!$C$5:$C$304,"&lt;"&amp;EDATE($B149,1))</f>
        <v>0</v>
      </c>
      <c r="E149" s="116">
        <f>SUMIFS('Portfolio Register'!$CM$5:$CM$304,'Portfolio Register'!$C$5:$C$304,"&gt;="&amp;$B149,'Portfolio Register'!$C$5:$C$304,"&lt;"&amp;EDATE($B149,1))</f>
        <v>0</v>
      </c>
      <c r="F149" s="116">
        <f>SUMIFS('Portfolio Register'!$CO$5:$CO$304,'Portfolio Register'!$C$5:$C$304,"&gt;="&amp;$B149,'Portfolio Register'!$C$5:$C$304,"&lt;"&amp;EDATE($B149,1))</f>
        <v>0</v>
      </c>
      <c r="G149" s="117" t="str">
        <f t="shared" si="3"/>
        <v/>
      </c>
      <c r="H149" s="117" t="str">
        <f t="shared" si="4"/>
        <v/>
      </c>
      <c r="I149" s="131" t="str">
        <f t="shared" si="5"/>
        <v/>
      </c>
    </row>
    <row r="150" spans="2:9" x14ac:dyDescent="0.25">
      <c r="B150" s="128">
        <f>EDATE($C$131,16)</f>
        <v>46508</v>
      </c>
      <c r="C150" s="111">
        <f>COUNTIFS('Portfolio Register'!$C$5:$C$304,"&gt;="&amp;$B150,'Portfolio Register'!$C$5:$C$304,"&lt;"&amp;EDATE($B150,1))</f>
        <v>0</v>
      </c>
      <c r="D150" s="112">
        <f>SUMIFS('Portfolio Register'!$J$5:$J$304,'Portfolio Register'!$C$5:$C$304,"&gt;="&amp;$B150,'Portfolio Register'!$C$5:$C$304,"&lt;"&amp;EDATE($B150,1))</f>
        <v>0</v>
      </c>
      <c r="E150" s="112">
        <f>SUMIFS('Portfolio Register'!$CM$5:$CM$304,'Portfolio Register'!$C$5:$C$304,"&gt;="&amp;$B150,'Portfolio Register'!$C$5:$C$304,"&lt;"&amp;EDATE($B150,1))</f>
        <v>0</v>
      </c>
      <c r="F150" s="112">
        <f>SUMIFS('Portfolio Register'!$CO$5:$CO$304,'Portfolio Register'!$C$5:$C$304,"&gt;="&amp;$B150,'Portfolio Register'!$C$5:$C$304,"&lt;"&amp;EDATE($B150,1))</f>
        <v>0</v>
      </c>
      <c r="G150" s="113" t="str">
        <f t="shared" si="3"/>
        <v/>
      </c>
      <c r="H150" s="113" t="str">
        <f t="shared" si="4"/>
        <v/>
      </c>
      <c r="I150" s="129" t="str">
        <f t="shared" si="5"/>
        <v/>
      </c>
    </row>
    <row r="151" spans="2:9" x14ac:dyDescent="0.25">
      <c r="B151" s="130">
        <f>EDATE($C$131,17)</f>
        <v>46539</v>
      </c>
      <c r="C151" s="115">
        <f>COUNTIFS('Portfolio Register'!$C$5:$C$304,"&gt;="&amp;$B151,'Portfolio Register'!$C$5:$C$304,"&lt;"&amp;EDATE($B151,1))</f>
        <v>0</v>
      </c>
      <c r="D151" s="116">
        <f>SUMIFS('Portfolio Register'!$J$5:$J$304,'Portfolio Register'!$C$5:$C$304,"&gt;="&amp;$B151,'Portfolio Register'!$C$5:$C$304,"&lt;"&amp;EDATE($B151,1))</f>
        <v>0</v>
      </c>
      <c r="E151" s="116">
        <f>SUMIFS('Portfolio Register'!$CM$5:$CM$304,'Portfolio Register'!$C$5:$C$304,"&gt;="&amp;$B151,'Portfolio Register'!$C$5:$C$304,"&lt;"&amp;EDATE($B151,1))</f>
        <v>0</v>
      </c>
      <c r="F151" s="116">
        <f>SUMIFS('Portfolio Register'!$CO$5:$CO$304,'Portfolio Register'!$C$5:$C$304,"&gt;="&amp;$B151,'Portfolio Register'!$C$5:$C$304,"&lt;"&amp;EDATE($B151,1))</f>
        <v>0</v>
      </c>
      <c r="G151" s="117" t="str">
        <f t="shared" si="3"/>
        <v/>
      </c>
      <c r="H151" s="117" t="str">
        <f t="shared" si="4"/>
        <v/>
      </c>
      <c r="I151" s="131" t="str">
        <f t="shared" si="5"/>
        <v/>
      </c>
    </row>
    <row r="152" spans="2:9" x14ac:dyDescent="0.25">
      <c r="B152" s="128">
        <f>EDATE($C$131,18)</f>
        <v>46569</v>
      </c>
      <c r="C152" s="111">
        <f>COUNTIFS('Portfolio Register'!$C$5:$C$304,"&gt;="&amp;$B152,'Portfolio Register'!$C$5:$C$304,"&lt;"&amp;EDATE($B152,1))</f>
        <v>0</v>
      </c>
      <c r="D152" s="112">
        <f>SUMIFS('Portfolio Register'!$J$5:$J$304,'Portfolio Register'!$C$5:$C$304,"&gt;="&amp;$B152,'Portfolio Register'!$C$5:$C$304,"&lt;"&amp;EDATE($B152,1))</f>
        <v>0</v>
      </c>
      <c r="E152" s="112">
        <f>SUMIFS('Portfolio Register'!$CM$5:$CM$304,'Portfolio Register'!$C$5:$C$304,"&gt;="&amp;$B152,'Portfolio Register'!$C$5:$C$304,"&lt;"&amp;EDATE($B152,1))</f>
        <v>0</v>
      </c>
      <c r="F152" s="112">
        <f>SUMIFS('Portfolio Register'!$CO$5:$CO$304,'Portfolio Register'!$C$5:$C$304,"&gt;="&amp;$B152,'Portfolio Register'!$C$5:$C$304,"&lt;"&amp;EDATE($B152,1))</f>
        <v>0</v>
      </c>
      <c r="G152" s="113" t="str">
        <f t="shared" si="3"/>
        <v/>
      </c>
      <c r="H152" s="113" t="str">
        <f t="shared" si="4"/>
        <v/>
      </c>
      <c r="I152" s="129" t="str">
        <f t="shared" si="5"/>
        <v/>
      </c>
    </row>
    <row r="153" spans="2:9" x14ac:dyDescent="0.25">
      <c r="B153" s="130">
        <f>EDATE($C$131,19)</f>
        <v>46600</v>
      </c>
      <c r="C153" s="115">
        <f>COUNTIFS('Portfolio Register'!$C$5:$C$304,"&gt;="&amp;$B153,'Portfolio Register'!$C$5:$C$304,"&lt;"&amp;EDATE($B153,1))</f>
        <v>0</v>
      </c>
      <c r="D153" s="116">
        <f>SUMIFS('Portfolio Register'!$J$5:$J$304,'Portfolio Register'!$C$5:$C$304,"&gt;="&amp;$B153,'Portfolio Register'!$C$5:$C$304,"&lt;"&amp;EDATE($B153,1))</f>
        <v>0</v>
      </c>
      <c r="E153" s="116">
        <f>SUMIFS('Portfolio Register'!$CM$5:$CM$304,'Portfolio Register'!$C$5:$C$304,"&gt;="&amp;$B153,'Portfolio Register'!$C$5:$C$304,"&lt;"&amp;EDATE($B153,1))</f>
        <v>0</v>
      </c>
      <c r="F153" s="116">
        <f>SUMIFS('Portfolio Register'!$CO$5:$CO$304,'Portfolio Register'!$C$5:$C$304,"&gt;="&amp;$B153,'Portfolio Register'!$C$5:$C$304,"&lt;"&amp;EDATE($B153,1))</f>
        <v>0</v>
      </c>
      <c r="G153" s="117" t="str">
        <f t="shared" si="3"/>
        <v/>
      </c>
      <c r="H153" s="117" t="str">
        <f t="shared" si="4"/>
        <v/>
      </c>
      <c r="I153" s="131" t="str">
        <f t="shared" si="5"/>
        <v/>
      </c>
    </row>
    <row r="154" spans="2:9" x14ac:dyDescent="0.25">
      <c r="B154" s="128">
        <f>EDATE($C$131,20)</f>
        <v>46631</v>
      </c>
      <c r="C154" s="111">
        <f>COUNTIFS('Portfolio Register'!$C$5:$C$304,"&gt;="&amp;$B154,'Portfolio Register'!$C$5:$C$304,"&lt;"&amp;EDATE($B154,1))</f>
        <v>0</v>
      </c>
      <c r="D154" s="112">
        <f>SUMIFS('Portfolio Register'!$J$5:$J$304,'Portfolio Register'!$C$5:$C$304,"&gt;="&amp;$B154,'Portfolio Register'!$C$5:$C$304,"&lt;"&amp;EDATE($B154,1))</f>
        <v>0</v>
      </c>
      <c r="E154" s="112">
        <f>SUMIFS('Portfolio Register'!$CM$5:$CM$304,'Portfolio Register'!$C$5:$C$304,"&gt;="&amp;$B154,'Portfolio Register'!$C$5:$C$304,"&lt;"&amp;EDATE($B154,1))</f>
        <v>0</v>
      </c>
      <c r="F154" s="112">
        <f>SUMIFS('Portfolio Register'!$CO$5:$CO$304,'Portfolio Register'!$C$5:$C$304,"&gt;="&amp;$B154,'Portfolio Register'!$C$5:$C$304,"&lt;"&amp;EDATE($B154,1))</f>
        <v>0</v>
      </c>
      <c r="G154" s="113" t="str">
        <f t="shared" si="3"/>
        <v/>
      </c>
      <c r="H154" s="113" t="str">
        <f t="shared" si="4"/>
        <v/>
      </c>
      <c r="I154" s="129" t="str">
        <f t="shared" si="5"/>
        <v/>
      </c>
    </row>
    <row r="155" spans="2:9" x14ac:dyDescent="0.25">
      <c r="B155" s="130">
        <f>EDATE($C$131,21)</f>
        <v>46661</v>
      </c>
      <c r="C155" s="115">
        <f>COUNTIFS('Portfolio Register'!$C$5:$C$304,"&gt;="&amp;$B155,'Portfolio Register'!$C$5:$C$304,"&lt;"&amp;EDATE($B155,1))</f>
        <v>0</v>
      </c>
      <c r="D155" s="116">
        <f>SUMIFS('Portfolio Register'!$J$5:$J$304,'Portfolio Register'!$C$5:$C$304,"&gt;="&amp;$B155,'Portfolio Register'!$C$5:$C$304,"&lt;"&amp;EDATE($B155,1))</f>
        <v>0</v>
      </c>
      <c r="E155" s="116">
        <f>SUMIFS('Portfolio Register'!$CM$5:$CM$304,'Portfolio Register'!$C$5:$C$304,"&gt;="&amp;$B155,'Portfolio Register'!$C$5:$C$304,"&lt;"&amp;EDATE($B155,1))</f>
        <v>0</v>
      </c>
      <c r="F155" s="116">
        <f>SUMIFS('Portfolio Register'!$CO$5:$CO$304,'Portfolio Register'!$C$5:$C$304,"&gt;="&amp;$B155,'Portfolio Register'!$C$5:$C$304,"&lt;"&amp;EDATE($B155,1))</f>
        <v>0</v>
      </c>
      <c r="G155" s="117" t="str">
        <f t="shared" si="3"/>
        <v/>
      </c>
      <c r="H155" s="117" t="str">
        <f t="shared" si="4"/>
        <v/>
      </c>
      <c r="I155" s="131" t="str">
        <f t="shared" si="5"/>
        <v/>
      </c>
    </row>
    <row r="156" spans="2:9" x14ac:dyDescent="0.25">
      <c r="B156" s="128">
        <f>EDATE($C$131,22)</f>
        <v>46692</v>
      </c>
      <c r="C156" s="111">
        <f>COUNTIFS('Portfolio Register'!$C$5:$C$304,"&gt;="&amp;$B156,'Portfolio Register'!$C$5:$C$304,"&lt;"&amp;EDATE($B156,1))</f>
        <v>0</v>
      </c>
      <c r="D156" s="112">
        <f>SUMIFS('Portfolio Register'!$J$5:$J$304,'Portfolio Register'!$C$5:$C$304,"&gt;="&amp;$B156,'Portfolio Register'!$C$5:$C$304,"&lt;"&amp;EDATE($B156,1))</f>
        <v>0</v>
      </c>
      <c r="E156" s="112">
        <f>SUMIFS('Portfolio Register'!$CM$5:$CM$304,'Portfolio Register'!$C$5:$C$304,"&gt;="&amp;$B156,'Portfolio Register'!$C$5:$C$304,"&lt;"&amp;EDATE($B156,1))</f>
        <v>0</v>
      </c>
      <c r="F156" s="112">
        <f>SUMIFS('Portfolio Register'!$CO$5:$CO$304,'Portfolio Register'!$C$5:$C$304,"&gt;="&amp;$B156,'Portfolio Register'!$C$5:$C$304,"&lt;"&amp;EDATE($B156,1))</f>
        <v>0</v>
      </c>
      <c r="G156" s="113" t="str">
        <f t="shared" si="3"/>
        <v/>
      </c>
      <c r="H156" s="113" t="str">
        <f t="shared" si="4"/>
        <v/>
      </c>
      <c r="I156" s="129" t="str">
        <f t="shared" si="5"/>
        <v/>
      </c>
    </row>
    <row r="157" spans="2:9" x14ac:dyDescent="0.25">
      <c r="B157" s="130">
        <f>EDATE($C$131,23)</f>
        <v>46722</v>
      </c>
      <c r="C157" s="115">
        <f>COUNTIFS('Portfolio Register'!$C$5:$C$304,"&gt;="&amp;$B157,'Portfolio Register'!$C$5:$C$304,"&lt;"&amp;EDATE($B157,1))</f>
        <v>0</v>
      </c>
      <c r="D157" s="116">
        <f>SUMIFS('Portfolio Register'!$J$5:$J$304,'Portfolio Register'!$C$5:$C$304,"&gt;="&amp;$B157,'Portfolio Register'!$C$5:$C$304,"&lt;"&amp;EDATE($B157,1))</f>
        <v>0</v>
      </c>
      <c r="E157" s="116">
        <f>SUMIFS('Portfolio Register'!$CM$5:$CM$304,'Portfolio Register'!$C$5:$C$304,"&gt;="&amp;$B157,'Portfolio Register'!$C$5:$C$304,"&lt;"&amp;EDATE($B157,1))</f>
        <v>0</v>
      </c>
      <c r="F157" s="116">
        <f>SUMIFS('Portfolio Register'!$CO$5:$CO$304,'Portfolio Register'!$C$5:$C$304,"&gt;="&amp;$B157,'Portfolio Register'!$C$5:$C$304,"&lt;"&amp;EDATE($B157,1))</f>
        <v>0</v>
      </c>
      <c r="G157" s="117" t="str">
        <f t="shared" si="3"/>
        <v/>
      </c>
      <c r="H157" s="117" t="str">
        <f t="shared" si="4"/>
        <v/>
      </c>
      <c r="I157" s="131" t="str">
        <f t="shared" si="5"/>
        <v/>
      </c>
    </row>
    <row r="159" spans="2:9" ht="15" customHeight="1" x14ac:dyDescent="0.25">
      <c r="B159" s="10" t="s">
        <v>632</v>
      </c>
      <c r="C159" s="10"/>
      <c r="D159" s="10"/>
      <c r="E159" s="10"/>
      <c r="F159" s="10"/>
      <c r="G159" s="10"/>
      <c r="H159" s="10"/>
    </row>
    <row r="160" spans="2:9" x14ac:dyDescent="0.25">
      <c r="B160" s="10"/>
      <c r="C160" s="10"/>
      <c r="D160" s="10"/>
      <c r="E160" s="10"/>
      <c r="F160" s="10"/>
      <c r="G160" s="10"/>
      <c r="H160" s="10"/>
    </row>
    <row r="161" spans="2:8" x14ac:dyDescent="0.25">
      <c r="B161" s="10"/>
      <c r="C161" s="10"/>
      <c r="D161" s="10"/>
      <c r="E161" s="10"/>
      <c r="F161" s="10"/>
      <c r="G161" s="10"/>
      <c r="H161" s="10"/>
    </row>
    <row r="162" spans="2:8" x14ac:dyDescent="0.25">
      <c r="B162" s="10"/>
      <c r="C162" s="10"/>
      <c r="D162" s="10"/>
      <c r="E162" s="10"/>
      <c r="F162" s="10"/>
      <c r="G162" s="10"/>
      <c r="H162" s="10"/>
    </row>
  </sheetData>
  <mergeCells count="10">
    <mergeCell ref="B94:H94"/>
    <mergeCell ref="B109:H111"/>
    <mergeCell ref="B112:H112"/>
    <mergeCell ref="B130:H130"/>
    <mergeCell ref="B159:H162"/>
    <mergeCell ref="B1:H1"/>
    <mergeCell ref="B2:H2"/>
    <mergeCell ref="B4:H4"/>
    <mergeCell ref="B24:H24"/>
    <mergeCell ref="B39:H3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185"/>
  <sheetViews>
    <sheetView showGridLines="0" zoomScaleNormal="100" workbookViewId="0">
      <pane xSplit="3" ySplit="27" topLeftCell="D28" activePane="bottomRight" state="frozen"/>
      <selection pane="topRight" activeCell="D1" sqref="D1"/>
      <selection pane="bottomLeft" activeCell="A28" sqref="A28"/>
      <selection pane="bottomRight"/>
    </sheetView>
  </sheetViews>
  <sheetFormatPr defaultColWidth="8.7109375" defaultRowHeight="15" x14ac:dyDescent="0.25"/>
  <cols>
    <col min="1" max="1" width="2" customWidth="1"/>
    <col min="2" max="2" width="26" customWidth="1"/>
    <col min="3" max="3" width="16" customWidth="1"/>
    <col min="4" max="4" width="22" customWidth="1"/>
    <col min="5" max="5" width="24" customWidth="1"/>
    <col min="6" max="6" width="14" customWidth="1"/>
    <col min="7" max="7" width="16" customWidth="1"/>
    <col min="8" max="8" width="10" customWidth="1"/>
    <col min="9" max="9" width="15" customWidth="1"/>
    <col min="10" max="10" width="44" customWidth="1"/>
    <col min="11" max="11" width="16" customWidth="1"/>
    <col min="12" max="12" width="22" customWidth="1"/>
    <col min="13" max="14" width="12" customWidth="1"/>
    <col min="15" max="16" width="22" customWidth="1"/>
    <col min="17" max="17" width="28" customWidth="1"/>
  </cols>
  <sheetData>
    <row r="1" spans="2:17" ht="25.5" customHeight="1" x14ac:dyDescent="0.25">
      <c r="B1" s="14" t="s">
        <v>633</v>
      </c>
      <c r="C1" s="14"/>
      <c r="D1" s="14"/>
      <c r="E1" s="14"/>
      <c r="F1" s="14"/>
      <c r="G1" s="14"/>
      <c r="H1" s="14"/>
      <c r="I1" s="14"/>
      <c r="J1" s="14"/>
      <c r="K1" s="14"/>
      <c r="L1" s="14"/>
      <c r="M1" s="14"/>
      <c r="N1" s="14"/>
      <c r="O1" s="14"/>
      <c r="P1" s="14"/>
      <c r="Q1" s="14"/>
    </row>
    <row r="2" spans="2:17" ht="15" customHeight="1" x14ac:dyDescent="0.25">
      <c r="B2" s="13" t="s">
        <v>634</v>
      </c>
      <c r="C2" s="13"/>
      <c r="D2" s="13"/>
      <c r="E2" s="13"/>
      <c r="F2" s="13"/>
      <c r="G2" s="13"/>
      <c r="H2" s="13"/>
      <c r="I2" s="13"/>
      <c r="J2" s="13"/>
      <c r="K2" s="13"/>
      <c r="L2" s="13"/>
      <c r="M2" s="13"/>
      <c r="N2" s="13"/>
      <c r="O2" s="13"/>
      <c r="P2" s="13"/>
      <c r="Q2" s="13"/>
    </row>
    <row r="4" spans="2:17" ht="18" customHeight="1" x14ac:dyDescent="0.25">
      <c r="B4" s="12" t="s">
        <v>635</v>
      </c>
      <c r="C4" s="12"/>
      <c r="D4" s="12"/>
      <c r="E4" s="12"/>
      <c r="F4" s="12"/>
      <c r="G4" s="12"/>
      <c r="H4" s="12"/>
      <c r="I4" s="12"/>
      <c r="J4" s="12"/>
      <c r="K4" s="12"/>
      <c r="L4" s="12"/>
      <c r="M4" s="12"/>
      <c r="N4" s="12"/>
      <c r="O4" s="12"/>
      <c r="P4" s="12"/>
      <c r="Q4" s="12"/>
    </row>
    <row r="5" spans="2:17" ht="30" customHeight="1" x14ac:dyDescent="0.25">
      <c r="B5" s="22" t="s">
        <v>636</v>
      </c>
      <c r="C5" s="22" t="s">
        <v>637</v>
      </c>
      <c r="D5" s="22" t="s">
        <v>638</v>
      </c>
      <c r="E5" s="22" t="s">
        <v>639</v>
      </c>
      <c r="F5" s="22" t="s">
        <v>640</v>
      </c>
    </row>
    <row r="6" spans="2:17" x14ac:dyDescent="0.25">
      <c r="B6" s="20" t="s">
        <v>641</v>
      </c>
      <c r="C6" s="132">
        <v>-0.15</v>
      </c>
      <c r="D6" s="133">
        <v>2000000</v>
      </c>
      <c r="E6" s="56" t="s">
        <v>642</v>
      </c>
      <c r="F6" s="27" t="s">
        <v>642</v>
      </c>
    </row>
    <row r="7" spans="2:17" x14ac:dyDescent="0.25">
      <c r="B7" s="119" t="s">
        <v>643</v>
      </c>
      <c r="C7" s="134">
        <v>-0.25</v>
      </c>
      <c r="D7" s="135">
        <v>5000000</v>
      </c>
      <c r="E7" s="63" t="s">
        <v>644</v>
      </c>
      <c r="F7" s="114" t="s">
        <v>642</v>
      </c>
    </row>
    <row r="8" spans="2:17" x14ac:dyDescent="0.25">
      <c r="B8" s="20" t="s">
        <v>645</v>
      </c>
      <c r="C8" s="132">
        <v>-0.35</v>
      </c>
      <c r="D8" s="133">
        <v>10000000</v>
      </c>
      <c r="E8" s="56" t="s">
        <v>644</v>
      </c>
      <c r="F8" s="27" t="s">
        <v>642</v>
      </c>
    </row>
    <row r="9" spans="2:17" x14ac:dyDescent="0.25">
      <c r="B9" s="119" t="s">
        <v>646</v>
      </c>
      <c r="C9" s="134">
        <v>-0.5</v>
      </c>
      <c r="D9" s="136" t="s">
        <v>647</v>
      </c>
      <c r="E9" s="63" t="s">
        <v>644</v>
      </c>
      <c r="F9" s="114" t="s">
        <v>648</v>
      </c>
    </row>
    <row r="10" spans="2:17" x14ac:dyDescent="0.25">
      <c r="B10" s="20" t="s">
        <v>649</v>
      </c>
      <c r="C10" s="132">
        <v>-1</v>
      </c>
      <c r="D10" s="137" t="s">
        <v>647</v>
      </c>
      <c r="E10" s="56" t="s">
        <v>644</v>
      </c>
      <c r="F10" s="27" t="s">
        <v>644</v>
      </c>
    </row>
    <row r="11" spans="2:17" x14ac:dyDescent="0.25">
      <c r="B11" s="3" t="s">
        <v>650</v>
      </c>
      <c r="C11" s="3"/>
      <c r="D11" s="3"/>
      <c r="E11" s="3"/>
      <c r="F11" s="3"/>
      <c r="G11" s="3"/>
      <c r="H11" s="3"/>
      <c r="I11" s="3"/>
      <c r="J11" s="3"/>
      <c r="K11" s="3"/>
      <c r="L11" s="3"/>
      <c r="M11" s="3"/>
      <c r="N11" s="3"/>
      <c r="O11" s="3"/>
      <c r="P11" s="3"/>
      <c r="Q11" s="3"/>
    </row>
    <row r="13" spans="2:17" ht="18" customHeight="1" x14ac:dyDescent="0.25">
      <c r="B13" s="12" t="s">
        <v>651</v>
      </c>
      <c r="C13" s="12"/>
      <c r="D13" s="12"/>
      <c r="E13" s="12"/>
      <c r="F13" s="12"/>
      <c r="G13" s="12"/>
      <c r="H13" s="12"/>
      <c r="I13" s="12"/>
      <c r="J13" s="12"/>
      <c r="K13" s="12"/>
      <c r="L13" s="12"/>
      <c r="M13" s="12"/>
      <c r="N13" s="12"/>
      <c r="O13" s="12"/>
      <c r="P13" s="12"/>
      <c r="Q13" s="12"/>
    </row>
    <row r="14" spans="2:17" x14ac:dyDescent="0.25">
      <c r="B14" s="32" t="s">
        <v>652</v>
      </c>
      <c r="C14" s="124">
        <f>COUNTIF('Portfolio Register'!$CX$5:$CX$304,"REFER")+COUNTIF('Portfolio Register'!$CX$5:$CX$304,"DECLINE")</f>
        <v>3</v>
      </c>
    </row>
    <row r="15" spans="2:17" x14ac:dyDescent="0.25">
      <c r="B15" s="36" t="s">
        <v>653</v>
      </c>
      <c r="C15" s="107">
        <f>COUNTIF('Portfolio Register'!$DG$5:$DG$304,"YES - approved*")</f>
        <v>0</v>
      </c>
    </row>
    <row r="16" spans="2:17" x14ac:dyDescent="0.25">
      <c r="B16" s="138" t="s">
        <v>654</v>
      </c>
      <c r="C16" s="124">
        <f>COUNTIF('Portfolio Register'!$DG$5:$DG$304,"NO - AWAITING APPROVAL")</f>
        <v>3</v>
      </c>
    </row>
    <row r="17" spans="2:17" x14ac:dyDescent="0.25">
      <c r="B17" s="36" t="s">
        <v>655</v>
      </c>
      <c r="C17" s="107">
        <f>COUNTIF('Portfolio Register'!$DG$5:$DG$304,"NO - DECLINED")</f>
        <v>0</v>
      </c>
    </row>
    <row r="18" spans="2:17" x14ac:dyDescent="0.25">
      <c r="B18" s="36" t="s">
        <v>594</v>
      </c>
      <c r="C18" s="107">
        <f>COUNTIF('Portfolio Register'!$DG$5:$DG$304,"NO - INCOMPLETE INPUTS")</f>
        <v>0</v>
      </c>
    </row>
    <row r="19" spans="2:17" x14ac:dyDescent="0.25">
      <c r="B19" s="138" t="s">
        <v>656</v>
      </c>
      <c r="C19" s="124">
        <f>COUNTIF('Portfolio Register'!$CY$5:$CY$304,"&lt;"&amp;'Technical Premium'!$C$19)</f>
        <v>0</v>
      </c>
    </row>
    <row r="20" spans="2:17" x14ac:dyDescent="0.25">
      <c r="B20" s="138" t="s">
        <v>657</v>
      </c>
      <c r="C20" s="124">
        <f>SUMPRODUCT(('Portfolio Register'!$CY$5:$CY$304&lt;'Technical Premium'!$C$19)*('Portfolio Register'!$CY$5:$CY$304&lt;&gt;"")*('Portfolio Register'!$DG$5:$DG$304="NO - AWAITING APPROVAL"))</f>
        <v>0</v>
      </c>
    </row>
    <row r="21" spans="2:17" x14ac:dyDescent="0.25">
      <c r="B21" s="36" t="s">
        <v>658</v>
      </c>
      <c r="C21" s="58">
        <f>SUMIF('Portfolio Register'!$DG$5:$DG$304,"NO - AWAITING APPROVAL",'Portfolio Register'!$CO$5:$CO$304)</f>
        <v>176409.04959252494</v>
      </c>
    </row>
    <row r="22" spans="2:17" x14ac:dyDescent="0.25">
      <c r="B22" s="36" t="s">
        <v>659</v>
      </c>
      <c r="C22" s="58">
        <f>SUMIFS('Portfolio Register'!$CO$5:$CO$304,'Portfolio Register'!$CZ$5:$CZ$304,"BEYOND AUTHORITY",'Portfolio Register'!$DG$5:$DG$304,"YES - approved*")</f>
        <v>0</v>
      </c>
    </row>
    <row r="23" spans="2:17" x14ac:dyDescent="0.25">
      <c r="B23" s="36" t="s">
        <v>660</v>
      </c>
      <c r="C23" s="107">
        <f>SUMPRODUCT(('Portfolio Register'!$CX$5:$CX$304="REFER")*('Portfolio Register'!$DB$5:$DB$304="")*('Portfolio Register'!$DD$5:$DD$304&lt;&gt;""))</f>
        <v>0</v>
      </c>
    </row>
    <row r="24" spans="2:17" x14ac:dyDescent="0.25">
      <c r="B24" s="36" t="s">
        <v>661</v>
      </c>
      <c r="C24" s="139" t="str">
        <f>IF(C14&gt;150,"OVERFLOW - increase log rows","OK - "&amp;C14&amp;" of 150 rows used")</f>
        <v>OK - 3 of 150 rows used</v>
      </c>
    </row>
    <row r="26" spans="2:17" ht="18" customHeight="1" x14ac:dyDescent="0.25">
      <c r="B26" s="12" t="s">
        <v>662</v>
      </c>
      <c r="C26" s="12"/>
      <c r="D26" s="12"/>
      <c r="E26" s="12"/>
      <c r="F26" s="12"/>
      <c r="G26" s="12"/>
      <c r="H26" s="12"/>
      <c r="I26" s="12"/>
      <c r="J26" s="12"/>
      <c r="K26" s="12"/>
      <c r="L26" s="12"/>
      <c r="M26" s="12"/>
      <c r="N26" s="12"/>
      <c r="O26" s="12"/>
      <c r="P26" s="12"/>
      <c r="Q26" s="12"/>
    </row>
    <row r="27" spans="2:17" ht="33.75" customHeight="1" x14ac:dyDescent="0.25">
      <c r="B27" s="22" t="s">
        <v>663</v>
      </c>
      <c r="C27" s="22" t="s">
        <v>664</v>
      </c>
      <c r="D27" s="22" t="s">
        <v>665</v>
      </c>
      <c r="E27" s="22" t="s">
        <v>165</v>
      </c>
      <c r="F27" s="22" t="s">
        <v>666</v>
      </c>
      <c r="G27" s="22" t="s">
        <v>667</v>
      </c>
      <c r="H27" s="22" t="s">
        <v>483</v>
      </c>
      <c r="I27" s="22" t="s">
        <v>484</v>
      </c>
      <c r="J27" s="22" t="s">
        <v>668</v>
      </c>
      <c r="K27" s="22" t="s">
        <v>669</v>
      </c>
      <c r="L27" s="22" t="s">
        <v>487</v>
      </c>
      <c r="M27" s="22" t="s">
        <v>488</v>
      </c>
      <c r="N27" s="22" t="s">
        <v>670</v>
      </c>
      <c r="O27" s="22" t="s">
        <v>671</v>
      </c>
      <c r="P27" s="22" t="s">
        <v>672</v>
      </c>
      <c r="Q27" s="22" t="s">
        <v>490</v>
      </c>
    </row>
    <row r="28" spans="2:17" x14ac:dyDescent="0.25">
      <c r="B28" s="56">
        <v>1</v>
      </c>
      <c r="C28" s="140" t="str">
        <f>IFERROR(IF(INDEX('Portfolio Register'!$A$5:$A$304,MATCH($B28,'Portfolio Register'!$DH$5:$DH$304,0))="","",INDEX('Portfolio Register'!$A$5:$A$304,MATCH($B28,'Portfolio Register'!$DH$5:$DH$304,0))),"")</f>
        <v>V-0002</v>
      </c>
      <c r="D28" s="140" t="str">
        <f>IFERROR(IF(INDEX('Portfolio Register'!$B$5:$B$304,MATCH($B28,'Portfolio Register'!$DH$5:$DH$304,0))="","",INDEX('Portfolio Register'!$B$5:$B$304,MATCH($B28,'Portfolio Register'!$DH$5:$DH$304,0))),"")</f>
        <v>Sonoran Collection Trust</v>
      </c>
      <c r="E28" s="140" t="str">
        <f>IFERROR(IF(INDEX('Portfolio Register'!$I$5:$I$304,MATCH($B28,'Portfolio Register'!$DH$5:$DH$304,0))="","",INDEX('Portfolio Register'!$I$5:$I$304,MATCH($B28,'Portfolio Register'!$DH$5:$DH$304,0))),"")</f>
        <v>04 - Hypercar</v>
      </c>
      <c r="F28" s="141">
        <f>IFERROR(IF(INDEX('Portfolio Register'!$J$5:$J$304,MATCH($B28,'Portfolio Register'!$DH$5:$DH$304,0))="","",INDEX('Portfolio Register'!$J$5:$J$304,MATCH($B28,'Portfolio Register'!$DH$5:$DH$304,0))),"")</f>
        <v>3600000</v>
      </c>
      <c r="G28" s="140" t="str">
        <f>IFERROR(IF(INDEX('Portfolio Register'!$CX$5:$CX$304,MATCH($B28,'Portfolio Register'!$DH$5:$DH$304,0))="","",INDEX('Portfolio Register'!$CX$5:$CX$304,MATCH($B28,'Portfolio Register'!$DH$5:$DH$304,0))),"")</f>
        <v>REFER</v>
      </c>
      <c r="H28" s="142">
        <f>IFERROR(IF(INDEX('Portfolio Register'!$CY$5:$CY$304,MATCH($B28,'Portfolio Register'!$DH$5:$DH$304,0))="","",INDEX('Portfolio Register'!$CY$5:$CY$304,MATCH($B28,'Portfolio Register'!$DH$5:$DH$304,0))),"")</f>
        <v>0</v>
      </c>
      <c r="I28" s="140" t="str">
        <f>IFERROR(IF(INDEX('Portfolio Register'!$CZ$5:$CZ$304,MATCH($B28,'Portfolio Register'!$DH$5:$DH$304,0))="","",INDEX('Portfolio Register'!$CZ$5:$CZ$304,MATCH($B28,'Portfolio Register'!$DH$5:$DH$304,0))),"")</f>
        <v>At technical</v>
      </c>
      <c r="J28" s="140" t="str">
        <f>IFERROR(IF(INDEX('Portfolio Register'!$DA$5:$DA$304,MATCH($B28,'Portfolio Register'!$DH$5:$DH$304,0))="","",INDEX('Portfolio Register'!$DA$5:$DA$304,MATCH($B28,'Portfolio Register'!$DH$5:$DH$304,0))),"")</f>
        <v>Agreed value at or above auto-bind limit.</v>
      </c>
      <c r="K28" s="140" t="str">
        <f>IFERROR(IF(INDEX('Portfolio Register'!$DB$5:$DB$304,MATCH($B28,'Portfolio Register'!$DH$5:$DH$304,0))="","",INDEX('Portfolio Register'!$DB$5:$DB$304,MATCH($B28,'Portfolio Register'!$DH$5:$DH$304,0))),"")</f>
        <v/>
      </c>
      <c r="L28" s="140" t="str">
        <f>IFERROR(IF(INDEX('Portfolio Register'!$DC$5:$DC$304,MATCH($B28,'Portfolio Register'!$DH$5:$DH$304,0))="","",INDEX('Portfolio Register'!$DC$5:$DC$304,MATCH($B28,'Portfolio Register'!$DH$5:$DH$304,0))),"")</f>
        <v/>
      </c>
      <c r="M28" s="143" t="str">
        <f>IFERROR(IF(INDEX('Portfolio Register'!$DD$5:$DD$304,MATCH($B28,'Portfolio Register'!$DH$5:$DH$304,0))="","",INDEX('Portfolio Register'!$DD$5:$DD$304,MATCH($B28,'Portfolio Register'!$DH$5:$DH$304,0))),"")</f>
        <v/>
      </c>
      <c r="N28" s="144">
        <f ca="1">IF($C28="","",IF($M28&lt;&gt;"",$M28-IFERROR(INDEX('Portfolio Register'!$C$5:$C$304,MATCH($B28,'Portfolio Register'!$DH$5:$DH$304,0)),$M28),TODAY()-IFERROR(INDEX('Portfolio Register'!$C$5:$C$304,MATCH($B28,'Portfolio Register'!$DH$5:$DH$304,0)),TODAY())))</f>
        <v>149</v>
      </c>
      <c r="O28" s="145" t="str">
        <f t="shared" ref="O28:O59" si="0">IF($C28="","",IF($L28="","NO ROLE RECORDED",IF($H28&lt;IFERROR(INDEX($C$6:$C$10,MATCH($L28,$B$6:$B$10,0)),-99),"INSUFFICIENT AUTHORITY - escalate","OK")))</f>
        <v>NO ROLE RECORDED</v>
      </c>
      <c r="P28" s="140" t="str">
        <f>IFERROR(IF(INDEX('Portfolio Register'!$DG$5:$DG$304,MATCH($B28,'Portfolio Register'!$DH$5:$DH$304,0))="","",INDEX('Portfolio Register'!$DG$5:$DG$304,MATCH($B28,'Portfolio Register'!$DH$5:$DH$304,0))),"")</f>
        <v>NO - AWAITING APPROVAL</v>
      </c>
      <c r="Q28" s="140" t="str">
        <f>IFERROR(IF(INDEX('Portfolio Register'!$DF$5:$DF$304,MATCH($B28,'Portfolio Register'!$DH$5:$DH$304,0))="","",INDEX('Portfolio Register'!$DF$5:$DF$304,MATCH($B28,'Portfolio Register'!$DH$5:$DH$304,0))),"")</f>
        <v/>
      </c>
    </row>
    <row r="29" spans="2:17" ht="22.5" x14ac:dyDescent="0.25">
      <c r="B29" s="63">
        <v>2</v>
      </c>
      <c r="C29" s="146" t="str">
        <f>IFERROR(IF(INDEX('Portfolio Register'!$A$5:$A$304,MATCH($B29,'Portfolio Register'!$DH$5:$DH$304,0))="","",INDEX('Portfolio Register'!$A$5:$A$304,MATCH($B29,'Portfolio Register'!$DH$5:$DH$304,0))),"")</f>
        <v>V-0004</v>
      </c>
      <c r="D29" s="146" t="str">
        <f>IFERROR(IF(INDEX('Portfolio Register'!$B$5:$B$304,MATCH($B29,'Portfolio Register'!$DH$5:$DH$304,0))="","",INDEX('Portfolio Register'!$B$5:$B$304,MATCH($B29,'Portfolio Register'!$DH$5:$DH$304,0))),"")</f>
        <v>Meridian Motorcars LLC</v>
      </c>
      <c r="E29" s="146" t="str">
        <f>IFERROR(IF(INDEX('Portfolio Register'!$I$5:$I$304,MATCH($B29,'Portfolio Register'!$DH$5:$DH$304,0))="","",INDEX('Portfolio Register'!$I$5:$I$304,MATCH($B29,'Portfolio Register'!$DH$5:$DH$304,0))),"")</f>
        <v>03 - Supercar</v>
      </c>
      <c r="F29" s="147">
        <f>IFERROR(IF(INDEX('Portfolio Register'!$J$5:$J$304,MATCH($B29,'Portfolio Register'!$DH$5:$DH$304,0))="","",INDEX('Portfolio Register'!$J$5:$J$304,MATCH($B29,'Portfolio Register'!$DH$5:$DH$304,0))),"")</f>
        <v>280000</v>
      </c>
      <c r="G29" s="146" t="str">
        <f>IFERROR(IF(INDEX('Portfolio Register'!$CX$5:$CX$304,MATCH($B29,'Portfolio Register'!$DH$5:$DH$304,0))="","",INDEX('Portfolio Register'!$CX$5:$CX$304,MATCH($B29,'Portfolio Register'!$DH$5:$DH$304,0))),"")</f>
        <v>REFER</v>
      </c>
      <c r="H29" s="148">
        <f>IFERROR(IF(INDEX('Portfolio Register'!$CY$5:$CY$304,MATCH($B29,'Portfolio Register'!$DH$5:$DH$304,0))="","",INDEX('Portfolio Register'!$CY$5:$CY$304,MATCH($B29,'Portfolio Register'!$DH$5:$DH$304,0))),"")</f>
        <v>0.10000000000000009</v>
      </c>
      <c r="I29" s="146" t="str">
        <f>IFERROR(IF(INDEX('Portfolio Register'!$CZ$5:$CZ$304,MATCH($B29,'Portfolio Register'!$DH$5:$DH$304,0))="","",INDEX('Portfolio Register'!$CZ$5:$CZ$304,MATCH($B29,'Portfolio Register'!$DH$5:$DH$304,0))),"")</f>
        <v>Above technical</v>
      </c>
      <c r="J29" s="146" t="str">
        <f>IFERROR(IF(INDEX('Portfolio Register'!$DA$5:$DA$304,MATCH($B29,'Portfolio Register'!$DH$5:$DH$304,0))="","",INDEX('Portfolio Register'!$DA$5:$DA$304,MATCH($B29,'Portfolio Register'!$DH$5:$DH$304,0))),"")</f>
        <v>Composite factor at cap. Composite factor above 2.50. Usage class.</v>
      </c>
      <c r="K29" s="146" t="str">
        <f>IFERROR(IF(INDEX('Portfolio Register'!$DB$5:$DB$304,MATCH($B29,'Portfolio Register'!$DH$5:$DH$304,0))="","",INDEX('Portfolio Register'!$DB$5:$DB$304,MATCH($B29,'Portfolio Register'!$DH$5:$DH$304,0))),"")</f>
        <v/>
      </c>
      <c r="L29" s="146" t="str">
        <f>IFERROR(IF(INDEX('Portfolio Register'!$DC$5:$DC$304,MATCH($B29,'Portfolio Register'!$DH$5:$DH$304,0))="","",INDEX('Portfolio Register'!$DC$5:$DC$304,MATCH($B29,'Portfolio Register'!$DH$5:$DH$304,0))),"")</f>
        <v/>
      </c>
      <c r="M29" s="149" t="str">
        <f>IFERROR(IF(INDEX('Portfolio Register'!$DD$5:$DD$304,MATCH($B29,'Portfolio Register'!$DH$5:$DH$304,0))="","",INDEX('Portfolio Register'!$DD$5:$DD$304,MATCH($B29,'Portfolio Register'!$DH$5:$DH$304,0))),"")</f>
        <v/>
      </c>
      <c r="N29" s="150">
        <f ca="1">IF($C29="","",IF($M29&lt;&gt;"",$M29-IFERROR(INDEX('Portfolio Register'!$C$5:$C$304,MATCH($B29,'Portfolio Register'!$DH$5:$DH$304,0)),$M29),TODAY()-IFERROR(INDEX('Portfolio Register'!$C$5:$C$304,MATCH($B29,'Portfolio Register'!$DH$5:$DH$304,0)),TODAY())))</f>
        <v>88</v>
      </c>
      <c r="O29" s="151" t="str">
        <f t="shared" si="0"/>
        <v>NO ROLE RECORDED</v>
      </c>
      <c r="P29" s="146" t="str">
        <f>IFERROR(IF(INDEX('Portfolio Register'!$DG$5:$DG$304,MATCH($B29,'Portfolio Register'!$DH$5:$DH$304,0))="","",INDEX('Portfolio Register'!$DG$5:$DG$304,MATCH($B29,'Portfolio Register'!$DH$5:$DH$304,0))),"")</f>
        <v>NO - AWAITING APPROVAL</v>
      </c>
      <c r="Q29" s="146" t="str">
        <f>IFERROR(IF(INDEX('Portfolio Register'!$DF$5:$DF$304,MATCH($B29,'Portfolio Register'!$DH$5:$DH$304,0))="","",INDEX('Portfolio Register'!$DF$5:$DF$304,MATCH($B29,'Portfolio Register'!$DH$5:$DH$304,0))),"")</f>
        <v/>
      </c>
    </row>
    <row r="30" spans="2:17" ht="22.5" x14ac:dyDescent="0.25">
      <c r="B30" s="56">
        <v>3</v>
      </c>
      <c r="C30" s="140" t="str">
        <f>IFERROR(IF(INDEX('Portfolio Register'!$A$5:$A$304,MATCH($B30,'Portfolio Register'!$DH$5:$DH$304,0))="","",INDEX('Portfolio Register'!$A$5:$A$304,MATCH($B30,'Portfolio Register'!$DH$5:$DH$304,0))),"")</f>
        <v>V-0006</v>
      </c>
      <c r="D30" s="140" t="str">
        <f>IFERROR(IF(INDEX('Portfolio Register'!$B$5:$B$304,MATCH($B30,'Portfolio Register'!$DH$5:$DH$304,0))="","",INDEX('Portfolio Register'!$B$5:$B$304,MATCH($B30,'Portfolio Register'!$DH$5:$DH$304,0))),"")</f>
        <v>Pacific Crest Garage LLC</v>
      </c>
      <c r="E30" s="140" t="str">
        <f>IFERROR(IF(INDEX('Portfolio Register'!$I$5:$I$304,MATCH($B30,'Portfolio Register'!$DH$5:$DH$304,0))="","",INDEX('Portfolio Register'!$I$5:$I$304,MATCH($B30,'Portfolio Register'!$DH$5:$DH$304,0))),"")</f>
        <v>11 - Restomod / Coachbuilt / Bespoke</v>
      </c>
      <c r="F30" s="141">
        <f>IFERROR(IF(INDEX('Portfolio Register'!$J$5:$J$304,MATCH($B30,'Portfolio Register'!$DH$5:$DH$304,0))="","",INDEX('Portfolio Register'!$J$5:$J$304,MATCH($B30,'Portfolio Register'!$DH$5:$DH$304,0))),"")</f>
        <v>2200000</v>
      </c>
      <c r="G30" s="140" t="str">
        <f>IFERROR(IF(INDEX('Portfolio Register'!$CX$5:$CX$304,MATCH($B30,'Portfolio Register'!$DH$5:$DH$304,0))="","",INDEX('Portfolio Register'!$CX$5:$CX$304,MATCH($B30,'Portfolio Register'!$DH$5:$DH$304,0))),"")</f>
        <v>REFER</v>
      </c>
      <c r="H30" s="142">
        <f>IFERROR(IF(INDEX('Portfolio Register'!$CY$5:$CY$304,MATCH($B30,'Portfolio Register'!$DH$5:$DH$304,0))="","",INDEX('Portfolio Register'!$CY$5:$CY$304,MATCH($B30,'Portfolio Register'!$DH$5:$DH$304,0))),"")</f>
        <v>5.0000000000000044E-2</v>
      </c>
      <c r="I30" s="140" t="str">
        <f>IFERROR(IF(INDEX('Portfolio Register'!$CZ$5:$CZ$304,MATCH($B30,'Portfolio Register'!$DH$5:$DH$304,0))="","",INDEX('Portfolio Register'!$CZ$5:$CZ$304,MATCH($B30,'Portfolio Register'!$DH$5:$DH$304,0))),"")</f>
        <v>Above technical</v>
      </c>
      <c r="J30" s="140" t="str">
        <f>IFERROR(IF(INDEX('Portfolio Register'!$DA$5:$DA$304,MATCH($B30,'Portfolio Register'!$DH$5:$DH$304,0))="","",INDEX('Portfolio Register'!$DA$5:$DA$304,MATCH($B30,'Portfolio Register'!$DH$5:$DH$304,0))),"")</f>
        <v>Agreed value at or above auto-bind limit.</v>
      </c>
      <c r="K30" s="140" t="str">
        <f>IFERROR(IF(INDEX('Portfolio Register'!$DB$5:$DB$304,MATCH($B30,'Portfolio Register'!$DH$5:$DH$304,0))="","",INDEX('Portfolio Register'!$DB$5:$DB$304,MATCH($B30,'Portfolio Register'!$DH$5:$DH$304,0))),"")</f>
        <v/>
      </c>
      <c r="L30" s="140" t="str">
        <f>IFERROR(IF(INDEX('Portfolio Register'!$DC$5:$DC$304,MATCH($B30,'Portfolio Register'!$DH$5:$DH$304,0))="","",INDEX('Portfolio Register'!$DC$5:$DC$304,MATCH($B30,'Portfolio Register'!$DH$5:$DH$304,0))),"")</f>
        <v/>
      </c>
      <c r="M30" s="143" t="str">
        <f>IFERROR(IF(INDEX('Portfolio Register'!$DD$5:$DD$304,MATCH($B30,'Portfolio Register'!$DH$5:$DH$304,0))="","",INDEX('Portfolio Register'!$DD$5:$DD$304,MATCH($B30,'Portfolio Register'!$DH$5:$DH$304,0))),"")</f>
        <v/>
      </c>
      <c r="N30" s="144">
        <f ca="1">IF($C30="","",IF($M30&lt;&gt;"",$M30-IFERROR(INDEX('Portfolio Register'!$C$5:$C$304,MATCH($B30,'Portfolio Register'!$DH$5:$DH$304,0)),$M30),TODAY()-IFERROR(INDEX('Portfolio Register'!$C$5:$C$304,MATCH($B30,'Portfolio Register'!$DH$5:$DH$304,0)),TODAY())))</f>
        <v>27</v>
      </c>
      <c r="O30" s="145" t="str">
        <f t="shared" si="0"/>
        <v>NO ROLE RECORDED</v>
      </c>
      <c r="P30" s="140" t="str">
        <f>IFERROR(IF(INDEX('Portfolio Register'!$DG$5:$DG$304,MATCH($B30,'Portfolio Register'!$DH$5:$DH$304,0))="","",INDEX('Portfolio Register'!$DG$5:$DG$304,MATCH($B30,'Portfolio Register'!$DH$5:$DH$304,0))),"")</f>
        <v>NO - AWAITING APPROVAL</v>
      </c>
      <c r="Q30" s="140" t="str">
        <f>IFERROR(IF(INDEX('Portfolio Register'!$DF$5:$DF$304,MATCH($B30,'Portfolio Register'!$DH$5:$DH$304,0))="","",INDEX('Portfolio Register'!$DF$5:$DF$304,MATCH($B30,'Portfolio Register'!$DH$5:$DH$304,0))),"")</f>
        <v/>
      </c>
    </row>
    <row r="31" spans="2:17" x14ac:dyDescent="0.25">
      <c r="B31" s="63">
        <v>4</v>
      </c>
      <c r="C31" s="146" t="str">
        <f>IFERROR(IF(INDEX('Portfolio Register'!$A$5:$A$304,MATCH($B31,'Portfolio Register'!$DH$5:$DH$304,0))="","",INDEX('Portfolio Register'!$A$5:$A$304,MATCH($B31,'Portfolio Register'!$DH$5:$DH$304,0))),"")</f>
        <v/>
      </c>
      <c r="D31" s="146" t="str">
        <f>IFERROR(IF(INDEX('Portfolio Register'!$B$5:$B$304,MATCH($B31,'Portfolio Register'!$DH$5:$DH$304,0))="","",INDEX('Portfolio Register'!$B$5:$B$304,MATCH($B31,'Portfolio Register'!$DH$5:$DH$304,0))),"")</f>
        <v/>
      </c>
      <c r="E31" s="146" t="str">
        <f>IFERROR(IF(INDEX('Portfolio Register'!$I$5:$I$304,MATCH($B31,'Portfolio Register'!$DH$5:$DH$304,0))="","",INDEX('Portfolio Register'!$I$5:$I$304,MATCH($B31,'Portfolio Register'!$DH$5:$DH$304,0))),"")</f>
        <v/>
      </c>
      <c r="F31" s="147" t="str">
        <f>IFERROR(IF(INDEX('Portfolio Register'!$J$5:$J$304,MATCH($B31,'Portfolio Register'!$DH$5:$DH$304,0))="","",INDEX('Portfolio Register'!$J$5:$J$304,MATCH($B31,'Portfolio Register'!$DH$5:$DH$304,0))),"")</f>
        <v/>
      </c>
      <c r="G31" s="146" t="str">
        <f>IFERROR(IF(INDEX('Portfolio Register'!$CX$5:$CX$304,MATCH($B31,'Portfolio Register'!$DH$5:$DH$304,0))="","",INDEX('Portfolio Register'!$CX$5:$CX$304,MATCH($B31,'Portfolio Register'!$DH$5:$DH$304,0))),"")</f>
        <v/>
      </c>
      <c r="H31" s="148" t="str">
        <f>IFERROR(IF(INDEX('Portfolio Register'!$CY$5:$CY$304,MATCH($B31,'Portfolio Register'!$DH$5:$DH$304,0))="","",INDEX('Portfolio Register'!$CY$5:$CY$304,MATCH($B31,'Portfolio Register'!$DH$5:$DH$304,0))),"")</f>
        <v/>
      </c>
      <c r="I31" s="146" t="str">
        <f>IFERROR(IF(INDEX('Portfolio Register'!$CZ$5:$CZ$304,MATCH($B31,'Portfolio Register'!$DH$5:$DH$304,0))="","",INDEX('Portfolio Register'!$CZ$5:$CZ$304,MATCH($B31,'Portfolio Register'!$DH$5:$DH$304,0))),"")</f>
        <v/>
      </c>
      <c r="J31" s="146" t="str">
        <f>IFERROR(IF(INDEX('Portfolio Register'!$DA$5:$DA$304,MATCH($B31,'Portfolio Register'!$DH$5:$DH$304,0))="","",INDEX('Portfolio Register'!$DA$5:$DA$304,MATCH($B31,'Portfolio Register'!$DH$5:$DH$304,0))),"")</f>
        <v/>
      </c>
      <c r="K31" s="146" t="str">
        <f>IFERROR(IF(INDEX('Portfolio Register'!$DB$5:$DB$304,MATCH($B31,'Portfolio Register'!$DH$5:$DH$304,0))="","",INDEX('Portfolio Register'!$DB$5:$DB$304,MATCH($B31,'Portfolio Register'!$DH$5:$DH$304,0))),"")</f>
        <v/>
      </c>
      <c r="L31" s="146" t="str">
        <f>IFERROR(IF(INDEX('Portfolio Register'!$DC$5:$DC$304,MATCH($B31,'Portfolio Register'!$DH$5:$DH$304,0))="","",INDEX('Portfolio Register'!$DC$5:$DC$304,MATCH($B31,'Portfolio Register'!$DH$5:$DH$304,0))),"")</f>
        <v/>
      </c>
      <c r="M31" s="149" t="str">
        <f>IFERROR(IF(INDEX('Portfolio Register'!$DD$5:$DD$304,MATCH($B31,'Portfolio Register'!$DH$5:$DH$304,0))="","",INDEX('Portfolio Register'!$DD$5:$DD$304,MATCH($B31,'Portfolio Register'!$DH$5:$DH$304,0))),"")</f>
        <v/>
      </c>
      <c r="N31" s="150" t="str">
        <f ca="1">IF($C31="","",IF($M31&lt;&gt;"",$M31-IFERROR(INDEX('Portfolio Register'!$C$5:$C$304,MATCH($B31,'Portfolio Register'!$DH$5:$DH$304,0)),$M31),TODAY()-IFERROR(INDEX('Portfolio Register'!$C$5:$C$304,MATCH($B31,'Portfolio Register'!$DH$5:$DH$304,0)),TODAY())))</f>
        <v/>
      </c>
      <c r="O31" s="151" t="str">
        <f t="shared" si="0"/>
        <v/>
      </c>
      <c r="P31" s="146" t="str">
        <f>IFERROR(IF(INDEX('Portfolio Register'!$DG$5:$DG$304,MATCH($B31,'Portfolio Register'!$DH$5:$DH$304,0))="","",INDEX('Portfolio Register'!$DG$5:$DG$304,MATCH($B31,'Portfolio Register'!$DH$5:$DH$304,0))),"")</f>
        <v/>
      </c>
      <c r="Q31" s="146" t="str">
        <f>IFERROR(IF(INDEX('Portfolio Register'!$DF$5:$DF$304,MATCH($B31,'Portfolio Register'!$DH$5:$DH$304,0))="","",INDEX('Portfolio Register'!$DF$5:$DF$304,MATCH($B31,'Portfolio Register'!$DH$5:$DH$304,0))),"")</f>
        <v/>
      </c>
    </row>
    <row r="32" spans="2:17" x14ac:dyDescent="0.25">
      <c r="B32" s="56">
        <v>5</v>
      </c>
      <c r="C32" s="140" t="str">
        <f>IFERROR(IF(INDEX('Portfolio Register'!$A$5:$A$304,MATCH($B32,'Portfolio Register'!$DH$5:$DH$304,0))="","",INDEX('Portfolio Register'!$A$5:$A$304,MATCH($B32,'Portfolio Register'!$DH$5:$DH$304,0))),"")</f>
        <v/>
      </c>
      <c r="D32" s="140" t="str">
        <f>IFERROR(IF(INDEX('Portfolio Register'!$B$5:$B$304,MATCH($B32,'Portfolio Register'!$DH$5:$DH$304,0))="","",INDEX('Portfolio Register'!$B$5:$B$304,MATCH($B32,'Portfolio Register'!$DH$5:$DH$304,0))),"")</f>
        <v/>
      </c>
      <c r="E32" s="140" t="str">
        <f>IFERROR(IF(INDEX('Portfolio Register'!$I$5:$I$304,MATCH($B32,'Portfolio Register'!$DH$5:$DH$304,0))="","",INDEX('Portfolio Register'!$I$5:$I$304,MATCH($B32,'Portfolio Register'!$DH$5:$DH$304,0))),"")</f>
        <v/>
      </c>
      <c r="F32" s="141" t="str">
        <f>IFERROR(IF(INDEX('Portfolio Register'!$J$5:$J$304,MATCH($B32,'Portfolio Register'!$DH$5:$DH$304,0))="","",INDEX('Portfolio Register'!$J$5:$J$304,MATCH($B32,'Portfolio Register'!$DH$5:$DH$304,0))),"")</f>
        <v/>
      </c>
      <c r="G32" s="140" t="str">
        <f>IFERROR(IF(INDEX('Portfolio Register'!$CX$5:$CX$304,MATCH($B32,'Portfolio Register'!$DH$5:$DH$304,0))="","",INDEX('Portfolio Register'!$CX$5:$CX$304,MATCH($B32,'Portfolio Register'!$DH$5:$DH$304,0))),"")</f>
        <v/>
      </c>
      <c r="H32" s="142" t="str">
        <f>IFERROR(IF(INDEX('Portfolio Register'!$CY$5:$CY$304,MATCH($B32,'Portfolio Register'!$DH$5:$DH$304,0))="","",INDEX('Portfolio Register'!$CY$5:$CY$304,MATCH($B32,'Portfolio Register'!$DH$5:$DH$304,0))),"")</f>
        <v/>
      </c>
      <c r="I32" s="140" t="str">
        <f>IFERROR(IF(INDEX('Portfolio Register'!$CZ$5:$CZ$304,MATCH($B32,'Portfolio Register'!$DH$5:$DH$304,0))="","",INDEX('Portfolio Register'!$CZ$5:$CZ$304,MATCH($B32,'Portfolio Register'!$DH$5:$DH$304,0))),"")</f>
        <v/>
      </c>
      <c r="J32" s="140" t="str">
        <f>IFERROR(IF(INDEX('Portfolio Register'!$DA$5:$DA$304,MATCH($B32,'Portfolio Register'!$DH$5:$DH$304,0))="","",INDEX('Portfolio Register'!$DA$5:$DA$304,MATCH($B32,'Portfolio Register'!$DH$5:$DH$304,0))),"")</f>
        <v/>
      </c>
      <c r="K32" s="140" t="str">
        <f>IFERROR(IF(INDEX('Portfolio Register'!$DB$5:$DB$304,MATCH($B32,'Portfolio Register'!$DH$5:$DH$304,0))="","",INDEX('Portfolio Register'!$DB$5:$DB$304,MATCH($B32,'Portfolio Register'!$DH$5:$DH$304,0))),"")</f>
        <v/>
      </c>
      <c r="L32" s="140" t="str">
        <f>IFERROR(IF(INDEX('Portfolio Register'!$DC$5:$DC$304,MATCH($B32,'Portfolio Register'!$DH$5:$DH$304,0))="","",INDEX('Portfolio Register'!$DC$5:$DC$304,MATCH($B32,'Portfolio Register'!$DH$5:$DH$304,0))),"")</f>
        <v/>
      </c>
      <c r="M32" s="143" t="str">
        <f>IFERROR(IF(INDEX('Portfolio Register'!$DD$5:$DD$304,MATCH($B32,'Portfolio Register'!$DH$5:$DH$304,0))="","",INDEX('Portfolio Register'!$DD$5:$DD$304,MATCH($B32,'Portfolio Register'!$DH$5:$DH$304,0))),"")</f>
        <v/>
      </c>
      <c r="N32" s="144" t="str">
        <f ca="1">IF($C32="","",IF($M32&lt;&gt;"",$M32-IFERROR(INDEX('Portfolio Register'!$C$5:$C$304,MATCH($B32,'Portfolio Register'!$DH$5:$DH$304,0)),$M32),TODAY()-IFERROR(INDEX('Portfolio Register'!$C$5:$C$304,MATCH($B32,'Portfolio Register'!$DH$5:$DH$304,0)),TODAY())))</f>
        <v/>
      </c>
      <c r="O32" s="145" t="str">
        <f t="shared" si="0"/>
        <v/>
      </c>
      <c r="P32" s="140" t="str">
        <f>IFERROR(IF(INDEX('Portfolio Register'!$DG$5:$DG$304,MATCH($B32,'Portfolio Register'!$DH$5:$DH$304,0))="","",INDEX('Portfolio Register'!$DG$5:$DG$304,MATCH($B32,'Portfolio Register'!$DH$5:$DH$304,0))),"")</f>
        <v/>
      </c>
      <c r="Q32" s="140" t="str">
        <f>IFERROR(IF(INDEX('Portfolio Register'!$DF$5:$DF$304,MATCH($B32,'Portfolio Register'!$DH$5:$DH$304,0))="","",INDEX('Portfolio Register'!$DF$5:$DF$304,MATCH($B32,'Portfolio Register'!$DH$5:$DH$304,0))),"")</f>
        <v/>
      </c>
    </row>
    <row r="33" spans="2:17" x14ac:dyDescent="0.25">
      <c r="B33" s="63">
        <v>6</v>
      </c>
      <c r="C33" s="146" t="str">
        <f>IFERROR(IF(INDEX('Portfolio Register'!$A$5:$A$304,MATCH($B33,'Portfolio Register'!$DH$5:$DH$304,0))="","",INDEX('Portfolio Register'!$A$5:$A$304,MATCH($B33,'Portfolio Register'!$DH$5:$DH$304,0))),"")</f>
        <v/>
      </c>
      <c r="D33" s="146" t="str">
        <f>IFERROR(IF(INDEX('Portfolio Register'!$B$5:$B$304,MATCH($B33,'Portfolio Register'!$DH$5:$DH$304,0))="","",INDEX('Portfolio Register'!$B$5:$B$304,MATCH($B33,'Portfolio Register'!$DH$5:$DH$304,0))),"")</f>
        <v/>
      </c>
      <c r="E33" s="146" t="str">
        <f>IFERROR(IF(INDEX('Portfolio Register'!$I$5:$I$304,MATCH($B33,'Portfolio Register'!$DH$5:$DH$304,0))="","",INDEX('Portfolio Register'!$I$5:$I$304,MATCH($B33,'Portfolio Register'!$DH$5:$DH$304,0))),"")</f>
        <v/>
      </c>
      <c r="F33" s="147" t="str">
        <f>IFERROR(IF(INDEX('Portfolio Register'!$J$5:$J$304,MATCH($B33,'Portfolio Register'!$DH$5:$DH$304,0))="","",INDEX('Portfolio Register'!$J$5:$J$304,MATCH($B33,'Portfolio Register'!$DH$5:$DH$304,0))),"")</f>
        <v/>
      </c>
      <c r="G33" s="146" t="str">
        <f>IFERROR(IF(INDEX('Portfolio Register'!$CX$5:$CX$304,MATCH($B33,'Portfolio Register'!$DH$5:$DH$304,0))="","",INDEX('Portfolio Register'!$CX$5:$CX$304,MATCH($B33,'Portfolio Register'!$DH$5:$DH$304,0))),"")</f>
        <v/>
      </c>
      <c r="H33" s="148" t="str">
        <f>IFERROR(IF(INDEX('Portfolio Register'!$CY$5:$CY$304,MATCH($B33,'Portfolio Register'!$DH$5:$DH$304,0))="","",INDEX('Portfolio Register'!$CY$5:$CY$304,MATCH($B33,'Portfolio Register'!$DH$5:$DH$304,0))),"")</f>
        <v/>
      </c>
      <c r="I33" s="146" t="str">
        <f>IFERROR(IF(INDEX('Portfolio Register'!$CZ$5:$CZ$304,MATCH($B33,'Portfolio Register'!$DH$5:$DH$304,0))="","",INDEX('Portfolio Register'!$CZ$5:$CZ$304,MATCH($B33,'Portfolio Register'!$DH$5:$DH$304,0))),"")</f>
        <v/>
      </c>
      <c r="J33" s="146" t="str">
        <f>IFERROR(IF(INDEX('Portfolio Register'!$DA$5:$DA$304,MATCH($B33,'Portfolio Register'!$DH$5:$DH$304,0))="","",INDEX('Portfolio Register'!$DA$5:$DA$304,MATCH($B33,'Portfolio Register'!$DH$5:$DH$304,0))),"")</f>
        <v/>
      </c>
      <c r="K33" s="146" t="str">
        <f>IFERROR(IF(INDEX('Portfolio Register'!$DB$5:$DB$304,MATCH($B33,'Portfolio Register'!$DH$5:$DH$304,0))="","",INDEX('Portfolio Register'!$DB$5:$DB$304,MATCH($B33,'Portfolio Register'!$DH$5:$DH$304,0))),"")</f>
        <v/>
      </c>
      <c r="L33" s="146" t="str">
        <f>IFERROR(IF(INDEX('Portfolio Register'!$DC$5:$DC$304,MATCH($B33,'Portfolio Register'!$DH$5:$DH$304,0))="","",INDEX('Portfolio Register'!$DC$5:$DC$304,MATCH($B33,'Portfolio Register'!$DH$5:$DH$304,0))),"")</f>
        <v/>
      </c>
      <c r="M33" s="149" t="str">
        <f>IFERROR(IF(INDEX('Portfolio Register'!$DD$5:$DD$304,MATCH($B33,'Portfolio Register'!$DH$5:$DH$304,0))="","",INDEX('Portfolio Register'!$DD$5:$DD$304,MATCH($B33,'Portfolio Register'!$DH$5:$DH$304,0))),"")</f>
        <v/>
      </c>
      <c r="N33" s="150" t="str">
        <f ca="1">IF($C33="","",IF($M33&lt;&gt;"",$M33-IFERROR(INDEX('Portfolio Register'!$C$5:$C$304,MATCH($B33,'Portfolio Register'!$DH$5:$DH$304,0)),$M33),TODAY()-IFERROR(INDEX('Portfolio Register'!$C$5:$C$304,MATCH($B33,'Portfolio Register'!$DH$5:$DH$304,0)),TODAY())))</f>
        <v/>
      </c>
      <c r="O33" s="151" t="str">
        <f t="shared" si="0"/>
        <v/>
      </c>
      <c r="P33" s="146" t="str">
        <f>IFERROR(IF(INDEX('Portfolio Register'!$DG$5:$DG$304,MATCH($B33,'Portfolio Register'!$DH$5:$DH$304,0))="","",INDEX('Portfolio Register'!$DG$5:$DG$304,MATCH($B33,'Portfolio Register'!$DH$5:$DH$304,0))),"")</f>
        <v/>
      </c>
      <c r="Q33" s="146" t="str">
        <f>IFERROR(IF(INDEX('Portfolio Register'!$DF$5:$DF$304,MATCH($B33,'Portfolio Register'!$DH$5:$DH$304,0))="","",INDEX('Portfolio Register'!$DF$5:$DF$304,MATCH($B33,'Portfolio Register'!$DH$5:$DH$304,0))),"")</f>
        <v/>
      </c>
    </row>
    <row r="34" spans="2:17" x14ac:dyDescent="0.25">
      <c r="B34" s="56">
        <v>7</v>
      </c>
      <c r="C34" s="140" t="str">
        <f>IFERROR(IF(INDEX('Portfolio Register'!$A$5:$A$304,MATCH($B34,'Portfolio Register'!$DH$5:$DH$304,0))="","",INDEX('Portfolio Register'!$A$5:$A$304,MATCH($B34,'Portfolio Register'!$DH$5:$DH$304,0))),"")</f>
        <v/>
      </c>
      <c r="D34" s="140" t="str">
        <f>IFERROR(IF(INDEX('Portfolio Register'!$B$5:$B$304,MATCH($B34,'Portfolio Register'!$DH$5:$DH$304,0))="","",INDEX('Portfolio Register'!$B$5:$B$304,MATCH($B34,'Portfolio Register'!$DH$5:$DH$304,0))),"")</f>
        <v/>
      </c>
      <c r="E34" s="140" t="str">
        <f>IFERROR(IF(INDEX('Portfolio Register'!$I$5:$I$304,MATCH($B34,'Portfolio Register'!$DH$5:$DH$304,0))="","",INDEX('Portfolio Register'!$I$5:$I$304,MATCH($B34,'Portfolio Register'!$DH$5:$DH$304,0))),"")</f>
        <v/>
      </c>
      <c r="F34" s="141" t="str">
        <f>IFERROR(IF(INDEX('Portfolio Register'!$J$5:$J$304,MATCH($B34,'Portfolio Register'!$DH$5:$DH$304,0))="","",INDEX('Portfolio Register'!$J$5:$J$304,MATCH($B34,'Portfolio Register'!$DH$5:$DH$304,0))),"")</f>
        <v/>
      </c>
      <c r="G34" s="140" t="str">
        <f>IFERROR(IF(INDEX('Portfolio Register'!$CX$5:$CX$304,MATCH($B34,'Portfolio Register'!$DH$5:$DH$304,0))="","",INDEX('Portfolio Register'!$CX$5:$CX$304,MATCH($B34,'Portfolio Register'!$DH$5:$DH$304,0))),"")</f>
        <v/>
      </c>
      <c r="H34" s="142" t="str">
        <f>IFERROR(IF(INDEX('Portfolio Register'!$CY$5:$CY$304,MATCH($B34,'Portfolio Register'!$DH$5:$DH$304,0))="","",INDEX('Portfolio Register'!$CY$5:$CY$304,MATCH($B34,'Portfolio Register'!$DH$5:$DH$304,0))),"")</f>
        <v/>
      </c>
      <c r="I34" s="140" t="str">
        <f>IFERROR(IF(INDEX('Portfolio Register'!$CZ$5:$CZ$304,MATCH($B34,'Portfolio Register'!$DH$5:$DH$304,0))="","",INDEX('Portfolio Register'!$CZ$5:$CZ$304,MATCH($B34,'Portfolio Register'!$DH$5:$DH$304,0))),"")</f>
        <v/>
      </c>
      <c r="J34" s="140" t="str">
        <f>IFERROR(IF(INDEX('Portfolio Register'!$DA$5:$DA$304,MATCH($B34,'Portfolio Register'!$DH$5:$DH$304,0))="","",INDEX('Portfolio Register'!$DA$5:$DA$304,MATCH($B34,'Portfolio Register'!$DH$5:$DH$304,0))),"")</f>
        <v/>
      </c>
      <c r="K34" s="140" t="str">
        <f>IFERROR(IF(INDEX('Portfolio Register'!$DB$5:$DB$304,MATCH($B34,'Portfolio Register'!$DH$5:$DH$304,0))="","",INDEX('Portfolio Register'!$DB$5:$DB$304,MATCH($B34,'Portfolio Register'!$DH$5:$DH$304,0))),"")</f>
        <v/>
      </c>
      <c r="L34" s="140" t="str">
        <f>IFERROR(IF(INDEX('Portfolio Register'!$DC$5:$DC$304,MATCH($B34,'Portfolio Register'!$DH$5:$DH$304,0))="","",INDEX('Portfolio Register'!$DC$5:$DC$304,MATCH($B34,'Portfolio Register'!$DH$5:$DH$304,0))),"")</f>
        <v/>
      </c>
      <c r="M34" s="143" t="str">
        <f>IFERROR(IF(INDEX('Portfolio Register'!$DD$5:$DD$304,MATCH($B34,'Portfolio Register'!$DH$5:$DH$304,0))="","",INDEX('Portfolio Register'!$DD$5:$DD$304,MATCH($B34,'Portfolio Register'!$DH$5:$DH$304,0))),"")</f>
        <v/>
      </c>
      <c r="N34" s="144" t="str">
        <f ca="1">IF($C34="","",IF($M34&lt;&gt;"",$M34-IFERROR(INDEX('Portfolio Register'!$C$5:$C$304,MATCH($B34,'Portfolio Register'!$DH$5:$DH$304,0)),$M34),TODAY()-IFERROR(INDEX('Portfolio Register'!$C$5:$C$304,MATCH($B34,'Portfolio Register'!$DH$5:$DH$304,0)),TODAY())))</f>
        <v/>
      </c>
      <c r="O34" s="145" t="str">
        <f t="shared" si="0"/>
        <v/>
      </c>
      <c r="P34" s="140" t="str">
        <f>IFERROR(IF(INDEX('Portfolio Register'!$DG$5:$DG$304,MATCH($B34,'Portfolio Register'!$DH$5:$DH$304,0))="","",INDEX('Portfolio Register'!$DG$5:$DG$304,MATCH($B34,'Portfolio Register'!$DH$5:$DH$304,0))),"")</f>
        <v/>
      </c>
      <c r="Q34" s="140" t="str">
        <f>IFERROR(IF(INDEX('Portfolio Register'!$DF$5:$DF$304,MATCH($B34,'Portfolio Register'!$DH$5:$DH$304,0))="","",INDEX('Portfolio Register'!$DF$5:$DF$304,MATCH($B34,'Portfolio Register'!$DH$5:$DH$304,0))),"")</f>
        <v/>
      </c>
    </row>
    <row r="35" spans="2:17" x14ac:dyDescent="0.25">
      <c r="B35" s="63">
        <v>8</v>
      </c>
      <c r="C35" s="146" t="str">
        <f>IFERROR(IF(INDEX('Portfolio Register'!$A$5:$A$304,MATCH($B35,'Portfolio Register'!$DH$5:$DH$304,0))="","",INDEX('Portfolio Register'!$A$5:$A$304,MATCH($B35,'Portfolio Register'!$DH$5:$DH$304,0))),"")</f>
        <v/>
      </c>
      <c r="D35" s="146" t="str">
        <f>IFERROR(IF(INDEX('Portfolio Register'!$B$5:$B$304,MATCH($B35,'Portfolio Register'!$DH$5:$DH$304,0))="","",INDEX('Portfolio Register'!$B$5:$B$304,MATCH($B35,'Portfolio Register'!$DH$5:$DH$304,0))),"")</f>
        <v/>
      </c>
      <c r="E35" s="146" t="str">
        <f>IFERROR(IF(INDEX('Portfolio Register'!$I$5:$I$304,MATCH($B35,'Portfolio Register'!$DH$5:$DH$304,0))="","",INDEX('Portfolio Register'!$I$5:$I$304,MATCH($B35,'Portfolio Register'!$DH$5:$DH$304,0))),"")</f>
        <v/>
      </c>
      <c r="F35" s="147" t="str">
        <f>IFERROR(IF(INDEX('Portfolio Register'!$J$5:$J$304,MATCH($B35,'Portfolio Register'!$DH$5:$DH$304,0))="","",INDEX('Portfolio Register'!$J$5:$J$304,MATCH($B35,'Portfolio Register'!$DH$5:$DH$304,0))),"")</f>
        <v/>
      </c>
      <c r="G35" s="146" t="str">
        <f>IFERROR(IF(INDEX('Portfolio Register'!$CX$5:$CX$304,MATCH($B35,'Portfolio Register'!$DH$5:$DH$304,0))="","",INDEX('Portfolio Register'!$CX$5:$CX$304,MATCH($B35,'Portfolio Register'!$DH$5:$DH$304,0))),"")</f>
        <v/>
      </c>
      <c r="H35" s="148" t="str">
        <f>IFERROR(IF(INDEX('Portfolio Register'!$CY$5:$CY$304,MATCH($B35,'Portfolio Register'!$DH$5:$DH$304,0))="","",INDEX('Portfolio Register'!$CY$5:$CY$304,MATCH($B35,'Portfolio Register'!$DH$5:$DH$304,0))),"")</f>
        <v/>
      </c>
      <c r="I35" s="146" t="str">
        <f>IFERROR(IF(INDEX('Portfolio Register'!$CZ$5:$CZ$304,MATCH($B35,'Portfolio Register'!$DH$5:$DH$304,0))="","",INDEX('Portfolio Register'!$CZ$5:$CZ$304,MATCH($B35,'Portfolio Register'!$DH$5:$DH$304,0))),"")</f>
        <v/>
      </c>
      <c r="J35" s="146" t="str">
        <f>IFERROR(IF(INDEX('Portfolio Register'!$DA$5:$DA$304,MATCH($B35,'Portfolio Register'!$DH$5:$DH$304,0))="","",INDEX('Portfolio Register'!$DA$5:$DA$304,MATCH($B35,'Portfolio Register'!$DH$5:$DH$304,0))),"")</f>
        <v/>
      </c>
      <c r="K35" s="146" t="str">
        <f>IFERROR(IF(INDEX('Portfolio Register'!$DB$5:$DB$304,MATCH($B35,'Portfolio Register'!$DH$5:$DH$304,0))="","",INDEX('Portfolio Register'!$DB$5:$DB$304,MATCH($B35,'Portfolio Register'!$DH$5:$DH$304,0))),"")</f>
        <v/>
      </c>
      <c r="L35" s="146" t="str">
        <f>IFERROR(IF(INDEX('Portfolio Register'!$DC$5:$DC$304,MATCH($B35,'Portfolio Register'!$DH$5:$DH$304,0))="","",INDEX('Portfolio Register'!$DC$5:$DC$304,MATCH($B35,'Portfolio Register'!$DH$5:$DH$304,0))),"")</f>
        <v/>
      </c>
      <c r="M35" s="149" t="str">
        <f>IFERROR(IF(INDEX('Portfolio Register'!$DD$5:$DD$304,MATCH($B35,'Portfolio Register'!$DH$5:$DH$304,0))="","",INDEX('Portfolio Register'!$DD$5:$DD$304,MATCH($B35,'Portfolio Register'!$DH$5:$DH$304,0))),"")</f>
        <v/>
      </c>
      <c r="N35" s="150" t="str">
        <f ca="1">IF($C35="","",IF($M35&lt;&gt;"",$M35-IFERROR(INDEX('Portfolio Register'!$C$5:$C$304,MATCH($B35,'Portfolio Register'!$DH$5:$DH$304,0)),$M35),TODAY()-IFERROR(INDEX('Portfolio Register'!$C$5:$C$304,MATCH($B35,'Portfolio Register'!$DH$5:$DH$304,0)),TODAY())))</f>
        <v/>
      </c>
      <c r="O35" s="151" t="str">
        <f t="shared" si="0"/>
        <v/>
      </c>
      <c r="P35" s="146" t="str">
        <f>IFERROR(IF(INDEX('Portfolio Register'!$DG$5:$DG$304,MATCH($B35,'Portfolio Register'!$DH$5:$DH$304,0))="","",INDEX('Portfolio Register'!$DG$5:$DG$304,MATCH($B35,'Portfolio Register'!$DH$5:$DH$304,0))),"")</f>
        <v/>
      </c>
      <c r="Q35" s="146" t="str">
        <f>IFERROR(IF(INDEX('Portfolio Register'!$DF$5:$DF$304,MATCH($B35,'Portfolio Register'!$DH$5:$DH$304,0))="","",INDEX('Portfolio Register'!$DF$5:$DF$304,MATCH($B35,'Portfolio Register'!$DH$5:$DH$304,0))),"")</f>
        <v/>
      </c>
    </row>
    <row r="36" spans="2:17" x14ac:dyDescent="0.25">
      <c r="B36" s="56">
        <v>9</v>
      </c>
      <c r="C36" s="140" t="str">
        <f>IFERROR(IF(INDEX('Portfolio Register'!$A$5:$A$304,MATCH($B36,'Portfolio Register'!$DH$5:$DH$304,0))="","",INDEX('Portfolio Register'!$A$5:$A$304,MATCH($B36,'Portfolio Register'!$DH$5:$DH$304,0))),"")</f>
        <v/>
      </c>
      <c r="D36" s="140" t="str">
        <f>IFERROR(IF(INDEX('Portfolio Register'!$B$5:$B$304,MATCH($B36,'Portfolio Register'!$DH$5:$DH$304,0))="","",INDEX('Portfolio Register'!$B$5:$B$304,MATCH($B36,'Portfolio Register'!$DH$5:$DH$304,0))),"")</f>
        <v/>
      </c>
      <c r="E36" s="140" t="str">
        <f>IFERROR(IF(INDEX('Portfolio Register'!$I$5:$I$304,MATCH($B36,'Portfolio Register'!$DH$5:$DH$304,0))="","",INDEX('Portfolio Register'!$I$5:$I$304,MATCH($B36,'Portfolio Register'!$DH$5:$DH$304,0))),"")</f>
        <v/>
      </c>
      <c r="F36" s="141" t="str">
        <f>IFERROR(IF(INDEX('Portfolio Register'!$J$5:$J$304,MATCH($B36,'Portfolio Register'!$DH$5:$DH$304,0))="","",INDEX('Portfolio Register'!$J$5:$J$304,MATCH($B36,'Portfolio Register'!$DH$5:$DH$304,0))),"")</f>
        <v/>
      </c>
      <c r="G36" s="140" t="str">
        <f>IFERROR(IF(INDEX('Portfolio Register'!$CX$5:$CX$304,MATCH($B36,'Portfolio Register'!$DH$5:$DH$304,0))="","",INDEX('Portfolio Register'!$CX$5:$CX$304,MATCH($B36,'Portfolio Register'!$DH$5:$DH$304,0))),"")</f>
        <v/>
      </c>
      <c r="H36" s="142" t="str">
        <f>IFERROR(IF(INDEX('Portfolio Register'!$CY$5:$CY$304,MATCH($B36,'Portfolio Register'!$DH$5:$DH$304,0))="","",INDEX('Portfolio Register'!$CY$5:$CY$304,MATCH($B36,'Portfolio Register'!$DH$5:$DH$304,0))),"")</f>
        <v/>
      </c>
      <c r="I36" s="140" t="str">
        <f>IFERROR(IF(INDEX('Portfolio Register'!$CZ$5:$CZ$304,MATCH($B36,'Portfolio Register'!$DH$5:$DH$304,0))="","",INDEX('Portfolio Register'!$CZ$5:$CZ$304,MATCH($B36,'Portfolio Register'!$DH$5:$DH$304,0))),"")</f>
        <v/>
      </c>
      <c r="J36" s="140" t="str">
        <f>IFERROR(IF(INDEX('Portfolio Register'!$DA$5:$DA$304,MATCH($B36,'Portfolio Register'!$DH$5:$DH$304,0))="","",INDEX('Portfolio Register'!$DA$5:$DA$304,MATCH($B36,'Portfolio Register'!$DH$5:$DH$304,0))),"")</f>
        <v/>
      </c>
      <c r="K36" s="140" t="str">
        <f>IFERROR(IF(INDEX('Portfolio Register'!$DB$5:$DB$304,MATCH($B36,'Portfolio Register'!$DH$5:$DH$304,0))="","",INDEX('Portfolio Register'!$DB$5:$DB$304,MATCH($B36,'Portfolio Register'!$DH$5:$DH$304,0))),"")</f>
        <v/>
      </c>
      <c r="L36" s="140" t="str">
        <f>IFERROR(IF(INDEX('Portfolio Register'!$DC$5:$DC$304,MATCH($B36,'Portfolio Register'!$DH$5:$DH$304,0))="","",INDEX('Portfolio Register'!$DC$5:$DC$304,MATCH($B36,'Portfolio Register'!$DH$5:$DH$304,0))),"")</f>
        <v/>
      </c>
      <c r="M36" s="143" t="str">
        <f>IFERROR(IF(INDEX('Portfolio Register'!$DD$5:$DD$304,MATCH($B36,'Portfolio Register'!$DH$5:$DH$304,0))="","",INDEX('Portfolio Register'!$DD$5:$DD$304,MATCH($B36,'Portfolio Register'!$DH$5:$DH$304,0))),"")</f>
        <v/>
      </c>
      <c r="N36" s="144" t="str">
        <f ca="1">IF($C36="","",IF($M36&lt;&gt;"",$M36-IFERROR(INDEX('Portfolio Register'!$C$5:$C$304,MATCH($B36,'Portfolio Register'!$DH$5:$DH$304,0)),$M36),TODAY()-IFERROR(INDEX('Portfolio Register'!$C$5:$C$304,MATCH($B36,'Portfolio Register'!$DH$5:$DH$304,0)),TODAY())))</f>
        <v/>
      </c>
      <c r="O36" s="145" t="str">
        <f t="shared" si="0"/>
        <v/>
      </c>
      <c r="P36" s="140" t="str">
        <f>IFERROR(IF(INDEX('Portfolio Register'!$DG$5:$DG$304,MATCH($B36,'Portfolio Register'!$DH$5:$DH$304,0))="","",INDEX('Portfolio Register'!$DG$5:$DG$304,MATCH($B36,'Portfolio Register'!$DH$5:$DH$304,0))),"")</f>
        <v/>
      </c>
      <c r="Q36" s="140" t="str">
        <f>IFERROR(IF(INDEX('Portfolio Register'!$DF$5:$DF$304,MATCH($B36,'Portfolio Register'!$DH$5:$DH$304,0))="","",INDEX('Portfolio Register'!$DF$5:$DF$304,MATCH($B36,'Portfolio Register'!$DH$5:$DH$304,0))),"")</f>
        <v/>
      </c>
    </row>
    <row r="37" spans="2:17" x14ac:dyDescent="0.25">
      <c r="B37" s="63">
        <v>10</v>
      </c>
      <c r="C37" s="146" t="str">
        <f>IFERROR(IF(INDEX('Portfolio Register'!$A$5:$A$304,MATCH($B37,'Portfolio Register'!$DH$5:$DH$304,0))="","",INDEX('Portfolio Register'!$A$5:$A$304,MATCH($B37,'Portfolio Register'!$DH$5:$DH$304,0))),"")</f>
        <v/>
      </c>
      <c r="D37" s="146" t="str">
        <f>IFERROR(IF(INDEX('Portfolio Register'!$B$5:$B$304,MATCH($B37,'Portfolio Register'!$DH$5:$DH$304,0))="","",INDEX('Portfolio Register'!$B$5:$B$304,MATCH($B37,'Portfolio Register'!$DH$5:$DH$304,0))),"")</f>
        <v/>
      </c>
      <c r="E37" s="146" t="str">
        <f>IFERROR(IF(INDEX('Portfolio Register'!$I$5:$I$304,MATCH($B37,'Portfolio Register'!$DH$5:$DH$304,0))="","",INDEX('Portfolio Register'!$I$5:$I$304,MATCH($B37,'Portfolio Register'!$DH$5:$DH$304,0))),"")</f>
        <v/>
      </c>
      <c r="F37" s="147" t="str">
        <f>IFERROR(IF(INDEX('Portfolio Register'!$J$5:$J$304,MATCH($B37,'Portfolio Register'!$DH$5:$DH$304,0))="","",INDEX('Portfolio Register'!$J$5:$J$304,MATCH($B37,'Portfolio Register'!$DH$5:$DH$304,0))),"")</f>
        <v/>
      </c>
      <c r="G37" s="146" t="str">
        <f>IFERROR(IF(INDEX('Portfolio Register'!$CX$5:$CX$304,MATCH($B37,'Portfolio Register'!$DH$5:$DH$304,0))="","",INDEX('Portfolio Register'!$CX$5:$CX$304,MATCH($B37,'Portfolio Register'!$DH$5:$DH$304,0))),"")</f>
        <v/>
      </c>
      <c r="H37" s="148" t="str">
        <f>IFERROR(IF(INDEX('Portfolio Register'!$CY$5:$CY$304,MATCH($B37,'Portfolio Register'!$DH$5:$DH$304,0))="","",INDEX('Portfolio Register'!$CY$5:$CY$304,MATCH($B37,'Portfolio Register'!$DH$5:$DH$304,0))),"")</f>
        <v/>
      </c>
      <c r="I37" s="146" t="str">
        <f>IFERROR(IF(INDEX('Portfolio Register'!$CZ$5:$CZ$304,MATCH($B37,'Portfolio Register'!$DH$5:$DH$304,0))="","",INDEX('Portfolio Register'!$CZ$5:$CZ$304,MATCH($B37,'Portfolio Register'!$DH$5:$DH$304,0))),"")</f>
        <v/>
      </c>
      <c r="J37" s="146" t="str">
        <f>IFERROR(IF(INDEX('Portfolio Register'!$DA$5:$DA$304,MATCH($B37,'Portfolio Register'!$DH$5:$DH$304,0))="","",INDEX('Portfolio Register'!$DA$5:$DA$304,MATCH($B37,'Portfolio Register'!$DH$5:$DH$304,0))),"")</f>
        <v/>
      </c>
      <c r="K37" s="146" t="str">
        <f>IFERROR(IF(INDEX('Portfolio Register'!$DB$5:$DB$304,MATCH($B37,'Portfolio Register'!$DH$5:$DH$304,0))="","",INDEX('Portfolio Register'!$DB$5:$DB$304,MATCH($B37,'Portfolio Register'!$DH$5:$DH$304,0))),"")</f>
        <v/>
      </c>
      <c r="L37" s="146" t="str">
        <f>IFERROR(IF(INDEX('Portfolio Register'!$DC$5:$DC$304,MATCH($B37,'Portfolio Register'!$DH$5:$DH$304,0))="","",INDEX('Portfolio Register'!$DC$5:$DC$304,MATCH($B37,'Portfolio Register'!$DH$5:$DH$304,0))),"")</f>
        <v/>
      </c>
      <c r="M37" s="149" t="str">
        <f>IFERROR(IF(INDEX('Portfolio Register'!$DD$5:$DD$304,MATCH($B37,'Portfolio Register'!$DH$5:$DH$304,0))="","",INDEX('Portfolio Register'!$DD$5:$DD$304,MATCH($B37,'Portfolio Register'!$DH$5:$DH$304,0))),"")</f>
        <v/>
      </c>
      <c r="N37" s="150" t="str">
        <f ca="1">IF($C37="","",IF($M37&lt;&gt;"",$M37-IFERROR(INDEX('Portfolio Register'!$C$5:$C$304,MATCH($B37,'Portfolio Register'!$DH$5:$DH$304,0)),$M37),TODAY()-IFERROR(INDEX('Portfolio Register'!$C$5:$C$304,MATCH($B37,'Portfolio Register'!$DH$5:$DH$304,0)),TODAY())))</f>
        <v/>
      </c>
      <c r="O37" s="151" t="str">
        <f t="shared" si="0"/>
        <v/>
      </c>
      <c r="P37" s="146" t="str">
        <f>IFERROR(IF(INDEX('Portfolio Register'!$DG$5:$DG$304,MATCH($B37,'Portfolio Register'!$DH$5:$DH$304,0))="","",INDEX('Portfolio Register'!$DG$5:$DG$304,MATCH($B37,'Portfolio Register'!$DH$5:$DH$304,0))),"")</f>
        <v/>
      </c>
      <c r="Q37" s="146" t="str">
        <f>IFERROR(IF(INDEX('Portfolio Register'!$DF$5:$DF$304,MATCH($B37,'Portfolio Register'!$DH$5:$DH$304,0))="","",INDEX('Portfolio Register'!$DF$5:$DF$304,MATCH($B37,'Portfolio Register'!$DH$5:$DH$304,0))),"")</f>
        <v/>
      </c>
    </row>
    <row r="38" spans="2:17" x14ac:dyDescent="0.25">
      <c r="B38" s="56">
        <v>11</v>
      </c>
      <c r="C38" s="140" t="str">
        <f>IFERROR(IF(INDEX('Portfolio Register'!$A$5:$A$304,MATCH($B38,'Portfolio Register'!$DH$5:$DH$304,0))="","",INDEX('Portfolio Register'!$A$5:$A$304,MATCH($B38,'Portfolio Register'!$DH$5:$DH$304,0))),"")</f>
        <v/>
      </c>
      <c r="D38" s="140" t="str">
        <f>IFERROR(IF(INDEX('Portfolio Register'!$B$5:$B$304,MATCH($B38,'Portfolio Register'!$DH$5:$DH$304,0))="","",INDEX('Portfolio Register'!$B$5:$B$304,MATCH($B38,'Portfolio Register'!$DH$5:$DH$304,0))),"")</f>
        <v/>
      </c>
      <c r="E38" s="140" t="str">
        <f>IFERROR(IF(INDEX('Portfolio Register'!$I$5:$I$304,MATCH($B38,'Portfolio Register'!$DH$5:$DH$304,0))="","",INDEX('Portfolio Register'!$I$5:$I$304,MATCH($B38,'Portfolio Register'!$DH$5:$DH$304,0))),"")</f>
        <v/>
      </c>
      <c r="F38" s="141" t="str">
        <f>IFERROR(IF(INDEX('Portfolio Register'!$J$5:$J$304,MATCH($B38,'Portfolio Register'!$DH$5:$DH$304,0))="","",INDEX('Portfolio Register'!$J$5:$J$304,MATCH($B38,'Portfolio Register'!$DH$5:$DH$304,0))),"")</f>
        <v/>
      </c>
      <c r="G38" s="140" t="str">
        <f>IFERROR(IF(INDEX('Portfolio Register'!$CX$5:$CX$304,MATCH($B38,'Portfolio Register'!$DH$5:$DH$304,0))="","",INDEX('Portfolio Register'!$CX$5:$CX$304,MATCH($B38,'Portfolio Register'!$DH$5:$DH$304,0))),"")</f>
        <v/>
      </c>
      <c r="H38" s="142" t="str">
        <f>IFERROR(IF(INDEX('Portfolio Register'!$CY$5:$CY$304,MATCH($B38,'Portfolio Register'!$DH$5:$DH$304,0))="","",INDEX('Portfolio Register'!$CY$5:$CY$304,MATCH($B38,'Portfolio Register'!$DH$5:$DH$304,0))),"")</f>
        <v/>
      </c>
      <c r="I38" s="140" t="str">
        <f>IFERROR(IF(INDEX('Portfolio Register'!$CZ$5:$CZ$304,MATCH($B38,'Portfolio Register'!$DH$5:$DH$304,0))="","",INDEX('Portfolio Register'!$CZ$5:$CZ$304,MATCH($B38,'Portfolio Register'!$DH$5:$DH$304,0))),"")</f>
        <v/>
      </c>
      <c r="J38" s="140" t="str">
        <f>IFERROR(IF(INDEX('Portfolio Register'!$DA$5:$DA$304,MATCH($B38,'Portfolio Register'!$DH$5:$DH$304,0))="","",INDEX('Portfolio Register'!$DA$5:$DA$304,MATCH($B38,'Portfolio Register'!$DH$5:$DH$304,0))),"")</f>
        <v/>
      </c>
      <c r="K38" s="140" t="str">
        <f>IFERROR(IF(INDEX('Portfolio Register'!$DB$5:$DB$304,MATCH($B38,'Portfolio Register'!$DH$5:$DH$304,0))="","",INDEX('Portfolio Register'!$DB$5:$DB$304,MATCH($B38,'Portfolio Register'!$DH$5:$DH$304,0))),"")</f>
        <v/>
      </c>
      <c r="L38" s="140" t="str">
        <f>IFERROR(IF(INDEX('Portfolio Register'!$DC$5:$DC$304,MATCH($B38,'Portfolio Register'!$DH$5:$DH$304,0))="","",INDEX('Portfolio Register'!$DC$5:$DC$304,MATCH($B38,'Portfolio Register'!$DH$5:$DH$304,0))),"")</f>
        <v/>
      </c>
      <c r="M38" s="143" t="str">
        <f>IFERROR(IF(INDEX('Portfolio Register'!$DD$5:$DD$304,MATCH($B38,'Portfolio Register'!$DH$5:$DH$304,0))="","",INDEX('Portfolio Register'!$DD$5:$DD$304,MATCH($B38,'Portfolio Register'!$DH$5:$DH$304,0))),"")</f>
        <v/>
      </c>
      <c r="N38" s="144" t="str">
        <f ca="1">IF($C38="","",IF($M38&lt;&gt;"",$M38-IFERROR(INDEX('Portfolio Register'!$C$5:$C$304,MATCH($B38,'Portfolio Register'!$DH$5:$DH$304,0)),$M38),TODAY()-IFERROR(INDEX('Portfolio Register'!$C$5:$C$304,MATCH($B38,'Portfolio Register'!$DH$5:$DH$304,0)),TODAY())))</f>
        <v/>
      </c>
      <c r="O38" s="145" t="str">
        <f t="shared" si="0"/>
        <v/>
      </c>
      <c r="P38" s="140" t="str">
        <f>IFERROR(IF(INDEX('Portfolio Register'!$DG$5:$DG$304,MATCH($B38,'Portfolio Register'!$DH$5:$DH$304,0))="","",INDEX('Portfolio Register'!$DG$5:$DG$304,MATCH($B38,'Portfolio Register'!$DH$5:$DH$304,0))),"")</f>
        <v/>
      </c>
      <c r="Q38" s="140" t="str">
        <f>IFERROR(IF(INDEX('Portfolio Register'!$DF$5:$DF$304,MATCH($B38,'Portfolio Register'!$DH$5:$DH$304,0))="","",INDEX('Portfolio Register'!$DF$5:$DF$304,MATCH($B38,'Portfolio Register'!$DH$5:$DH$304,0))),"")</f>
        <v/>
      </c>
    </row>
    <row r="39" spans="2:17" x14ac:dyDescent="0.25">
      <c r="B39" s="63">
        <v>12</v>
      </c>
      <c r="C39" s="146" t="str">
        <f>IFERROR(IF(INDEX('Portfolio Register'!$A$5:$A$304,MATCH($B39,'Portfolio Register'!$DH$5:$DH$304,0))="","",INDEX('Portfolio Register'!$A$5:$A$304,MATCH($B39,'Portfolio Register'!$DH$5:$DH$304,0))),"")</f>
        <v/>
      </c>
      <c r="D39" s="146" t="str">
        <f>IFERROR(IF(INDEX('Portfolio Register'!$B$5:$B$304,MATCH($B39,'Portfolio Register'!$DH$5:$DH$304,0))="","",INDEX('Portfolio Register'!$B$5:$B$304,MATCH($B39,'Portfolio Register'!$DH$5:$DH$304,0))),"")</f>
        <v/>
      </c>
      <c r="E39" s="146" t="str">
        <f>IFERROR(IF(INDEX('Portfolio Register'!$I$5:$I$304,MATCH($B39,'Portfolio Register'!$DH$5:$DH$304,0))="","",INDEX('Portfolio Register'!$I$5:$I$304,MATCH($B39,'Portfolio Register'!$DH$5:$DH$304,0))),"")</f>
        <v/>
      </c>
      <c r="F39" s="147" t="str">
        <f>IFERROR(IF(INDEX('Portfolio Register'!$J$5:$J$304,MATCH($B39,'Portfolio Register'!$DH$5:$DH$304,0))="","",INDEX('Portfolio Register'!$J$5:$J$304,MATCH($B39,'Portfolio Register'!$DH$5:$DH$304,0))),"")</f>
        <v/>
      </c>
      <c r="G39" s="146" t="str">
        <f>IFERROR(IF(INDEX('Portfolio Register'!$CX$5:$CX$304,MATCH($B39,'Portfolio Register'!$DH$5:$DH$304,0))="","",INDEX('Portfolio Register'!$CX$5:$CX$304,MATCH($B39,'Portfolio Register'!$DH$5:$DH$304,0))),"")</f>
        <v/>
      </c>
      <c r="H39" s="148" t="str">
        <f>IFERROR(IF(INDEX('Portfolio Register'!$CY$5:$CY$304,MATCH($B39,'Portfolio Register'!$DH$5:$DH$304,0))="","",INDEX('Portfolio Register'!$CY$5:$CY$304,MATCH($B39,'Portfolio Register'!$DH$5:$DH$304,0))),"")</f>
        <v/>
      </c>
      <c r="I39" s="146" t="str">
        <f>IFERROR(IF(INDEX('Portfolio Register'!$CZ$5:$CZ$304,MATCH($B39,'Portfolio Register'!$DH$5:$DH$304,0))="","",INDEX('Portfolio Register'!$CZ$5:$CZ$304,MATCH($B39,'Portfolio Register'!$DH$5:$DH$304,0))),"")</f>
        <v/>
      </c>
      <c r="J39" s="146" t="str">
        <f>IFERROR(IF(INDEX('Portfolio Register'!$DA$5:$DA$304,MATCH($B39,'Portfolio Register'!$DH$5:$DH$304,0))="","",INDEX('Portfolio Register'!$DA$5:$DA$304,MATCH($B39,'Portfolio Register'!$DH$5:$DH$304,0))),"")</f>
        <v/>
      </c>
      <c r="K39" s="146" t="str">
        <f>IFERROR(IF(INDEX('Portfolio Register'!$DB$5:$DB$304,MATCH($B39,'Portfolio Register'!$DH$5:$DH$304,0))="","",INDEX('Portfolio Register'!$DB$5:$DB$304,MATCH($B39,'Portfolio Register'!$DH$5:$DH$304,0))),"")</f>
        <v/>
      </c>
      <c r="L39" s="146" t="str">
        <f>IFERROR(IF(INDEX('Portfolio Register'!$DC$5:$DC$304,MATCH($B39,'Portfolio Register'!$DH$5:$DH$304,0))="","",INDEX('Portfolio Register'!$DC$5:$DC$304,MATCH($B39,'Portfolio Register'!$DH$5:$DH$304,0))),"")</f>
        <v/>
      </c>
      <c r="M39" s="149" t="str">
        <f>IFERROR(IF(INDEX('Portfolio Register'!$DD$5:$DD$304,MATCH($B39,'Portfolio Register'!$DH$5:$DH$304,0))="","",INDEX('Portfolio Register'!$DD$5:$DD$304,MATCH($B39,'Portfolio Register'!$DH$5:$DH$304,0))),"")</f>
        <v/>
      </c>
      <c r="N39" s="150" t="str">
        <f ca="1">IF($C39="","",IF($M39&lt;&gt;"",$M39-IFERROR(INDEX('Portfolio Register'!$C$5:$C$304,MATCH($B39,'Portfolio Register'!$DH$5:$DH$304,0)),$M39),TODAY()-IFERROR(INDEX('Portfolio Register'!$C$5:$C$304,MATCH($B39,'Portfolio Register'!$DH$5:$DH$304,0)),TODAY())))</f>
        <v/>
      </c>
      <c r="O39" s="151" t="str">
        <f t="shared" si="0"/>
        <v/>
      </c>
      <c r="P39" s="146" t="str">
        <f>IFERROR(IF(INDEX('Portfolio Register'!$DG$5:$DG$304,MATCH($B39,'Portfolio Register'!$DH$5:$DH$304,0))="","",INDEX('Portfolio Register'!$DG$5:$DG$304,MATCH($B39,'Portfolio Register'!$DH$5:$DH$304,0))),"")</f>
        <v/>
      </c>
      <c r="Q39" s="146" t="str">
        <f>IFERROR(IF(INDEX('Portfolio Register'!$DF$5:$DF$304,MATCH($B39,'Portfolio Register'!$DH$5:$DH$304,0))="","",INDEX('Portfolio Register'!$DF$5:$DF$304,MATCH($B39,'Portfolio Register'!$DH$5:$DH$304,0))),"")</f>
        <v/>
      </c>
    </row>
    <row r="40" spans="2:17" x14ac:dyDescent="0.25">
      <c r="B40" s="56">
        <v>13</v>
      </c>
      <c r="C40" s="140" t="str">
        <f>IFERROR(IF(INDEX('Portfolio Register'!$A$5:$A$304,MATCH($B40,'Portfolio Register'!$DH$5:$DH$304,0))="","",INDEX('Portfolio Register'!$A$5:$A$304,MATCH($B40,'Portfolio Register'!$DH$5:$DH$304,0))),"")</f>
        <v/>
      </c>
      <c r="D40" s="140" t="str">
        <f>IFERROR(IF(INDEX('Portfolio Register'!$B$5:$B$304,MATCH($B40,'Portfolio Register'!$DH$5:$DH$304,0))="","",INDEX('Portfolio Register'!$B$5:$B$304,MATCH($B40,'Portfolio Register'!$DH$5:$DH$304,0))),"")</f>
        <v/>
      </c>
      <c r="E40" s="140" t="str">
        <f>IFERROR(IF(INDEX('Portfolio Register'!$I$5:$I$304,MATCH($B40,'Portfolio Register'!$DH$5:$DH$304,0))="","",INDEX('Portfolio Register'!$I$5:$I$304,MATCH($B40,'Portfolio Register'!$DH$5:$DH$304,0))),"")</f>
        <v/>
      </c>
      <c r="F40" s="141" t="str">
        <f>IFERROR(IF(INDEX('Portfolio Register'!$J$5:$J$304,MATCH($B40,'Portfolio Register'!$DH$5:$DH$304,0))="","",INDEX('Portfolio Register'!$J$5:$J$304,MATCH($B40,'Portfolio Register'!$DH$5:$DH$304,0))),"")</f>
        <v/>
      </c>
      <c r="G40" s="140" t="str">
        <f>IFERROR(IF(INDEX('Portfolio Register'!$CX$5:$CX$304,MATCH($B40,'Portfolio Register'!$DH$5:$DH$304,0))="","",INDEX('Portfolio Register'!$CX$5:$CX$304,MATCH($B40,'Portfolio Register'!$DH$5:$DH$304,0))),"")</f>
        <v/>
      </c>
      <c r="H40" s="142" t="str">
        <f>IFERROR(IF(INDEX('Portfolio Register'!$CY$5:$CY$304,MATCH($B40,'Portfolio Register'!$DH$5:$DH$304,0))="","",INDEX('Portfolio Register'!$CY$5:$CY$304,MATCH($B40,'Portfolio Register'!$DH$5:$DH$304,0))),"")</f>
        <v/>
      </c>
      <c r="I40" s="140" t="str">
        <f>IFERROR(IF(INDEX('Portfolio Register'!$CZ$5:$CZ$304,MATCH($B40,'Portfolio Register'!$DH$5:$DH$304,0))="","",INDEX('Portfolio Register'!$CZ$5:$CZ$304,MATCH($B40,'Portfolio Register'!$DH$5:$DH$304,0))),"")</f>
        <v/>
      </c>
      <c r="J40" s="140" t="str">
        <f>IFERROR(IF(INDEX('Portfolio Register'!$DA$5:$DA$304,MATCH($B40,'Portfolio Register'!$DH$5:$DH$304,0))="","",INDEX('Portfolio Register'!$DA$5:$DA$304,MATCH($B40,'Portfolio Register'!$DH$5:$DH$304,0))),"")</f>
        <v/>
      </c>
      <c r="K40" s="140" t="str">
        <f>IFERROR(IF(INDEX('Portfolio Register'!$DB$5:$DB$304,MATCH($B40,'Portfolio Register'!$DH$5:$DH$304,0))="","",INDEX('Portfolio Register'!$DB$5:$DB$304,MATCH($B40,'Portfolio Register'!$DH$5:$DH$304,0))),"")</f>
        <v/>
      </c>
      <c r="L40" s="140" t="str">
        <f>IFERROR(IF(INDEX('Portfolio Register'!$DC$5:$DC$304,MATCH($B40,'Portfolio Register'!$DH$5:$DH$304,0))="","",INDEX('Portfolio Register'!$DC$5:$DC$304,MATCH($B40,'Portfolio Register'!$DH$5:$DH$304,0))),"")</f>
        <v/>
      </c>
      <c r="M40" s="143" t="str">
        <f>IFERROR(IF(INDEX('Portfolio Register'!$DD$5:$DD$304,MATCH($B40,'Portfolio Register'!$DH$5:$DH$304,0))="","",INDEX('Portfolio Register'!$DD$5:$DD$304,MATCH($B40,'Portfolio Register'!$DH$5:$DH$304,0))),"")</f>
        <v/>
      </c>
      <c r="N40" s="144" t="str">
        <f ca="1">IF($C40="","",IF($M40&lt;&gt;"",$M40-IFERROR(INDEX('Portfolio Register'!$C$5:$C$304,MATCH($B40,'Portfolio Register'!$DH$5:$DH$304,0)),$M40),TODAY()-IFERROR(INDEX('Portfolio Register'!$C$5:$C$304,MATCH($B40,'Portfolio Register'!$DH$5:$DH$304,0)),TODAY())))</f>
        <v/>
      </c>
      <c r="O40" s="145" t="str">
        <f t="shared" si="0"/>
        <v/>
      </c>
      <c r="P40" s="140" t="str">
        <f>IFERROR(IF(INDEX('Portfolio Register'!$DG$5:$DG$304,MATCH($B40,'Portfolio Register'!$DH$5:$DH$304,0))="","",INDEX('Portfolio Register'!$DG$5:$DG$304,MATCH($B40,'Portfolio Register'!$DH$5:$DH$304,0))),"")</f>
        <v/>
      </c>
      <c r="Q40" s="140" t="str">
        <f>IFERROR(IF(INDEX('Portfolio Register'!$DF$5:$DF$304,MATCH($B40,'Portfolio Register'!$DH$5:$DH$304,0))="","",INDEX('Portfolio Register'!$DF$5:$DF$304,MATCH($B40,'Portfolio Register'!$DH$5:$DH$304,0))),"")</f>
        <v/>
      </c>
    </row>
    <row r="41" spans="2:17" x14ac:dyDescent="0.25">
      <c r="B41" s="63">
        <v>14</v>
      </c>
      <c r="C41" s="146" t="str">
        <f>IFERROR(IF(INDEX('Portfolio Register'!$A$5:$A$304,MATCH($B41,'Portfolio Register'!$DH$5:$DH$304,0))="","",INDEX('Portfolio Register'!$A$5:$A$304,MATCH($B41,'Portfolio Register'!$DH$5:$DH$304,0))),"")</f>
        <v/>
      </c>
      <c r="D41" s="146" t="str">
        <f>IFERROR(IF(INDEX('Portfolio Register'!$B$5:$B$304,MATCH($B41,'Portfolio Register'!$DH$5:$DH$304,0))="","",INDEX('Portfolio Register'!$B$5:$B$304,MATCH($B41,'Portfolio Register'!$DH$5:$DH$304,0))),"")</f>
        <v/>
      </c>
      <c r="E41" s="146" t="str">
        <f>IFERROR(IF(INDEX('Portfolio Register'!$I$5:$I$304,MATCH($B41,'Portfolio Register'!$DH$5:$DH$304,0))="","",INDEX('Portfolio Register'!$I$5:$I$304,MATCH($B41,'Portfolio Register'!$DH$5:$DH$304,0))),"")</f>
        <v/>
      </c>
      <c r="F41" s="147" t="str">
        <f>IFERROR(IF(INDEX('Portfolio Register'!$J$5:$J$304,MATCH($B41,'Portfolio Register'!$DH$5:$DH$304,0))="","",INDEX('Portfolio Register'!$J$5:$J$304,MATCH($B41,'Portfolio Register'!$DH$5:$DH$304,0))),"")</f>
        <v/>
      </c>
      <c r="G41" s="146" t="str">
        <f>IFERROR(IF(INDEX('Portfolio Register'!$CX$5:$CX$304,MATCH($B41,'Portfolio Register'!$DH$5:$DH$304,0))="","",INDEX('Portfolio Register'!$CX$5:$CX$304,MATCH($B41,'Portfolio Register'!$DH$5:$DH$304,0))),"")</f>
        <v/>
      </c>
      <c r="H41" s="148" t="str">
        <f>IFERROR(IF(INDEX('Portfolio Register'!$CY$5:$CY$304,MATCH($B41,'Portfolio Register'!$DH$5:$DH$304,0))="","",INDEX('Portfolio Register'!$CY$5:$CY$304,MATCH($B41,'Portfolio Register'!$DH$5:$DH$304,0))),"")</f>
        <v/>
      </c>
      <c r="I41" s="146" t="str">
        <f>IFERROR(IF(INDEX('Portfolio Register'!$CZ$5:$CZ$304,MATCH($B41,'Portfolio Register'!$DH$5:$DH$304,0))="","",INDEX('Portfolio Register'!$CZ$5:$CZ$304,MATCH($B41,'Portfolio Register'!$DH$5:$DH$304,0))),"")</f>
        <v/>
      </c>
      <c r="J41" s="146" t="str">
        <f>IFERROR(IF(INDEX('Portfolio Register'!$DA$5:$DA$304,MATCH($B41,'Portfolio Register'!$DH$5:$DH$304,0))="","",INDEX('Portfolio Register'!$DA$5:$DA$304,MATCH($B41,'Portfolio Register'!$DH$5:$DH$304,0))),"")</f>
        <v/>
      </c>
      <c r="K41" s="146" t="str">
        <f>IFERROR(IF(INDEX('Portfolio Register'!$DB$5:$DB$304,MATCH($B41,'Portfolio Register'!$DH$5:$DH$304,0))="","",INDEX('Portfolio Register'!$DB$5:$DB$304,MATCH($B41,'Portfolio Register'!$DH$5:$DH$304,0))),"")</f>
        <v/>
      </c>
      <c r="L41" s="146" t="str">
        <f>IFERROR(IF(INDEX('Portfolio Register'!$DC$5:$DC$304,MATCH($B41,'Portfolio Register'!$DH$5:$DH$304,0))="","",INDEX('Portfolio Register'!$DC$5:$DC$304,MATCH($B41,'Portfolio Register'!$DH$5:$DH$304,0))),"")</f>
        <v/>
      </c>
      <c r="M41" s="149" t="str">
        <f>IFERROR(IF(INDEX('Portfolio Register'!$DD$5:$DD$304,MATCH($B41,'Portfolio Register'!$DH$5:$DH$304,0))="","",INDEX('Portfolio Register'!$DD$5:$DD$304,MATCH($B41,'Portfolio Register'!$DH$5:$DH$304,0))),"")</f>
        <v/>
      </c>
      <c r="N41" s="150" t="str">
        <f ca="1">IF($C41="","",IF($M41&lt;&gt;"",$M41-IFERROR(INDEX('Portfolio Register'!$C$5:$C$304,MATCH($B41,'Portfolio Register'!$DH$5:$DH$304,0)),$M41),TODAY()-IFERROR(INDEX('Portfolio Register'!$C$5:$C$304,MATCH($B41,'Portfolio Register'!$DH$5:$DH$304,0)),TODAY())))</f>
        <v/>
      </c>
      <c r="O41" s="151" t="str">
        <f t="shared" si="0"/>
        <v/>
      </c>
      <c r="P41" s="146" t="str">
        <f>IFERROR(IF(INDEX('Portfolio Register'!$DG$5:$DG$304,MATCH($B41,'Portfolio Register'!$DH$5:$DH$304,0))="","",INDEX('Portfolio Register'!$DG$5:$DG$304,MATCH($B41,'Portfolio Register'!$DH$5:$DH$304,0))),"")</f>
        <v/>
      </c>
      <c r="Q41" s="146" t="str">
        <f>IFERROR(IF(INDEX('Portfolio Register'!$DF$5:$DF$304,MATCH($B41,'Portfolio Register'!$DH$5:$DH$304,0))="","",INDEX('Portfolio Register'!$DF$5:$DF$304,MATCH($B41,'Portfolio Register'!$DH$5:$DH$304,0))),"")</f>
        <v/>
      </c>
    </row>
    <row r="42" spans="2:17" x14ac:dyDescent="0.25">
      <c r="B42" s="56">
        <v>15</v>
      </c>
      <c r="C42" s="140" t="str">
        <f>IFERROR(IF(INDEX('Portfolio Register'!$A$5:$A$304,MATCH($B42,'Portfolio Register'!$DH$5:$DH$304,0))="","",INDEX('Portfolio Register'!$A$5:$A$304,MATCH($B42,'Portfolio Register'!$DH$5:$DH$304,0))),"")</f>
        <v/>
      </c>
      <c r="D42" s="140" t="str">
        <f>IFERROR(IF(INDEX('Portfolio Register'!$B$5:$B$304,MATCH($B42,'Portfolio Register'!$DH$5:$DH$304,0))="","",INDEX('Portfolio Register'!$B$5:$B$304,MATCH($B42,'Portfolio Register'!$DH$5:$DH$304,0))),"")</f>
        <v/>
      </c>
      <c r="E42" s="140" t="str">
        <f>IFERROR(IF(INDEX('Portfolio Register'!$I$5:$I$304,MATCH($B42,'Portfolio Register'!$DH$5:$DH$304,0))="","",INDEX('Portfolio Register'!$I$5:$I$304,MATCH($B42,'Portfolio Register'!$DH$5:$DH$304,0))),"")</f>
        <v/>
      </c>
      <c r="F42" s="141" t="str">
        <f>IFERROR(IF(INDEX('Portfolio Register'!$J$5:$J$304,MATCH($B42,'Portfolio Register'!$DH$5:$DH$304,0))="","",INDEX('Portfolio Register'!$J$5:$J$304,MATCH($B42,'Portfolio Register'!$DH$5:$DH$304,0))),"")</f>
        <v/>
      </c>
      <c r="G42" s="140" t="str">
        <f>IFERROR(IF(INDEX('Portfolio Register'!$CX$5:$CX$304,MATCH($B42,'Portfolio Register'!$DH$5:$DH$304,0))="","",INDEX('Portfolio Register'!$CX$5:$CX$304,MATCH($B42,'Portfolio Register'!$DH$5:$DH$304,0))),"")</f>
        <v/>
      </c>
      <c r="H42" s="142" t="str">
        <f>IFERROR(IF(INDEX('Portfolio Register'!$CY$5:$CY$304,MATCH($B42,'Portfolio Register'!$DH$5:$DH$304,0))="","",INDEX('Portfolio Register'!$CY$5:$CY$304,MATCH($B42,'Portfolio Register'!$DH$5:$DH$304,0))),"")</f>
        <v/>
      </c>
      <c r="I42" s="140" t="str">
        <f>IFERROR(IF(INDEX('Portfolio Register'!$CZ$5:$CZ$304,MATCH($B42,'Portfolio Register'!$DH$5:$DH$304,0))="","",INDEX('Portfolio Register'!$CZ$5:$CZ$304,MATCH($B42,'Portfolio Register'!$DH$5:$DH$304,0))),"")</f>
        <v/>
      </c>
      <c r="J42" s="140" t="str">
        <f>IFERROR(IF(INDEX('Portfolio Register'!$DA$5:$DA$304,MATCH($B42,'Portfolio Register'!$DH$5:$DH$304,0))="","",INDEX('Portfolio Register'!$DA$5:$DA$304,MATCH($B42,'Portfolio Register'!$DH$5:$DH$304,0))),"")</f>
        <v/>
      </c>
      <c r="K42" s="140" t="str">
        <f>IFERROR(IF(INDEX('Portfolio Register'!$DB$5:$DB$304,MATCH($B42,'Portfolio Register'!$DH$5:$DH$304,0))="","",INDEX('Portfolio Register'!$DB$5:$DB$304,MATCH($B42,'Portfolio Register'!$DH$5:$DH$304,0))),"")</f>
        <v/>
      </c>
      <c r="L42" s="140" t="str">
        <f>IFERROR(IF(INDEX('Portfolio Register'!$DC$5:$DC$304,MATCH($B42,'Portfolio Register'!$DH$5:$DH$304,0))="","",INDEX('Portfolio Register'!$DC$5:$DC$304,MATCH($B42,'Portfolio Register'!$DH$5:$DH$304,0))),"")</f>
        <v/>
      </c>
      <c r="M42" s="143" t="str">
        <f>IFERROR(IF(INDEX('Portfolio Register'!$DD$5:$DD$304,MATCH($B42,'Portfolio Register'!$DH$5:$DH$304,0))="","",INDEX('Portfolio Register'!$DD$5:$DD$304,MATCH($B42,'Portfolio Register'!$DH$5:$DH$304,0))),"")</f>
        <v/>
      </c>
      <c r="N42" s="144" t="str">
        <f ca="1">IF($C42="","",IF($M42&lt;&gt;"",$M42-IFERROR(INDEX('Portfolio Register'!$C$5:$C$304,MATCH($B42,'Portfolio Register'!$DH$5:$DH$304,0)),$M42),TODAY()-IFERROR(INDEX('Portfolio Register'!$C$5:$C$304,MATCH($B42,'Portfolio Register'!$DH$5:$DH$304,0)),TODAY())))</f>
        <v/>
      </c>
      <c r="O42" s="145" t="str">
        <f t="shared" si="0"/>
        <v/>
      </c>
      <c r="P42" s="140" t="str">
        <f>IFERROR(IF(INDEX('Portfolio Register'!$DG$5:$DG$304,MATCH($B42,'Portfolio Register'!$DH$5:$DH$304,0))="","",INDEX('Portfolio Register'!$DG$5:$DG$304,MATCH($B42,'Portfolio Register'!$DH$5:$DH$304,0))),"")</f>
        <v/>
      </c>
      <c r="Q42" s="140" t="str">
        <f>IFERROR(IF(INDEX('Portfolio Register'!$DF$5:$DF$304,MATCH($B42,'Portfolio Register'!$DH$5:$DH$304,0))="","",INDEX('Portfolio Register'!$DF$5:$DF$304,MATCH($B42,'Portfolio Register'!$DH$5:$DH$304,0))),"")</f>
        <v/>
      </c>
    </row>
    <row r="43" spans="2:17" x14ac:dyDescent="0.25">
      <c r="B43" s="63">
        <v>16</v>
      </c>
      <c r="C43" s="146" t="str">
        <f>IFERROR(IF(INDEX('Portfolio Register'!$A$5:$A$304,MATCH($B43,'Portfolio Register'!$DH$5:$DH$304,0))="","",INDEX('Portfolio Register'!$A$5:$A$304,MATCH($B43,'Portfolio Register'!$DH$5:$DH$304,0))),"")</f>
        <v/>
      </c>
      <c r="D43" s="146" t="str">
        <f>IFERROR(IF(INDEX('Portfolio Register'!$B$5:$B$304,MATCH($B43,'Portfolio Register'!$DH$5:$DH$304,0))="","",INDEX('Portfolio Register'!$B$5:$B$304,MATCH($B43,'Portfolio Register'!$DH$5:$DH$304,0))),"")</f>
        <v/>
      </c>
      <c r="E43" s="146" t="str">
        <f>IFERROR(IF(INDEX('Portfolio Register'!$I$5:$I$304,MATCH($B43,'Portfolio Register'!$DH$5:$DH$304,0))="","",INDEX('Portfolio Register'!$I$5:$I$304,MATCH($B43,'Portfolio Register'!$DH$5:$DH$304,0))),"")</f>
        <v/>
      </c>
      <c r="F43" s="147" t="str">
        <f>IFERROR(IF(INDEX('Portfolio Register'!$J$5:$J$304,MATCH($B43,'Portfolio Register'!$DH$5:$DH$304,0))="","",INDEX('Portfolio Register'!$J$5:$J$304,MATCH($B43,'Portfolio Register'!$DH$5:$DH$304,0))),"")</f>
        <v/>
      </c>
      <c r="G43" s="146" t="str">
        <f>IFERROR(IF(INDEX('Portfolio Register'!$CX$5:$CX$304,MATCH($B43,'Portfolio Register'!$DH$5:$DH$304,0))="","",INDEX('Portfolio Register'!$CX$5:$CX$304,MATCH($B43,'Portfolio Register'!$DH$5:$DH$304,0))),"")</f>
        <v/>
      </c>
      <c r="H43" s="148" t="str">
        <f>IFERROR(IF(INDEX('Portfolio Register'!$CY$5:$CY$304,MATCH($B43,'Portfolio Register'!$DH$5:$DH$304,0))="","",INDEX('Portfolio Register'!$CY$5:$CY$304,MATCH($B43,'Portfolio Register'!$DH$5:$DH$304,0))),"")</f>
        <v/>
      </c>
      <c r="I43" s="146" t="str">
        <f>IFERROR(IF(INDEX('Portfolio Register'!$CZ$5:$CZ$304,MATCH($B43,'Portfolio Register'!$DH$5:$DH$304,0))="","",INDEX('Portfolio Register'!$CZ$5:$CZ$304,MATCH($B43,'Portfolio Register'!$DH$5:$DH$304,0))),"")</f>
        <v/>
      </c>
      <c r="J43" s="146" t="str">
        <f>IFERROR(IF(INDEX('Portfolio Register'!$DA$5:$DA$304,MATCH($B43,'Portfolio Register'!$DH$5:$DH$304,0))="","",INDEX('Portfolio Register'!$DA$5:$DA$304,MATCH($B43,'Portfolio Register'!$DH$5:$DH$304,0))),"")</f>
        <v/>
      </c>
      <c r="K43" s="146" t="str">
        <f>IFERROR(IF(INDEX('Portfolio Register'!$DB$5:$DB$304,MATCH($B43,'Portfolio Register'!$DH$5:$DH$304,0))="","",INDEX('Portfolio Register'!$DB$5:$DB$304,MATCH($B43,'Portfolio Register'!$DH$5:$DH$304,0))),"")</f>
        <v/>
      </c>
      <c r="L43" s="146" t="str">
        <f>IFERROR(IF(INDEX('Portfolio Register'!$DC$5:$DC$304,MATCH($B43,'Portfolio Register'!$DH$5:$DH$304,0))="","",INDEX('Portfolio Register'!$DC$5:$DC$304,MATCH($B43,'Portfolio Register'!$DH$5:$DH$304,0))),"")</f>
        <v/>
      </c>
      <c r="M43" s="149" t="str">
        <f>IFERROR(IF(INDEX('Portfolio Register'!$DD$5:$DD$304,MATCH($B43,'Portfolio Register'!$DH$5:$DH$304,0))="","",INDEX('Portfolio Register'!$DD$5:$DD$304,MATCH($B43,'Portfolio Register'!$DH$5:$DH$304,0))),"")</f>
        <v/>
      </c>
      <c r="N43" s="150" t="str">
        <f ca="1">IF($C43="","",IF($M43&lt;&gt;"",$M43-IFERROR(INDEX('Portfolio Register'!$C$5:$C$304,MATCH($B43,'Portfolio Register'!$DH$5:$DH$304,0)),$M43),TODAY()-IFERROR(INDEX('Portfolio Register'!$C$5:$C$304,MATCH($B43,'Portfolio Register'!$DH$5:$DH$304,0)),TODAY())))</f>
        <v/>
      </c>
      <c r="O43" s="151" t="str">
        <f t="shared" si="0"/>
        <v/>
      </c>
      <c r="P43" s="146" t="str">
        <f>IFERROR(IF(INDEX('Portfolio Register'!$DG$5:$DG$304,MATCH($B43,'Portfolio Register'!$DH$5:$DH$304,0))="","",INDEX('Portfolio Register'!$DG$5:$DG$304,MATCH($B43,'Portfolio Register'!$DH$5:$DH$304,0))),"")</f>
        <v/>
      </c>
      <c r="Q43" s="146" t="str">
        <f>IFERROR(IF(INDEX('Portfolio Register'!$DF$5:$DF$304,MATCH($B43,'Portfolio Register'!$DH$5:$DH$304,0))="","",INDEX('Portfolio Register'!$DF$5:$DF$304,MATCH($B43,'Portfolio Register'!$DH$5:$DH$304,0))),"")</f>
        <v/>
      </c>
    </row>
    <row r="44" spans="2:17" x14ac:dyDescent="0.25">
      <c r="B44" s="56">
        <v>17</v>
      </c>
      <c r="C44" s="140" t="str">
        <f>IFERROR(IF(INDEX('Portfolio Register'!$A$5:$A$304,MATCH($B44,'Portfolio Register'!$DH$5:$DH$304,0))="","",INDEX('Portfolio Register'!$A$5:$A$304,MATCH($B44,'Portfolio Register'!$DH$5:$DH$304,0))),"")</f>
        <v/>
      </c>
      <c r="D44" s="140" t="str">
        <f>IFERROR(IF(INDEX('Portfolio Register'!$B$5:$B$304,MATCH($B44,'Portfolio Register'!$DH$5:$DH$304,0))="","",INDEX('Portfolio Register'!$B$5:$B$304,MATCH($B44,'Portfolio Register'!$DH$5:$DH$304,0))),"")</f>
        <v/>
      </c>
      <c r="E44" s="140" t="str">
        <f>IFERROR(IF(INDEX('Portfolio Register'!$I$5:$I$304,MATCH($B44,'Portfolio Register'!$DH$5:$DH$304,0))="","",INDEX('Portfolio Register'!$I$5:$I$304,MATCH($B44,'Portfolio Register'!$DH$5:$DH$304,0))),"")</f>
        <v/>
      </c>
      <c r="F44" s="141" t="str">
        <f>IFERROR(IF(INDEX('Portfolio Register'!$J$5:$J$304,MATCH($B44,'Portfolio Register'!$DH$5:$DH$304,0))="","",INDEX('Portfolio Register'!$J$5:$J$304,MATCH($B44,'Portfolio Register'!$DH$5:$DH$304,0))),"")</f>
        <v/>
      </c>
      <c r="G44" s="140" t="str">
        <f>IFERROR(IF(INDEX('Portfolio Register'!$CX$5:$CX$304,MATCH($B44,'Portfolio Register'!$DH$5:$DH$304,0))="","",INDEX('Portfolio Register'!$CX$5:$CX$304,MATCH($B44,'Portfolio Register'!$DH$5:$DH$304,0))),"")</f>
        <v/>
      </c>
      <c r="H44" s="142" t="str">
        <f>IFERROR(IF(INDEX('Portfolio Register'!$CY$5:$CY$304,MATCH($B44,'Portfolio Register'!$DH$5:$DH$304,0))="","",INDEX('Portfolio Register'!$CY$5:$CY$304,MATCH($B44,'Portfolio Register'!$DH$5:$DH$304,0))),"")</f>
        <v/>
      </c>
      <c r="I44" s="140" t="str">
        <f>IFERROR(IF(INDEX('Portfolio Register'!$CZ$5:$CZ$304,MATCH($B44,'Portfolio Register'!$DH$5:$DH$304,0))="","",INDEX('Portfolio Register'!$CZ$5:$CZ$304,MATCH($B44,'Portfolio Register'!$DH$5:$DH$304,0))),"")</f>
        <v/>
      </c>
      <c r="J44" s="140" t="str">
        <f>IFERROR(IF(INDEX('Portfolio Register'!$DA$5:$DA$304,MATCH($B44,'Portfolio Register'!$DH$5:$DH$304,0))="","",INDEX('Portfolio Register'!$DA$5:$DA$304,MATCH($B44,'Portfolio Register'!$DH$5:$DH$304,0))),"")</f>
        <v/>
      </c>
      <c r="K44" s="140" t="str">
        <f>IFERROR(IF(INDEX('Portfolio Register'!$DB$5:$DB$304,MATCH($B44,'Portfolio Register'!$DH$5:$DH$304,0))="","",INDEX('Portfolio Register'!$DB$5:$DB$304,MATCH($B44,'Portfolio Register'!$DH$5:$DH$304,0))),"")</f>
        <v/>
      </c>
      <c r="L44" s="140" t="str">
        <f>IFERROR(IF(INDEX('Portfolio Register'!$DC$5:$DC$304,MATCH($B44,'Portfolio Register'!$DH$5:$DH$304,0))="","",INDEX('Portfolio Register'!$DC$5:$DC$304,MATCH($B44,'Portfolio Register'!$DH$5:$DH$304,0))),"")</f>
        <v/>
      </c>
      <c r="M44" s="143" t="str">
        <f>IFERROR(IF(INDEX('Portfolio Register'!$DD$5:$DD$304,MATCH($B44,'Portfolio Register'!$DH$5:$DH$304,0))="","",INDEX('Portfolio Register'!$DD$5:$DD$304,MATCH($B44,'Portfolio Register'!$DH$5:$DH$304,0))),"")</f>
        <v/>
      </c>
      <c r="N44" s="144" t="str">
        <f ca="1">IF($C44="","",IF($M44&lt;&gt;"",$M44-IFERROR(INDEX('Portfolio Register'!$C$5:$C$304,MATCH($B44,'Portfolio Register'!$DH$5:$DH$304,0)),$M44),TODAY()-IFERROR(INDEX('Portfolio Register'!$C$5:$C$304,MATCH($B44,'Portfolio Register'!$DH$5:$DH$304,0)),TODAY())))</f>
        <v/>
      </c>
      <c r="O44" s="145" t="str">
        <f t="shared" si="0"/>
        <v/>
      </c>
      <c r="P44" s="140" t="str">
        <f>IFERROR(IF(INDEX('Portfolio Register'!$DG$5:$DG$304,MATCH($B44,'Portfolio Register'!$DH$5:$DH$304,0))="","",INDEX('Portfolio Register'!$DG$5:$DG$304,MATCH($B44,'Portfolio Register'!$DH$5:$DH$304,0))),"")</f>
        <v/>
      </c>
      <c r="Q44" s="140" t="str">
        <f>IFERROR(IF(INDEX('Portfolio Register'!$DF$5:$DF$304,MATCH($B44,'Portfolio Register'!$DH$5:$DH$304,0))="","",INDEX('Portfolio Register'!$DF$5:$DF$304,MATCH($B44,'Portfolio Register'!$DH$5:$DH$304,0))),"")</f>
        <v/>
      </c>
    </row>
    <row r="45" spans="2:17" x14ac:dyDescent="0.25">
      <c r="B45" s="63">
        <v>18</v>
      </c>
      <c r="C45" s="146" t="str">
        <f>IFERROR(IF(INDEX('Portfolio Register'!$A$5:$A$304,MATCH($B45,'Portfolio Register'!$DH$5:$DH$304,0))="","",INDEX('Portfolio Register'!$A$5:$A$304,MATCH($B45,'Portfolio Register'!$DH$5:$DH$304,0))),"")</f>
        <v/>
      </c>
      <c r="D45" s="146" t="str">
        <f>IFERROR(IF(INDEX('Portfolio Register'!$B$5:$B$304,MATCH($B45,'Portfolio Register'!$DH$5:$DH$304,0))="","",INDEX('Portfolio Register'!$B$5:$B$304,MATCH($B45,'Portfolio Register'!$DH$5:$DH$304,0))),"")</f>
        <v/>
      </c>
      <c r="E45" s="146" t="str">
        <f>IFERROR(IF(INDEX('Portfolio Register'!$I$5:$I$304,MATCH($B45,'Portfolio Register'!$DH$5:$DH$304,0))="","",INDEX('Portfolio Register'!$I$5:$I$304,MATCH($B45,'Portfolio Register'!$DH$5:$DH$304,0))),"")</f>
        <v/>
      </c>
      <c r="F45" s="147" t="str">
        <f>IFERROR(IF(INDEX('Portfolio Register'!$J$5:$J$304,MATCH($B45,'Portfolio Register'!$DH$5:$DH$304,0))="","",INDEX('Portfolio Register'!$J$5:$J$304,MATCH($B45,'Portfolio Register'!$DH$5:$DH$304,0))),"")</f>
        <v/>
      </c>
      <c r="G45" s="146" t="str">
        <f>IFERROR(IF(INDEX('Portfolio Register'!$CX$5:$CX$304,MATCH($B45,'Portfolio Register'!$DH$5:$DH$304,0))="","",INDEX('Portfolio Register'!$CX$5:$CX$304,MATCH($B45,'Portfolio Register'!$DH$5:$DH$304,0))),"")</f>
        <v/>
      </c>
      <c r="H45" s="148" t="str">
        <f>IFERROR(IF(INDEX('Portfolio Register'!$CY$5:$CY$304,MATCH($B45,'Portfolio Register'!$DH$5:$DH$304,0))="","",INDEX('Portfolio Register'!$CY$5:$CY$304,MATCH($B45,'Portfolio Register'!$DH$5:$DH$304,0))),"")</f>
        <v/>
      </c>
      <c r="I45" s="146" t="str">
        <f>IFERROR(IF(INDEX('Portfolio Register'!$CZ$5:$CZ$304,MATCH($B45,'Portfolio Register'!$DH$5:$DH$304,0))="","",INDEX('Portfolio Register'!$CZ$5:$CZ$304,MATCH($B45,'Portfolio Register'!$DH$5:$DH$304,0))),"")</f>
        <v/>
      </c>
      <c r="J45" s="146" t="str">
        <f>IFERROR(IF(INDEX('Portfolio Register'!$DA$5:$DA$304,MATCH($B45,'Portfolio Register'!$DH$5:$DH$304,0))="","",INDEX('Portfolio Register'!$DA$5:$DA$304,MATCH($B45,'Portfolio Register'!$DH$5:$DH$304,0))),"")</f>
        <v/>
      </c>
      <c r="K45" s="146" t="str">
        <f>IFERROR(IF(INDEX('Portfolio Register'!$DB$5:$DB$304,MATCH($B45,'Portfolio Register'!$DH$5:$DH$304,0))="","",INDEX('Portfolio Register'!$DB$5:$DB$304,MATCH($B45,'Portfolio Register'!$DH$5:$DH$304,0))),"")</f>
        <v/>
      </c>
      <c r="L45" s="146" t="str">
        <f>IFERROR(IF(INDEX('Portfolio Register'!$DC$5:$DC$304,MATCH($B45,'Portfolio Register'!$DH$5:$DH$304,0))="","",INDEX('Portfolio Register'!$DC$5:$DC$304,MATCH($B45,'Portfolio Register'!$DH$5:$DH$304,0))),"")</f>
        <v/>
      </c>
      <c r="M45" s="149" t="str">
        <f>IFERROR(IF(INDEX('Portfolio Register'!$DD$5:$DD$304,MATCH($B45,'Portfolio Register'!$DH$5:$DH$304,0))="","",INDEX('Portfolio Register'!$DD$5:$DD$304,MATCH($B45,'Portfolio Register'!$DH$5:$DH$304,0))),"")</f>
        <v/>
      </c>
      <c r="N45" s="150" t="str">
        <f ca="1">IF($C45="","",IF($M45&lt;&gt;"",$M45-IFERROR(INDEX('Portfolio Register'!$C$5:$C$304,MATCH($B45,'Portfolio Register'!$DH$5:$DH$304,0)),$M45),TODAY()-IFERROR(INDEX('Portfolio Register'!$C$5:$C$304,MATCH($B45,'Portfolio Register'!$DH$5:$DH$304,0)),TODAY())))</f>
        <v/>
      </c>
      <c r="O45" s="151" t="str">
        <f t="shared" si="0"/>
        <v/>
      </c>
      <c r="P45" s="146" t="str">
        <f>IFERROR(IF(INDEX('Portfolio Register'!$DG$5:$DG$304,MATCH($B45,'Portfolio Register'!$DH$5:$DH$304,0))="","",INDEX('Portfolio Register'!$DG$5:$DG$304,MATCH($B45,'Portfolio Register'!$DH$5:$DH$304,0))),"")</f>
        <v/>
      </c>
      <c r="Q45" s="146" t="str">
        <f>IFERROR(IF(INDEX('Portfolio Register'!$DF$5:$DF$304,MATCH($B45,'Portfolio Register'!$DH$5:$DH$304,0))="","",INDEX('Portfolio Register'!$DF$5:$DF$304,MATCH($B45,'Portfolio Register'!$DH$5:$DH$304,0))),"")</f>
        <v/>
      </c>
    </row>
    <row r="46" spans="2:17" x14ac:dyDescent="0.25">
      <c r="B46" s="56">
        <v>19</v>
      </c>
      <c r="C46" s="140" t="str">
        <f>IFERROR(IF(INDEX('Portfolio Register'!$A$5:$A$304,MATCH($B46,'Portfolio Register'!$DH$5:$DH$304,0))="","",INDEX('Portfolio Register'!$A$5:$A$304,MATCH($B46,'Portfolio Register'!$DH$5:$DH$304,0))),"")</f>
        <v/>
      </c>
      <c r="D46" s="140" t="str">
        <f>IFERROR(IF(INDEX('Portfolio Register'!$B$5:$B$304,MATCH($B46,'Portfolio Register'!$DH$5:$DH$304,0))="","",INDEX('Portfolio Register'!$B$5:$B$304,MATCH($B46,'Portfolio Register'!$DH$5:$DH$304,0))),"")</f>
        <v/>
      </c>
      <c r="E46" s="140" t="str">
        <f>IFERROR(IF(INDEX('Portfolio Register'!$I$5:$I$304,MATCH($B46,'Portfolio Register'!$DH$5:$DH$304,0))="","",INDEX('Portfolio Register'!$I$5:$I$304,MATCH($B46,'Portfolio Register'!$DH$5:$DH$304,0))),"")</f>
        <v/>
      </c>
      <c r="F46" s="141" t="str">
        <f>IFERROR(IF(INDEX('Portfolio Register'!$J$5:$J$304,MATCH($B46,'Portfolio Register'!$DH$5:$DH$304,0))="","",INDEX('Portfolio Register'!$J$5:$J$304,MATCH($B46,'Portfolio Register'!$DH$5:$DH$304,0))),"")</f>
        <v/>
      </c>
      <c r="G46" s="140" t="str">
        <f>IFERROR(IF(INDEX('Portfolio Register'!$CX$5:$CX$304,MATCH($B46,'Portfolio Register'!$DH$5:$DH$304,0))="","",INDEX('Portfolio Register'!$CX$5:$CX$304,MATCH($B46,'Portfolio Register'!$DH$5:$DH$304,0))),"")</f>
        <v/>
      </c>
      <c r="H46" s="142" t="str">
        <f>IFERROR(IF(INDEX('Portfolio Register'!$CY$5:$CY$304,MATCH($B46,'Portfolio Register'!$DH$5:$DH$304,0))="","",INDEX('Portfolio Register'!$CY$5:$CY$304,MATCH($B46,'Portfolio Register'!$DH$5:$DH$304,0))),"")</f>
        <v/>
      </c>
      <c r="I46" s="140" t="str">
        <f>IFERROR(IF(INDEX('Portfolio Register'!$CZ$5:$CZ$304,MATCH($B46,'Portfolio Register'!$DH$5:$DH$304,0))="","",INDEX('Portfolio Register'!$CZ$5:$CZ$304,MATCH($B46,'Portfolio Register'!$DH$5:$DH$304,0))),"")</f>
        <v/>
      </c>
      <c r="J46" s="140" t="str">
        <f>IFERROR(IF(INDEX('Portfolio Register'!$DA$5:$DA$304,MATCH($B46,'Portfolio Register'!$DH$5:$DH$304,0))="","",INDEX('Portfolio Register'!$DA$5:$DA$304,MATCH($B46,'Portfolio Register'!$DH$5:$DH$304,0))),"")</f>
        <v/>
      </c>
      <c r="K46" s="140" t="str">
        <f>IFERROR(IF(INDEX('Portfolio Register'!$DB$5:$DB$304,MATCH($B46,'Portfolio Register'!$DH$5:$DH$304,0))="","",INDEX('Portfolio Register'!$DB$5:$DB$304,MATCH($B46,'Portfolio Register'!$DH$5:$DH$304,0))),"")</f>
        <v/>
      </c>
      <c r="L46" s="140" t="str">
        <f>IFERROR(IF(INDEX('Portfolio Register'!$DC$5:$DC$304,MATCH($B46,'Portfolio Register'!$DH$5:$DH$304,0))="","",INDEX('Portfolio Register'!$DC$5:$DC$304,MATCH($B46,'Portfolio Register'!$DH$5:$DH$304,0))),"")</f>
        <v/>
      </c>
      <c r="M46" s="143" t="str">
        <f>IFERROR(IF(INDEX('Portfolio Register'!$DD$5:$DD$304,MATCH($B46,'Portfolio Register'!$DH$5:$DH$304,0))="","",INDEX('Portfolio Register'!$DD$5:$DD$304,MATCH($B46,'Portfolio Register'!$DH$5:$DH$304,0))),"")</f>
        <v/>
      </c>
      <c r="N46" s="144" t="str">
        <f ca="1">IF($C46="","",IF($M46&lt;&gt;"",$M46-IFERROR(INDEX('Portfolio Register'!$C$5:$C$304,MATCH($B46,'Portfolio Register'!$DH$5:$DH$304,0)),$M46),TODAY()-IFERROR(INDEX('Portfolio Register'!$C$5:$C$304,MATCH($B46,'Portfolio Register'!$DH$5:$DH$304,0)),TODAY())))</f>
        <v/>
      </c>
      <c r="O46" s="145" t="str">
        <f t="shared" si="0"/>
        <v/>
      </c>
      <c r="P46" s="140" t="str">
        <f>IFERROR(IF(INDEX('Portfolio Register'!$DG$5:$DG$304,MATCH($B46,'Portfolio Register'!$DH$5:$DH$304,0))="","",INDEX('Portfolio Register'!$DG$5:$DG$304,MATCH($B46,'Portfolio Register'!$DH$5:$DH$304,0))),"")</f>
        <v/>
      </c>
      <c r="Q46" s="140" t="str">
        <f>IFERROR(IF(INDEX('Portfolio Register'!$DF$5:$DF$304,MATCH($B46,'Portfolio Register'!$DH$5:$DH$304,0))="","",INDEX('Portfolio Register'!$DF$5:$DF$304,MATCH($B46,'Portfolio Register'!$DH$5:$DH$304,0))),"")</f>
        <v/>
      </c>
    </row>
    <row r="47" spans="2:17" x14ac:dyDescent="0.25">
      <c r="B47" s="63">
        <v>20</v>
      </c>
      <c r="C47" s="146" t="str">
        <f>IFERROR(IF(INDEX('Portfolio Register'!$A$5:$A$304,MATCH($B47,'Portfolio Register'!$DH$5:$DH$304,0))="","",INDEX('Portfolio Register'!$A$5:$A$304,MATCH($B47,'Portfolio Register'!$DH$5:$DH$304,0))),"")</f>
        <v/>
      </c>
      <c r="D47" s="146" t="str">
        <f>IFERROR(IF(INDEX('Portfolio Register'!$B$5:$B$304,MATCH($B47,'Portfolio Register'!$DH$5:$DH$304,0))="","",INDEX('Portfolio Register'!$B$5:$B$304,MATCH($B47,'Portfolio Register'!$DH$5:$DH$304,0))),"")</f>
        <v/>
      </c>
      <c r="E47" s="146" t="str">
        <f>IFERROR(IF(INDEX('Portfolio Register'!$I$5:$I$304,MATCH($B47,'Portfolio Register'!$DH$5:$DH$304,0))="","",INDEX('Portfolio Register'!$I$5:$I$304,MATCH($B47,'Portfolio Register'!$DH$5:$DH$304,0))),"")</f>
        <v/>
      </c>
      <c r="F47" s="147" t="str">
        <f>IFERROR(IF(INDEX('Portfolio Register'!$J$5:$J$304,MATCH($B47,'Portfolio Register'!$DH$5:$DH$304,0))="","",INDEX('Portfolio Register'!$J$5:$J$304,MATCH($B47,'Portfolio Register'!$DH$5:$DH$304,0))),"")</f>
        <v/>
      </c>
      <c r="G47" s="146" t="str">
        <f>IFERROR(IF(INDEX('Portfolio Register'!$CX$5:$CX$304,MATCH($B47,'Portfolio Register'!$DH$5:$DH$304,0))="","",INDEX('Portfolio Register'!$CX$5:$CX$304,MATCH($B47,'Portfolio Register'!$DH$5:$DH$304,0))),"")</f>
        <v/>
      </c>
      <c r="H47" s="148" t="str">
        <f>IFERROR(IF(INDEX('Portfolio Register'!$CY$5:$CY$304,MATCH($B47,'Portfolio Register'!$DH$5:$DH$304,0))="","",INDEX('Portfolio Register'!$CY$5:$CY$304,MATCH($B47,'Portfolio Register'!$DH$5:$DH$304,0))),"")</f>
        <v/>
      </c>
      <c r="I47" s="146" t="str">
        <f>IFERROR(IF(INDEX('Portfolio Register'!$CZ$5:$CZ$304,MATCH($B47,'Portfolio Register'!$DH$5:$DH$304,0))="","",INDEX('Portfolio Register'!$CZ$5:$CZ$304,MATCH($B47,'Portfolio Register'!$DH$5:$DH$304,0))),"")</f>
        <v/>
      </c>
      <c r="J47" s="146" t="str">
        <f>IFERROR(IF(INDEX('Portfolio Register'!$DA$5:$DA$304,MATCH($B47,'Portfolio Register'!$DH$5:$DH$304,0))="","",INDEX('Portfolio Register'!$DA$5:$DA$304,MATCH($B47,'Portfolio Register'!$DH$5:$DH$304,0))),"")</f>
        <v/>
      </c>
      <c r="K47" s="146" t="str">
        <f>IFERROR(IF(INDEX('Portfolio Register'!$DB$5:$DB$304,MATCH($B47,'Portfolio Register'!$DH$5:$DH$304,0))="","",INDEX('Portfolio Register'!$DB$5:$DB$304,MATCH($B47,'Portfolio Register'!$DH$5:$DH$304,0))),"")</f>
        <v/>
      </c>
      <c r="L47" s="146" t="str">
        <f>IFERROR(IF(INDEX('Portfolio Register'!$DC$5:$DC$304,MATCH($B47,'Portfolio Register'!$DH$5:$DH$304,0))="","",INDEX('Portfolio Register'!$DC$5:$DC$304,MATCH($B47,'Portfolio Register'!$DH$5:$DH$304,0))),"")</f>
        <v/>
      </c>
      <c r="M47" s="149" t="str">
        <f>IFERROR(IF(INDEX('Portfolio Register'!$DD$5:$DD$304,MATCH($B47,'Portfolio Register'!$DH$5:$DH$304,0))="","",INDEX('Portfolio Register'!$DD$5:$DD$304,MATCH($B47,'Portfolio Register'!$DH$5:$DH$304,0))),"")</f>
        <v/>
      </c>
      <c r="N47" s="150" t="str">
        <f ca="1">IF($C47="","",IF($M47&lt;&gt;"",$M47-IFERROR(INDEX('Portfolio Register'!$C$5:$C$304,MATCH($B47,'Portfolio Register'!$DH$5:$DH$304,0)),$M47),TODAY()-IFERROR(INDEX('Portfolio Register'!$C$5:$C$304,MATCH($B47,'Portfolio Register'!$DH$5:$DH$304,0)),TODAY())))</f>
        <v/>
      </c>
      <c r="O47" s="151" t="str">
        <f t="shared" si="0"/>
        <v/>
      </c>
      <c r="P47" s="146" t="str">
        <f>IFERROR(IF(INDEX('Portfolio Register'!$DG$5:$DG$304,MATCH($B47,'Portfolio Register'!$DH$5:$DH$304,0))="","",INDEX('Portfolio Register'!$DG$5:$DG$304,MATCH($B47,'Portfolio Register'!$DH$5:$DH$304,0))),"")</f>
        <v/>
      </c>
      <c r="Q47" s="146" t="str">
        <f>IFERROR(IF(INDEX('Portfolio Register'!$DF$5:$DF$304,MATCH($B47,'Portfolio Register'!$DH$5:$DH$304,0))="","",INDEX('Portfolio Register'!$DF$5:$DF$304,MATCH($B47,'Portfolio Register'!$DH$5:$DH$304,0))),"")</f>
        <v/>
      </c>
    </row>
    <row r="48" spans="2:17" x14ac:dyDescent="0.25">
      <c r="B48" s="56">
        <v>21</v>
      </c>
      <c r="C48" s="140" t="str">
        <f>IFERROR(IF(INDEX('Portfolio Register'!$A$5:$A$304,MATCH($B48,'Portfolio Register'!$DH$5:$DH$304,0))="","",INDEX('Portfolio Register'!$A$5:$A$304,MATCH($B48,'Portfolio Register'!$DH$5:$DH$304,0))),"")</f>
        <v/>
      </c>
      <c r="D48" s="140" t="str">
        <f>IFERROR(IF(INDEX('Portfolio Register'!$B$5:$B$304,MATCH($B48,'Portfolio Register'!$DH$5:$DH$304,0))="","",INDEX('Portfolio Register'!$B$5:$B$304,MATCH($B48,'Portfolio Register'!$DH$5:$DH$304,0))),"")</f>
        <v/>
      </c>
      <c r="E48" s="140" t="str">
        <f>IFERROR(IF(INDEX('Portfolio Register'!$I$5:$I$304,MATCH($B48,'Portfolio Register'!$DH$5:$DH$304,0))="","",INDEX('Portfolio Register'!$I$5:$I$304,MATCH($B48,'Portfolio Register'!$DH$5:$DH$304,0))),"")</f>
        <v/>
      </c>
      <c r="F48" s="141" t="str">
        <f>IFERROR(IF(INDEX('Portfolio Register'!$J$5:$J$304,MATCH($B48,'Portfolio Register'!$DH$5:$DH$304,0))="","",INDEX('Portfolio Register'!$J$5:$J$304,MATCH($B48,'Portfolio Register'!$DH$5:$DH$304,0))),"")</f>
        <v/>
      </c>
      <c r="G48" s="140" t="str">
        <f>IFERROR(IF(INDEX('Portfolio Register'!$CX$5:$CX$304,MATCH($B48,'Portfolio Register'!$DH$5:$DH$304,0))="","",INDEX('Portfolio Register'!$CX$5:$CX$304,MATCH($B48,'Portfolio Register'!$DH$5:$DH$304,0))),"")</f>
        <v/>
      </c>
      <c r="H48" s="142" t="str">
        <f>IFERROR(IF(INDEX('Portfolio Register'!$CY$5:$CY$304,MATCH($B48,'Portfolio Register'!$DH$5:$DH$304,0))="","",INDEX('Portfolio Register'!$CY$5:$CY$304,MATCH($B48,'Portfolio Register'!$DH$5:$DH$304,0))),"")</f>
        <v/>
      </c>
      <c r="I48" s="140" t="str">
        <f>IFERROR(IF(INDEX('Portfolio Register'!$CZ$5:$CZ$304,MATCH($B48,'Portfolio Register'!$DH$5:$DH$304,0))="","",INDEX('Portfolio Register'!$CZ$5:$CZ$304,MATCH($B48,'Portfolio Register'!$DH$5:$DH$304,0))),"")</f>
        <v/>
      </c>
      <c r="J48" s="140" t="str">
        <f>IFERROR(IF(INDEX('Portfolio Register'!$DA$5:$DA$304,MATCH($B48,'Portfolio Register'!$DH$5:$DH$304,0))="","",INDEX('Portfolio Register'!$DA$5:$DA$304,MATCH($B48,'Portfolio Register'!$DH$5:$DH$304,0))),"")</f>
        <v/>
      </c>
      <c r="K48" s="140" t="str">
        <f>IFERROR(IF(INDEX('Portfolio Register'!$DB$5:$DB$304,MATCH($B48,'Portfolio Register'!$DH$5:$DH$304,0))="","",INDEX('Portfolio Register'!$DB$5:$DB$304,MATCH($B48,'Portfolio Register'!$DH$5:$DH$304,0))),"")</f>
        <v/>
      </c>
      <c r="L48" s="140" t="str">
        <f>IFERROR(IF(INDEX('Portfolio Register'!$DC$5:$DC$304,MATCH($B48,'Portfolio Register'!$DH$5:$DH$304,0))="","",INDEX('Portfolio Register'!$DC$5:$DC$304,MATCH($B48,'Portfolio Register'!$DH$5:$DH$304,0))),"")</f>
        <v/>
      </c>
      <c r="M48" s="143" t="str">
        <f>IFERROR(IF(INDEX('Portfolio Register'!$DD$5:$DD$304,MATCH($B48,'Portfolio Register'!$DH$5:$DH$304,0))="","",INDEX('Portfolio Register'!$DD$5:$DD$304,MATCH($B48,'Portfolio Register'!$DH$5:$DH$304,0))),"")</f>
        <v/>
      </c>
      <c r="N48" s="144" t="str">
        <f ca="1">IF($C48="","",IF($M48&lt;&gt;"",$M48-IFERROR(INDEX('Portfolio Register'!$C$5:$C$304,MATCH($B48,'Portfolio Register'!$DH$5:$DH$304,0)),$M48),TODAY()-IFERROR(INDEX('Portfolio Register'!$C$5:$C$304,MATCH($B48,'Portfolio Register'!$DH$5:$DH$304,0)),TODAY())))</f>
        <v/>
      </c>
      <c r="O48" s="145" t="str">
        <f t="shared" si="0"/>
        <v/>
      </c>
      <c r="P48" s="140" t="str">
        <f>IFERROR(IF(INDEX('Portfolio Register'!$DG$5:$DG$304,MATCH($B48,'Portfolio Register'!$DH$5:$DH$304,0))="","",INDEX('Portfolio Register'!$DG$5:$DG$304,MATCH($B48,'Portfolio Register'!$DH$5:$DH$304,0))),"")</f>
        <v/>
      </c>
      <c r="Q48" s="140" t="str">
        <f>IFERROR(IF(INDEX('Portfolio Register'!$DF$5:$DF$304,MATCH($B48,'Portfolio Register'!$DH$5:$DH$304,0))="","",INDEX('Portfolio Register'!$DF$5:$DF$304,MATCH($B48,'Portfolio Register'!$DH$5:$DH$304,0))),"")</f>
        <v/>
      </c>
    </row>
    <row r="49" spans="2:17" x14ac:dyDescent="0.25">
      <c r="B49" s="63">
        <v>22</v>
      </c>
      <c r="C49" s="146" t="str">
        <f>IFERROR(IF(INDEX('Portfolio Register'!$A$5:$A$304,MATCH($B49,'Portfolio Register'!$DH$5:$DH$304,0))="","",INDEX('Portfolio Register'!$A$5:$A$304,MATCH($B49,'Portfolio Register'!$DH$5:$DH$304,0))),"")</f>
        <v/>
      </c>
      <c r="D49" s="146" t="str">
        <f>IFERROR(IF(INDEX('Portfolio Register'!$B$5:$B$304,MATCH($B49,'Portfolio Register'!$DH$5:$DH$304,0))="","",INDEX('Portfolio Register'!$B$5:$B$304,MATCH($B49,'Portfolio Register'!$DH$5:$DH$304,0))),"")</f>
        <v/>
      </c>
      <c r="E49" s="146" t="str">
        <f>IFERROR(IF(INDEX('Portfolio Register'!$I$5:$I$304,MATCH($B49,'Portfolio Register'!$DH$5:$DH$304,0))="","",INDEX('Portfolio Register'!$I$5:$I$304,MATCH($B49,'Portfolio Register'!$DH$5:$DH$304,0))),"")</f>
        <v/>
      </c>
      <c r="F49" s="147" t="str">
        <f>IFERROR(IF(INDEX('Portfolio Register'!$J$5:$J$304,MATCH($B49,'Portfolio Register'!$DH$5:$DH$304,0))="","",INDEX('Portfolio Register'!$J$5:$J$304,MATCH($B49,'Portfolio Register'!$DH$5:$DH$304,0))),"")</f>
        <v/>
      </c>
      <c r="G49" s="146" t="str">
        <f>IFERROR(IF(INDEX('Portfolio Register'!$CX$5:$CX$304,MATCH($B49,'Portfolio Register'!$DH$5:$DH$304,0))="","",INDEX('Portfolio Register'!$CX$5:$CX$304,MATCH($B49,'Portfolio Register'!$DH$5:$DH$304,0))),"")</f>
        <v/>
      </c>
      <c r="H49" s="148" t="str">
        <f>IFERROR(IF(INDEX('Portfolio Register'!$CY$5:$CY$304,MATCH($B49,'Portfolio Register'!$DH$5:$DH$304,0))="","",INDEX('Portfolio Register'!$CY$5:$CY$304,MATCH($B49,'Portfolio Register'!$DH$5:$DH$304,0))),"")</f>
        <v/>
      </c>
      <c r="I49" s="146" t="str">
        <f>IFERROR(IF(INDEX('Portfolio Register'!$CZ$5:$CZ$304,MATCH($B49,'Portfolio Register'!$DH$5:$DH$304,0))="","",INDEX('Portfolio Register'!$CZ$5:$CZ$304,MATCH($B49,'Portfolio Register'!$DH$5:$DH$304,0))),"")</f>
        <v/>
      </c>
      <c r="J49" s="146" t="str">
        <f>IFERROR(IF(INDEX('Portfolio Register'!$DA$5:$DA$304,MATCH($B49,'Portfolio Register'!$DH$5:$DH$304,0))="","",INDEX('Portfolio Register'!$DA$5:$DA$304,MATCH($B49,'Portfolio Register'!$DH$5:$DH$304,0))),"")</f>
        <v/>
      </c>
      <c r="K49" s="146" t="str">
        <f>IFERROR(IF(INDEX('Portfolio Register'!$DB$5:$DB$304,MATCH($B49,'Portfolio Register'!$DH$5:$DH$304,0))="","",INDEX('Portfolio Register'!$DB$5:$DB$304,MATCH($B49,'Portfolio Register'!$DH$5:$DH$304,0))),"")</f>
        <v/>
      </c>
      <c r="L49" s="146" t="str">
        <f>IFERROR(IF(INDEX('Portfolio Register'!$DC$5:$DC$304,MATCH($B49,'Portfolio Register'!$DH$5:$DH$304,0))="","",INDEX('Portfolio Register'!$DC$5:$DC$304,MATCH($B49,'Portfolio Register'!$DH$5:$DH$304,0))),"")</f>
        <v/>
      </c>
      <c r="M49" s="149" t="str">
        <f>IFERROR(IF(INDEX('Portfolio Register'!$DD$5:$DD$304,MATCH($B49,'Portfolio Register'!$DH$5:$DH$304,0))="","",INDEX('Portfolio Register'!$DD$5:$DD$304,MATCH($B49,'Portfolio Register'!$DH$5:$DH$304,0))),"")</f>
        <v/>
      </c>
      <c r="N49" s="150" t="str">
        <f ca="1">IF($C49="","",IF($M49&lt;&gt;"",$M49-IFERROR(INDEX('Portfolio Register'!$C$5:$C$304,MATCH($B49,'Portfolio Register'!$DH$5:$DH$304,0)),$M49),TODAY()-IFERROR(INDEX('Portfolio Register'!$C$5:$C$304,MATCH($B49,'Portfolio Register'!$DH$5:$DH$304,0)),TODAY())))</f>
        <v/>
      </c>
      <c r="O49" s="151" t="str">
        <f t="shared" si="0"/>
        <v/>
      </c>
      <c r="P49" s="146" t="str">
        <f>IFERROR(IF(INDEX('Portfolio Register'!$DG$5:$DG$304,MATCH($B49,'Portfolio Register'!$DH$5:$DH$304,0))="","",INDEX('Portfolio Register'!$DG$5:$DG$304,MATCH($B49,'Portfolio Register'!$DH$5:$DH$304,0))),"")</f>
        <v/>
      </c>
      <c r="Q49" s="146" t="str">
        <f>IFERROR(IF(INDEX('Portfolio Register'!$DF$5:$DF$304,MATCH($B49,'Portfolio Register'!$DH$5:$DH$304,0))="","",INDEX('Portfolio Register'!$DF$5:$DF$304,MATCH($B49,'Portfolio Register'!$DH$5:$DH$304,0))),"")</f>
        <v/>
      </c>
    </row>
    <row r="50" spans="2:17" x14ac:dyDescent="0.25">
      <c r="B50" s="56">
        <v>23</v>
      </c>
      <c r="C50" s="140" t="str">
        <f>IFERROR(IF(INDEX('Portfolio Register'!$A$5:$A$304,MATCH($B50,'Portfolio Register'!$DH$5:$DH$304,0))="","",INDEX('Portfolio Register'!$A$5:$A$304,MATCH($B50,'Portfolio Register'!$DH$5:$DH$304,0))),"")</f>
        <v/>
      </c>
      <c r="D50" s="140" t="str">
        <f>IFERROR(IF(INDEX('Portfolio Register'!$B$5:$B$304,MATCH($B50,'Portfolio Register'!$DH$5:$DH$304,0))="","",INDEX('Portfolio Register'!$B$5:$B$304,MATCH($B50,'Portfolio Register'!$DH$5:$DH$304,0))),"")</f>
        <v/>
      </c>
      <c r="E50" s="140" t="str">
        <f>IFERROR(IF(INDEX('Portfolio Register'!$I$5:$I$304,MATCH($B50,'Portfolio Register'!$DH$5:$DH$304,0))="","",INDEX('Portfolio Register'!$I$5:$I$304,MATCH($B50,'Portfolio Register'!$DH$5:$DH$304,0))),"")</f>
        <v/>
      </c>
      <c r="F50" s="141" t="str">
        <f>IFERROR(IF(INDEX('Portfolio Register'!$J$5:$J$304,MATCH($B50,'Portfolio Register'!$DH$5:$DH$304,0))="","",INDEX('Portfolio Register'!$J$5:$J$304,MATCH($B50,'Portfolio Register'!$DH$5:$DH$304,0))),"")</f>
        <v/>
      </c>
      <c r="G50" s="140" t="str">
        <f>IFERROR(IF(INDEX('Portfolio Register'!$CX$5:$CX$304,MATCH($B50,'Portfolio Register'!$DH$5:$DH$304,0))="","",INDEX('Portfolio Register'!$CX$5:$CX$304,MATCH($B50,'Portfolio Register'!$DH$5:$DH$304,0))),"")</f>
        <v/>
      </c>
      <c r="H50" s="142" t="str">
        <f>IFERROR(IF(INDEX('Portfolio Register'!$CY$5:$CY$304,MATCH($B50,'Portfolio Register'!$DH$5:$DH$304,0))="","",INDEX('Portfolio Register'!$CY$5:$CY$304,MATCH($B50,'Portfolio Register'!$DH$5:$DH$304,0))),"")</f>
        <v/>
      </c>
      <c r="I50" s="140" t="str">
        <f>IFERROR(IF(INDEX('Portfolio Register'!$CZ$5:$CZ$304,MATCH($B50,'Portfolio Register'!$DH$5:$DH$304,0))="","",INDEX('Portfolio Register'!$CZ$5:$CZ$304,MATCH($B50,'Portfolio Register'!$DH$5:$DH$304,0))),"")</f>
        <v/>
      </c>
      <c r="J50" s="140" t="str">
        <f>IFERROR(IF(INDEX('Portfolio Register'!$DA$5:$DA$304,MATCH($B50,'Portfolio Register'!$DH$5:$DH$304,0))="","",INDEX('Portfolio Register'!$DA$5:$DA$304,MATCH($B50,'Portfolio Register'!$DH$5:$DH$304,0))),"")</f>
        <v/>
      </c>
      <c r="K50" s="140" t="str">
        <f>IFERROR(IF(INDEX('Portfolio Register'!$DB$5:$DB$304,MATCH($B50,'Portfolio Register'!$DH$5:$DH$304,0))="","",INDEX('Portfolio Register'!$DB$5:$DB$304,MATCH($B50,'Portfolio Register'!$DH$5:$DH$304,0))),"")</f>
        <v/>
      </c>
      <c r="L50" s="140" t="str">
        <f>IFERROR(IF(INDEX('Portfolio Register'!$DC$5:$DC$304,MATCH($B50,'Portfolio Register'!$DH$5:$DH$304,0))="","",INDEX('Portfolio Register'!$DC$5:$DC$304,MATCH($B50,'Portfolio Register'!$DH$5:$DH$304,0))),"")</f>
        <v/>
      </c>
      <c r="M50" s="143" t="str">
        <f>IFERROR(IF(INDEX('Portfolio Register'!$DD$5:$DD$304,MATCH($B50,'Portfolio Register'!$DH$5:$DH$304,0))="","",INDEX('Portfolio Register'!$DD$5:$DD$304,MATCH($B50,'Portfolio Register'!$DH$5:$DH$304,0))),"")</f>
        <v/>
      </c>
      <c r="N50" s="144" t="str">
        <f ca="1">IF($C50="","",IF($M50&lt;&gt;"",$M50-IFERROR(INDEX('Portfolio Register'!$C$5:$C$304,MATCH($B50,'Portfolio Register'!$DH$5:$DH$304,0)),$M50),TODAY()-IFERROR(INDEX('Portfolio Register'!$C$5:$C$304,MATCH($B50,'Portfolio Register'!$DH$5:$DH$304,0)),TODAY())))</f>
        <v/>
      </c>
      <c r="O50" s="145" t="str">
        <f t="shared" si="0"/>
        <v/>
      </c>
      <c r="P50" s="140" t="str">
        <f>IFERROR(IF(INDEX('Portfolio Register'!$DG$5:$DG$304,MATCH($B50,'Portfolio Register'!$DH$5:$DH$304,0))="","",INDEX('Portfolio Register'!$DG$5:$DG$304,MATCH($B50,'Portfolio Register'!$DH$5:$DH$304,0))),"")</f>
        <v/>
      </c>
      <c r="Q50" s="140" t="str">
        <f>IFERROR(IF(INDEX('Portfolio Register'!$DF$5:$DF$304,MATCH($B50,'Portfolio Register'!$DH$5:$DH$304,0))="","",INDEX('Portfolio Register'!$DF$5:$DF$304,MATCH($B50,'Portfolio Register'!$DH$5:$DH$304,0))),"")</f>
        <v/>
      </c>
    </row>
    <row r="51" spans="2:17" x14ac:dyDescent="0.25">
      <c r="B51" s="63">
        <v>24</v>
      </c>
      <c r="C51" s="146" t="str">
        <f>IFERROR(IF(INDEX('Portfolio Register'!$A$5:$A$304,MATCH($B51,'Portfolio Register'!$DH$5:$DH$304,0))="","",INDEX('Portfolio Register'!$A$5:$A$304,MATCH($B51,'Portfolio Register'!$DH$5:$DH$304,0))),"")</f>
        <v/>
      </c>
      <c r="D51" s="146" t="str">
        <f>IFERROR(IF(INDEX('Portfolio Register'!$B$5:$B$304,MATCH($B51,'Portfolio Register'!$DH$5:$DH$304,0))="","",INDEX('Portfolio Register'!$B$5:$B$304,MATCH($B51,'Portfolio Register'!$DH$5:$DH$304,0))),"")</f>
        <v/>
      </c>
      <c r="E51" s="146" t="str">
        <f>IFERROR(IF(INDEX('Portfolio Register'!$I$5:$I$304,MATCH($B51,'Portfolio Register'!$DH$5:$DH$304,0))="","",INDEX('Portfolio Register'!$I$5:$I$304,MATCH($B51,'Portfolio Register'!$DH$5:$DH$304,0))),"")</f>
        <v/>
      </c>
      <c r="F51" s="147" t="str">
        <f>IFERROR(IF(INDEX('Portfolio Register'!$J$5:$J$304,MATCH($B51,'Portfolio Register'!$DH$5:$DH$304,0))="","",INDEX('Portfolio Register'!$J$5:$J$304,MATCH($B51,'Portfolio Register'!$DH$5:$DH$304,0))),"")</f>
        <v/>
      </c>
      <c r="G51" s="146" t="str">
        <f>IFERROR(IF(INDEX('Portfolio Register'!$CX$5:$CX$304,MATCH($B51,'Portfolio Register'!$DH$5:$DH$304,0))="","",INDEX('Portfolio Register'!$CX$5:$CX$304,MATCH($B51,'Portfolio Register'!$DH$5:$DH$304,0))),"")</f>
        <v/>
      </c>
      <c r="H51" s="148" t="str">
        <f>IFERROR(IF(INDEX('Portfolio Register'!$CY$5:$CY$304,MATCH($B51,'Portfolio Register'!$DH$5:$DH$304,0))="","",INDEX('Portfolio Register'!$CY$5:$CY$304,MATCH($B51,'Portfolio Register'!$DH$5:$DH$304,0))),"")</f>
        <v/>
      </c>
      <c r="I51" s="146" t="str">
        <f>IFERROR(IF(INDEX('Portfolio Register'!$CZ$5:$CZ$304,MATCH($B51,'Portfolio Register'!$DH$5:$DH$304,0))="","",INDEX('Portfolio Register'!$CZ$5:$CZ$304,MATCH($B51,'Portfolio Register'!$DH$5:$DH$304,0))),"")</f>
        <v/>
      </c>
      <c r="J51" s="146" t="str">
        <f>IFERROR(IF(INDEX('Portfolio Register'!$DA$5:$DA$304,MATCH($B51,'Portfolio Register'!$DH$5:$DH$304,0))="","",INDEX('Portfolio Register'!$DA$5:$DA$304,MATCH($B51,'Portfolio Register'!$DH$5:$DH$304,0))),"")</f>
        <v/>
      </c>
      <c r="K51" s="146" t="str">
        <f>IFERROR(IF(INDEX('Portfolio Register'!$DB$5:$DB$304,MATCH($B51,'Portfolio Register'!$DH$5:$DH$304,0))="","",INDEX('Portfolio Register'!$DB$5:$DB$304,MATCH($B51,'Portfolio Register'!$DH$5:$DH$304,0))),"")</f>
        <v/>
      </c>
      <c r="L51" s="146" t="str">
        <f>IFERROR(IF(INDEX('Portfolio Register'!$DC$5:$DC$304,MATCH($B51,'Portfolio Register'!$DH$5:$DH$304,0))="","",INDEX('Portfolio Register'!$DC$5:$DC$304,MATCH($B51,'Portfolio Register'!$DH$5:$DH$304,0))),"")</f>
        <v/>
      </c>
      <c r="M51" s="149" t="str">
        <f>IFERROR(IF(INDEX('Portfolio Register'!$DD$5:$DD$304,MATCH($B51,'Portfolio Register'!$DH$5:$DH$304,0))="","",INDEX('Portfolio Register'!$DD$5:$DD$304,MATCH($B51,'Portfolio Register'!$DH$5:$DH$304,0))),"")</f>
        <v/>
      </c>
      <c r="N51" s="150" t="str">
        <f ca="1">IF($C51="","",IF($M51&lt;&gt;"",$M51-IFERROR(INDEX('Portfolio Register'!$C$5:$C$304,MATCH($B51,'Portfolio Register'!$DH$5:$DH$304,0)),$M51),TODAY()-IFERROR(INDEX('Portfolio Register'!$C$5:$C$304,MATCH($B51,'Portfolio Register'!$DH$5:$DH$304,0)),TODAY())))</f>
        <v/>
      </c>
      <c r="O51" s="151" t="str">
        <f t="shared" si="0"/>
        <v/>
      </c>
      <c r="P51" s="146" t="str">
        <f>IFERROR(IF(INDEX('Portfolio Register'!$DG$5:$DG$304,MATCH($B51,'Portfolio Register'!$DH$5:$DH$304,0))="","",INDEX('Portfolio Register'!$DG$5:$DG$304,MATCH($B51,'Portfolio Register'!$DH$5:$DH$304,0))),"")</f>
        <v/>
      </c>
      <c r="Q51" s="146" t="str">
        <f>IFERROR(IF(INDEX('Portfolio Register'!$DF$5:$DF$304,MATCH($B51,'Portfolio Register'!$DH$5:$DH$304,0))="","",INDEX('Portfolio Register'!$DF$5:$DF$304,MATCH($B51,'Portfolio Register'!$DH$5:$DH$304,0))),"")</f>
        <v/>
      </c>
    </row>
    <row r="52" spans="2:17" x14ac:dyDescent="0.25">
      <c r="B52" s="56">
        <v>25</v>
      </c>
      <c r="C52" s="140" t="str">
        <f>IFERROR(IF(INDEX('Portfolio Register'!$A$5:$A$304,MATCH($B52,'Portfolio Register'!$DH$5:$DH$304,0))="","",INDEX('Portfolio Register'!$A$5:$A$304,MATCH($B52,'Portfolio Register'!$DH$5:$DH$304,0))),"")</f>
        <v/>
      </c>
      <c r="D52" s="140" t="str">
        <f>IFERROR(IF(INDEX('Portfolio Register'!$B$5:$B$304,MATCH($B52,'Portfolio Register'!$DH$5:$DH$304,0))="","",INDEX('Portfolio Register'!$B$5:$B$304,MATCH($B52,'Portfolio Register'!$DH$5:$DH$304,0))),"")</f>
        <v/>
      </c>
      <c r="E52" s="140" t="str">
        <f>IFERROR(IF(INDEX('Portfolio Register'!$I$5:$I$304,MATCH($B52,'Portfolio Register'!$DH$5:$DH$304,0))="","",INDEX('Portfolio Register'!$I$5:$I$304,MATCH($B52,'Portfolio Register'!$DH$5:$DH$304,0))),"")</f>
        <v/>
      </c>
      <c r="F52" s="141" t="str">
        <f>IFERROR(IF(INDEX('Portfolio Register'!$J$5:$J$304,MATCH($B52,'Portfolio Register'!$DH$5:$DH$304,0))="","",INDEX('Portfolio Register'!$J$5:$J$304,MATCH($B52,'Portfolio Register'!$DH$5:$DH$304,0))),"")</f>
        <v/>
      </c>
      <c r="G52" s="140" t="str">
        <f>IFERROR(IF(INDEX('Portfolio Register'!$CX$5:$CX$304,MATCH($B52,'Portfolio Register'!$DH$5:$DH$304,0))="","",INDEX('Portfolio Register'!$CX$5:$CX$304,MATCH($B52,'Portfolio Register'!$DH$5:$DH$304,0))),"")</f>
        <v/>
      </c>
      <c r="H52" s="142" t="str">
        <f>IFERROR(IF(INDEX('Portfolio Register'!$CY$5:$CY$304,MATCH($B52,'Portfolio Register'!$DH$5:$DH$304,0))="","",INDEX('Portfolio Register'!$CY$5:$CY$304,MATCH($B52,'Portfolio Register'!$DH$5:$DH$304,0))),"")</f>
        <v/>
      </c>
      <c r="I52" s="140" t="str">
        <f>IFERROR(IF(INDEX('Portfolio Register'!$CZ$5:$CZ$304,MATCH($B52,'Portfolio Register'!$DH$5:$DH$304,0))="","",INDEX('Portfolio Register'!$CZ$5:$CZ$304,MATCH($B52,'Portfolio Register'!$DH$5:$DH$304,0))),"")</f>
        <v/>
      </c>
      <c r="J52" s="140" t="str">
        <f>IFERROR(IF(INDEX('Portfolio Register'!$DA$5:$DA$304,MATCH($B52,'Portfolio Register'!$DH$5:$DH$304,0))="","",INDEX('Portfolio Register'!$DA$5:$DA$304,MATCH($B52,'Portfolio Register'!$DH$5:$DH$304,0))),"")</f>
        <v/>
      </c>
      <c r="K52" s="140" t="str">
        <f>IFERROR(IF(INDEX('Portfolio Register'!$DB$5:$DB$304,MATCH($B52,'Portfolio Register'!$DH$5:$DH$304,0))="","",INDEX('Portfolio Register'!$DB$5:$DB$304,MATCH($B52,'Portfolio Register'!$DH$5:$DH$304,0))),"")</f>
        <v/>
      </c>
      <c r="L52" s="140" t="str">
        <f>IFERROR(IF(INDEX('Portfolio Register'!$DC$5:$DC$304,MATCH($B52,'Portfolio Register'!$DH$5:$DH$304,0))="","",INDEX('Portfolio Register'!$DC$5:$DC$304,MATCH($B52,'Portfolio Register'!$DH$5:$DH$304,0))),"")</f>
        <v/>
      </c>
      <c r="M52" s="143" t="str">
        <f>IFERROR(IF(INDEX('Portfolio Register'!$DD$5:$DD$304,MATCH($B52,'Portfolio Register'!$DH$5:$DH$304,0))="","",INDEX('Portfolio Register'!$DD$5:$DD$304,MATCH($B52,'Portfolio Register'!$DH$5:$DH$304,0))),"")</f>
        <v/>
      </c>
      <c r="N52" s="144" t="str">
        <f ca="1">IF($C52="","",IF($M52&lt;&gt;"",$M52-IFERROR(INDEX('Portfolio Register'!$C$5:$C$304,MATCH($B52,'Portfolio Register'!$DH$5:$DH$304,0)),$M52),TODAY()-IFERROR(INDEX('Portfolio Register'!$C$5:$C$304,MATCH($B52,'Portfolio Register'!$DH$5:$DH$304,0)),TODAY())))</f>
        <v/>
      </c>
      <c r="O52" s="145" t="str">
        <f t="shared" si="0"/>
        <v/>
      </c>
      <c r="P52" s="140" t="str">
        <f>IFERROR(IF(INDEX('Portfolio Register'!$DG$5:$DG$304,MATCH($B52,'Portfolio Register'!$DH$5:$DH$304,0))="","",INDEX('Portfolio Register'!$DG$5:$DG$304,MATCH($B52,'Portfolio Register'!$DH$5:$DH$304,0))),"")</f>
        <v/>
      </c>
      <c r="Q52" s="140" t="str">
        <f>IFERROR(IF(INDEX('Portfolio Register'!$DF$5:$DF$304,MATCH($B52,'Portfolio Register'!$DH$5:$DH$304,0))="","",INDEX('Portfolio Register'!$DF$5:$DF$304,MATCH($B52,'Portfolio Register'!$DH$5:$DH$304,0))),"")</f>
        <v/>
      </c>
    </row>
    <row r="53" spans="2:17" x14ac:dyDescent="0.25">
      <c r="B53" s="63">
        <v>26</v>
      </c>
      <c r="C53" s="146" t="str">
        <f>IFERROR(IF(INDEX('Portfolio Register'!$A$5:$A$304,MATCH($B53,'Portfolio Register'!$DH$5:$DH$304,0))="","",INDEX('Portfolio Register'!$A$5:$A$304,MATCH($B53,'Portfolio Register'!$DH$5:$DH$304,0))),"")</f>
        <v/>
      </c>
      <c r="D53" s="146" t="str">
        <f>IFERROR(IF(INDEX('Portfolio Register'!$B$5:$B$304,MATCH($B53,'Portfolio Register'!$DH$5:$DH$304,0))="","",INDEX('Portfolio Register'!$B$5:$B$304,MATCH($B53,'Portfolio Register'!$DH$5:$DH$304,0))),"")</f>
        <v/>
      </c>
      <c r="E53" s="146" t="str">
        <f>IFERROR(IF(INDEX('Portfolio Register'!$I$5:$I$304,MATCH($B53,'Portfolio Register'!$DH$5:$DH$304,0))="","",INDEX('Portfolio Register'!$I$5:$I$304,MATCH($B53,'Portfolio Register'!$DH$5:$DH$304,0))),"")</f>
        <v/>
      </c>
      <c r="F53" s="147" t="str">
        <f>IFERROR(IF(INDEX('Portfolio Register'!$J$5:$J$304,MATCH($B53,'Portfolio Register'!$DH$5:$DH$304,0))="","",INDEX('Portfolio Register'!$J$5:$J$304,MATCH($B53,'Portfolio Register'!$DH$5:$DH$304,0))),"")</f>
        <v/>
      </c>
      <c r="G53" s="146" t="str">
        <f>IFERROR(IF(INDEX('Portfolio Register'!$CX$5:$CX$304,MATCH($B53,'Portfolio Register'!$DH$5:$DH$304,0))="","",INDEX('Portfolio Register'!$CX$5:$CX$304,MATCH($B53,'Portfolio Register'!$DH$5:$DH$304,0))),"")</f>
        <v/>
      </c>
      <c r="H53" s="148" t="str">
        <f>IFERROR(IF(INDEX('Portfolio Register'!$CY$5:$CY$304,MATCH($B53,'Portfolio Register'!$DH$5:$DH$304,0))="","",INDEX('Portfolio Register'!$CY$5:$CY$304,MATCH($B53,'Portfolio Register'!$DH$5:$DH$304,0))),"")</f>
        <v/>
      </c>
      <c r="I53" s="146" t="str">
        <f>IFERROR(IF(INDEX('Portfolio Register'!$CZ$5:$CZ$304,MATCH($B53,'Portfolio Register'!$DH$5:$DH$304,0))="","",INDEX('Portfolio Register'!$CZ$5:$CZ$304,MATCH($B53,'Portfolio Register'!$DH$5:$DH$304,0))),"")</f>
        <v/>
      </c>
      <c r="J53" s="146" t="str">
        <f>IFERROR(IF(INDEX('Portfolio Register'!$DA$5:$DA$304,MATCH($B53,'Portfolio Register'!$DH$5:$DH$304,0))="","",INDEX('Portfolio Register'!$DA$5:$DA$304,MATCH($B53,'Portfolio Register'!$DH$5:$DH$304,0))),"")</f>
        <v/>
      </c>
      <c r="K53" s="146" t="str">
        <f>IFERROR(IF(INDEX('Portfolio Register'!$DB$5:$DB$304,MATCH($B53,'Portfolio Register'!$DH$5:$DH$304,0))="","",INDEX('Portfolio Register'!$DB$5:$DB$304,MATCH($B53,'Portfolio Register'!$DH$5:$DH$304,0))),"")</f>
        <v/>
      </c>
      <c r="L53" s="146" t="str">
        <f>IFERROR(IF(INDEX('Portfolio Register'!$DC$5:$DC$304,MATCH($B53,'Portfolio Register'!$DH$5:$DH$304,0))="","",INDEX('Portfolio Register'!$DC$5:$DC$304,MATCH($B53,'Portfolio Register'!$DH$5:$DH$304,0))),"")</f>
        <v/>
      </c>
      <c r="M53" s="149" t="str">
        <f>IFERROR(IF(INDEX('Portfolio Register'!$DD$5:$DD$304,MATCH($B53,'Portfolio Register'!$DH$5:$DH$304,0))="","",INDEX('Portfolio Register'!$DD$5:$DD$304,MATCH($B53,'Portfolio Register'!$DH$5:$DH$304,0))),"")</f>
        <v/>
      </c>
      <c r="N53" s="150" t="str">
        <f ca="1">IF($C53="","",IF($M53&lt;&gt;"",$M53-IFERROR(INDEX('Portfolio Register'!$C$5:$C$304,MATCH($B53,'Portfolio Register'!$DH$5:$DH$304,0)),$M53),TODAY()-IFERROR(INDEX('Portfolio Register'!$C$5:$C$304,MATCH($B53,'Portfolio Register'!$DH$5:$DH$304,0)),TODAY())))</f>
        <v/>
      </c>
      <c r="O53" s="151" t="str">
        <f t="shared" si="0"/>
        <v/>
      </c>
      <c r="P53" s="146" t="str">
        <f>IFERROR(IF(INDEX('Portfolio Register'!$DG$5:$DG$304,MATCH($B53,'Portfolio Register'!$DH$5:$DH$304,0))="","",INDEX('Portfolio Register'!$DG$5:$DG$304,MATCH($B53,'Portfolio Register'!$DH$5:$DH$304,0))),"")</f>
        <v/>
      </c>
      <c r="Q53" s="146" t="str">
        <f>IFERROR(IF(INDEX('Portfolio Register'!$DF$5:$DF$304,MATCH($B53,'Portfolio Register'!$DH$5:$DH$304,0))="","",INDEX('Portfolio Register'!$DF$5:$DF$304,MATCH($B53,'Portfolio Register'!$DH$5:$DH$304,0))),"")</f>
        <v/>
      </c>
    </row>
    <row r="54" spans="2:17" x14ac:dyDescent="0.25">
      <c r="B54" s="56">
        <v>27</v>
      </c>
      <c r="C54" s="140" t="str">
        <f>IFERROR(IF(INDEX('Portfolio Register'!$A$5:$A$304,MATCH($B54,'Portfolio Register'!$DH$5:$DH$304,0))="","",INDEX('Portfolio Register'!$A$5:$A$304,MATCH($B54,'Portfolio Register'!$DH$5:$DH$304,0))),"")</f>
        <v/>
      </c>
      <c r="D54" s="140" t="str">
        <f>IFERROR(IF(INDEX('Portfolio Register'!$B$5:$B$304,MATCH($B54,'Portfolio Register'!$DH$5:$DH$304,0))="","",INDEX('Portfolio Register'!$B$5:$B$304,MATCH($B54,'Portfolio Register'!$DH$5:$DH$304,0))),"")</f>
        <v/>
      </c>
      <c r="E54" s="140" t="str">
        <f>IFERROR(IF(INDEX('Portfolio Register'!$I$5:$I$304,MATCH($B54,'Portfolio Register'!$DH$5:$DH$304,0))="","",INDEX('Portfolio Register'!$I$5:$I$304,MATCH($B54,'Portfolio Register'!$DH$5:$DH$304,0))),"")</f>
        <v/>
      </c>
      <c r="F54" s="141" t="str">
        <f>IFERROR(IF(INDEX('Portfolio Register'!$J$5:$J$304,MATCH($B54,'Portfolio Register'!$DH$5:$DH$304,0))="","",INDEX('Portfolio Register'!$J$5:$J$304,MATCH($B54,'Portfolio Register'!$DH$5:$DH$304,0))),"")</f>
        <v/>
      </c>
      <c r="G54" s="140" t="str">
        <f>IFERROR(IF(INDEX('Portfolio Register'!$CX$5:$CX$304,MATCH($B54,'Portfolio Register'!$DH$5:$DH$304,0))="","",INDEX('Portfolio Register'!$CX$5:$CX$304,MATCH($B54,'Portfolio Register'!$DH$5:$DH$304,0))),"")</f>
        <v/>
      </c>
      <c r="H54" s="142" t="str">
        <f>IFERROR(IF(INDEX('Portfolio Register'!$CY$5:$CY$304,MATCH($B54,'Portfolio Register'!$DH$5:$DH$304,0))="","",INDEX('Portfolio Register'!$CY$5:$CY$304,MATCH($B54,'Portfolio Register'!$DH$5:$DH$304,0))),"")</f>
        <v/>
      </c>
      <c r="I54" s="140" t="str">
        <f>IFERROR(IF(INDEX('Portfolio Register'!$CZ$5:$CZ$304,MATCH($B54,'Portfolio Register'!$DH$5:$DH$304,0))="","",INDEX('Portfolio Register'!$CZ$5:$CZ$304,MATCH($B54,'Portfolio Register'!$DH$5:$DH$304,0))),"")</f>
        <v/>
      </c>
      <c r="J54" s="140" t="str">
        <f>IFERROR(IF(INDEX('Portfolio Register'!$DA$5:$DA$304,MATCH($B54,'Portfolio Register'!$DH$5:$DH$304,0))="","",INDEX('Portfolio Register'!$DA$5:$DA$304,MATCH($B54,'Portfolio Register'!$DH$5:$DH$304,0))),"")</f>
        <v/>
      </c>
      <c r="K54" s="140" t="str">
        <f>IFERROR(IF(INDEX('Portfolio Register'!$DB$5:$DB$304,MATCH($B54,'Portfolio Register'!$DH$5:$DH$304,0))="","",INDEX('Portfolio Register'!$DB$5:$DB$304,MATCH($B54,'Portfolio Register'!$DH$5:$DH$304,0))),"")</f>
        <v/>
      </c>
      <c r="L54" s="140" t="str">
        <f>IFERROR(IF(INDEX('Portfolio Register'!$DC$5:$DC$304,MATCH($B54,'Portfolio Register'!$DH$5:$DH$304,0))="","",INDEX('Portfolio Register'!$DC$5:$DC$304,MATCH($B54,'Portfolio Register'!$DH$5:$DH$304,0))),"")</f>
        <v/>
      </c>
      <c r="M54" s="143" t="str">
        <f>IFERROR(IF(INDEX('Portfolio Register'!$DD$5:$DD$304,MATCH($B54,'Portfolio Register'!$DH$5:$DH$304,0))="","",INDEX('Portfolio Register'!$DD$5:$DD$304,MATCH($B54,'Portfolio Register'!$DH$5:$DH$304,0))),"")</f>
        <v/>
      </c>
      <c r="N54" s="144" t="str">
        <f ca="1">IF($C54="","",IF($M54&lt;&gt;"",$M54-IFERROR(INDEX('Portfolio Register'!$C$5:$C$304,MATCH($B54,'Portfolio Register'!$DH$5:$DH$304,0)),$M54),TODAY()-IFERROR(INDEX('Portfolio Register'!$C$5:$C$304,MATCH($B54,'Portfolio Register'!$DH$5:$DH$304,0)),TODAY())))</f>
        <v/>
      </c>
      <c r="O54" s="145" t="str">
        <f t="shared" si="0"/>
        <v/>
      </c>
      <c r="P54" s="140" t="str">
        <f>IFERROR(IF(INDEX('Portfolio Register'!$DG$5:$DG$304,MATCH($B54,'Portfolio Register'!$DH$5:$DH$304,0))="","",INDEX('Portfolio Register'!$DG$5:$DG$304,MATCH($B54,'Portfolio Register'!$DH$5:$DH$304,0))),"")</f>
        <v/>
      </c>
      <c r="Q54" s="140" t="str">
        <f>IFERROR(IF(INDEX('Portfolio Register'!$DF$5:$DF$304,MATCH($B54,'Portfolio Register'!$DH$5:$DH$304,0))="","",INDEX('Portfolio Register'!$DF$5:$DF$304,MATCH($B54,'Portfolio Register'!$DH$5:$DH$304,0))),"")</f>
        <v/>
      </c>
    </row>
    <row r="55" spans="2:17" x14ac:dyDescent="0.25">
      <c r="B55" s="63">
        <v>28</v>
      </c>
      <c r="C55" s="146" t="str">
        <f>IFERROR(IF(INDEX('Portfolio Register'!$A$5:$A$304,MATCH($B55,'Portfolio Register'!$DH$5:$DH$304,0))="","",INDEX('Portfolio Register'!$A$5:$A$304,MATCH($B55,'Portfolio Register'!$DH$5:$DH$304,0))),"")</f>
        <v/>
      </c>
      <c r="D55" s="146" t="str">
        <f>IFERROR(IF(INDEX('Portfolio Register'!$B$5:$B$304,MATCH($B55,'Portfolio Register'!$DH$5:$DH$304,0))="","",INDEX('Portfolio Register'!$B$5:$B$304,MATCH($B55,'Portfolio Register'!$DH$5:$DH$304,0))),"")</f>
        <v/>
      </c>
      <c r="E55" s="146" t="str">
        <f>IFERROR(IF(INDEX('Portfolio Register'!$I$5:$I$304,MATCH($B55,'Portfolio Register'!$DH$5:$DH$304,0))="","",INDEX('Portfolio Register'!$I$5:$I$304,MATCH($B55,'Portfolio Register'!$DH$5:$DH$304,0))),"")</f>
        <v/>
      </c>
      <c r="F55" s="147" t="str">
        <f>IFERROR(IF(INDEX('Portfolio Register'!$J$5:$J$304,MATCH($B55,'Portfolio Register'!$DH$5:$DH$304,0))="","",INDEX('Portfolio Register'!$J$5:$J$304,MATCH($B55,'Portfolio Register'!$DH$5:$DH$304,0))),"")</f>
        <v/>
      </c>
      <c r="G55" s="146" t="str">
        <f>IFERROR(IF(INDEX('Portfolio Register'!$CX$5:$CX$304,MATCH($B55,'Portfolio Register'!$DH$5:$DH$304,0))="","",INDEX('Portfolio Register'!$CX$5:$CX$304,MATCH($B55,'Portfolio Register'!$DH$5:$DH$304,0))),"")</f>
        <v/>
      </c>
      <c r="H55" s="148" t="str">
        <f>IFERROR(IF(INDEX('Portfolio Register'!$CY$5:$CY$304,MATCH($B55,'Portfolio Register'!$DH$5:$DH$304,0))="","",INDEX('Portfolio Register'!$CY$5:$CY$304,MATCH($B55,'Portfolio Register'!$DH$5:$DH$304,0))),"")</f>
        <v/>
      </c>
      <c r="I55" s="146" t="str">
        <f>IFERROR(IF(INDEX('Portfolio Register'!$CZ$5:$CZ$304,MATCH($B55,'Portfolio Register'!$DH$5:$DH$304,0))="","",INDEX('Portfolio Register'!$CZ$5:$CZ$304,MATCH($B55,'Portfolio Register'!$DH$5:$DH$304,0))),"")</f>
        <v/>
      </c>
      <c r="J55" s="146" t="str">
        <f>IFERROR(IF(INDEX('Portfolio Register'!$DA$5:$DA$304,MATCH($B55,'Portfolio Register'!$DH$5:$DH$304,0))="","",INDEX('Portfolio Register'!$DA$5:$DA$304,MATCH($B55,'Portfolio Register'!$DH$5:$DH$304,0))),"")</f>
        <v/>
      </c>
      <c r="K55" s="146" t="str">
        <f>IFERROR(IF(INDEX('Portfolio Register'!$DB$5:$DB$304,MATCH($B55,'Portfolio Register'!$DH$5:$DH$304,0))="","",INDEX('Portfolio Register'!$DB$5:$DB$304,MATCH($B55,'Portfolio Register'!$DH$5:$DH$304,0))),"")</f>
        <v/>
      </c>
      <c r="L55" s="146" t="str">
        <f>IFERROR(IF(INDEX('Portfolio Register'!$DC$5:$DC$304,MATCH($B55,'Portfolio Register'!$DH$5:$DH$304,0))="","",INDEX('Portfolio Register'!$DC$5:$DC$304,MATCH($B55,'Portfolio Register'!$DH$5:$DH$304,0))),"")</f>
        <v/>
      </c>
      <c r="M55" s="149" t="str">
        <f>IFERROR(IF(INDEX('Portfolio Register'!$DD$5:$DD$304,MATCH($B55,'Portfolio Register'!$DH$5:$DH$304,0))="","",INDEX('Portfolio Register'!$DD$5:$DD$304,MATCH($B55,'Portfolio Register'!$DH$5:$DH$304,0))),"")</f>
        <v/>
      </c>
      <c r="N55" s="150" t="str">
        <f ca="1">IF($C55="","",IF($M55&lt;&gt;"",$M55-IFERROR(INDEX('Portfolio Register'!$C$5:$C$304,MATCH($B55,'Portfolio Register'!$DH$5:$DH$304,0)),$M55),TODAY()-IFERROR(INDEX('Portfolio Register'!$C$5:$C$304,MATCH($B55,'Portfolio Register'!$DH$5:$DH$304,0)),TODAY())))</f>
        <v/>
      </c>
      <c r="O55" s="151" t="str">
        <f t="shared" si="0"/>
        <v/>
      </c>
      <c r="P55" s="146" t="str">
        <f>IFERROR(IF(INDEX('Portfolio Register'!$DG$5:$DG$304,MATCH($B55,'Portfolio Register'!$DH$5:$DH$304,0))="","",INDEX('Portfolio Register'!$DG$5:$DG$304,MATCH($B55,'Portfolio Register'!$DH$5:$DH$304,0))),"")</f>
        <v/>
      </c>
      <c r="Q55" s="146" t="str">
        <f>IFERROR(IF(INDEX('Portfolio Register'!$DF$5:$DF$304,MATCH($B55,'Portfolio Register'!$DH$5:$DH$304,0))="","",INDEX('Portfolio Register'!$DF$5:$DF$304,MATCH($B55,'Portfolio Register'!$DH$5:$DH$304,0))),"")</f>
        <v/>
      </c>
    </row>
    <row r="56" spans="2:17" x14ac:dyDescent="0.25">
      <c r="B56" s="56">
        <v>29</v>
      </c>
      <c r="C56" s="140" t="str">
        <f>IFERROR(IF(INDEX('Portfolio Register'!$A$5:$A$304,MATCH($B56,'Portfolio Register'!$DH$5:$DH$304,0))="","",INDEX('Portfolio Register'!$A$5:$A$304,MATCH($B56,'Portfolio Register'!$DH$5:$DH$304,0))),"")</f>
        <v/>
      </c>
      <c r="D56" s="140" t="str">
        <f>IFERROR(IF(INDEX('Portfolio Register'!$B$5:$B$304,MATCH($B56,'Portfolio Register'!$DH$5:$DH$304,0))="","",INDEX('Portfolio Register'!$B$5:$B$304,MATCH($B56,'Portfolio Register'!$DH$5:$DH$304,0))),"")</f>
        <v/>
      </c>
      <c r="E56" s="140" t="str">
        <f>IFERROR(IF(INDEX('Portfolio Register'!$I$5:$I$304,MATCH($B56,'Portfolio Register'!$DH$5:$DH$304,0))="","",INDEX('Portfolio Register'!$I$5:$I$304,MATCH($B56,'Portfolio Register'!$DH$5:$DH$304,0))),"")</f>
        <v/>
      </c>
      <c r="F56" s="141" t="str">
        <f>IFERROR(IF(INDEX('Portfolio Register'!$J$5:$J$304,MATCH($B56,'Portfolio Register'!$DH$5:$DH$304,0))="","",INDEX('Portfolio Register'!$J$5:$J$304,MATCH($B56,'Portfolio Register'!$DH$5:$DH$304,0))),"")</f>
        <v/>
      </c>
      <c r="G56" s="140" t="str">
        <f>IFERROR(IF(INDEX('Portfolio Register'!$CX$5:$CX$304,MATCH($B56,'Portfolio Register'!$DH$5:$DH$304,0))="","",INDEX('Portfolio Register'!$CX$5:$CX$304,MATCH($B56,'Portfolio Register'!$DH$5:$DH$304,0))),"")</f>
        <v/>
      </c>
      <c r="H56" s="142" t="str">
        <f>IFERROR(IF(INDEX('Portfolio Register'!$CY$5:$CY$304,MATCH($B56,'Portfolio Register'!$DH$5:$DH$304,0))="","",INDEX('Portfolio Register'!$CY$5:$CY$304,MATCH($B56,'Portfolio Register'!$DH$5:$DH$304,0))),"")</f>
        <v/>
      </c>
      <c r="I56" s="140" t="str">
        <f>IFERROR(IF(INDEX('Portfolio Register'!$CZ$5:$CZ$304,MATCH($B56,'Portfolio Register'!$DH$5:$DH$304,0))="","",INDEX('Portfolio Register'!$CZ$5:$CZ$304,MATCH($B56,'Portfolio Register'!$DH$5:$DH$304,0))),"")</f>
        <v/>
      </c>
      <c r="J56" s="140" t="str">
        <f>IFERROR(IF(INDEX('Portfolio Register'!$DA$5:$DA$304,MATCH($B56,'Portfolio Register'!$DH$5:$DH$304,0))="","",INDEX('Portfolio Register'!$DA$5:$DA$304,MATCH($B56,'Portfolio Register'!$DH$5:$DH$304,0))),"")</f>
        <v/>
      </c>
      <c r="K56" s="140" t="str">
        <f>IFERROR(IF(INDEX('Portfolio Register'!$DB$5:$DB$304,MATCH($B56,'Portfolio Register'!$DH$5:$DH$304,0))="","",INDEX('Portfolio Register'!$DB$5:$DB$304,MATCH($B56,'Portfolio Register'!$DH$5:$DH$304,0))),"")</f>
        <v/>
      </c>
      <c r="L56" s="140" t="str">
        <f>IFERROR(IF(INDEX('Portfolio Register'!$DC$5:$DC$304,MATCH($B56,'Portfolio Register'!$DH$5:$DH$304,0))="","",INDEX('Portfolio Register'!$DC$5:$DC$304,MATCH($B56,'Portfolio Register'!$DH$5:$DH$304,0))),"")</f>
        <v/>
      </c>
      <c r="M56" s="143" t="str">
        <f>IFERROR(IF(INDEX('Portfolio Register'!$DD$5:$DD$304,MATCH($B56,'Portfolio Register'!$DH$5:$DH$304,0))="","",INDEX('Portfolio Register'!$DD$5:$DD$304,MATCH($B56,'Portfolio Register'!$DH$5:$DH$304,0))),"")</f>
        <v/>
      </c>
      <c r="N56" s="144" t="str">
        <f ca="1">IF($C56="","",IF($M56&lt;&gt;"",$M56-IFERROR(INDEX('Portfolio Register'!$C$5:$C$304,MATCH($B56,'Portfolio Register'!$DH$5:$DH$304,0)),$M56),TODAY()-IFERROR(INDEX('Portfolio Register'!$C$5:$C$304,MATCH($B56,'Portfolio Register'!$DH$5:$DH$304,0)),TODAY())))</f>
        <v/>
      </c>
      <c r="O56" s="145" t="str">
        <f t="shared" si="0"/>
        <v/>
      </c>
      <c r="P56" s="140" t="str">
        <f>IFERROR(IF(INDEX('Portfolio Register'!$DG$5:$DG$304,MATCH($B56,'Portfolio Register'!$DH$5:$DH$304,0))="","",INDEX('Portfolio Register'!$DG$5:$DG$304,MATCH($B56,'Portfolio Register'!$DH$5:$DH$304,0))),"")</f>
        <v/>
      </c>
      <c r="Q56" s="140" t="str">
        <f>IFERROR(IF(INDEX('Portfolio Register'!$DF$5:$DF$304,MATCH($B56,'Portfolio Register'!$DH$5:$DH$304,0))="","",INDEX('Portfolio Register'!$DF$5:$DF$304,MATCH($B56,'Portfolio Register'!$DH$5:$DH$304,0))),"")</f>
        <v/>
      </c>
    </row>
    <row r="57" spans="2:17" x14ac:dyDescent="0.25">
      <c r="B57" s="63">
        <v>30</v>
      </c>
      <c r="C57" s="146" t="str">
        <f>IFERROR(IF(INDEX('Portfolio Register'!$A$5:$A$304,MATCH($B57,'Portfolio Register'!$DH$5:$DH$304,0))="","",INDEX('Portfolio Register'!$A$5:$A$304,MATCH($B57,'Portfolio Register'!$DH$5:$DH$304,0))),"")</f>
        <v/>
      </c>
      <c r="D57" s="146" t="str">
        <f>IFERROR(IF(INDEX('Portfolio Register'!$B$5:$B$304,MATCH($B57,'Portfolio Register'!$DH$5:$DH$304,0))="","",INDEX('Portfolio Register'!$B$5:$B$304,MATCH($B57,'Portfolio Register'!$DH$5:$DH$304,0))),"")</f>
        <v/>
      </c>
      <c r="E57" s="146" t="str">
        <f>IFERROR(IF(INDEX('Portfolio Register'!$I$5:$I$304,MATCH($B57,'Portfolio Register'!$DH$5:$DH$304,0))="","",INDEX('Portfolio Register'!$I$5:$I$304,MATCH($B57,'Portfolio Register'!$DH$5:$DH$304,0))),"")</f>
        <v/>
      </c>
      <c r="F57" s="147" t="str">
        <f>IFERROR(IF(INDEX('Portfolio Register'!$J$5:$J$304,MATCH($B57,'Portfolio Register'!$DH$5:$DH$304,0))="","",INDEX('Portfolio Register'!$J$5:$J$304,MATCH($B57,'Portfolio Register'!$DH$5:$DH$304,0))),"")</f>
        <v/>
      </c>
      <c r="G57" s="146" t="str">
        <f>IFERROR(IF(INDEX('Portfolio Register'!$CX$5:$CX$304,MATCH($B57,'Portfolio Register'!$DH$5:$DH$304,0))="","",INDEX('Portfolio Register'!$CX$5:$CX$304,MATCH($B57,'Portfolio Register'!$DH$5:$DH$304,0))),"")</f>
        <v/>
      </c>
      <c r="H57" s="148" t="str">
        <f>IFERROR(IF(INDEX('Portfolio Register'!$CY$5:$CY$304,MATCH($B57,'Portfolio Register'!$DH$5:$DH$304,0))="","",INDEX('Portfolio Register'!$CY$5:$CY$304,MATCH($B57,'Portfolio Register'!$DH$5:$DH$304,0))),"")</f>
        <v/>
      </c>
      <c r="I57" s="146" t="str">
        <f>IFERROR(IF(INDEX('Portfolio Register'!$CZ$5:$CZ$304,MATCH($B57,'Portfolio Register'!$DH$5:$DH$304,0))="","",INDEX('Portfolio Register'!$CZ$5:$CZ$304,MATCH($B57,'Portfolio Register'!$DH$5:$DH$304,0))),"")</f>
        <v/>
      </c>
      <c r="J57" s="146" t="str">
        <f>IFERROR(IF(INDEX('Portfolio Register'!$DA$5:$DA$304,MATCH($B57,'Portfolio Register'!$DH$5:$DH$304,0))="","",INDEX('Portfolio Register'!$DA$5:$DA$304,MATCH($B57,'Portfolio Register'!$DH$5:$DH$304,0))),"")</f>
        <v/>
      </c>
      <c r="K57" s="146" t="str">
        <f>IFERROR(IF(INDEX('Portfolio Register'!$DB$5:$DB$304,MATCH($B57,'Portfolio Register'!$DH$5:$DH$304,0))="","",INDEX('Portfolio Register'!$DB$5:$DB$304,MATCH($B57,'Portfolio Register'!$DH$5:$DH$304,0))),"")</f>
        <v/>
      </c>
      <c r="L57" s="146" t="str">
        <f>IFERROR(IF(INDEX('Portfolio Register'!$DC$5:$DC$304,MATCH($B57,'Portfolio Register'!$DH$5:$DH$304,0))="","",INDEX('Portfolio Register'!$DC$5:$DC$304,MATCH($B57,'Portfolio Register'!$DH$5:$DH$304,0))),"")</f>
        <v/>
      </c>
      <c r="M57" s="149" t="str">
        <f>IFERROR(IF(INDEX('Portfolio Register'!$DD$5:$DD$304,MATCH($B57,'Portfolio Register'!$DH$5:$DH$304,0))="","",INDEX('Portfolio Register'!$DD$5:$DD$304,MATCH($B57,'Portfolio Register'!$DH$5:$DH$304,0))),"")</f>
        <v/>
      </c>
      <c r="N57" s="150" t="str">
        <f ca="1">IF($C57="","",IF($M57&lt;&gt;"",$M57-IFERROR(INDEX('Portfolio Register'!$C$5:$C$304,MATCH($B57,'Portfolio Register'!$DH$5:$DH$304,0)),$M57),TODAY()-IFERROR(INDEX('Portfolio Register'!$C$5:$C$304,MATCH($B57,'Portfolio Register'!$DH$5:$DH$304,0)),TODAY())))</f>
        <v/>
      </c>
      <c r="O57" s="151" t="str">
        <f t="shared" si="0"/>
        <v/>
      </c>
      <c r="P57" s="146" t="str">
        <f>IFERROR(IF(INDEX('Portfolio Register'!$DG$5:$DG$304,MATCH($B57,'Portfolio Register'!$DH$5:$DH$304,0))="","",INDEX('Portfolio Register'!$DG$5:$DG$304,MATCH($B57,'Portfolio Register'!$DH$5:$DH$304,0))),"")</f>
        <v/>
      </c>
      <c r="Q57" s="146" t="str">
        <f>IFERROR(IF(INDEX('Portfolio Register'!$DF$5:$DF$304,MATCH($B57,'Portfolio Register'!$DH$5:$DH$304,0))="","",INDEX('Portfolio Register'!$DF$5:$DF$304,MATCH($B57,'Portfolio Register'!$DH$5:$DH$304,0))),"")</f>
        <v/>
      </c>
    </row>
    <row r="58" spans="2:17" x14ac:dyDescent="0.25">
      <c r="B58" s="56">
        <v>31</v>
      </c>
      <c r="C58" s="140" t="str">
        <f>IFERROR(IF(INDEX('Portfolio Register'!$A$5:$A$304,MATCH($B58,'Portfolio Register'!$DH$5:$DH$304,0))="","",INDEX('Portfolio Register'!$A$5:$A$304,MATCH($B58,'Portfolio Register'!$DH$5:$DH$304,0))),"")</f>
        <v/>
      </c>
      <c r="D58" s="140" t="str">
        <f>IFERROR(IF(INDEX('Portfolio Register'!$B$5:$B$304,MATCH($B58,'Portfolio Register'!$DH$5:$DH$304,0))="","",INDEX('Portfolio Register'!$B$5:$B$304,MATCH($B58,'Portfolio Register'!$DH$5:$DH$304,0))),"")</f>
        <v/>
      </c>
      <c r="E58" s="140" t="str">
        <f>IFERROR(IF(INDEX('Portfolio Register'!$I$5:$I$304,MATCH($B58,'Portfolio Register'!$DH$5:$DH$304,0))="","",INDEX('Portfolio Register'!$I$5:$I$304,MATCH($B58,'Portfolio Register'!$DH$5:$DH$304,0))),"")</f>
        <v/>
      </c>
      <c r="F58" s="141" t="str">
        <f>IFERROR(IF(INDEX('Portfolio Register'!$J$5:$J$304,MATCH($B58,'Portfolio Register'!$DH$5:$DH$304,0))="","",INDEX('Portfolio Register'!$J$5:$J$304,MATCH($B58,'Portfolio Register'!$DH$5:$DH$304,0))),"")</f>
        <v/>
      </c>
      <c r="G58" s="140" t="str">
        <f>IFERROR(IF(INDEX('Portfolio Register'!$CX$5:$CX$304,MATCH($B58,'Portfolio Register'!$DH$5:$DH$304,0))="","",INDEX('Portfolio Register'!$CX$5:$CX$304,MATCH($B58,'Portfolio Register'!$DH$5:$DH$304,0))),"")</f>
        <v/>
      </c>
      <c r="H58" s="142" t="str">
        <f>IFERROR(IF(INDEX('Portfolio Register'!$CY$5:$CY$304,MATCH($B58,'Portfolio Register'!$DH$5:$DH$304,0))="","",INDEX('Portfolio Register'!$CY$5:$CY$304,MATCH($B58,'Portfolio Register'!$DH$5:$DH$304,0))),"")</f>
        <v/>
      </c>
      <c r="I58" s="140" t="str">
        <f>IFERROR(IF(INDEX('Portfolio Register'!$CZ$5:$CZ$304,MATCH($B58,'Portfolio Register'!$DH$5:$DH$304,0))="","",INDEX('Portfolio Register'!$CZ$5:$CZ$304,MATCH($B58,'Portfolio Register'!$DH$5:$DH$304,0))),"")</f>
        <v/>
      </c>
      <c r="J58" s="140" t="str">
        <f>IFERROR(IF(INDEX('Portfolio Register'!$DA$5:$DA$304,MATCH($B58,'Portfolio Register'!$DH$5:$DH$304,0))="","",INDEX('Portfolio Register'!$DA$5:$DA$304,MATCH($B58,'Portfolio Register'!$DH$5:$DH$304,0))),"")</f>
        <v/>
      </c>
      <c r="K58" s="140" t="str">
        <f>IFERROR(IF(INDEX('Portfolio Register'!$DB$5:$DB$304,MATCH($B58,'Portfolio Register'!$DH$5:$DH$304,0))="","",INDEX('Portfolio Register'!$DB$5:$DB$304,MATCH($B58,'Portfolio Register'!$DH$5:$DH$304,0))),"")</f>
        <v/>
      </c>
      <c r="L58" s="140" t="str">
        <f>IFERROR(IF(INDEX('Portfolio Register'!$DC$5:$DC$304,MATCH($B58,'Portfolio Register'!$DH$5:$DH$304,0))="","",INDEX('Portfolio Register'!$DC$5:$DC$304,MATCH($B58,'Portfolio Register'!$DH$5:$DH$304,0))),"")</f>
        <v/>
      </c>
      <c r="M58" s="143" t="str">
        <f>IFERROR(IF(INDEX('Portfolio Register'!$DD$5:$DD$304,MATCH($B58,'Portfolio Register'!$DH$5:$DH$304,0))="","",INDEX('Portfolio Register'!$DD$5:$DD$304,MATCH($B58,'Portfolio Register'!$DH$5:$DH$304,0))),"")</f>
        <v/>
      </c>
      <c r="N58" s="144" t="str">
        <f ca="1">IF($C58="","",IF($M58&lt;&gt;"",$M58-IFERROR(INDEX('Portfolio Register'!$C$5:$C$304,MATCH($B58,'Portfolio Register'!$DH$5:$DH$304,0)),$M58),TODAY()-IFERROR(INDEX('Portfolio Register'!$C$5:$C$304,MATCH($B58,'Portfolio Register'!$DH$5:$DH$304,0)),TODAY())))</f>
        <v/>
      </c>
      <c r="O58" s="145" t="str">
        <f t="shared" si="0"/>
        <v/>
      </c>
      <c r="P58" s="140" t="str">
        <f>IFERROR(IF(INDEX('Portfolio Register'!$DG$5:$DG$304,MATCH($B58,'Portfolio Register'!$DH$5:$DH$304,0))="","",INDEX('Portfolio Register'!$DG$5:$DG$304,MATCH($B58,'Portfolio Register'!$DH$5:$DH$304,0))),"")</f>
        <v/>
      </c>
      <c r="Q58" s="140" t="str">
        <f>IFERROR(IF(INDEX('Portfolio Register'!$DF$5:$DF$304,MATCH($B58,'Portfolio Register'!$DH$5:$DH$304,0))="","",INDEX('Portfolio Register'!$DF$5:$DF$304,MATCH($B58,'Portfolio Register'!$DH$5:$DH$304,0))),"")</f>
        <v/>
      </c>
    </row>
    <row r="59" spans="2:17" x14ac:dyDescent="0.25">
      <c r="B59" s="63">
        <v>32</v>
      </c>
      <c r="C59" s="146" t="str">
        <f>IFERROR(IF(INDEX('Portfolio Register'!$A$5:$A$304,MATCH($B59,'Portfolio Register'!$DH$5:$DH$304,0))="","",INDEX('Portfolio Register'!$A$5:$A$304,MATCH($B59,'Portfolio Register'!$DH$5:$DH$304,0))),"")</f>
        <v/>
      </c>
      <c r="D59" s="146" t="str">
        <f>IFERROR(IF(INDEX('Portfolio Register'!$B$5:$B$304,MATCH($B59,'Portfolio Register'!$DH$5:$DH$304,0))="","",INDEX('Portfolio Register'!$B$5:$B$304,MATCH($B59,'Portfolio Register'!$DH$5:$DH$304,0))),"")</f>
        <v/>
      </c>
      <c r="E59" s="146" t="str">
        <f>IFERROR(IF(INDEX('Portfolio Register'!$I$5:$I$304,MATCH($B59,'Portfolio Register'!$DH$5:$DH$304,0))="","",INDEX('Portfolio Register'!$I$5:$I$304,MATCH($B59,'Portfolio Register'!$DH$5:$DH$304,0))),"")</f>
        <v/>
      </c>
      <c r="F59" s="147" t="str">
        <f>IFERROR(IF(INDEX('Portfolio Register'!$J$5:$J$304,MATCH($B59,'Portfolio Register'!$DH$5:$DH$304,0))="","",INDEX('Portfolio Register'!$J$5:$J$304,MATCH($B59,'Portfolio Register'!$DH$5:$DH$304,0))),"")</f>
        <v/>
      </c>
      <c r="G59" s="146" t="str">
        <f>IFERROR(IF(INDEX('Portfolio Register'!$CX$5:$CX$304,MATCH($B59,'Portfolio Register'!$DH$5:$DH$304,0))="","",INDEX('Portfolio Register'!$CX$5:$CX$304,MATCH($B59,'Portfolio Register'!$DH$5:$DH$304,0))),"")</f>
        <v/>
      </c>
      <c r="H59" s="148" t="str">
        <f>IFERROR(IF(INDEX('Portfolio Register'!$CY$5:$CY$304,MATCH($B59,'Portfolio Register'!$DH$5:$DH$304,0))="","",INDEX('Portfolio Register'!$CY$5:$CY$304,MATCH($B59,'Portfolio Register'!$DH$5:$DH$304,0))),"")</f>
        <v/>
      </c>
      <c r="I59" s="146" t="str">
        <f>IFERROR(IF(INDEX('Portfolio Register'!$CZ$5:$CZ$304,MATCH($B59,'Portfolio Register'!$DH$5:$DH$304,0))="","",INDEX('Portfolio Register'!$CZ$5:$CZ$304,MATCH($B59,'Portfolio Register'!$DH$5:$DH$304,0))),"")</f>
        <v/>
      </c>
      <c r="J59" s="146" t="str">
        <f>IFERROR(IF(INDEX('Portfolio Register'!$DA$5:$DA$304,MATCH($B59,'Portfolio Register'!$DH$5:$DH$304,0))="","",INDEX('Portfolio Register'!$DA$5:$DA$304,MATCH($B59,'Portfolio Register'!$DH$5:$DH$304,0))),"")</f>
        <v/>
      </c>
      <c r="K59" s="146" t="str">
        <f>IFERROR(IF(INDEX('Portfolio Register'!$DB$5:$DB$304,MATCH($B59,'Portfolio Register'!$DH$5:$DH$304,0))="","",INDEX('Portfolio Register'!$DB$5:$DB$304,MATCH($B59,'Portfolio Register'!$DH$5:$DH$304,0))),"")</f>
        <v/>
      </c>
      <c r="L59" s="146" t="str">
        <f>IFERROR(IF(INDEX('Portfolio Register'!$DC$5:$DC$304,MATCH($B59,'Portfolio Register'!$DH$5:$DH$304,0))="","",INDEX('Portfolio Register'!$DC$5:$DC$304,MATCH($B59,'Portfolio Register'!$DH$5:$DH$304,0))),"")</f>
        <v/>
      </c>
      <c r="M59" s="149" t="str">
        <f>IFERROR(IF(INDEX('Portfolio Register'!$DD$5:$DD$304,MATCH($B59,'Portfolio Register'!$DH$5:$DH$304,0))="","",INDEX('Portfolio Register'!$DD$5:$DD$304,MATCH($B59,'Portfolio Register'!$DH$5:$DH$304,0))),"")</f>
        <v/>
      </c>
      <c r="N59" s="150" t="str">
        <f ca="1">IF($C59="","",IF($M59&lt;&gt;"",$M59-IFERROR(INDEX('Portfolio Register'!$C$5:$C$304,MATCH($B59,'Portfolio Register'!$DH$5:$DH$304,0)),$M59),TODAY()-IFERROR(INDEX('Portfolio Register'!$C$5:$C$304,MATCH($B59,'Portfolio Register'!$DH$5:$DH$304,0)),TODAY())))</f>
        <v/>
      </c>
      <c r="O59" s="151" t="str">
        <f t="shared" si="0"/>
        <v/>
      </c>
      <c r="P59" s="146" t="str">
        <f>IFERROR(IF(INDEX('Portfolio Register'!$DG$5:$DG$304,MATCH($B59,'Portfolio Register'!$DH$5:$DH$304,0))="","",INDEX('Portfolio Register'!$DG$5:$DG$304,MATCH($B59,'Portfolio Register'!$DH$5:$DH$304,0))),"")</f>
        <v/>
      </c>
      <c r="Q59" s="146" t="str">
        <f>IFERROR(IF(INDEX('Portfolio Register'!$DF$5:$DF$304,MATCH($B59,'Portfolio Register'!$DH$5:$DH$304,0))="","",INDEX('Portfolio Register'!$DF$5:$DF$304,MATCH($B59,'Portfolio Register'!$DH$5:$DH$304,0))),"")</f>
        <v/>
      </c>
    </row>
    <row r="60" spans="2:17" x14ac:dyDescent="0.25">
      <c r="B60" s="56">
        <v>33</v>
      </c>
      <c r="C60" s="140" t="str">
        <f>IFERROR(IF(INDEX('Portfolio Register'!$A$5:$A$304,MATCH($B60,'Portfolio Register'!$DH$5:$DH$304,0))="","",INDEX('Portfolio Register'!$A$5:$A$304,MATCH($B60,'Portfolio Register'!$DH$5:$DH$304,0))),"")</f>
        <v/>
      </c>
      <c r="D60" s="140" t="str">
        <f>IFERROR(IF(INDEX('Portfolio Register'!$B$5:$B$304,MATCH($B60,'Portfolio Register'!$DH$5:$DH$304,0))="","",INDEX('Portfolio Register'!$B$5:$B$304,MATCH($B60,'Portfolio Register'!$DH$5:$DH$304,0))),"")</f>
        <v/>
      </c>
      <c r="E60" s="140" t="str">
        <f>IFERROR(IF(INDEX('Portfolio Register'!$I$5:$I$304,MATCH($B60,'Portfolio Register'!$DH$5:$DH$304,0))="","",INDEX('Portfolio Register'!$I$5:$I$304,MATCH($B60,'Portfolio Register'!$DH$5:$DH$304,0))),"")</f>
        <v/>
      </c>
      <c r="F60" s="141" t="str">
        <f>IFERROR(IF(INDEX('Portfolio Register'!$J$5:$J$304,MATCH($B60,'Portfolio Register'!$DH$5:$DH$304,0))="","",INDEX('Portfolio Register'!$J$5:$J$304,MATCH($B60,'Portfolio Register'!$DH$5:$DH$304,0))),"")</f>
        <v/>
      </c>
      <c r="G60" s="140" t="str">
        <f>IFERROR(IF(INDEX('Portfolio Register'!$CX$5:$CX$304,MATCH($B60,'Portfolio Register'!$DH$5:$DH$304,0))="","",INDEX('Portfolio Register'!$CX$5:$CX$304,MATCH($B60,'Portfolio Register'!$DH$5:$DH$304,0))),"")</f>
        <v/>
      </c>
      <c r="H60" s="142" t="str">
        <f>IFERROR(IF(INDEX('Portfolio Register'!$CY$5:$CY$304,MATCH($B60,'Portfolio Register'!$DH$5:$DH$304,0))="","",INDEX('Portfolio Register'!$CY$5:$CY$304,MATCH($B60,'Portfolio Register'!$DH$5:$DH$304,0))),"")</f>
        <v/>
      </c>
      <c r="I60" s="140" t="str">
        <f>IFERROR(IF(INDEX('Portfolio Register'!$CZ$5:$CZ$304,MATCH($B60,'Portfolio Register'!$DH$5:$DH$304,0))="","",INDEX('Portfolio Register'!$CZ$5:$CZ$304,MATCH($B60,'Portfolio Register'!$DH$5:$DH$304,0))),"")</f>
        <v/>
      </c>
      <c r="J60" s="140" t="str">
        <f>IFERROR(IF(INDEX('Portfolio Register'!$DA$5:$DA$304,MATCH($B60,'Portfolio Register'!$DH$5:$DH$304,0))="","",INDEX('Portfolio Register'!$DA$5:$DA$304,MATCH($B60,'Portfolio Register'!$DH$5:$DH$304,0))),"")</f>
        <v/>
      </c>
      <c r="K60" s="140" t="str">
        <f>IFERROR(IF(INDEX('Portfolio Register'!$DB$5:$DB$304,MATCH($B60,'Portfolio Register'!$DH$5:$DH$304,0))="","",INDEX('Portfolio Register'!$DB$5:$DB$304,MATCH($B60,'Portfolio Register'!$DH$5:$DH$304,0))),"")</f>
        <v/>
      </c>
      <c r="L60" s="140" t="str">
        <f>IFERROR(IF(INDEX('Portfolio Register'!$DC$5:$DC$304,MATCH($B60,'Portfolio Register'!$DH$5:$DH$304,0))="","",INDEX('Portfolio Register'!$DC$5:$DC$304,MATCH($B60,'Portfolio Register'!$DH$5:$DH$304,0))),"")</f>
        <v/>
      </c>
      <c r="M60" s="143" t="str">
        <f>IFERROR(IF(INDEX('Portfolio Register'!$DD$5:$DD$304,MATCH($B60,'Portfolio Register'!$DH$5:$DH$304,0))="","",INDEX('Portfolio Register'!$DD$5:$DD$304,MATCH($B60,'Portfolio Register'!$DH$5:$DH$304,0))),"")</f>
        <v/>
      </c>
      <c r="N60" s="144" t="str">
        <f ca="1">IF($C60="","",IF($M60&lt;&gt;"",$M60-IFERROR(INDEX('Portfolio Register'!$C$5:$C$304,MATCH($B60,'Portfolio Register'!$DH$5:$DH$304,0)),$M60),TODAY()-IFERROR(INDEX('Portfolio Register'!$C$5:$C$304,MATCH($B60,'Portfolio Register'!$DH$5:$DH$304,0)),TODAY())))</f>
        <v/>
      </c>
      <c r="O60" s="145" t="str">
        <f t="shared" ref="O60:O91" si="1">IF($C60="","",IF($L60="","NO ROLE RECORDED",IF($H60&lt;IFERROR(INDEX($C$6:$C$10,MATCH($L60,$B$6:$B$10,0)),-99),"INSUFFICIENT AUTHORITY - escalate","OK")))</f>
        <v/>
      </c>
      <c r="P60" s="140" t="str">
        <f>IFERROR(IF(INDEX('Portfolio Register'!$DG$5:$DG$304,MATCH($B60,'Portfolio Register'!$DH$5:$DH$304,0))="","",INDEX('Portfolio Register'!$DG$5:$DG$304,MATCH($B60,'Portfolio Register'!$DH$5:$DH$304,0))),"")</f>
        <v/>
      </c>
      <c r="Q60" s="140" t="str">
        <f>IFERROR(IF(INDEX('Portfolio Register'!$DF$5:$DF$304,MATCH($B60,'Portfolio Register'!$DH$5:$DH$304,0))="","",INDEX('Portfolio Register'!$DF$5:$DF$304,MATCH($B60,'Portfolio Register'!$DH$5:$DH$304,0))),"")</f>
        <v/>
      </c>
    </row>
    <row r="61" spans="2:17" x14ac:dyDescent="0.25">
      <c r="B61" s="63">
        <v>34</v>
      </c>
      <c r="C61" s="146" t="str">
        <f>IFERROR(IF(INDEX('Portfolio Register'!$A$5:$A$304,MATCH($B61,'Portfolio Register'!$DH$5:$DH$304,0))="","",INDEX('Portfolio Register'!$A$5:$A$304,MATCH($B61,'Portfolio Register'!$DH$5:$DH$304,0))),"")</f>
        <v/>
      </c>
      <c r="D61" s="146" t="str">
        <f>IFERROR(IF(INDEX('Portfolio Register'!$B$5:$B$304,MATCH($B61,'Portfolio Register'!$DH$5:$DH$304,0))="","",INDEX('Portfolio Register'!$B$5:$B$304,MATCH($B61,'Portfolio Register'!$DH$5:$DH$304,0))),"")</f>
        <v/>
      </c>
      <c r="E61" s="146" t="str">
        <f>IFERROR(IF(INDEX('Portfolio Register'!$I$5:$I$304,MATCH($B61,'Portfolio Register'!$DH$5:$DH$304,0))="","",INDEX('Portfolio Register'!$I$5:$I$304,MATCH($B61,'Portfolio Register'!$DH$5:$DH$304,0))),"")</f>
        <v/>
      </c>
      <c r="F61" s="147" t="str">
        <f>IFERROR(IF(INDEX('Portfolio Register'!$J$5:$J$304,MATCH($B61,'Portfolio Register'!$DH$5:$DH$304,0))="","",INDEX('Portfolio Register'!$J$5:$J$304,MATCH($B61,'Portfolio Register'!$DH$5:$DH$304,0))),"")</f>
        <v/>
      </c>
      <c r="G61" s="146" t="str">
        <f>IFERROR(IF(INDEX('Portfolio Register'!$CX$5:$CX$304,MATCH($B61,'Portfolio Register'!$DH$5:$DH$304,0))="","",INDEX('Portfolio Register'!$CX$5:$CX$304,MATCH($B61,'Portfolio Register'!$DH$5:$DH$304,0))),"")</f>
        <v/>
      </c>
      <c r="H61" s="148" t="str">
        <f>IFERROR(IF(INDEX('Portfolio Register'!$CY$5:$CY$304,MATCH($B61,'Portfolio Register'!$DH$5:$DH$304,0))="","",INDEX('Portfolio Register'!$CY$5:$CY$304,MATCH($B61,'Portfolio Register'!$DH$5:$DH$304,0))),"")</f>
        <v/>
      </c>
      <c r="I61" s="146" t="str">
        <f>IFERROR(IF(INDEX('Portfolio Register'!$CZ$5:$CZ$304,MATCH($B61,'Portfolio Register'!$DH$5:$DH$304,0))="","",INDEX('Portfolio Register'!$CZ$5:$CZ$304,MATCH($B61,'Portfolio Register'!$DH$5:$DH$304,0))),"")</f>
        <v/>
      </c>
      <c r="J61" s="146" t="str">
        <f>IFERROR(IF(INDEX('Portfolio Register'!$DA$5:$DA$304,MATCH($B61,'Portfolio Register'!$DH$5:$DH$304,0))="","",INDEX('Portfolio Register'!$DA$5:$DA$304,MATCH($B61,'Portfolio Register'!$DH$5:$DH$304,0))),"")</f>
        <v/>
      </c>
      <c r="K61" s="146" t="str">
        <f>IFERROR(IF(INDEX('Portfolio Register'!$DB$5:$DB$304,MATCH($B61,'Portfolio Register'!$DH$5:$DH$304,0))="","",INDEX('Portfolio Register'!$DB$5:$DB$304,MATCH($B61,'Portfolio Register'!$DH$5:$DH$304,0))),"")</f>
        <v/>
      </c>
      <c r="L61" s="146" t="str">
        <f>IFERROR(IF(INDEX('Portfolio Register'!$DC$5:$DC$304,MATCH($B61,'Portfolio Register'!$DH$5:$DH$304,0))="","",INDEX('Portfolio Register'!$DC$5:$DC$304,MATCH($B61,'Portfolio Register'!$DH$5:$DH$304,0))),"")</f>
        <v/>
      </c>
      <c r="M61" s="149" t="str">
        <f>IFERROR(IF(INDEX('Portfolio Register'!$DD$5:$DD$304,MATCH($B61,'Portfolio Register'!$DH$5:$DH$304,0))="","",INDEX('Portfolio Register'!$DD$5:$DD$304,MATCH($B61,'Portfolio Register'!$DH$5:$DH$304,0))),"")</f>
        <v/>
      </c>
      <c r="N61" s="150" t="str">
        <f ca="1">IF($C61="","",IF($M61&lt;&gt;"",$M61-IFERROR(INDEX('Portfolio Register'!$C$5:$C$304,MATCH($B61,'Portfolio Register'!$DH$5:$DH$304,0)),$M61),TODAY()-IFERROR(INDEX('Portfolio Register'!$C$5:$C$304,MATCH($B61,'Portfolio Register'!$DH$5:$DH$304,0)),TODAY())))</f>
        <v/>
      </c>
      <c r="O61" s="151" t="str">
        <f t="shared" si="1"/>
        <v/>
      </c>
      <c r="P61" s="146" t="str">
        <f>IFERROR(IF(INDEX('Portfolio Register'!$DG$5:$DG$304,MATCH($B61,'Portfolio Register'!$DH$5:$DH$304,0))="","",INDEX('Portfolio Register'!$DG$5:$DG$304,MATCH($B61,'Portfolio Register'!$DH$5:$DH$304,0))),"")</f>
        <v/>
      </c>
      <c r="Q61" s="146" t="str">
        <f>IFERROR(IF(INDEX('Portfolio Register'!$DF$5:$DF$304,MATCH($B61,'Portfolio Register'!$DH$5:$DH$304,0))="","",INDEX('Portfolio Register'!$DF$5:$DF$304,MATCH($B61,'Portfolio Register'!$DH$5:$DH$304,0))),"")</f>
        <v/>
      </c>
    </row>
    <row r="62" spans="2:17" x14ac:dyDescent="0.25">
      <c r="B62" s="56">
        <v>35</v>
      </c>
      <c r="C62" s="140" t="str">
        <f>IFERROR(IF(INDEX('Portfolio Register'!$A$5:$A$304,MATCH($B62,'Portfolio Register'!$DH$5:$DH$304,0))="","",INDEX('Portfolio Register'!$A$5:$A$304,MATCH($B62,'Portfolio Register'!$DH$5:$DH$304,0))),"")</f>
        <v/>
      </c>
      <c r="D62" s="140" t="str">
        <f>IFERROR(IF(INDEX('Portfolio Register'!$B$5:$B$304,MATCH($B62,'Portfolio Register'!$DH$5:$DH$304,0))="","",INDEX('Portfolio Register'!$B$5:$B$304,MATCH($B62,'Portfolio Register'!$DH$5:$DH$304,0))),"")</f>
        <v/>
      </c>
      <c r="E62" s="140" t="str">
        <f>IFERROR(IF(INDEX('Portfolio Register'!$I$5:$I$304,MATCH($B62,'Portfolio Register'!$DH$5:$DH$304,0))="","",INDEX('Portfolio Register'!$I$5:$I$304,MATCH($B62,'Portfolio Register'!$DH$5:$DH$304,0))),"")</f>
        <v/>
      </c>
      <c r="F62" s="141" t="str">
        <f>IFERROR(IF(INDEX('Portfolio Register'!$J$5:$J$304,MATCH($B62,'Portfolio Register'!$DH$5:$DH$304,0))="","",INDEX('Portfolio Register'!$J$5:$J$304,MATCH($B62,'Portfolio Register'!$DH$5:$DH$304,0))),"")</f>
        <v/>
      </c>
      <c r="G62" s="140" t="str">
        <f>IFERROR(IF(INDEX('Portfolio Register'!$CX$5:$CX$304,MATCH($B62,'Portfolio Register'!$DH$5:$DH$304,0))="","",INDEX('Portfolio Register'!$CX$5:$CX$304,MATCH($B62,'Portfolio Register'!$DH$5:$DH$304,0))),"")</f>
        <v/>
      </c>
      <c r="H62" s="142" t="str">
        <f>IFERROR(IF(INDEX('Portfolio Register'!$CY$5:$CY$304,MATCH($B62,'Portfolio Register'!$DH$5:$DH$304,0))="","",INDEX('Portfolio Register'!$CY$5:$CY$304,MATCH($B62,'Portfolio Register'!$DH$5:$DH$304,0))),"")</f>
        <v/>
      </c>
      <c r="I62" s="140" t="str">
        <f>IFERROR(IF(INDEX('Portfolio Register'!$CZ$5:$CZ$304,MATCH($B62,'Portfolio Register'!$DH$5:$DH$304,0))="","",INDEX('Portfolio Register'!$CZ$5:$CZ$304,MATCH($B62,'Portfolio Register'!$DH$5:$DH$304,0))),"")</f>
        <v/>
      </c>
      <c r="J62" s="140" t="str">
        <f>IFERROR(IF(INDEX('Portfolio Register'!$DA$5:$DA$304,MATCH($B62,'Portfolio Register'!$DH$5:$DH$304,0))="","",INDEX('Portfolio Register'!$DA$5:$DA$304,MATCH($B62,'Portfolio Register'!$DH$5:$DH$304,0))),"")</f>
        <v/>
      </c>
      <c r="K62" s="140" t="str">
        <f>IFERROR(IF(INDEX('Portfolio Register'!$DB$5:$DB$304,MATCH($B62,'Portfolio Register'!$DH$5:$DH$304,0))="","",INDEX('Portfolio Register'!$DB$5:$DB$304,MATCH($B62,'Portfolio Register'!$DH$5:$DH$304,0))),"")</f>
        <v/>
      </c>
      <c r="L62" s="140" t="str">
        <f>IFERROR(IF(INDEX('Portfolio Register'!$DC$5:$DC$304,MATCH($B62,'Portfolio Register'!$DH$5:$DH$304,0))="","",INDEX('Portfolio Register'!$DC$5:$DC$304,MATCH($B62,'Portfolio Register'!$DH$5:$DH$304,0))),"")</f>
        <v/>
      </c>
      <c r="M62" s="143" t="str">
        <f>IFERROR(IF(INDEX('Portfolio Register'!$DD$5:$DD$304,MATCH($B62,'Portfolio Register'!$DH$5:$DH$304,0))="","",INDEX('Portfolio Register'!$DD$5:$DD$304,MATCH($B62,'Portfolio Register'!$DH$5:$DH$304,0))),"")</f>
        <v/>
      </c>
      <c r="N62" s="144" t="str">
        <f ca="1">IF($C62="","",IF($M62&lt;&gt;"",$M62-IFERROR(INDEX('Portfolio Register'!$C$5:$C$304,MATCH($B62,'Portfolio Register'!$DH$5:$DH$304,0)),$M62),TODAY()-IFERROR(INDEX('Portfolio Register'!$C$5:$C$304,MATCH($B62,'Portfolio Register'!$DH$5:$DH$304,0)),TODAY())))</f>
        <v/>
      </c>
      <c r="O62" s="145" t="str">
        <f t="shared" si="1"/>
        <v/>
      </c>
      <c r="P62" s="140" t="str">
        <f>IFERROR(IF(INDEX('Portfolio Register'!$DG$5:$DG$304,MATCH($B62,'Portfolio Register'!$DH$5:$DH$304,0))="","",INDEX('Portfolio Register'!$DG$5:$DG$304,MATCH($B62,'Portfolio Register'!$DH$5:$DH$304,0))),"")</f>
        <v/>
      </c>
      <c r="Q62" s="140" t="str">
        <f>IFERROR(IF(INDEX('Portfolio Register'!$DF$5:$DF$304,MATCH($B62,'Portfolio Register'!$DH$5:$DH$304,0))="","",INDEX('Portfolio Register'!$DF$5:$DF$304,MATCH($B62,'Portfolio Register'!$DH$5:$DH$304,0))),"")</f>
        <v/>
      </c>
    </row>
    <row r="63" spans="2:17" x14ac:dyDescent="0.25">
      <c r="B63" s="63">
        <v>36</v>
      </c>
      <c r="C63" s="146" t="str">
        <f>IFERROR(IF(INDEX('Portfolio Register'!$A$5:$A$304,MATCH($B63,'Portfolio Register'!$DH$5:$DH$304,0))="","",INDEX('Portfolio Register'!$A$5:$A$304,MATCH($B63,'Portfolio Register'!$DH$5:$DH$304,0))),"")</f>
        <v/>
      </c>
      <c r="D63" s="146" t="str">
        <f>IFERROR(IF(INDEX('Portfolio Register'!$B$5:$B$304,MATCH($B63,'Portfolio Register'!$DH$5:$DH$304,0))="","",INDEX('Portfolio Register'!$B$5:$B$304,MATCH($B63,'Portfolio Register'!$DH$5:$DH$304,0))),"")</f>
        <v/>
      </c>
      <c r="E63" s="146" t="str">
        <f>IFERROR(IF(INDEX('Portfolio Register'!$I$5:$I$304,MATCH($B63,'Portfolio Register'!$DH$5:$DH$304,0))="","",INDEX('Portfolio Register'!$I$5:$I$304,MATCH($B63,'Portfolio Register'!$DH$5:$DH$304,0))),"")</f>
        <v/>
      </c>
      <c r="F63" s="147" t="str">
        <f>IFERROR(IF(INDEX('Portfolio Register'!$J$5:$J$304,MATCH($B63,'Portfolio Register'!$DH$5:$DH$304,0))="","",INDEX('Portfolio Register'!$J$5:$J$304,MATCH($B63,'Portfolio Register'!$DH$5:$DH$304,0))),"")</f>
        <v/>
      </c>
      <c r="G63" s="146" t="str">
        <f>IFERROR(IF(INDEX('Portfolio Register'!$CX$5:$CX$304,MATCH($B63,'Portfolio Register'!$DH$5:$DH$304,0))="","",INDEX('Portfolio Register'!$CX$5:$CX$304,MATCH($B63,'Portfolio Register'!$DH$5:$DH$304,0))),"")</f>
        <v/>
      </c>
      <c r="H63" s="148" t="str">
        <f>IFERROR(IF(INDEX('Portfolio Register'!$CY$5:$CY$304,MATCH($B63,'Portfolio Register'!$DH$5:$DH$304,0))="","",INDEX('Portfolio Register'!$CY$5:$CY$304,MATCH($B63,'Portfolio Register'!$DH$5:$DH$304,0))),"")</f>
        <v/>
      </c>
      <c r="I63" s="146" t="str">
        <f>IFERROR(IF(INDEX('Portfolio Register'!$CZ$5:$CZ$304,MATCH($B63,'Portfolio Register'!$DH$5:$DH$304,0))="","",INDEX('Portfolio Register'!$CZ$5:$CZ$304,MATCH($B63,'Portfolio Register'!$DH$5:$DH$304,0))),"")</f>
        <v/>
      </c>
      <c r="J63" s="146" t="str">
        <f>IFERROR(IF(INDEX('Portfolio Register'!$DA$5:$DA$304,MATCH($B63,'Portfolio Register'!$DH$5:$DH$304,0))="","",INDEX('Portfolio Register'!$DA$5:$DA$304,MATCH($B63,'Portfolio Register'!$DH$5:$DH$304,0))),"")</f>
        <v/>
      </c>
      <c r="K63" s="146" t="str">
        <f>IFERROR(IF(INDEX('Portfolio Register'!$DB$5:$DB$304,MATCH($B63,'Portfolio Register'!$DH$5:$DH$304,0))="","",INDEX('Portfolio Register'!$DB$5:$DB$304,MATCH($B63,'Portfolio Register'!$DH$5:$DH$304,0))),"")</f>
        <v/>
      </c>
      <c r="L63" s="146" t="str">
        <f>IFERROR(IF(INDEX('Portfolio Register'!$DC$5:$DC$304,MATCH($B63,'Portfolio Register'!$DH$5:$DH$304,0))="","",INDEX('Portfolio Register'!$DC$5:$DC$304,MATCH($B63,'Portfolio Register'!$DH$5:$DH$304,0))),"")</f>
        <v/>
      </c>
      <c r="M63" s="149" t="str">
        <f>IFERROR(IF(INDEX('Portfolio Register'!$DD$5:$DD$304,MATCH($B63,'Portfolio Register'!$DH$5:$DH$304,0))="","",INDEX('Portfolio Register'!$DD$5:$DD$304,MATCH($B63,'Portfolio Register'!$DH$5:$DH$304,0))),"")</f>
        <v/>
      </c>
      <c r="N63" s="150" t="str">
        <f ca="1">IF($C63="","",IF($M63&lt;&gt;"",$M63-IFERROR(INDEX('Portfolio Register'!$C$5:$C$304,MATCH($B63,'Portfolio Register'!$DH$5:$DH$304,0)),$M63),TODAY()-IFERROR(INDEX('Portfolio Register'!$C$5:$C$304,MATCH($B63,'Portfolio Register'!$DH$5:$DH$304,0)),TODAY())))</f>
        <v/>
      </c>
      <c r="O63" s="151" t="str">
        <f t="shared" si="1"/>
        <v/>
      </c>
      <c r="P63" s="146" t="str">
        <f>IFERROR(IF(INDEX('Portfolio Register'!$DG$5:$DG$304,MATCH($B63,'Portfolio Register'!$DH$5:$DH$304,0))="","",INDEX('Portfolio Register'!$DG$5:$DG$304,MATCH($B63,'Portfolio Register'!$DH$5:$DH$304,0))),"")</f>
        <v/>
      </c>
      <c r="Q63" s="146" t="str">
        <f>IFERROR(IF(INDEX('Portfolio Register'!$DF$5:$DF$304,MATCH($B63,'Portfolio Register'!$DH$5:$DH$304,0))="","",INDEX('Portfolio Register'!$DF$5:$DF$304,MATCH($B63,'Portfolio Register'!$DH$5:$DH$304,0))),"")</f>
        <v/>
      </c>
    </row>
    <row r="64" spans="2:17" x14ac:dyDescent="0.25">
      <c r="B64" s="56">
        <v>37</v>
      </c>
      <c r="C64" s="140" t="str">
        <f>IFERROR(IF(INDEX('Portfolio Register'!$A$5:$A$304,MATCH($B64,'Portfolio Register'!$DH$5:$DH$304,0))="","",INDEX('Portfolio Register'!$A$5:$A$304,MATCH($B64,'Portfolio Register'!$DH$5:$DH$304,0))),"")</f>
        <v/>
      </c>
      <c r="D64" s="140" t="str">
        <f>IFERROR(IF(INDEX('Portfolio Register'!$B$5:$B$304,MATCH($B64,'Portfolio Register'!$DH$5:$DH$304,0))="","",INDEX('Portfolio Register'!$B$5:$B$304,MATCH($B64,'Portfolio Register'!$DH$5:$DH$304,0))),"")</f>
        <v/>
      </c>
      <c r="E64" s="140" t="str">
        <f>IFERROR(IF(INDEX('Portfolio Register'!$I$5:$I$304,MATCH($B64,'Portfolio Register'!$DH$5:$DH$304,0))="","",INDEX('Portfolio Register'!$I$5:$I$304,MATCH($B64,'Portfolio Register'!$DH$5:$DH$304,0))),"")</f>
        <v/>
      </c>
      <c r="F64" s="141" t="str">
        <f>IFERROR(IF(INDEX('Portfolio Register'!$J$5:$J$304,MATCH($B64,'Portfolio Register'!$DH$5:$DH$304,0))="","",INDEX('Portfolio Register'!$J$5:$J$304,MATCH($B64,'Portfolio Register'!$DH$5:$DH$304,0))),"")</f>
        <v/>
      </c>
      <c r="G64" s="140" t="str">
        <f>IFERROR(IF(INDEX('Portfolio Register'!$CX$5:$CX$304,MATCH($B64,'Portfolio Register'!$DH$5:$DH$304,0))="","",INDEX('Portfolio Register'!$CX$5:$CX$304,MATCH($B64,'Portfolio Register'!$DH$5:$DH$304,0))),"")</f>
        <v/>
      </c>
      <c r="H64" s="142" t="str">
        <f>IFERROR(IF(INDEX('Portfolio Register'!$CY$5:$CY$304,MATCH($B64,'Portfolio Register'!$DH$5:$DH$304,0))="","",INDEX('Portfolio Register'!$CY$5:$CY$304,MATCH($B64,'Portfolio Register'!$DH$5:$DH$304,0))),"")</f>
        <v/>
      </c>
      <c r="I64" s="140" t="str">
        <f>IFERROR(IF(INDEX('Portfolio Register'!$CZ$5:$CZ$304,MATCH($B64,'Portfolio Register'!$DH$5:$DH$304,0))="","",INDEX('Portfolio Register'!$CZ$5:$CZ$304,MATCH($B64,'Portfolio Register'!$DH$5:$DH$304,0))),"")</f>
        <v/>
      </c>
      <c r="J64" s="140" t="str">
        <f>IFERROR(IF(INDEX('Portfolio Register'!$DA$5:$DA$304,MATCH($B64,'Portfolio Register'!$DH$5:$DH$304,0))="","",INDEX('Portfolio Register'!$DA$5:$DA$304,MATCH($B64,'Portfolio Register'!$DH$5:$DH$304,0))),"")</f>
        <v/>
      </c>
      <c r="K64" s="140" t="str">
        <f>IFERROR(IF(INDEX('Portfolio Register'!$DB$5:$DB$304,MATCH($B64,'Portfolio Register'!$DH$5:$DH$304,0))="","",INDEX('Portfolio Register'!$DB$5:$DB$304,MATCH($B64,'Portfolio Register'!$DH$5:$DH$304,0))),"")</f>
        <v/>
      </c>
      <c r="L64" s="140" t="str">
        <f>IFERROR(IF(INDEX('Portfolio Register'!$DC$5:$DC$304,MATCH($B64,'Portfolio Register'!$DH$5:$DH$304,0))="","",INDEX('Portfolio Register'!$DC$5:$DC$304,MATCH($B64,'Portfolio Register'!$DH$5:$DH$304,0))),"")</f>
        <v/>
      </c>
      <c r="M64" s="143" t="str">
        <f>IFERROR(IF(INDEX('Portfolio Register'!$DD$5:$DD$304,MATCH($B64,'Portfolio Register'!$DH$5:$DH$304,0))="","",INDEX('Portfolio Register'!$DD$5:$DD$304,MATCH($B64,'Portfolio Register'!$DH$5:$DH$304,0))),"")</f>
        <v/>
      </c>
      <c r="N64" s="144" t="str">
        <f ca="1">IF($C64="","",IF($M64&lt;&gt;"",$M64-IFERROR(INDEX('Portfolio Register'!$C$5:$C$304,MATCH($B64,'Portfolio Register'!$DH$5:$DH$304,0)),$M64),TODAY()-IFERROR(INDEX('Portfolio Register'!$C$5:$C$304,MATCH($B64,'Portfolio Register'!$DH$5:$DH$304,0)),TODAY())))</f>
        <v/>
      </c>
      <c r="O64" s="145" t="str">
        <f t="shared" si="1"/>
        <v/>
      </c>
      <c r="P64" s="140" t="str">
        <f>IFERROR(IF(INDEX('Portfolio Register'!$DG$5:$DG$304,MATCH($B64,'Portfolio Register'!$DH$5:$DH$304,0))="","",INDEX('Portfolio Register'!$DG$5:$DG$304,MATCH($B64,'Portfolio Register'!$DH$5:$DH$304,0))),"")</f>
        <v/>
      </c>
      <c r="Q64" s="140" t="str">
        <f>IFERROR(IF(INDEX('Portfolio Register'!$DF$5:$DF$304,MATCH($B64,'Portfolio Register'!$DH$5:$DH$304,0))="","",INDEX('Portfolio Register'!$DF$5:$DF$304,MATCH($B64,'Portfolio Register'!$DH$5:$DH$304,0))),"")</f>
        <v/>
      </c>
    </row>
    <row r="65" spans="2:17" x14ac:dyDescent="0.25">
      <c r="B65" s="63">
        <v>38</v>
      </c>
      <c r="C65" s="146" t="str">
        <f>IFERROR(IF(INDEX('Portfolio Register'!$A$5:$A$304,MATCH($B65,'Portfolio Register'!$DH$5:$DH$304,0))="","",INDEX('Portfolio Register'!$A$5:$A$304,MATCH($B65,'Portfolio Register'!$DH$5:$DH$304,0))),"")</f>
        <v/>
      </c>
      <c r="D65" s="146" t="str">
        <f>IFERROR(IF(INDEX('Portfolio Register'!$B$5:$B$304,MATCH($B65,'Portfolio Register'!$DH$5:$DH$304,0))="","",INDEX('Portfolio Register'!$B$5:$B$304,MATCH($B65,'Portfolio Register'!$DH$5:$DH$304,0))),"")</f>
        <v/>
      </c>
      <c r="E65" s="146" t="str">
        <f>IFERROR(IF(INDEX('Portfolio Register'!$I$5:$I$304,MATCH($B65,'Portfolio Register'!$DH$5:$DH$304,0))="","",INDEX('Portfolio Register'!$I$5:$I$304,MATCH($B65,'Portfolio Register'!$DH$5:$DH$304,0))),"")</f>
        <v/>
      </c>
      <c r="F65" s="147" t="str">
        <f>IFERROR(IF(INDEX('Portfolio Register'!$J$5:$J$304,MATCH($B65,'Portfolio Register'!$DH$5:$DH$304,0))="","",INDEX('Portfolio Register'!$J$5:$J$304,MATCH($B65,'Portfolio Register'!$DH$5:$DH$304,0))),"")</f>
        <v/>
      </c>
      <c r="G65" s="146" t="str">
        <f>IFERROR(IF(INDEX('Portfolio Register'!$CX$5:$CX$304,MATCH($B65,'Portfolio Register'!$DH$5:$DH$304,0))="","",INDEX('Portfolio Register'!$CX$5:$CX$304,MATCH($B65,'Portfolio Register'!$DH$5:$DH$304,0))),"")</f>
        <v/>
      </c>
      <c r="H65" s="148" t="str">
        <f>IFERROR(IF(INDEX('Portfolio Register'!$CY$5:$CY$304,MATCH($B65,'Portfolio Register'!$DH$5:$DH$304,0))="","",INDEX('Portfolio Register'!$CY$5:$CY$304,MATCH($B65,'Portfolio Register'!$DH$5:$DH$304,0))),"")</f>
        <v/>
      </c>
      <c r="I65" s="146" t="str">
        <f>IFERROR(IF(INDEX('Portfolio Register'!$CZ$5:$CZ$304,MATCH($B65,'Portfolio Register'!$DH$5:$DH$304,0))="","",INDEX('Portfolio Register'!$CZ$5:$CZ$304,MATCH($B65,'Portfolio Register'!$DH$5:$DH$304,0))),"")</f>
        <v/>
      </c>
      <c r="J65" s="146" t="str">
        <f>IFERROR(IF(INDEX('Portfolio Register'!$DA$5:$DA$304,MATCH($B65,'Portfolio Register'!$DH$5:$DH$304,0))="","",INDEX('Portfolio Register'!$DA$5:$DA$304,MATCH($B65,'Portfolio Register'!$DH$5:$DH$304,0))),"")</f>
        <v/>
      </c>
      <c r="K65" s="146" t="str">
        <f>IFERROR(IF(INDEX('Portfolio Register'!$DB$5:$DB$304,MATCH($B65,'Portfolio Register'!$DH$5:$DH$304,0))="","",INDEX('Portfolio Register'!$DB$5:$DB$304,MATCH($B65,'Portfolio Register'!$DH$5:$DH$304,0))),"")</f>
        <v/>
      </c>
      <c r="L65" s="146" t="str">
        <f>IFERROR(IF(INDEX('Portfolio Register'!$DC$5:$DC$304,MATCH($B65,'Portfolio Register'!$DH$5:$DH$304,0))="","",INDEX('Portfolio Register'!$DC$5:$DC$304,MATCH($B65,'Portfolio Register'!$DH$5:$DH$304,0))),"")</f>
        <v/>
      </c>
      <c r="M65" s="149" t="str">
        <f>IFERROR(IF(INDEX('Portfolio Register'!$DD$5:$DD$304,MATCH($B65,'Portfolio Register'!$DH$5:$DH$304,0))="","",INDEX('Portfolio Register'!$DD$5:$DD$304,MATCH($B65,'Portfolio Register'!$DH$5:$DH$304,0))),"")</f>
        <v/>
      </c>
      <c r="N65" s="150" t="str">
        <f ca="1">IF($C65="","",IF($M65&lt;&gt;"",$M65-IFERROR(INDEX('Portfolio Register'!$C$5:$C$304,MATCH($B65,'Portfolio Register'!$DH$5:$DH$304,0)),$M65),TODAY()-IFERROR(INDEX('Portfolio Register'!$C$5:$C$304,MATCH($B65,'Portfolio Register'!$DH$5:$DH$304,0)),TODAY())))</f>
        <v/>
      </c>
      <c r="O65" s="151" t="str">
        <f t="shared" si="1"/>
        <v/>
      </c>
      <c r="P65" s="146" t="str">
        <f>IFERROR(IF(INDEX('Portfolio Register'!$DG$5:$DG$304,MATCH($B65,'Portfolio Register'!$DH$5:$DH$304,0))="","",INDEX('Portfolio Register'!$DG$5:$DG$304,MATCH($B65,'Portfolio Register'!$DH$5:$DH$304,0))),"")</f>
        <v/>
      </c>
      <c r="Q65" s="146" t="str">
        <f>IFERROR(IF(INDEX('Portfolio Register'!$DF$5:$DF$304,MATCH($B65,'Portfolio Register'!$DH$5:$DH$304,0))="","",INDEX('Portfolio Register'!$DF$5:$DF$304,MATCH($B65,'Portfolio Register'!$DH$5:$DH$304,0))),"")</f>
        <v/>
      </c>
    </row>
    <row r="66" spans="2:17" x14ac:dyDescent="0.25">
      <c r="B66" s="56">
        <v>39</v>
      </c>
      <c r="C66" s="140" t="str">
        <f>IFERROR(IF(INDEX('Portfolio Register'!$A$5:$A$304,MATCH($B66,'Portfolio Register'!$DH$5:$DH$304,0))="","",INDEX('Portfolio Register'!$A$5:$A$304,MATCH($B66,'Portfolio Register'!$DH$5:$DH$304,0))),"")</f>
        <v/>
      </c>
      <c r="D66" s="140" t="str">
        <f>IFERROR(IF(INDEX('Portfolio Register'!$B$5:$B$304,MATCH($B66,'Portfolio Register'!$DH$5:$DH$304,0))="","",INDEX('Portfolio Register'!$B$5:$B$304,MATCH($B66,'Portfolio Register'!$DH$5:$DH$304,0))),"")</f>
        <v/>
      </c>
      <c r="E66" s="140" t="str">
        <f>IFERROR(IF(INDEX('Portfolio Register'!$I$5:$I$304,MATCH($B66,'Portfolio Register'!$DH$5:$DH$304,0))="","",INDEX('Portfolio Register'!$I$5:$I$304,MATCH($B66,'Portfolio Register'!$DH$5:$DH$304,0))),"")</f>
        <v/>
      </c>
      <c r="F66" s="141" t="str">
        <f>IFERROR(IF(INDEX('Portfolio Register'!$J$5:$J$304,MATCH($B66,'Portfolio Register'!$DH$5:$DH$304,0))="","",INDEX('Portfolio Register'!$J$5:$J$304,MATCH($B66,'Portfolio Register'!$DH$5:$DH$304,0))),"")</f>
        <v/>
      </c>
      <c r="G66" s="140" t="str">
        <f>IFERROR(IF(INDEX('Portfolio Register'!$CX$5:$CX$304,MATCH($B66,'Portfolio Register'!$DH$5:$DH$304,0))="","",INDEX('Portfolio Register'!$CX$5:$CX$304,MATCH($B66,'Portfolio Register'!$DH$5:$DH$304,0))),"")</f>
        <v/>
      </c>
      <c r="H66" s="142" t="str">
        <f>IFERROR(IF(INDEX('Portfolio Register'!$CY$5:$CY$304,MATCH($B66,'Portfolio Register'!$DH$5:$DH$304,0))="","",INDEX('Portfolio Register'!$CY$5:$CY$304,MATCH($B66,'Portfolio Register'!$DH$5:$DH$304,0))),"")</f>
        <v/>
      </c>
      <c r="I66" s="140" t="str">
        <f>IFERROR(IF(INDEX('Portfolio Register'!$CZ$5:$CZ$304,MATCH($B66,'Portfolio Register'!$DH$5:$DH$304,0))="","",INDEX('Portfolio Register'!$CZ$5:$CZ$304,MATCH($B66,'Portfolio Register'!$DH$5:$DH$304,0))),"")</f>
        <v/>
      </c>
      <c r="J66" s="140" t="str">
        <f>IFERROR(IF(INDEX('Portfolio Register'!$DA$5:$DA$304,MATCH($B66,'Portfolio Register'!$DH$5:$DH$304,0))="","",INDEX('Portfolio Register'!$DA$5:$DA$304,MATCH($B66,'Portfolio Register'!$DH$5:$DH$304,0))),"")</f>
        <v/>
      </c>
      <c r="K66" s="140" t="str">
        <f>IFERROR(IF(INDEX('Portfolio Register'!$DB$5:$DB$304,MATCH($B66,'Portfolio Register'!$DH$5:$DH$304,0))="","",INDEX('Portfolio Register'!$DB$5:$DB$304,MATCH($B66,'Portfolio Register'!$DH$5:$DH$304,0))),"")</f>
        <v/>
      </c>
      <c r="L66" s="140" t="str">
        <f>IFERROR(IF(INDEX('Portfolio Register'!$DC$5:$DC$304,MATCH($B66,'Portfolio Register'!$DH$5:$DH$304,0))="","",INDEX('Portfolio Register'!$DC$5:$DC$304,MATCH($B66,'Portfolio Register'!$DH$5:$DH$304,0))),"")</f>
        <v/>
      </c>
      <c r="M66" s="143" t="str">
        <f>IFERROR(IF(INDEX('Portfolio Register'!$DD$5:$DD$304,MATCH($B66,'Portfolio Register'!$DH$5:$DH$304,0))="","",INDEX('Portfolio Register'!$DD$5:$DD$304,MATCH($B66,'Portfolio Register'!$DH$5:$DH$304,0))),"")</f>
        <v/>
      </c>
      <c r="N66" s="144" t="str">
        <f ca="1">IF($C66="","",IF($M66&lt;&gt;"",$M66-IFERROR(INDEX('Portfolio Register'!$C$5:$C$304,MATCH($B66,'Portfolio Register'!$DH$5:$DH$304,0)),$M66),TODAY()-IFERROR(INDEX('Portfolio Register'!$C$5:$C$304,MATCH($B66,'Portfolio Register'!$DH$5:$DH$304,0)),TODAY())))</f>
        <v/>
      </c>
      <c r="O66" s="145" t="str">
        <f t="shared" si="1"/>
        <v/>
      </c>
      <c r="P66" s="140" t="str">
        <f>IFERROR(IF(INDEX('Portfolio Register'!$DG$5:$DG$304,MATCH($B66,'Portfolio Register'!$DH$5:$DH$304,0))="","",INDEX('Portfolio Register'!$DG$5:$DG$304,MATCH($B66,'Portfolio Register'!$DH$5:$DH$304,0))),"")</f>
        <v/>
      </c>
      <c r="Q66" s="140" t="str">
        <f>IFERROR(IF(INDEX('Portfolio Register'!$DF$5:$DF$304,MATCH($B66,'Portfolio Register'!$DH$5:$DH$304,0))="","",INDEX('Portfolio Register'!$DF$5:$DF$304,MATCH($B66,'Portfolio Register'!$DH$5:$DH$304,0))),"")</f>
        <v/>
      </c>
    </row>
    <row r="67" spans="2:17" x14ac:dyDescent="0.25">
      <c r="B67" s="63">
        <v>40</v>
      </c>
      <c r="C67" s="146" t="str">
        <f>IFERROR(IF(INDEX('Portfolio Register'!$A$5:$A$304,MATCH($B67,'Portfolio Register'!$DH$5:$DH$304,0))="","",INDEX('Portfolio Register'!$A$5:$A$304,MATCH($B67,'Portfolio Register'!$DH$5:$DH$304,0))),"")</f>
        <v/>
      </c>
      <c r="D67" s="146" t="str">
        <f>IFERROR(IF(INDEX('Portfolio Register'!$B$5:$B$304,MATCH($B67,'Portfolio Register'!$DH$5:$DH$304,0))="","",INDEX('Portfolio Register'!$B$5:$B$304,MATCH($B67,'Portfolio Register'!$DH$5:$DH$304,0))),"")</f>
        <v/>
      </c>
      <c r="E67" s="146" t="str">
        <f>IFERROR(IF(INDEX('Portfolio Register'!$I$5:$I$304,MATCH($B67,'Portfolio Register'!$DH$5:$DH$304,0))="","",INDEX('Portfolio Register'!$I$5:$I$304,MATCH($B67,'Portfolio Register'!$DH$5:$DH$304,0))),"")</f>
        <v/>
      </c>
      <c r="F67" s="147" t="str">
        <f>IFERROR(IF(INDEX('Portfolio Register'!$J$5:$J$304,MATCH($B67,'Portfolio Register'!$DH$5:$DH$304,0))="","",INDEX('Portfolio Register'!$J$5:$J$304,MATCH($B67,'Portfolio Register'!$DH$5:$DH$304,0))),"")</f>
        <v/>
      </c>
      <c r="G67" s="146" t="str">
        <f>IFERROR(IF(INDEX('Portfolio Register'!$CX$5:$CX$304,MATCH($B67,'Portfolio Register'!$DH$5:$DH$304,0))="","",INDEX('Portfolio Register'!$CX$5:$CX$304,MATCH($B67,'Portfolio Register'!$DH$5:$DH$304,0))),"")</f>
        <v/>
      </c>
      <c r="H67" s="148" t="str">
        <f>IFERROR(IF(INDEX('Portfolio Register'!$CY$5:$CY$304,MATCH($B67,'Portfolio Register'!$DH$5:$DH$304,0))="","",INDEX('Portfolio Register'!$CY$5:$CY$304,MATCH($B67,'Portfolio Register'!$DH$5:$DH$304,0))),"")</f>
        <v/>
      </c>
      <c r="I67" s="146" t="str">
        <f>IFERROR(IF(INDEX('Portfolio Register'!$CZ$5:$CZ$304,MATCH($B67,'Portfolio Register'!$DH$5:$DH$304,0))="","",INDEX('Portfolio Register'!$CZ$5:$CZ$304,MATCH($B67,'Portfolio Register'!$DH$5:$DH$304,0))),"")</f>
        <v/>
      </c>
      <c r="J67" s="146" t="str">
        <f>IFERROR(IF(INDEX('Portfolio Register'!$DA$5:$DA$304,MATCH($B67,'Portfolio Register'!$DH$5:$DH$304,0))="","",INDEX('Portfolio Register'!$DA$5:$DA$304,MATCH($B67,'Portfolio Register'!$DH$5:$DH$304,0))),"")</f>
        <v/>
      </c>
      <c r="K67" s="146" t="str">
        <f>IFERROR(IF(INDEX('Portfolio Register'!$DB$5:$DB$304,MATCH($B67,'Portfolio Register'!$DH$5:$DH$304,0))="","",INDEX('Portfolio Register'!$DB$5:$DB$304,MATCH($B67,'Portfolio Register'!$DH$5:$DH$304,0))),"")</f>
        <v/>
      </c>
      <c r="L67" s="146" t="str">
        <f>IFERROR(IF(INDEX('Portfolio Register'!$DC$5:$DC$304,MATCH($B67,'Portfolio Register'!$DH$5:$DH$304,0))="","",INDEX('Portfolio Register'!$DC$5:$DC$304,MATCH($B67,'Portfolio Register'!$DH$5:$DH$304,0))),"")</f>
        <v/>
      </c>
      <c r="M67" s="149" t="str">
        <f>IFERROR(IF(INDEX('Portfolio Register'!$DD$5:$DD$304,MATCH($B67,'Portfolio Register'!$DH$5:$DH$304,0))="","",INDEX('Portfolio Register'!$DD$5:$DD$304,MATCH($B67,'Portfolio Register'!$DH$5:$DH$304,0))),"")</f>
        <v/>
      </c>
      <c r="N67" s="150" t="str">
        <f ca="1">IF($C67="","",IF($M67&lt;&gt;"",$M67-IFERROR(INDEX('Portfolio Register'!$C$5:$C$304,MATCH($B67,'Portfolio Register'!$DH$5:$DH$304,0)),$M67),TODAY()-IFERROR(INDEX('Portfolio Register'!$C$5:$C$304,MATCH($B67,'Portfolio Register'!$DH$5:$DH$304,0)),TODAY())))</f>
        <v/>
      </c>
      <c r="O67" s="151" t="str">
        <f t="shared" si="1"/>
        <v/>
      </c>
      <c r="P67" s="146" t="str">
        <f>IFERROR(IF(INDEX('Portfolio Register'!$DG$5:$DG$304,MATCH($B67,'Portfolio Register'!$DH$5:$DH$304,0))="","",INDEX('Portfolio Register'!$DG$5:$DG$304,MATCH($B67,'Portfolio Register'!$DH$5:$DH$304,0))),"")</f>
        <v/>
      </c>
      <c r="Q67" s="146" t="str">
        <f>IFERROR(IF(INDEX('Portfolio Register'!$DF$5:$DF$304,MATCH($B67,'Portfolio Register'!$DH$5:$DH$304,0))="","",INDEX('Portfolio Register'!$DF$5:$DF$304,MATCH($B67,'Portfolio Register'!$DH$5:$DH$304,0))),"")</f>
        <v/>
      </c>
    </row>
    <row r="68" spans="2:17" x14ac:dyDescent="0.25">
      <c r="B68" s="56">
        <v>41</v>
      </c>
      <c r="C68" s="140" t="str">
        <f>IFERROR(IF(INDEX('Portfolio Register'!$A$5:$A$304,MATCH($B68,'Portfolio Register'!$DH$5:$DH$304,0))="","",INDEX('Portfolio Register'!$A$5:$A$304,MATCH($B68,'Portfolio Register'!$DH$5:$DH$304,0))),"")</f>
        <v/>
      </c>
      <c r="D68" s="140" t="str">
        <f>IFERROR(IF(INDEX('Portfolio Register'!$B$5:$B$304,MATCH($B68,'Portfolio Register'!$DH$5:$DH$304,0))="","",INDEX('Portfolio Register'!$B$5:$B$304,MATCH($B68,'Portfolio Register'!$DH$5:$DH$304,0))),"")</f>
        <v/>
      </c>
      <c r="E68" s="140" t="str">
        <f>IFERROR(IF(INDEX('Portfolio Register'!$I$5:$I$304,MATCH($B68,'Portfolio Register'!$DH$5:$DH$304,0))="","",INDEX('Portfolio Register'!$I$5:$I$304,MATCH($B68,'Portfolio Register'!$DH$5:$DH$304,0))),"")</f>
        <v/>
      </c>
      <c r="F68" s="141" t="str">
        <f>IFERROR(IF(INDEX('Portfolio Register'!$J$5:$J$304,MATCH($B68,'Portfolio Register'!$DH$5:$DH$304,0))="","",INDEX('Portfolio Register'!$J$5:$J$304,MATCH($B68,'Portfolio Register'!$DH$5:$DH$304,0))),"")</f>
        <v/>
      </c>
      <c r="G68" s="140" t="str">
        <f>IFERROR(IF(INDEX('Portfolio Register'!$CX$5:$CX$304,MATCH($B68,'Portfolio Register'!$DH$5:$DH$304,0))="","",INDEX('Portfolio Register'!$CX$5:$CX$304,MATCH($B68,'Portfolio Register'!$DH$5:$DH$304,0))),"")</f>
        <v/>
      </c>
      <c r="H68" s="142" t="str">
        <f>IFERROR(IF(INDEX('Portfolio Register'!$CY$5:$CY$304,MATCH($B68,'Portfolio Register'!$DH$5:$DH$304,0))="","",INDEX('Portfolio Register'!$CY$5:$CY$304,MATCH($B68,'Portfolio Register'!$DH$5:$DH$304,0))),"")</f>
        <v/>
      </c>
      <c r="I68" s="140" t="str">
        <f>IFERROR(IF(INDEX('Portfolio Register'!$CZ$5:$CZ$304,MATCH($B68,'Portfolio Register'!$DH$5:$DH$304,0))="","",INDEX('Portfolio Register'!$CZ$5:$CZ$304,MATCH($B68,'Portfolio Register'!$DH$5:$DH$304,0))),"")</f>
        <v/>
      </c>
      <c r="J68" s="140" t="str">
        <f>IFERROR(IF(INDEX('Portfolio Register'!$DA$5:$DA$304,MATCH($B68,'Portfolio Register'!$DH$5:$DH$304,0))="","",INDEX('Portfolio Register'!$DA$5:$DA$304,MATCH($B68,'Portfolio Register'!$DH$5:$DH$304,0))),"")</f>
        <v/>
      </c>
      <c r="K68" s="140" t="str">
        <f>IFERROR(IF(INDEX('Portfolio Register'!$DB$5:$DB$304,MATCH($B68,'Portfolio Register'!$DH$5:$DH$304,0))="","",INDEX('Portfolio Register'!$DB$5:$DB$304,MATCH($B68,'Portfolio Register'!$DH$5:$DH$304,0))),"")</f>
        <v/>
      </c>
      <c r="L68" s="140" t="str">
        <f>IFERROR(IF(INDEX('Portfolio Register'!$DC$5:$DC$304,MATCH($B68,'Portfolio Register'!$DH$5:$DH$304,0))="","",INDEX('Portfolio Register'!$DC$5:$DC$304,MATCH($B68,'Portfolio Register'!$DH$5:$DH$304,0))),"")</f>
        <v/>
      </c>
      <c r="M68" s="143" t="str">
        <f>IFERROR(IF(INDEX('Portfolio Register'!$DD$5:$DD$304,MATCH($B68,'Portfolio Register'!$DH$5:$DH$304,0))="","",INDEX('Portfolio Register'!$DD$5:$DD$304,MATCH($B68,'Portfolio Register'!$DH$5:$DH$304,0))),"")</f>
        <v/>
      </c>
      <c r="N68" s="144" t="str">
        <f ca="1">IF($C68="","",IF($M68&lt;&gt;"",$M68-IFERROR(INDEX('Portfolio Register'!$C$5:$C$304,MATCH($B68,'Portfolio Register'!$DH$5:$DH$304,0)),$M68),TODAY()-IFERROR(INDEX('Portfolio Register'!$C$5:$C$304,MATCH($B68,'Portfolio Register'!$DH$5:$DH$304,0)),TODAY())))</f>
        <v/>
      </c>
      <c r="O68" s="145" t="str">
        <f t="shared" si="1"/>
        <v/>
      </c>
      <c r="P68" s="140" t="str">
        <f>IFERROR(IF(INDEX('Portfolio Register'!$DG$5:$DG$304,MATCH($B68,'Portfolio Register'!$DH$5:$DH$304,0))="","",INDEX('Portfolio Register'!$DG$5:$DG$304,MATCH($B68,'Portfolio Register'!$DH$5:$DH$304,0))),"")</f>
        <v/>
      </c>
      <c r="Q68" s="140" t="str">
        <f>IFERROR(IF(INDEX('Portfolio Register'!$DF$5:$DF$304,MATCH($B68,'Portfolio Register'!$DH$5:$DH$304,0))="","",INDEX('Portfolio Register'!$DF$5:$DF$304,MATCH($B68,'Portfolio Register'!$DH$5:$DH$304,0))),"")</f>
        <v/>
      </c>
    </row>
    <row r="69" spans="2:17" x14ac:dyDescent="0.25">
      <c r="B69" s="63">
        <v>42</v>
      </c>
      <c r="C69" s="146" t="str">
        <f>IFERROR(IF(INDEX('Portfolio Register'!$A$5:$A$304,MATCH($B69,'Portfolio Register'!$DH$5:$DH$304,0))="","",INDEX('Portfolio Register'!$A$5:$A$304,MATCH($B69,'Portfolio Register'!$DH$5:$DH$304,0))),"")</f>
        <v/>
      </c>
      <c r="D69" s="146" t="str">
        <f>IFERROR(IF(INDEX('Portfolio Register'!$B$5:$B$304,MATCH($B69,'Portfolio Register'!$DH$5:$DH$304,0))="","",INDEX('Portfolio Register'!$B$5:$B$304,MATCH($B69,'Portfolio Register'!$DH$5:$DH$304,0))),"")</f>
        <v/>
      </c>
      <c r="E69" s="146" t="str">
        <f>IFERROR(IF(INDEX('Portfolio Register'!$I$5:$I$304,MATCH($B69,'Portfolio Register'!$DH$5:$DH$304,0))="","",INDEX('Portfolio Register'!$I$5:$I$304,MATCH($B69,'Portfolio Register'!$DH$5:$DH$304,0))),"")</f>
        <v/>
      </c>
      <c r="F69" s="147" t="str">
        <f>IFERROR(IF(INDEX('Portfolio Register'!$J$5:$J$304,MATCH($B69,'Portfolio Register'!$DH$5:$DH$304,0))="","",INDEX('Portfolio Register'!$J$5:$J$304,MATCH($B69,'Portfolio Register'!$DH$5:$DH$304,0))),"")</f>
        <v/>
      </c>
      <c r="G69" s="146" t="str">
        <f>IFERROR(IF(INDEX('Portfolio Register'!$CX$5:$CX$304,MATCH($B69,'Portfolio Register'!$DH$5:$DH$304,0))="","",INDEX('Portfolio Register'!$CX$5:$CX$304,MATCH($B69,'Portfolio Register'!$DH$5:$DH$304,0))),"")</f>
        <v/>
      </c>
      <c r="H69" s="148" t="str">
        <f>IFERROR(IF(INDEX('Portfolio Register'!$CY$5:$CY$304,MATCH($B69,'Portfolio Register'!$DH$5:$DH$304,0))="","",INDEX('Portfolio Register'!$CY$5:$CY$304,MATCH($B69,'Portfolio Register'!$DH$5:$DH$304,0))),"")</f>
        <v/>
      </c>
      <c r="I69" s="146" t="str">
        <f>IFERROR(IF(INDEX('Portfolio Register'!$CZ$5:$CZ$304,MATCH($B69,'Portfolio Register'!$DH$5:$DH$304,0))="","",INDEX('Portfolio Register'!$CZ$5:$CZ$304,MATCH($B69,'Portfolio Register'!$DH$5:$DH$304,0))),"")</f>
        <v/>
      </c>
      <c r="J69" s="146" t="str">
        <f>IFERROR(IF(INDEX('Portfolio Register'!$DA$5:$DA$304,MATCH($B69,'Portfolio Register'!$DH$5:$DH$304,0))="","",INDEX('Portfolio Register'!$DA$5:$DA$304,MATCH($B69,'Portfolio Register'!$DH$5:$DH$304,0))),"")</f>
        <v/>
      </c>
      <c r="K69" s="146" t="str">
        <f>IFERROR(IF(INDEX('Portfolio Register'!$DB$5:$DB$304,MATCH($B69,'Portfolio Register'!$DH$5:$DH$304,0))="","",INDEX('Portfolio Register'!$DB$5:$DB$304,MATCH($B69,'Portfolio Register'!$DH$5:$DH$304,0))),"")</f>
        <v/>
      </c>
      <c r="L69" s="146" t="str">
        <f>IFERROR(IF(INDEX('Portfolio Register'!$DC$5:$DC$304,MATCH($B69,'Portfolio Register'!$DH$5:$DH$304,0))="","",INDEX('Portfolio Register'!$DC$5:$DC$304,MATCH($B69,'Portfolio Register'!$DH$5:$DH$304,0))),"")</f>
        <v/>
      </c>
      <c r="M69" s="149" t="str">
        <f>IFERROR(IF(INDEX('Portfolio Register'!$DD$5:$DD$304,MATCH($B69,'Portfolio Register'!$DH$5:$DH$304,0))="","",INDEX('Portfolio Register'!$DD$5:$DD$304,MATCH($B69,'Portfolio Register'!$DH$5:$DH$304,0))),"")</f>
        <v/>
      </c>
      <c r="N69" s="150" t="str">
        <f ca="1">IF($C69="","",IF($M69&lt;&gt;"",$M69-IFERROR(INDEX('Portfolio Register'!$C$5:$C$304,MATCH($B69,'Portfolio Register'!$DH$5:$DH$304,0)),$M69),TODAY()-IFERROR(INDEX('Portfolio Register'!$C$5:$C$304,MATCH($B69,'Portfolio Register'!$DH$5:$DH$304,0)),TODAY())))</f>
        <v/>
      </c>
      <c r="O69" s="151" t="str">
        <f t="shared" si="1"/>
        <v/>
      </c>
      <c r="P69" s="146" t="str">
        <f>IFERROR(IF(INDEX('Portfolio Register'!$DG$5:$DG$304,MATCH($B69,'Portfolio Register'!$DH$5:$DH$304,0))="","",INDEX('Portfolio Register'!$DG$5:$DG$304,MATCH($B69,'Portfolio Register'!$DH$5:$DH$304,0))),"")</f>
        <v/>
      </c>
      <c r="Q69" s="146" t="str">
        <f>IFERROR(IF(INDEX('Portfolio Register'!$DF$5:$DF$304,MATCH($B69,'Portfolio Register'!$DH$5:$DH$304,0))="","",INDEX('Portfolio Register'!$DF$5:$DF$304,MATCH($B69,'Portfolio Register'!$DH$5:$DH$304,0))),"")</f>
        <v/>
      </c>
    </row>
    <row r="70" spans="2:17" x14ac:dyDescent="0.25">
      <c r="B70" s="56">
        <v>43</v>
      </c>
      <c r="C70" s="140" t="str">
        <f>IFERROR(IF(INDEX('Portfolio Register'!$A$5:$A$304,MATCH($B70,'Portfolio Register'!$DH$5:$DH$304,0))="","",INDEX('Portfolio Register'!$A$5:$A$304,MATCH($B70,'Portfolio Register'!$DH$5:$DH$304,0))),"")</f>
        <v/>
      </c>
      <c r="D70" s="140" t="str">
        <f>IFERROR(IF(INDEX('Portfolio Register'!$B$5:$B$304,MATCH($B70,'Portfolio Register'!$DH$5:$DH$304,0))="","",INDEX('Portfolio Register'!$B$5:$B$304,MATCH($B70,'Portfolio Register'!$DH$5:$DH$304,0))),"")</f>
        <v/>
      </c>
      <c r="E70" s="140" t="str">
        <f>IFERROR(IF(INDEX('Portfolio Register'!$I$5:$I$304,MATCH($B70,'Portfolio Register'!$DH$5:$DH$304,0))="","",INDEX('Portfolio Register'!$I$5:$I$304,MATCH($B70,'Portfolio Register'!$DH$5:$DH$304,0))),"")</f>
        <v/>
      </c>
      <c r="F70" s="141" t="str">
        <f>IFERROR(IF(INDEX('Portfolio Register'!$J$5:$J$304,MATCH($B70,'Portfolio Register'!$DH$5:$DH$304,0))="","",INDEX('Portfolio Register'!$J$5:$J$304,MATCH($B70,'Portfolio Register'!$DH$5:$DH$304,0))),"")</f>
        <v/>
      </c>
      <c r="G70" s="140" t="str">
        <f>IFERROR(IF(INDEX('Portfolio Register'!$CX$5:$CX$304,MATCH($B70,'Portfolio Register'!$DH$5:$DH$304,0))="","",INDEX('Portfolio Register'!$CX$5:$CX$304,MATCH($B70,'Portfolio Register'!$DH$5:$DH$304,0))),"")</f>
        <v/>
      </c>
      <c r="H70" s="142" t="str">
        <f>IFERROR(IF(INDEX('Portfolio Register'!$CY$5:$CY$304,MATCH($B70,'Portfolio Register'!$DH$5:$DH$304,0))="","",INDEX('Portfolio Register'!$CY$5:$CY$304,MATCH($B70,'Portfolio Register'!$DH$5:$DH$304,0))),"")</f>
        <v/>
      </c>
      <c r="I70" s="140" t="str">
        <f>IFERROR(IF(INDEX('Portfolio Register'!$CZ$5:$CZ$304,MATCH($B70,'Portfolio Register'!$DH$5:$DH$304,0))="","",INDEX('Portfolio Register'!$CZ$5:$CZ$304,MATCH($B70,'Portfolio Register'!$DH$5:$DH$304,0))),"")</f>
        <v/>
      </c>
      <c r="J70" s="140" t="str">
        <f>IFERROR(IF(INDEX('Portfolio Register'!$DA$5:$DA$304,MATCH($B70,'Portfolio Register'!$DH$5:$DH$304,0))="","",INDEX('Portfolio Register'!$DA$5:$DA$304,MATCH($B70,'Portfolio Register'!$DH$5:$DH$304,0))),"")</f>
        <v/>
      </c>
      <c r="K70" s="140" t="str">
        <f>IFERROR(IF(INDEX('Portfolio Register'!$DB$5:$DB$304,MATCH($B70,'Portfolio Register'!$DH$5:$DH$304,0))="","",INDEX('Portfolio Register'!$DB$5:$DB$304,MATCH($B70,'Portfolio Register'!$DH$5:$DH$304,0))),"")</f>
        <v/>
      </c>
      <c r="L70" s="140" t="str">
        <f>IFERROR(IF(INDEX('Portfolio Register'!$DC$5:$DC$304,MATCH($B70,'Portfolio Register'!$DH$5:$DH$304,0))="","",INDEX('Portfolio Register'!$DC$5:$DC$304,MATCH($B70,'Portfolio Register'!$DH$5:$DH$304,0))),"")</f>
        <v/>
      </c>
      <c r="M70" s="143" t="str">
        <f>IFERROR(IF(INDEX('Portfolio Register'!$DD$5:$DD$304,MATCH($B70,'Portfolio Register'!$DH$5:$DH$304,0))="","",INDEX('Portfolio Register'!$DD$5:$DD$304,MATCH($B70,'Portfolio Register'!$DH$5:$DH$304,0))),"")</f>
        <v/>
      </c>
      <c r="N70" s="144" t="str">
        <f ca="1">IF($C70="","",IF($M70&lt;&gt;"",$M70-IFERROR(INDEX('Portfolio Register'!$C$5:$C$304,MATCH($B70,'Portfolio Register'!$DH$5:$DH$304,0)),$M70),TODAY()-IFERROR(INDEX('Portfolio Register'!$C$5:$C$304,MATCH($B70,'Portfolio Register'!$DH$5:$DH$304,0)),TODAY())))</f>
        <v/>
      </c>
      <c r="O70" s="145" t="str">
        <f t="shared" si="1"/>
        <v/>
      </c>
      <c r="P70" s="140" t="str">
        <f>IFERROR(IF(INDEX('Portfolio Register'!$DG$5:$DG$304,MATCH($B70,'Portfolio Register'!$DH$5:$DH$304,0))="","",INDEX('Portfolio Register'!$DG$5:$DG$304,MATCH($B70,'Portfolio Register'!$DH$5:$DH$304,0))),"")</f>
        <v/>
      </c>
      <c r="Q70" s="140" t="str">
        <f>IFERROR(IF(INDEX('Portfolio Register'!$DF$5:$DF$304,MATCH($B70,'Portfolio Register'!$DH$5:$DH$304,0))="","",INDEX('Portfolio Register'!$DF$5:$DF$304,MATCH($B70,'Portfolio Register'!$DH$5:$DH$304,0))),"")</f>
        <v/>
      </c>
    </row>
    <row r="71" spans="2:17" x14ac:dyDescent="0.25">
      <c r="B71" s="63">
        <v>44</v>
      </c>
      <c r="C71" s="146" t="str">
        <f>IFERROR(IF(INDEX('Portfolio Register'!$A$5:$A$304,MATCH($B71,'Portfolio Register'!$DH$5:$DH$304,0))="","",INDEX('Portfolio Register'!$A$5:$A$304,MATCH($B71,'Portfolio Register'!$DH$5:$DH$304,0))),"")</f>
        <v/>
      </c>
      <c r="D71" s="146" t="str">
        <f>IFERROR(IF(INDEX('Portfolio Register'!$B$5:$B$304,MATCH($B71,'Portfolio Register'!$DH$5:$DH$304,0))="","",INDEX('Portfolio Register'!$B$5:$B$304,MATCH($B71,'Portfolio Register'!$DH$5:$DH$304,0))),"")</f>
        <v/>
      </c>
      <c r="E71" s="146" t="str">
        <f>IFERROR(IF(INDEX('Portfolio Register'!$I$5:$I$304,MATCH($B71,'Portfolio Register'!$DH$5:$DH$304,0))="","",INDEX('Portfolio Register'!$I$5:$I$304,MATCH($B71,'Portfolio Register'!$DH$5:$DH$304,0))),"")</f>
        <v/>
      </c>
      <c r="F71" s="147" t="str">
        <f>IFERROR(IF(INDEX('Portfolio Register'!$J$5:$J$304,MATCH($B71,'Portfolio Register'!$DH$5:$DH$304,0))="","",INDEX('Portfolio Register'!$J$5:$J$304,MATCH($B71,'Portfolio Register'!$DH$5:$DH$304,0))),"")</f>
        <v/>
      </c>
      <c r="G71" s="146" t="str">
        <f>IFERROR(IF(INDEX('Portfolio Register'!$CX$5:$CX$304,MATCH($B71,'Portfolio Register'!$DH$5:$DH$304,0))="","",INDEX('Portfolio Register'!$CX$5:$CX$304,MATCH($B71,'Portfolio Register'!$DH$5:$DH$304,0))),"")</f>
        <v/>
      </c>
      <c r="H71" s="148" t="str">
        <f>IFERROR(IF(INDEX('Portfolio Register'!$CY$5:$CY$304,MATCH($B71,'Portfolio Register'!$DH$5:$DH$304,0))="","",INDEX('Portfolio Register'!$CY$5:$CY$304,MATCH($B71,'Portfolio Register'!$DH$5:$DH$304,0))),"")</f>
        <v/>
      </c>
      <c r="I71" s="146" t="str">
        <f>IFERROR(IF(INDEX('Portfolio Register'!$CZ$5:$CZ$304,MATCH($B71,'Portfolio Register'!$DH$5:$DH$304,0))="","",INDEX('Portfolio Register'!$CZ$5:$CZ$304,MATCH($B71,'Portfolio Register'!$DH$5:$DH$304,0))),"")</f>
        <v/>
      </c>
      <c r="J71" s="146" t="str">
        <f>IFERROR(IF(INDEX('Portfolio Register'!$DA$5:$DA$304,MATCH($B71,'Portfolio Register'!$DH$5:$DH$304,0))="","",INDEX('Portfolio Register'!$DA$5:$DA$304,MATCH($B71,'Portfolio Register'!$DH$5:$DH$304,0))),"")</f>
        <v/>
      </c>
      <c r="K71" s="146" t="str">
        <f>IFERROR(IF(INDEX('Portfolio Register'!$DB$5:$DB$304,MATCH($B71,'Portfolio Register'!$DH$5:$DH$304,0))="","",INDEX('Portfolio Register'!$DB$5:$DB$304,MATCH($B71,'Portfolio Register'!$DH$5:$DH$304,0))),"")</f>
        <v/>
      </c>
      <c r="L71" s="146" t="str">
        <f>IFERROR(IF(INDEX('Portfolio Register'!$DC$5:$DC$304,MATCH($B71,'Portfolio Register'!$DH$5:$DH$304,0))="","",INDEX('Portfolio Register'!$DC$5:$DC$304,MATCH($B71,'Portfolio Register'!$DH$5:$DH$304,0))),"")</f>
        <v/>
      </c>
      <c r="M71" s="149" t="str">
        <f>IFERROR(IF(INDEX('Portfolio Register'!$DD$5:$DD$304,MATCH($B71,'Portfolio Register'!$DH$5:$DH$304,0))="","",INDEX('Portfolio Register'!$DD$5:$DD$304,MATCH($B71,'Portfolio Register'!$DH$5:$DH$304,0))),"")</f>
        <v/>
      </c>
      <c r="N71" s="150" t="str">
        <f ca="1">IF($C71="","",IF($M71&lt;&gt;"",$M71-IFERROR(INDEX('Portfolio Register'!$C$5:$C$304,MATCH($B71,'Portfolio Register'!$DH$5:$DH$304,0)),$M71),TODAY()-IFERROR(INDEX('Portfolio Register'!$C$5:$C$304,MATCH($B71,'Portfolio Register'!$DH$5:$DH$304,0)),TODAY())))</f>
        <v/>
      </c>
      <c r="O71" s="151" t="str">
        <f t="shared" si="1"/>
        <v/>
      </c>
      <c r="P71" s="146" t="str">
        <f>IFERROR(IF(INDEX('Portfolio Register'!$DG$5:$DG$304,MATCH($B71,'Portfolio Register'!$DH$5:$DH$304,0))="","",INDEX('Portfolio Register'!$DG$5:$DG$304,MATCH($B71,'Portfolio Register'!$DH$5:$DH$304,0))),"")</f>
        <v/>
      </c>
      <c r="Q71" s="146" t="str">
        <f>IFERROR(IF(INDEX('Portfolio Register'!$DF$5:$DF$304,MATCH($B71,'Portfolio Register'!$DH$5:$DH$304,0))="","",INDEX('Portfolio Register'!$DF$5:$DF$304,MATCH($B71,'Portfolio Register'!$DH$5:$DH$304,0))),"")</f>
        <v/>
      </c>
    </row>
    <row r="72" spans="2:17" x14ac:dyDescent="0.25">
      <c r="B72" s="56">
        <v>45</v>
      </c>
      <c r="C72" s="140" t="str">
        <f>IFERROR(IF(INDEX('Portfolio Register'!$A$5:$A$304,MATCH($B72,'Portfolio Register'!$DH$5:$DH$304,0))="","",INDEX('Portfolio Register'!$A$5:$A$304,MATCH($B72,'Portfolio Register'!$DH$5:$DH$304,0))),"")</f>
        <v/>
      </c>
      <c r="D72" s="140" t="str">
        <f>IFERROR(IF(INDEX('Portfolio Register'!$B$5:$B$304,MATCH($B72,'Portfolio Register'!$DH$5:$DH$304,0))="","",INDEX('Portfolio Register'!$B$5:$B$304,MATCH($B72,'Portfolio Register'!$DH$5:$DH$304,0))),"")</f>
        <v/>
      </c>
      <c r="E72" s="140" t="str">
        <f>IFERROR(IF(INDEX('Portfolio Register'!$I$5:$I$304,MATCH($B72,'Portfolio Register'!$DH$5:$DH$304,0))="","",INDEX('Portfolio Register'!$I$5:$I$304,MATCH($B72,'Portfolio Register'!$DH$5:$DH$304,0))),"")</f>
        <v/>
      </c>
      <c r="F72" s="141" t="str">
        <f>IFERROR(IF(INDEX('Portfolio Register'!$J$5:$J$304,MATCH($B72,'Portfolio Register'!$DH$5:$DH$304,0))="","",INDEX('Portfolio Register'!$J$5:$J$304,MATCH($B72,'Portfolio Register'!$DH$5:$DH$304,0))),"")</f>
        <v/>
      </c>
      <c r="G72" s="140" t="str">
        <f>IFERROR(IF(INDEX('Portfolio Register'!$CX$5:$CX$304,MATCH($B72,'Portfolio Register'!$DH$5:$DH$304,0))="","",INDEX('Portfolio Register'!$CX$5:$CX$304,MATCH($B72,'Portfolio Register'!$DH$5:$DH$304,0))),"")</f>
        <v/>
      </c>
      <c r="H72" s="142" t="str">
        <f>IFERROR(IF(INDEX('Portfolio Register'!$CY$5:$CY$304,MATCH($B72,'Portfolio Register'!$DH$5:$DH$304,0))="","",INDEX('Portfolio Register'!$CY$5:$CY$304,MATCH($B72,'Portfolio Register'!$DH$5:$DH$304,0))),"")</f>
        <v/>
      </c>
      <c r="I72" s="140" t="str">
        <f>IFERROR(IF(INDEX('Portfolio Register'!$CZ$5:$CZ$304,MATCH($B72,'Portfolio Register'!$DH$5:$DH$304,0))="","",INDEX('Portfolio Register'!$CZ$5:$CZ$304,MATCH($B72,'Portfolio Register'!$DH$5:$DH$304,0))),"")</f>
        <v/>
      </c>
      <c r="J72" s="140" t="str">
        <f>IFERROR(IF(INDEX('Portfolio Register'!$DA$5:$DA$304,MATCH($B72,'Portfolio Register'!$DH$5:$DH$304,0))="","",INDEX('Portfolio Register'!$DA$5:$DA$304,MATCH($B72,'Portfolio Register'!$DH$5:$DH$304,0))),"")</f>
        <v/>
      </c>
      <c r="K72" s="140" t="str">
        <f>IFERROR(IF(INDEX('Portfolio Register'!$DB$5:$DB$304,MATCH($B72,'Portfolio Register'!$DH$5:$DH$304,0))="","",INDEX('Portfolio Register'!$DB$5:$DB$304,MATCH($B72,'Portfolio Register'!$DH$5:$DH$304,0))),"")</f>
        <v/>
      </c>
      <c r="L72" s="140" t="str">
        <f>IFERROR(IF(INDEX('Portfolio Register'!$DC$5:$DC$304,MATCH($B72,'Portfolio Register'!$DH$5:$DH$304,0))="","",INDEX('Portfolio Register'!$DC$5:$DC$304,MATCH($B72,'Portfolio Register'!$DH$5:$DH$304,0))),"")</f>
        <v/>
      </c>
      <c r="M72" s="143" t="str">
        <f>IFERROR(IF(INDEX('Portfolio Register'!$DD$5:$DD$304,MATCH($B72,'Portfolio Register'!$DH$5:$DH$304,0))="","",INDEX('Portfolio Register'!$DD$5:$DD$304,MATCH($B72,'Portfolio Register'!$DH$5:$DH$304,0))),"")</f>
        <v/>
      </c>
      <c r="N72" s="144" t="str">
        <f ca="1">IF($C72="","",IF($M72&lt;&gt;"",$M72-IFERROR(INDEX('Portfolio Register'!$C$5:$C$304,MATCH($B72,'Portfolio Register'!$DH$5:$DH$304,0)),$M72),TODAY()-IFERROR(INDEX('Portfolio Register'!$C$5:$C$304,MATCH($B72,'Portfolio Register'!$DH$5:$DH$304,0)),TODAY())))</f>
        <v/>
      </c>
      <c r="O72" s="145" t="str">
        <f t="shared" si="1"/>
        <v/>
      </c>
      <c r="P72" s="140" t="str">
        <f>IFERROR(IF(INDEX('Portfolio Register'!$DG$5:$DG$304,MATCH($B72,'Portfolio Register'!$DH$5:$DH$304,0))="","",INDEX('Portfolio Register'!$DG$5:$DG$304,MATCH($B72,'Portfolio Register'!$DH$5:$DH$304,0))),"")</f>
        <v/>
      </c>
      <c r="Q72" s="140" t="str">
        <f>IFERROR(IF(INDEX('Portfolio Register'!$DF$5:$DF$304,MATCH($B72,'Portfolio Register'!$DH$5:$DH$304,0))="","",INDEX('Portfolio Register'!$DF$5:$DF$304,MATCH($B72,'Portfolio Register'!$DH$5:$DH$304,0))),"")</f>
        <v/>
      </c>
    </row>
    <row r="73" spans="2:17" x14ac:dyDescent="0.25">
      <c r="B73" s="63">
        <v>46</v>
      </c>
      <c r="C73" s="146" t="str">
        <f>IFERROR(IF(INDEX('Portfolio Register'!$A$5:$A$304,MATCH($B73,'Portfolio Register'!$DH$5:$DH$304,0))="","",INDEX('Portfolio Register'!$A$5:$A$304,MATCH($B73,'Portfolio Register'!$DH$5:$DH$304,0))),"")</f>
        <v/>
      </c>
      <c r="D73" s="146" t="str">
        <f>IFERROR(IF(INDEX('Portfolio Register'!$B$5:$B$304,MATCH($B73,'Portfolio Register'!$DH$5:$DH$304,0))="","",INDEX('Portfolio Register'!$B$5:$B$304,MATCH($B73,'Portfolio Register'!$DH$5:$DH$304,0))),"")</f>
        <v/>
      </c>
      <c r="E73" s="146" t="str">
        <f>IFERROR(IF(INDEX('Portfolio Register'!$I$5:$I$304,MATCH($B73,'Portfolio Register'!$DH$5:$DH$304,0))="","",INDEX('Portfolio Register'!$I$5:$I$304,MATCH($B73,'Portfolio Register'!$DH$5:$DH$304,0))),"")</f>
        <v/>
      </c>
      <c r="F73" s="147" t="str">
        <f>IFERROR(IF(INDEX('Portfolio Register'!$J$5:$J$304,MATCH($B73,'Portfolio Register'!$DH$5:$DH$304,0))="","",INDEX('Portfolio Register'!$J$5:$J$304,MATCH($B73,'Portfolio Register'!$DH$5:$DH$304,0))),"")</f>
        <v/>
      </c>
      <c r="G73" s="146" t="str">
        <f>IFERROR(IF(INDEX('Portfolio Register'!$CX$5:$CX$304,MATCH($B73,'Portfolio Register'!$DH$5:$DH$304,0))="","",INDEX('Portfolio Register'!$CX$5:$CX$304,MATCH($B73,'Portfolio Register'!$DH$5:$DH$304,0))),"")</f>
        <v/>
      </c>
      <c r="H73" s="148" t="str">
        <f>IFERROR(IF(INDEX('Portfolio Register'!$CY$5:$CY$304,MATCH($B73,'Portfolio Register'!$DH$5:$DH$304,0))="","",INDEX('Portfolio Register'!$CY$5:$CY$304,MATCH($B73,'Portfolio Register'!$DH$5:$DH$304,0))),"")</f>
        <v/>
      </c>
      <c r="I73" s="146" t="str">
        <f>IFERROR(IF(INDEX('Portfolio Register'!$CZ$5:$CZ$304,MATCH($B73,'Portfolio Register'!$DH$5:$DH$304,0))="","",INDEX('Portfolio Register'!$CZ$5:$CZ$304,MATCH($B73,'Portfolio Register'!$DH$5:$DH$304,0))),"")</f>
        <v/>
      </c>
      <c r="J73" s="146" t="str">
        <f>IFERROR(IF(INDEX('Portfolio Register'!$DA$5:$DA$304,MATCH($B73,'Portfolio Register'!$DH$5:$DH$304,0))="","",INDEX('Portfolio Register'!$DA$5:$DA$304,MATCH($B73,'Portfolio Register'!$DH$5:$DH$304,0))),"")</f>
        <v/>
      </c>
      <c r="K73" s="146" t="str">
        <f>IFERROR(IF(INDEX('Portfolio Register'!$DB$5:$DB$304,MATCH($B73,'Portfolio Register'!$DH$5:$DH$304,0))="","",INDEX('Portfolio Register'!$DB$5:$DB$304,MATCH($B73,'Portfolio Register'!$DH$5:$DH$304,0))),"")</f>
        <v/>
      </c>
      <c r="L73" s="146" t="str">
        <f>IFERROR(IF(INDEX('Portfolio Register'!$DC$5:$DC$304,MATCH($B73,'Portfolio Register'!$DH$5:$DH$304,0))="","",INDEX('Portfolio Register'!$DC$5:$DC$304,MATCH($B73,'Portfolio Register'!$DH$5:$DH$304,0))),"")</f>
        <v/>
      </c>
      <c r="M73" s="149" t="str">
        <f>IFERROR(IF(INDEX('Portfolio Register'!$DD$5:$DD$304,MATCH($B73,'Portfolio Register'!$DH$5:$DH$304,0))="","",INDEX('Portfolio Register'!$DD$5:$DD$304,MATCH($B73,'Portfolio Register'!$DH$5:$DH$304,0))),"")</f>
        <v/>
      </c>
      <c r="N73" s="150" t="str">
        <f ca="1">IF($C73="","",IF($M73&lt;&gt;"",$M73-IFERROR(INDEX('Portfolio Register'!$C$5:$C$304,MATCH($B73,'Portfolio Register'!$DH$5:$DH$304,0)),$M73),TODAY()-IFERROR(INDEX('Portfolio Register'!$C$5:$C$304,MATCH($B73,'Portfolio Register'!$DH$5:$DH$304,0)),TODAY())))</f>
        <v/>
      </c>
      <c r="O73" s="151" t="str">
        <f t="shared" si="1"/>
        <v/>
      </c>
      <c r="P73" s="146" t="str">
        <f>IFERROR(IF(INDEX('Portfolio Register'!$DG$5:$DG$304,MATCH($B73,'Portfolio Register'!$DH$5:$DH$304,0))="","",INDEX('Portfolio Register'!$DG$5:$DG$304,MATCH($B73,'Portfolio Register'!$DH$5:$DH$304,0))),"")</f>
        <v/>
      </c>
      <c r="Q73" s="146" t="str">
        <f>IFERROR(IF(INDEX('Portfolio Register'!$DF$5:$DF$304,MATCH($B73,'Portfolio Register'!$DH$5:$DH$304,0))="","",INDEX('Portfolio Register'!$DF$5:$DF$304,MATCH($B73,'Portfolio Register'!$DH$5:$DH$304,0))),"")</f>
        <v/>
      </c>
    </row>
    <row r="74" spans="2:17" x14ac:dyDescent="0.25">
      <c r="B74" s="56">
        <v>47</v>
      </c>
      <c r="C74" s="140" t="str">
        <f>IFERROR(IF(INDEX('Portfolio Register'!$A$5:$A$304,MATCH($B74,'Portfolio Register'!$DH$5:$DH$304,0))="","",INDEX('Portfolio Register'!$A$5:$A$304,MATCH($B74,'Portfolio Register'!$DH$5:$DH$304,0))),"")</f>
        <v/>
      </c>
      <c r="D74" s="140" t="str">
        <f>IFERROR(IF(INDEX('Portfolio Register'!$B$5:$B$304,MATCH($B74,'Portfolio Register'!$DH$5:$DH$304,0))="","",INDEX('Portfolio Register'!$B$5:$B$304,MATCH($B74,'Portfolio Register'!$DH$5:$DH$304,0))),"")</f>
        <v/>
      </c>
      <c r="E74" s="140" t="str">
        <f>IFERROR(IF(INDEX('Portfolio Register'!$I$5:$I$304,MATCH($B74,'Portfolio Register'!$DH$5:$DH$304,0))="","",INDEX('Portfolio Register'!$I$5:$I$304,MATCH($B74,'Portfolio Register'!$DH$5:$DH$304,0))),"")</f>
        <v/>
      </c>
      <c r="F74" s="141" t="str">
        <f>IFERROR(IF(INDEX('Portfolio Register'!$J$5:$J$304,MATCH($B74,'Portfolio Register'!$DH$5:$DH$304,0))="","",INDEX('Portfolio Register'!$J$5:$J$304,MATCH($B74,'Portfolio Register'!$DH$5:$DH$304,0))),"")</f>
        <v/>
      </c>
      <c r="G74" s="140" t="str">
        <f>IFERROR(IF(INDEX('Portfolio Register'!$CX$5:$CX$304,MATCH($B74,'Portfolio Register'!$DH$5:$DH$304,0))="","",INDEX('Portfolio Register'!$CX$5:$CX$304,MATCH($B74,'Portfolio Register'!$DH$5:$DH$304,0))),"")</f>
        <v/>
      </c>
      <c r="H74" s="142" t="str">
        <f>IFERROR(IF(INDEX('Portfolio Register'!$CY$5:$CY$304,MATCH($B74,'Portfolio Register'!$DH$5:$DH$304,0))="","",INDEX('Portfolio Register'!$CY$5:$CY$304,MATCH($B74,'Portfolio Register'!$DH$5:$DH$304,0))),"")</f>
        <v/>
      </c>
      <c r="I74" s="140" t="str">
        <f>IFERROR(IF(INDEX('Portfolio Register'!$CZ$5:$CZ$304,MATCH($B74,'Portfolio Register'!$DH$5:$DH$304,0))="","",INDEX('Portfolio Register'!$CZ$5:$CZ$304,MATCH($B74,'Portfolio Register'!$DH$5:$DH$304,0))),"")</f>
        <v/>
      </c>
      <c r="J74" s="140" t="str">
        <f>IFERROR(IF(INDEX('Portfolio Register'!$DA$5:$DA$304,MATCH($B74,'Portfolio Register'!$DH$5:$DH$304,0))="","",INDEX('Portfolio Register'!$DA$5:$DA$304,MATCH($B74,'Portfolio Register'!$DH$5:$DH$304,0))),"")</f>
        <v/>
      </c>
      <c r="K74" s="140" t="str">
        <f>IFERROR(IF(INDEX('Portfolio Register'!$DB$5:$DB$304,MATCH($B74,'Portfolio Register'!$DH$5:$DH$304,0))="","",INDEX('Portfolio Register'!$DB$5:$DB$304,MATCH($B74,'Portfolio Register'!$DH$5:$DH$304,0))),"")</f>
        <v/>
      </c>
      <c r="L74" s="140" t="str">
        <f>IFERROR(IF(INDEX('Portfolio Register'!$DC$5:$DC$304,MATCH($B74,'Portfolio Register'!$DH$5:$DH$304,0))="","",INDEX('Portfolio Register'!$DC$5:$DC$304,MATCH($B74,'Portfolio Register'!$DH$5:$DH$304,0))),"")</f>
        <v/>
      </c>
      <c r="M74" s="143" t="str">
        <f>IFERROR(IF(INDEX('Portfolio Register'!$DD$5:$DD$304,MATCH($B74,'Portfolio Register'!$DH$5:$DH$304,0))="","",INDEX('Portfolio Register'!$DD$5:$DD$304,MATCH($B74,'Portfolio Register'!$DH$5:$DH$304,0))),"")</f>
        <v/>
      </c>
      <c r="N74" s="144" t="str">
        <f ca="1">IF($C74="","",IF($M74&lt;&gt;"",$M74-IFERROR(INDEX('Portfolio Register'!$C$5:$C$304,MATCH($B74,'Portfolio Register'!$DH$5:$DH$304,0)),$M74),TODAY()-IFERROR(INDEX('Portfolio Register'!$C$5:$C$304,MATCH($B74,'Portfolio Register'!$DH$5:$DH$304,0)),TODAY())))</f>
        <v/>
      </c>
      <c r="O74" s="145" t="str">
        <f t="shared" si="1"/>
        <v/>
      </c>
      <c r="P74" s="140" t="str">
        <f>IFERROR(IF(INDEX('Portfolio Register'!$DG$5:$DG$304,MATCH($B74,'Portfolio Register'!$DH$5:$DH$304,0))="","",INDEX('Portfolio Register'!$DG$5:$DG$304,MATCH($B74,'Portfolio Register'!$DH$5:$DH$304,0))),"")</f>
        <v/>
      </c>
      <c r="Q74" s="140" t="str">
        <f>IFERROR(IF(INDEX('Portfolio Register'!$DF$5:$DF$304,MATCH($B74,'Portfolio Register'!$DH$5:$DH$304,0))="","",INDEX('Portfolio Register'!$DF$5:$DF$304,MATCH($B74,'Portfolio Register'!$DH$5:$DH$304,0))),"")</f>
        <v/>
      </c>
    </row>
    <row r="75" spans="2:17" x14ac:dyDescent="0.25">
      <c r="B75" s="63">
        <v>48</v>
      </c>
      <c r="C75" s="146" t="str">
        <f>IFERROR(IF(INDEX('Portfolio Register'!$A$5:$A$304,MATCH($B75,'Portfolio Register'!$DH$5:$DH$304,0))="","",INDEX('Portfolio Register'!$A$5:$A$304,MATCH($B75,'Portfolio Register'!$DH$5:$DH$304,0))),"")</f>
        <v/>
      </c>
      <c r="D75" s="146" t="str">
        <f>IFERROR(IF(INDEX('Portfolio Register'!$B$5:$B$304,MATCH($B75,'Portfolio Register'!$DH$5:$DH$304,0))="","",INDEX('Portfolio Register'!$B$5:$B$304,MATCH($B75,'Portfolio Register'!$DH$5:$DH$304,0))),"")</f>
        <v/>
      </c>
      <c r="E75" s="146" t="str">
        <f>IFERROR(IF(INDEX('Portfolio Register'!$I$5:$I$304,MATCH($B75,'Portfolio Register'!$DH$5:$DH$304,0))="","",INDEX('Portfolio Register'!$I$5:$I$304,MATCH($B75,'Portfolio Register'!$DH$5:$DH$304,0))),"")</f>
        <v/>
      </c>
      <c r="F75" s="147" t="str">
        <f>IFERROR(IF(INDEX('Portfolio Register'!$J$5:$J$304,MATCH($B75,'Portfolio Register'!$DH$5:$DH$304,0))="","",INDEX('Portfolio Register'!$J$5:$J$304,MATCH($B75,'Portfolio Register'!$DH$5:$DH$304,0))),"")</f>
        <v/>
      </c>
      <c r="G75" s="146" t="str">
        <f>IFERROR(IF(INDEX('Portfolio Register'!$CX$5:$CX$304,MATCH($B75,'Portfolio Register'!$DH$5:$DH$304,0))="","",INDEX('Portfolio Register'!$CX$5:$CX$304,MATCH($B75,'Portfolio Register'!$DH$5:$DH$304,0))),"")</f>
        <v/>
      </c>
      <c r="H75" s="148" t="str">
        <f>IFERROR(IF(INDEX('Portfolio Register'!$CY$5:$CY$304,MATCH($B75,'Portfolio Register'!$DH$5:$DH$304,0))="","",INDEX('Portfolio Register'!$CY$5:$CY$304,MATCH($B75,'Portfolio Register'!$DH$5:$DH$304,0))),"")</f>
        <v/>
      </c>
      <c r="I75" s="146" t="str">
        <f>IFERROR(IF(INDEX('Portfolio Register'!$CZ$5:$CZ$304,MATCH($B75,'Portfolio Register'!$DH$5:$DH$304,0))="","",INDEX('Portfolio Register'!$CZ$5:$CZ$304,MATCH($B75,'Portfolio Register'!$DH$5:$DH$304,0))),"")</f>
        <v/>
      </c>
      <c r="J75" s="146" t="str">
        <f>IFERROR(IF(INDEX('Portfolio Register'!$DA$5:$DA$304,MATCH($B75,'Portfolio Register'!$DH$5:$DH$304,0))="","",INDEX('Portfolio Register'!$DA$5:$DA$304,MATCH($B75,'Portfolio Register'!$DH$5:$DH$304,0))),"")</f>
        <v/>
      </c>
      <c r="K75" s="146" t="str">
        <f>IFERROR(IF(INDEX('Portfolio Register'!$DB$5:$DB$304,MATCH($B75,'Portfolio Register'!$DH$5:$DH$304,0))="","",INDEX('Portfolio Register'!$DB$5:$DB$304,MATCH($B75,'Portfolio Register'!$DH$5:$DH$304,0))),"")</f>
        <v/>
      </c>
      <c r="L75" s="146" t="str">
        <f>IFERROR(IF(INDEX('Portfolio Register'!$DC$5:$DC$304,MATCH($B75,'Portfolio Register'!$DH$5:$DH$304,0))="","",INDEX('Portfolio Register'!$DC$5:$DC$304,MATCH($B75,'Portfolio Register'!$DH$5:$DH$304,0))),"")</f>
        <v/>
      </c>
      <c r="M75" s="149" t="str">
        <f>IFERROR(IF(INDEX('Portfolio Register'!$DD$5:$DD$304,MATCH($B75,'Portfolio Register'!$DH$5:$DH$304,0))="","",INDEX('Portfolio Register'!$DD$5:$DD$304,MATCH($B75,'Portfolio Register'!$DH$5:$DH$304,0))),"")</f>
        <v/>
      </c>
      <c r="N75" s="150" t="str">
        <f ca="1">IF($C75="","",IF($M75&lt;&gt;"",$M75-IFERROR(INDEX('Portfolio Register'!$C$5:$C$304,MATCH($B75,'Portfolio Register'!$DH$5:$DH$304,0)),$M75),TODAY()-IFERROR(INDEX('Portfolio Register'!$C$5:$C$304,MATCH($B75,'Portfolio Register'!$DH$5:$DH$304,0)),TODAY())))</f>
        <v/>
      </c>
      <c r="O75" s="151" t="str">
        <f t="shared" si="1"/>
        <v/>
      </c>
      <c r="P75" s="146" t="str">
        <f>IFERROR(IF(INDEX('Portfolio Register'!$DG$5:$DG$304,MATCH($B75,'Portfolio Register'!$DH$5:$DH$304,0))="","",INDEX('Portfolio Register'!$DG$5:$DG$304,MATCH($B75,'Portfolio Register'!$DH$5:$DH$304,0))),"")</f>
        <v/>
      </c>
      <c r="Q75" s="146" t="str">
        <f>IFERROR(IF(INDEX('Portfolio Register'!$DF$5:$DF$304,MATCH($B75,'Portfolio Register'!$DH$5:$DH$304,0))="","",INDEX('Portfolio Register'!$DF$5:$DF$304,MATCH($B75,'Portfolio Register'!$DH$5:$DH$304,0))),"")</f>
        <v/>
      </c>
    </row>
    <row r="76" spans="2:17" x14ac:dyDescent="0.25">
      <c r="B76" s="56">
        <v>49</v>
      </c>
      <c r="C76" s="140" t="str">
        <f>IFERROR(IF(INDEX('Portfolio Register'!$A$5:$A$304,MATCH($B76,'Portfolio Register'!$DH$5:$DH$304,0))="","",INDEX('Portfolio Register'!$A$5:$A$304,MATCH($B76,'Portfolio Register'!$DH$5:$DH$304,0))),"")</f>
        <v/>
      </c>
      <c r="D76" s="140" t="str">
        <f>IFERROR(IF(INDEX('Portfolio Register'!$B$5:$B$304,MATCH($B76,'Portfolio Register'!$DH$5:$DH$304,0))="","",INDEX('Portfolio Register'!$B$5:$B$304,MATCH($B76,'Portfolio Register'!$DH$5:$DH$304,0))),"")</f>
        <v/>
      </c>
      <c r="E76" s="140" t="str">
        <f>IFERROR(IF(INDEX('Portfolio Register'!$I$5:$I$304,MATCH($B76,'Portfolio Register'!$DH$5:$DH$304,0))="","",INDEX('Portfolio Register'!$I$5:$I$304,MATCH($B76,'Portfolio Register'!$DH$5:$DH$304,0))),"")</f>
        <v/>
      </c>
      <c r="F76" s="141" t="str">
        <f>IFERROR(IF(INDEX('Portfolio Register'!$J$5:$J$304,MATCH($B76,'Portfolio Register'!$DH$5:$DH$304,0))="","",INDEX('Portfolio Register'!$J$5:$J$304,MATCH($B76,'Portfolio Register'!$DH$5:$DH$304,0))),"")</f>
        <v/>
      </c>
      <c r="G76" s="140" t="str">
        <f>IFERROR(IF(INDEX('Portfolio Register'!$CX$5:$CX$304,MATCH($B76,'Portfolio Register'!$DH$5:$DH$304,0))="","",INDEX('Portfolio Register'!$CX$5:$CX$304,MATCH($B76,'Portfolio Register'!$DH$5:$DH$304,0))),"")</f>
        <v/>
      </c>
      <c r="H76" s="142" t="str">
        <f>IFERROR(IF(INDEX('Portfolio Register'!$CY$5:$CY$304,MATCH($B76,'Portfolio Register'!$DH$5:$DH$304,0))="","",INDEX('Portfolio Register'!$CY$5:$CY$304,MATCH($B76,'Portfolio Register'!$DH$5:$DH$304,0))),"")</f>
        <v/>
      </c>
      <c r="I76" s="140" t="str">
        <f>IFERROR(IF(INDEX('Portfolio Register'!$CZ$5:$CZ$304,MATCH($B76,'Portfolio Register'!$DH$5:$DH$304,0))="","",INDEX('Portfolio Register'!$CZ$5:$CZ$304,MATCH($B76,'Portfolio Register'!$DH$5:$DH$304,0))),"")</f>
        <v/>
      </c>
      <c r="J76" s="140" t="str">
        <f>IFERROR(IF(INDEX('Portfolio Register'!$DA$5:$DA$304,MATCH($B76,'Portfolio Register'!$DH$5:$DH$304,0))="","",INDEX('Portfolio Register'!$DA$5:$DA$304,MATCH($B76,'Portfolio Register'!$DH$5:$DH$304,0))),"")</f>
        <v/>
      </c>
      <c r="K76" s="140" t="str">
        <f>IFERROR(IF(INDEX('Portfolio Register'!$DB$5:$DB$304,MATCH($B76,'Portfolio Register'!$DH$5:$DH$304,0))="","",INDEX('Portfolio Register'!$DB$5:$DB$304,MATCH($B76,'Portfolio Register'!$DH$5:$DH$304,0))),"")</f>
        <v/>
      </c>
      <c r="L76" s="140" t="str">
        <f>IFERROR(IF(INDEX('Portfolio Register'!$DC$5:$DC$304,MATCH($B76,'Portfolio Register'!$DH$5:$DH$304,0))="","",INDEX('Portfolio Register'!$DC$5:$DC$304,MATCH($B76,'Portfolio Register'!$DH$5:$DH$304,0))),"")</f>
        <v/>
      </c>
      <c r="M76" s="143" t="str">
        <f>IFERROR(IF(INDEX('Portfolio Register'!$DD$5:$DD$304,MATCH($B76,'Portfolio Register'!$DH$5:$DH$304,0))="","",INDEX('Portfolio Register'!$DD$5:$DD$304,MATCH($B76,'Portfolio Register'!$DH$5:$DH$304,0))),"")</f>
        <v/>
      </c>
      <c r="N76" s="144" t="str">
        <f ca="1">IF($C76="","",IF($M76&lt;&gt;"",$M76-IFERROR(INDEX('Portfolio Register'!$C$5:$C$304,MATCH($B76,'Portfolio Register'!$DH$5:$DH$304,0)),$M76),TODAY()-IFERROR(INDEX('Portfolio Register'!$C$5:$C$304,MATCH($B76,'Portfolio Register'!$DH$5:$DH$304,0)),TODAY())))</f>
        <v/>
      </c>
      <c r="O76" s="145" t="str">
        <f t="shared" si="1"/>
        <v/>
      </c>
      <c r="P76" s="140" t="str">
        <f>IFERROR(IF(INDEX('Portfolio Register'!$DG$5:$DG$304,MATCH($B76,'Portfolio Register'!$DH$5:$DH$304,0))="","",INDEX('Portfolio Register'!$DG$5:$DG$304,MATCH($B76,'Portfolio Register'!$DH$5:$DH$304,0))),"")</f>
        <v/>
      </c>
      <c r="Q76" s="140" t="str">
        <f>IFERROR(IF(INDEX('Portfolio Register'!$DF$5:$DF$304,MATCH($B76,'Portfolio Register'!$DH$5:$DH$304,0))="","",INDEX('Portfolio Register'!$DF$5:$DF$304,MATCH($B76,'Portfolio Register'!$DH$5:$DH$304,0))),"")</f>
        <v/>
      </c>
    </row>
    <row r="77" spans="2:17" x14ac:dyDescent="0.25">
      <c r="B77" s="63">
        <v>50</v>
      </c>
      <c r="C77" s="146" t="str">
        <f>IFERROR(IF(INDEX('Portfolio Register'!$A$5:$A$304,MATCH($B77,'Portfolio Register'!$DH$5:$DH$304,0))="","",INDEX('Portfolio Register'!$A$5:$A$304,MATCH($B77,'Portfolio Register'!$DH$5:$DH$304,0))),"")</f>
        <v/>
      </c>
      <c r="D77" s="146" t="str">
        <f>IFERROR(IF(INDEX('Portfolio Register'!$B$5:$B$304,MATCH($B77,'Portfolio Register'!$DH$5:$DH$304,0))="","",INDEX('Portfolio Register'!$B$5:$B$304,MATCH($B77,'Portfolio Register'!$DH$5:$DH$304,0))),"")</f>
        <v/>
      </c>
      <c r="E77" s="146" t="str">
        <f>IFERROR(IF(INDEX('Portfolio Register'!$I$5:$I$304,MATCH($B77,'Portfolio Register'!$DH$5:$DH$304,0))="","",INDEX('Portfolio Register'!$I$5:$I$304,MATCH($B77,'Portfolio Register'!$DH$5:$DH$304,0))),"")</f>
        <v/>
      </c>
      <c r="F77" s="147" t="str">
        <f>IFERROR(IF(INDEX('Portfolio Register'!$J$5:$J$304,MATCH($B77,'Portfolio Register'!$DH$5:$DH$304,0))="","",INDEX('Portfolio Register'!$J$5:$J$304,MATCH($B77,'Portfolio Register'!$DH$5:$DH$304,0))),"")</f>
        <v/>
      </c>
      <c r="G77" s="146" t="str">
        <f>IFERROR(IF(INDEX('Portfolio Register'!$CX$5:$CX$304,MATCH($B77,'Portfolio Register'!$DH$5:$DH$304,0))="","",INDEX('Portfolio Register'!$CX$5:$CX$304,MATCH($B77,'Portfolio Register'!$DH$5:$DH$304,0))),"")</f>
        <v/>
      </c>
      <c r="H77" s="148" t="str">
        <f>IFERROR(IF(INDEX('Portfolio Register'!$CY$5:$CY$304,MATCH($B77,'Portfolio Register'!$DH$5:$DH$304,0))="","",INDEX('Portfolio Register'!$CY$5:$CY$304,MATCH($B77,'Portfolio Register'!$DH$5:$DH$304,0))),"")</f>
        <v/>
      </c>
      <c r="I77" s="146" t="str">
        <f>IFERROR(IF(INDEX('Portfolio Register'!$CZ$5:$CZ$304,MATCH($B77,'Portfolio Register'!$DH$5:$DH$304,0))="","",INDEX('Portfolio Register'!$CZ$5:$CZ$304,MATCH($B77,'Portfolio Register'!$DH$5:$DH$304,0))),"")</f>
        <v/>
      </c>
      <c r="J77" s="146" t="str">
        <f>IFERROR(IF(INDEX('Portfolio Register'!$DA$5:$DA$304,MATCH($B77,'Portfolio Register'!$DH$5:$DH$304,0))="","",INDEX('Portfolio Register'!$DA$5:$DA$304,MATCH($B77,'Portfolio Register'!$DH$5:$DH$304,0))),"")</f>
        <v/>
      </c>
      <c r="K77" s="146" t="str">
        <f>IFERROR(IF(INDEX('Portfolio Register'!$DB$5:$DB$304,MATCH($B77,'Portfolio Register'!$DH$5:$DH$304,0))="","",INDEX('Portfolio Register'!$DB$5:$DB$304,MATCH($B77,'Portfolio Register'!$DH$5:$DH$304,0))),"")</f>
        <v/>
      </c>
      <c r="L77" s="146" t="str">
        <f>IFERROR(IF(INDEX('Portfolio Register'!$DC$5:$DC$304,MATCH($B77,'Portfolio Register'!$DH$5:$DH$304,0))="","",INDEX('Portfolio Register'!$DC$5:$DC$304,MATCH($B77,'Portfolio Register'!$DH$5:$DH$304,0))),"")</f>
        <v/>
      </c>
      <c r="M77" s="149" t="str">
        <f>IFERROR(IF(INDEX('Portfolio Register'!$DD$5:$DD$304,MATCH($B77,'Portfolio Register'!$DH$5:$DH$304,0))="","",INDEX('Portfolio Register'!$DD$5:$DD$304,MATCH($B77,'Portfolio Register'!$DH$5:$DH$304,0))),"")</f>
        <v/>
      </c>
      <c r="N77" s="150" t="str">
        <f ca="1">IF($C77="","",IF($M77&lt;&gt;"",$M77-IFERROR(INDEX('Portfolio Register'!$C$5:$C$304,MATCH($B77,'Portfolio Register'!$DH$5:$DH$304,0)),$M77),TODAY()-IFERROR(INDEX('Portfolio Register'!$C$5:$C$304,MATCH($B77,'Portfolio Register'!$DH$5:$DH$304,0)),TODAY())))</f>
        <v/>
      </c>
      <c r="O77" s="151" t="str">
        <f t="shared" si="1"/>
        <v/>
      </c>
      <c r="P77" s="146" t="str">
        <f>IFERROR(IF(INDEX('Portfolio Register'!$DG$5:$DG$304,MATCH($B77,'Portfolio Register'!$DH$5:$DH$304,0))="","",INDEX('Portfolio Register'!$DG$5:$DG$304,MATCH($B77,'Portfolio Register'!$DH$5:$DH$304,0))),"")</f>
        <v/>
      </c>
      <c r="Q77" s="146" t="str">
        <f>IFERROR(IF(INDEX('Portfolio Register'!$DF$5:$DF$304,MATCH($B77,'Portfolio Register'!$DH$5:$DH$304,0))="","",INDEX('Portfolio Register'!$DF$5:$DF$304,MATCH($B77,'Portfolio Register'!$DH$5:$DH$304,0))),"")</f>
        <v/>
      </c>
    </row>
    <row r="78" spans="2:17" x14ac:dyDescent="0.25">
      <c r="B78" s="56">
        <v>51</v>
      </c>
      <c r="C78" s="140" t="str">
        <f>IFERROR(IF(INDEX('Portfolio Register'!$A$5:$A$304,MATCH($B78,'Portfolio Register'!$DH$5:$DH$304,0))="","",INDEX('Portfolio Register'!$A$5:$A$304,MATCH($B78,'Portfolio Register'!$DH$5:$DH$304,0))),"")</f>
        <v/>
      </c>
      <c r="D78" s="140" t="str">
        <f>IFERROR(IF(INDEX('Portfolio Register'!$B$5:$B$304,MATCH($B78,'Portfolio Register'!$DH$5:$DH$304,0))="","",INDEX('Portfolio Register'!$B$5:$B$304,MATCH($B78,'Portfolio Register'!$DH$5:$DH$304,0))),"")</f>
        <v/>
      </c>
      <c r="E78" s="140" t="str">
        <f>IFERROR(IF(INDEX('Portfolio Register'!$I$5:$I$304,MATCH($B78,'Portfolio Register'!$DH$5:$DH$304,0))="","",INDEX('Portfolio Register'!$I$5:$I$304,MATCH($B78,'Portfolio Register'!$DH$5:$DH$304,0))),"")</f>
        <v/>
      </c>
      <c r="F78" s="141" t="str">
        <f>IFERROR(IF(INDEX('Portfolio Register'!$J$5:$J$304,MATCH($B78,'Portfolio Register'!$DH$5:$DH$304,0))="","",INDEX('Portfolio Register'!$J$5:$J$304,MATCH($B78,'Portfolio Register'!$DH$5:$DH$304,0))),"")</f>
        <v/>
      </c>
      <c r="G78" s="140" t="str">
        <f>IFERROR(IF(INDEX('Portfolio Register'!$CX$5:$CX$304,MATCH($B78,'Portfolio Register'!$DH$5:$DH$304,0))="","",INDEX('Portfolio Register'!$CX$5:$CX$304,MATCH($B78,'Portfolio Register'!$DH$5:$DH$304,0))),"")</f>
        <v/>
      </c>
      <c r="H78" s="142" t="str">
        <f>IFERROR(IF(INDEX('Portfolio Register'!$CY$5:$CY$304,MATCH($B78,'Portfolio Register'!$DH$5:$DH$304,0))="","",INDEX('Portfolio Register'!$CY$5:$CY$304,MATCH($B78,'Portfolio Register'!$DH$5:$DH$304,0))),"")</f>
        <v/>
      </c>
      <c r="I78" s="140" t="str">
        <f>IFERROR(IF(INDEX('Portfolio Register'!$CZ$5:$CZ$304,MATCH($B78,'Portfolio Register'!$DH$5:$DH$304,0))="","",INDEX('Portfolio Register'!$CZ$5:$CZ$304,MATCH($B78,'Portfolio Register'!$DH$5:$DH$304,0))),"")</f>
        <v/>
      </c>
      <c r="J78" s="140" t="str">
        <f>IFERROR(IF(INDEX('Portfolio Register'!$DA$5:$DA$304,MATCH($B78,'Portfolio Register'!$DH$5:$DH$304,0))="","",INDEX('Portfolio Register'!$DA$5:$DA$304,MATCH($B78,'Portfolio Register'!$DH$5:$DH$304,0))),"")</f>
        <v/>
      </c>
      <c r="K78" s="140" t="str">
        <f>IFERROR(IF(INDEX('Portfolio Register'!$DB$5:$DB$304,MATCH($B78,'Portfolio Register'!$DH$5:$DH$304,0))="","",INDEX('Portfolio Register'!$DB$5:$DB$304,MATCH($B78,'Portfolio Register'!$DH$5:$DH$304,0))),"")</f>
        <v/>
      </c>
      <c r="L78" s="140" t="str">
        <f>IFERROR(IF(INDEX('Portfolio Register'!$DC$5:$DC$304,MATCH($B78,'Portfolio Register'!$DH$5:$DH$304,0))="","",INDEX('Portfolio Register'!$DC$5:$DC$304,MATCH($B78,'Portfolio Register'!$DH$5:$DH$304,0))),"")</f>
        <v/>
      </c>
      <c r="M78" s="143" t="str">
        <f>IFERROR(IF(INDEX('Portfolio Register'!$DD$5:$DD$304,MATCH($B78,'Portfolio Register'!$DH$5:$DH$304,0))="","",INDEX('Portfolio Register'!$DD$5:$DD$304,MATCH($B78,'Portfolio Register'!$DH$5:$DH$304,0))),"")</f>
        <v/>
      </c>
      <c r="N78" s="144" t="str">
        <f ca="1">IF($C78="","",IF($M78&lt;&gt;"",$M78-IFERROR(INDEX('Portfolio Register'!$C$5:$C$304,MATCH($B78,'Portfolio Register'!$DH$5:$DH$304,0)),$M78),TODAY()-IFERROR(INDEX('Portfolio Register'!$C$5:$C$304,MATCH($B78,'Portfolio Register'!$DH$5:$DH$304,0)),TODAY())))</f>
        <v/>
      </c>
      <c r="O78" s="145" t="str">
        <f t="shared" si="1"/>
        <v/>
      </c>
      <c r="P78" s="140" t="str">
        <f>IFERROR(IF(INDEX('Portfolio Register'!$DG$5:$DG$304,MATCH($B78,'Portfolio Register'!$DH$5:$DH$304,0))="","",INDEX('Portfolio Register'!$DG$5:$DG$304,MATCH($B78,'Portfolio Register'!$DH$5:$DH$304,0))),"")</f>
        <v/>
      </c>
      <c r="Q78" s="140" t="str">
        <f>IFERROR(IF(INDEX('Portfolio Register'!$DF$5:$DF$304,MATCH($B78,'Portfolio Register'!$DH$5:$DH$304,0))="","",INDEX('Portfolio Register'!$DF$5:$DF$304,MATCH($B78,'Portfolio Register'!$DH$5:$DH$304,0))),"")</f>
        <v/>
      </c>
    </row>
    <row r="79" spans="2:17" x14ac:dyDescent="0.25">
      <c r="B79" s="63">
        <v>52</v>
      </c>
      <c r="C79" s="146" t="str">
        <f>IFERROR(IF(INDEX('Portfolio Register'!$A$5:$A$304,MATCH($B79,'Portfolio Register'!$DH$5:$DH$304,0))="","",INDEX('Portfolio Register'!$A$5:$A$304,MATCH($B79,'Portfolio Register'!$DH$5:$DH$304,0))),"")</f>
        <v/>
      </c>
      <c r="D79" s="146" t="str">
        <f>IFERROR(IF(INDEX('Portfolio Register'!$B$5:$B$304,MATCH($B79,'Portfolio Register'!$DH$5:$DH$304,0))="","",INDEX('Portfolio Register'!$B$5:$B$304,MATCH($B79,'Portfolio Register'!$DH$5:$DH$304,0))),"")</f>
        <v/>
      </c>
      <c r="E79" s="146" t="str">
        <f>IFERROR(IF(INDEX('Portfolio Register'!$I$5:$I$304,MATCH($B79,'Portfolio Register'!$DH$5:$DH$304,0))="","",INDEX('Portfolio Register'!$I$5:$I$304,MATCH($B79,'Portfolio Register'!$DH$5:$DH$304,0))),"")</f>
        <v/>
      </c>
      <c r="F79" s="147" t="str">
        <f>IFERROR(IF(INDEX('Portfolio Register'!$J$5:$J$304,MATCH($B79,'Portfolio Register'!$DH$5:$DH$304,0))="","",INDEX('Portfolio Register'!$J$5:$J$304,MATCH($B79,'Portfolio Register'!$DH$5:$DH$304,0))),"")</f>
        <v/>
      </c>
      <c r="G79" s="146" t="str">
        <f>IFERROR(IF(INDEX('Portfolio Register'!$CX$5:$CX$304,MATCH($B79,'Portfolio Register'!$DH$5:$DH$304,0))="","",INDEX('Portfolio Register'!$CX$5:$CX$304,MATCH($B79,'Portfolio Register'!$DH$5:$DH$304,0))),"")</f>
        <v/>
      </c>
      <c r="H79" s="148" t="str">
        <f>IFERROR(IF(INDEX('Portfolio Register'!$CY$5:$CY$304,MATCH($B79,'Portfolio Register'!$DH$5:$DH$304,0))="","",INDEX('Portfolio Register'!$CY$5:$CY$304,MATCH($B79,'Portfolio Register'!$DH$5:$DH$304,0))),"")</f>
        <v/>
      </c>
      <c r="I79" s="146" t="str">
        <f>IFERROR(IF(INDEX('Portfolio Register'!$CZ$5:$CZ$304,MATCH($B79,'Portfolio Register'!$DH$5:$DH$304,0))="","",INDEX('Portfolio Register'!$CZ$5:$CZ$304,MATCH($B79,'Portfolio Register'!$DH$5:$DH$304,0))),"")</f>
        <v/>
      </c>
      <c r="J79" s="146" t="str">
        <f>IFERROR(IF(INDEX('Portfolio Register'!$DA$5:$DA$304,MATCH($B79,'Portfolio Register'!$DH$5:$DH$304,0))="","",INDEX('Portfolio Register'!$DA$5:$DA$304,MATCH($B79,'Portfolio Register'!$DH$5:$DH$304,0))),"")</f>
        <v/>
      </c>
      <c r="K79" s="146" t="str">
        <f>IFERROR(IF(INDEX('Portfolio Register'!$DB$5:$DB$304,MATCH($B79,'Portfolio Register'!$DH$5:$DH$304,0))="","",INDEX('Portfolio Register'!$DB$5:$DB$304,MATCH($B79,'Portfolio Register'!$DH$5:$DH$304,0))),"")</f>
        <v/>
      </c>
      <c r="L79" s="146" t="str">
        <f>IFERROR(IF(INDEX('Portfolio Register'!$DC$5:$DC$304,MATCH($B79,'Portfolio Register'!$DH$5:$DH$304,0))="","",INDEX('Portfolio Register'!$DC$5:$DC$304,MATCH($B79,'Portfolio Register'!$DH$5:$DH$304,0))),"")</f>
        <v/>
      </c>
      <c r="M79" s="149" t="str">
        <f>IFERROR(IF(INDEX('Portfolio Register'!$DD$5:$DD$304,MATCH($B79,'Portfolio Register'!$DH$5:$DH$304,0))="","",INDEX('Portfolio Register'!$DD$5:$DD$304,MATCH($B79,'Portfolio Register'!$DH$5:$DH$304,0))),"")</f>
        <v/>
      </c>
      <c r="N79" s="150" t="str">
        <f ca="1">IF($C79="","",IF($M79&lt;&gt;"",$M79-IFERROR(INDEX('Portfolio Register'!$C$5:$C$304,MATCH($B79,'Portfolio Register'!$DH$5:$DH$304,0)),$M79),TODAY()-IFERROR(INDEX('Portfolio Register'!$C$5:$C$304,MATCH($B79,'Portfolio Register'!$DH$5:$DH$304,0)),TODAY())))</f>
        <v/>
      </c>
      <c r="O79" s="151" t="str">
        <f t="shared" si="1"/>
        <v/>
      </c>
      <c r="P79" s="146" t="str">
        <f>IFERROR(IF(INDEX('Portfolio Register'!$DG$5:$DG$304,MATCH($B79,'Portfolio Register'!$DH$5:$DH$304,0))="","",INDEX('Portfolio Register'!$DG$5:$DG$304,MATCH($B79,'Portfolio Register'!$DH$5:$DH$304,0))),"")</f>
        <v/>
      </c>
      <c r="Q79" s="146" t="str">
        <f>IFERROR(IF(INDEX('Portfolio Register'!$DF$5:$DF$304,MATCH($B79,'Portfolio Register'!$DH$5:$DH$304,0))="","",INDEX('Portfolio Register'!$DF$5:$DF$304,MATCH($B79,'Portfolio Register'!$DH$5:$DH$304,0))),"")</f>
        <v/>
      </c>
    </row>
    <row r="80" spans="2:17" x14ac:dyDescent="0.25">
      <c r="B80" s="56">
        <v>53</v>
      </c>
      <c r="C80" s="140" t="str">
        <f>IFERROR(IF(INDEX('Portfolio Register'!$A$5:$A$304,MATCH($B80,'Portfolio Register'!$DH$5:$DH$304,0))="","",INDEX('Portfolio Register'!$A$5:$A$304,MATCH($B80,'Portfolio Register'!$DH$5:$DH$304,0))),"")</f>
        <v/>
      </c>
      <c r="D80" s="140" t="str">
        <f>IFERROR(IF(INDEX('Portfolio Register'!$B$5:$B$304,MATCH($B80,'Portfolio Register'!$DH$5:$DH$304,0))="","",INDEX('Portfolio Register'!$B$5:$B$304,MATCH($B80,'Portfolio Register'!$DH$5:$DH$304,0))),"")</f>
        <v/>
      </c>
      <c r="E80" s="140" t="str">
        <f>IFERROR(IF(INDEX('Portfolio Register'!$I$5:$I$304,MATCH($B80,'Portfolio Register'!$DH$5:$DH$304,0))="","",INDEX('Portfolio Register'!$I$5:$I$304,MATCH($B80,'Portfolio Register'!$DH$5:$DH$304,0))),"")</f>
        <v/>
      </c>
      <c r="F80" s="141" t="str">
        <f>IFERROR(IF(INDEX('Portfolio Register'!$J$5:$J$304,MATCH($B80,'Portfolio Register'!$DH$5:$DH$304,0))="","",INDEX('Portfolio Register'!$J$5:$J$304,MATCH($B80,'Portfolio Register'!$DH$5:$DH$304,0))),"")</f>
        <v/>
      </c>
      <c r="G80" s="140" t="str">
        <f>IFERROR(IF(INDEX('Portfolio Register'!$CX$5:$CX$304,MATCH($B80,'Portfolio Register'!$DH$5:$DH$304,0))="","",INDEX('Portfolio Register'!$CX$5:$CX$304,MATCH($B80,'Portfolio Register'!$DH$5:$DH$304,0))),"")</f>
        <v/>
      </c>
      <c r="H80" s="142" t="str">
        <f>IFERROR(IF(INDEX('Portfolio Register'!$CY$5:$CY$304,MATCH($B80,'Portfolio Register'!$DH$5:$DH$304,0))="","",INDEX('Portfolio Register'!$CY$5:$CY$304,MATCH($B80,'Portfolio Register'!$DH$5:$DH$304,0))),"")</f>
        <v/>
      </c>
      <c r="I80" s="140" t="str">
        <f>IFERROR(IF(INDEX('Portfolio Register'!$CZ$5:$CZ$304,MATCH($B80,'Portfolio Register'!$DH$5:$DH$304,0))="","",INDEX('Portfolio Register'!$CZ$5:$CZ$304,MATCH($B80,'Portfolio Register'!$DH$5:$DH$304,0))),"")</f>
        <v/>
      </c>
      <c r="J80" s="140" t="str">
        <f>IFERROR(IF(INDEX('Portfolio Register'!$DA$5:$DA$304,MATCH($B80,'Portfolio Register'!$DH$5:$DH$304,0))="","",INDEX('Portfolio Register'!$DA$5:$DA$304,MATCH($B80,'Portfolio Register'!$DH$5:$DH$304,0))),"")</f>
        <v/>
      </c>
      <c r="K80" s="140" t="str">
        <f>IFERROR(IF(INDEX('Portfolio Register'!$DB$5:$DB$304,MATCH($B80,'Portfolio Register'!$DH$5:$DH$304,0))="","",INDEX('Portfolio Register'!$DB$5:$DB$304,MATCH($B80,'Portfolio Register'!$DH$5:$DH$304,0))),"")</f>
        <v/>
      </c>
      <c r="L80" s="140" t="str">
        <f>IFERROR(IF(INDEX('Portfolio Register'!$DC$5:$DC$304,MATCH($B80,'Portfolio Register'!$DH$5:$DH$304,0))="","",INDEX('Portfolio Register'!$DC$5:$DC$304,MATCH($B80,'Portfolio Register'!$DH$5:$DH$304,0))),"")</f>
        <v/>
      </c>
      <c r="M80" s="143" t="str">
        <f>IFERROR(IF(INDEX('Portfolio Register'!$DD$5:$DD$304,MATCH($B80,'Portfolio Register'!$DH$5:$DH$304,0))="","",INDEX('Portfolio Register'!$DD$5:$DD$304,MATCH($B80,'Portfolio Register'!$DH$5:$DH$304,0))),"")</f>
        <v/>
      </c>
      <c r="N80" s="144" t="str">
        <f ca="1">IF($C80="","",IF($M80&lt;&gt;"",$M80-IFERROR(INDEX('Portfolio Register'!$C$5:$C$304,MATCH($B80,'Portfolio Register'!$DH$5:$DH$304,0)),$M80),TODAY()-IFERROR(INDEX('Portfolio Register'!$C$5:$C$304,MATCH($B80,'Portfolio Register'!$DH$5:$DH$304,0)),TODAY())))</f>
        <v/>
      </c>
      <c r="O80" s="145" t="str">
        <f t="shared" si="1"/>
        <v/>
      </c>
      <c r="P80" s="140" t="str">
        <f>IFERROR(IF(INDEX('Portfolio Register'!$DG$5:$DG$304,MATCH($B80,'Portfolio Register'!$DH$5:$DH$304,0))="","",INDEX('Portfolio Register'!$DG$5:$DG$304,MATCH($B80,'Portfolio Register'!$DH$5:$DH$304,0))),"")</f>
        <v/>
      </c>
      <c r="Q80" s="140" t="str">
        <f>IFERROR(IF(INDEX('Portfolio Register'!$DF$5:$DF$304,MATCH($B80,'Portfolio Register'!$DH$5:$DH$304,0))="","",INDEX('Portfolio Register'!$DF$5:$DF$304,MATCH($B80,'Portfolio Register'!$DH$5:$DH$304,0))),"")</f>
        <v/>
      </c>
    </row>
    <row r="81" spans="2:17" x14ac:dyDescent="0.25">
      <c r="B81" s="63">
        <v>54</v>
      </c>
      <c r="C81" s="146" t="str">
        <f>IFERROR(IF(INDEX('Portfolio Register'!$A$5:$A$304,MATCH($B81,'Portfolio Register'!$DH$5:$DH$304,0))="","",INDEX('Portfolio Register'!$A$5:$A$304,MATCH($B81,'Portfolio Register'!$DH$5:$DH$304,0))),"")</f>
        <v/>
      </c>
      <c r="D81" s="146" t="str">
        <f>IFERROR(IF(INDEX('Portfolio Register'!$B$5:$B$304,MATCH($B81,'Portfolio Register'!$DH$5:$DH$304,0))="","",INDEX('Portfolio Register'!$B$5:$B$304,MATCH($B81,'Portfolio Register'!$DH$5:$DH$304,0))),"")</f>
        <v/>
      </c>
      <c r="E81" s="146" t="str">
        <f>IFERROR(IF(INDEX('Portfolio Register'!$I$5:$I$304,MATCH($B81,'Portfolio Register'!$DH$5:$DH$304,0))="","",INDEX('Portfolio Register'!$I$5:$I$304,MATCH($B81,'Portfolio Register'!$DH$5:$DH$304,0))),"")</f>
        <v/>
      </c>
      <c r="F81" s="147" t="str">
        <f>IFERROR(IF(INDEX('Portfolio Register'!$J$5:$J$304,MATCH($B81,'Portfolio Register'!$DH$5:$DH$304,0))="","",INDEX('Portfolio Register'!$J$5:$J$304,MATCH($B81,'Portfolio Register'!$DH$5:$DH$304,0))),"")</f>
        <v/>
      </c>
      <c r="G81" s="146" t="str">
        <f>IFERROR(IF(INDEX('Portfolio Register'!$CX$5:$CX$304,MATCH($B81,'Portfolio Register'!$DH$5:$DH$304,0))="","",INDEX('Portfolio Register'!$CX$5:$CX$304,MATCH($B81,'Portfolio Register'!$DH$5:$DH$304,0))),"")</f>
        <v/>
      </c>
      <c r="H81" s="148" t="str">
        <f>IFERROR(IF(INDEX('Portfolio Register'!$CY$5:$CY$304,MATCH($B81,'Portfolio Register'!$DH$5:$DH$304,0))="","",INDEX('Portfolio Register'!$CY$5:$CY$304,MATCH($B81,'Portfolio Register'!$DH$5:$DH$304,0))),"")</f>
        <v/>
      </c>
      <c r="I81" s="146" t="str">
        <f>IFERROR(IF(INDEX('Portfolio Register'!$CZ$5:$CZ$304,MATCH($B81,'Portfolio Register'!$DH$5:$DH$304,0))="","",INDEX('Portfolio Register'!$CZ$5:$CZ$304,MATCH($B81,'Portfolio Register'!$DH$5:$DH$304,0))),"")</f>
        <v/>
      </c>
      <c r="J81" s="146" t="str">
        <f>IFERROR(IF(INDEX('Portfolio Register'!$DA$5:$DA$304,MATCH($B81,'Portfolio Register'!$DH$5:$DH$304,0))="","",INDEX('Portfolio Register'!$DA$5:$DA$304,MATCH($B81,'Portfolio Register'!$DH$5:$DH$304,0))),"")</f>
        <v/>
      </c>
      <c r="K81" s="146" t="str">
        <f>IFERROR(IF(INDEX('Portfolio Register'!$DB$5:$DB$304,MATCH($B81,'Portfolio Register'!$DH$5:$DH$304,0))="","",INDEX('Portfolio Register'!$DB$5:$DB$304,MATCH($B81,'Portfolio Register'!$DH$5:$DH$304,0))),"")</f>
        <v/>
      </c>
      <c r="L81" s="146" t="str">
        <f>IFERROR(IF(INDEX('Portfolio Register'!$DC$5:$DC$304,MATCH($B81,'Portfolio Register'!$DH$5:$DH$304,0))="","",INDEX('Portfolio Register'!$DC$5:$DC$304,MATCH($B81,'Portfolio Register'!$DH$5:$DH$304,0))),"")</f>
        <v/>
      </c>
      <c r="M81" s="149" t="str">
        <f>IFERROR(IF(INDEX('Portfolio Register'!$DD$5:$DD$304,MATCH($B81,'Portfolio Register'!$DH$5:$DH$304,0))="","",INDEX('Portfolio Register'!$DD$5:$DD$304,MATCH($B81,'Portfolio Register'!$DH$5:$DH$304,0))),"")</f>
        <v/>
      </c>
      <c r="N81" s="150" t="str">
        <f ca="1">IF($C81="","",IF($M81&lt;&gt;"",$M81-IFERROR(INDEX('Portfolio Register'!$C$5:$C$304,MATCH($B81,'Portfolio Register'!$DH$5:$DH$304,0)),$M81),TODAY()-IFERROR(INDEX('Portfolio Register'!$C$5:$C$304,MATCH($B81,'Portfolio Register'!$DH$5:$DH$304,0)),TODAY())))</f>
        <v/>
      </c>
      <c r="O81" s="151" t="str">
        <f t="shared" si="1"/>
        <v/>
      </c>
      <c r="P81" s="146" t="str">
        <f>IFERROR(IF(INDEX('Portfolio Register'!$DG$5:$DG$304,MATCH($B81,'Portfolio Register'!$DH$5:$DH$304,0))="","",INDEX('Portfolio Register'!$DG$5:$DG$304,MATCH($B81,'Portfolio Register'!$DH$5:$DH$304,0))),"")</f>
        <v/>
      </c>
      <c r="Q81" s="146" t="str">
        <f>IFERROR(IF(INDEX('Portfolio Register'!$DF$5:$DF$304,MATCH($B81,'Portfolio Register'!$DH$5:$DH$304,0))="","",INDEX('Portfolio Register'!$DF$5:$DF$304,MATCH($B81,'Portfolio Register'!$DH$5:$DH$304,0))),"")</f>
        <v/>
      </c>
    </row>
    <row r="82" spans="2:17" x14ac:dyDescent="0.25">
      <c r="B82" s="56">
        <v>55</v>
      </c>
      <c r="C82" s="140" t="str">
        <f>IFERROR(IF(INDEX('Portfolio Register'!$A$5:$A$304,MATCH($B82,'Portfolio Register'!$DH$5:$DH$304,0))="","",INDEX('Portfolio Register'!$A$5:$A$304,MATCH($B82,'Portfolio Register'!$DH$5:$DH$304,0))),"")</f>
        <v/>
      </c>
      <c r="D82" s="140" t="str">
        <f>IFERROR(IF(INDEX('Portfolio Register'!$B$5:$B$304,MATCH($B82,'Portfolio Register'!$DH$5:$DH$304,0))="","",INDEX('Portfolio Register'!$B$5:$B$304,MATCH($B82,'Portfolio Register'!$DH$5:$DH$304,0))),"")</f>
        <v/>
      </c>
      <c r="E82" s="140" t="str">
        <f>IFERROR(IF(INDEX('Portfolio Register'!$I$5:$I$304,MATCH($B82,'Portfolio Register'!$DH$5:$DH$304,0))="","",INDEX('Portfolio Register'!$I$5:$I$304,MATCH($B82,'Portfolio Register'!$DH$5:$DH$304,0))),"")</f>
        <v/>
      </c>
      <c r="F82" s="141" t="str">
        <f>IFERROR(IF(INDEX('Portfolio Register'!$J$5:$J$304,MATCH($B82,'Portfolio Register'!$DH$5:$DH$304,0))="","",INDEX('Portfolio Register'!$J$5:$J$304,MATCH($B82,'Portfolio Register'!$DH$5:$DH$304,0))),"")</f>
        <v/>
      </c>
      <c r="G82" s="140" t="str">
        <f>IFERROR(IF(INDEX('Portfolio Register'!$CX$5:$CX$304,MATCH($B82,'Portfolio Register'!$DH$5:$DH$304,0))="","",INDEX('Portfolio Register'!$CX$5:$CX$304,MATCH($B82,'Portfolio Register'!$DH$5:$DH$304,0))),"")</f>
        <v/>
      </c>
      <c r="H82" s="142" t="str">
        <f>IFERROR(IF(INDEX('Portfolio Register'!$CY$5:$CY$304,MATCH($B82,'Portfolio Register'!$DH$5:$DH$304,0))="","",INDEX('Portfolio Register'!$CY$5:$CY$304,MATCH($B82,'Portfolio Register'!$DH$5:$DH$304,0))),"")</f>
        <v/>
      </c>
      <c r="I82" s="140" t="str">
        <f>IFERROR(IF(INDEX('Portfolio Register'!$CZ$5:$CZ$304,MATCH($B82,'Portfolio Register'!$DH$5:$DH$304,0))="","",INDEX('Portfolio Register'!$CZ$5:$CZ$304,MATCH($B82,'Portfolio Register'!$DH$5:$DH$304,0))),"")</f>
        <v/>
      </c>
      <c r="J82" s="140" t="str">
        <f>IFERROR(IF(INDEX('Portfolio Register'!$DA$5:$DA$304,MATCH($B82,'Portfolio Register'!$DH$5:$DH$304,0))="","",INDEX('Portfolio Register'!$DA$5:$DA$304,MATCH($B82,'Portfolio Register'!$DH$5:$DH$304,0))),"")</f>
        <v/>
      </c>
      <c r="K82" s="140" t="str">
        <f>IFERROR(IF(INDEX('Portfolio Register'!$DB$5:$DB$304,MATCH($B82,'Portfolio Register'!$DH$5:$DH$304,0))="","",INDEX('Portfolio Register'!$DB$5:$DB$304,MATCH($B82,'Portfolio Register'!$DH$5:$DH$304,0))),"")</f>
        <v/>
      </c>
      <c r="L82" s="140" t="str">
        <f>IFERROR(IF(INDEX('Portfolio Register'!$DC$5:$DC$304,MATCH($B82,'Portfolio Register'!$DH$5:$DH$304,0))="","",INDEX('Portfolio Register'!$DC$5:$DC$304,MATCH($B82,'Portfolio Register'!$DH$5:$DH$304,0))),"")</f>
        <v/>
      </c>
      <c r="M82" s="143" t="str">
        <f>IFERROR(IF(INDEX('Portfolio Register'!$DD$5:$DD$304,MATCH($B82,'Portfolio Register'!$DH$5:$DH$304,0))="","",INDEX('Portfolio Register'!$DD$5:$DD$304,MATCH($B82,'Portfolio Register'!$DH$5:$DH$304,0))),"")</f>
        <v/>
      </c>
      <c r="N82" s="144" t="str">
        <f ca="1">IF($C82="","",IF($M82&lt;&gt;"",$M82-IFERROR(INDEX('Portfolio Register'!$C$5:$C$304,MATCH($B82,'Portfolio Register'!$DH$5:$DH$304,0)),$M82),TODAY()-IFERROR(INDEX('Portfolio Register'!$C$5:$C$304,MATCH($B82,'Portfolio Register'!$DH$5:$DH$304,0)),TODAY())))</f>
        <v/>
      </c>
      <c r="O82" s="145" t="str">
        <f t="shared" si="1"/>
        <v/>
      </c>
      <c r="P82" s="140" t="str">
        <f>IFERROR(IF(INDEX('Portfolio Register'!$DG$5:$DG$304,MATCH($B82,'Portfolio Register'!$DH$5:$DH$304,0))="","",INDEX('Portfolio Register'!$DG$5:$DG$304,MATCH($B82,'Portfolio Register'!$DH$5:$DH$304,0))),"")</f>
        <v/>
      </c>
      <c r="Q82" s="140" t="str">
        <f>IFERROR(IF(INDEX('Portfolio Register'!$DF$5:$DF$304,MATCH($B82,'Portfolio Register'!$DH$5:$DH$304,0))="","",INDEX('Portfolio Register'!$DF$5:$DF$304,MATCH($B82,'Portfolio Register'!$DH$5:$DH$304,0))),"")</f>
        <v/>
      </c>
    </row>
    <row r="83" spans="2:17" x14ac:dyDescent="0.25">
      <c r="B83" s="63">
        <v>56</v>
      </c>
      <c r="C83" s="146" t="str">
        <f>IFERROR(IF(INDEX('Portfolio Register'!$A$5:$A$304,MATCH($B83,'Portfolio Register'!$DH$5:$DH$304,0))="","",INDEX('Portfolio Register'!$A$5:$A$304,MATCH($B83,'Portfolio Register'!$DH$5:$DH$304,0))),"")</f>
        <v/>
      </c>
      <c r="D83" s="146" t="str">
        <f>IFERROR(IF(INDEX('Portfolio Register'!$B$5:$B$304,MATCH($B83,'Portfolio Register'!$DH$5:$DH$304,0))="","",INDEX('Portfolio Register'!$B$5:$B$304,MATCH($B83,'Portfolio Register'!$DH$5:$DH$304,0))),"")</f>
        <v/>
      </c>
      <c r="E83" s="146" t="str">
        <f>IFERROR(IF(INDEX('Portfolio Register'!$I$5:$I$304,MATCH($B83,'Portfolio Register'!$DH$5:$DH$304,0))="","",INDEX('Portfolio Register'!$I$5:$I$304,MATCH($B83,'Portfolio Register'!$DH$5:$DH$304,0))),"")</f>
        <v/>
      </c>
      <c r="F83" s="147" t="str">
        <f>IFERROR(IF(INDEX('Portfolio Register'!$J$5:$J$304,MATCH($B83,'Portfolio Register'!$DH$5:$DH$304,0))="","",INDEX('Portfolio Register'!$J$5:$J$304,MATCH($B83,'Portfolio Register'!$DH$5:$DH$304,0))),"")</f>
        <v/>
      </c>
      <c r="G83" s="146" t="str">
        <f>IFERROR(IF(INDEX('Portfolio Register'!$CX$5:$CX$304,MATCH($B83,'Portfolio Register'!$DH$5:$DH$304,0))="","",INDEX('Portfolio Register'!$CX$5:$CX$304,MATCH($B83,'Portfolio Register'!$DH$5:$DH$304,0))),"")</f>
        <v/>
      </c>
      <c r="H83" s="148" t="str">
        <f>IFERROR(IF(INDEX('Portfolio Register'!$CY$5:$CY$304,MATCH($B83,'Portfolio Register'!$DH$5:$DH$304,0))="","",INDEX('Portfolio Register'!$CY$5:$CY$304,MATCH($B83,'Portfolio Register'!$DH$5:$DH$304,0))),"")</f>
        <v/>
      </c>
      <c r="I83" s="146" t="str">
        <f>IFERROR(IF(INDEX('Portfolio Register'!$CZ$5:$CZ$304,MATCH($B83,'Portfolio Register'!$DH$5:$DH$304,0))="","",INDEX('Portfolio Register'!$CZ$5:$CZ$304,MATCH($B83,'Portfolio Register'!$DH$5:$DH$304,0))),"")</f>
        <v/>
      </c>
      <c r="J83" s="146" t="str">
        <f>IFERROR(IF(INDEX('Portfolio Register'!$DA$5:$DA$304,MATCH($B83,'Portfolio Register'!$DH$5:$DH$304,0))="","",INDEX('Portfolio Register'!$DA$5:$DA$304,MATCH($B83,'Portfolio Register'!$DH$5:$DH$304,0))),"")</f>
        <v/>
      </c>
      <c r="K83" s="146" t="str">
        <f>IFERROR(IF(INDEX('Portfolio Register'!$DB$5:$DB$304,MATCH($B83,'Portfolio Register'!$DH$5:$DH$304,0))="","",INDEX('Portfolio Register'!$DB$5:$DB$304,MATCH($B83,'Portfolio Register'!$DH$5:$DH$304,0))),"")</f>
        <v/>
      </c>
      <c r="L83" s="146" t="str">
        <f>IFERROR(IF(INDEX('Portfolio Register'!$DC$5:$DC$304,MATCH($B83,'Portfolio Register'!$DH$5:$DH$304,0))="","",INDEX('Portfolio Register'!$DC$5:$DC$304,MATCH($B83,'Portfolio Register'!$DH$5:$DH$304,0))),"")</f>
        <v/>
      </c>
      <c r="M83" s="149" t="str">
        <f>IFERROR(IF(INDEX('Portfolio Register'!$DD$5:$DD$304,MATCH($B83,'Portfolio Register'!$DH$5:$DH$304,0))="","",INDEX('Portfolio Register'!$DD$5:$DD$304,MATCH($B83,'Portfolio Register'!$DH$5:$DH$304,0))),"")</f>
        <v/>
      </c>
      <c r="N83" s="150" t="str">
        <f ca="1">IF($C83="","",IF($M83&lt;&gt;"",$M83-IFERROR(INDEX('Portfolio Register'!$C$5:$C$304,MATCH($B83,'Portfolio Register'!$DH$5:$DH$304,0)),$M83),TODAY()-IFERROR(INDEX('Portfolio Register'!$C$5:$C$304,MATCH($B83,'Portfolio Register'!$DH$5:$DH$304,0)),TODAY())))</f>
        <v/>
      </c>
      <c r="O83" s="151" t="str">
        <f t="shared" si="1"/>
        <v/>
      </c>
      <c r="P83" s="146" t="str">
        <f>IFERROR(IF(INDEX('Portfolio Register'!$DG$5:$DG$304,MATCH($B83,'Portfolio Register'!$DH$5:$DH$304,0))="","",INDEX('Portfolio Register'!$DG$5:$DG$304,MATCH($B83,'Portfolio Register'!$DH$5:$DH$304,0))),"")</f>
        <v/>
      </c>
      <c r="Q83" s="146" t="str">
        <f>IFERROR(IF(INDEX('Portfolio Register'!$DF$5:$DF$304,MATCH($B83,'Portfolio Register'!$DH$5:$DH$304,0))="","",INDEX('Portfolio Register'!$DF$5:$DF$304,MATCH($B83,'Portfolio Register'!$DH$5:$DH$304,0))),"")</f>
        <v/>
      </c>
    </row>
    <row r="84" spans="2:17" x14ac:dyDescent="0.25">
      <c r="B84" s="56">
        <v>57</v>
      </c>
      <c r="C84" s="140" t="str">
        <f>IFERROR(IF(INDEX('Portfolio Register'!$A$5:$A$304,MATCH($B84,'Portfolio Register'!$DH$5:$DH$304,0))="","",INDEX('Portfolio Register'!$A$5:$A$304,MATCH($B84,'Portfolio Register'!$DH$5:$DH$304,0))),"")</f>
        <v/>
      </c>
      <c r="D84" s="140" t="str">
        <f>IFERROR(IF(INDEX('Portfolio Register'!$B$5:$B$304,MATCH($B84,'Portfolio Register'!$DH$5:$DH$304,0))="","",INDEX('Portfolio Register'!$B$5:$B$304,MATCH($B84,'Portfolio Register'!$DH$5:$DH$304,0))),"")</f>
        <v/>
      </c>
      <c r="E84" s="140" t="str">
        <f>IFERROR(IF(INDEX('Portfolio Register'!$I$5:$I$304,MATCH($B84,'Portfolio Register'!$DH$5:$DH$304,0))="","",INDEX('Portfolio Register'!$I$5:$I$304,MATCH($B84,'Portfolio Register'!$DH$5:$DH$304,0))),"")</f>
        <v/>
      </c>
      <c r="F84" s="141" t="str">
        <f>IFERROR(IF(INDEX('Portfolio Register'!$J$5:$J$304,MATCH($B84,'Portfolio Register'!$DH$5:$DH$304,0))="","",INDEX('Portfolio Register'!$J$5:$J$304,MATCH($B84,'Portfolio Register'!$DH$5:$DH$304,0))),"")</f>
        <v/>
      </c>
      <c r="G84" s="140" t="str">
        <f>IFERROR(IF(INDEX('Portfolio Register'!$CX$5:$CX$304,MATCH($B84,'Portfolio Register'!$DH$5:$DH$304,0))="","",INDEX('Portfolio Register'!$CX$5:$CX$304,MATCH($B84,'Portfolio Register'!$DH$5:$DH$304,0))),"")</f>
        <v/>
      </c>
      <c r="H84" s="142" t="str">
        <f>IFERROR(IF(INDEX('Portfolio Register'!$CY$5:$CY$304,MATCH($B84,'Portfolio Register'!$DH$5:$DH$304,0))="","",INDEX('Portfolio Register'!$CY$5:$CY$304,MATCH($B84,'Portfolio Register'!$DH$5:$DH$304,0))),"")</f>
        <v/>
      </c>
      <c r="I84" s="140" t="str">
        <f>IFERROR(IF(INDEX('Portfolio Register'!$CZ$5:$CZ$304,MATCH($B84,'Portfolio Register'!$DH$5:$DH$304,0))="","",INDEX('Portfolio Register'!$CZ$5:$CZ$304,MATCH($B84,'Portfolio Register'!$DH$5:$DH$304,0))),"")</f>
        <v/>
      </c>
      <c r="J84" s="140" t="str">
        <f>IFERROR(IF(INDEX('Portfolio Register'!$DA$5:$DA$304,MATCH($B84,'Portfolio Register'!$DH$5:$DH$304,0))="","",INDEX('Portfolio Register'!$DA$5:$DA$304,MATCH($B84,'Portfolio Register'!$DH$5:$DH$304,0))),"")</f>
        <v/>
      </c>
      <c r="K84" s="140" t="str">
        <f>IFERROR(IF(INDEX('Portfolio Register'!$DB$5:$DB$304,MATCH($B84,'Portfolio Register'!$DH$5:$DH$304,0))="","",INDEX('Portfolio Register'!$DB$5:$DB$304,MATCH($B84,'Portfolio Register'!$DH$5:$DH$304,0))),"")</f>
        <v/>
      </c>
      <c r="L84" s="140" t="str">
        <f>IFERROR(IF(INDEX('Portfolio Register'!$DC$5:$DC$304,MATCH($B84,'Portfolio Register'!$DH$5:$DH$304,0))="","",INDEX('Portfolio Register'!$DC$5:$DC$304,MATCH($B84,'Portfolio Register'!$DH$5:$DH$304,0))),"")</f>
        <v/>
      </c>
      <c r="M84" s="143" t="str">
        <f>IFERROR(IF(INDEX('Portfolio Register'!$DD$5:$DD$304,MATCH($B84,'Portfolio Register'!$DH$5:$DH$304,0))="","",INDEX('Portfolio Register'!$DD$5:$DD$304,MATCH($B84,'Portfolio Register'!$DH$5:$DH$304,0))),"")</f>
        <v/>
      </c>
      <c r="N84" s="144" t="str">
        <f ca="1">IF($C84="","",IF($M84&lt;&gt;"",$M84-IFERROR(INDEX('Portfolio Register'!$C$5:$C$304,MATCH($B84,'Portfolio Register'!$DH$5:$DH$304,0)),$M84),TODAY()-IFERROR(INDEX('Portfolio Register'!$C$5:$C$304,MATCH($B84,'Portfolio Register'!$DH$5:$DH$304,0)),TODAY())))</f>
        <v/>
      </c>
      <c r="O84" s="145" t="str">
        <f t="shared" si="1"/>
        <v/>
      </c>
      <c r="P84" s="140" t="str">
        <f>IFERROR(IF(INDEX('Portfolio Register'!$DG$5:$DG$304,MATCH($B84,'Portfolio Register'!$DH$5:$DH$304,0))="","",INDEX('Portfolio Register'!$DG$5:$DG$304,MATCH($B84,'Portfolio Register'!$DH$5:$DH$304,0))),"")</f>
        <v/>
      </c>
      <c r="Q84" s="140" t="str">
        <f>IFERROR(IF(INDEX('Portfolio Register'!$DF$5:$DF$304,MATCH($B84,'Portfolio Register'!$DH$5:$DH$304,0))="","",INDEX('Portfolio Register'!$DF$5:$DF$304,MATCH($B84,'Portfolio Register'!$DH$5:$DH$304,0))),"")</f>
        <v/>
      </c>
    </row>
    <row r="85" spans="2:17" x14ac:dyDescent="0.25">
      <c r="B85" s="63">
        <v>58</v>
      </c>
      <c r="C85" s="146" t="str">
        <f>IFERROR(IF(INDEX('Portfolio Register'!$A$5:$A$304,MATCH($B85,'Portfolio Register'!$DH$5:$DH$304,0))="","",INDEX('Portfolio Register'!$A$5:$A$304,MATCH($B85,'Portfolio Register'!$DH$5:$DH$304,0))),"")</f>
        <v/>
      </c>
      <c r="D85" s="146" t="str">
        <f>IFERROR(IF(INDEX('Portfolio Register'!$B$5:$B$304,MATCH($B85,'Portfolio Register'!$DH$5:$DH$304,0))="","",INDEX('Portfolio Register'!$B$5:$B$304,MATCH($B85,'Portfolio Register'!$DH$5:$DH$304,0))),"")</f>
        <v/>
      </c>
      <c r="E85" s="146" t="str">
        <f>IFERROR(IF(INDEX('Portfolio Register'!$I$5:$I$304,MATCH($B85,'Portfolio Register'!$DH$5:$DH$304,0))="","",INDEX('Portfolio Register'!$I$5:$I$304,MATCH($B85,'Portfolio Register'!$DH$5:$DH$304,0))),"")</f>
        <v/>
      </c>
      <c r="F85" s="147" t="str">
        <f>IFERROR(IF(INDEX('Portfolio Register'!$J$5:$J$304,MATCH($B85,'Portfolio Register'!$DH$5:$DH$304,0))="","",INDEX('Portfolio Register'!$J$5:$J$304,MATCH($B85,'Portfolio Register'!$DH$5:$DH$304,0))),"")</f>
        <v/>
      </c>
      <c r="G85" s="146" t="str">
        <f>IFERROR(IF(INDEX('Portfolio Register'!$CX$5:$CX$304,MATCH($B85,'Portfolio Register'!$DH$5:$DH$304,0))="","",INDEX('Portfolio Register'!$CX$5:$CX$304,MATCH($B85,'Portfolio Register'!$DH$5:$DH$304,0))),"")</f>
        <v/>
      </c>
      <c r="H85" s="148" t="str">
        <f>IFERROR(IF(INDEX('Portfolio Register'!$CY$5:$CY$304,MATCH($B85,'Portfolio Register'!$DH$5:$DH$304,0))="","",INDEX('Portfolio Register'!$CY$5:$CY$304,MATCH($B85,'Portfolio Register'!$DH$5:$DH$304,0))),"")</f>
        <v/>
      </c>
      <c r="I85" s="146" t="str">
        <f>IFERROR(IF(INDEX('Portfolio Register'!$CZ$5:$CZ$304,MATCH($B85,'Portfolio Register'!$DH$5:$DH$304,0))="","",INDEX('Portfolio Register'!$CZ$5:$CZ$304,MATCH($B85,'Portfolio Register'!$DH$5:$DH$304,0))),"")</f>
        <v/>
      </c>
      <c r="J85" s="146" t="str">
        <f>IFERROR(IF(INDEX('Portfolio Register'!$DA$5:$DA$304,MATCH($B85,'Portfolio Register'!$DH$5:$DH$304,0))="","",INDEX('Portfolio Register'!$DA$5:$DA$304,MATCH($B85,'Portfolio Register'!$DH$5:$DH$304,0))),"")</f>
        <v/>
      </c>
      <c r="K85" s="146" t="str">
        <f>IFERROR(IF(INDEX('Portfolio Register'!$DB$5:$DB$304,MATCH($B85,'Portfolio Register'!$DH$5:$DH$304,0))="","",INDEX('Portfolio Register'!$DB$5:$DB$304,MATCH($B85,'Portfolio Register'!$DH$5:$DH$304,0))),"")</f>
        <v/>
      </c>
      <c r="L85" s="146" t="str">
        <f>IFERROR(IF(INDEX('Portfolio Register'!$DC$5:$DC$304,MATCH($B85,'Portfolio Register'!$DH$5:$DH$304,0))="","",INDEX('Portfolio Register'!$DC$5:$DC$304,MATCH($B85,'Portfolio Register'!$DH$5:$DH$304,0))),"")</f>
        <v/>
      </c>
      <c r="M85" s="149" t="str">
        <f>IFERROR(IF(INDEX('Portfolio Register'!$DD$5:$DD$304,MATCH($B85,'Portfolio Register'!$DH$5:$DH$304,0))="","",INDEX('Portfolio Register'!$DD$5:$DD$304,MATCH($B85,'Portfolio Register'!$DH$5:$DH$304,0))),"")</f>
        <v/>
      </c>
      <c r="N85" s="150" t="str">
        <f ca="1">IF($C85="","",IF($M85&lt;&gt;"",$M85-IFERROR(INDEX('Portfolio Register'!$C$5:$C$304,MATCH($B85,'Portfolio Register'!$DH$5:$DH$304,0)),$M85),TODAY()-IFERROR(INDEX('Portfolio Register'!$C$5:$C$304,MATCH($B85,'Portfolio Register'!$DH$5:$DH$304,0)),TODAY())))</f>
        <v/>
      </c>
      <c r="O85" s="151" t="str">
        <f t="shared" si="1"/>
        <v/>
      </c>
      <c r="P85" s="146" t="str">
        <f>IFERROR(IF(INDEX('Portfolio Register'!$DG$5:$DG$304,MATCH($B85,'Portfolio Register'!$DH$5:$DH$304,0))="","",INDEX('Portfolio Register'!$DG$5:$DG$304,MATCH($B85,'Portfolio Register'!$DH$5:$DH$304,0))),"")</f>
        <v/>
      </c>
      <c r="Q85" s="146" t="str">
        <f>IFERROR(IF(INDEX('Portfolio Register'!$DF$5:$DF$304,MATCH($B85,'Portfolio Register'!$DH$5:$DH$304,0))="","",INDEX('Portfolio Register'!$DF$5:$DF$304,MATCH($B85,'Portfolio Register'!$DH$5:$DH$304,0))),"")</f>
        <v/>
      </c>
    </row>
    <row r="86" spans="2:17" x14ac:dyDescent="0.25">
      <c r="B86" s="56">
        <v>59</v>
      </c>
      <c r="C86" s="140" t="str">
        <f>IFERROR(IF(INDEX('Portfolio Register'!$A$5:$A$304,MATCH($B86,'Portfolio Register'!$DH$5:$DH$304,0))="","",INDEX('Portfolio Register'!$A$5:$A$304,MATCH($B86,'Portfolio Register'!$DH$5:$DH$304,0))),"")</f>
        <v/>
      </c>
      <c r="D86" s="140" t="str">
        <f>IFERROR(IF(INDEX('Portfolio Register'!$B$5:$B$304,MATCH($B86,'Portfolio Register'!$DH$5:$DH$304,0))="","",INDEX('Portfolio Register'!$B$5:$B$304,MATCH($B86,'Portfolio Register'!$DH$5:$DH$304,0))),"")</f>
        <v/>
      </c>
      <c r="E86" s="140" t="str">
        <f>IFERROR(IF(INDEX('Portfolio Register'!$I$5:$I$304,MATCH($B86,'Portfolio Register'!$DH$5:$DH$304,0))="","",INDEX('Portfolio Register'!$I$5:$I$304,MATCH($B86,'Portfolio Register'!$DH$5:$DH$304,0))),"")</f>
        <v/>
      </c>
      <c r="F86" s="141" t="str">
        <f>IFERROR(IF(INDEX('Portfolio Register'!$J$5:$J$304,MATCH($B86,'Portfolio Register'!$DH$5:$DH$304,0))="","",INDEX('Portfolio Register'!$J$5:$J$304,MATCH($B86,'Portfolio Register'!$DH$5:$DH$304,0))),"")</f>
        <v/>
      </c>
      <c r="G86" s="140" t="str">
        <f>IFERROR(IF(INDEX('Portfolio Register'!$CX$5:$CX$304,MATCH($B86,'Portfolio Register'!$DH$5:$DH$304,0))="","",INDEX('Portfolio Register'!$CX$5:$CX$304,MATCH($B86,'Portfolio Register'!$DH$5:$DH$304,0))),"")</f>
        <v/>
      </c>
      <c r="H86" s="142" t="str">
        <f>IFERROR(IF(INDEX('Portfolio Register'!$CY$5:$CY$304,MATCH($B86,'Portfolio Register'!$DH$5:$DH$304,0))="","",INDEX('Portfolio Register'!$CY$5:$CY$304,MATCH($B86,'Portfolio Register'!$DH$5:$DH$304,0))),"")</f>
        <v/>
      </c>
      <c r="I86" s="140" t="str">
        <f>IFERROR(IF(INDEX('Portfolio Register'!$CZ$5:$CZ$304,MATCH($B86,'Portfolio Register'!$DH$5:$DH$304,0))="","",INDEX('Portfolio Register'!$CZ$5:$CZ$304,MATCH($B86,'Portfolio Register'!$DH$5:$DH$304,0))),"")</f>
        <v/>
      </c>
      <c r="J86" s="140" t="str">
        <f>IFERROR(IF(INDEX('Portfolio Register'!$DA$5:$DA$304,MATCH($B86,'Portfolio Register'!$DH$5:$DH$304,0))="","",INDEX('Portfolio Register'!$DA$5:$DA$304,MATCH($B86,'Portfolio Register'!$DH$5:$DH$304,0))),"")</f>
        <v/>
      </c>
      <c r="K86" s="140" t="str">
        <f>IFERROR(IF(INDEX('Portfolio Register'!$DB$5:$DB$304,MATCH($B86,'Portfolio Register'!$DH$5:$DH$304,0))="","",INDEX('Portfolio Register'!$DB$5:$DB$304,MATCH($B86,'Portfolio Register'!$DH$5:$DH$304,0))),"")</f>
        <v/>
      </c>
      <c r="L86" s="140" t="str">
        <f>IFERROR(IF(INDEX('Portfolio Register'!$DC$5:$DC$304,MATCH($B86,'Portfolio Register'!$DH$5:$DH$304,0))="","",INDEX('Portfolio Register'!$DC$5:$DC$304,MATCH($B86,'Portfolio Register'!$DH$5:$DH$304,0))),"")</f>
        <v/>
      </c>
      <c r="M86" s="143" t="str">
        <f>IFERROR(IF(INDEX('Portfolio Register'!$DD$5:$DD$304,MATCH($B86,'Portfolio Register'!$DH$5:$DH$304,0))="","",INDEX('Portfolio Register'!$DD$5:$DD$304,MATCH($B86,'Portfolio Register'!$DH$5:$DH$304,0))),"")</f>
        <v/>
      </c>
      <c r="N86" s="144" t="str">
        <f ca="1">IF($C86="","",IF($M86&lt;&gt;"",$M86-IFERROR(INDEX('Portfolio Register'!$C$5:$C$304,MATCH($B86,'Portfolio Register'!$DH$5:$DH$304,0)),$M86),TODAY()-IFERROR(INDEX('Portfolio Register'!$C$5:$C$304,MATCH($B86,'Portfolio Register'!$DH$5:$DH$304,0)),TODAY())))</f>
        <v/>
      </c>
      <c r="O86" s="145" t="str">
        <f t="shared" si="1"/>
        <v/>
      </c>
      <c r="P86" s="140" t="str">
        <f>IFERROR(IF(INDEX('Portfolio Register'!$DG$5:$DG$304,MATCH($B86,'Portfolio Register'!$DH$5:$DH$304,0))="","",INDEX('Portfolio Register'!$DG$5:$DG$304,MATCH($B86,'Portfolio Register'!$DH$5:$DH$304,0))),"")</f>
        <v/>
      </c>
      <c r="Q86" s="140" t="str">
        <f>IFERROR(IF(INDEX('Portfolio Register'!$DF$5:$DF$304,MATCH($B86,'Portfolio Register'!$DH$5:$DH$304,0))="","",INDEX('Portfolio Register'!$DF$5:$DF$304,MATCH($B86,'Portfolio Register'!$DH$5:$DH$304,0))),"")</f>
        <v/>
      </c>
    </row>
    <row r="87" spans="2:17" x14ac:dyDescent="0.25">
      <c r="B87" s="63">
        <v>60</v>
      </c>
      <c r="C87" s="146" t="str">
        <f>IFERROR(IF(INDEX('Portfolio Register'!$A$5:$A$304,MATCH($B87,'Portfolio Register'!$DH$5:$DH$304,0))="","",INDEX('Portfolio Register'!$A$5:$A$304,MATCH($B87,'Portfolio Register'!$DH$5:$DH$304,0))),"")</f>
        <v/>
      </c>
      <c r="D87" s="146" t="str">
        <f>IFERROR(IF(INDEX('Portfolio Register'!$B$5:$B$304,MATCH($B87,'Portfolio Register'!$DH$5:$DH$304,0))="","",INDEX('Portfolio Register'!$B$5:$B$304,MATCH($B87,'Portfolio Register'!$DH$5:$DH$304,0))),"")</f>
        <v/>
      </c>
      <c r="E87" s="146" t="str">
        <f>IFERROR(IF(INDEX('Portfolio Register'!$I$5:$I$304,MATCH($B87,'Portfolio Register'!$DH$5:$DH$304,0))="","",INDEX('Portfolio Register'!$I$5:$I$304,MATCH($B87,'Portfolio Register'!$DH$5:$DH$304,0))),"")</f>
        <v/>
      </c>
      <c r="F87" s="147" t="str">
        <f>IFERROR(IF(INDEX('Portfolio Register'!$J$5:$J$304,MATCH($B87,'Portfolio Register'!$DH$5:$DH$304,0))="","",INDEX('Portfolio Register'!$J$5:$J$304,MATCH($B87,'Portfolio Register'!$DH$5:$DH$304,0))),"")</f>
        <v/>
      </c>
      <c r="G87" s="146" t="str">
        <f>IFERROR(IF(INDEX('Portfolio Register'!$CX$5:$CX$304,MATCH($B87,'Portfolio Register'!$DH$5:$DH$304,0))="","",INDEX('Portfolio Register'!$CX$5:$CX$304,MATCH($B87,'Portfolio Register'!$DH$5:$DH$304,0))),"")</f>
        <v/>
      </c>
      <c r="H87" s="148" t="str">
        <f>IFERROR(IF(INDEX('Portfolio Register'!$CY$5:$CY$304,MATCH($B87,'Portfolio Register'!$DH$5:$DH$304,0))="","",INDEX('Portfolio Register'!$CY$5:$CY$304,MATCH($B87,'Portfolio Register'!$DH$5:$DH$304,0))),"")</f>
        <v/>
      </c>
      <c r="I87" s="146" t="str">
        <f>IFERROR(IF(INDEX('Portfolio Register'!$CZ$5:$CZ$304,MATCH($B87,'Portfolio Register'!$DH$5:$DH$304,0))="","",INDEX('Portfolio Register'!$CZ$5:$CZ$304,MATCH($B87,'Portfolio Register'!$DH$5:$DH$304,0))),"")</f>
        <v/>
      </c>
      <c r="J87" s="146" t="str">
        <f>IFERROR(IF(INDEX('Portfolio Register'!$DA$5:$DA$304,MATCH($B87,'Portfolio Register'!$DH$5:$DH$304,0))="","",INDEX('Portfolio Register'!$DA$5:$DA$304,MATCH($B87,'Portfolio Register'!$DH$5:$DH$304,0))),"")</f>
        <v/>
      </c>
      <c r="K87" s="146" t="str">
        <f>IFERROR(IF(INDEX('Portfolio Register'!$DB$5:$DB$304,MATCH($B87,'Portfolio Register'!$DH$5:$DH$304,0))="","",INDEX('Portfolio Register'!$DB$5:$DB$304,MATCH($B87,'Portfolio Register'!$DH$5:$DH$304,0))),"")</f>
        <v/>
      </c>
      <c r="L87" s="146" t="str">
        <f>IFERROR(IF(INDEX('Portfolio Register'!$DC$5:$DC$304,MATCH($B87,'Portfolio Register'!$DH$5:$DH$304,0))="","",INDEX('Portfolio Register'!$DC$5:$DC$304,MATCH($B87,'Portfolio Register'!$DH$5:$DH$304,0))),"")</f>
        <v/>
      </c>
      <c r="M87" s="149" t="str">
        <f>IFERROR(IF(INDEX('Portfolio Register'!$DD$5:$DD$304,MATCH($B87,'Portfolio Register'!$DH$5:$DH$304,0))="","",INDEX('Portfolio Register'!$DD$5:$DD$304,MATCH($B87,'Portfolio Register'!$DH$5:$DH$304,0))),"")</f>
        <v/>
      </c>
      <c r="N87" s="150" t="str">
        <f ca="1">IF($C87="","",IF($M87&lt;&gt;"",$M87-IFERROR(INDEX('Portfolio Register'!$C$5:$C$304,MATCH($B87,'Portfolio Register'!$DH$5:$DH$304,0)),$M87),TODAY()-IFERROR(INDEX('Portfolio Register'!$C$5:$C$304,MATCH($B87,'Portfolio Register'!$DH$5:$DH$304,0)),TODAY())))</f>
        <v/>
      </c>
      <c r="O87" s="151" t="str">
        <f t="shared" si="1"/>
        <v/>
      </c>
      <c r="P87" s="146" t="str">
        <f>IFERROR(IF(INDEX('Portfolio Register'!$DG$5:$DG$304,MATCH($B87,'Portfolio Register'!$DH$5:$DH$304,0))="","",INDEX('Portfolio Register'!$DG$5:$DG$304,MATCH($B87,'Portfolio Register'!$DH$5:$DH$304,0))),"")</f>
        <v/>
      </c>
      <c r="Q87" s="146" t="str">
        <f>IFERROR(IF(INDEX('Portfolio Register'!$DF$5:$DF$304,MATCH($B87,'Portfolio Register'!$DH$5:$DH$304,0))="","",INDEX('Portfolio Register'!$DF$5:$DF$304,MATCH($B87,'Portfolio Register'!$DH$5:$DH$304,0))),"")</f>
        <v/>
      </c>
    </row>
    <row r="88" spans="2:17" x14ac:dyDescent="0.25">
      <c r="B88" s="56">
        <v>61</v>
      </c>
      <c r="C88" s="140" t="str">
        <f>IFERROR(IF(INDEX('Portfolio Register'!$A$5:$A$304,MATCH($B88,'Portfolio Register'!$DH$5:$DH$304,0))="","",INDEX('Portfolio Register'!$A$5:$A$304,MATCH($B88,'Portfolio Register'!$DH$5:$DH$304,0))),"")</f>
        <v/>
      </c>
      <c r="D88" s="140" t="str">
        <f>IFERROR(IF(INDEX('Portfolio Register'!$B$5:$B$304,MATCH($B88,'Portfolio Register'!$DH$5:$DH$304,0))="","",INDEX('Portfolio Register'!$B$5:$B$304,MATCH($B88,'Portfolio Register'!$DH$5:$DH$304,0))),"")</f>
        <v/>
      </c>
      <c r="E88" s="140" t="str">
        <f>IFERROR(IF(INDEX('Portfolio Register'!$I$5:$I$304,MATCH($B88,'Portfolio Register'!$DH$5:$DH$304,0))="","",INDEX('Portfolio Register'!$I$5:$I$304,MATCH($B88,'Portfolio Register'!$DH$5:$DH$304,0))),"")</f>
        <v/>
      </c>
      <c r="F88" s="141" t="str">
        <f>IFERROR(IF(INDEX('Portfolio Register'!$J$5:$J$304,MATCH($B88,'Portfolio Register'!$DH$5:$DH$304,0))="","",INDEX('Portfolio Register'!$J$5:$J$304,MATCH($B88,'Portfolio Register'!$DH$5:$DH$304,0))),"")</f>
        <v/>
      </c>
      <c r="G88" s="140" t="str">
        <f>IFERROR(IF(INDEX('Portfolio Register'!$CX$5:$CX$304,MATCH($B88,'Portfolio Register'!$DH$5:$DH$304,0))="","",INDEX('Portfolio Register'!$CX$5:$CX$304,MATCH($B88,'Portfolio Register'!$DH$5:$DH$304,0))),"")</f>
        <v/>
      </c>
      <c r="H88" s="142" t="str">
        <f>IFERROR(IF(INDEX('Portfolio Register'!$CY$5:$CY$304,MATCH($B88,'Portfolio Register'!$DH$5:$DH$304,0))="","",INDEX('Portfolio Register'!$CY$5:$CY$304,MATCH($B88,'Portfolio Register'!$DH$5:$DH$304,0))),"")</f>
        <v/>
      </c>
      <c r="I88" s="140" t="str">
        <f>IFERROR(IF(INDEX('Portfolio Register'!$CZ$5:$CZ$304,MATCH($B88,'Portfolio Register'!$DH$5:$DH$304,0))="","",INDEX('Portfolio Register'!$CZ$5:$CZ$304,MATCH($B88,'Portfolio Register'!$DH$5:$DH$304,0))),"")</f>
        <v/>
      </c>
      <c r="J88" s="140" t="str">
        <f>IFERROR(IF(INDEX('Portfolio Register'!$DA$5:$DA$304,MATCH($B88,'Portfolio Register'!$DH$5:$DH$304,0))="","",INDEX('Portfolio Register'!$DA$5:$DA$304,MATCH($B88,'Portfolio Register'!$DH$5:$DH$304,0))),"")</f>
        <v/>
      </c>
      <c r="K88" s="140" t="str">
        <f>IFERROR(IF(INDEX('Portfolio Register'!$DB$5:$DB$304,MATCH($B88,'Portfolio Register'!$DH$5:$DH$304,0))="","",INDEX('Portfolio Register'!$DB$5:$DB$304,MATCH($B88,'Portfolio Register'!$DH$5:$DH$304,0))),"")</f>
        <v/>
      </c>
      <c r="L88" s="140" t="str">
        <f>IFERROR(IF(INDEX('Portfolio Register'!$DC$5:$DC$304,MATCH($B88,'Portfolio Register'!$DH$5:$DH$304,0))="","",INDEX('Portfolio Register'!$DC$5:$DC$304,MATCH($B88,'Portfolio Register'!$DH$5:$DH$304,0))),"")</f>
        <v/>
      </c>
      <c r="M88" s="143" t="str">
        <f>IFERROR(IF(INDEX('Portfolio Register'!$DD$5:$DD$304,MATCH($B88,'Portfolio Register'!$DH$5:$DH$304,0))="","",INDEX('Portfolio Register'!$DD$5:$DD$304,MATCH($B88,'Portfolio Register'!$DH$5:$DH$304,0))),"")</f>
        <v/>
      </c>
      <c r="N88" s="144" t="str">
        <f ca="1">IF($C88="","",IF($M88&lt;&gt;"",$M88-IFERROR(INDEX('Portfolio Register'!$C$5:$C$304,MATCH($B88,'Portfolio Register'!$DH$5:$DH$304,0)),$M88),TODAY()-IFERROR(INDEX('Portfolio Register'!$C$5:$C$304,MATCH($B88,'Portfolio Register'!$DH$5:$DH$304,0)),TODAY())))</f>
        <v/>
      </c>
      <c r="O88" s="145" t="str">
        <f t="shared" si="1"/>
        <v/>
      </c>
      <c r="P88" s="140" t="str">
        <f>IFERROR(IF(INDEX('Portfolio Register'!$DG$5:$DG$304,MATCH($B88,'Portfolio Register'!$DH$5:$DH$304,0))="","",INDEX('Portfolio Register'!$DG$5:$DG$304,MATCH($B88,'Portfolio Register'!$DH$5:$DH$304,0))),"")</f>
        <v/>
      </c>
      <c r="Q88" s="140" t="str">
        <f>IFERROR(IF(INDEX('Portfolio Register'!$DF$5:$DF$304,MATCH($B88,'Portfolio Register'!$DH$5:$DH$304,0))="","",INDEX('Portfolio Register'!$DF$5:$DF$304,MATCH($B88,'Portfolio Register'!$DH$5:$DH$304,0))),"")</f>
        <v/>
      </c>
    </row>
    <row r="89" spans="2:17" x14ac:dyDescent="0.25">
      <c r="B89" s="63">
        <v>62</v>
      </c>
      <c r="C89" s="146" t="str">
        <f>IFERROR(IF(INDEX('Portfolio Register'!$A$5:$A$304,MATCH($B89,'Portfolio Register'!$DH$5:$DH$304,0))="","",INDEX('Portfolio Register'!$A$5:$A$304,MATCH($B89,'Portfolio Register'!$DH$5:$DH$304,0))),"")</f>
        <v/>
      </c>
      <c r="D89" s="146" t="str">
        <f>IFERROR(IF(INDEX('Portfolio Register'!$B$5:$B$304,MATCH($B89,'Portfolio Register'!$DH$5:$DH$304,0))="","",INDEX('Portfolio Register'!$B$5:$B$304,MATCH($B89,'Portfolio Register'!$DH$5:$DH$304,0))),"")</f>
        <v/>
      </c>
      <c r="E89" s="146" t="str">
        <f>IFERROR(IF(INDEX('Portfolio Register'!$I$5:$I$304,MATCH($B89,'Portfolio Register'!$DH$5:$DH$304,0))="","",INDEX('Portfolio Register'!$I$5:$I$304,MATCH($B89,'Portfolio Register'!$DH$5:$DH$304,0))),"")</f>
        <v/>
      </c>
      <c r="F89" s="147" t="str">
        <f>IFERROR(IF(INDEX('Portfolio Register'!$J$5:$J$304,MATCH($B89,'Portfolio Register'!$DH$5:$DH$304,0))="","",INDEX('Portfolio Register'!$J$5:$J$304,MATCH($B89,'Portfolio Register'!$DH$5:$DH$304,0))),"")</f>
        <v/>
      </c>
      <c r="G89" s="146" t="str">
        <f>IFERROR(IF(INDEX('Portfolio Register'!$CX$5:$CX$304,MATCH($B89,'Portfolio Register'!$DH$5:$DH$304,0))="","",INDEX('Portfolio Register'!$CX$5:$CX$304,MATCH($B89,'Portfolio Register'!$DH$5:$DH$304,0))),"")</f>
        <v/>
      </c>
      <c r="H89" s="148" t="str">
        <f>IFERROR(IF(INDEX('Portfolio Register'!$CY$5:$CY$304,MATCH($B89,'Portfolio Register'!$DH$5:$DH$304,0))="","",INDEX('Portfolio Register'!$CY$5:$CY$304,MATCH($B89,'Portfolio Register'!$DH$5:$DH$304,0))),"")</f>
        <v/>
      </c>
      <c r="I89" s="146" t="str">
        <f>IFERROR(IF(INDEX('Portfolio Register'!$CZ$5:$CZ$304,MATCH($B89,'Portfolio Register'!$DH$5:$DH$304,0))="","",INDEX('Portfolio Register'!$CZ$5:$CZ$304,MATCH($B89,'Portfolio Register'!$DH$5:$DH$304,0))),"")</f>
        <v/>
      </c>
      <c r="J89" s="146" t="str">
        <f>IFERROR(IF(INDEX('Portfolio Register'!$DA$5:$DA$304,MATCH($B89,'Portfolio Register'!$DH$5:$DH$304,0))="","",INDEX('Portfolio Register'!$DA$5:$DA$304,MATCH($B89,'Portfolio Register'!$DH$5:$DH$304,0))),"")</f>
        <v/>
      </c>
      <c r="K89" s="146" t="str">
        <f>IFERROR(IF(INDEX('Portfolio Register'!$DB$5:$DB$304,MATCH($B89,'Portfolio Register'!$DH$5:$DH$304,0))="","",INDEX('Portfolio Register'!$DB$5:$DB$304,MATCH($B89,'Portfolio Register'!$DH$5:$DH$304,0))),"")</f>
        <v/>
      </c>
      <c r="L89" s="146" t="str">
        <f>IFERROR(IF(INDEX('Portfolio Register'!$DC$5:$DC$304,MATCH($B89,'Portfolio Register'!$DH$5:$DH$304,0))="","",INDEX('Portfolio Register'!$DC$5:$DC$304,MATCH($B89,'Portfolio Register'!$DH$5:$DH$304,0))),"")</f>
        <v/>
      </c>
      <c r="M89" s="149" t="str">
        <f>IFERROR(IF(INDEX('Portfolio Register'!$DD$5:$DD$304,MATCH($B89,'Portfolio Register'!$DH$5:$DH$304,0))="","",INDEX('Portfolio Register'!$DD$5:$DD$304,MATCH($B89,'Portfolio Register'!$DH$5:$DH$304,0))),"")</f>
        <v/>
      </c>
      <c r="N89" s="150" t="str">
        <f ca="1">IF($C89="","",IF($M89&lt;&gt;"",$M89-IFERROR(INDEX('Portfolio Register'!$C$5:$C$304,MATCH($B89,'Portfolio Register'!$DH$5:$DH$304,0)),$M89),TODAY()-IFERROR(INDEX('Portfolio Register'!$C$5:$C$304,MATCH($B89,'Portfolio Register'!$DH$5:$DH$304,0)),TODAY())))</f>
        <v/>
      </c>
      <c r="O89" s="151" t="str">
        <f t="shared" si="1"/>
        <v/>
      </c>
      <c r="P89" s="146" t="str">
        <f>IFERROR(IF(INDEX('Portfolio Register'!$DG$5:$DG$304,MATCH($B89,'Portfolio Register'!$DH$5:$DH$304,0))="","",INDEX('Portfolio Register'!$DG$5:$DG$304,MATCH($B89,'Portfolio Register'!$DH$5:$DH$304,0))),"")</f>
        <v/>
      </c>
      <c r="Q89" s="146" t="str">
        <f>IFERROR(IF(INDEX('Portfolio Register'!$DF$5:$DF$304,MATCH($B89,'Portfolio Register'!$DH$5:$DH$304,0))="","",INDEX('Portfolio Register'!$DF$5:$DF$304,MATCH($B89,'Portfolio Register'!$DH$5:$DH$304,0))),"")</f>
        <v/>
      </c>
    </row>
    <row r="90" spans="2:17" x14ac:dyDescent="0.25">
      <c r="B90" s="56">
        <v>63</v>
      </c>
      <c r="C90" s="140" t="str">
        <f>IFERROR(IF(INDEX('Portfolio Register'!$A$5:$A$304,MATCH($B90,'Portfolio Register'!$DH$5:$DH$304,0))="","",INDEX('Portfolio Register'!$A$5:$A$304,MATCH($B90,'Portfolio Register'!$DH$5:$DH$304,0))),"")</f>
        <v/>
      </c>
      <c r="D90" s="140" t="str">
        <f>IFERROR(IF(INDEX('Portfolio Register'!$B$5:$B$304,MATCH($B90,'Portfolio Register'!$DH$5:$DH$304,0))="","",INDEX('Portfolio Register'!$B$5:$B$304,MATCH($B90,'Portfolio Register'!$DH$5:$DH$304,0))),"")</f>
        <v/>
      </c>
      <c r="E90" s="140" t="str">
        <f>IFERROR(IF(INDEX('Portfolio Register'!$I$5:$I$304,MATCH($B90,'Portfolio Register'!$DH$5:$DH$304,0))="","",INDEX('Portfolio Register'!$I$5:$I$304,MATCH($B90,'Portfolio Register'!$DH$5:$DH$304,0))),"")</f>
        <v/>
      </c>
      <c r="F90" s="141" t="str">
        <f>IFERROR(IF(INDEX('Portfolio Register'!$J$5:$J$304,MATCH($B90,'Portfolio Register'!$DH$5:$DH$304,0))="","",INDEX('Portfolio Register'!$J$5:$J$304,MATCH($B90,'Portfolio Register'!$DH$5:$DH$304,0))),"")</f>
        <v/>
      </c>
      <c r="G90" s="140" t="str">
        <f>IFERROR(IF(INDEX('Portfolio Register'!$CX$5:$CX$304,MATCH($B90,'Portfolio Register'!$DH$5:$DH$304,0))="","",INDEX('Portfolio Register'!$CX$5:$CX$304,MATCH($B90,'Portfolio Register'!$DH$5:$DH$304,0))),"")</f>
        <v/>
      </c>
      <c r="H90" s="142" t="str">
        <f>IFERROR(IF(INDEX('Portfolio Register'!$CY$5:$CY$304,MATCH($B90,'Portfolio Register'!$DH$5:$DH$304,0))="","",INDEX('Portfolio Register'!$CY$5:$CY$304,MATCH($B90,'Portfolio Register'!$DH$5:$DH$304,0))),"")</f>
        <v/>
      </c>
      <c r="I90" s="140" t="str">
        <f>IFERROR(IF(INDEX('Portfolio Register'!$CZ$5:$CZ$304,MATCH($B90,'Portfolio Register'!$DH$5:$DH$304,0))="","",INDEX('Portfolio Register'!$CZ$5:$CZ$304,MATCH($B90,'Portfolio Register'!$DH$5:$DH$304,0))),"")</f>
        <v/>
      </c>
      <c r="J90" s="140" t="str">
        <f>IFERROR(IF(INDEX('Portfolio Register'!$DA$5:$DA$304,MATCH($B90,'Portfolio Register'!$DH$5:$DH$304,0))="","",INDEX('Portfolio Register'!$DA$5:$DA$304,MATCH($B90,'Portfolio Register'!$DH$5:$DH$304,0))),"")</f>
        <v/>
      </c>
      <c r="K90" s="140" t="str">
        <f>IFERROR(IF(INDEX('Portfolio Register'!$DB$5:$DB$304,MATCH($B90,'Portfolio Register'!$DH$5:$DH$304,0))="","",INDEX('Portfolio Register'!$DB$5:$DB$304,MATCH($B90,'Portfolio Register'!$DH$5:$DH$304,0))),"")</f>
        <v/>
      </c>
      <c r="L90" s="140" t="str">
        <f>IFERROR(IF(INDEX('Portfolio Register'!$DC$5:$DC$304,MATCH($B90,'Portfolio Register'!$DH$5:$DH$304,0))="","",INDEX('Portfolio Register'!$DC$5:$DC$304,MATCH($B90,'Portfolio Register'!$DH$5:$DH$304,0))),"")</f>
        <v/>
      </c>
      <c r="M90" s="143" t="str">
        <f>IFERROR(IF(INDEX('Portfolio Register'!$DD$5:$DD$304,MATCH($B90,'Portfolio Register'!$DH$5:$DH$304,0))="","",INDEX('Portfolio Register'!$DD$5:$DD$304,MATCH($B90,'Portfolio Register'!$DH$5:$DH$304,0))),"")</f>
        <v/>
      </c>
      <c r="N90" s="144" t="str">
        <f ca="1">IF($C90="","",IF($M90&lt;&gt;"",$M90-IFERROR(INDEX('Portfolio Register'!$C$5:$C$304,MATCH($B90,'Portfolio Register'!$DH$5:$DH$304,0)),$M90),TODAY()-IFERROR(INDEX('Portfolio Register'!$C$5:$C$304,MATCH($B90,'Portfolio Register'!$DH$5:$DH$304,0)),TODAY())))</f>
        <v/>
      </c>
      <c r="O90" s="145" t="str">
        <f t="shared" si="1"/>
        <v/>
      </c>
      <c r="P90" s="140" t="str">
        <f>IFERROR(IF(INDEX('Portfolio Register'!$DG$5:$DG$304,MATCH($B90,'Portfolio Register'!$DH$5:$DH$304,0))="","",INDEX('Portfolio Register'!$DG$5:$DG$304,MATCH($B90,'Portfolio Register'!$DH$5:$DH$304,0))),"")</f>
        <v/>
      </c>
      <c r="Q90" s="140" t="str">
        <f>IFERROR(IF(INDEX('Portfolio Register'!$DF$5:$DF$304,MATCH($B90,'Portfolio Register'!$DH$5:$DH$304,0))="","",INDEX('Portfolio Register'!$DF$5:$DF$304,MATCH($B90,'Portfolio Register'!$DH$5:$DH$304,0))),"")</f>
        <v/>
      </c>
    </row>
    <row r="91" spans="2:17" x14ac:dyDescent="0.25">
      <c r="B91" s="63">
        <v>64</v>
      </c>
      <c r="C91" s="146" t="str">
        <f>IFERROR(IF(INDEX('Portfolio Register'!$A$5:$A$304,MATCH($B91,'Portfolio Register'!$DH$5:$DH$304,0))="","",INDEX('Portfolio Register'!$A$5:$A$304,MATCH($B91,'Portfolio Register'!$DH$5:$DH$304,0))),"")</f>
        <v/>
      </c>
      <c r="D91" s="146" t="str">
        <f>IFERROR(IF(INDEX('Portfolio Register'!$B$5:$B$304,MATCH($B91,'Portfolio Register'!$DH$5:$DH$304,0))="","",INDEX('Portfolio Register'!$B$5:$B$304,MATCH($B91,'Portfolio Register'!$DH$5:$DH$304,0))),"")</f>
        <v/>
      </c>
      <c r="E91" s="146" t="str">
        <f>IFERROR(IF(INDEX('Portfolio Register'!$I$5:$I$304,MATCH($B91,'Portfolio Register'!$DH$5:$DH$304,0))="","",INDEX('Portfolio Register'!$I$5:$I$304,MATCH($B91,'Portfolio Register'!$DH$5:$DH$304,0))),"")</f>
        <v/>
      </c>
      <c r="F91" s="147" t="str">
        <f>IFERROR(IF(INDEX('Portfolio Register'!$J$5:$J$304,MATCH($B91,'Portfolio Register'!$DH$5:$DH$304,0))="","",INDEX('Portfolio Register'!$J$5:$J$304,MATCH($B91,'Portfolio Register'!$DH$5:$DH$304,0))),"")</f>
        <v/>
      </c>
      <c r="G91" s="146" t="str">
        <f>IFERROR(IF(INDEX('Portfolio Register'!$CX$5:$CX$304,MATCH($B91,'Portfolio Register'!$DH$5:$DH$304,0))="","",INDEX('Portfolio Register'!$CX$5:$CX$304,MATCH($B91,'Portfolio Register'!$DH$5:$DH$304,0))),"")</f>
        <v/>
      </c>
      <c r="H91" s="148" t="str">
        <f>IFERROR(IF(INDEX('Portfolio Register'!$CY$5:$CY$304,MATCH($B91,'Portfolio Register'!$DH$5:$DH$304,0))="","",INDEX('Portfolio Register'!$CY$5:$CY$304,MATCH($B91,'Portfolio Register'!$DH$5:$DH$304,0))),"")</f>
        <v/>
      </c>
      <c r="I91" s="146" t="str">
        <f>IFERROR(IF(INDEX('Portfolio Register'!$CZ$5:$CZ$304,MATCH($B91,'Portfolio Register'!$DH$5:$DH$304,0))="","",INDEX('Portfolio Register'!$CZ$5:$CZ$304,MATCH($B91,'Portfolio Register'!$DH$5:$DH$304,0))),"")</f>
        <v/>
      </c>
      <c r="J91" s="146" t="str">
        <f>IFERROR(IF(INDEX('Portfolio Register'!$DA$5:$DA$304,MATCH($B91,'Portfolio Register'!$DH$5:$DH$304,0))="","",INDEX('Portfolio Register'!$DA$5:$DA$304,MATCH($B91,'Portfolio Register'!$DH$5:$DH$304,0))),"")</f>
        <v/>
      </c>
      <c r="K91" s="146" t="str">
        <f>IFERROR(IF(INDEX('Portfolio Register'!$DB$5:$DB$304,MATCH($B91,'Portfolio Register'!$DH$5:$DH$304,0))="","",INDEX('Portfolio Register'!$DB$5:$DB$304,MATCH($B91,'Portfolio Register'!$DH$5:$DH$304,0))),"")</f>
        <v/>
      </c>
      <c r="L91" s="146" t="str">
        <f>IFERROR(IF(INDEX('Portfolio Register'!$DC$5:$DC$304,MATCH($B91,'Portfolio Register'!$DH$5:$DH$304,0))="","",INDEX('Portfolio Register'!$DC$5:$DC$304,MATCH($B91,'Portfolio Register'!$DH$5:$DH$304,0))),"")</f>
        <v/>
      </c>
      <c r="M91" s="149" t="str">
        <f>IFERROR(IF(INDEX('Portfolio Register'!$DD$5:$DD$304,MATCH($B91,'Portfolio Register'!$DH$5:$DH$304,0))="","",INDEX('Portfolio Register'!$DD$5:$DD$304,MATCH($B91,'Portfolio Register'!$DH$5:$DH$304,0))),"")</f>
        <v/>
      </c>
      <c r="N91" s="150" t="str">
        <f ca="1">IF($C91="","",IF($M91&lt;&gt;"",$M91-IFERROR(INDEX('Portfolio Register'!$C$5:$C$304,MATCH($B91,'Portfolio Register'!$DH$5:$DH$304,0)),$M91),TODAY()-IFERROR(INDEX('Portfolio Register'!$C$5:$C$304,MATCH($B91,'Portfolio Register'!$DH$5:$DH$304,0)),TODAY())))</f>
        <v/>
      </c>
      <c r="O91" s="151" t="str">
        <f t="shared" si="1"/>
        <v/>
      </c>
      <c r="P91" s="146" t="str">
        <f>IFERROR(IF(INDEX('Portfolio Register'!$DG$5:$DG$304,MATCH($B91,'Portfolio Register'!$DH$5:$DH$304,0))="","",INDEX('Portfolio Register'!$DG$5:$DG$304,MATCH($B91,'Portfolio Register'!$DH$5:$DH$304,0))),"")</f>
        <v/>
      </c>
      <c r="Q91" s="146" t="str">
        <f>IFERROR(IF(INDEX('Portfolio Register'!$DF$5:$DF$304,MATCH($B91,'Portfolio Register'!$DH$5:$DH$304,0))="","",INDEX('Portfolio Register'!$DF$5:$DF$304,MATCH($B91,'Portfolio Register'!$DH$5:$DH$304,0))),"")</f>
        <v/>
      </c>
    </row>
    <row r="92" spans="2:17" x14ac:dyDescent="0.25">
      <c r="B92" s="56">
        <v>65</v>
      </c>
      <c r="C92" s="140" t="str">
        <f>IFERROR(IF(INDEX('Portfolio Register'!$A$5:$A$304,MATCH($B92,'Portfolio Register'!$DH$5:$DH$304,0))="","",INDEX('Portfolio Register'!$A$5:$A$304,MATCH($B92,'Portfolio Register'!$DH$5:$DH$304,0))),"")</f>
        <v/>
      </c>
      <c r="D92" s="140" t="str">
        <f>IFERROR(IF(INDEX('Portfolio Register'!$B$5:$B$304,MATCH($B92,'Portfolio Register'!$DH$5:$DH$304,0))="","",INDEX('Portfolio Register'!$B$5:$B$304,MATCH($B92,'Portfolio Register'!$DH$5:$DH$304,0))),"")</f>
        <v/>
      </c>
      <c r="E92" s="140" t="str">
        <f>IFERROR(IF(INDEX('Portfolio Register'!$I$5:$I$304,MATCH($B92,'Portfolio Register'!$DH$5:$DH$304,0))="","",INDEX('Portfolio Register'!$I$5:$I$304,MATCH($B92,'Portfolio Register'!$DH$5:$DH$304,0))),"")</f>
        <v/>
      </c>
      <c r="F92" s="141" t="str">
        <f>IFERROR(IF(INDEX('Portfolio Register'!$J$5:$J$304,MATCH($B92,'Portfolio Register'!$DH$5:$DH$304,0))="","",INDEX('Portfolio Register'!$J$5:$J$304,MATCH($B92,'Portfolio Register'!$DH$5:$DH$304,0))),"")</f>
        <v/>
      </c>
      <c r="G92" s="140" t="str">
        <f>IFERROR(IF(INDEX('Portfolio Register'!$CX$5:$CX$304,MATCH($B92,'Portfolio Register'!$DH$5:$DH$304,0))="","",INDEX('Portfolio Register'!$CX$5:$CX$304,MATCH($B92,'Portfolio Register'!$DH$5:$DH$304,0))),"")</f>
        <v/>
      </c>
      <c r="H92" s="142" t="str">
        <f>IFERROR(IF(INDEX('Portfolio Register'!$CY$5:$CY$304,MATCH($B92,'Portfolio Register'!$DH$5:$DH$304,0))="","",INDEX('Portfolio Register'!$CY$5:$CY$304,MATCH($B92,'Portfolio Register'!$DH$5:$DH$304,0))),"")</f>
        <v/>
      </c>
      <c r="I92" s="140" t="str">
        <f>IFERROR(IF(INDEX('Portfolio Register'!$CZ$5:$CZ$304,MATCH($B92,'Portfolio Register'!$DH$5:$DH$304,0))="","",INDEX('Portfolio Register'!$CZ$5:$CZ$304,MATCH($B92,'Portfolio Register'!$DH$5:$DH$304,0))),"")</f>
        <v/>
      </c>
      <c r="J92" s="140" t="str">
        <f>IFERROR(IF(INDEX('Portfolio Register'!$DA$5:$DA$304,MATCH($B92,'Portfolio Register'!$DH$5:$DH$304,0))="","",INDEX('Portfolio Register'!$DA$5:$DA$304,MATCH($B92,'Portfolio Register'!$DH$5:$DH$304,0))),"")</f>
        <v/>
      </c>
      <c r="K92" s="140" t="str">
        <f>IFERROR(IF(INDEX('Portfolio Register'!$DB$5:$DB$304,MATCH($B92,'Portfolio Register'!$DH$5:$DH$304,0))="","",INDEX('Portfolio Register'!$DB$5:$DB$304,MATCH($B92,'Portfolio Register'!$DH$5:$DH$304,0))),"")</f>
        <v/>
      </c>
      <c r="L92" s="140" t="str">
        <f>IFERROR(IF(INDEX('Portfolio Register'!$DC$5:$DC$304,MATCH($B92,'Portfolio Register'!$DH$5:$DH$304,0))="","",INDEX('Portfolio Register'!$DC$5:$DC$304,MATCH($B92,'Portfolio Register'!$DH$5:$DH$304,0))),"")</f>
        <v/>
      </c>
      <c r="M92" s="143" t="str">
        <f>IFERROR(IF(INDEX('Portfolio Register'!$DD$5:$DD$304,MATCH($B92,'Portfolio Register'!$DH$5:$DH$304,0))="","",INDEX('Portfolio Register'!$DD$5:$DD$304,MATCH($B92,'Portfolio Register'!$DH$5:$DH$304,0))),"")</f>
        <v/>
      </c>
      <c r="N92" s="144" t="str">
        <f ca="1">IF($C92="","",IF($M92&lt;&gt;"",$M92-IFERROR(INDEX('Portfolio Register'!$C$5:$C$304,MATCH($B92,'Portfolio Register'!$DH$5:$DH$304,0)),$M92),TODAY()-IFERROR(INDEX('Portfolio Register'!$C$5:$C$304,MATCH($B92,'Portfolio Register'!$DH$5:$DH$304,0)),TODAY())))</f>
        <v/>
      </c>
      <c r="O92" s="145" t="str">
        <f t="shared" ref="O92:O123" si="2">IF($C92="","",IF($L92="","NO ROLE RECORDED",IF($H92&lt;IFERROR(INDEX($C$6:$C$10,MATCH($L92,$B$6:$B$10,0)),-99),"INSUFFICIENT AUTHORITY - escalate","OK")))</f>
        <v/>
      </c>
      <c r="P92" s="140" t="str">
        <f>IFERROR(IF(INDEX('Portfolio Register'!$DG$5:$DG$304,MATCH($B92,'Portfolio Register'!$DH$5:$DH$304,0))="","",INDEX('Portfolio Register'!$DG$5:$DG$304,MATCH($B92,'Portfolio Register'!$DH$5:$DH$304,0))),"")</f>
        <v/>
      </c>
      <c r="Q92" s="140" t="str">
        <f>IFERROR(IF(INDEX('Portfolio Register'!$DF$5:$DF$304,MATCH($B92,'Portfolio Register'!$DH$5:$DH$304,0))="","",INDEX('Portfolio Register'!$DF$5:$DF$304,MATCH($B92,'Portfolio Register'!$DH$5:$DH$304,0))),"")</f>
        <v/>
      </c>
    </row>
    <row r="93" spans="2:17" x14ac:dyDescent="0.25">
      <c r="B93" s="63">
        <v>66</v>
      </c>
      <c r="C93" s="146" t="str">
        <f>IFERROR(IF(INDEX('Portfolio Register'!$A$5:$A$304,MATCH($B93,'Portfolio Register'!$DH$5:$DH$304,0))="","",INDEX('Portfolio Register'!$A$5:$A$304,MATCH($B93,'Portfolio Register'!$DH$5:$DH$304,0))),"")</f>
        <v/>
      </c>
      <c r="D93" s="146" t="str">
        <f>IFERROR(IF(INDEX('Portfolio Register'!$B$5:$B$304,MATCH($B93,'Portfolio Register'!$DH$5:$DH$304,0))="","",INDEX('Portfolio Register'!$B$5:$B$304,MATCH($B93,'Portfolio Register'!$DH$5:$DH$304,0))),"")</f>
        <v/>
      </c>
      <c r="E93" s="146" t="str">
        <f>IFERROR(IF(INDEX('Portfolio Register'!$I$5:$I$304,MATCH($B93,'Portfolio Register'!$DH$5:$DH$304,0))="","",INDEX('Portfolio Register'!$I$5:$I$304,MATCH($B93,'Portfolio Register'!$DH$5:$DH$304,0))),"")</f>
        <v/>
      </c>
      <c r="F93" s="147" t="str">
        <f>IFERROR(IF(INDEX('Portfolio Register'!$J$5:$J$304,MATCH($B93,'Portfolio Register'!$DH$5:$DH$304,0))="","",INDEX('Portfolio Register'!$J$5:$J$304,MATCH($B93,'Portfolio Register'!$DH$5:$DH$304,0))),"")</f>
        <v/>
      </c>
      <c r="G93" s="146" t="str">
        <f>IFERROR(IF(INDEX('Portfolio Register'!$CX$5:$CX$304,MATCH($B93,'Portfolio Register'!$DH$5:$DH$304,0))="","",INDEX('Portfolio Register'!$CX$5:$CX$304,MATCH($B93,'Portfolio Register'!$DH$5:$DH$304,0))),"")</f>
        <v/>
      </c>
      <c r="H93" s="148" t="str">
        <f>IFERROR(IF(INDEX('Portfolio Register'!$CY$5:$CY$304,MATCH($B93,'Portfolio Register'!$DH$5:$DH$304,0))="","",INDEX('Portfolio Register'!$CY$5:$CY$304,MATCH($B93,'Portfolio Register'!$DH$5:$DH$304,0))),"")</f>
        <v/>
      </c>
      <c r="I93" s="146" t="str">
        <f>IFERROR(IF(INDEX('Portfolio Register'!$CZ$5:$CZ$304,MATCH($B93,'Portfolio Register'!$DH$5:$DH$304,0))="","",INDEX('Portfolio Register'!$CZ$5:$CZ$304,MATCH($B93,'Portfolio Register'!$DH$5:$DH$304,0))),"")</f>
        <v/>
      </c>
      <c r="J93" s="146" t="str">
        <f>IFERROR(IF(INDEX('Portfolio Register'!$DA$5:$DA$304,MATCH($B93,'Portfolio Register'!$DH$5:$DH$304,0))="","",INDEX('Portfolio Register'!$DA$5:$DA$304,MATCH($B93,'Portfolio Register'!$DH$5:$DH$304,0))),"")</f>
        <v/>
      </c>
      <c r="K93" s="146" t="str">
        <f>IFERROR(IF(INDEX('Portfolio Register'!$DB$5:$DB$304,MATCH($B93,'Portfolio Register'!$DH$5:$DH$304,0))="","",INDEX('Portfolio Register'!$DB$5:$DB$304,MATCH($B93,'Portfolio Register'!$DH$5:$DH$304,0))),"")</f>
        <v/>
      </c>
      <c r="L93" s="146" t="str">
        <f>IFERROR(IF(INDEX('Portfolio Register'!$DC$5:$DC$304,MATCH($B93,'Portfolio Register'!$DH$5:$DH$304,0))="","",INDEX('Portfolio Register'!$DC$5:$DC$304,MATCH($B93,'Portfolio Register'!$DH$5:$DH$304,0))),"")</f>
        <v/>
      </c>
      <c r="M93" s="149" t="str">
        <f>IFERROR(IF(INDEX('Portfolio Register'!$DD$5:$DD$304,MATCH($B93,'Portfolio Register'!$DH$5:$DH$304,0))="","",INDEX('Portfolio Register'!$DD$5:$DD$304,MATCH($B93,'Portfolio Register'!$DH$5:$DH$304,0))),"")</f>
        <v/>
      </c>
      <c r="N93" s="150" t="str">
        <f ca="1">IF($C93="","",IF($M93&lt;&gt;"",$M93-IFERROR(INDEX('Portfolio Register'!$C$5:$C$304,MATCH($B93,'Portfolio Register'!$DH$5:$DH$304,0)),$M93),TODAY()-IFERROR(INDEX('Portfolio Register'!$C$5:$C$304,MATCH($B93,'Portfolio Register'!$DH$5:$DH$304,0)),TODAY())))</f>
        <v/>
      </c>
      <c r="O93" s="151" t="str">
        <f t="shared" si="2"/>
        <v/>
      </c>
      <c r="P93" s="146" t="str">
        <f>IFERROR(IF(INDEX('Portfolio Register'!$DG$5:$DG$304,MATCH($B93,'Portfolio Register'!$DH$5:$DH$304,0))="","",INDEX('Portfolio Register'!$DG$5:$DG$304,MATCH($B93,'Portfolio Register'!$DH$5:$DH$304,0))),"")</f>
        <v/>
      </c>
      <c r="Q93" s="146" t="str">
        <f>IFERROR(IF(INDEX('Portfolio Register'!$DF$5:$DF$304,MATCH($B93,'Portfolio Register'!$DH$5:$DH$304,0))="","",INDEX('Portfolio Register'!$DF$5:$DF$304,MATCH($B93,'Portfolio Register'!$DH$5:$DH$304,0))),"")</f>
        <v/>
      </c>
    </row>
    <row r="94" spans="2:17" x14ac:dyDescent="0.25">
      <c r="B94" s="56">
        <v>67</v>
      </c>
      <c r="C94" s="140" t="str">
        <f>IFERROR(IF(INDEX('Portfolio Register'!$A$5:$A$304,MATCH($B94,'Portfolio Register'!$DH$5:$DH$304,0))="","",INDEX('Portfolio Register'!$A$5:$A$304,MATCH($B94,'Portfolio Register'!$DH$5:$DH$304,0))),"")</f>
        <v/>
      </c>
      <c r="D94" s="140" t="str">
        <f>IFERROR(IF(INDEX('Portfolio Register'!$B$5:$B$304,MATCH($B94,'Portfolio Register'!$DH$5:$DH$304,0))="","",INDEX('Portfolio Register'!$B$5:$B$304,MATCH($B94,'Portfolio Register'!$DH$5:$DH$304,0))),"")</f>
        <v/>
      </c>
      <c r="E94" s="140" t="str">
        <f>IFERROR(IF(INDEX('Portfolio Register'!$I$5:$I$304,MATCH($B94,'Portfolio Register'!$DH$5:$DH$304,0))="","",INDEX('Portfolio Register'!$I$5:$I$304,MATCH($B94,'Portfolio Register'!$DH$5:$DH$304,0))),"")</f>
        <v/>
      </c>
      <c r="F94" s="141" t="str">
        <f>IFERROR(IF(INDEX('Portfolio Register'!$J$5:$J$304,MATCH($B94,'Portfolio Register'!$DH$5:$DH$304,0))="","",INDEX('Portfolio Register'!$J$5:$J$304,MATCH($B94,'Portfolio Register'!$DH$5:$DH$304,0))),"")</f>
        <v/>
      </c>
      <c r="G94" s="140" t="str">
        <f>IFERROR(IF(INDEX('Portfolio Register'!$CX$5:$CX$304,MATCH($B94,'Portfolio Register'!$DH$5:$DH$304,0))="","",INDEX('Portfolio Register'!$CX$5:$CX$304,MATCH($B94,'Portfolio Register'!$DH$5:$DH$304,0))),"")</f>
        <v/>
      </c>
      <c r="H94" s="142" t="str">
        <f>IFERROR(IF(INDEX('Portfolio Register'!$CY$5:$CY$304,MATCH($B94,'Portfolio Register'!$DH$5:$DH$304,0))="","",INDEX('Portfolio Register'!$CY$5:$CY$304,MATCH($B94,'Portfolio Register'!$DH$5:$DH$304,0))),"")</f>
        <v/>
      </c>
      <c r="I94" s="140" t="str">
        <f>IFERROR(IF(INDEX('Portfolio Register'!$CZ$5:$CZ$304,MATCH($B94,'Portfolio Register'!$DH$5:$DH$304,0))="","",INDEX('Portfolio Register'!$CZ$5:$CZ$304,MATCH($B94,'Portfolio Register'!$DH$5:$DH$304,0))),"")</f>
        <v/>
      </c>
      <c r="J94" s="140" t="str">
        <f>IFERROR(IF(INDEX('Portfolio Register'!$DA$5:$DA$304,MATCH($B94,'Portfolio Register'!$DH$5:$DH$304,0))="","",INDEX('Portfolio Register'!$DA$5:$DA$304,MATCH($B94,'Portfolio Register'!$DH$5:$DH$304,0))),"")</f>
        <v/>
      </c>
      <c r="K94" s="140" t="str">
        <f>IFERROR(IF(INDEX('Portfolio Register'!$DB$5:$DB$304,MATCH($B94,'Portfolio Register'!$DH$5:$DH$304,0))="","",INDEX('Portfolio Register'!$DB$5:$DB$304,MATCH($B94,'Portfolio Register'!$DH$5:$DH$304,0))),"")</f>
        <v/>
      </c>
      <c r="L94" s="140" t="str">
        <f>IFERROR(IF(INDEX('Portfolio Register'!$DC$5:$DC$304,MATCH($B94,'Portfolio Register'!$DH$5:$DH$304,0))="","",INDEX('Portfolio Register'!$DC$5:$DC$304,MATCH($B94,'Portfolio Register'!$DH$5:$DH$304,0))),"")</f>
        <v/>
      </c>
      <c r="M94" s="143" t="str">
        <f>IFERROR(IF(INDEX('Portfolio Register'!$DD$5:$DD$304,MATCH($B94,'Portfolio Register'!$DH$5:$DH$304,0))="","",INDEX('Portfolio Register'!$DD$5:$DD$304,MATCH($B94,'Portfolio Register'!$DH$5:$DH$304,0))),"")</f>
        <v/>
      </c>
      <c r="N94" s="144" t="str">
        <f ca="1">IF($C94="","",IF($M94&lt;&gt;"",$M94-IFERROR(INDEX('Portfolio Register'!$C$5:$C$304,MATCH($B94,'Portfolio Register'!$DH$5:$DH$304,0)),$M94),TODAY()-IFERROR(INDEX('Portfolio Register'!$C$5:$C$304,MATCH($B94,'Portfolio Register'!$DH$5:$DH$304,0)),TODAY())))</f>
        <v/>
      </c>
      <c r="O94" s="145" t="str">
        <f t="shared" si="2"/>
        <v/>
      </c>
      <c r="P94" s="140" t="str">
        <f>IFERROR(IF(INDEX('Portfolio Register'!$DG$5:$DG$304,MATCH($B94,'Portfolio Register'!$DH$5:$DH$304,0))="","",INDEX('Portfolio Register'!$DG$5:$DG$304,MATCH($B94,'Portfolio Register'!$DH$5:$DH$304,0))),"")</f>
        <v/>
      </c>
      <c r="Q94" s="140" t="str">
        <f>IFERROR(IF(INDEX('Portfolio Register'!$DF$5:$DF$304,MATCH($B94,'Portfolio Register'!$DH$5:$DH$304,0))="","",INDEX('Portfolio Register'!$DF$5:$DF$304,MATCH($B94,'Portfolio Register'!$DH$5:$DH$304,0))),"")</f>
        <v/>
      </c>
    </row>
    <row r="95" spans="2:17" x14ac:dyDescent="0.25">
      <c r="B95" s="63">
        <v>68</v>
      </c>
      <c r="C95" s="146" t="str">
        <f>IFERROR(IF(INDEX('Portfolio Register'!$A$5:$A$304,MATCH($B95,'Portfolio Register'!$DH$5:$DH$304,0))="","",INDEX('Portfolio Register'!$A$5:$A$304,MATCH($B95,'Portfolio Register'!$DH$5:$DH$304,0))),"")</f>
        <v/>
      </c>
      <c r="D95" s="146" t="str">
        <f>IFERROR(IF(INDEX('Portfolio Register'!$B$5:$B$304,MATCH($B95,'Portfolio Register'!$DH$5:$DH$304,0))="","",INDEX('Portfolio Register'!$B$5:$B$304,MATCH($B95,'Portfolio Register'!$DH$5:$DH$304,0))),"")</f>
        <v/>
      </c>
      <c r="E95" s="146" t="str">
        <f>IFERROR(IF(INDEX('Portfolio Register'!$I$5:$I$304,MATCH($B95,'Portfolio Register'!$DH$5:$DH$304,0))="","",INDEX('Portfolio Register'!$I$5:$I$304,MATCH($B95,'Portfolio Register'!$DH$5:$DH$304,0))),"")</f>
        <v/>
      </c>
      <c r="F95" s="147" t="str">
        <f>IFERROR(IF(INDEX('Portfolio Register'!$J$5:$J$304,MATCH($B95,'Portfolio Register'!$DH$5:$DH$304,0))="","",INDEX('Portfolio Register'!$J$5:$J$304,MATCH($B95,'Portfolio Register'!$DH$5:$DH$304,0))),"")</f>
        <v/>
      </c>
      <c r="G95" s="146" t="str">
        <f>IFERROR(IF(INDEX('Portfolio Register'!$CX$5:$CX$304,MATCH($B95,'Portfolio Register'!$DH$5:$DH$304,0))="","",INDEX('Portfolio Register'!$CX$5:$CX$304,MATCH($B95,'Portfolio Register'!$DH$5:$DH$304,0))),"")</f>
        <v/>
      </c>
      <c r="H95" s="148" t="str">
        <f>IFERROR(IF(INDEX('Portfolio Register'!$CY$5:$CY$304,MATCH($B95,'Portfolio Register'!$DH$5:$DH$304,0))="","",INDEX('Portfolio Register'!$CY$5:$CY$304,MATCH($B95,'Portfolio Register'!$DH$5:$DH$304,0))),"")</f>
        <v/>
      </c>
      <c r="I95" s="146" t="str">
        <f>IFERROR(IF(INDEX('Portfolio Register'!$CZ$5:$CZ$304,MATCH($B95,'Portfolio Register'!$DH$5:$DH$304,0))="","",INDEX('Portfolio Register'!$CZ$5:$CZ$304,MATCH($B95,'Portfolio Register'!$DH$5:$DH$304,0))),"")</f>
        <v/>
      </c>
      <c r="J95" s="146" t="str">
        <f>IFERROR(IF(INDEX('Portfolio Register'!$DA$5:$DA$304,MATCH($B95,'Portfolio Register'!$DH$5:$DH$304,0))="","",INDEX('Portfolio Register'!$DA$5:$DA$304,MATCH($B95,'Portfolio Register'!$DH$5:$DH$304,0))),"")</f>
        <v/>
      </c>
      <c r="K95" s="146" t="str">
        <f>IFERROR(IF(INDEX('Portfolio Register'!$DB$5:$DB$304,MATCH($B95,'Portfolio Register'!$DH$5:$DH$304,0))="","",INDEX('Portfolio Register'!$DB$5:$DB$304,MATCH($B95,'Portfolio Register'!$DH$5:$DH$304,0))),"")</f>
        <v/>
      </c>
      <c r="L95" s="146" t="str">
        <f>IFERROR(IF(INDEX('Portfolio Register'!$DC$5:$DC$304,MATCH($B95,'Portfolio Register'!$DH$5:$DH$304,0))="","",INDEX('Portfolio Register'!$DC$5:$DC$304,MATCH($B95,'Portfolio Register'!$DH$5:$DH$304,0))),"")</f>
        <v/>
      </c>
      <c r="M95" s="149" t="str">
        <f>IFERROR(IF(INDEX('Portfolio Register'!$DD$5:$DD$304,MATCH($B95,'Portfolio Register'!$DH$5:$DH$304,0))="","",INDEX('Portfolio Register'!$DD$5:$DD$304,MATCH($B95,'Portfolio Register'!$DH$5:$DH$304,0))),"")</f>
        <v/>
      </c>
      <c r="N95" s="150" t="str">
        <f ca="1">IF($C95="","",IF($M95&lt;&gt;"",$M95-IFERROR(INDEX('Portfolio Register'!$C$5:$C$304,MATCH($B95,'Portfolio Register'!$DH$5:$DH$304,0)),$M95),TODAY()-IFERROR(INDEX('Portfolio Register'!$C$5:$C$304,MATCH($B95,'Portfolio Register'!$DH$5:$DH$304,0)),TODAY())))</f>
        <v/>
      </c>
      <c r="O95" s="151" t="str">
        <f t="shared" si="2"/>
        <v/>
      </c>
      <c r="P95" s="146" t="str">
        <f>IFERROR(IF(INDEX('Portfolio Register'!$DG$5:$DG$304,MATCH($B95,'Portfolio Register'!$DH$5:$DH$304,0))="","",INDEX('Portfolio Register'!$DG$5:$DG$304,MATCH($B95,'Portfolio Register'!$DH$5:$DH$304,0))),"")</f>
        <v/>
      </c>
      <c r="Q95" s="146" t="str">
        <f>IFERROR(IF(INDEX('Portfolio Register'!$DF$5:$DF$304,MATCH($B95,'Portfolio Register'!$DH$5:$DH$304,0))="","",INDEX('Portfolio Register'!$DF$5:$DF$304,MATCH($B95,'Portfolio Register'!$DH$5:$DH$304,0))),"")</f>
        <v/>
      </c>
    </row>
    <row r="96" spans="2:17" x14ac:dyDescent="0.25">
      <c r="B96" s="56">
        <v>69</v>
      </c>
      <c r="C96" s="140" t="str">
        <f>IFERROR(IF(INDEX('Portfolio Register'!$A$5:$A$304,MATCH($B96,'Portfolio Register'!$DH$5:$DH$304,0))="","",INDEX('Portfolio Register'!$A$5:$A$304,MATCH($B96,'Portfolio Register'!$DH$5:$DH$304,0))),"")</f>
        <v/>
      </c>
      <c r="D96" s="140" t="str">
        <f>IFERROR(IF(INDEX('Portfolio Register'!$B$5:$B$304,MATCH($B96,'Portfolio Register'!$DH$5:$DH$304,0))="","",INDEX('Portfolio Register'!$B$5:$B$304,MATCH($B96,'Portfolio Register'!$DH$5:$DH$304,0))),"")</f>
        <v/>
      </c>
      <c r="E96" s="140" t="str">
        <f>IFERROR(IF(INDEX('Portfolio Register'!$I$5:$I$304,MATCH($B96,'Portfolio Register'!$DH$5:$DH$304,0))="","",INDEX('Portfolio Register'!$I$5:$I$304,MATCH($B96,'Portfolio Register'!$DH$5:$DH$304,0))),"")</f>
        <v/>
      </c>
      <c r="F96" s="141" t="str">
        <f>IFERROR(IF(INDEX('Portfolio Register'!$J$5:$J$304,MATCH($B96,'Portfolio Register'!$DH$5:$DH$304,0))="","",INDEX('Portfolio Register'!$J$5:$J$304,MATCH($B96,'Portfolio Register'!$DH$5:$DH$304,0))),"")</f>
        <v/>
      </c>
      <c r="G96" s="140" t="str">
        <f>IFERROR(IF(INDEX('Portfolio Register'!$CX$5:$CX$304,MATCH($B96,'Portfolio Register'!$DH$5:$DH$304,0))="","",INDEX('Portfolio Register'!$CX$5:$CX$304,MATCH($B96,'Portfolio Register'!$DH$5:$DH$304,0))),"")</f>
        <v/>
      </c>
      <c r="H96" s="142" t="str">
        <f>IFERROR(IF(INDEX('Portfolio Register'!$CY$5:$CY$304,MATCH($B96,'Portfolio Register'!$DH$5:$DH$304,0))="","",INDEX('Portfolio Register'!$CY$5:$CY$304,MATCH($B96,'Portfolio Register'!$DH$5:$DH$304,0))),"")</f>
        <v/>
      </c>
      <c r="I96" s="140" t="str">
        <f>IFERROR(IF(INDEX('Portfolio Register'!$CZ$5:$CZ$304,MATCH($B96,'Portfolio Register'!$DH$5:$DH$304,0))="","",INDEX('Portfolio Register'!$CZ$5:$CZ$304,MATCH($B96,'Portfolio Register'!$DH$5:$DH$304,0))),"")</f>
        <v/>
      </c>
      <c r="J96" s="140" t="str">
        <f>IFERROR(IF(INDEX('Portfolio Register'!$DA$5:$DA$304,MATCH($B96,'Portfolio Register'!$DH$5:$DH$304,0))="","",INDEX('Portfolio Register'!$DA$5:$DA$304,MATCH($B96,'Portfolio Register'!$DH$5:$DH$304,0))),"")</f>
        <v/>
      </c>
      <c r="K96" s="140" t="str">
        <f>IFERROR(IF(INDEX('Portfolio Register'!$DB$5:$DB$304,MATCH($B96,'Portfolio Register'!$DH$5:$DH$304,0))="","",INDEX('Portfolio Register'!$DB$5:$DB$304,MATCH($B96,'Portfolio Register'!$DH$5:$DH$304,0))),"")</f>
        <v/>
      </c>
      <c r="L96" s="140" t="str">
        <f>IFERROR(IF(INDEX('Portfolio Register'!$DC$5:$DC$304,MATCH($B96,'Portfolio Register'!$DH$5:$DH$304,0))="","",INDEX('Portfolio Register'!$DC$5:$DC$304,MATCH($B96,'Portfolio Register'!$DH$5:$DH$304,0))),"")</f>
        <v/>
      </c>
      <c r="M96" s="143" t="str">
        <f>IFERROR(IF(INDEX('Portfolio Register'!$DD$5:$DD$304,MATCH($B96,'Portfolio Register'!$DH$5:$DH$304,0))="","",INDEX('Portfolio Register'!$DD$5:$DD$304,MATCH($B96,'Portfolio Register'!$DH$5:$DH$304,0))),"")</f>
        <v/>
      </c>
      <c r="N96" s="144" t="str">
        <f ca="1">IF($C96="","",IF($M96&lt;&gt;"",$M96-IFERROR(INDEX('Portfolio Register'!$C$5:$C$304,MATCH($B96,'Portfolio Register'!$DH$5:$DH$304,0)),$M96),TODAY()-IFERROR(INDEX('Portfolio Register'!$C$5:$C$304,MATCH($B96,'Portfolio Register'!$DH$5:$DH$304,0)),TODAY())))</f>
        <v/>
      </c>
      <c r="O96" s="145" t="str">
        <f t="shared" si="2"/>
        <v/>
      </c>
      <c r="P96" s="140" t="str">
        <f>IFERROR(IF(INDEX('Portfolio Register'!$DG$5:$DG$304,MATCH($B96,'Portfolio Register'!$DH$5:$DH$304,0))="","",INDEX('Portfolio Register'!$DG$5:$DG$304,MATCH($B96,'Portfolio Register'!$DH$5:$DH$304,0))),"")</f>
        <v/>
      </c>
      <c r="Q96" s="140" t="str">
        <f>IFERROR(IF(INDEX('Portfolio Register'!$DF$5:$DF$304,MATCH($B96,'Portfolio Register'!$DH$5:$DH$304,0))="","",INDEX('Portfolio Register'!$DF$5:$DF$304,MATCH($B96,'Portfolio Register'!$DH$5:$DH$304,0))),"")</f>
        <v/>
      </c>
    </row>
    <row r="97" spans="2:17" x14ac:dyDescent="0.25">
      <c r="B97" s="63">
        <v>70</v>
      </c>
      <c r="C97" s="146" t="str">
        <f>IFERROR(IF(INDEX('Portfolio Register'!$A$5:$A$304,MATCH($B97,'Portfolio Register'!$DH$5:$DH$304,0))="","",INDEX('Portfolio Register'!$A$5:$A$304,MATCH($B97,'Portfolio Register'!$DH$5:$DH$304,0))),"")</f>
        <v/>
      </c>
      <c r="D97" s="146" t="str">
        <f>IFERROR(IF(INDEX('Portfolio Register'!$B$5:$B$304,MATCH($B97,'Portfolio Register'!$DH$5:$DH$304,0))="","",INDEX('Portfolio Register'!$B$5:$B$304,MATCH($B97,'Portfolio Register'!$DH$5:$DH$304,0))),"")</f>
        <v/>
      </c>
      <c r="E97" s="146" t="str">
        <f>IFERROR(IF(INDEX('Portfolio Register'!$I$5:$I$304,MATCH($B97,'Portfolio Register'!$DH$5:$DH$304,0))="","",INDEX('Portfolio Register'!$I$5:$I$304,MATCH($B97,'Portfolio Register'!$DH$5:$DH$304,0))),"")</f>
        <v/>
      </c>
      <c r="F97" s="147" t="str">
        <f>IFERROR(IF(INDEX('Portfolio Register'!$J$5:$J$304,MATCH($B97,'Portfolio Register'!$DH$5:$DH$304,0))="","",INDEX('Portfolio Register'!$J$5:$J$304,MATCH($B97,'Portfolio Register'!$DH$5:$DH$304,0))),"")</f>
        <v/>
      </c>
      <c r="G97" s="146" t="str">
        <f>IFERROR(IF(INDEX('Portfolio Register'!$CX$5:$CX$304,MATCH($B97,'Portfolio Register'!$DH$5:$DH$304,0))="","",INDEX('Portfolio Register'!$CX$5:$CX$304,MATCH($B97,'Portfolio Register'!$DH$5:$DH$304,0))),"")</f>
        <v/>
      </c>
      <c r="H97" s="148" t="str">
        <f>IFERROR(IF(INDEX('Portfolio Register'!$CY$5:$CY$304,MATCH($B97,'Portfolio Register'!$DH$5:$DH$304,0))="","",INDEX('Portfolio Register'!$CY$5:$CY$304,MATCH($B97,'Portfolio Register'!$DH$5:$DH$304,0))),"")</f>
        <v/>
      </c>
      <c r="I97" s="146" t="str">
        <f>IFERROR(IF(INDEX('Portfolio Register'!$CZ$5:$CZ$304,MATCH($B97,'Portfolio Register'!$DH$5:$DH$304,0))="","",INDEX('Portfolio Register'!$CZ$5:$CZ$304,MATCH($B97,'Portfolio Register'!$DH$5:$DH$304,0))),"")</f>
        <v/>
      </c>
      <c r="J97" s="146" t="str">
        <f>IFERROR(IF(INDEX('Portfolio Register'!$DA$5:$DA$304,MATCH($B97,'Portfolio Register'!$DH$5:$DH$304,0))="","",INDEX('Portfolio Register'!$DA$5:$DA$304,MATCH($B97,'Portfolio Register'!$DH$5:$DH$304,0))),"")</f>
        <v/>
      </c>
      <c r="K97" s="146" t="str">
        <f>IFERROR(IF(INDEX('Portfolio Register'!$DB$5:$DB$304,MATCH($B97,'Portfolio Register'!$DH$5:$DH$304,0))="","",INDEX('Portfolio Register'!$DB$5:$DB$304,MATCH($B97,'Portfolio Register'!$DH$5:$DH$304,0))),"")</f>
        <v/>
      </c>
      <c r="L97" s="146" t="str">
        <f>IFERROR(IF(INDEX('Portfolio Register'!$DC$5:$DC$304,MATCH($B97,'Portfolio Register'!$DH$5:$DH$304,0))="","",INDEX('Portfolio Register'!$DC$5:$DC$304,MATCH($B97,'Portfolio Register'!$DH$5:$DH$304,0))),"")</f>
        <v/>
      </c>
      <c r="M97" s="149" t="str">
        <f>IFERROR(IF(INDEX('Portfolio Register'!$DD$5:$DD$304,MATCH($B97,'Portfolio Register'!$DH$5:$DH$304,0))="","",INDEX('Portfolio Register'!$DD$5:$DD$304,MATCH($B97,'Portfolio Register'!$DH$5:$DH$304,0))),"")</f>
        <v/>
      </c>
      <c r="N97" s="150" t="str">
        <f ca="1">IF($C97="","",IF($M97&lt;&gt;"",$M97-IFERROR(INDEX('Portfolio Register'!$C$5:$C$304,MATCH($B97,'Portfolio Register'!$DH$5:$DH$304,0)),$M97),TODAY()-IFERROR(INDEX('Portfolio Register'!$C$5:$C$304,MATCH($B97,'Portfolio Register'!$DH$5:$DH$304,0)),TODAY())))</f>
        <v/>
      </c>
      <c r="O97" s="151" t="str">
        <f t="shared" si="2"/>
        <v/>
      </c>
      <c r="P97" s="146" t="str">
        <f>IFERROR(IF(INDEX('Portfolio Register'!$DG$5:$DG$304,MATCH($B97,'Portfolio Register'!$DH$5:$DH$304,0))="","",INDEX('Portfolio Register'!$DG$5:$DG$304,MATCH($B97,'Portfolio Register'!$DH$5:$DH$304,0))),"")</f>
        <v/>
      </c>
      <c r="Q97" s="146" t="str">
        <f>IFERROR(IF(INDEX('Portfolio Register'!$DF$5:$DF$304,MATCH($B97,'Portfolio Register'!$DH$5:$DH$304,0))="","",INDEX('Portfolio Register'!$DF$5:$DF$304,MATCH($B97,'Portfolio Register'!$DH$5:$DH$304,0))),"")</f>
        <v/>
      </c>
    </row>
    <row r="98" spans="2:17" x14ac:dyDescent="0.25">
      <c r="B98" s="56">
        <v>71</v>
      </c>
      <c r="C98" s="140" t="str">
        <f>IFERROR(IF(INDEX('Portfolio Register'!$A$5:$A$304,MATCH($B98,'Portfolio Register'!$DH$5:$DH$304,0))="","",INDEX('Portfolio Register'!$A$5:$A$304,MATCH($B98,'Portfolio Register'!$DH$5:$DH$304,0))),"")</f>
        <v/>
      </c>
      <c r="D98" s="140" t="str">
        <f>IFERROR(IF(INDEX('Portfolio Register'!$B$5:$B$304,MATCH($B98,'Portfolio Register'!$DH$5:$DH$304,0))="","",INDEX('Portfolio Register'!$B$5:$B$304,MATCH($B98,'Portfolio Register'!$DH$5:$DH$304,0))),"")</f>
        <v/>
      </c>
      <c r="E98" s="140" t="str">
        <f>IFERROR(IF(INDEX('Portfolio Register'!$I$5:$I$304,MATCH($B98,'Portfolio Register'!$DH$5:$DH$304,0))="","",INDEX('Portfolio Register'!$I$5:$I$304,MATCH($B98,'Portfolio Register'!$DH$5:$DH$304,0))),"")</f>
        <v/>
      </c>
      <c r="F98" s="141" t="str">
        <f>IFERROR(IF(INDEX('Portfolio Register'!$J$5:$J$304,MATCH($B98,'Portfolio Register'!$DH$5:$DH$304,0))="","",INDEX('Portfolio Register'!$J$5:$J$304,MATCH($B98,'Portfolio Register'!$DH$5:$DH$304,0))),"")</f>
        <v/>
      </c>
      <c r="G98" s="140" t="str">
        <f>IFERROR(IF(INDEX('Portfolio Register'!$CX$5:$CX$304,MATCH($B98,'Portfolio Register'!$DH$5:$DH$304,0))="","",INDEX('Portfolio Register'!$CX$5:$CX$304,MATCH($B98,'Portfolio Register'!$DH$5:$DH$304,0))),"")</f>
        <v/>
      </c>
      <c r="H98" s="142" t="str">
        <f>IFERROR(IF(INDEX('Portfolio Register'!$CY$5:$CY$304,MATCH($B98,'Portfolio Register'!$DH$5:$DH$304,0))="","",INDEX('Portfolio Register'!$CY$5:$CY$304,MATCH($B98,'Portfolio Register'!$DH$5:$DH$304,0))),"")</f>
        <v/>
      </c>
      <c r="I98" s="140" t="str">
        <f>IFERROR(IF(INDEX('Portfolio Register'!$CZ$5:$CZ$304,MATCH($B98,'Portfolio Register'!$DH$5:$DH$304,0))="","",INDEX('Portfolio Register'!$CZ$5:$CZ$304,MATCH($B98,'Portfolio Register'!$DH$5:$DH$304,0))),"")</f>
        <v/>
      </c>
      <c r="J98" s="140" t="str">
        <f>IFERROR(IF(INDEX('Portfolio Register'!$DA$5:$DA$304,MATCH($B98,'Portfolio Register'!$DH$5:$DH$304,0))="","",INDEX('Portfolio Register'!$DA$5:$DA$304,MATCH($B98,'Portfolio Register'!$DH$5:$DH$304,0))),"")</f>
        <v/>
      </c>
      <c r="K98" s="140" t="str">
        <f>IFERROR(IF(INDEX('Portfolio Register'!$DB$5:$DB$304,MATCH($B98,'Portfolio Register'!$DH$5:$DH$304,0))="","",INDEX('Portfolio Register'!$DB$5:$DB$304,MATCH($B98,'Portfolio Register'!$DH$5:$DH$304,0))),"")</f>
        <v/>
      </c>
      <c r="L98" s="140" t="str">
        <f>IFERROR(IF(INDEX('Portfolio Register'!$DC$5:$DC$304,MATCH($B98,'Portfolio Register'!$DH$5:$DH$304,0))="","",INDEX('Portfolio Register'!$DC$5:$DC$304,MATCH($B98,'Portfolio Register'!$DH$5:$DH$304,0))),"")</f>
        <v/>
      </c>
      <c r="M98" s="143" t="str">
        <f>IFERROR(IF(INDEX('Portfolio Register'!$DD$5:$DD$304,MATCH($B98,'Portfolio Register'!$DH$5:$DH$304,0))="","",INDEX('Portfolio Register'!$DD$5:$DD$304,MATCH($B98,'Portfolio Register'!$DH$5:$DH$304,0))),"")</f>
        <v/>
      </c>
      <c r="N98" s="144" t="str">
        <f ca="1">IF($C98="","",IF($M98&lt;&gt;"",$M98-IFERROR(INDEX('Portfolio Register'!$C$5:$C$304,MATCH($B98,'Portfolio Register'!$DH$5:$DH$304,0)),$M98),TODAY()-IFERROR(INDEX('Portfolio Register'!$C$5:$C$304,MATCH($B98,'Portfolio Register'!$DH$5:$DH$304,0)),TODAY())))</f>
        <v/>
      </c>
      <c r="O98" s="145" t="str">
        <f t="shared" si="2"/>
        <v/>
      </c>
      <c r="P98" s="140" t="str">
        <f>IFERROR(IF(INDEX('Portfolio Register'!$DG$5:$DG$304,MATCH($B98,'Portfolio Register'!$DH$5:$DH$304,0))="","",INDEX('Portfolio Register'!$DG$5:$DG$304,MATCH($B98,'Portfolio Register'!$DH$5:$DH$304,0))),"")</f>
        <v/>
      </c>
      <c r="Q98" s="140" t="str">
        <f>IFERROR(IF(INDEX('Portfolio Register'!$DF$5:$DF$304,MATCH($B98,'Portfolio Register'!$DH$5:$DH$304,0))="","",INDEX('Portfolio Register'!$DF$5:$DF$304,MATCH($B98,'Portfolio Register'!$DH$5:$DH$304,0))),"")</f>
        <v/>
      </c>
    </row>
    <row r="99" spans="2:17" x14ac:dyDescent="0.25">
      <c r="B99" s="63">
        <v>72</v>
      </c>
      <c r="C99" s="146" t="str">
        <f>IFERROR(IF(INDEX('Portfolio Register'!$A$5:$A$304,MATCH($B99,'Portfolio Register'!$DH$5:$DH$304,0))="","",INDEX('Portfolio Register'!$A$5:$A$304,MATCH($B99,'Portfolio Register'!$DH$5:$DH$304,0))),"")</f>
        <v/>
      </c>
      <c r="D99" s="146" t="str">
        <f>IFERROR(IF(INDEX('Portfolio Register'!$B$5:$B$304,MATCH($B99,'Portfolio Register'!$DH$5:$DH$304,0))="","",INDEX('Portfolio Register'!$B$5:$B$304,MATCH($B99,'Portfolio Register'!$DH$5:$DH$304,0))),"")</f>
        <v/>
      </c>
      <c r="E99" s="146" t="str">
        <f>IFERROR(IF(INDEX('Portfolio Register'!$I$5:$I$304,MATCH($B99,'Portfolio Register'!$DH$5:$DH$304,0))="","",INDEX('Portfolio Register'!$I$5:$I$304,MATCH($B99,'Portfolio Register'!$DH$5:$DH$304,0))),"")</f>
        <v/>
      </c>
      <c r="F99" s="147" t="str">
        <f>IFERROR(IF(INDEX('Portfolio Register'!$J$5:$J$304,MATCH($B99,'Portfolio Register'!$DH$5:$DH$304,0))="","",INDEX('Portfolio Register'!$J$5:$J$304,MATCH($B99,'Portfolio Register'!$DH$5:$DH$304,0))),"")</f>
        <v/>
      </c>
      <c r="G99" s="146" t="str">
        <f>IFERROR(IF(INDEX('Portfolio Register'!$CX$5:$CX$304,MATCH($B99,'Portfolio Register'!$DH$5:$DH$304,0))="","",INDEX('Portfolio Register'!$CX$5:$CX$304,MATCH($B99,'Portfolio Register'!$DH$5:$DH$304,0))),"")</f>
        <v/>
      </c>
      <c r="H99" s="148" t="str">
        <f>IFERROR(IF(INDEX('Portfolio Register'!$CY$5:$CY$304,MATCH($B99,'Portfolio Register'!$DH$5:$DH$304,0))="","",INDEX('Portfolio Register'!$CY$5:$CY$304,MATCH($B99,'Portfolio Register'!$DH$5:$DH$304,0))),"")</f>
        <v/>
      </c>
      <c r="I99" s="146" t="str">
        <f>IFERROR(IF(INDEX('Portfolio Register'!$CZ$5:$CZ$304,MATCH($B99,'Portfolio Register'!$DH$5:$DH$304,0))="","",INDEX('Portfolio Register'!$CZ$5:$CZ$304,MATCH($B99,'Portfolio Register'!$DH$5:$DH$304,0))),"")</f>
        <v/>
      </c>
      <c r="J99" s="146" t="str">
        <f>IFERROR(IF(INDEX('Portfolio Register'!$DA$5:$DA$304,MATCH($B99,'Portfolio Register'!$DH$5:$DH$304,0))="","",INDEX('Portfolio Register'!$DA$5:$DA$304,MATCH($B99,'Portfolio Register'!$DH$5:$DH$304,0))),"")</f>
        <v/>
      </c>
      <c r="K99" s="146" t="str">
        <f>IFERROR(IF(INDEX('Portfolio Register'!$DB$5:$DB$304,MATCH($B99,'Portfolio Register'!$DH$5:$DH$304,0))="","",INDEX('Portfolio Register'!$DB$5:$DB$304,MATCH($B99,'Portfolio Register'!$DH$5:$DH$304,0))),"")</f>
        <v/>
      </c>
      <c r="L99" s="146" t="str">
        <f>IFERROR(IF(INDEX('Portfolio Register'!$DC$5:$DC$304,MATCH($B99,'Portfolio Register'!$DH$5:$DH$304,0))="","",INDEX('Portfolio Register'!$DC$5:$DC$304,MATCH($B99,'Portfolio Register'!$DH$5:$DH$304,0))),"")</f>
        <v/>
      </c>
      <c r="M99" s="149" t="str">
        <f>IFERROR(IF(INDEX('Portfolio Register'!$DD$5:$DD$304,MATCH($B99,'Portfolio Register'!$DH$5:$DH$304,0))="","",INDEX('Portfolio Register'!$DD$5:$DD$304,MATCH($B99,'Portfolio Register'!$DH$5:$DH$304,0))),"")</f>
        <v/>
      </c>
      <c r="N99" s="150" t="str">
        <f ca="1">IF($C99="","",IF($M99&lt;&gt;"",$M99-IFERROR(INDEX('Portfolio Register'!$C$5:$C$304,MATCH($B99,'Portfolio Register'!$DH$5:$DH$304,0)),$M99),TODAY()-IFERROR(INDEX('Portfolio Register'!$C$5:$C$304,MATCH($B99,'Portfolio Register'!$DH$5:$DH$304,0)),TODAY())))</f>
        <v/>
      </c>
      <c r="O99" s="151" t="str">
        <f t="shared" si="2"/>
        <v/>
      </c>
      <c r="P99" s="146" t="str">
        <f>IFERROR(IF(INDEX('Portfolio Register'!$DG$5:$DG$304,MATCH($B99,'Portfolio Register'!$DH$5:$DH$304,0))="","",INDEX('Portfolio Register'!$DG$5:$DG$304,MATCH($B99,'Portfolio Register'!$DH$5:$DH$304,0))),"")</f>
        <v/>
      </c>
      <c r="Q99" s="146" t="str">
        <f>IFERROR(IF(INDEX('Portfolio Register'!$DF$5:$DF$304,MATCH($B99,'Portfolio Register'!$DH$5:$DH$304,0))="","",INDEX('Portfolio Register'!$DF$5:$DF$304,MATCH($B99,'Portfolio Register'!$DH$5:$DH$304,0))),"")</f>
        <v/>
      </c>
    </row>
    <row r="100" spans="2:17" x14ac:dyDescent="0.25">
      <c r="B100" s="56">
        <v>73</v>
      </c>
      <c r="C100" s="140" t="str">
        <f>IFERROR(IF(INDEX('Portfolio Register'!$A$5:$A$304,MATCH($B100,'Portfolio Register'!$DH$5:$DH$304,0))="","",INDEX('Portfolio Register'!$A$5:$A$304,MATCH($B100,'Portfolio Register'!$DH$5:$DH$304,0))),"")</f>
        <v/>
      </c>
      <c r="D100" s="140" t="str">
        <f>IFERROR(IF(INDEX('Portfolio Register'!$B$5:$B$304,MATCH($B100,'Portfolio Register'!$DH$5:$DH$304,0))="","",INDEX('Portfolio Register'!$B$5:$B$304,MATCH($B100,'Portfolio Register'!$DH$5:$DH$304,0))),"")</f>
        <v/>
      </c>
      <c r="E100" s="140" t="str">
        <f>IFERROR(IF(INDEX('Portfolio Register'!$I$5:$I$304,MATCH($B100,'Portfolio Register'!$DH$5:$DH$304,0))="","",INDEX('Portfolio Register'!$I$5:$I$304,MATCH($B100,'Portfolio Register'!$DH$5:$DH$304,0))),"")</f>
        <v/>
      </c>
      <c r="F100" s="141" t="str">
        <f>IFERROR(IF(INDEX('Portfolio Register'!$J$5:$J$304,MATCH($B100,'Portfolio Register'!$DH$5:$DH$304,0))="","",INDEX('Portfolio Register'!$J$5:$J$304,MATCH($B100,'Portfolio Register'!$DH$5:$DH$304,0))),"")</f>
        <v/>
      </c>
      <c r="G100" s="140" t="str">
        <f>IFERROR(IF(INDEX('Portfolio Register'!$CX$5:$CX$304,MATCH($B100,'Portfolio Register'!$DH$5:$DH$304,0))="","",INDEX('Portfolio Register'!$CX$5:$CX$304,MATCH($B100,'Portfolio Register'!$DH$5:$DH$304,0))),"")</f>
        <v/>
      </c>
      <c r="H100" s="142" t="str">
        <f>IFERROR(IF(INDEX('Portfolio Register'!$CY$5:$CY$304,MATCH($B100,'Portfolio Register'!$DH$5:$DH$304,0))="","",INDEX('Portfolio Register'!$CY$5:$CY$304,MATCH($B100,'Portfolio Register'!$DH$5:$DH$304,0))),"")</f>
        <v/>
      </c>
      <c r="I100" s="140" t="str">
        <f>IFERROR(IF(INDEX('Portfolio Register'!$CZ$5:$CZ$304,MATCH($B100,'Portfolio Register'!$DH$5:$DH$304,0))="","",INDEX('Portfolio Register'!$CZ$5:$CZ$304,MATCH($B100,'Portfolio Register'!$DH$5:$DH$304,0))),"")</f>
        <v/>
      </c>
      <c r="J100" s="140" t="str">
        <f>IFERROR(IF(INDEX('Portfolio Register'!$DA$5:$DA$304,MATCH($B100,'Portfolio Register'!$DH$5:$DH$304,0))="","",INDEX('Portfolio Register'!$DA$5:$DA$304,MATCH($B100,'Portfolio Register'!$DH$5:$DH$304,0))),"")</f>
        <v/>
      </c>
      <c r="K100" s="140" t="str">
        <f>IFERROR(IF(INDEX('Portfolio Register'!$DB$5:$DB$304,MATCH($B100,'Portfolio Register'!$DH$5:$DH$304,0))="","",INDEX('Portfolio Register'!$DB$5:$DB$304,MATCH($B100,'Portfolio Register'!$DH$5:$DH$304,0))),"")</f>
        <v/>
      </c>
      <c r="L100" s="140" t="str">
        <f>IFERROR(IF(INDEX('Portfolio Register'!$DC$5:$DC$304,MATCH($B100,'Portfolio Register'!$DH$5:$DH$304,0))="","",INDEX('Portfolio Register'!$DC$5:$DC$304,MATCH($B100,'Portfolio Register'!$DH$5:$DH$304,0))),"")</f>
        <v/>
      </c>
      <c r="M100" s="143" t="str">
        <f>IFERROR(IF(INDEX('Portfolio Register'!$DD$5:$DD$304,MATCH($B100,'Portfolio Register'!$DH$5:$DH$304,0))="","",INDEX('Portfolio Register'!$DD$5:$DD$304,MATCH($B100,'Portfolio Register'!$DH$5:$DH$304,0))),"")</f>
        <v/>
      </c>
      <c r="N100" s="144" t="str">
        <f ca="1">IF($C100="","",IF($M100&lt;&gt;"",$M100-IFERROR(INDEX('Portfolio Register'!$C$5:$C$304,MATCH($B100,'Portfolio Register'!$DH$5:$DH$304,0)),$M100),TODAY()-IFERROR(INDEX('Portfolio Register'!$C$5:$C$304,MATCH($B100,'Portfolio Register'!$DH$5:$DH$304,0)),TODAY())))</f>
        <v/>
      </c>
      <c r="O100" s="145" t="str">
        <f t="shared" si="2"/>
        <v/>
      </c>
      <c r="P100" s="140" t="str">
        <f>IFERROR(IF(INDEX('Portfolio Register'!$DG$5:$DG$304,MATCH($B100,'Portfolio Register'!$DH$5:$DH$304,0))="","",INDEX('Portfolio Register'!$DG$5:$DG$304,MATCH($B100,'Portfolio Register'!$DH$5:$DH$304,0))),"")</f>
        <v/>
      </c>
      <c r="Q100" s="140" t="str">
        <f>IFERROR(IF(INDEX('Portfolio Register'!$DF$5:$DF$304,MATCH($B100,'Portfolio Register'!$DH$5:$DH$304,0))="","",INDEX('Portfolio Register'!$DF$5:$DF$304,MATCH($B100,'Portfolio Register'!$DH$5:$DH$304,0))),"")</f>
        <v/>
      </c>
    </row>
    <row r="101" spans="2:17" x14ac:dyDescent="0.25">
      <c r="B101" s="63">
        <v>74</v>
      </c>
      <c r="C101" s="146" t="str">
        <f>IFERROR(IF(INDEX('Portfolio Register'!$A$5:$A$304,MATCH($B101,'Portfolio Register'!$DH$5:$DH$304,0))="","",INDEX('Portfolio Register'!$A$5:$A$304,MATCH($B101,'Portfolio Register'!$DH$5:$DH$304,0))),"")</f>
        <v/>
      </c>
      <c r="D101" s="146" t="str">
        <f>IFERROR(IF(INDEX('Portfolio Register'!$B$5:$B$304,MATCH($B101,'Portfolio Register'!$DH$5:$DH$304,0))="","",INDEX('Portfolio Register'!$B$5:$B$304,MATCH($B101,'Portfolio Register'!$DH$5:$DH$304,0))),"")</f>
        <v/>
      </c>
      <c r="E101" s="146" t="str">
        <f>IFERROR(IF(INDEX('Portfolio Register'!$I$5:$I$304,MATCH($B101,'Portfolio Register'!$DH$5:$DH$304,0))="","",INDEX('Portfolio Register'!$I$5:$I$304,MATCH($B101,'Portfolio Register'!$DH$5:$DH$304,0))),"")</f>
        <v/>
      </c>
      <c r="F101" s="147" t="str">
        <f>IFERROR(IF(INDEX('Portfolio Register'!$J$5:$J$304,MATCH($B101,'Portfolio Register'!$DH$5:$DH$304,0))="","",INDEX('Portfolio Register'!$J$5:$J$304,MATCH($B101,'Portfolio Register'!$DH$5:$DH$304,0))),"")</f>
        <v/>
      </c>
      <c r="G101" s="146" t="str">
        <f>IFERROR(IF(INDEX('Portfolio Register'!$CX$5:$CX$304,MATCH($B101,'Portfolio Register'!$DH$5:$DH$304,0))="","",INDEX('Portfolio Register'!$CX$5:$CX$304,MATCH($B101,'Portfolio Register'!$DH$5:$DH$304,0))),"")</f>
        <v/>
      </c>
      <c r="H101" s="148" t="str">
        <f>IFERROR(IF(INDEX('Portfolio Register'!$CY$5:$CY$304,MATCH($B101,'Portfolio Register'!$DH$5:$DH$304,0))="","",INDEX('Portfolio Register'!$CY$5:$CY$304,MATCH($B101,'Portfolio Register'!$DH$5:$DH$304,0))),"")</f>
        <v/>
      </c>
      <c r="I101" s="146" t="str">
        <f>IFERROR(IF(INDEX('Portfolio Register'!$CZ$5:$CZ$304,MATCH($B101,'Portfolio Register'!$DH$5:$DH$304,0))="","",INDEX('Portfolio Register'!$CZ$5:$CZ$304,MATCH($B101,'Portfolio Register'!$DH$5:$DH$304,0))),"")</f>
        <v/>
      </c>
      <c r="J101" s="146" t="str">
        <f>IFERROR(IF(INDEX('Portfolio Register'!$DA$5:$DA$304,MATCH($B101,'Portfolio Register'!$DH$5:$DH$304,0))="","",INDEX('Portfolio Register'!$DA$5:$DA$304,MATCH($B101,'Portfolio Register'!$DH$5:$DH$304,0))),"")</f>
        <v/>
      </c>
      <c r="K101" s="146" t="str">
        <f>IFERROR(IF(INDEX('Portfolio Register'!$DB$5:$DB$304,MATCH($B101,'Portfolio Register'!$DH$5:$DH$304,0))="","",INDEX('Portfolio Register'!$DB$5:$DB$304,MATCH($B101,'Portfolio Register'!$DH$5:$DH$304,0))),"")</f>
        <v/>
      </c>
      <c r="L101" s="146" t="str">
        <f>IFERROR(IF(INDEX('Portfolio Register'!$DC$5:$DC$304,MATCH($B101,'Portfolio Register'!$DH$5:$DH$304,0))="","",INDEX('Portfolio Register'!$DC$5:$DC$304,MATCH($B101,'Portfolio Register'!$DH$5:$DH$304,0))),"")</f>
        <v/>
      </c>
      <c r="M101" s="149" t="str">
        <f>IFERROR(IF(INDEX('Portfolio Register'!$DD$5:$DD$304,MATCH($B101,'Portfolio Register'!$DH$5:$DH$304,0))="","",INDEX('Portfolio Register'!$DD$5:$DD$304,MATCH($B101,'Portfolio Register'!$DH$5:$DH$304,0))),"")</f>
        <v/>
      </c>
      <c r="N101" s="150" t="str">
        <f ca="1">IF($C101="","",IF($M101&lt;&gt;"",$M101-IFERROR(INDEX('Portfolio Register'!$C$5:$C$304,MATCH($B101,'Portfolio Register'!$DH$5:$DH$304,0)),$M101),TODAY()-IFERROR(INDEX('Portfolio Register'!$C$5:$C$304,MATCH($B101,'Portfolio Register'!$DH$5:$DH$304,0)),TODAY())))</f>
        <v/>
      </c>
      <c r="O101" s="151" t="str">
        <f t="shared" si="2"/>
        <v/>
      </c>
      <c r="P101" s="146" t="str">
        <f>IFERROR(IF(INDEX('Portfolio Register'!$DG$5:$DG$304,MATCH($B101,'Portfolio Register'!$DH$5:$DH$304,0))="","",INDEX('Portfolio Register'!$DG$5:$DG$304,MATCH($B101,'Portfolio Register'!$DH$5:$DH$304,0))),"")</f>
        <v/>
      </c>
      <c r="Q101" s="146" t="str">
        <f>IFERROR(IF(INDEX('Portfolio Register'!$DF$5:$DF$304,MATCH($B101,'Portfolio Register'!$DH$5:$DH$304,0))="","",INDEX('Portfolio Register'!$DF$5:$DF$304,MATCH($B101,'Portfolio Register'!$DH$5:$DH$304,0))),"")</f>
        <v/>
      </c>
    </row>
    <row r="102" spans="2:17" x14ac:dyDescent="0.25">
      <c r="B102" s="56">
        <v>75</v>
      </c>
      <c r="C102" s="140" t="str">
        <f>IFERROR(IF(INDEX('Portfolio Register'!$A$5:$A$304,MATCH($B102,'Portfolio Register'!$DH$5:$DH$304,0))="","",INDEX('Portfolio Register'!$A$5:$A$304,MATCH($B102,'Portfolio Register'!$DH$5:$DH$304,0))),"")</f>
        <v/>
      </c>
      <c r="D102" s="140" t="str">
        <f>IFERROR(IF(INDEX('Portfolio Register'!$B$5:$B$304,MATCH($B102,'Portfolio Register'!$DH$5:$DH$304,0))="","",INDEX('Portfolio Register'!$B$5:$B$304,MATCH($B102,'Portfolio Register'!$DH$5:$DH$304,0))),"")</f>
        <v/>
      </c>
      <c r="E102" s="140" t="str">
        <f>IFERROR(IF(INDEX('Portfolio Register'!$I$5:$I$304,MATCH($B102,'Portfolio Register'!$DH$5:$DH$304,0))="","",INDEX('Portfolio Register'!$I$5:$I$304,MATCH($B102,'Portfolio Register'!$DH$5:$DH$304,0))),"")</f>
        <v/>
      </c>
      <c r="F102" s="141" t="str">
        <f>IFERROR(IF(INDEX('Portfolio Register'!$J$5:$J$304,MATCH($B102,'Portfolio Register'!$DH$5:$DH$304,0))="","",INDEX('Portfolio Register'!$J$5:$J$304,MATCH($B102,'Portfolio Register'!$DH$5:$DH$304,0))),"")</f>
        <v/>
      </c>
      <c r="G102" s="140" t="str">
        <f>IFERROR(IF(INDEX('Portfolio Register'!$CX$5:$CX$304,MATCH($B102,'Portfolio Register'!$DH$5:$DH$304,0))="","",INDEX('Portfolio Register'!$CX$5:$CX$304,MATCH($B102,'Portfolio Register'!$DH$5:$DH$304,0))),"")</f>
        <v/>
      </c>
      <c r="H102" s="142" t="str">
        <f>IFERROR(IF(INDEX('Portfolio Register'!$CY$5:$CY$304,MATCH($B102,'Portfolio Register'!$DH$5:$DH$304,0))="","",INDEX('Portfolio Register'!$CY$5:$CY$304,MATCH($B102,'Portfolio Register'!$DH$5:$DH$304,0))),"")</f>
        <v/>
      </c>
      <c r="I102" s="140" t="str">
        <f>IFERROR(IF(INDEX('Portfolio Register'!$CZ$5:$CZ$304,MATCH($B102,'Portfolio Register'!$DH$5:$DH$304,0))="","",INDEX('Portfolio Register'!$CZ$5:$CZ$304,MATCH($B102,'Portfolio Register'!$DH$5:$DH$304,0))),"")</f>
        <v/>
      </c>
      <c r="J102" s="140" t="str">
        <f>IFERROR(IF(INDEX('Portfolio Register'!$DA$5:$DA$304,MATCH($B102,'Portfolio Register'!$DH$5:$DH$304,0))="","",INDEX('Portfolio Register'!$DA$5:$DA$304,MATCH($B102,'Portfolio Register'!$DH$5:$DH$304,0))),"")</f>
        <v/>
      </c>
      <c r="K102" s="140" t="str">
        <f>IFERROR(IF(INDEX('Portfolio Register'!$DB$5:$DB$304,MATCH($B102,'Portfolio Register'!$DH$5:$DH$304,0))="","",INDEX('Portfolio Register'!$DB$5:$DB$304,MATCH($B102,'Portfolio Register'!$DH$5:$DH$304,0))),"")</f>
        <v/>
      </c>
      <c r="L102" s="140" t="str">
        <f>IFERROR(IF(INDEX('Portfolio Register'!$DC$5:$DC$304,MATCH($B102,'Portfolio Register'!$DH$5:$DH$304,0))="","",INDEX('Portfolio Register'!$DC$5:$DC$304,MATCH($B102,'Portfolio Register'!$DH$5:$DH$304,0))),"")</f>
        <v/>
      </c>
      <c r="M102" s="143" t="str">
        <f>IFERROR(IF(INDEX('Portfolio Register'!$DD$5:$DD$304,MATCH($B102,'Portfolio Register'!$DH$5:$DH$304,0))="","",INDEX('Portfolio Register'!$DD$5:$DD$304,MATCH($B102,'Portfolio Register'!$DH$5:$DH$304,0))),"")</f>
        <v/>
      </c>
      <c r="N102" s="144" t="str">
        <f ca="1">IF($C102="","",IF($M102&lt;&gt;"",$M102-IFERROR(INDEX('Portfolio Register'!$C$5:$C$304,MATCH($B102,'Portfolio Register'!$DH$5:$DH$304,0)),$M102),TODAY()-IFERROR(INDEX('Portfolio Register'!$C$5:$C$304,MATCH($B102,'Portfolio Register'!$DH$5:$DH$304,0)),TODAY())))</f>
        <v/>
      </c>
      <c r="O102" s="145" t="str">
        <f t="shared" si="2"/>
        <v/>
      </c>
      <c r="P102" s="140" t="str">
        <f>IFERROR(IF(INDEX('Portfolio Register'!$DG$5:$DG$304,MATCH($B102,'Portfolio Register'!$DH$5:$DH$304,0))="","",INDEX('Portfolio Register'!$DG$5:$DG$304,MATCH($B102,'Portfolio Register'!$DH$5:$DH$304,0))),"")</f>
        <v/>
      </c>
      <c r="Q102" s="140" t="str">
        <f>IFERROR(IF(INDEX('Portfolio Register'!$DF$5:$DF$304,MATCH($B102,'Portfolio Register'!$DH$5:$DH$304,0))="","",INDEX('Portfolio Register'!$DF$5:$DF$304,MATCH($B102,'Portfolio Register'!$DH$5:$DH$304,0))),"")</f>
        <v/>
      </c>
    </row>
    <row r="103" spans="2:17" x14ac:dyDescent="0.25">
      <c r="B103" s="63">
        <v>76</v>
      </c>
      <c r="C103" s="146" t="str">
        <f>IFERROR(IF(INDEX('Portfolio Register'!$A$5:$A$304,MATCH($B103,'Portfolio Register'!$DH$5:$DH$304,0))="","",INDEX('Portfolio Register'!$A$5:$A$304,MATCH($B103,'Portfolio Register'!$DH$5:$DH$304,0))),"")</f>
        <v/>
      </c>
      <c r="D103" s="146" t="str">
        <f>IFERROR(IF(INDEX('Portfolio Register'!$B$5:$B$304,MATCH($B103,'Portfolio Register'!$DH$5:$DH$304,0))="","",INDEX('Portfolio Register'!$B$5:$B$304,MATCH($B103,'Portfolio Register'!$DH$5:$DH$304,0))),"")</f>
        <v/>
      </c>
      <c r="E103" s="146" t="str">
        <f>IFERROR(IF(INDEX('Portfolio Register'!$I$5:$I$304,MATCH($B103,'Portfolio Register'!$DH$5:$DH$304,0))="","",INDEX('Portfolio Register'!$I$5:$I$304,MATCH($B103,'Portfolio Register'!$DH$5:$DH$304,0))),"")</f>
        <v/>
      </c>
      <c r="F103" s="147" t="str">
        <f>IFERROR(IF(INDEX('Portfolio Register'!$J$5:$J$304,MATCH($B103,'Portfolio Register'!$DH$5:$DH$304,0))="","",INDEX('Portfolio Register'!$J$5:$J$304,MATCH($B103,'Portfolio Register'!$DH$5:$DH$304,0))),"")</f>
        <v/>
      </c>
      <c r="G103" s="146" t="str">
        <f>IFERROR(IF(INDEX('Portfolio Register'!$CX$5:$CX$304,MATCH($B103,'Portfolio Register'!$DH$5:$DH$304,0))="","",INDEX('Portfolio Register'!$CX$5:$CX$304,MATCH($B103,'Portfolio Register'!$DH$5:$DH$304,0))),"")</f>
        <v/>
      </c>
      <c r="H103" s="148" t="str">
        <f>IFERROR(IF(INDEX('Portfolio Register'!$CY$5:$CY$304,MATCH($B103,'Portfolio Register'!$DH$5:$DH$304,0))="","",INDEX('Portfolio Register'!$CY$5:$CY$304,MATCH($B103,'Portfolio Register'!$DH$5:$DH$304,0))),"")</f>
        <v/>
      </c>
      <c r="I103" s="146" t="str">
        <f>IFERROR(IF(INDEX('Portfolio Register'!$CZ$5:$CZ$304,MATCH($B103,'Portfolio Register'!$DH$5:$DH$304,0))="","",INDEX('Portfolio Register'!$CZ$5:$CZ$304,MATCH($B103,'Portfolio Register'!$DH$5:$DH$304,0))),"")</f>
        <v/>
      </c>
      <c r="J103" s="146" t="str">
        <f>IFERROR(IF(INDEX('Portfolio Register'!$DA$5:$DA$304,MATCH($B103,'Portfolio Register'!$DH$5:$DH$304,0))="","",INDEX('Portfolio Register'!$DA$5:$DA$304,MATCH($B103,'Portfolio Register'!$DH$5:$DH$304,0))),"")</f>
        <v/>
      </c>
      <c r="K103" s="146" t="str">
        <f>IFERROR(IF(INDEX('Portfolio Register'!$DB$5:$DB$304,MATCH($B103,'Portfolio Register'!$DH$5:$DH$304,0))="","",INDEX('Portfolio Register'!$DB$5:$DB$304,MATCH($B103,'Portfolio Register'!$DH$5:$DH$304,0))),"")</f>
        <v/>
      </c>
      <c r="L103" s="146" t="str">
        <f>IFERROR(IF(INDEX('Portfolio Register'!$DC$5:$DC$304,MATCH($B103,'Portfolio Register'!$DH$5:$DH$304,0))="","",INDEX('Portfolio Register'!$DC$5:$DC$304,MATCH($B103,'Portfolio Register'!$DH$5:$DH$304,0))),"")</f>
        <v/>
      </c>
      <c r="M103" s="149" t="str">
        <f>IFERROR(IF(INDEX('Portfolio Register'!$DD$5:$DD$304,MATCH($B103,'Portfolio Register'!$DH$5:$DH$304,0))="","",INDEX('Portfolio Register'!$DD$5:$DD$304,MATCH($B103,'Portfolio Register'!$DH$5:$DH$304,0))),"")</f>
        <v/>
      </c>
      <c r="N103" s="150" t="str">
        <f ca="1">IF($C103="","",IF($M103&lt;&gt;"",$M103-IFERROR(INDEX('Portfolio Register'!$C$5:$C$304,MATCH($B103,'Portfolio Register'!$DH$5:$DH$304,0)),$M103),TODAY()-IFERROR(INDEX('Portfolio Register'!$C$5:$C$304,MATCH($B103,'Portfolio Register'!$DH$5:$DH$304,0)),TODAY())))</f>
        <v/>
      </c>
      <c r="O103" s="151" t="str">
        <f t="shared" si="2"/>
        <v/>
      </c>
      <c r="P103" s="146" t="str">
        <f>IFERROR(IF(INDEX('Portfolio Register'!$DG$5:$DG$304,MATCH($B103,'Portfolio Register'!$DH$5:$DH$304,0))="","",INDEX('Portfolio Register'!$DG$5:$DG$304,MATCH($B103,'Portfolio Register'!$DH$5:$DH$304,0))),"")</f>
        <v/>
      </c>
      <c r="Q103" s="146" t="str">
        <f>IFERROR(IF(INDEX('Portfolio Register'!$DF$5:$DF$304,MATCH($B103,'Portfolio Register'!$DH$5:$DH$304,0))="","",INDEX('Portfolio Register'!$DF$5:$DF$304,MATCH($B103,'Portfolio Register'!$DH$5:$DH$304,0))),"")</f>
        <v/>
      </c>
    </row>
    <row r="104" spans="2:17" x14ac:dyDescent="0.25">
      <c r="B104" s="56">
        <v>77</v>
      </c>
      <c r="C104" s="140" t="str">
        <f>IFERROR(IF(INDEX('Portfolio Register'!$A$5:$A$304,MATCH($B104,'Portfolio Register'!$DH$5:$DH$304,0))="","",INDEX('Portfolio Register'!$A$5:$A$304,MATCH($B104,'Portfolio Register'!$DH$5:$DH$304,0))),"")</f>
        <v/>
      </c>
      <c r="D104" s="140" t="str">
        <f>IFERROR(IF(INDEX('Portfolio Register'!$B$5:$B$304,MATCH($B104,'Portfolio Register'!$DH$5:$DH$304,0))="","",INDEX('Portfolio Register'!$B$5:$B$304,MATCH($B104,'Portfolio Register'!$DH$5:$DH$304,0))),"")</f>
        <v/>
      </c>
      <c r="E104" s="140" t="str">
        <f>IFERROR(IF(INDEX('Portfolio Register'!$I$5:$I$304,MATCH($B104,'Portfolio Register'!$DH$5:$DH$304,0))="","",INDEX('Portfolio Register'!$I$5:$I$304,MATCH($B104,'Portfolio Register'!$DH$5:$DH$304,0))),"")</f>
        <v/>
      </c>
      <c r="F104" s="141" t="str">
        <f>IFERROR(IF(INDEX('Portfolio Register'!$J$5:$J$304,MATCH($B104,'Portfolio Register'!$DH$5:$DH$304,0))="","",INDEX('Portfolio Register'!$J$5:$J$304,MATCH($B104,'Portfolio Register'!$DH$5:$DH$304,0))),"")</f>
        <v/>
      </c>
      <c r="G104" s="140" t="str">
        <f>IFERROR(IF(INDEX('Portfolio Register'!$CX$5:$CX$304,MATCH($B104,'Portfolio Register'!$DH$5:$DH$304,0))="","",INDEX('Portfolio Register'!$CX$5:$CX$304,MATCH($B104,'Portfolio Register'!$DH$5:$DH$304,0))),"")</f>
        <v/>
      </c>
      <c r="H104" s="142" t="str">
        <f>IFERROR(IF(INDEX('Portfolio Register'!$CY$5:$CY$304,MATCH($B104,'Portfolio Register'!$DH$5:$DH$304,0))="","",INDEX('Portfolio Register'!$CY$5:$CY$304,MATCH($B104,'Portfolio Register'!$DH$5:$DH$304,0))),"")</f>
        <v/>
      </c>
      <c r="I104" s="140" t="str">
        <f>IFERROR(IF(INDEX('Portfolio Register'!$CZ$5:$CZ$304,MATCH($B104,'Portfolio Register'!$DH$5:$DH$304,0))="","",INDEX('Portfolio Register'!$CZ$5:$CZ$304,MATCH($B104,'Portfolio Register'!$DH$5:$DH$304,0))),"")</f>
        <v/>
      </c>
      <c r="J104" s="140" t="str">
        <f>IFERROR(IF(INDEX('Portfolio Register'!$DA$5:$DA$304,MATCH($B104,'Portfolio Register'!$DH$5:$DH$304,0))="","",INDEX('Portfolio Register'!$DA$5:$DA$304,MATCH($B104,'Portfolio Register'!$DH$5:$DH$304,0))),"")</f>
        <v/>
      </c>
      <c r="K104" s="140" t="str">
        <f>IFERROR(IF(INDEX('Portfolio Register'!$DB$5:$DB$304,MATCH($B104,'Portfolio Register'!$DH$5:$DH$304,0))="","",INDEX('Portfolio Register'!$DB$5:$DB$304,MATCH($B104,'Portfolio Register'!$DH$5:$DH$304,0))),"")</f>
        <v/>
      </c>
      <c r="L104" s="140" t="str">
        <f>IFERROR(IF(INDEX('Portfolio Register'!$DC$5:$DC$304,MATCH($B104,'Portfolio Register'!$DH$5:$DH$304,0))="","",INDEX('Portfolio Register'!$DC$5:$DC$304,MATCH($B104,'Portfolio Register'!$DH$5:$DH$304,0))),"")</f>
        <v/>
      </c>
      <c r="M104" s="143" t="str">
        <f>IFERROR(IF(INDEX('Portfolio Register'!$DD$5:$DD$304,MATCH($B104,'Portfolio Register'!$DH$5:$DH$304,0))="","",INDEX('Portfolio Register'!$DD$5:$DD$304,MATCH($B104,'Portfolio Register'!$DH$5:$DH$304,0))),"")</f>
        <v/>
      </c>
      <c r="N104" s="144" t="str">
        <f ca="1">IF($C104="","",IF($M104&lt;&gt;"",$M104-IFERROR(INDEX('Portfolio Register'!$C$5:$C$304,MATCH($B104,'Portfolio Register'!$DH$5:$DH$304,0)),$M104),TODAY()-IFERROR(INDEX('Portfolio Register'!$C$5:$C$304,MATCH($B104,'Portfolio Register'!$DH$5:$DH$304,0)),TODAY())))</f>
        <v/>
      </c>
      <c r="O104" s="145" t="str">
        <f t="shared" si="2"/>
        <v/>
      </c>
      <c r="P104" s="140" t="str">
        <f>IFERROR(IF(INDEX('Portfolio Register'!$DG$5:$DG$304,MATCH($B104,'Portfolio Register'!$DH$5:$DH$304,0))="","",INDEX('Portfolio Register'!$DG$5:$DG$304,MATCH($B104,'Portfolio Register'!$DH$5:$DH$304,0))),"")</f>
        <v/>
      </c>
      <c r="Q104" s="140" t="str">
        <f>IFERROR(IF(INDEX('Portfolio Register'!$DF$5:$DF$304,MATCH($B104,'Portfolio Register'!$DH$5:$DH$304,0))="","",INDEX('Portfolio Register'!$DF$5:$DF$304,MATCH($B104,'Portfolio Register'!$DH$5:$DH$304,0))),"")</f>
        <v/>
      </c>
    </row>
    <row r="105" spans="2:17" x14ac:dyDescent="0.25">
      <c r="B105" s="63">
        <v>78</v>
      </c>
      <c r="C105" s="146" t="str">
        <f>IFERROR(IF(INDEX('Portfolio Register'!$A$5:$A$304,MATCH($B105,'Portfolio Register'!$DH$5:$DH$304,0))="","",INDEX('Portfolio Register'!$A$5:$A$304,MATCH($B105,'Portfolio Register'!$DH$5:$DH$304,0))),"")</f>
        <v/>
      </c>
      <c r="D105" s="146" t="str">
        <f>IFERROR(IF(INDEX('Portfolio Register'!$B$5:$B$304,MATCH($B105,'Portfolio Register'!$DH$5:$DH$304,0))="","",INDEX('Portfolio Register'!$B$5:$B$304,MATCH($B105,'Portfolio Register'!$DH$5:$DH$304,0))),"")</f>
        <v/>
      </c>
      <c r="E105" s="146" t="str">
        <f>IFERROR(IF(INDEX('Portfolio Register'!$I$5:$I$304,MATCH($B105,'Portfolio Register'!$DH$5:$DH$304,0))="","",INDEX('Portfolio Register'!$I$5:$I$304,MATCH($B105,'Portfolio Register'!$DH$5:$DH$304,0))),"")</f>
        <v/>
      </c>
      <c r="F105" s="147" t="str">
        <f>IFERROR(IF(INDEX('Portfolio Register'!$J$5:$J$304,MATCH($B105,'Portfolio Register'!$DH$5:$DH$304,0))="","",INDEX('Portfolio Register'!$J$5:$J$304,MATCH($B105,'Portfolio Register'!$DH$5:$DH$304,0))),"")</f>
        <v/>
      </c>
      <c r="G105" s="146" t="str">
        <f>IFERROR(IF(INDEX('Portfolio Register'!$CX$5:$CX$304,MATCH($B105,'Portfolio Register'!$DH$5:$DH$304,0))="","",INDEX('Portfolio Register'!$CX$5:$CX$304,MATCH($B105,'Portfolio Register'!$DH$5:$DH$304,0))),"")</f>
        <v/>
      </c>
      <c r="H105" s="148" t="str">
        <f>IFERROR(IF(INDEX('Portfolio Register'!$CY$5:$CY$304,MATCH($B105,'Portfolio Register'!$DH$5:$DH$304,0))="","",INDEX('Portfolio Register'!$CY$5:$CY$304,MATCH($B105,'Portfolio Register'!$DH$5:$DH$304,0))),"")</f>
        <v/>
      </c>
      <c r="I105" s="146" t="str">
        <f>IFERROR(IF(INDEX('Portfolio Register'!$CZ$5:$CZ$304,MATCH($B105,'Portfolio Register'!$DH$5:$DH$304,0))="","",INDEX('Portfolio Register'!$CZ$5:$CZ$304,MATCH($B105,'Portfolio Register'!$DH$5:$DH$304,0))),"")</f>
        <v/>
      </c>
      <c r="J105" s="146" t="str">
        <f>IFERROR(IF(INDEX('Portfolio Register'!$DA$5:$DA$304,MATCH($B105,'Portfolio Register'!$DH$5:$DH$304,0))="","",INDEX('Portfolio Register'!$DA$5:$DA$304,MATCH($B105,'Portfolio Register'!$DH$5:$DH$304,0))),"")</f>
        <v/>
      </c>
      <c r="K105" s="146" t="str">
        <f>IFERROR(IF(INDEX('Portfolio Register'!$DB$5:$DB$304,MATCH($B105,'Portfolio Register'!$DH$5:$DH$304,0))="","",INDEX('Portfolio Register'!$DB$5:$DB$304,MATCH($B105,'Portfolio Register'!$DH$5:$DH$304,0))),"")</f>
        <v/>
      </c>
      <c r="L105" s="146" t="str">
        <f>IFERROR(IF(INDEX('Portfolio Register'!$DC$5:$DC$304,MATCH($B105,'Portfolio Register'!$DH$5:$DH$304,0))="","",INDEX('Portfolio Register'!$DC$5:$DC$304,MATCH($B105,'Portfolio Register'!$DH$5:$DH$304,0))),"")</f>
        <v/>
      </c>
      <c r="M105" s="149" t="str">
        <f>IFERROR(IF(INDEX('Portfolio Register'!$DD$5:$DD$304,MATCH($B105,'Portfolio Register'!$DH$5:$DH$304,0))="","",INDEX('Portfolio Register'!$DD$5:$DD$304,MATCH($B105,'Portfolio Register'!$DH$5:$DH$304,0))),"")</f>
        <v/>
      </c>
      <c r="N105" s="150" t="str">
        <f ca="1">IF($C105="","",IF($M105&lt;&gt;"",$M105-IFERROR(INDEX('Portfolio Register'!$C$5:$C$304,MATCH($B105,'Portfolio Register'!$DH$5:$DH$304,0)),$M105),TODAY()-IFERROR(INDEX('Portfolio Register'!$C$5:$C$304,MATCH($B105,'Portfolio Register'!$DH$5:$DH$304,0)),TODAY())))</f>
        <v/>
      </c>
      <c r="O105" s="151" t="str">
        <f t="shared" si="2"/>
        <v/>
      </c>
      <c r="P105" s="146" t="str">
        <f>IFERROR(IF(INDEX('Portfolio Register'!$DG$5:$DG$304,MATCH($B105,'Portfolio Register'!$DH$5:$DH$304,0))="","",INDEX('Portfolio Register'!$DG$5:$DG$304,MATCH($B105,'Portfolio Register'!$DH$5:$DH$304,0))),"")</f>
        <v/>
      </c>
      <c r="Q105" s="146" t="str">
        <f>IFERROR(IF(INDEX('Portfolio Register'!$DF$5:$DF$304,MATCH($B105,'Portfolio Register'!$DH$5:$DH$304,0))="","",INDEX('Portfolio Register'!$DF$5:$DF$304,MATCH($B105,'Portfolio Register'!$DH$5:$DH$304,0))),"")</f>
        <v/>
      </c>
    </row>
    <row r="106" spans="2:17" x14ac:dyDescent="0.25">
      <c r="B106" s="56">
        <v>79</v>
      </c>
      <c r="C106" s="140" t="str">
        <f>IFERROR(IF(INDEX('Portfolio Register'!$A$5:$A$304,MATCH($B106,'Portfolio Register'!$DH$5:$DH$304,0))="","",INDEX('Portfolio Register'!$A$5:$A$304,MATCH($B106,'Portfolio Register'!$DH$5:$DH$304,0))),"")</f>
        <v/>
      </c>
      <c r="D106" s="140" t="str">
        <f>IFERROR(IF(INDEX('Portfolio Register'!$B$5:$B$304,MATCH($B106,'Portfolio Register'!$DH$5:$DH$304,0))="","",INDEX('Portfolio Register'!$B$5:$B$304,MATCH($B106,'Portfolio Register'!$DH$5:$DH$304,0))),"")</f>
        <v/>
      </c>
      <c r="E106" s="140" t="str">
        <f>IFERROR(IF(INDEX('Portfolio Register'!$I$5:$I$304,MATCH($B106,'Portfolio Register'!$DH$5:$DH$304,0))="","",INDEX('Portfolio Register'!$I$5:$I$304,MATCH($B106,'Portfolio Register'!$DH$5:$DH$304,0))),"")</f>
        <v/>
      </c>
      <c r="F106" s="141" t="str">
        <f>IFERROR(IF(INDEX('Portfolio Register'!$J$5:$J$304,MATCH($B106,'Portfolio Register'!$DH$5:$DH$304,0))="","",INDEX('Portfolio Register'!$J$5:$J$304,MATCH($B106,'Portfolio Register'!$DH$5:$DH$304,0))),"")</f>
        <v/>
      </c>
      <c r="G106" s="140" t="str">
        <f>IFERROR(IF(INDEX('Portfolio Register'!$CX$5:$CX$304,MATCH($B106,'Portfolio Register'!$DH$5:$DH$304,0))="","",INDEX('Portfolio Register'!$CX$5:$CX$304,MATCH($B106,'Portfolio Register'!$DH$5:$DH$304,0))),"")</f>
        <v/>
      </c>
      <c r="H106" s="142" t="str">
        <f>IFERROR(IF(INDEX('Portfolio Register'!$CY$5:$CY$304,MATCH($B106,'Portfolio Register'!$DH$5:$DH$304,0))="","",INDEX('Portfolio Register'!$CY$5:$CY$304,MATCH($B106,'Portfolio Register'!$DH$5:$DH$304,0))),"")</f>
        <v/>
      </c>
      <c r="I106" s="140" t="str">
        <f>IFERROR(IF(INDEX('Portfolio Register'!$CZ$5:$CZ$304,MATCH($B106,'Portfolio Register'!$DH$5:$DH$304,0))="","",INDEX('Portfolio Register'!$CZ$5:$CZ$304,MATCH($B106,'Portfolio Register'!$DH$5:$DH$304,0))),"")</f>
        <v/>
      </c>
      <c r="J106" s="140" t="str">
        <f>IFERROR(IF(INDEX('Portfolio Register'!$DA$5:$DA$304,MATCH($B106,'Portfolio Register'!$DH$5:$DH$304,0))="","",INDEX('Portfolio Register'!$DA$5:$DA$304,MATCH($B106,'Portfolio Register'!$DH$5:$DH$304,0))),"")</f>
        <v/>
      </c>
      <c r="K106" s="140" t="str">
        <f>IFERROR(IF(INDEX('Portfolio Register'!$DB$5:$DB$304,MATCH($B106,'Portfolio Register'!$DH$5:$DH$304,0))="","",INDEX('Portfolio Register'!$DB$5:$DB$304,MATCH($B106,'Portfolio Register'!$DH$5:$DH$304,0))),"")</f>
        <v/>
      </c>
      <c r="L106" s="140" t="str">
        <f>IFERROR(IF(INDEX('Portfolio Register'!$DC$5:$DC$304,MATCH($B106,'Portfolio Register'!$DH$5:$DH$304,0))="","",INDEX('Portfolio Register'!$DC$5:$DC$304,MATCH($B106,'Portfolio Register'!$DH$5:$DH$304,0))),"")</f>
        <v/>
      </c>
      <c r="M106" s="143" t="str">
        <f>IFERROR(IF(INDEX('Portfolio Register'!$DD$5:$DD$304,MATCH($B106,'Portfolio Register'!$DH$5:$DH$304,0))="","",INDEX('Portfolio Register'!$DD$5:$DD$304,MATCH($B106,'Portfolio Register'!$DH$5:$DH$304,0))),"")</f>
        <v/>
      </c>
      <c r="N106" s="144" t="str">
        <f ca="1">IF($C106="","",IF($M106&lt;&gt;"",$M106-IFERROR(INDEX('Portfolio Register'!$C$5:$C$304,MATCH($B106,'Portfolio Register'!$DH$5:$DH$304,0)),$M106),TODAY()-IFERROR(INDEX('Portfolio Register'!$C$5:$C$304,MATCH($B106,'Portfolio Register'!$DH$5:$DH$304,0)),TODAY())))</f>
        <v/>
      </c>
      <c r="O106" s="145" t="str">
        <f t="shared" si="2"/>
        <v/>
      </c>
      <c r="P106" s="140" t="str">
        <f>IFERROR(IF(INDEX('Portfolio Register'!$DG$5:$DG$304,MATCH($B106,'Portfolio Register'!$DH$5:$DH$304,0))="","",INDEX('Portfolio Register'!$DG$5:$DG$304,MATCH($B106,'Portfolio Register'!$DH$5:$DH$304,0))),"")</f>
        <v/>
      </c>
      <c r="Q106" s="140" t="str">
        <f>IFERROR(IF(INDEX('Portfolio Register'!$DF$5:$DF$304,MATCH($B106,'Portfolio Register'!$DH$5:$DH$304,0))="","",INDEX('Portfolio Register'!$DF$5:$DF$304,MATCH($B106,'Portfolio Register'!$DH$5:$DH$304,0))),"")</f>
        <v/>
      </c>
    </row>
    <row r="107" spans="2:17" x14ac:dyDescent="0.25">
      <c r="B107" s="63">
        <v>80</v>
      </c>
      <c r="C107" s="146" t="str">
        <f>IFERROR(IF(INDEX('Portfolio Register'!$A$5:$A$304,MATCH($B107,'Portfolio Register'!$DH$5:$DH$304,0))="","",INDEX('Portfolio Register'!$A$5:$A$304,MATCH($B107,'Portfolio Register'!$DH$5:$DH$304,0))),"")</f>
        <v/>
      </c>
      <c r="D107" s="146" t="str">
        <f>IFERROR(IF(INDEX('Portfolio Register'!$B$5:$B$304,MATCH($B107,'Portfolio Register'!$DH$5:$DH$304,0))="","",INDEX('Portfolio Register'!$B$5:$B$304,MATCH($B107,'Portfolio Register'!$DH$5:$DH$304,0))),"")</f>
        <v/>
      </c>
      <c r="E107" s="146" t="str">
        <f>IFERROR(IF(INDEX('Portfolio Register'!$I$5:$I$304,MATCH($B107,'Portfolio Register'!$DH$5:$DH$304,0))="","",INDEX('Portfolio Register'!$I$5:$I$304,MATCH($B107,'Portfolio Register'!$DH$5:$DH$304,0))),"")</f>
        <v/>
      </c>
      <c r="F107" s="147" t="str">
        <f>IFERROR(IF(INDEX('Portfolio Register'!$J$5:$J$304,MATCH($B107,'Portfolio Register'!$DH$5:$DH$304,0))="","",INDEX('Portfolio Register'!$J$5:$J$304,MATCH($B107,'Portfolio Register'!$DH$5:$DH$304,0))),"")</f>
        <v/>
      </c>
      <c r="G107" s="146" t="str">
        <f>IFERROR(IF(INDEX('Portfolio Register'!$CX$5:$CX$304,MATCH($B107,'Portfolio Register'!$DH$5:$DH$304,0))="","",INDEX('Portfolio Register'!$CX$5:$CX$304,MATCH($B107,'Portfolio Register'!$DH$5:$DH$304,0))),"")</f>
        <v/>
      </c>
      <c r="H107" s="148" t="str">
        <f>IFERROR(IF(INDEX('Portfolio Register'!$CY$5:$CY$304,MATCH($B107,'Portfolio Register'!$DH$5:$DH$304,0))="","",INDEX('Portfolio Register'!$CY$5:$CY$304,MATCH($B107,'Portfolio Register'!$DH$5:$DH$304,0))),"")</f>
        <v/>
      </c>
      <c r="I107" s="146" t="str">
        <f>IFERROR(IF(INDEX('Portfolio Register'!$CZ$5:$CZ$304,MATCH($B107,'Portfolio Register'!$DH$5:$DH$304,0))="","",INDEX('Portfolio Register'!$CZ$5:$CZ$304,MATCH($B107,'Portfolio Register'!$DH$5:$DH$304,0))),"")</f>
        <v/>
      </c>
      <c r="J107" s="146" t="str">
        <f>IFERROR(IF(INDEX('Portfolio Register'!$DA$5:$DA$304,MATCH($B107,'Portfolio Register'!$DH$5:$DH$304,0))="","",INDEX('Portfolio Register'!$DA$5:$DA$304,MATCH($B107,'Portfolio Register'!$DH$5:$DH$304,0))),"")</f>
        <v/>
      </c>
      <c r="K107" s="146" t="str">
        <f>IFERROR(IF(INDEX('Portfolio Register'!$DB$5:$DB$304,MATCH($B107,'Portfolio Register'!$DH$5:$DH$304,0))="","",INDEX('Portfolio Register'!$DB$5:$DB$304,MATCH($B107,'Portfolio Register'!$DH$5:$DH$304,0))),"")</f>
        <v/>
      </c>
      <c r="L107" s="146" t="str">
        <f>IFERROR(IF(INDEX('Portfolio Register'!$DC$5:$DC$304,MATCH($B107,'Portfolio Register'!$DH$5:$DH$304,0))="","",INDEX('Portfolio Register'!$DC$5:$DC$304,MATCH($B107,'Portfolio Register'!$DH$5:$DH$304,0))),"")</f>
        <v/>
      </c>
      <c r="M107" s="149" t="str">
        <f>IFERROR(IF(INDEX('Portfolio Register'!$DD$5:$DD$304,MATCH($B107,'Portfolio Register'!$DH$5:$DH$304,0))="","",INDEX('Portfolio Register'!$DD$5:$DD$304,MATCH($B107,'Portfolio Register'!$DH$5:$DH$304,0))),"")</f>
        <v/>
      </c>
      <c r="N107" s="150" t="str">
        <f ca="1">IF($C107="","",IF($M107&lt;&gt;"",$M107-IFERROR(INDEX('Portfolio Register'!$C$5:$C$304,MATCH($B107,'Portfolio Register'!$DH$5:$DH$304,0)),$M107),TODAY()-IFERROR(INDEX('Portfolio Register'!$C$5:$C$304,MATCH($B107,'Portfolio Register'!$DH$5:$DH$304,0)),TODAY())))</f>
        <v/>
      </c>
      <c r="O107" s="151" t="str">
        <f t="shared" si="2"/>
        <v/>
      </c>
      <c r="P107" s="146" t="str">
        <f>IFERROR(IF(INDEX('Portfolio Register'!$DG$5:$DG$304,MATCH($B107,'Portfolio Register'!$DH$5:$DH$304,0))="","",INDEX('Portfolio Register'!$DG$5:$DG$304,MATCH($B107,'Portfolio Register'!$DH$5:$DH$304,0))),"")</f>
        <v/>
      </c>
      <c r="Q107" s="146" t="str">
        <f>IFERROR(IF(INDEX('Portfolio Register'!$DF$5:$DF$304,MATCH($B107,'Portfolio Register'!$DH$5:$DH$304,0))="","",INDEX('Portfolio Register'!$DF$5:$DF$304,MATCH($B107,'Portfolio Register'!$DH$5:$DH$304,0))),"")</f>
        <v/>
      </c>
    </row>
    <row r="108" spans="2:17" x14ac:dyDescent="0.25">
      <c r="B108" s="56">
        <v>81</v>
      </c>
      <c r="C108" s="140" t="str">
        <f>IFERROR(IF(INDEX('Portfolio Register'!$A$5:$A$304,MATCH($B108,'Portfolio Register'!$DH$5:$DH$304,0))="","",INDEX('Portfolio Register'!$A$5:$A$304,MATCH($B108,'Portfolio Register'!$DH$5:$DH$304,0))),"")</f>
        <v/>
      </c>
      <c r="D108" s="140" t="str">
        <f>IFERROR(IF(INDEX('Portfolio Register'!$B$5:$B$304,MATCH($B108,'Portfolio Register'!$DH$5:$DH$304,0))="","",INDEX('Portfolio Register'!$B$5:$B$304,MATCH($B108,'Portfolio Register'!$DH$5:$DH$304,0))),"")</f>
        <v/>
      </c>
      <c r="E108" s="140" t="str">
        <f>IFERROR(IF(INDEX('Portfolio Register'!$I$5:$I$304,MATCH($B108,'Portfolio Register'!$DH$5:$DH$304,0))="","",INDEX('Portfolio Register'!$I$5:$I$304,MATCH($B108,'Portfolio Register'!$DH$5:$DH$304,0))),"")</f>
        <v/>
      </c>
      <c r="F108" s="141" t="str">
        <f>IFERROR(IF(INDEX('Portfolio Register'!$J$5:$J$304,MATCH($B108,'Portfolio Register'!$DH$5:$DH$304,0))="","",INDEX('Portfolio Register'!$J$5:$J$304,MATCH($B108,'Portfolio Register'!$DH$5:$DH$304,0))),"")</f>
        <v/>
      </c>
      <c r="G108" s="140" t="str">
        <f>IFERROR(IF(INDEX('Portfolio Register'!$CX$5:$CX$304,MATCH($B108,'Portfolio Register'!$DH$5:$DH$304,0))="","",INDEX('Portfolio Register'!$CX$5:$CX$304,MATCH($B108,'Portfolio Register'!$DH$5:$DH$304,0))),"")</f>
        <v/>
      </c>
      <c r="H108" s="142" t="str">
        <f>IFERROR(IF(INDEX('Portfolio Register'!$CY$5:$CY$304,MATCH($B108,'Portfolio Register'!$DH$5:$DH$304,0))="","",INDEX('Portfolio Register'!$CY$5:$CY$304,MATCH($B108,'Portfolio Register'!$DH$5:$DH$304,0))),"")</f>
        <v/>
      </c>
      <c r="I108" s="140" t="str">
        <f>IFERROR(IF(INDEX('Portfolio Register'!$CZ$5:$CZ$304,MATCH($B108,'Portfolio Register'!$DH$5:$DH$304,0))="","",INDEX('Portfolio Register'!$CZ$5:$CZ$304,MATCH($B108,'Portfolio Register'!$DH$5:$DH$304,0))),"")</f>
        <v/>
      </c>
      <c r="J108" s="140" t="str">
        <f>IFERROR(IF(INDEX('Portfolio Register'!$DA$5:$DA$304,MATCH($B108,'Portfolio Register'!$DH$5:$DH$304,0))="","",INDEX('Portfolio Register'!$DA$5:$DA$304,MATCH($B108,'Portfolio Register'!$DH$5:$DH$304,0))),"")</f>
        <v/>
      </c>
      <c r="K108" s="140" t="str">
        <f>IFERROR(IF(INDEX('Portfolio Register'!$DB$5:$DB$304,MATCH($B108,'Portfolio Register'!$DH$5:$DH$304,0))="","",INDEX('Portfolio Register'!$DB$5:$DB$304,MATCH($B108,'Portfolio Register'!$DH$5:$DH$304,0))),"")</f>
        <v/>
      </c>
      <c r="L108" s="140" t="str">
        <f>IFERROR(IF(INDEX('Portfolio Register'!$DC$5:$DC$304,MATCH($B108,'Portfolio Register'!$DH$5:$DH$304,0))="","",INDEX('Portfolio Register'!$DC$5:$DC$304,MATCH($B108,'Portfolio Register'!$DH$5:$DH$304,0))),"")</f>
        <v/>
      </c>
      <c r="M108" s="143" t="str">
        <f>IFERROR(IF(INDEX('Portfolio Register'!$DD$5:$DD$304,MATCH($B108,'Portfolio Register'!$DH$5:$DH$304,0))="","",INDEX('Portfolio Register'!$DD$5:$DD$304,MATCH($B108,'Portfolio Register'!$DH$5:$DH$304,0))),"")</f>
        <v/>
      </c>
      <c r="N108" s="144" t="str">
        <f ca="1">IF($C108="","",IF($M108&lt;&gt;"",$M108-IFERROR(INDEX('Portfolio Register'!$C$5:$C$304,MATCH($B108,'Portfolio Register'!$DH$5:$DH$304,0)),$M108),TODAY()-IFERROR(INDEX('Portfolio Register'!$C$5:$C$304,MATCH($B108,'Portfolio Register'!$DH$5:$DH$304,0)),TODAY())))</f>
        <v/>
      </c>
      <c r="O108" s="145" t="str">
        <f t="shared" si="2"/>
        <v/>
      </c>
      <c r="P108" s="140" t="str">
        <f>IFERROR(IF(INDEX('Portfolio Register'!$DG$5:$DG$304,MATCH($B108,'Portfolio Register'!$DH$5:$DH$304,0))="","",INDEX('Portfolio Register'!$DG$5:$DG$304,MATCH($B108,'Portfolio Register'!$DH$5:$DH$304,0))),"")</f>
        <v/>
      </c>
      <c r="Q108" s="140" t="str">
        <f>IFERROR(IF(INDEX('Portfolio Register'!$DF$5:$DF$304,MATCH($B108,'Portfolio Register'!$DH$5:$DH$304,0))="","",INDEX('Portfolio Register'!$DF$5:$DF$304,MATCH($B108,'Portfolio Register'!$DH$5:$DH$304,0))),"")</f>
        <v/>
      </c>
    </row>
    <row r="109" spans="2:17" x14ac:dyDescent="0.25">
      <c r="B109" s="63">
        <v>82</v>
      </c>
      <c r="C109" s="146" t="str">
        <f>IFERROR(IF(INDEX('Portfolio Register'!$A$5:$A$304,MATCH($B109,'Portfolio Register'!$DH$5:$DH$304,0))="","",INDEX('Portfolio Register'!$A$5:$A$304,MATCH($B109,'Portfolio Register'!$DH$5:$DH$304,0))),"")</f>
        <v/>
      </c>
      <c r="D109" s="146" t="str">
        <f>IFERROR(IF(INDEX('Portfolio Register'!$B$5:$B$304,MATCH($B109,'Portfolio Register'!$DH$5:$DH$304,0))="","",INDEX('Portfolio Register'!$B$5:$B$304,MATCH($B109,'Portfolio Register'!$DH$5:$DH$304,0))),"")</f>
        <v/>
      </c>
      <c r="E109" s="146" t="str">
        <f>IFERROR(IF(INDEX('Portfolio Register'!$I$5:$I$304,MATCH($B109,'Portfolio Register'!$DH$5:$DH$304,0))="","",INDEX('Portfolio Register'!$I$5:$I$304,MATCH($B109,'Portfolio Register'!$DH$5:$DH$304,0))),"")</f>
        <v/>
      </c>
      <c r="F109" s="147" t="str">
        <f>IFERROR(IF(INDEX('Portfolio Register'!$J$5:$J$304,MATCH($B109,'Portfolio Register'!$DH$5:$DH$304,0))="","",INDEX('Portfolio Register'!$J$5:$J$304,MATCH($B109,'Portfolio Register'!$DH$5:$DH$304,0))),"")</f>
        <v/>
      </c>
      <c r="G109" s="146" t="str">
        <f>IFERROR(IF(INDEX('Portfolio Register'!$CX$5:$CX$304,MATCH($B109,'Portfolio Register'!$DH$5:$DH$304,0))="","",INDEX('Portfolio Register'!$CX$5:$CX$304,MATCH($B109,'Portfolio Register'!$DH$5:$DH$304,0))),"")</f>
        <v/>
      </c>
      <c r="H109" s="148" t="str">
        <f>IFERROR(IF(INDEX('Portfolio Register'!$CY$5:$CY$304,MATCH($B109,'Portfolio Register'!$DH$5:$DH$304,0))="","",INDEX('Portfolio Register'!$CY$5:$CY$304,MATCH($B109,'Portfolio Register'!$DH$5:$DH$304,0))),"")</f>
        <v/>
      </c>
      <c r="I109" s="146" t="str">
        <f>IFERROR(IF(INDEX('Portfolio Register'!$CZ$5:$CZ$304,MATCH($B109,'Portfolio Register'!$DH$5:$DH$304,0))="","",INDEX('Portfolio Register'!$CZ$5:$CZ$304,MATCH($B109,'Portfolio Register'!$DH$5:$DH$304,0))),"")</f>
        <v/>
      </c>
      <c r="J109" s="146" t="str">
        <f>IFERROR(IF(INDEX('Portfolio Register'!$DA$5:$DA$304,MATCH($B109,'Portfolio Register'!$DH$5:$DH$304,0))="","",INDEX('Portfolio Register'!$DA$5:$DA$304,MATCH($B109,'Portfolio Register'!$DH$5:$DH$304,0))),"")</f>
        <v/>
      </c>
      <c r="K109" s="146" t="str">
        <f>IFERROR(IF(INDEX('Portfolio Register'!$DB$5:$DB$304,MATCH($B109,'Portfolio Register'!$DH$5:$DH$304,0))="","",INDEX('Portfolio Register'!$DB$5:$DB$304,MATCH($B109,'Portfolio Register'!$DH$5:$DH$304,0))),"")</f>
        <v/>
      </c>
      <c r="L109" s="146" t="str">
        <f>IFERROR(IF(INDEX('Portfolio Register'!$DC$5:$DC$304,MATCH($B109,'Portfolio Register'!$DH$5:$DH$304,0))="","",INDEX('Portfolio Register'!$DC$5:$DC$304,MATCH($B109,'Portfolio Register'!$DH$5:$DH$304,0))),"")</f>
        <v/>
      </c>
      <c r="M109" s="149" t="str">
        <f>IFERROR(IF(INDEX('Portfolio Register'!$DD$5:$DD$304,MATCH($B109,'Portfolio Register'!$DH$5:$DH$304,0))="","",INDEX('Portfolio Register'!$DD$5:$DD$304,MATCH($B109,'Portfolio Register'!$DH$5:$DH$304,0))),"")</f>
        <v/>
      </c>
      <c r="N109" s="150" t="str">
        <f ca="1">IF($C109="","",IF($M109&lt;&gt;"",$M109-IFERROR(INDEX('Portfolio Register'!$C$5:$C$304,MATCH($B109,'Portfolio Register'!$DH$5:$DH$304,0)),$M109),TODAY()-IFERROR(INDEX('Portfolio Register'!$C$5:$C$304,MATCH($B109,'Portfolio Register'!$DH$5:$DH$304,0)),TODAY())))</f>
        <v/>
      </c>
      <c r="O109" s="151" t="str">
        <f t="shared" si="2"/>
        <v/>
      </c>
      <c r="P109" s="146" t="str">
        <f>IFERROR(IF(INDEX('Portfolio Register'!$DG$5:$DG$304,MATCH($B109,'Portfolio Register'!$DH$5:$DH$304,0))="","",INDEX('Portfolio Register'!$DG$5:$DG$304,MATCH($B109,'Portfolio Register'!$DH$5:$DH$304,0))),"")</f>
        <v/>
      </c>
      <c r="Q109" s="146" t="str">
        <f>IFERROR(IF(INDEX('Portfolio Register'!$DF$5:$DF$304,MATCH($B109,'Portfolio Register'!$DH$5:$DH$304,0))="","",INDEX('Portfolio Register'!$DF$5:$DF$304,MATCH($B109,'Portfolio Register'!$DH$5:$DH$304,0))),"")</f>
        <v/>
      </c>
    </row>
    <row r="110" spans="2:17" x14ac:dyDescent="0.25">
      <c r="B110" s="56">
        <v>83</v>
      </c>
      <c r="C110" s="140" t="str">
        <f>IFERROR(IF(INDEX('Portfolio Register'!$A$5:$A$304,MATCH($B110,'Portfolio Register'!$DH$5:$DH$304,0))="","",INDEX('Portfolio Register'!$A$5:$A$304,MATCH($B110,'Portfolio Register'!$DH$5:$DH$304,0))),"")</f>
        <v/>
      </c>
      <c r="D110" s="140" t="str">
        <f>IFERROR(IF(INDEX('Portfolio Register'!$B$5:$B$304,MATCH($B110,'Portfolio Register'!$DH$5:$DH$304,0))="","",INDEX('Portfolio Register'!$B$5:$B$304,MATCH($B110,'Portfolio Register'!$DH$5:$DH$304,0))),"")</f>
        <v/>
      </c>
      <c r="E110" s="140" t="str">
        <f>IFERROR(IF(INDEX('Portfolio Register'!$I$5:$I$304,MATCH($B110,'Portfolio Register'!$DH$5:$DH$304,0))="","",INDEX('Portfolio Register'!$I$5:$I$304,MATCH($B110,'Portfolio Register'!$DH$5:$DH$304,0))),"")</f>
        <v/>
      </c>
      <c r="F110" s="141" t="str">
        <f>IFERROR(IF(INDEX('Portfolio Register'!$J$5:$J$304,MATCH($B110,'Portfolio Register'!$DH$5:$DH$304,0))="","",INDEX('Portfolio Register'!$J$5:$J$304,MATCH($B110,'Portfolio Register'!$DH$5:$DH$304,0))),"")</f>
        <v/>
      </c>
      <c r="G110" s="140" t="str">
        <f>IFERROR(IF(INDEX('Portfolio Register'!$CX$5:$CX$304,MATCH($B110,'Portfolio Register'!$DH$5:$DH$304,0))="","",INDEX('Portfolio Register'!$CX$5:$CX$304,MATCH($B110,'Portfolio Register'!$DH$5:$DH$304,0))),"")</f>
        <v/>
      </c>
      <c r="H110" s="142" t="str">
        <f>IFERROR(IF(INDEX('Portfolio Register'!$CY$5:$CY$304,MATCH($B110,'Portfolio Register'!$DH$5:$DH$304,0))="","",INDEX('Portfolio Register'!$CY$5:$CY$304,MATCH($B110,'Portfolio Register'!$DH$5:$DH$304,0))),"")</f>
        <v/>
      </c>
      <c r="I110" s="140" t="str">
        <f>IFERROR(IF(INDEX('Portfolio Register'!$CZ$5:$CZ$304,MATCH($B110,'Portfolio Register'!$DH$5:$DH$304,0))="","",INDEX('Portfolio Register'!$CZ$5:$CZ$304,MATCH($B110,'Portfolio Register'!$DH$5:$DH$304,0))),"")</f>
        <v/>
      </c>
      <c r="J110" s="140" t="str">
        <f>IFERROR(IF(INDEX('Portfolio Register'!$DA$5:$DA$304,MATCH($B110,'Portfolio Register'!$DH$5:$DH$304,0))="","",INDEX('Portfolio Register'!$DA$5:$DA$304,MATCH($B110,'Portfolio Register'!$DH$5:$DH$304,0))),"")</f>
        <v/>
      </c>
      <c r="K110" s="140" t="str">
        <f>IFERROR(IF(INDEX('Portfolio Register'!$DB$5:$DB$304,MATCH($B110,'Portfolio Register'!$DH$5:$DH$304,0))="","",INDEX('Portfolio Register'!$DB$5:$DB$304,MATCH($B110,'Portfolio Register'!$DH$5:$DH$304,0))),"")</f>
        <v/>
      </c>
      <c r="L110" s="140" t="str">
        <f>IFERROR(IF(INDEX('Portfolio Register'!$DC$5:$DC$304,MATCH($B110,'Portfolio Register'!$DH$5:$DH$304,0))="","",INDEX('Portfolio Register'!$DC$5:$DC$304,MATCH($B110,'Portfolio Register'!$DH$5:$DH$304,0))),"")</f>
        <v/>
      </c>
      <c r="M110" s="143" t="str">
        <f>IFERROR(IF(INDEX('Portfolio Register'!$DD$5:$DD$304,MATCH($B110,'Portfolio Register'!$DH$5:$DH$304,0))="","",INDEX('Portfolio Register'!$DD$5:$DD$304,MATCH($B110,'Portfolio Register'!$DH$5:$DH$304,0))),"")</f>
        <v/>
      </c>
      <c r="N110" s="144" t="str">
        <f ca="1">IF($C110="","",IF($M110&lt;&gt;"",$M110-IFERROR(INDEX('Portfolio Register'!$C$5:$C$304,MATCH($B110,'Portfolio Register'!$DH$5:$DH$304,0)),$M110),TODAY()-IFERROR(INDEX('Portfolio Register'!$C$5:$C$304,MATCH($B110,'Portfolio Register'!$DH$5:$DH$304,0)),TODAY())))</f>
        <v/>
      </c>
      <c r="O110" s="145" t="str">
        <f t="shared" si="2"/>
        <v/>
      </c>
      <c r="P110" s="140" t="str">
        <f>IFERROR(IF(INDEX('Portfolio Register'!$DG$5:$DG$304,MATCH($B110,'Portfolio Register'!$DH$5:$DH$304,0))="","",INDEX('Portfolio Register'!$DG$5:$DG$304,MATCH($B110,'Portfolio Register'!$DH$5:$DH$304,0))),"")</f>
        <v/>
      </c>
      <c r="Q110" s="140" t="str">
        <f>IFERROR(IF(INDEX('Portfolio Register'!$DF$5:$DF$304,MATCH($B110,'Portfolio Register'!$DH$5:$DH$304,0))="","",INDEX('Portfolio Register'!$DF$5:$DF$304,MATCH($B110,'Portfolio Register'!$DH$5:$DH$304,0))),"")</f>
        <v/>
      </c>
    </row>
    <row r="111" spans="2:17" x14ac:dyDescent="0.25">
      <c r="B111" s="63">
        <v>84</v>
      </c>
      <c r="C111" s="146" t="str">
        <f>IFERROR(IF(INDEX('Portfolio Register'!$A$5:$A$304,MATCH($B111,'Portfolio Register'!$DH$5:$DH$304,0))="","",INDEX('Portfolio Register'!$A$5:$A$304,MATCH($B111,'Portfolio Register'!$DH$5:$DH$304,0))),"")</f>
        <v/>
      </c>
      <c r="D111" s="146" t="str">
        <f>IFERROR(IF(INDEX('Portfolio Register'!$B$5:$B$304,MATCH($B111,'Portfolio Register'!$DH$5:$DH$304,0))="","",INDEX('Portfolio Register'!$B$5:$B$304,MATCH($B111,'Portfolio Register'!$DH$5:$DH$304,0))),"")</f>
        <v/>
      </c>
      <c r="E111" s="146" t="str">
        <f>IFERROR(IF(INDEX('Portfolio Register'!$I$5:$I$304,MATCH($B111,'Portfolio Register'!$DH$5:$DH$304,0))="","",INDEX('Portfolio Register'!$I$5:$I$304,MATCH($B111,'Portfolio Register'!$DH$5:$DH$304,0))),"")</f>
        <v/>
      </c>
      <c r="F111" s="147" t="str">
        <f>IFERROR(IF(INDEX('Portfolio Register'!$J$5:$J$304,MATCH($B111,'Portfolio Register'!$DH$5:$DH$304,0))="","",INDEX('Portfolio Register'!$J$5:$J$304,MATCH($B111,'Portfolio Register'!$DH$5:$DH$304,0))),"")</f>
        <v/>
      </c>
      <c r="G111" s="146" t="str">
        <f>IFERROR(IF(INDEX('Portfolio Register'!$CX$5:$CX$304,MATCH($B111,'Portfolio Register'!$DH$5:$DH$304,0))="","",INDEX('Portfolio Register'!$CX$5:$CX$304,MATCH($B111,'Portfolio Register'!$DH$5:$DH$304,0))),"")</f>
        <v/>
      </c>
      <c r="H111" s="148" t="str">
        <f>IFERROR(IF(INDEX('Portfolio Register'!$CY$5:$CY$304,MATCH($B111,'Portfolio Register'!$DH$5:$DH$304,0))="","",INDEX('Portfolio Register'!$CY$5:$CY$304,MATCH($B111,'Portfolio Register'!$DH$5:$DH$304,0))),"")</f>
        <v/>
      </c>
      <c r="I111" s="146" t="str">
        <f>IFERROR(IF(INDEX('Portfolio Register'!$CZ$5:$CZ$304,MATCH($B111,'Portfolio Register'!$DH$5:$DH$304,0))="","",INDEX('Portfolio Register'!$CZ$5:$CZ$304,MATCH($B111,'Portfolio Register'!$DH$5:$DH$304,0))),"")</f>
        <v/>
      </c>
      <c r="J111" s="146" t="str">
        <f>IFERROR(IF(INDEX('Portfolio Register'!$DA$5:$DA$304,MATCH($B111,'Portfolio Register'!$DH$5:$DH$304,0))="","",INDEX('Portfolio Register'!$DA$5:$DA$304,MATCH($B111,'Portfolio Register'!$DH$5:$DH$304,0))),"")</f>
        <v/>
      </c>
      <c r="K111" s="146" t="str">
        <f>IFERROR(IF(INDEX('Portfolio Register'!$DB$5:$DB$304,MATCH($B111,'Portfolio Register'!$DH$5:$DH$304,0))="","",INDEX('Portfolio Register'!$DB$5:$DB$304,MATCH($B111,'Portfolio Register'!$DH$5:$DH$304,0))),"")</f>
        <v/>
      </c>
      <c r="L111" s="146" t="str">
        <f>IFERROR(IF(INDEX('Portfolio Register'!$DC$5:$DC$304,MATCH($B111,'Portfolio Register'!$DH$5:$DH$304,0))="","",INDEX('Portfolio Register'!$DC$5:$DC$304,MATCH($B111,'Portfolio Register'!$DH$5:$DH$304,0))),"")</f>
        <v/>
      </c>
      <c r="M111" s="149" t="str">
        <f>IFERROR(IF(INDEX('Portfolio Register'!$DD$5:$DD$304,MATCH($B111,'Portfolio Register'!$DH$5:$DH$304,0))="","",INDEX('Portfolio Register'!$DD$5:$DD$304,MATCH($B111,'Portfolio Register'!$DH$5:$DH$304,0))),"")</f>
        <v/>
      </c>
      <c r="N111" s="150" t="str">
        <f ca="1">IF($C111="","",IF($M111&lt;&gt;"",$M111-IFERROR(INDEX('Portfolio Register'!$C$5:$C$304,MATCH($B111,'Portfolio Register'!$DH$5:$DH$304,0)),$M111),TODAY()-IFERROR(INDEX('Portfolio Register'!$C$5:$C$304,MATCH($B111,'Portfolio Register'!$DH$5:$DH$304,0)),TODAY())))</f>
        <v/>
      </c>
      <c r="O111" s="151" t="str">
        <f t="shared" si="2"/>
        <v/>
      </c>
      <c r="P111" s="146" t="str">
        <f>IFERROR(IF(INDEX('Portfolio Register'!$DG$5:$DG$304,MATCH($B111,'Portfolio Register'!$DH$5:$DH$304,0))="","",INDEX('Portfolio Register'!$DG$5:$DG$304,MATCH($B111,'Portfolio Register'!$DH$5:$DH$304,0))),"")</f>
        <v/>
      </c>
      <c r="Q111" s="146" t="str">
        <f>IFERROR(IF(INDEX('Portfolio Register'!$DF$5:$DF$304,MATCH($B111,'Portfolio Register'!$DH$5:$DH$304,0))="","",INDEX('Portfolio Register'!$DF$5:$DF$304,MATCH($B111,'Portfolio Register'!$DH$5:$DH$304,0))),"")</f>
        <v/>
      </c>
    </row>
    <row r="112" spans="2:17" x14ac:dyDescent="0.25">
      <c r="B112" s="56">
        <v>85</v>
      </c>
      <c r="C112" s="140" t="str">
        <f>IFERROR(IF(INDEX('Portfolio Register'!$A$5:$A$304,MATCH($B112,'Portfolio Register'!$DH$5:$DH$304,0))="","",INDEX('Portfolio Register'!$A$5:$A$304,MATCH($B112,'Portfolio Register'!$DH$5:$DH$304,0))),"")</f>
        <v/>
      </c>
      <c r="D112" s="140" t="str">
        <f>IFERROR(IF(INDEX('Portfolio Register'!$B$5:$B$304,MATCH($B112,'Portfolio Register'!$DH$5:$DH$304,0))="","",INDEX('Portfolio Register'!$B$5:$B$304,MATCH($B112,'Portfolio Register'!$DH$5:$DH$304,0))),"")</f>
        <v/>
      </c>
      <c r="E112" s="140" t="str">
        <f>IFERROR(IF(INDEX('Portfolio Register'!$I$5:$I$304,MATCH($B112,'Portfolio Register'!$DH$5:$DH$304,0))="","",INDEX('Portfolio Register'!$I$5:$I$304,MATCH($B112,'Portfolio Register'!$DH$5:$DH$304,0))),"")</f>
        <v/>
      </c>
      <c r="F112" s="141" t="str">
        <f>IFERROR(IF(INDEX('Portfolio Register'!$J$5:$J$304,MATCH($B112,'Portfolio Register'!$DH$5:$DH$304,0))="","",INDEX('Portfolio Register'!$J$5:$J$304,MATCH($B112,'Portfolio Register'!$DH$5:$DH$304,0))),"")</f>
        <v/>
      </c>
      <c r="G112" s="140" t="str">
        <f>IFERROR(IF(INDEX('Portfolio Register'!$CX$5:$CX$304,MATCH($B112,'Portfolio Register'!$DH$5:$DH$304,0))="","",INDEX('Portfolio Register'!$CX$5:$CX$304,MATCH($B112,'Portfolio Register'!$DH$5:$DH$304,0))),"")</f>
        <v/>
      </c>
      <c r="H112" s="142" t="str">
        <f>IFERROR(IF(INDEX('Portfolio Register'!$CY$5:$CY$304,MATCH($B112,'Portfolio Register'!$DH$5:$DH$304,0))="","",INDEX('Portfolio Register'!$CY$5:$CY$304,MATCH($B112,'Portfolio Register'!$DH$5:$DH$304,0))),"")</f>
        <v/>
      </c>
      <c r="I112" s="140" t="str">
        <f>IFERROR(IF(INDEX('Portfolio Register'!$CZ$5:$CZ$304,MATCH($B112,'Portfolio Register'!$DH$5:$DH$304,0))="","",INDEX('Portfolio Register'!$CZ$5:$CZ$304,MATCH($B112,'Portfolio Register'!$DH$5:$DH$304,0))),"")</f>
        <v/>
      </c>
      <c r="J112" s="140" t="str">
        <f>IFERROR(IF(INDEX('Portfolio Register'!$DA$5:$DA$304,MATCH($B112,'Portfolio Register'!$DH$5:$DH$304,0))="","",INDEX('Portfolio Register'!$DA$5:$DA$304,MATCH($B112,'Portfolio Register'!$DH$5:$DH$304,0))),"")</f>
        <v/>
      </c>
      <c r="K112" s="140" t="str">
        <f>IFERROR(IF(INDEX('Portfolio Register'!$DB$5:$DB$304,MATCH($B112,'Portfolio Register'!$DH$5:$DH$304,0))="","",INDEX('Portfolio Register'!$DB$5:$DB$304,MATCH($B112,'Portfolio Register'!$DH$5:$DH$304,0))),"")</f>
        <v/>
      </c>
      <c r="L112" s="140" t="str">
        <f>IFERROR(IF(INDEX('Portfolio Register'!$DC$5:$DC$304,MATCH($B112,'Portfolio Register'!$DH$5:$DH$304,0))="","",INDEX('Portfolio Register'!$DC$5:$DC$304,MATCH($B112,'Portfolio Register'!$DH$5:$DH$304,0))),"")</f>
        <v/>
      </c>
      <c r="M112" s="143" t="str">
        <f>IFERROR(IF(INDEX('Portfolio Register'!$DD$5:$DD$304,MATCH($B112,'Portfolio Register'!$DH$5:$DH$304,0))="","",INDEX('Portfolio Register'!$DD$5:$DD$304,MATCH($B112,'Portfolio Register'!$DH$5:$DH$304,0))),"")</f>
        <v/>
      </c>
      <c r="N112" s="144" t="str">
        <f ca="1">IF($C112="","",IF($M112&lt;&gt;"",$M112-IFERROR(INDEX('Portfolio Register'!$C$5:$C$304,MATCH($B112,'Portfolio Register'!$DH$5:$DH$304,0)),$M112),TODAY()-IFERROR(INDEX('Portfolio Register'!$C$5:$C$304,MATCH($B112,'Portfolio Register'!$DH$5:$DH$304,0)),TODAY())))</f>
        <v/>
      </c>
      <c r="O112" s="145" t="str">
        <f t="shared" si="2"/>
        <v/>
      </c>
      <c r="P112" s="140" t="str">
        <f>IFERROR(IF(INDEX('Portfolio Register'!$DG$5:$DG$304,MATCH($B112,'Portfolio Register'!$DH$5:$DH$304,0))="","",INDEX('Portfolio Register'!$DG$5:$DG$304,MATCH($B112,'Portfolio Register'!$DH$5:$DH$304,0))),"")</f>
        <v/>
      </c>
      <c r="Q112" s="140" t="str">
        <f>IFERROR(IF(INDEX('Portfolio Register'!$DF$5:$DF$304,MATCH($B112,'Portfolio Register'!$DH$5:$DH$304,0))="","",INDEX('Portfolio Register'!$DF$5:$DF$304,MATCH($B112,'Portfolio Register'!$DH$5:$DH$304,0))),"")</f>
        <v/>
      </c>
    </row>
    <row r="113" spans="2:17" x14ac:dyDescent="0.25">
      <c r="B113" s="63">
        <v>86</v>
      </c>
      <c r="C113" s="146" t="str">
        <f>IFERROR(IF(INDEX('Portfolio Register'!$A$5:$A$304,MATCH($B113,'Portfolio Register'!$DH$5:$DH$304,0))="","",INDEX('Portfolio Register'!$A$5:$A$304,MATCH($B113,'Portfolio Register'!$DH$5:$DH$304,0))),"")</f>
        <v/>
      </c>
      <c r="D113" s="146" t="str">
        <f>IFERROR(IF(INDEX('Portfolio Register'!$B$5:$B$304,MATCH($B113,'Portfolio Register'!$DH$5:$DH$304,0))="","",INDEX('Portfolio Register'!$B$5:$B$304,MATCH($B113,'Portfolio Register'!$DH$5:$DH$304,0))),"")</f>
        <v/>
      </c>
      <c r="E113" s="146" t="str">
        <f>IFERROR(IF(INDEX('Portfolio Register'!$I$5:$I$304,MATCH($B113,'Portfolio Register'!$DH$5:$DH$304,0))="","",INDEX('Portfolio Register'!$I$5:$I$304,MATCH($B113,'Portfolio Register'!$DH$5:$DH$304,0))),"")</f>
        <v/>
      </c>
      <c r="F113" s="147" t="str">
        <f>IFERROR(IF(INDEX('Portfolio Register'!$J$5:$J$304,MATCH($B113,'Portfolio Register'!$DH$5:$DH$304,0))="","",INDEX('Portfolio Register'!$J$5:$J$304,MATCH($B113,'Portfolio Register'!$DH$5:$DH$304,0))),"")</f>
        <v/>
      </c>
      <c r="G113" s="146" t="str">
        <f>IFERROR(IF(INDEX('Portfolio Register'!$CX$5:$CX$304,MATCH($B113,'Portfolio Register'!$DH$5:$DH$304,0))="","",INDEX('Portfolio Register'!$CX$5:$CX$304,MATCH($B113,'Portfolio Register'!$DH$5:$DH$304,0))),"")</f>
        <v/>
      </c>
      <c r="H113" s="148" t="str">
        <f>IFERROR(IF(INDEX('Portfolio Register'!$CY$5:$CY$304,MATCH($B113,'Portfolio Register'!$DH$5:$DH$304,0))="","",INDEX('Portfolio Register'!$CY$5:$CY$304,MATCH($B113,'Portfolio Register'!$DH$5:$DH$304,0))),"")</f>
        <v/>
      </c>
      <c r="I113" s="146" t="str">
        <f>IFERROR(IF(INDEX('Portfolio Register'!$CZ$5:$CZ$304,MATCH($B113,'Portfolio Register'!$DH$5:$DH$304,0))="","",INDEX('Portfolio Register'!$CZ$5:$CZ$304,MATCH($B113,'Portfolio Register'!$DH$5:$DH$304,0))),"")</f>
        <v/>
      </c>
      <c r="J113" s="146" t="str">
        <f>IFERROR(IF(INDEX('Portfolio Register'!$DA$5:$DA$304,MATCH($B113,'Portfolio Register'!$DH$5:$DH$304,0))="","",INDEX('Portfolio Register'!$DA$5:$DA$304,MATCH($B113,'Portfolio Register'!$DH$5:$DH$304,0))),"")</f>
        <v/>
      </c>
      <c r="K113" s="146" t="str">
        <f>IFERROR(IF(INDEX('Portfolio Register'!$DB$5:$DB$304,MATCH($B113,'Portfolio Register'!$DH$5:$DH$304,0))="","",INDEX('Portfolio Register'!$DB$5:$DB$304,MATCH($B113,'Portfolio Register'!$DH$5:$DH$304,0))),"")</f>
        <v/>
      </c>
      <c r="L113" s="146" t="str">
        <f>IFERROR(IF(INDEX('Portfolio Register'!$DC$5:$DC$304,MATCH($B113,'Portfolio Register'!$DH$5:$DH$304,0))="","",INDEX('Portfolio Register'!$DC$5:$DC$304,MATCH($B113,'Portfolio Register'!$DH$5:$DH$304,0))),"")</f>
        <v/>
      </c>
      <c r="M113" s="149" t="str">
        <f>IFERROR(IF(INDEX('Portfolio Register'!$DD$5:$DD$304,MATCH($B113,'Portfolio Register'!$DH$5:$DH$304,0))="","",INDEX('Portfolio Register'!$DD$5:$DD$304,MATCH($B113,'Portfolio Register'!$DH$5:$DH$304,0))),"")</f>
        <v/>
      </c>
      <c r="N113" s="150" t="str">
        <f ca="1">IF($C113="","",IF($M113&lt;&gt;"",$M113-IFERROR(INDEX('Portfolio Register'!$C$5:$C$304,MATCH($B113,'Portfolio Register'!$DH$5:$DH$304,0)),$M113),TODAY()-IFERROR(INDEX('Portfolio Register'!$C$5:$C$304,MATCH($B113,'Portfolio Register'!$DH$5:$DH$304,0)),TODAY())))</f>
        <v/>
      </c>
      <c r="O113" s="151" t="str">
        <f t="shared" si="2"/>
        <v/>
      </c>
      <c r="P113" s="146" t="str">
        <f>IFERROR(IF(INDEX('Portfolio Register'!$DG$5:$DG$304,MATCH($B113,'Portfolio Register'!$DH$5:$DH$304,0))="","",INDEX('Portfolio Register'!$DG$5:$DG$304,MATCH($B113,'Portfolio Register'!$DH$5:$DH$304,0))),"")</f>
        <v/>
      </c>
      <c r="Q113" s="146" t="str">
        <f>IFERROR(IF(INDEX('Portfolio Register'!$DF$5:$DF$304,MATCH($B113,'Portfolio Register'!$DH$5:$DH$304,0))="","",INDEX('Portfolio Register'!$DF$5:$DF$304,MATCH($B113,'Portfolio Register'!$DH$5:$DH$304,0))),"")</f>
        <v/>
      </c>
    </row>
    <row r="114" spans="2:17" x14ac:dyDescent="0.25">
      <c r="B114" s="56">
        <v>87</v>
      </c>
      <c r="C114" s="140" t="str">
        <f>IFERROR(IF(INDEX('Portfolio Register'!$A$5:$A$304,MATCH($B114,'Portfolio Register'!$DH$5:$DH$304,0))="","",INDEX('Portfolio Register'!$A$5:$A$304,MATCH($B114,'Portfolio Register'!$DH$5:$DH$304,0))),"")</f>
        <v/>
      </c>
      <c r="D114" s="140" t="str">
        <f>IFERROR(IF(INDEX('Portfolio Register'!$B$5:$B$304,MATCH($B114,'Portfolio Register'!$DH$5:$DH$304,0))="","",INDEX('Portfolio Register'!$B$5:$B$304,MATCH($B114,'Portfolio Register'!$DH$5:$DH$304,0))),"")</f>
        <v/>
      </c>
      <c r="E114" s="140" t="str">
        <f>IFERROR(IF(INDEX('Portfolio Register'!$I$5:$I$304,MATCH($B114,'Portfolio Register'!$DH$5:$DH$304,0))="","",INDEX('Portfolio Register'!$I$5:$I$304,MATCH($B114,'Portfolio Register'!$DH$5:$DH$304,0))),"")</f>
        <v/>
      </c>
      <c r="F114" s="141" t="str">
        <f>IFERROR(IF(INDEX('Portfolio Register'!$J$5:$J$304,MATCH($B114,'Portfolio Register'!$DH$5:$DH$304,0))="","",INDEX('Portfolio Register'!$J$5:$J$304,MATCH($B114,'Portfolio Register'!$DH$5:$DH$304,0))),"")</f>
        <v/>
      </c>
      <c r="G114" s="140" t="str">
        <f>IFERROR(IF(INDEX('Portfolio Register'!$CX$5:$CX$304,MATCH($B114,'Portfolio Register'!$DH$5:$DH$304,0))="","",INDEX('Portfolio Register'!$CX$5:$CX$304,MATCH($B114,'Portfolio Register'!$DH$5:$DH$304,0))),"")</f>
        <v/>
      </c>
      <c r="H114" s="142" t="str">
        <f>IFERROR(IF(INDEX('Portfolio Register'!$CY$5:$CY$304,MATCH($B114,'Portfolio Register'!$DH$5:$DH$304,0))="","",INDEX('Portfolio Register'!$CY$5:$CY$304,MATCH($B114,'Portfolio Register'!$DH$5:$DH$304,0))),"")</f>
        <v/>
      </c>
      <c r="I114" s="140" t="str">
        <f>IFERROR(IF(INDEX('Portfolio Register'!$CZ$5:$CZ$304,MATCH($B114,'Portfolio Register'!$DH$5:$DH$304,0))="","",INDEX('Portfolio Register'!$CZ$5:$CZ$304,MATCH($B114,'Portfolio Register'!$DH$5:$DH$304,0))),"")</f>
        <v/>
      </c>
      <c r="J114" s="140" t="str">
        <f>IFERROR(IF(INDEX('Portfolio Register'!$DA$5:$DA$304,MATCH($B114,'Portfolio Register'!$DH$5:$DH$304,0))="","",INDEX('Portfolio Register'!$DA$5:$DA$304,MATCH($B114,'Portfolio Register'!$DH$5:$DH$304,0))),"")</f>
        <v/>
      </c>
      <c r="K114" s="140" t="str">
        <f>IFERROR(IF(INDEX('Portfolio Register'!$DB$5:$DB$304,MATCH($B114,'Portfolio Register'!$DH$5:$DH$304,0))="","",INDEX('Portfolio Register'!$DB$5:$DB$304,MATCH($B114,'Portfolio Register'!$DH$5:$DH$304,0))),"")</f>
        <v/>
      </c>
      <c r="L114" s="140" t="str">
        <f>IFERROR(IF(INDEX('Portfolio Register'!$DC$5:$DC$304,MATCH($B114,'Portfolio Register'!$DH$5:$DH$304,0))="","",INDEX('Portfolio Register'!$DC$5:$DC$304,MATCH($B114,'Portfolio Register'!$DH$5:$DH$304,0))),"")</f>
        <v/>
      </c>
      <c r="M114" s="143" t="str">
        <f>IFERROR(IF(INDEX('Portfolio Register'!$DD$5:$DD$304,MATCH($B114,'Portfolio Register'!$DH$5:$DH$304,0))="","",INDEX('Portfolio Register'!$DD$5:$DD$304,MATCH($B114,'Portfolio Register'!$DH$5:$DH$304,0))),"")</f>
        <v/>
      </c>
      <c r="N114" s="144" t="str">
        <f ca="1">IF($C114="","",IF($M114&lt;&gt;"",$M114-IFERROR(INDEX('Portfolio Register'!$C$5:$C$304,MATCH($B114,'Portfolio Register'!$DH$5:$DH$304,0)),$M114),TODAY()-IFERROR(INDEX('Portfolio Register'!$C$5:$C$304,MATCH($B114,'Portfolio Register'!$DH$5:$DH$304,0)),TODAY())))</f>
        <v/>
      </c>
      <c r="O114" s="145" t="str">
        <f t="shared" si="2"/>
        <v/>
      </c>
      <c r="P114" s="140" t="str">
        <f>IFERROR(IF(INDEX('Portfolio Register'!$DG$5:$DG$304,MATCH($B114,'Portfolio Register'!$DH$5:$DH$304,0))="","",INDEX('Portfolio Register'!$DG$5:$DG$304,MATCH($B114,'Portfolio Register'!$DH$5:$DH$304,0))),"")</f>
        <v/>
      </c>
      <c r="Q114" s="140" t="str">
        <f>IFERROR(IF(INDEX('Portfolio Register'!$DF$5:$DF$304,MATCH($B114,'Portfolio Register'!$DH$5:$DH$304,0))="","",INDEX('Portfolio Register'!$DF$5:$DF$304,MATCH($B114,'Portfolio Register'!$DH$5:$DH$304,0))),"")</f>
        <v/>
      </c>
    </row>
    <row r="115" spans="2:17" x14ac:dyDescent="0.25">
      <c r="B115" s="63">
        <v>88</v>
      </c>
      <c r="C115" s="146" t="str">
        <f>IFERROR(IF(INDEX('Portfolio Register'!$A$5:$A$304,MATCH($B115,'Portfolio Register'!$DH$5:$DH$304,0))="","",INDEX('Portfolio Register'!$A$5:$A$304,MATCH($B115,'Portfolio Register'!$DH$5:$DH$304,0))),"")</f>
        <v/>
      </c>
      <c r="D115" s="146" t="str">
        <f>IFERROR(IF(INDEX('Portfolio Register'!$B$5:$B$304,MATCH($B115,'Portfolio Register'!$DH$5:$DH$304,0))="","",INDEX('Portfolio Register'!$B$5:$B$304,MATCH($B115,'Portfolio Register'!$DH$5:$DH$304,0))),"")</f>
        <v/>
      </c>
      <c r="E115" s="146" t="str">
        <f>IFERROR(IF(INDEX('Portfolio Register'!$I$5:$I$304,MATCH($B115,'Portfolio Register'!$DH$5:$DH$304,0))="","",INDEX('Portfolio Register'!$I$5:$I$304,MATCH($B115,'Portfolio Register'!$DH$5:$DH$304,0))),"")</f>
        <v/>
      </c>
      <c r="F115" s="147" t="str">
        <f>IFERROR(IF(INDEX('Portfolio Register'!$J$5:$J$304,MATCH($B115,'Portfolio Register'!$DH$5:$DH$304,0))="","",INDEX('Portfolio Register'!$J$5:$J$304,MATCH($B115,'Portfolio Register'!$DH$5:$DH$304,0))),"")</f>
        <v/>
      </c>
      <c r="G115" s="146" t="str">
        <f>IFERROR(IF(INDEX('Portfolio Register'!$CX$5:$CX$304,MATCH($B115,'Portfolio Register'!$DH$5:$DH$304,0))="","",INDEX('Portfolio Register'!$CX$5:$CX$304,MATCH($B115,'Portfolio Register'!$DH$5:$DH$304,0))),"")</f>
        <v/>
      </c>
      <c r="H115" s="148" t="str">
        <f>IFERROR(IF(INDEX('Portfolio Register'!$CY$5:$CY$304,MATCH($B115,'Portfolio Register'!$DH$5:$DH$304,0))="","",INDEX('Portfolio Register'!$CY$5:$CY$304,MATCH($B115,'Portfolio Register'!$DH$5:$DH$304,0))),"")</f>
        <v/>
      </c>
      <c r="I115" s="146" t="str">
        <f>IFERROR(IF(INDEX('Portfolio Register'!$CZ$5:$CZ$304,MATCH($B115,'Portfolio Register'!$DH$5:$DH$304,0))="","",INDEX('Portfolio Register'!$CZ$5:$CZ$304,MATCH($B115,'Portfolio Register'!$DH$5:$DH$304,0))),"")</f>
        <v/>
      </c>
      <c r="J115" s="146" t="str">
        <f>IFERROR(IF(INDEX('Portfolio Register'!$DA$5:$DA$304,MATCH($B115,'Portfolio Register'!$DH$5:$DH$304,0))="","",INDEX('Portfolio Register'!$DA$5:$DA$304,MATCH($B115,'Portfolio Register'!$DH$5:$DH$304,0))),"")</f>
        <v/>
      </c>
      <c r="K115" s="146" t="str">
        <f>IFERROR(IF(INDEX('Portfolio Register'!$DB$5:$DB$304,MATCH($B115,'Portfolio Register'!$DH$5:$DH$304,0))="","",INDEX('Portfolio Register'!$DB$5:$DB$304,MATCH($B115,'Portfolio Register'!$DH$5:$DH$304,0))),"")</f>
        <v/>
      </c>
      <c r="L115" s="146" t="str">
        <f>IFERROR(IF(INDEX('Portfolio Register'!$DC$5:$DC$304,MATCH($B115,'Portfolio Register'!$DH$5:$DH$304,0))="","",INDEX('Portfolio Register'!$DC$5:$DC$304,MATCH($B115,'Portfolio Register'!$DH$5:$DH$304,0))),"")</f>
        <v/>
      </c>
      <c r="M115" s="149" t="str">
        <f>IFERROR(IF(INDEX('Portfolio Register'!$DD$5:$DD$304,MATCH($B115,'Portfolio Register'!$DH$5:$DH$304,0))="","",INDEX('Portfolio Register'!$DD$5:$DD$304,MATCH($B115,'Portfolio Register'!$DH$5:$DH$304,0))),"")</f>
        <v/>
      </c>
      <c r="N115" s="150" t="str">
        <f ca="1">IF($C115="","",IF($M115&lt;&gt;"",$M115-IFERROR(INDEX('Portfolio Register'!$C$5:$C$304,MATCH($B115,'Portfolio Register'!$DH$5:$DH$304,0)),$M115),TODAY()-IFERROR(INDEX('Portfolio Register'!$C$5:$C$304,MATCH($B115,'Portfolio Register'!$DH$5:$DH$304,0)),TODAY())))</f>
        <v/>
      </c>
      <c r="O115" s="151" t="str">
        <f t="shared" si="2"/>
        <v/>
      </c>
      <c r="P115" s="146" t="str">
        <f>IFERROR(IF(INDEX('Portfolio Register'!$DG$5:$DG$304,MATCH($B115,'Portfolio Register'!$DH$5:$DH$304,0))="","",INDEX('Portfolio Register'!$DG$5:$DG$304,MATCH($B115,'Portfolio Register'!$DH$5:$DH$304,0))),"")</f>
        <v/>
      </c>
      <c r="Q115" s="146" t="str">
        <f>IFERROR(IF(INDEX('Portfolio Register'!$DF$5:$DF$304,MATCH($B115,'Portfolio Register'!$DH$5:$DH$304,0))="","",INDEX('Portfolio Register'!$DF$5:$DF$304,MATCH($B115,'Portfolio Register'!$DH$5:$DH$304,0))),"")</f>
        <v/>
      </c>
    </row>
    <row r="116" spans="2:17" x14ac:dyDescent="0.25">
      <c r="B116" s="56">
        <v>89</v>
      </c>
      <c r="C116" s="140" t="str">
        <f>IFERROR(IF(INDEX('Portfolio Register'!$A$5:$A$304,MATCH($B116,'Portfolio Register'!$DH$5:$DH$304,0))="","",INDEX('Portfolio Register'!$A$5:$A$304,MATCH($B116,'Portfolio Register'!$DH$5:$DH$304,0))),"")</f>
        <v/>
      </c>
      <c r="D116" s="140" t="str">
        <f>IFERROR(IF(INDEX('Portfolio Register'!$B$5:$B$304,MATCH($B116,'Portfolio Register'!$DH$5:$DH$304,0))="","",INDEX('Portfolio Register'!$B$5:$B$304,MATCH($B116,'Portfolio Register'!$DH$5:$DH$304,0))),"")</f>
        <v/>
      </c>
      <c r="E116" s="140" t="str">
        <f>IFERROR(IF(INDEX('Portfolio Register'!$I$5:$I$304,MATCH($B116,'Portfolio Register'!$DH$5:$DH$304,0))="","",INDEX('Portfolio Register'!$I$5:$I$304,MATCH($B116,'Portfolio Register'!$DH$5:$DH$304,0))),"")</f>
        <v/>
      </c>
      <c r="F116" s="141" t="str">
        <f>IFERROR(IF(INDEX('Portfolio Register'!$J$5:$J$304,MATCH($B116,'Portfolio Register'!$DH$5:$DH$304,0))="","",INDEX('Portfolio Register'!$J$5:$J$304,MATCH($B116,'Portfolio Register'!$DH$5:$DH$304,0))),"")</f>
        <v/>
      </c>
      <c r="G116" s="140" t="str">
        <f>IFERROR(IF(INDEX('Portfolio Register'!$CX$5:$CX$304,MATCH($B116,'Portfolio Register'!$DH$5:$DH$304,0))="","",INDEX('Portfolio Register'!$CX$5:$CX$304,MATCH($B116,'Portfolio Register'!$DH$5:$DH$304,0))),"")</f>
        <v/>
      </c>
      <c r="H116" s="142" t="str">
        <f>IFERROR(IF(INDEX('Portfolio Register'!$CY$5:$CY$304,MATCH($B116,'Portfolio Register'!$DH$5:$DH$304,0))="","",INDEX('Portfolio Register'!$CY$5:$CY$304,MATCH($B116,'Portfolio Register'!$DH$5:$DH$304,0))),"")</f>
        <v/>
      </c>
      <c r="I116" s="140" t="str">
        <f>IFERROR(IF(INDEX('Portfolio Register'!$CZ$5:$CZ$304,MATCH($B116,'Portfolio Register'!$DH$5:$DH$304,0))="","",INDEX('Portfolio Register'!$CZ$5:$CZ$304,MATCH($B116,'Portfolio Register'!$DH$5:$DH$304,0))),"")</f>
        <v/>
      </c>
      <c r="J116" s="140" t="str">
        <f>IFERROR(IF(INDEX('Portfolio Register'!$DA$5:$DA$304,MATCH($B116,'Portfolio Register'!$DH$5:$DH$304,0))="","",INDEX('Portfolio Register'!$DA$5:$DA$304,MATCH($B116,'Portfolio Register'!$DH$5:$DH$304,0))),"")</f>
        <v/>
      </c>
      <c r="K116" s="140" t="str">
        <f>IFERROR(IF(INDEX('Portfolio Register'!$DB$5:$DB$304,MATCH($B116,'Portfolio Register'!$DH$5:$DH$304,0))="","",INDEX('Portfolio Register'!$DB$5:$DB$304,MATCH($B116,'Portfolio Register'!$DH$5:$DH$304,0))),"")</f>
        <v/>
      </c>
      <c r="L116" s="140" t="str">
        <f>IFERROR(IF(INDEX('Portfolio Register'!$DC$5:$DC$304,MATCH($B116,'Portfolio Register'!$DH$5:$DH$304,0))="","",INDEX('Portfolio Register'!$DC$5:$DC$304,MATCH($B116,'Portfolio Register'!$DH$5:$DH$304,0))),"")</f>
        <v/>
      </c>
      <c r="M116" s="143" t="str">
        <f>IFERROR(IF(INDEX('Portfolio Register'!$DD$5:$DD$304,MATCH($B116,'Portfolio Register'!$DH$5:$DH$304,0))="","",INDEX('Portfolio Register'!$DD$5:$DD$304,MATCH($B116,'Portfolio Register'!$DH$5:$DH$304,0))),"")</f>
        <v/>
      </c>
      <c r="N116" s="144" t="str">
        <f ca="1">IF($C116="","",IF($M116&lt;&gt;"",$M116-IFERROR(INDEX('Portfolio Register'!$C$5:$C$304,MATCH($B116,'Portfolio Register'!$DH$5:$DH$304,0)),$M116),TODAY()-IFERROR(INDEX('Portfolio Register'!$C$5:$C$304,MATCH($B116,'Portfolio Register'!$DH$5:$DH$304,0)),TODAY())))</f>
        <v/>
      </c>
      <c r="O116" s="145" t="str">
        <f t="shared" si="2"/>
        <v/>
      </c>
      <c r="P116" s="140" t="str">
        <f>IFERROR(IF(INDEX('Portfolio Register'!$DG$5:$DG$304,MATCH($B116,'Portfolio Register'!$DH$5:$DH$304,0))="","",INDEX('Portfolio Register'!$DG$5:$DG$304,MATCH($B116,'Portfolio Register'!$DH$5:$DH$304,0))),"")</f>
        <v/>
      </c>
      <c r="Q116" s="140" t="str">
        <f>IFERROR(IF(INDEX('Portfolio Register'!$DF$5:$DF$304,MATCH($B116,'Portfolio Register'!$DH$5:$DH$304,0))="","",INDEX('Portfolio Register'!$DF$5:$DF$304,MATCH($B116,'Portfolio Register'!$DH$5:$DH$304,0))),"")</f>
        <v/>
      </c>
    </row>
    <row r="117" spans="2:17" x14ac:dyDescent="0.25">
      <c r="B117" s="63">
        <v>90</v>
      </c>
      <c r="C117" s="146" t="str">
        <f>IFERROR(IF(INDEX('Portfolio Register'!$A$5:$A$304,MATCH($B117,'Portfolio Register'!$DH$5:$DH$304,0))="","",INDEX('Portfolio Register'!$A$5:$A$304,MATCH($B117,'Portfolio Register'!$DH$5:$DH$304,0))),"")</f>
        <v/>
      </c>
      <c r="D117" s="146" t="str">
        <f>IFERROR(IF(INDEX('Portfolio Register'!$B$5:$B$304,MATCH($B117,'Portfolio Register'!$DH$5:$DH$304,0))="","",INDEX('Portfolio Register'!$B$5:$B$304,MATCH($B117,'Portfolio Register'!$DH$5:$DH$304,0))),"")</f>
        <v/>
      </c>
      <c r="E117" s="146" t="str">
        <f>IFERROR(IF(INDEX('Portfolio Register'!$I$5:$I$304,MATCH($B117,'Portfolio Register'!$DH$5:$DH$304,0))="","",INDEX('Portfolio Register'!$I$5:$I$304,MATCH($B117,'Portfolio Register'!$DH$5:$DH$304,0))),"")</f>
        <v/>
      </c>
      <c r="F117" s="147" t="str">
        <f>IFERROR(IF(INDEX('Portfolio Register'!$J$5:$J$304,MATCH($B117,'Portfolio Register'!$DH$5:$DH$304,0))="","",INDEX('Portfolio Register'!$J$5:$J$304,MATCH($B117,'Portfolio Register'!$DH$5:$DH$304,0))),"")</f>
        <v/>
      </c>
      <c r="G117" s="146" t="str">
        <f>IFERROR(IF(INDEX('Portfolio Register'!$CX$5:$CX$304,MATCH($B117,'Portfolio Register'!$DH$5:$DH$304,0))="","",INDEX('Portfolio Register'!$CX$5:$CX$304,MATCH($B117,'Portfolio Register'!$DH$5:$DH$304,0))),"")</f>
        <v/>
      </c>
      <c r="H117" s="148" t="str">
        <f>IFERROR(IF(INDEX('Portfolio Register'!$CY$5:$CY$304,MATCH($B117,'Portfolio Register'!$DH$5:$DH$304,0))="","",INDEX('Portfolio Register'!$CY$5:$CY$304,MATCH($B117,'Portfolio Register'!$DH$5:$DH$304,0))),"")</f>
        <v/>
      </c>
      <c r="I117" s="146" t="str">
        <f>IFERROR(IF(INDEX('Portfolio Register'!$CZ$5:$CZ$304,MATCH($B117,'Portfolio Register'!$DH$5:$DH$304,0))="","",INDEX('Portfolio Register'!$CZ$5:$CZ$304,MATCH($B117,'Portfolio Register'!$DH$5:$DH$304,0))),"")</f>
        <v/>
      </c>
      <c r="J117" s="146" t="str">
        <f>IFERROR(IF(INDEX('Portfolio Register'!$DA$5:$DA$304,MATCH($B117,'Portfolio Register'!$DH$5:$DH$304,0))="","",INDEX('Portfolio Register'!$DA$5:$DA$304,MATCH($B117,'Portfolio Register'!$DH$5:$DH$304,0))),"")</f>
        <v/>
      </c>
      <c r="K117" s="146" t="str">
        <f>IFERROR(IF(INDEX('Portfolio Register'!$DB$5:$DB$304,MATCH($B117,'Portfolio Register'!$DH$5:$DH$304,0))="","",INDEX('Portfolio Register'!$DB$5:$DB$304,MATCH($B117,'Portfolio Register'!$DH$5:$DH$304,0))),"")</f>
        <v/>
      </c>
      <c r="L117" s="146" t="str">
        <f>IFERROR(IF(INDEX('Portfolio Register'!$DC$5:$DC$304,MATCH($B117,'Portfolio Register'!$DH$5:$DH$304,0))="","",INDEX('Portfolio Register'!$DC$5:$DC$304,MATCH($B117,'Portfolio Register'!$DH$5:$DH$304,0))),"")</f>
        <v/>
      </c>
      <c r="M117" s="149" t="str">
        <f>IFERROR(IF(INDEX('Portfolio Register'!$DD$5:$DD$304,MATCH($B117,'Portfolio Register'!$DH$5:$DH$304,0))="","",INDEX('Portfolio Register'!$DD$5:$DD$304,MATCH($B117,'Portfolio Register'!$DH$5:$DH$304,0))),"")</f>
        <v/>
      </c>
      <c r="N117" s="150" t="str">
        <f ca="1">IF($C117="","",IF($M117&lt;&gt;"",$M117-IFERROR(INDEX('Portfolio Register'!$C$5:$C$304,MATCH($B117,'Portfolio Register'!$DH$5:$DH$304,0)),$M117),TODAY()-IFERROR(INDEX('Portfolio Register'!$C$5:$C$304,MATCH($B117,'Portfolio Register'!$DH$5:$DH$304,0)),TODAY())))</f>
        <v/>
      </c>
      <c r="O117" s="151" t="str">
        <f t="shared" si="2"/>
        <v/>
      </c>
      <c r="P117" s="146" t="str">
        <f>IFERROR(IF(INDEX('Portfolio Register'!$DG$5:$DG$304,MATCH($B117,'Portfolio Register'!$DH$5:$DH$304,0))="","",INDEX('Portfolio Register'!$DG$5:$DG$304,MATCH($B117,'Portfolio Register'!$DH$5:$DH$304,0))),"")</f>
        <v/>
      </c>
      <c r="Q117" s="146" t="str">
        <f>IFERROR(IF(INDEX('Portfolio Register'!$DF$5:$DF$304,MATCH($B117,'Portfolio Register'!$DH$5:$DH$304,0))="","",INDEX('Portfolio Register'!$DF$5:$DF$304,MATCH($B117,'Portfolio Register'!$DH$5:$DH$304,0))),"")</f>
        <v/>
      </c>
    </row>
    <row r="118" spans="2:17" x14ac:dyDescent="0.25">
      <c r="B118" s="56">
        <v>91</v>
      </c>
      <c r="C118" s="140" t="str">
        <f>IFERROR(IF(INDEX('Portfolio Register'!$A$5:$A$304,MATCH($B118,'Portfolio Register'!$DH$5:$DH$304,0))="","",INDEX('Portfolio Register'!$A$5:$A$304,MATCH($B118,'Portfolio Register'!$DH$5:$DH$304,0))),"")</f>
        <v/>
      </c>
      <c r="D118" s="140" t="str">
        <f>IFERROR(IF(INDEX('Portfolio Register'!$B$5:$B$304,MATCH($B118,'Portfolio Register'!$DH$5:$DH$304,0))="","",INDEX('Portfolio Register'!$B$5:$B$304,MATCH($B118,'Portfolio Register'!$DH$5:$DH$304,0))),"")</f>
        <v/>
      </c>
      <c r="E118" s="140" t="str">
        <f>IFERROR(IF(INDEX('Portfolio Register'!$I$5:$I$304,MATCH($B118,'Portfolio Register'!$DH$5:$DH$304,0))="","",INDEX('Portfolio Register'!$I$5:$I$304,MATCH($B118,'Portfolio Register'!$DH$5:$DH$304,0))),"")</f>
        <v/>
      </c>
      <c r="F118" s="141" t="str">
        <f>IFERROR(IF(INDEX('Portfolio Register'!$J$5:$J$304,MATCH($B118,'Portfolio Register'!$DH$5:$DH$304,0))="","",INDEX('Portfolio Register'!$J$5:$J$304,MATCH($B118,'Portfolio Register'!$DH$5:$DH$304,0))),"")</f>
        <v/>
      </c>
      <c r="G118" s="140" t="str">
        <f>IFERROR(IF(INDEX('Portfolio Register'!$CX$5:$CX$304,MATCH($B118,'Portfolio Register'!$DH$5:$DH$304,0))="","",INDEX('Portfolio Register'!$CX$5:$CX$304,MATCH($B118,'Portfolio Register'!$DH$5:$DH$304,0))),"")</f>
        <v/>
      </c>
      <c r="H118" s="142" t="str">
        <f>IFERROR(IF(INDEX('Portfolio Register'!$CY$5:$CY$304,MATCH($B118,'Portfolio Register'!$DH$5:$DH$304,0))="","",INDEX('Portfolio Register'!$CY$5:$CY$304,MATCH($B118,'Portfolio Register'!$DH$5:$DH$304,0))),"")</f>
        <v/>
      </c>
      <c r="I118" s="140" t="str">
        <f>IFERROR(IF(INDEX('Portfolio Register'!$CZ$5:$CZ$304,MATCH($B118,'Portfolio Register'!$DH$5:$DH$304,0))="","",INDEX('Portfolio Register'!$CZ$5:$CZ$304,MATCH($B118,'Portfolio Register'!$DH$5:$DH$304,0))),"")</f>
        <v/>
      </c>
      <c r="J118" s="140" t="str">
        <f>IFERROR(IF(INDEX('Portfolio Register'!$DA$5:$DA$304,MATCH($B118,'Portfolio Register'!$DH$5:$DH$304,0))="","",INDEX('Portfolio Register'!$DA$5:$DA$304,MATCH($B118,'Portfolio Register'!$DH$5:$DH$304,0))),"")</f>
        <v/>
      </c>
      <c r="K118" s="140" t="str">
        <f>IFERROR(IF(INDEX('Portfolio Register'!$DB$5:$DB$304,MATCH($B118,'Portfolio Register'!$DH$5:$DH$304,0))="","",INDEX('Portfolio Register'!$DB$5:$DB$304,MATCH($B118,'Portfolio Register'!$DH$5:$DH$304,0))),"")</f>
        <v/>
      </c>
      <c r="L118" s="140" t="str">
        <f>IFERROR(IF(INDEX('Portfolio Register'!$DC$5:$DC$304,MATCH($B118,'Portfolio Register'!$DH$5:$DH$304,0))="","",INDEX('Portfolio Register'!$DC$5:$DC$304,MATCH($B118,'Portfolio Register'!$DH$5:$DH$304,0))),"")</f>
        <v/>
      </c>
      <c r="M118" s="143" t="str">
        <f>IFERROR(IF(INDEX('Portfolio Register'!$DD$5:$DD$304,MATCH($B118,'Portfolio Register'!$DH$5:$DH$304,0))="","",INDEX('Portfolio Register'!$DD$5:$DD$304,MATCH($B118,'Portfolio Register'!$DH$5:$DH$304,0))),"")</f>
        <v/>
      </c>
      <c r="N118" s="144" t="str">
        <f ca="1">IF($C118="","",IF($M118&lt;&gt;"",$M118-IFERROR(INDEX('Portfolio Register'!$C$5:$C$304,MATCH($B118,'Portfolio Register'!$DH$5:$DH$304,0)),$M118),TODAY()-IFERROR(INDEX('Portfolio Register'!$C$5:$C$304,MATCH($B118,'Portfolio Register'!$DH$5:$DH$304,0)),TODAY())))</f>
        <v/>
      </c>
      <c r="O118" s="145" t="str">
        <f t="shared" si="2"/>
        <v/>
      </c>
      <c r="P118" s="140" t="str">
        <f>IFERROR(IF(INDEX('Portfolio Register'!$DG$5:$DG$304,MATCH($B118,'Portfolio Register'!$DH$5:$DH$304,0))="","",INDEX('Portfolio Register'!$DG$5:$DG$304,MATCH($B118,'Portfolio Register'!$DH$5:$DH$304,0))),"")</f>
        <v/>
      </c>
      <c r="Q118" s="140" t="str">
        <f>IFERROR(IF(INDEX('Portfolio Register'!$DF$5:$DF$304,MATCH($B118,'Portfolio Register'!$DH$5:$DH$304,0))="","",INDEX('Portfolio Register'!$DF$5:$DF$304,MATCH($B118,'Portfolio Register'!$DH$5:$DH$304,0))),"")</f>
        <v/>
      </c>
    </row>
    <row r="119" spans="2:17" x14ac:dyDescent="0.25">
      <c r="B119" s="63">
        <v>92</v>
      </c>
      <c r="C119" s="146" t="str">
        <f>IFERROR(IF(INDEX('Portfolio Register'!$A$5:$A$304,MATCH($B119,'Portfolio Register'!$DH$5:$DH$304,0))="","",INDEX('Portfolio Register'!$A$5:$A$304,MATCH($B119,'Portfolio Register'!$DH$5:$DH$304,0))),"")</f>
        <v/>
      </c>
      <c r="D119" s="146" t="str">
        <f>IFERROR(IF(INDEX('Portfolio Register'!$B$5:$B$304,MATCH($B119,'Portfolio Register'!$DH$5:$DH$304,0))="","",INDEX('Portfolio Register'!$B$5:$B$304,MATCH($B119,'Portfolio Register'!$DH$5:$DH$304,0))),"")</f>
        <v/>
      </c>
      <c r="E119" s="146" t="str">
        <f>IFERROR(IF(INDEX('Portfolio Register'!$I$5:$I$304,MATCH($B119,'Portfolio Register'!$DH$5:$DH$304,0))="","",INDEX('Portfolio Register'!$I$5:$I$304,MATCH($B119,'Portfolio Register'!$DH$5:$DH$304,0))),"")</f>
        <v/>
      </c>
      <c r="F119" s="147" t="str">
        <f>IFERROR(IF(INDEX('Portfolio Register'!$J$5:$J$304,MATCH($B119,'Portfolio Register'!$DH$5:$DH$304,0))="","",INDEX('Portfolio Register'!$J$5:$J$304,MATCH($B119,'Portfolio Register'!$DH$5:$DH$304,0))),"")</f>
        <v/>
      </c>
      <c r="G119" s="146" t="str">
        <f>IFERROR(IF(INDEX('Portfolio Register'!$CX$5:$CX$304,MATCH($B119,'Portfolio Register'!$DH$5:$DH$304,0))="","",INDEX('Portfolio Register'!$CX$5:$CX$304,MATCH($B119,'Portfolio Register'!$DH$5:$DH$304,0))),"")</f>
        <v/>
      </c>
      <c r="H119" s="148" t="str">
        <f>IFERROR(IF(INDEX('Portfolio Register'!$CY$5:$CY$304,MATCH($B119,'Portfolio Register'!$DH$5:$DH$304,0))="","",INDEX('Portfolio Register'!$CY$5:$CY$304,MATCH($B119,'Portfolio Register'!$DH$5:$DH$304,0))),"")</f>
        <v/>
      </c>
      <c r="I119" s="146" t="str">
        <f>IFERROR(IF(INDEX('Portfolio Register'!$CZ$5:$CZ$304,MATCH($B119,'Portfolio Register'!$DH$5:$DH$304,0))="","",INDEX('Portfolio Register'!$CZ$5:$CZ$304,MATCH($B119,'Portfolio Register'!$DH$5:$DH$304,0))),"")</f>
        <v/>
      </c>
      <c r="J119" s="146" t="str">
        <f>IFERROR(IF(INDEX('Portfolio Register'!$DA$5:$DA$304,MATCH($B119,'Portfolio Register'!$DH$5:$DH$304,0))="","",INDEX('Portfolio Register'!$DA$5:$DA$304,MATCH($B119,'Portfolio Register'!$DH$5:$DH$304,0))),"")</f>
        <v/>
      </c>
      <c r="K119" s="146" t="str">
        <f>IFERROR(IF(INDEX('Portfolio Register'!$DB$5:$DB$304,MATCH($B119,'Portfolio Register'!$DH$5:$DH$304,0))="","",INDEX('Portfolio Register'!$DB$5:$DB$304,MATCH($B119,'Portfolio Register'!$DH$5:$DH$304,0))),"")</f>
        <v/>
      </c>
      <c r="L119" s="146" t="str">
        <f>IFERROR(IF(INDEX('Portfolio Register'!$DC$5:$DC$304,MATCH($B119,'Portfolio Register'!$DH$5:$DH$304,0))="","",INDEX('Portfolio Register'!$DC$5:$DC$304,MATCH($B119,'Portfolio Register'!$DH$5:$DH$304,0))),"")</f>
        <v/>
      </c>
      <c r="M119" s="149" t="str">
        <f>IFERROR(IF(INDEX('Portfolio Register'!$DD$5:$DD$304,MATCH($B119,'Portfolio Register'!$DH$5:$DH$304,0))="","",INDEX('Portfolio Register'!$DD$5:$DD$304,MATCH($B119,'Portfolio Register'!$DH$5:$DH$304,0))),"")</f>
        <v/>
      </c>
      <c r="N119" s="150" t="str">
        <f ca="1">IF($C119="","",IF($M119&lt;&gt;"",$M119-IFERROR(INDEX('Portfolio Register'!$C$5:$C$304,MATCH($B119,'Portfolio Register'!$DH$5:$DH$304,0)),$M119),TODAY()-IFERROR(INDEX('Portfolio Register'!$C$5:$C$304,MATCH($B119,'Portfolio Register'!$DH$5:$DH$304,0)),TODAY())))</f>
        <v/>
      </c>
      <c r="O119" s="151" t="str">
        <f t="shared" si="2"/>
        <v/>
      </c>
      <c r="P119" s="146" t="str">
        <f>IFERROR(IF(INDEX('Portfolio Register'!$DG$5:$DG$304,MATCH($B119,'Portfolio Register'!$DH$5:$DH$304,0))="","",INDEX('Portfolio Register'!$DG$5:$DG$304,MATCH($B119,'Portfolio Register'!$DH$5:$DH$304,0))),"")</f>
        <v/>
      </c>
      <c r="Q119" s="146" t="str">
        <f>IFERROR(IF(INDEX('Portfolio Register'!$DF$5:$DF$304,MATCH($B119,'Portfolio Register'!$DH$5:$DH$304,0))="","",INDEX('Portfolio Register'!$DF$5:$DF$304,MATCH($B119,'Portfolio Register'!$DH$5:$DH$304,0))),"")</f>
        <v/>
      </c>
    </row>
    <row r="120" spans="2:17" x14ac:dyDescent="0.25">
      <c r="B120" s="56">
        <v>93</v>
      </c>
      <c r="C120" s="140" t="str">
        <f>IFERROR(IF(INDEX('Portfolio Register'!$A$5:$A$304,MATCH($B120,'Portfolio Register'!$DH$5:$DH$304,0))="","",INDEX('Portfolio Register'!$A$5:$A$304,MATCH($B120,'Portfolio Register'!$DH$5:$DH$304,0))),"")</f>
        <v/>
      </c>
      <c r="D120" s="140" t="str">
        <f>IFERROR(IF(INDEX('Portfolio Register'!$B$5:$B$304,MATCH($B120,'Portfolio Register'!$DH$5:$DH$304,0))="","",INDEX('Portfolio Register'!$B$5:$B$304,MATCH($B120,'Portfolio Register'!$DH$5:$DH$304,0))),"")</f>
        <v/>
      </c>
      <c r="E120" s="140" t="str">
        <f>IFERROR(IF(INDEX('Portfolio Register'!$I$5:$I$304,MATCH($B120,'Portfolio Register'!$DH$5:$DH$304,0))="","",INDEX('Portfolio Register'!$I$5:$I$304,MATCH($B120,'Portfolio Register'!$DH$5:$DH$304,0))),"")</f>
        <v/>
      </c>
      <c r="F120" s="141" t="str">
        <f>IFERROR(IF(INDEX('Portfolio Register'!$J$5:$J$304,MATCH($B120,'Portfolio Register'!$DH$5:$DH$304,0))="","",INDEX('Portfolio Register'!$J$5:$J$304,MATCH($B120,'Portfolio Register'!$DH$5:$DH$304,0))),"")</f>
        <v/>
      </c>
      <c r="G120" s="140" t="str">
        <f>IFERROR(IF(INDEX('Portfolio Register'!$CX$5:$CX$304,MATCH($B120,'Portfolio Register'!$DH$5:$DH$304,0))="","",INDEX('Portfolio Register'!$CX$5:$CX$304,MATCH($B120,'Portfolio Register'!$DH$5:$DH$304,0))),"")</f>
        <v/>
      </c>
      <c r="H120" s="142" t="str">
        <f>IFERROR(IF(INDEX('Portfolio Register'!$CY$5:$CY$304,MATCH($B120,'Portfolio Register'!$DH$5:$DH$304,0))="","",INDEX('Portfolio Register'!$CY$5:$CY$304,MATCH($B120,'Portfolio Register'!$DH$5:$DH$304,0))),"")</f>
        <v/>
      </c>
      <c r="I120" s="140" t="str">
        <f>IFERROR(IF(INDEX('Portfolio Register'!$CZ$5:$CZ$304,MATCH($B120,'Portfolio Register'!$DH$5:$DH$304,0))="","",INDEX('Portfolio Register'!$CZ$5:$CZ$304,MATCH($B120,'Portfolio Register'!$DH$5:$DH$304,0))),"")</f>
        <v/>
      </c>
      <c r="J120" s="140" t="str">
        <f>IFERROR(IF(INDEX('Portfolio Register'!$DA$5:$DA$304,MATCH($B120,'Portfolio Register'!$DH$5:$DH$304,0))="","",INDEX('Portfolio Register'!$DA$5:$DA$304,MATCH($B120,'Portfolio Register'!$DH$5:$DH$304,0))),"")</f>
        <v/>
      </c>
      <c r="K120" s="140" t="str">
        <f>IFERROR(IF(INDEX('Portfolio Register'!$DB$5:$DB$304,MATCH($B120,'Portfolio Register'!$DH$5:$DH$304,0))="","",INDEX('Portfolio Register'!$DB$5:$DB$304,MATCH($B120,'Portfolio Register'!$DH$5:$DH$304,0))),"")</f>
        <v/>
      </c>
      <c r="L120" s="140" t="str">
        <f>IFERROR(IF(INDEX('Portfolio Register'!$DC$5:$DC$304,MATCH($B120,'Portfolio Register'!$DH$5:$DH$304,0))="","",INDEX('Portfolio Register'!$DC$5:$DC$304,MATCH($B120,'Portfolio Register'!$DH$5:$DH$304,0))),"")</f>
        <v/>
      </c>
      <c r="M120" s="143" t="str">
        <f>IFERROR(IF(INDEX('Portfolio Register'!$DD$5:$DD$304,MATCH($B120,'Portfolio Register'!$DH$5:$DH$304,0))="","",INDEX('Portfolio Register'!$DD$5:$DD$304,MATCH($B120,'Portfolio Register'!$DH$5:$DH$304,0))),"")</f>
        <v/>
      </c>
      <c r="N120" s="144" t="str">
        <f ca="1">IF($C120="","",IF($M120&lt;&gt;"",$M120-IFERROR(INDEX('Portfolio Register'!$C$5:$C$304,MATCH($B120,'Portfolio Register'!$DH$5:$DH$304,0)),$M120),TODAY()-IFERROR(INDEX('Portfolio Register'!$C$5:$C$304,MATCH($B120,'Portfolio Register'!$DH$5:$DH$304,0)),TODAY())))</f>
        <v/>
      </c>
      <c r="O120" s="145" t="str">
        <f t="shared" si="2"/>
        <v/>
      </c>
      <c r="P120" s="140" t="str">
        <f>IFERROR(IF(INDEX('Portfolio Register'!$DG$5:$DG$304,MATCH($B120,'Portfolio Register'!$DH$5:$DH$304,0))="","",INDEX('Portfolio Register'!$DG$5:$DG$304,MATCH($B120,'Portfolio Register'!$DH$5:$DH$304,0))),"")</f>
        <v/>
      </c>
      <c r="Q120" s="140" t="str">
        <f>IFERROR(IF(INDEX('Portfolio Register'!$DF$5:$DF$304,MATCH($B120,'Portfolio Register'!$DH$5:$DH$304,0))="","",INDEX('Portfolio Register'!$DF$5:$DF$304,MATCH($B120,'Portfolio Register'!$DH$5:$DH$304,0))),"")</f>
        <v/>
      </c>
    </row>
    <row r="121" spans="2:17" x14ac:dyDescent="0.25">
      <c r="B121" s="63">
        <v>94</v>
      </c>
      <c r="C121" s="146" t="str">
        <f>IFERROR(IF(INDEX('Portfolio Register'!$A$5:$A$304,MATCH($B121,'Portfolio Register'!$DH$5:$DH$304,0))="","",INDEX('Portfolio Register'!$A$5:$A$304,MATCH($B121,'Portfolio Register'!$DH$5:$DH$304,0))),"")</f>
        <v/>
      </c>
      <c r="D121" s="146" t="str">
        <f>IFERROR(IF(INDEX('Portfolio Register'!$B$5:$B$304,MATCH($B121,'Portfolio Register'!$DH$5:$DH$304,0))="","",INDEX('Portfolio Register'!$B$5:$B$304,MATCH($B121,'Portfolio Register'!$DH$5:$DH$304,0))),"")</f>
        <v/>
      </c>
      <c r="E121" s="146" t="str">
        <f>IFERROR(IF(INDEX('Portfolio Register'!$I$5:$I$304,MATCH($B121,'Portfolio Register'!$DH$5:$DH$304,0))="","",INDEX('Portfolio Register'!$I$5:$I$304,MATCH($B121,'Portfolio Register'!$DH$5:$DH$304,0))),"")</f>
        <v/>
      </c>
      <c r="F121" s="147" t="str">
        <f>IFERROR(IF(INDEX('Portfolio Register'!$J$5:$J$304,MATCH($B121,'Portfolio Register'!$DH$5:$DH$304,0))="","",INDEX('Portfolio Register'!$J$5:$J$304,MATCH($B121,'Portfolio Register'!$DH$5:$DH$304,0))),"")</f>
        <v/>
      </c>
      <c r="G121" s="146" t="str">
        <f>IFERROR(IF(INDEX('Portfolio Register'!$CX$5:$CX$304,MATCH($B121,'Portfolio Register'!$DH$5:$DH$304,0))="","",INDEX('Portfolio Register'!$CX$5:$CX$304,MATCH($B121,'Portfolio Register'!$DH$5:$DH$304,0))),"")</f>
        <v/>
      </c>
      <c r="H121" s="148" t="str">
        <f>IFERROR(IF(INDEX('Portfolio Register'!$CY$5:$CY$304,MATCH($B121,'Portfolio Register'!$DH$5:$DH$304,0))="","",INDEX('Portfolio Register'!$CY$5:$CY$304,MATCH($B121,'Portfolio Register'!$DH$5:$DH$304,0))),"")</f>
        <v/>
      </c>
      <c r="I121" s="146" t="str">
        <f>IFERROR(IF(INDEX('Portfolio Register'!$CZ$5:$CZ$304,MATCH($B121,'Portfolio Register'!$DH$5:$DH$304,0))="","",INDEX('Portfolio Register'!$CZ$5:$CZ$304,MATCH($B121,'Portfolio Register'!$DH$5:$DH$304,0))),"")</f>
        <v/>
      </c>
      <c r="J121" s="146" t="str">
        <f>IFERROR(IF(INDEX('Portfolio Register'!$DA$5:$DA$304,MATCH($B121,'Portfolio Register'!$DH$5:$DH$304,0))="","",INDEX('Portfolio Register'!$DA$5:$DA$304,MATCH($B121,'Portfolio Register'!$DH$5:$DH$304,0))),"")</f>
        <v/>
      </c>
      <c r="K121" s="146" t="str">
        <f>IFERROR(IF(INDEX('Portfolio Register'!$DB$5:$DB$304,MATCH($B121,'Portfolio Register'!$DH$5:$DH$304,0))="","",INDEX('Portfolio Register'!$DB$5:$DB$304,MATCH($B121,'Portfolio Register'!$DH$5:$DH$304,0))),"")</f>
        <v/>
      </c>
      <c r="L121" s="146" t="str">
        <f>IFERROR(IF(INDEX('Portfolio Register'!$DC$5:$DC$304,MATCH($B121,'Portfolio Register'!$DH$5:$DH$304,0))="","",INDEX('Portfolio Register'!$DC$5:$DC$304,MATCH($B121,'Portfolio Register'!$DH$5:$DH$304,0))),"")</f>
        <v/>
      </c>
      <c r="M121" s="149" t="str">
        <f>IFERROR(IF(INDEX('Portfolio Register'!$DD$5:$DD$304,MATCH($B121,'Portfolio Register'!$DH$5:$DH$304,0))="","",INDEX('Portfolio Register'!$DD$5:$DD$304,MATCH($B121,'Portfolio Register'!$DH$5:$DH$304,0))),"")</f>
        <v/>
      </c>
      <c r="N121" s="150" t="str">
        <f ca="1">IF($C121="","",IF($M121&lt;&gt;"",$M121-IFERROR(INDEX('Portfolio Register'!$C$5:$C$304,MATCH($B121,'Portfolio Register'!$DH$5:$DH$304,0)),$M121),TODAY()-IFERROR(INDEX('Portfolio Register'!$C$5:$C$304,MATCH($B121,'Portfolio Register'!$DH$5:$DH$304,0)),TODAY())))</f>
        <v/>
      </c>
      <c r="O121" s="151" t="str">
        <f t="shared" si="2"/>
        <v/>
      </c>
      <c r="P121" s="146" t="str">
        <f>IFERROR(IF(INDEX('Portfolio Register'!$DG$5:$DG$304,MATCH($B121,'Portfolio Register'!$DH$5:$DH$304,0))="","",INDEX('Portfolio Register'!$DG$5:$DG$304,MATCH($B121,'Portfolio Register'!$DH$5:$DH$304,0))),"")</f>
        <v/>
      </c>
      <c r="Q121" s="146" t="str">
        <f>IFERROR(IF(INDEX('Portfolio Register'!$DF$5:$DF$304,MATCH($B121,'Portfolio Register'!$DH$5:$DH$304,0))="","",INDEX('Portfolio Register'!$DF$5:$DF$304,MATCH($B121,'Portfolio Register'!$DH$5:$DH$304,0))),"")</f>
        <v/>
      </c>
    </row>
    <row r="122" spans="2:17" x14ac:dyDescent="0.25">
      <c r="B122" s="56">
        <v>95</v>
      </c>
      <c r="C122" s="140" t="str">
        <f>IFERROR(IF(INDEX('Portfolio Register'!$A$5:$A$304,MATCH($B122,'Portfolio Register'!$DH$5:$DH$304,0))="","",INDEX('Portfolio Register'!$A$5:$A$304,MATCH($B122,'Portfolio Register'!$DH$5:$DH$304,0))),"")</f>
        <v/>
      </c>
      <c r="D122" s="140" t="str">
        <f>IFERROR(IF(INDEX('Portfolio Register'!$B$5:$B$304,MATCH($B122,'Portfolio Register'!$DH$5:$DH$304,0))="","",INDEX('Portfolio Register'!$B$5:$B$304,MATCH($B122,'Portfolio Register'!$DH$5:$DH$304,0))),"")</f>
        <v/>
      </c>
      <c r="E122" s="140" t="str">
        <f>IFERROR(IF(INDEX('Portfolio Register'!$I$5:$I$304,MATCH($B122,'Portfolio Register'!$DH$5:$DH$304,0))="","",INDEX('Portfolio Register'!$I$5:$I$304,MATCH($B122,'Portfolio Register'!$DH$5:$DH$304,0))),"")</f>
        <v/>
      </c>
      <c r="F122" s="141" t="str">
        <f>IFERROR(IF(INDEX('Portfolio Register'!$J$5:$J$304,MATCH($B122,'Portfolio Register'!$DH$5:$DH$304,0))="","",INDEX('Portfolio Register'!$J$5:$J$304,MATCH($B122,'Portfolio Register'!$DH$5:$DH$304,0))),"")</f>
        <v/>
      </c>
      <c r="G122" s="140" t="str">
        <f>IFERROR(IF(INDEX('Portfolio Register'!$CX$5:$CX$304,MATCH($B122,'Portfolio Register'!$DH$5:$DH$304,0))="","",INDEX('Portfolio Register'!$CX$5:$CX$304,MATCH($B122,'Portfolio Register'!$DH$5:$DH$304,0))),"")</f>
        <v/>
      </c>
      <c r="H122" s="142" t="str">
        <f>IFERROR(IF(INDEX('Portfolio Register'!$CY$5:$CY$304,MATCH($B122,'Portfolio Register'!$DH$5:$DH$304,0))="","",INDEX('Portfolio Register'!$CY$5:$CY$304,MATCH($B122,'Portfolio Register'!$DH$5:$DH$304,0))),"")</f>
        <v/>
      </c>
      <c r="I122" s="140" t="str">
        <f>IFERROR(IF(INDEX('Portfolio Register'!$CZ$5:$CZ$304,MATCH($B122,'Portfolio Register'!$DH$5:$DH$304,0))="","",INDEX('Portfolio Register'!$CZ$5:$CZ$304,MATCH($B122,'Portfolio Register'!$DH$5:$DH$304,0))),"")</f>
        <v/>
      </c>
      <c r="J122" s="140" t="str">
        <f>IFERROR(IF(INDEX('Portfolio Register'!$DA$5:$DA$304,MATCH($B122,'Portfolio Register'!$DH$5:$DH$304,0))="","",INDEX('Portfolio Register'!$DA$5:$DA$304,MATCH($B122,'Portfolio Register'!$DH$5:$DH$304,0))),"")</f>
        <v/>
      </c>
      <c r="K122" s="140" t="str">
        <f>IFERROR(IF(INDEX('Portfolio Register'!$DB$5:$DB$304,MATCH($B122,'Portfolio Register'!$DH$5:$DH$304,0))="","",INDEX('Portfolio Register'!$DB$5:$DB$304,MATCH($B122,'Portfolio Register'!$DH$5:$DH$304,0))),"")</f>
        <v/>
      </c>
      <c r="L122" s="140" t="str">
        <f>IFERROR(IF(INDEX('Portfolio Register'!$DC$5:$DC$304,MATCH($B122,'Portfolio Register'!$DH$5:$DH$304,0))="","",INDEX('Portfolio Register'!$DC$5:$DC$304,MATCH($B122,'Portfolio Register'!$DH$5:$DH$304,0))),"")</f>
        <v/>
      </c>
      <c r="M122" s="143" t="str">
        <f>IFERROR(IF(INDEX('Portfolio Register'!$DD$5:$DD$304,MATCH($B122,'Portfolio Register'!$DH$5:$DH$304,0))="","",INDEX('Portfolio Register'!$DD$5:$DD$304,MATCH($B122,'Portfolio Register'!$DH$5:$DH$304,0))),"")</f>
        <v/>
      </c>
      <c r="N122" s="144" t="str">
        <f ca="1">IF($C122="","",IF($M122&lt;&gt;"",$M122-IFERROR(INDEX('Portfolio Register'!$C$5:$C$304,MATCH($B122,'Portfolio Register'!$DH$5:$DH$304,0)),$M122),TODAY()-IFERROR(INDEX('Portfolio Register'!$C$5:$C$304,MATCH($B122,'Portfolio Register'!$DH$5:$DH$304,0)),TODAY())))</f>
        <v/>
      </c>
      <c r="O122" s="145" t="str">
        <f t="shared" si="2"/>
        <v/>
      </c>
      <c r="P122" s="140" t="str">
        <f>IFERROR(IF(INDEX('Portfolio Register'!$DG$5:$DG$304,MATCH($B122,'Portfolio Register'!$DH$5:$DH$304,0))="","",INDEX('Portfolio Register'!$DG$5:$DG$304,MATCH($B122,'Portfolio Register'!$DH$5:$DH$304,0))),"")</f>
        <v/>
      </c>
      <c r="Q122" s="140" t="str">
        <f>IFERROR(IF(INDEX('Portfolio Register'!$DF$5:$DF$304,MATCH($B122,'Portfolio Register'!$DH$5:$DH$304,0))="","",INDEX('Portfolio Register'!$DF$5:$DF$304,MATCH($B122,'Portfolio Register'!$DH$5:$DH$304,0))),"")</f>
        <v/>
      </c>
    </row>
    <row r="123" spans="2:17" x14ac:dyDescent="0.25">
      <c r="B123" s="63">
        <v>96</v>
      </c>
      <c r="C123" s="146" t="str">
        <f>IFERROR(IF(INDEX('Portfolio Register'!$A$5:$A$304,MATCH($B123,'Portfolio Register'!$DH$5:$DH$304,0))="","",INDEX('Portfolio Register'!$A$5:$A$304,MATCH($B123,'Portfolio Register'!$DH$5:$DH$304,0))),"")</f>
        <v/>
      </c>
      <c r="D123" s="146" t="str">
        <f>IFERROR(IF(INDEX('Portfolio Register'!$B$5:$B$304,MATCH($B123,'Portfolio Register'!$DH$5:$DH$304,0))="","",INDEX('Portfolio Register'!$B$5:$B$304,MATCH($B123,'Portfolio Register'!$DH$5:$DH$304,0))),"")</f>
        <v/>
      </c>
      <c r="E123" s="146" t="str">
        <f>IFERROR(IF(INDEX('Portfolio Register'!$I$5:$I$304,MATCH($B123,'Portfolio Register'!$DH$5:$DH$304,0))="","",INDEX('Portfolio Register'!$I$5:$I$304,MATCH($B123,'Portfolio Register'!$DH$5:$DH$304,0))),"")</f>
        <v/>
      </c>
      <c r="F123" s="147" t="str">
        <f>IFERROR(IF(INDEX('Portfolio Register'!$J$5:$J$304,MATCH($B123,'Portfolio Register'!$DH$5:$DH$304,0))="","",INDEX('Portfolio Register'!$J$5:$J$304,MATCH($B123,'Portfolio Register'!$DH$5:$DH$304,0))),"")</f>
        <v/>
      </c>
      <c r="G123" s="146" t="str">
        <f>IFERROR(IF(INDEX('Portfolio Register'!$CX$5:$CX$304,MATCH($B123,'Portfolio Register'!$DH$5:$DH$304,0))="","",INDEX('Portfolio Register'!$CX$5:$CX$304,MATCH($B123,'Portfolio Register'!$DH$5:$DH$304,0))),"")</f>
        <v/>
      </c>
      <c r="H123" s="148" t="str">
        <f>IFERROR(IF(INDEX('Portfolio Register'!$CY$5:$CY$304,MATCH($B123,'Portfolio Register'!$DH$5:$DH$304,0))="","",INDEX('Portfolio Register'!$CY$5:$CY$304,MATCH($B123,'Portfolio Register'!$DH$5:$DH$304,0))),"")</f>
        <v/>
      </c>
      <c r="I123" s="146" t="str">
        <f>IFERROR(IF(INDEX('Portfolio Register'!$CZ$5:$CZ$304,MATCH($B123,'Portfolio Register'!$DH$5:$DH$304,0))="","",INDEX('Portfolio Register'!$CZ$5:$CZ$304,MATCH($B123,'Portfolio Register'!$DH$5:$DH$304,0))),"")</f>
        <v/>
      </c>
      <c r="J123" s="146" t="str">
        <f>IFERROR(IF(INDEX('Portfolio Register'!$DA$5:$DA$304,MATCH($B123,'Portfolio Register'!$DH$5:$DH$304,0))="","",INDEX('Portfolio Register'!$DA$5:$DA$304,MATCH($B123,'Portfolio Register'!$DH$5:$DH$304,0))),"")</f>
        <v/>
      </c>
      <c r="K123" s="146" t="str">
        <f>IFERROR(IF(INDEX('Portfolio Register'!$DB$5:$DB$304,MATCH($B123,'Portfolio Register'!$DH$5:$DH$304,0))="","",INDEX('Portfolio Register'!$DB$5:$DB$304,MATCH($B123,'Portfolio Register'!$DH$5:$DH$304,0))),"")</f>
        <v/>
      </c>
      <c r="L123" s="146" t="str">
        <f>IFERROR(IF(INDEX('Portfolio Register'!$DC$5:$DC$304,MATCH($B123,'Portfolio Register'!$DH$5:$DH$304,0))="","",INDEX('Portfolio Register'!$DC$5:$DC$304,MATCH($B123,'Portfolio Register'!$DH$5:$DH$304,0))),"")</f>
        <v/>
      </c>
      <c r="M123" s="149" t="str">
        <f>IFERROR(IF(INDEX('Portfolio Register'!$DD$5:$DD$304,MATCH($B123,'Portfolio Register'!$DH$5:$DH$304,0))="","",INDEX('Portfolio Register'!$DD$5:$DD$304,MATCH($B123,'Portfolio Register'!$DH$5:$DH$304,0))),"")</f>
        <v/>
      </c>
      <c r="N123" s="150" t="str">
        <f ca="1">IF($C123="","",IF($M123&lt;&gt;"",$M123-IFERROR(INDEX('Portfolio Register'!$C$5:$C$304,MATCH($B123,'Portfolio Register'!$DH$5:$DH$304,0)),$M123),TODAY()-IFERROR(INDEX('Portfolio Register'!$C$5:$C$304,MATCH($B123,'Portfolio Register'!$DH$5:$DH$304,0)),TODAY())))</f>
        <v/>
      </c>
      <c r="O123" s="151" t="str">
        <f t="shared" si="2"/>
        <v/>
      </c>
      <c r="P123" s="146" t="str">
        <f>IFERROR(IF(INDEX('Portfolio Register'!$DG$5:$DG$304,MATCH($B123,'Portfolio Register'!$DH$5:$DH$304,0))="","",INDEX('Portfolio Register'!$DG$5:$DG$304,MATCH($B123,'Portfolio Register'!$DH$5:$DH$304,0))),"")</f>
        <v/>
      </c>
      <c r="Q123" s="146" t="str">
        <f>IFERROR(IF(INDEX('Portfolio Register'!$DF$5:$DF$304,MATCH($B123,'Portfolio Register'!$DH$5:$DH$304,0))="","",INDEX('Portfolio Register'!$DF$5:$DF$304,MATCH($B123,'Portfolio Register'!$DH$5:$DH$304,0))),"")</f>
        <v/>
      </c>
    </row>
    <row r="124" spans="2:17" x14ac:dyDescent="0.25">
      <c r="B124" s="56">
        <v>97</v>
      </c>
      <c r="C124" s="140" t="str">
        <f>IFERROR(IF(INDEX('Portfolio Register'!$A$5:$A$304,MATCH($B124,'Portfolio Register'!$DH$5:$DH$304,0))="","",INDEX('Portfolio Register'!$A$5:$A$304,MATCH($B124,'Portfolio Register'!$DH$5:$DH$304,0))),"")</f>
        <v/>
      </c>
      <c r="D124" s="140" t="str">
        <f>IFERROR(IF(INDEX('Portfolio Register'!$B$5:$B$304,MATCH($B124,'Portfolio Register'!$DH$5:$DH$304,0))="","",INDEX('Portfolio Register'!$B$5:$B$304,MATCH($B124,'Portfolio Register'!$DH$5:$DH$304,0))),"")</f>
        <v/>
      </c>
      <c r="E124" s="140" t="str">
        <f>IFERROR(IF(INDEX('Portfolio Register'!$I$5:$I$304,MATCH($B124,'Portfolio Register'!$DH$5:$DH$304,0))="","",INDEX('Portfolio Register'!$I$5:$I$304,MATCH($B124,'Portfolio Register'!$DH$5:$DH$304,0))),"")</f>
        <v/>
      </c>
      <c r="F124" s="141" t="str">
        <f>IFERROR(IF(INDEX('Portfolio Register'!$J$5:$J$304,MATCH($B124,'Portfolio Register'!$DH$5:$DH$304,0))="","",INDEX('Portfolio Register'!$J$5:$J$304,MATCH($B124,'Portfolio Register'!$DH$5:$DH$304,0))),"")</f>
        <v/>
      </c>
      <c r="G124" s="140" t="str">
        <f>IFERROR(IF(INDEX('Portfolio Register'!$CX$5:$CX$304,MATCH($B124,'Portfolio Register'!$DH$5:$DH$304,0))="","",INDEX('Portfolio Register'!$CX$5:$CX$304,MATCH($B124,'Portfolio Register'!$DH$5:$DH$304,0))),"")</f>
        <v/>
      </c>
      <c r="H124" s="142" t="str">
        <f>IFERROR(IF(INDEX('Portfolio Register'!$CY$5:$CY$304,MATCH($B124,'Portfolio Register'!$DH$5:$DH$304,0))="","",INDEX('Portfolio Register'!$CY$5:$CY$304,MATCH($B124,'Portfolio Register'!$DH$5:$DH$304,0))),"")</f>
        <v/>
      </c>
      <c r="I124" s="140" t="str">
        <f>IFERROR(IF(INDEX('Portfolio Register'!$CZ$5:$CZ$304,MATCH($B124,'Portfolio Register'!$DH$5:$DH$304,0))="","",INDEX('Portfolio Register'!$CZ$5:$CZ$304,MATCH($B124,'Portfolio Register'!$DH$5:$DH$304,0))),"")</f>
        <v/>
      </c>
      <c r="J124" s="140" t="str">
        <f>IFERROR(IF(INDEX('Portfolio Register'!$DA$5:$DA$304,MATCH($B124,'Portfolio Register'!$DH$5:$DH$304,0))="","",INDEX('Portfolio Register'!$DA$5:$DA$304,MATCH($B124,'Portfolio Register'!$DH$5:$DH$304,0))),"")</f>
        <v/>
      </c>
      <c r="K124" s="140" t="str">
        <f>IFERROR(IF(INDEX('Portfolio Register'!$DB$5:$DB$304,MATCH($B124,'Portfolio Register'!$DH$5:$DH$304,0))="","",INDEX('Portfolio Register'!$DB$5:$DB$304,MATCH($B124,'Portfolio Register'!$DH$5:$DH$304,0))),"")</f>
        <v/>
      </c>
      <c r="L124" s="140" t="str">
        <f>IFERROR(IF(INDEX('Portfolio Register'!$DC$5:$DC$304,MATCH($B124,'Portfolio Register'!$DH$5:$DH$304,0))="","",INDEX('Portfolio Register'!$DC$5:$DC$304,MATCH($B124,'Portfolio Register'!$DH$5:$DH$304,0))),"")</f>
        <v/>
      </c>
      <c r="M124" s="143" t="str">
        <f>IFERROR(IF(INDEX('Portfolio Register'!$DD$5:$DD$304,MATCH($B124,'Portfolio Register'!$DH$5:$DH$304,0))="","",INDEX('Portfolio Register'!$DD$5:$DD$304,MATCH($B124,'Portfolio Register'!$DH$5:$DH$304,0))),"")</f>
        <v/>
      </c>
      <c r="N124" s="144" t="str">
        <f ca="1">IF($C124="","",IF($M124&lt;&gt;"",$M124-IFERROR(INDEX('Portfolio Register'!$C$5:$C$304,MATCH($B124,'Portfolio Register'!$DH$5:$DH$304,0)),$M124),TODAY()-IFERROR(INDEX('Portfolio Register'!$C$5:$C$304,MATCH($B124,'Portfolio Register'!$DH$5:$DH$304,0)),TODAY())))</f>
        <v/>
      </c>
      <c r="O124" s="145" t="str">
        <f t="shared" ref="O124:O155" si="3">IF($C124="","",IF($L124="","NO ROLE RECORDED",IF($H124&lt;IFERROR(INDEX($C$6:$C$10,MATCH($L124,$B$6:$B$10,0)),-99),"INSUFFICIENT AUTHORITY - escalate","OK")))</f>
        <v/>
      </c>
      <c r="P124" s="140" t="str">
        <f>IFERROR(IF(INDEX('Portfolio Register'!$DG$5:$DG$304,MATCH($B124,'Portfolio Register'!$DH$5:$DH$304,0))="","",INDEX('Portfolio Register'!$DG$5:$DG$304,MATCH($B124,'Portfolio Register'!$DH$5:$DH$304,0))),"")</f>
        <v/>
      </c>
      <c r="Q124" s="140" t="str">
        <f>IFERROR(IF(INDEX('Portfolio Register'!$DF$5:$DF$304,MATCH($B124,'Portfolio Register'!$DH$5:$DH$304,0))="","",INDEX('Portfolio Register'!$DF$5:$DF$304,MATCH($B124,'Portfolio Register'!$DH$5:$DH$304,0))),"")</f>
        <v/>
      </c>
    </row>
    <row r="125" spans="2:17" x14ac:dyDescent="0.25">
      <c r="B125" s="63">
        <v>98</v>
      </c>
      <c r="C125" s="146" t="str">
        <f>IFERROR(IF(INDEX('Portfolio Register'!$A$5:$A$304,MATCH($B125,'Portfolio Register'!$DH$5:$DH$304,0))="","",INDEX('Portfolio Register'!$A$5:$A$304,MATCH($B125,'Portfolio Register'!$DH$5:$DH$304,0))),"")</f>
        <v/>
      </c>
      <c r="D125" s="146" t="str">
        <f>IFERROR(IF(INDEX('Portfolio Register'!$B$5:$B$304,MATCH($B125,'Portfolio Register'!$DH$5:$DH$304,0))="","",INDEX('Portfolio Register'!$B$5:$B$304,MATCH($B125,'Portfolio Register'!$DH$5:$DH$304,0))),"")</f>
        <v/>
      </c>
      <c r="E125" s="146" t="str">
        <f>IFERROR(IF(INDEX('Portfolio Register'!$I$5:$I$304,MATCH($B125,'Portfolio Register'!$DH$5:$DH$304,0))="","",INDEX('Portfolio Register'!$I$5:$I$304,MATCH($B125,'Portfolio Register'!$DH$5:$DH$304,0))),"")</f>
        <v/>
      </c>
      <c r="F125" s="147" t="str">
        <f>IFERROR(IF(INDEX('Portfolio Register'!$J$5:$J$304,MATCH($B125,'Portfolio Register'!$DH$5:$DH$304,0))="","",INDEX('Portfolio Register'!$J$5:$J$304,MATCH($B125,'Portfolio Register'!$DH$5:$DH$304,0))),"")</f>
        <v/>
      </c>
      <c r="G125" s="146" t="str">
        <f>IFERROR(IF(INDEX('Portfolio Register'!$CX$5:$CX$304,MATCH($B125,'Portfolio Register'!$DH$5:$DH$304,0))="","",INDEX('Portfolio Register'!$CX$5:$CX$304,MATCH($B125,'Portfolio Register'!$DH$5:$DH$304,0))),"")</f>
        <v/>
      </c>
      <c r="H125" s="148" t="str">
        <f>IFERROR(IF(INDEX('Portfolio Register'!$CY$5:$CY$304,MATCH($B125,'Portfolio Register'!$DH$5:$DH$304,0))="","",INDEX('Portfolio Register'!$CY$5:$CY$304,MATCH($B125,'Portfolio Register'!$DH$5:$DH$304,0))),"")</f>
        <v/>
      </c>
      <c r="I125" s="146" t="str">
        <f>IFERROR(IF(INDEX('Portfolio Register'!$CZ$5:$CZ$304,MATCH($B125,'Portfolio Register'!$DH$5:$DH$304,0))="","",INDEX('Portfolio Register'!$CZ$5:$CZ$304,MATCH($B125,'Portfolio Register'!$DH$5:$DH$304,0))),"")</f>
        <v/>
      </c>
      <c r="J125" s="146" t="str">
        <f>IFERROR(IF(INDEX('Portfolio Register'!$DA$5:$DA$304,MATCH($B125,'Portfolio Register'!$DH$5:$DH$304,0))="","",INDEX('Portfolio Register'!$DA$5:$DA$304,MATCH($B125,'Portfolio Register'!$DH$5:$DH$304,0))),"")</f>
        <v/>
      </c>
      <c r="K125" s="146" t="str">
        <f>IFERROR(IF(INDEX('Portfolio Register'!$DB$5:$DB$304,MATCH($B125,'Portfolio Register'!$DH$5:$DH$304,0))="","",INDEX('Portfolio Register'!$DB$5:$DB$304,MATCH($B125,'Portfolio Register'!$DH$5:$DH$304,0))),"")</f>
        <v/>
      </c>
      <c r="L125" s="146" t="str">
        <f>IFERROR(IF(INDEX('Portfolio Register'!$DC$5:$DC$304,MATCH($B125,'Portfolio Register'!$DH$5:$DH$304,0))="","",INDEX('Portfolio Register'!$DC$5:$DC$304,MATCH($B125,'Portfolio Register'!$DH$5:$DH$304,0))),"")</f>
        <v/>
      </c>
      <c r="M125" s="149" t="str">
        <f>IFERROR(IF(INDEX('Portfolio Register'!$DD$5:$DD$304,MATCH($B125,'Portfolio Register'!$DH$5:$DH$304,0))="","",INDEX('Portfolio Register'!$DD$5:$DD$304,MATCH($B125,'Portfolio Register'!$DH$5:$DH$304,0))),"")</f>
        <v/>
      </c>
      <c r="N125" s="150" t="str">
        <f ca="1">IF($C125="","",IF($M125&lt;&gt;"",$M125-IFERROR(INDEX('Portfolio Register'!$C$5:$C$304,MATCH($B125,'Portfolio Register'!$DH$5:$DH$304,0)),$M125),TODAY()-IFERROR(INDEX('Portfolio Register'!$C$5:$C$304,MATCH($B125,'Portfolio Register'!$DH$5:$DH$304,0)),TODAY())))</f>
        <v/>
      </c>
      <c r="O125" s="151" t="str">
        <f t="shared" si="3"/>
        <v/>
      </c>
      <c r="P125" s="146" t="str">
        <f>IFERROR(IF(INDEX('Portfolio Register'!$DG$5:$DG$304,MATCH($B125,'Portfolio Register'!$DH$5:$DH$304,0))="","",INDEX('Portfolio Register'!$DG$5:$DG$304,MATCH($B125,'Portfolio Register'!$DH$5:$DH$304,0))),"")</f>
        <v/>
      </c>
      <c r="Q125" s="146" t="str">
        <f>IFERROR(IF(INDEX('Portfolio Register'!$DF$5:$DF$304,MATCH($B125,'Portfolio Register'!$DH$5:$DH$304,0))="","",INDEX('Portfolio Register'!$DF$5:$DF$304,MATCH($B125,'Portfolio Register'!$DH$5:$DH$304,0))),"")</f>
        <v/>
      </c>
    </row>
    <row r="126" spans="2:17" x14ac:dyDescent="0.25">
      <c r="B126" s="56">
        <v>99</v>
      </c>
      <c r="C126" s="140" t="str">
        <f>IFERROR(IF(INDEX('Portfolio Register'!$A$5:$A$304,MATCH($B126,'Portfolio Register'!$DH$5:$DH$304,0))="","",INDEX('Portfolio Register'!$A$5:$A$304,MATCH($B126,'Portfolio Register'!$DH$5:$DH$304,0))),"")</f>
        <v/>
      </c>
      <c r="D126" s="140" t="str">
        <f>IFERROR(IF(INDEX('Portfolio Register'!$B$5:$B$304,MATCH($B126,'Portfolio Register'!$DH$5:$DH$304,0))="","",INDEX('Portfolio Register'!$B$5:$B$304,MATCH($B126,'Portfolio Register'!$DH$5:$DH$304,0))),"")</f>
        <v/>
      </c>
      <c r="E126" s="140" t="str">
        <f>IFERROR(IF(INDEX('Portfolio Register'!$I$5:$I$304,MATCH($B126,'Portfolio Register'!$DH$5:$DH$304,0))="","",INDEX('Portfolio Register'!$I$5:$I$304,MATCH($B126,'Portfolio Register'!$DH$5:$DH$304,0))),"")</f>
        <v/>
      </c>
      <c r="F126" s="141" t="str">
        <f>IFERROR(IF(INDEX('Portfolio Register'!$J$5:$J$304,MATCH($B126,'Portfolio Register'!$DH$5:$DH$304,0))="","",INDEX('Portfolio Register'!$J$5:$J$304,MATCH($B126,'Portfolio Register'!$DH$5:$DH$304,0))),"")</f>
        <v/>
      </c>
      <c r="G126" s="140" t="str">
        <f>IFERROR(IF(INDEX('Portfolio Register'!$CX$5:$CX$304,MATCH($B126,'Portfolio Register'!$DH$5:$DH$304,0))="","",INDEX('Portfolio Register'!$CX$5:$CX$304,MATCH($B126,'Portfolio Register'!$DH$5:$DH$304,0))),"")</f>
        <v/>
      </c>
      <c r="H126" s="142" t="str">
        <f>IFERROR(IF(INDEX('Portfolio Register'!$CY$5:$CY$304,MATCH($B126,'Portfolio Register'!$DH$5:$DH$304,0))="","",INDEX('Portfolio Register'!$CY$5:$CY$304,MATCH($B126,'Portfolio Register'!$DH$5:$DH$304,0))),"")</f>
        <v/>
      </c>
      <c r="I126" s="140" t="str">
        <f>IFERROR(IF(INDEX('Portfolio Register'!$CZ$5:$CZ$304,MATCH($B126,'Portfolio Register'!$DH$5:$DH$304,0))="","",INDEX('Portfolio Register'!$CZ$5:$CZ$304,MATCH($B126,'Portfolio Register'!$DH$5:$DH$304,0))),"")</f>
        <v/>
      </c>
      <c r="J126" s="140" t="str">
        <f>IFERROR(IF(INDEX('Portfolio Register'!$DA$5:$DA$304,MATCH($B126,'Portfolio Register'!$DH$5:$DH$304,0))="","",INDEX('Portfolio Register'!$DA$5:$DA$304,MATCH($B126,'Portfolio Register'!$DH$5:$DH$304,0))),"")</f>
        <v/>
      </c>
      <c r="K126" s="140" t="str">
        <f>IFERROR(IF(INDEX('Portfolio Register'!$DB$5:$DB$304,MATCH($B126,'Portfolio Register'!$DH$5:$DH$304,0))="","",INDEX('Portfolio Register'!$DB$5:$DB$304,MATCH($B126,'Portfolio Register'!$DH$5:$DH$304,0))),"")</f>
        <v/>
      </c>
      <c r="L126" s="140" t="str">
        <f>IFERROR(IF(INDEX('Portfolio Register'!$DC$5:$DC$304,MATCH($B126,'Portfolio Register'!$DH$5:$DH$304,0))="","",INDEX('Portfolio Register'!$DC$5:$DC$304,MATCH($B126,'Portfolio Register'!$DH$5:$DH$304,0))),"")</f>
        <v/>
      </c>
      <c r="M126" s="143" t="str">
        <f>IFERROR(IF(INDEX('Portfolio Register'!$DD$5:$DD$304,MATCH($B126,'Portfolio Register'!$DH$5:$DH$304,0))="","",INDEX('Portfolio Register'!$DD$5:$DD$304,MATCH($B126,'Portfolio Register'!$DH$5:$DH$304,0))),"")</f>
        <v/>
      </c>
      <c r="N126" s="144" t="str">
        <f ca="1">IF($C126="","",IF($M126&lt;&gt;"",$M126-IFERROR(INDEX('Portfolio Register'!$C$5:$C$304,MATCH($B126,'Portfolio Register'!$DH$5:$DH$304,0)),$M126),TODAY()-IFERROR(INDEX('Portfolio Register'!$C$5:$C$304,MATCH($B126,'Portfolio Register'!$DH$5:$DH$304,0)),TODAY())))</f>
        <v/>
      </c>
      <c r="O126" s="145" t="str">
        <f t="shared" si="3"/>
        <v/>
      </c>
      <c r="P126" s="140" t="str">
        <f>IFERROR(IF(INDEX('Portfolio Register'!$DG$5:$DG$304,MATCH($B126,'Portfolio Register'!$DH$5:$DH$304,0))="","",INDEX('Portfolio Register'!$DG$5:$DG$304,MATCH($B126,'Portfolio Register'!$DH$5:$DH$304,0))),"")</f>
        <v/>
      </c>
      <c r="Q126" s="140" t="str">
        <f>IFERROR(IF(INDEX('Portfolio Register'!$DF$5:$DF$304,MATCH($B126,'Portfolio Register'!$DH$5:$DH$304,0))="","",INDEX('Portfolio Register'!$DF$5:$DF$304,MATCH($B126,'Portfolio Register'!$DH$5:$DH$304,0))),"")</f>
        <v/>
      </c>
    </row>
    <row r="127" spans="2:17" x14ac:dyDescent="0.25">
      <c r="B127" s="63">
        <v>100</v>
      </c>
      <c r="C127" s="146" t="str">
        <f>IFERROR(IF(INDEX('Portfolio Register'!$A$5:$A$304,MATCH($B127,'Portfolio Register'!$DH$5:$DH$304,0))="","",INDEX('Portfolio Register'!$A$5:$A$304,MATCH($B127,'Portfolio Register'!$DH$5:$DH$304,0))),"")</f>
        <v/>
      </c>
      <c r="D127" s="146" t="str">
        <f>IFERROR(IF(INDEX('Portfolio Register'!$B$5:$B$304,MATCH($B127,'Portfolio Register'!$DH$5:$DH$304,0))="","",INDEX('Portfolio Register'!$B$5:$B$304,MATCH($B127,'Portfolio Register'!$DH$5:$DH$304,0))),"")</f>
        <v/>
      </c>
      <c r="E127" s="146" t="str">
        <f>IFERROR(IF(INDEX('Portfolio Register'!$I$5:$I$304,MATCH($B127,'Portfolio Register'!$DH$5:$DH$304,0))="","",INDEX('Portfolio Register'!$I$5:$I$304,MATCH($B127,'Portfolio Register'!$DH$5:$DH$304,0))),"")</f>
        <v/>
      </c>
      <c r="F127" s="147" t="str">
        <f>IFERROR(IF(INDEX('Portfolio Register'!$J$5:$J$304,MATCH($B127,'Portfolio Register'!$DH$5:$DH$304,0))="","",INDEX('Portfolio Register'!$J$5:$J$304,MATCH($B127,'Portfolio Register'!$DH$5:$DH$304,0))),"")</f>
        <v/>
      </c>
      <c r="G127" s="146" t="str">
        <f>IFERROR(IF(INDEX('Portfolio Register'!$CX$5:$CX$304,MATCH($B127,'Portfolio Register'!$DH$5:$DH$304,0))="","",INDEX('Portfolio Register'!$CX$5:$CX$304,MATCH($B127,'Portfolio Register'!$DH$5:$DH$304,0))),"")</f>
        <v/>
      </c>
      <c r="H127" s="148" t="str">
        <f>IFERROR(IF(INDEX('Portfolio Register'!$CY$5:$CY$304,MATCH($B127,'Portfolio Register'!$DH$5:$DH$304,0))="","",INDEX('Portfolio Register'!$CY$5:$CY$304,MATCH($B127,'Portfolio Register'!$DH$5:$DH$304,0))),"")</f>
        <v/>
      </c>
      <c r="I127" s="146" t="str">
        <f>IFERROR(IF(INDEX('Portfolio Register'!$CZ$5:$CZ$304,MATCH($B127,'Portfolio Register'!$DH$5:$DH$304,0))="","",INDEX('Portfolio Register'!$CZ$5:$CZ$304,MATCH($B127,'Portfolio Register'!$DH$5:$DH$304,0))),"")</f>
        <v/>
      </c>
      <c r="J127" s="146" t="str">
        <f>IFERROR(IF(INDEX('Portfolio Register'!$DA$5:$DA$304,MATCH($B127,'Portfolio Register'!$DH$5:$DH$304,0))="","",INDEX('Portfolio Register'!$DA$5:$DA$304,MATCH($B127,'Portfolio Register'!$DH$5:$DH$304,0))),"")</f>
        <v/>
      </c>
      <c r="K127" s="146" t="str">
        <f>IFERROR(IF(INDEX('Portfolio Register'!$DB$5:$DB$304,MATCH($B127,'Portfolio Register'!$DH$5:$DH$304,0))="","",INDEX('Portfolio Register'!$DB$5:$DB$304,MATCH($B127,'Portfolio Register'!$DH$5:$DH$304,0))),"")</f>
        <v/>
      </c>
      <c r="L127" s="146" t="str">
        <f>IFERROR(IF(INDEX('Portfolio Register'!$DC$5:$DC$304,MATCH($B127,'Portfolio Register'!$DH$5:$DH$304,0))="","",INDEX('Portfolio Register'!$DC$5:$DC$304,MATCH($B127,'Portfolio Register'!$DH$5:$DH$304,0))),"")</f>
        <v/>
      </c>
      <c r="M127" s="149" t="str">
        <f>IFERROR(IF(INDEX('Portfolio Register'!$DD$5:$DD$304,MATCH($B127,'Portfolio Register'!$DH$5:$DH$304,0))="","",INDEX('Portfolio Register'!$DD$5:$DD$304,MATCH($B127,'Portfolio Register'!$DH$5:$DH$304,0))),"")</f>
        <v/>
      </c>
      <c r="N127" s="150" t="str">
        <f ca="1">IF($C127="","",IF($M127&lt;&gt;"",$M127-IFERROR(INDEX('Portfolio Register'!$C$5:$C$304,MATCH($B127,'Portfolio Register'!$DH$5:$DH$304,0)),$M127),TODAY()-IFERROR(INDEX('Portfolio Register'!$C$5:$C$304,MATCH($B127,'Portfolio Register'!$DH$5:$DH$304,0)),TODAY())))</f>
        <v/>
      </c>
      <c r="O127" s="151" t="str">
        <f t="shared" si="3"/>
        <v/>
      </c>
      <c r="P127" s="146" t="str">
        <f>IFERROR(IF(INDEX('Portfolio Register'!$DG$5:$DG$304,MATCH($B127,'Portfolio Register'!$DH$5:$DH$304,0))="","",INDEX('Portfolio Register'!$DG$5:$DG$304,MATCH($B127,'Portfolio Register'!$DH$5:$DH$304,0))),"")</f>
        <v/>
      </c>
      <c r="Q127" s="146" t="str">
        <f>IFERROR(IF(INDEX('Portfolio Register'!$DF$5:$DF$304,MATCH($B127,'Portfolio Register'!$DH$5:$DH$304,0))="","",INDEX('Portfolio Register'!$DF$5:$DF$304,MATCH($B127,'Portfolio Register'!$DH$5:$DH$304,0))),"")</f>
        <v/>
      </c>
    </row>
    <row r="128" spans="2:17" x14ac:dyDescent="0.25">
      <c r="B128" s="56">
        <v>101</v>
      </c>
      <c r="C128" s="140" t="str">
        <f>IFERROR(IF(INDEX('Portfolio Register'!$A$5:$A$304,MATCH($B128,'Portfolio Register'!$DH$5:$DH$304,0))="","",INDEX('Portfolio Register'!$A$5:$A$304,MATCH($B128,'Portfolio Register'!$DH$5:$DH$304,0))),"")</f>
        <v/>
      </c>
      <c r="D128" s="140" t="str">
        <f>IFERROR(IF(INDEX('Portfolio Register'!$B$5:$B$304,MATCH($B128,'Portfolio Register'!$DH$5:$DH$304,0))="","",INDEX('Portfolio Register'!$B$5:$B$304,MATCH($B128,'Portfolio Register'!$DH$5:$DH$304,0))),"")</f>
        <v/>
      </c>
      <c r="E128" s="140" t="str">
        <f>IFERROR(IF(INDEX('Portfolio Register'!$I$5:$I$304,MATCH($B128,'Portfolio Register'!$DH$5:$DH$304,0))="","",INDEX('Portfolio Register'!$I$5:$I$304,MATCH($B128,'Portfolio Register'!$DH$5:$DH$304,0))),"")</f>
        <v/>
      </c>
      <c r="F128" s="141" t="str">
        <f>IFERROR(IF(INDEX('Portfolio Register'!$J$5:$J$304,MATCH($B128,'Portfolio Register'!$DH$5:$DH$304,0))="","",INDEX('Portfolio Register'!$J$5:$J$304,MATCH($B128,'Portfolio Register'!$DH$5:$DH$304,0))),"")</f>
        <v/>
      </c>
      <c r="G128" s="140" t="str">
        <f>IFERROR(IF(INDEX('Portfolio Register'!$CX$5:$CX$304,MATCH($B128,'Portfolio Register'!$DH$5:$DH$304,0))="","",INDEX('Portfolio Register'!$CX$5:$CX$304,MATCH($B128,'Portfolio Register'!$DH$5:$DH$304,0))),"")</f>
        <v/>
      </c>
      <c r="H128" s="142" t="str">
        <f>IFERROR(IF(INDEX('Portfolio Register'!$CY$5:$CY$304,MATCH($B128,'Portfolio Register'!$DH$5:$DH$304,0))="","",INDEX('Portfolio Register'!$CY$5:$CY$304,MATCH($B128,'Portfolio Register'!$DH$5:$DH$304,0))),"")</f>
        <v/>
      </c>
      <c r="I128" s="140" t="str">
        <f>IFERROR(IF(INDEX('Portfolio Register'!$CZ$5:$CZ$304,MATCH($B128,'Portfolio Register'!$DH$5:$DH$304,0))="","",INDEX('Portfolio Register'!$CZ$5:$CZ$304,MATCH($B128,'Portfolio Register'!$DH$5:$DH$304,0))),"")</f>
        <v/>
      </c>
      <c r="J128" s="140" t="str">
        <f>IFERROR(IF(INDEX('Portfolio Register'!$DA$5:$DA$304,MATCH($B128,'Portfolio Register'!$DH$5:$DH$304,0))="","",INDEX('Portfolio Register'!$DA$5:$DA$304,MATCH($B128,'Portfolio Register'!$DH$5:$DH$304,0))),"")</f>
        <v/>
      </c>
      <c r="K128" s="140" t="str">
        <f>IFERROR(IF(INDEX('Portfolio Register'!$DB$5:$DB$304,MATCH($B128,'Portfolio Register'!$DH$5:$DH$304,0))="","",INDEX('Portfolio Register'!$DB$5:$DB$304,MATCH($B128,'Portfolio Register'!$DH$5:$DH$304,0))),"")</f>
        <v/>
      </c>
      <c r="L128" s="140" t="str">
        <f>IFERROR(IF(INDEX('Portfolio Register'!$DC$5:$DC$304,MATCH($B128,'Portfolio Register'!$DH$5:$DH$304,0))="","",INDEX('Portfolio Register'!$DC$5:$DC$304,MATCH($B128,'Portfolio Register'!$DH$5:$DH$304,0))),"")</f>
        <v/>
      </c>
      <c r="M128" s="143" t="str">
        <f>IFERROR(IF(INDEX('Portfolio Register'!$DD$5:$DD$304,MATCH($B128,'Portfolio Register'!$DH$5:$DH$304,0))="","",INDEX('Portfolio Register'!$DD$5:$DD$304,MATCH($B128,'Portfolio Register'!$DH$5:$DH$304,0))),"")</f>
        <v/>
      </c>
      <c r="N128" s="144" t="str">
        <f ca="1">IF($C128="","",IF($M128&lt;&gt;"",$M128-IFERROR(INDEX('Portfolio Register'!$C$5:$C$304,MATCH($B128,'Portfolio Register'!$DH$5:$DH$304,0)),$M128),TODAY()-IFERROR(INDEX('Portfolio Register'!$C$5:$C$304,MATCH($B128,'Portfolio Register'!$DH$5:$DH$304,0)),TODAY())))</f>
        <v/>
      </c>
      <c r="O128" s="145" t="str">
        <f t="shared" si="3"/>
        <v/>
      </c>
      <c r="P128" s="140" t="str">
        <f>IFERROR(IF(INDEX('Portfolio Register'!$DG$5:$DG$304,MATCH($B128,'Portfolio Register'!$DH$5:$DH$304,0))="","",INDEX('Portfolio Register'!$DG$5:$DG$304,MATCH($B128,'Portfolio Register'!$DH$5:$DH$304,0))),"")</f>
        <v/>
      </c>
      <c r="Q128" s="140" t="str">
        <f>IFERROR(IF(INDEX('Portfolio Register'!$DF$5:$DF$304,MATCH($B128,'Portfolio Register'!$DH$5:$DH$304,0))="","",INDEX('Portfolio Register'!$DF$5:$DF$304,MATCH($B128,'Portfolio Register'!$DH$5:$DH$304,0))),"")</f>
        <v/>
      </c>
    </row>
    <row r="129" spans="2:17" x14ac:dyDescent="0.25">
      <c r="B129" s="63">
        <v>102</v>
      </c>
      <c r="C129" s="146" t="str">
        <f>IFERROR(IF(INDEX('Portfolio Register'!$A$5:$A$304,MATCH($B129,'Portfolio Register'!$DH$5:$DH$304,0))="","",INDEX('Portfolio Register'!$A$5:$A$304,MATCH($B129,'Portfolio Register'!$DH$5:$DH$304,0))),"")</f>
        <v/>
      </c>
      <c r="D129" s="146" t="str">
        <f>IFERROR(IF(INDEX('Portfolio Register'!$B$5:$B$304,MATCH($B129,'Portfolio Register'!$DH$5:$DH$304,0))="","",INDEX('Portfolio Register'!$B$5:$B$304,MATCH($B129,'Portfolio Register'!$DH$5:$DH$304,0))),"")</f>
        <v/>
      </c>
      <c r="E129" s="146" t="str">
        <f>IFERROR(IF(INDEX('Portfolio Register'!$I$5:$I$304,MATCH($B129,'Portfolio Register'!$DH$5:$DH$304,0))="","",INDEX('Portfolio Register'!$I$5:$I$304,MATCH($B129,'Portfolio Register'!$DH$5:$DH$304,0))),"")</f>
        <v/>
      </c>
      <c r="F129" s="147" t="str">
        <f>IFERROR(IF(INDEX('Portfolio Register'!$J$5:$J$304,MATCH($B129,'Portfolio Register'!$DH$5:$DH$304,0))="","",INDEX('Portfolio Register'!$J$5:$J$304,MATCH($B129,'Portfolio Register'!$DH$5:$DH$304,0))),"")</f>
        <v/>
      </c>
      <c r="G129" s="146" t="str">
        <f>IFERROR(IF(INDEX('Portfolio Register'!$CX$5:$CX$304,MATCH($B129,'Portfolio Register'!$DH$5:$DH$304,0))="","",INDEX('Portfolio Register'!$CX$5:$CX$304,MATCH($B129,'Portfolio Register'!$DH$5:$DH$304,0))),"")</f>
        <v/>
      </c>
      <c r="H129" s="148" t="str">
        <f>IFERROR(IF(INDEX('Portfolio Register'!$CY$5:$CY$304,MATCH($B129,'Portfolio Register'!$DH$5:$DH$304,0))="","",INDEX('Portfolio Register'!$CY$5:$CY$304,MATCH($B129,'Portfolio Register'!$DH$5:$DH$304,0))),"")</f>
        <v/>
      </c>
      <c r="I129" s="146" t="str">
        <f>IFERROR(IF(INDEX('Portfolio Register'!$CZ$5:$CZ$304,MATCH($B129,'Portfolio Register'!$DH$5:$DH$304,0))="","",INDEX('Portfolio Register'!$CZ$5:$CZ$304,MATCH($B129,'Portfolio Register'!$DH$5:$DH$304,0))),"")</f>
        <v/>
      </c>
      <c r="J129" s="146" t="str">
        <f>IFERROR(IF(INDEX('Portfolio Register'!$DA$5:$DA$304,MATCH($B129,'Portfolio Register'!$DH$5:$DH$304,0))="","",INDEX('Portfolio Register'!$DA$5:$DA$304,MATCH($B129,'Portfolio Register'!$DH$5:$DH$304,0))),"")</f>
        <v/>
      </c>
      <c r="K129" s="146" t="str">
        <f>IFERROR(IF(INDEX('Portfolio Register'!$DB$5:$DB$304,MATCH($B129,'Portfolio Register'!$DH$5:$DH$304,0))="","",INDEX('Portfolio Register'!$DB$5:$DB$304,MATCH($B129,'Portfolio Register'!$DH$5:$DH$304,0))),"")</f>
        <v/>
      </c>
      <c r="L129" s="146" t="str">
        <f>IFERROR(IF(INDEX('Portfolio Register'!$DC$5:$DC$304,MATCH($B129,'Portfolio Register'!$DH$5:$DH$304,0))="","",INDEX('Portfolio Register'!$DC$5:$DC$304,MATCH($B129,'Portfolio Register'!$DH$5:$DH$304,0))),"")</f>
        <v/>
      </c>
      <c r="M129" s="149" t="str">
        <f>IFERROR(IF(INDEX('Portfolio Register'!$DD$5:$DD$304,MATCH($B129,'Portfolio Register'!$DH$5:$DH$304,0))="","",INDEX('Portfolio Register'!$DD$5:$DD$304,MATCH($B129,'Portfolio Register'!$DH$5:$DH$304,0))),"")</f>
        <v/>
      </c>
      <c r="N129" s="150" t="str">
        <f ca="1">IF($C129="","",IF($M129&lt;&gt;"",$M129-IFERROR(INDEX('Portfolio Register'!$C$5:$C$304,MATCH($B129,'Portfolio Register'!$DH$5:$DH$304,0)),$M129),TODAY()-IFERROR(INDEX('Portfolio Register'!$C$5:$C$304,MATCH($B129,'Portfolio Register'!$DH$5:$DH$304,0)),TODAY())))</f>
        <v/>
      </c>
      <c r="O129" s="151" t="str">
        <f t="shared" si="3"/>
        <v/>
      </c>
      <c r="P129" s="146" t="str">
        <f>IFERROR(IF(INDEX('Portfolio Register'!$DG$5:$DG$304,MATCH($B129,'Portfolio Register'!$DH$5:$DH$304,0))="","",INDEX('Portfolio Register'!$DG$5:$DG$304,MATCH($B129,'Portfolio Register'!$DH$5:$DH$304,0))),"")</f>
        <v/>
      </c>
      <c r="Q129" s="146" t="str">
        <f>IFERROR(IF(INDEX('Portfolio Register'!$DF$5:$DF$304,MATCH($B129,'Portfolio Register'!$DH$5:$DH$304,0))="","",INDEX('Portfolio Register'!$DF$5:$DF$304,MATCH($B129,'Portfolio Register'!$DH$5:$DH$304,0))),"")</f>
        <v/>
      </c>
    </row>
    <row r="130" spans="2:17" x14ac:dyDescent="0.25">
      <c r="B130" s="56">
        <v>103</v>
      </c>
      <c r="C130" s="140" t="str">
        <f>IFERROR(IF(INDEX('Portfolio Register'!$A$5:$A$304,MATCH($B130,'Portfolio Register'!$DH$5:$DH$304,0))="","",INDEX('Portfolio Register'!$A$5:$A$304,MATCH($B130,'Portfolio Register'!$DH$5:$DH$304,0))),"")</f>
        <v/>
      </c>
      <c r="D130" s="140" t="str">
        <f>IFERROR(IF(INDEX('Portfolio Register'!$B$5:$B$304,MATCH($B130,'Portfolio Register'!$DH$5:$DH$304,0))="","",INDEX('Portfolio Register'!$B$5:$B$304,MATCH($B130,'Portfolio Register'!$DH$5:$DH$304,0))),"")</f>
        <v/>
      </c>
      <c r="E130" s="140" t="str">
        <f>IFERROR(IF(INDEX('Portfolio Register'!$I$5:$I$304,MATCH($B130,'Portfolio Register'!$DH$5:$DH$304,0))="","",INDEX('Portfolio Register'!$I$5:$I$304,MATCH($B130,'Portfolio Register'!$DH$5:$DH$304,0))),"")</f>
        <v/>
      </c>
      <c r="F130" s="141" t="str">
        <f>IFERROR(IF(INDEX('Portfolio Register'!$J$5:$J$304,MATCH($B130,'Portfolio Register'!$DH$5:$DH$304,0))="","",INDEX('Portfolio Register'!$J$5:$J$304,MATCH($B130,'Portfolio Register'!$DH$5:$DH$304,0))),"")</f>
        <v/>
      </c>
      <c r="G130" s="140" t="str">
        <f>IFERROR(IF(INDEX('Portfolio Register'!$CX$5:$CX$304,MATCH($B130,'Portfolio Register'!$DH$5:$DH$304,0))="","",INDEX('Portfolio Register'!$CX$5:$CX$304,MATCH($B130,'Portfolio Register'!$DH$5:$DH$304,0))),"")</f>
        <v/>
      </c>
      <c r="H130" s="142" t="str">
        <f>IFERROR(IF(INDEX('Portfolio Register'!$CY$5:$CY$304,MATCH($B130,'Portfolio Register'!$DH$5:$DH$304,0))="","",INDEX('Portfolio Register'!$CY$5:$CY$304,MATCH($B130,'Portfolio Register'!$DH$5:$DH$304,0))),"")</f>
        <v/>
      </c>
      <c r="I130" s="140" t="str">
        <f>IFERROR(IF(INDEX('Portfolio Register'!$CZ$5:$CZ$304,MATCH($B130,'Portfolio Register'!$DH$5:$DH$304,0))="","",INDEX('Portfolio Register'!$CZ$5:$CZ$304,MATCH($B130,'Portfolio Register'!$DH$5:$DH$304,0))),"")</f>
        <v/>
      </c>
      <c r="J130" s="140" t="str">
        <f>IFERROR(IF(INDEX('Portfolio Register'!$DA$5:$DA$304,MATCH($B130,'Portfolio Register'!$DH$5:$DH$304,0))="","",INDEX('Portfolio Register'!$DA$5:$DA$304,MATCH($B130,'Portfolio Register'!$DH$5:$DH$304,0))),"")</f>
        <v/>
      </c>
      <c r="K130" s="140" t="str">
        <f>IFERROR(IF(INDEX('Portfolio Register'!$DB$5:$DB$304,MATCH($B130,'Portfolio Register'!$DH$5:$DH$304,0))="","",INDEX('Portfolio Register'!$DB$5:$DB$304,MATCH($B130,'Portfolio Register'!$DH$5:$DH$304,0))),"")</f>
        <v/>
      </c>
      <c r="L130" s="140" t="str">
        <f>IFERROR(IF(INDEX('Portfolio Register'!$DC$5:$DC$304,MATCH($B130,'Portfolio Register'!$DH$5:$DH$304,0))="","",INDEX('Portfolio Register'!$DC$5:$DC$304,MATCH($B130,'Portfolio Register'!$DH$5:$DH$304,0))),"")</f>
        <v/>
      </c>
      <c r="M130" s="143" t="str">
        <f>IFERROR(IF(INDEX('Portfolio Register'!$DD$5:$DD$304,MATCH($B130,'Portfolio Register'!$DH$5:$DH$304,0))="","",INDEX('Portfolio Register'!$DD$5:$DD$304,MATCH($B130,'Portfolio Register'!$DH$5:$DH$304,0))),"")</f>
        <v/>
      </c>
      <c r="N130" s="144" t="str">
        <f ca="1">IF($C130="","",IF($M130&lt;&gt;"",$M130-IFERROR(INDEX('Portfolio Register'!$C$5:$C$304,MATCH($B130,'Portfolio Register'!$DH$5:$DH$304,0)),$M130),TODAY()-IFERROR(INDEX('Portfolio Register'!$C$5:$C$304,MATCH($B130,'Portfolio Register'!$DH$5:$DH$304,0)),TODAY())))</f>
        <v/>
      </c>
      <c r="O130" s="145" t="str">
        <f t="shared" si="3"/>
        <v/>
      </c>
      <c r="P130" s="140" t="str">
        <f>IFERROR(IF(INDEX('Portfolio Register'!$DG$5:$DG$304,MATCH($B130,'Portfolio Register'!$DH$5:$DH$304,0))="","",INDEX('Portfolio Register'!$DG$5:$DG$304,MATCH($B130,'Portfolio Register'!$DH$5:$DH$304,0))),"")</f>
        <v/>
      </c>
      <c r="Q130" s="140" t="str">
        <f>IFERROR(IF(INDEX('Portfolio Register'!$DF$5:$DF$304,MATCH($B130,'Portfolio Register'!$DH$5:$DH$304,0))="","",INDEX('Portfolio Register'!$DF$5:$DF$304,MATCH($B130,'Portfolio Register'!$DH$5:$DH$304,0))),"")</f>
        <v/>
      </c>
    </row>
    <row r="131" spans="2:17" x14ac:dyDescent="0.25">
      <c r="B131" s="63">
        <v>104</v>
      </c>
      <c r="C131" s="146" t="str">
        <f>IFERROR(IF(INDEX('Portfolio Register'!$A$5:$A$304,MATCH($B131,'Portfolio Register'!$DH$5:$DH$304,0))="","",INDEX('Portfolio Register'!$A$5:$A$304,MATCH($B131,'Portfolio Register'!$DH$5:$DH$304,0))),"")</f>
        <v/>
      </c>
      <c r="D131" s="146" t="str">
        <f>IFERROR(IF(INDEX('Portfolio Register'!$B$5:$B$304,MATCH($B131,'Portfolio Register'!$DH$5:$DH$304,0))="","",INDEX('Portfolio Register'!$B$5:$B$304,MATCH($B131,'Portfolio Register'!$DH$5:$DH$304,0))),"")</f>
        <v/>
      </c>
      <c r="E131" s="146" t="str">
        <f>IFERROR(IF(INDEX('Portfolio Register'!$I$5:$I$304,MATCH($B131,'Portfolio Register'!$DH$5:$DH$304,0))="","",INDEX('Portfolio Register'!$I$5:$I$304,MATCH($B131,'Portfolio Register'!$DH$5:$DH$304,0))),"")</f>
        <v/>
      </c>
      <c r="F131" s="147" t="str">
        <f>IFERROR(IF(INDEX('Portfolio Register'!$J$5:$J$304,MATCH($B131,'Portfolio Register'!$DH$5:$DH$304,0))="","",INDEX('Portfolio Register'!$J$5:$J$304,MATCH($B131,'Portfolio Register'!$DH$5:$DH$304,0))),"")</f>
        <v/>
      </c>
      <c r="G131" s="146" t="str">
        <f>IFERROR(IF(INDEX('Portfolio Register'!$CX$5:$CX$304,MATCH($B131,'Portfolio Register'!$DH$5:$DH$304,0))="","",INDEX('Portfolio Register'!$CX$5:$CX$304,MATCH($B131,'Portfolio Register'!$DH$5:$DH$304,0))),"")</f>
        <v/>
      </c>
      <c r="H131" s="148" t="str">
        <f>IFERROR(IF(INDEX('Portfolio Register'!$CY$5:$CY$304,MATCH($B131,'Portfolio Register'!$DH$5:$DH$304,0))="","",INDEX('Portfolio Register'!$CY$5:$CY$304,MATCH($B131,'Portfolio Register'!$DH$5:$DH$304,0))),"")</f>
        <v/>
      </c>
      <c r="I131" s="146" t="str">
        <f>IFERROR(IF(INDEX('Portfolio Register'!$CZ$5:$CZ$304,MATCH($B131,'Portfolio Register'!$DH$5:$DH$304,0))="","",INDEX('Portfolio Register'!$CZ$5:$CZ$304,MATCH($B131,'Portfolio Register'!$DH$5:$DH$304,0))),"")</f>
        <v/>
      </c>
      <c r="J131" s="146" t="str">
        <f>IFERROR(IF(INDEX('Portfolio Register'!$DA$5:$DA$304,MATCH($B131,'Portfolio Register'!$DH$5:$DH$304,0))="","",INDEX('Portfolio Register'!$DA$5:$DA$304,MATCH($B131,'Portfolio Register'!$DH$5:$DH$304,0))),"")</f>
        <v/>
      </c>
      <c r="K131" s="146" t="str">
        <f>IFERROR(IF(INDEX('Portfolio Register'!$DB$5:$DB$304,MATCH($B131,'Portfolio Register'!$DH$5:$DH$304,0))="","",INDEX('Portfolio Register'!$DB$5:$DB$304,MATCH($B131,'Portfolio Register'!$DH$5:$DH$304,0))),"")</f>
        <v/>
      </c>
      <c r="L131" s="146" t="str">
        <f>IFERROR(IF(INDEX('Portfolio Register'!$DC$5:$DC$304,MATCH($B131,'Portfolio Register'!$DH$5:$DH$304,0))="","",INDEX('Portfolio Register'!$DC$5:$DC$304,MATCH($B131,'Portfolio Register'!$DH$5:$DH$304,0))),"")</f>
        <v/>
      </c>
      <c r="M131" s="149" t="str">
        <f>IFERROR(IF(INDEX('Portfolio Register'!$DD$5:$DD$304,MATCH($B131,'Portfolio Register'!$DH$5:$DH$304,0))="","",INDEX('Portfolio Register'!$DD$5:$DD$304,MATCH($B131,'Portfolio Register'!$DH$5:$DH$304,0))),"")</f>
        <v/>
      </c>
      <c r="N131" s="150" t="str">
        <f ca="1">IF($C131="","",IF($M131&lt;&gt;"",$M131-IFERROR(INDEX('Portfolio Register'!$C$5:$C$304,MATCH($B131,'Portfolio Register'!$DH$5:$DH$304,0)),$M131),TODAY()-IFERROR(INDEX('Portfolio Register'!$C$5:$C$304,MATCH($B131,'Portfolio Register'!$DH$5:$DH$304,0)),TODAY())))</f>
        <v/>
      </c>
      <c r="O131" s="151" t="str">
        <f t="shared" si="3"/>
        <v/>
      </c>
      <c r="P131" s="146" t="str">
        <f>IFERROR(IF(INDEX('Portfolio Register'!$DG$5:$DG$304,MATCH($B131,'Portfolio Register'!$DH$5:$DH$304,0))="","",INDEX('Portfolio Register'!$DG$5:$DG$304,MATCH($B131,'Portfolio Register'!$DH$5:$DH$304,0))),"")</f>
        <v/>
      </c>
      <c r="Q131" s="146" t="str">
        <f>IFERROR(IF(INDEX('Portfolio Register'!$DF$5:$DF$304,MATCH($B131,'Portfolio Register'!$DH$5:$DH$304,0))="","",INDEX('Portfolio Register'!$DF$5:$DF$304,MATCH($B131,'Portfolio Register'!$DH$5:$DH$304,0))),"")</f>
        <v/>
      </c>
    </row>
    <row r="132" spans="2:17" x14ac:dyDescent="0.25">
      <c r="B132" s="56">
        <v>105</v>
      </c>
      <c r="C132" s="140" t="str">
        <f>IFERROR(IF(INDEX('Portfolio Register'!$A$5:$A$304,MATCH($B132,'Portfolio Register'!$DH$5:$DH$304,0))="","",INDEX('Portfolio Register'!$A$5:$A$304,MATCH($B132,'Portfolio Register'!$DH$5:$DH$304,0))),"")</f>
        <v/>
      </c>
      <c r="D132" s="140" t="str">
        <f>IFERROR(IF(INDEX('Portfolio Register'!$B$5:$B$304,MATCH($B132,'Portfolio Register'!$DH$5:$DH$304,0))="","",INDEX('Portfolio Register'!$B$5:$B$304,MATCH($B132,'Portfolio Register'!$DH$5:$DH$304,0))),"")</f>
        <v/>
      </c>
      <c r="E132" s="140" t="str">
        <f>IFERROR(IF(INDEX('Portfolio Register'!$I$5:$I$304,MATCH($B132,'Portfolio Register'!$DH$5:$DH$304,0))="","",INDEX('Portfolio Register'!$I$5:$I$304,MATCH($B132,'Portfolio Register'!$DH$5:$DH$304,0))),"")</f>
        <v/>
      </c>
      <c r="F132" s="141" t="str">
        <f>IFERROR(IF(INDEX('Portfolio Register'!$J$5:$J$304,MATCH($B132,'Portfolio Register'!$DH$5:$DH$304,0))="","",INDEX('Portfolio Register'!$J$5:$J$304,MATCH($B132,'Portfolio Register'!$DH$5:$DH$304,0))),"")</f>
        <v/>
      </c>
      <c r="G132" s="140" t="str">
        <f>IFERROR(IF(INDEX('Portfolio Register'!$CX$5:$CX$304,MATCH($B132,'Portfolio Register'!$DH$5:$DH$304,0))="","",INDEX('Portfolio Register'!$CX$5:$CX$304,MATCH($B132,'Portfolio Register'!$DH$5:$DH$304,0))),"")</f>
        <v/>
      </c>
      <c r="H132" s="142" t="str">
        <f>IFERROR(IF(INDEX('Portfolio Register'!$CY$5:$CY$304,MATCH($B132,'Portfolio Register'!$DH$5:$DH$304,0))="","",INDEX('Portfolio Register'!$CY$5:$CY$304,MATCH($B132,'Portfolio Register'!$DH$5:$DH$304,0))),"")</f>
        <v/>
      </c>
      <c r="I132" s="140" t="str">
        <f>IFERROR(IF(INDEX('Portfolio Register'!$CZ$5:$CZ$304,MATCH($B132,'Portfolio Register'!$DH$5:$DH$304,0))="","",INDEX('Portfolio Register'!$CZ$5:$CZ$304,MATCH($B132,'Portfolio Register'!$DH$5:$DH$304,0))),"")</f>
        <v/>
      </c>
      <c r="J132" s="140" t="str">
        <f>IFERROR(IF(INDEX('Portfolio Register'!$DA$5:$DA$304,MATCH($B132,'Portfolio Register'!$DH$5:$DH$304,0))="","",INDEX('Portfolio Register'!$DA$5:$DA$304,MATCH($B132,'Portfolio Register'!$DH$5:$DH$304,0))),"")</f>
        <v/>
      </c>
      <c r="K132" s="140" t="str">
        <f>IFERROR(IF(INDEX('Portfolio Register'!$DB$5:$DB$304,MATCH($B132,'Portfolio Register'!$DH$5:$DH$304,0))="","",INDEX('Portfolio Register'!$DB$5:$DB$304,MATCH($B132,'Portfolio Register'!$DH$5:$DH$304,0))),"")</f>
        <v/>
      </c>
      <c r="L132" s="140" t="str">
        <f>IFERROR(IF(INDEX('Portfolio Register'!$DC$5:$DC$304,MATCH($B132,'Portfolio Register'!$DH$5:$DH$304,0))="","",INDEX('Portfolio Register'!$DC$5:$DC$304,MATCH($B132,'Portfolio Register'!$DH$5:$DH$304,0))),"")</f>
        <v/>
      </c>
      <c r="M132" s="143" t="str">
        <f>IFERROR(IF(INDEX('Portfolio Register'!$DD$5:$DD$304,MATCH($B132,'Portfolio Register'!$DH$5:$DH$304,0))="","",INDEX('Portfolio Register'!$DD$5:$DD$304,MATCH($B132,'Portfolio Register'!$DH$5:$DH$304,0))),"")</f>
        <v/>
      </c>
      <c r="N132" s="144" t="str">
        <f ca="1">IF($C132="","",IF($M132&lt;&gt;"",$M132-IFERROR(INDEX('Portfolio Register'!$C$5:$C$304,MATCH($B132,'Portfolio Register'!$DH$5:$DH$304,0)),$M132),TODAY()-IFERROR(INDEX('Portfolio Register'!$C$5:$C$304,MATCH($B132,'Portfolio Register'!$DH$5:$DH$304,0)),TODAY())))</f>
        <v/>
      </c>
      <c r="O132" s="145" t="str">
        <f t="shared" si="3"/>
        <v/>
      </c>
      <c r="P132" s="140" t="str">
        <f>IFERROR(IF(INDEX('Portfolio Register'!$DG$5:$DG$304,MATCH($B132,'Portfolio Register'!$DH$5:$DH$304,0))="","",INDEX('Portfolio Register'!$DG$5:$DG$304,MATCH($B132,'Portfolio Register'!$DH$5:$DH$304,0))),"")</f>
        <v/>
      </c>
      <c r="Q132" s="140" t="str">
        <f>IFERROR(IF(INDEX('Portfolio Register'!$DF$5:$DF$304,MATCH($B132,'Portfolio Register'!$DH$5:$DH$304,0))="","",INDEX('Portfolio Register'!$DF$5:$DF$304,MATCH($B132,'Portfolio Register'!$DH$5:$DH$304,0))),"")</f>
        <v/>
      </c>
    </row>
    <row r="133" spans="2:17" x14ac:dyDescent="0.25">
      <c r="B133" s="63">
        <v>106</v>
      </c>
      <c r="C133" s="146" t="str">
        <f>IFERROR(IF(INDEX('Portfolio Register'!$A$5:$A$304,MATCH($B133,'Portfolio Register'!$DH$5:$DH$304,0))="","",INDEX('Portfolio Register'!$A$5:$A$304,MATCH($B133,'Portfolio Register'!$DH$5:$DH$304,0))),"")</f>
        <v/>
      </c>
      <c r="D133" s="146" t="str">
        <f>IFERROR(IF(INDEX('Portfolio Register'!$B$5:$B$304,MATCH($B133,'Portfolio Register'!$DH$5:$DH$304,0))="","",INDEX('Portfolio Register'!$B$5:$B$304,MATCH($B133,'Portfolio Register'!$DH$5:$DH$304,0))),"")</f>
        <v/>
      </c>
      <c r="E133" s="146" t="str">
        <f>IFERROR(IF(INDEX('Portfolio Register'!$I$5:$I$304,MATCH($B133,'Portfolio Register'!$DH$5:$DH$304,0))="","",INDEX('Portfolio Register'!$I$5:$I$304,MATCH($B133,'Portfolio Register'!$DH$5:$DH$304,0))),"")</f>
        <v/>
      </c>
      <c r="F133" s="147" t="str">
        <f>IFERROR(IF(INDEX('Portfolio Register'!$J$5:$J$304,MATCH($B133,'Portfolio Register'!$DH$5:$DH$304,0))="","",INDEX('Portfolio Register'!$J$5:$J$304,MATCH($B133,'Portfolio Register'!$DH$5:$DH$304,0))),"")</f>
        <v/>
      </c>
      <c r="G133" s="146" t="str">
        <f>IFERROR(IF(INDEX('Portfolio Register'!$CX$5:$CX$304,MATCH($B133,'Portfolio Register'!$DH$5:$DH$304,0))="","",INDEX('Portfolio Register'!$CX$5:$CX$304,MATCH($B133,'Portfolio Register'!$DH$5:$DH$304,0))),"")</f>
        <v/>
      </c>
      <c r="H133" s="148" t="str">
        <f>IFERROR(IF(INDEX('Portfolio Register'!$CY$5:$CY$304,MATCH($B133,'Portfolio Register'!$DH$5:$DH$304,0))="","",INDEX('Portfolio Register'!$CY$5:$CY$304,MATCH($B133,'Portfolio Register'!$DH$5:$DH$304,0))),"")</f>
        <v/>
      </c>
      <c r="I133" s="146" t="str">
        <f>IFERROR(IF(INDEX('Portfolio Register'!$CZ$5:$CZ$304,MATCH($B133,'Portfolio Register'!$DH$5:$DH$304,0))="","",INDEX('Portfolio Register'!$CZ$5:$CZ$304,MATCH($B133,'Portfolio Register'!$DH$5:$DH$304,0))),"")</f>
        <v/>
      </c>
      <c r="J133" s="146" t="str">
        <f>IFERROR(IF(INDEX('Portfolio Register'!$DA$5:$DA$304,MATCH($B133,'Portfolio Register'!$DH$5:$DH$304,0))="","",INDEX('Portfolio Register'!$DA$5:$DA$304,MATCH($B133,'Portfolio Register'!$DH$5:$DH$304,0))),"")</f>
        <v/>
      </c>
      <c r="K133" s="146" t="str">
        <f>IFERROR(IF(INDEX('Portfolio Register'!$DB$5:$DB$304,MATCH($B133,'Portfolio Register'!$DH$5:$DH$304,0))="","",INDEX('Portfolio Register'!$DB$5:$DB$304,MATCH($B133,'Portfolio Register'!$DH$5:$DH$304,0))),"")</f>
        <v/>
      </c>
      <c r="L133" s="146" t="str">
        <f>IFERROR(IF(INDEX('Portfolio Register'!$DC$5:$DC$304,MATCH($B133,'Portfolio Register'!$DH$5:$DH$304,0))="","",INDEX('Portfolio Register'!$DC$5:$DC$304,MATCH($B133,'Portfolio Register'!$DH$5:$DH$304,0))),"")</f>
        <v/>
      </c>
      <c r="M133" s="149" t="str">
        <f>IFERROR(IF(INDEX('Portfolio Register'!$DD$5:$DD$304,MATCH($B133,'Portfolio Register'!$DH$5:$DH$304,0))="","",INDEX('Portfolio Register'!$DD$5:$DD$304,MATCH($B133,'Portfolio Register'!$DH$5:$DH$304,0))),"")</f>
        <v/>
      </c>
      <c r="N133" s="150" t="str">
        <f ca="1">IF($C133="","",IF($M133&lt;&gt;"",$M133-IFERROR(INDEX('Portfolio Register'!$C$5:$C$304,MATCH($B133,'Portfolio Register'!$DH$5:$DH$304,0)),$M133),TODAY()-IFERROR(INDEX('Portfolio Register'!$C$5:$C$304,MATCH($B133,'Portfolio Register'!$DH$5:$DH$304,0)),TODAY())))</f>
        <v/>
      </c>
      <c r="O133" s="151" t="str">
        <f t="shared" si="3"/>
        <v/>
      </c>
      <c r="P133" s="146" t="str">
        <f>IFERROR(IF(INDEX('Portfolio Register'!$DG$5:$DG$304,MATCH($B133,'Portfolio Register'!$DH$5:$DH$304,0))="","",INDEX('Portfolio Register'!$DG$5:$DG$304,MATCH($B133,'Portfolio Register'!$DH$5:$DH$304,0))),"")</f>
        <v/>
      </c>
      <c r="Q133" s="146" t="str">
        <f>IFERROR(IF(INDEX('Portfolio Register'!$DF$5:$DF$304,MATCH($B133,'Portfolio Register'!$DH$5:$DH$304,0))="","",INDEX('Portfolio Register'!$DF$5:$DF$304,MATCH($B133,'Portfolio Register'!$DH$5:$DH$304,0))),"")</f>
        <v/>
      </c>
    </row>
    <row r="134" spans="2:17" x14ac:dyDescent="0.25">
      <c r="B134" s="56">
        <v>107</v>
      </c>
      <c r="C134" s="140" t="str">
        <f>IFERROR(IF(INDEX('Portfolio Register'!$A$5:$A$304,MATCH($B134,'Portfolio Register'!$DH$5:$DH$304,0))="","",INDEX('Portfolio Register'!$A$5:$A$304,MATCH($B134,'Portfolio Register'!$DH$5:$DH$304,0))),"")</f>
        <v/>
      </c>
      <c r="D134" s="140" t="str">
        <f>IFERROR(IF(INDEX('Portfolio Register'!$B$5:$B$304,MATCH($B134,'Portfolio Register'!$DH$5:$DH$304,0))="","",INDEX('Portfolio Register'!$B$5:$B$304,MATCH($B134,'Portfolio Register'!$DH$5:$DH$304,0))),"")</f>
        <v/>
      </c>
      <c r="E134" s="140" t="str">
        <f>IFERROR(IF(INDEX('Portfolio Register'!$I$5:$I$304,MATCH($B134,'Portfolio Register'!$DH$5:$DH$304,0))="","",INDEX('Portfolio Register'!$I$5:$I$304,MATCH($B134,'Portfolio Register'!$DH$5:$DH$304,0))),"")</f>
        <v/>
      </c>
      <c r="F134" s="141" t="str">
        <f>IFERROR(IF(INDEX('Portfolio Register'!$J$5:$J$304,MATCH($B134,'Portfolio Register'!$DH$5:$DH$304,0))="","",INDEX('Portfolio Register'!$J$5:$J$304,MATCH($B134,'Portfolio Register'!$DH$5:$DH$304,0))),"")</f>
        <v/>
      </c>
      <c r="G134" s="140" t="str">
        <f>IFERROR(IF(INDEX('Portfolio Register'!$CX$5:$CX$304,MATCH($B134,'Portfolio Register'!$DH$5:$DH$304,0))="","",INDEX('Portfolio Register'!$CX$5:$CX$304,MATCH($B134,'Portfolio Register'!$DH$5:$DH$304,0))),"")</f>
        <v/>
      </c>
      <c r="H134" s="142" t="str">
        <f>IFERROR(IF(INDEX('Portfolio Register'!$CY$5:$CY$304,MATCH($B134,'Portfolio Register'!$DH$5:$DH$304,0))="","",INDEX('Portfolio Register'!$CY$5:$CY$304,MATCH($B134,'Portfolio Register'!$DH$5:$DH$304,0))),"")</f>
        <v/>
      </c>
      <c r="I134" s="140" t="str">
        <f>IFERROR(IF(INDEX('Portfolio Register'!$CZ$5:$CZ$304,MATCH($B134,'Portfolio Register'!$DH$5:$DH$304,0))="","",INDEX('Portfolio Register'!$CZ$5:$CZ$304,MATCH($B134,'Portfolio Register'!$DH$5:$DH$304,0))),"")</f>
        <v/>
      </c>
      <c r="J134" s="140" t="str">
        <f>IFERROR(IF(INDEX('Portfolio Register'!$DA$5:$DA$304,MATCH($B134,'Portfolio Register'!$DH$5:$DH$304,0))="","",INDEX('Portfolio Register'!$DA$5:$DA$304,MATCH($B134,'Portfolio Register'!$DH$5:$DH$304,0))),"")</f>
        <v/>
      </c>
      <c r="K134" s="140" t="str">
        <f>IFERROR(IF(INDEX('Portfolio Register'!$DB$5:$DB$304,MATCH($B134,'Portfolio Register'!$DH$5:$DH$304,0))="","",INDEX('Portfolio Register'!$DB$5:$DB$304,MATCH($B134,'Portfolio Register'!$DH$5:$DH$304,0))),"")</f>
        <v/>
      </c>
      <c r="L134" s="140" t="str">
        <f>IFERROR(IF(INDEX('Portfolio Register'!$DC$5:$DC$304,MATCH($B134,'Portfolio Register'!$DH$5:$DH$304,0))="","",INDEX('Portfolio Register'!$DC$5:$DC$304,MATCH($B134,'Portfolio Register'!$DH$5:$DH$304,0))),"")</f>
        <v/>
      </c>
      <c r="M134" s="143" t="str">
        <f>IFERROR(IF(INDEX('Portfolio Register'!$DD$5:$DD$304,MATCH($B134,'Portfolio Register'!$DH$5:$DH$304,0))="","",INDEX('Portfolio Register'!$DD$5:$DD$304,MATCH($B134,'Portfolio Register'!$DH$5:$DH$304,0))),"")</f>
        <v/>
      </c>
      <c r="N134" s="144" t="str">
        <f ca="1">IF($C134="","",IF($M134&lt;&gt;"",$M134-IFERROR(INDEX('Portfolio Register'!$C$5:$C$304,MATCH($B134,'Portfolio Register'!$DH$5:$DH$304,0)),$M134),TODAY()-IFERROR(INDEX('Portfolio Register'!$C$5:$C$304,MATCH($B134,'Portfolio Register'!$DH$5:$DH$304,0)),TODAY())))</f>
        <v/>
      </c>
      <c r="O134" s="145" t="str">
        <f t="shared" si="3"/>
        <v/>
      </c>
      <c r="P134" s="140" t="str">
        <f>IFERROR(IF(INDEX('Portfolio Register'!$DG$5:$DG$304,MATCH($B134,'Portfolio Register'!$DH$5:$DH$304,0))="","",INDEX('Portfolio Register'!$DG$5:$DG$304,MATCH($B134,'Portfolio Register'!$DH$5:$DH$304,0))),"")</f>
        <v/>
      </c>
      <c r="Q134" s="140" t="str">
        <f>IFERROR(IF(INDEX('Portfolio Register'!$DF$5:$DF$304,MATCH($B134,'Portfolio Register'!$DH$5:$DH$304,0))="","",INDEX('Portfolio Register'!$DF$5:$DF$304,MATCH($B134,'Portfolio Register'!$DH$5:$DH$304,0))),"")</f>
        <v/>
      </c>
    </row>
    <row r="135" spans="2:17" x14ac:dyDescent="0.25">
      <c r="B135" s="63">
        <v>108</v>
      </c>
      <c r="C135" s="146" t="str">
        <f>IFERROR(IF(INDEX('Portfolio Register'!$A$5:$A$304,MATCH($B135,'Portfolio Register'!$DH$5:$DH$304,0))="","",INDEX('Portfolio Register'!$A$5:$A$304,MATCH($B135,'Portfolio Register'!$DH$5:$DH$304,0))),"")</f>
        <v/>
      </c>
      <c r="D135" s="146" t="str">
        <f>IFERROR(IF(INDEX('Portfolio Register'!$B$5:$B$304,MATCH($B135,'Portfolio Register'!$DH$5:$DH$304,0))="","",INDEX('Portfolio Register'!$B$5:$B$304,MATCH($B135,'Portfolio Register'!$DH$5:$DH$304,0))),"")</f>
        <v/>
      </c>
      <c r="E135" s="146" t="str">
        <f>IFERROR(IF(INDEX('Portfolio Register'!$I$5:$I$304,MATCH($B135,'Portfolio Register'!$DH$5:$DH$304,0))="","",INDEX('Portfolio Register'!$I$5:$I$304,MATCH($B135,'Portfolio Register'!$DH$5:$DH$304,0))),"")</f>
        <v/>
      </c>
      <c r="F135" s="147" t="str">
        <f>IFERROR(IF(INDEX('Portfolio Register'!$J$5:$J$304,MATCH($B135,'Portfolio Register'!$DH$5:$DH$304,0))="","",INDEX('Portfolio Register'!$J$5:$J$304,MATCH($B135,'Portfolio Register'!$DH$5:$DH$304,0))),"")</f>
        <v/>
      </c>
      <c r="G135" s="146" t="str">
        <f>IFERROR(IF(INDEX('Portfolio Register'!$CX$5:$CX$304,MATCH($B135,'Portfolio Register'!$DH$5:$DH$304,0))="","",INDEX('Portfolio Register'!$CX$5:$CX$304,MATCH($B135,'Portfolio Register'!$DH$5:$DH$304,0))),"")</f>
        <v/>
      </c>
      <c r="H135" s="148" t="str">
        <f>IFERROR(IF(INDEX('Portfolio Register'!$CY$5:$CY$304,MATCH($B135,'Portfolio Register'!$DH$5:$DH$304,0))="","",INDEX('Portfolio Register'!$CY$5:$CY$304,MATCH($B135,'Portfolio Register'!$DH$5:$DH$304,0))),"")</f>
        <v/>
      </c>
      <c r="I135" s="146" t="str">
        <f>IFERROR(IF(INDEX('Portfolio Register'!$CZ$5:$CZ$304,MATCH($B135,'Portfolio Register'!$DH$5:$DH$304,0))="","",INDEX('Portfolio Register'!$CZ$5:$CZ$304,MATCH($B135,'Portfolio Register'!$DH$5:$DH$304,0))),"")</f>
        <v/>
      </c>
      <c r="J135" s="146" t="str">
        <f>IFERROR(IF(INDEX('Portfolio Register'!$DA$5:$DA$304,MATCH($B135,'Portfolio Register'!$DH$5:$DH$304,0))="","",INDEX('Portfolio Register'!$DA$5:$DA$304,MATCH($B135,'Portfolio Register'!$DH$5:$DH$304,0))),"")</f>
        <v/>
      </c>
      <c r="K135" s="146" t="str">
        <f>IFERROR(IF(INDEX('Portfolio Register'!$DB$5:$DB$304,MATCH($B135,'Portfolio Register'!$DH$5:$DH$304,0))="","",INDEX('Portfolio Register'!$DB$5:$DB$304,MATCH($B135,'Portfolio Register'!$DH$5:$DH$304,0))),"")</f>
        <v/>
      </c>
      <c r="L135" s="146" t="str">
        <f>IFERROR(IF(INDEX('Portfolio Register'!$DC$5:$DC$304,MATCH($B135,'Portfolio Register'!$DH$5:$DH$304,0))="","",INDEX('Portfolio Register'!$DC$5:$DC$304,MATCH($B135,'Portfolio Register'!$DH$5:$DH$304,0))),"")</f>
        <v/>
      </c>
      <c r="M135" s="149" t="str">
        <f>IFERROR(IF(INDEX('Portfolio Register'!$DD$5:$DD$304,MATCH($B135,'Portfolio Register'!$DH$5:$DH$304,0))="","",INDEX('Portfolio Register'!$DD$5:$DD$304,MATCH($B135,'Portfolio Register'!$DH$5:$DH$304,0))),"")</f>
        <v/>
      </c>
      <c r="N135" s="150" t="str">
        <f ca="1">IF($C135="","",IF($M135&lt;&gt;"",$M135-IFERROR(INDEX('Portfolio Register'!$C$5:$C$304,MATCH($B135,'Portfolio Register'!$DH$5:$DH$304,0)),$M135),TODAY()-IFERROR(INDEX('Portfolio Register'!$C$5:$C$304,MATCH($B135,'Portfolio Register'!$DH$5:$DH$304,0)),TODAY())))</f>
        <v/>
      </c>
      <c r="O135" s="151" t="str">
        <f t="shared" si="3"/>
        <v/>
      </c>
      <c r="P135" s="146" t="str">
        <f>IFERROR(IF(INDEX('Portfolio Register'!$DG$5:$DG$304,MATCH($B135,'Portfolio Register'!$DH$5:$DH$304,0))="","",INDEX('Portfolio Register'!$DG$5:$DG$304,MATCH($B135,'Portfolio Register'!$DH$5:$DH$304,0))),"")</f>
        <v/>
      </c>
      <c r="Q135" s="146" t="str">
        <f>IFERROR(IF(INDEX('Portfolio Register'!$DF$5:$DF$304,MATCH($B135,'Portfolio Register'!$DH$5:$DH$304,0))="","",INDEX('Portfolio Register'!$DF$5:$DF$304,MATCH($B135,'Portfolio Register'!$DH$5:$DH$304,0))),"")</f>
        <v/>
      </c>
    </row>
    <row r="136" spans="2:17" x14ac:dyDescent="0.25">
      <c r="B136" s="56">
        <v>109</v>
      </c>
      <c r="C136" s="140" t="str">
        <f>IFERROR(IF(INDEX('Portfolio Register'!$A$5:$A$304,MATCH($B136,'Portfolio Register'!$DH$5:$DH$304,0))="","",INDEX('Portfolio Register'!$A$5:$A$304,MATCH($B136,'Portfolio Register'!$DH$5:$DH$304,0))),"")</f>
        <v/>
      </c>
      <c r="D136" s="140" t="str">
        <f>IFERROR(IF(INDEX('Portfolio Register'!$B$5:$B$304,MATCH($B136,'Portfolio Register'!$DH$5:$DH$304,0))="","",INDEX('Portfolio Register'!$B$5:$B$304,MATCH($B136,'Portfolio Register'!$DH$5:$DH$304,0))),"")</f>
        <v/>
      </c>
      <c r="E136" s="140" t="str">
        <f>IFERROR(IF(INDEX('Portfolio Register'!$I$5:$I$304,MATCH($B136,'Portfolio Register'!$DH$5:$DH$304,0))="","",INDEX('Portfolio Register'!$I$5:$I$304,MATCH($B136,'Portfolio Register'!$DH$5:$DH$304,0))),"")</f>
        <v/>
      </c>
      <c r="F136" s="141" t="str">
        <f>IFERROR(IF(INDEX('Portfolio Register'!$J$5:$J$304,MATCH($B136,'Portfolio Register'!$DH$5:$DH$304,0))="","",INDEX('Portfolio Register'!$J$5:$J$304,MATCH($B136,'Portfolio Register'!$DH$5:$DH$304,0))),"")</f>
        <v/>
      </c>
      <c r="G136" s="140" t="str">
        <f>IFERROR(IF(INDEX('Portfolio Register'!$CX$5:$CX$304,MATCH($B136,'Portfolio Register'!$DH$5:$DH$304,0))="","",INDEX('Portfolio Register'!$CX$5:$CX$304,MATCH($B136,'Portfolio Register'!$DH$5:$DH$304,0))),"")</f>
        <v/>
      </c>
      <c r="H136" s="142" t="str">
        <f>IFERROR(IF(INDEX('Portfolio Register'!$CY$5:$CY$304,MATCH($B136,'Portfolio Register'!$DH$5:$DH$304,0))="","",INDEX('Portfolio Register'!$CY$5:$CY$304,MATCH($B136,'Portfolio Register'!$DH$5:$DH$304,0))),"")</f>
        <v/>
      </c>
      <c r="I136" s="140" t="str">
        <f>IFERROR(IF(INDEX('Portfolio Register'!$CZ$5:$CZ$304,MATCH($B136,'Portfolio Register'!$DH$5:$DH$304,0))="","",INDEX('Portfolio Register'!$CZ$5:$CZ$304,MATCH($B136,'Portfolio Register'!$DH$5:$DH$304,0))),"")</f>
        <v/>
      </c>
      <c r="J136" s="140" t="str">
        <f>IFERROR(IF(INDEX('Portfolio Register'!$DA$5:$DA$304,MATCH($B136,'Portfolio Register'!$DH$5:$DH$304,0))="","",INDEX('Portfolio Register'!$DA$5:$DA$304,MATCH($B136,'Portfolio Register'!$DH$5:$DH$304,0))),"")</f>
        <v/>
      </c>
      <c r="K136" s="140" t="str">
        <f>IFERROR(IF(INDEX('Portfolio Register'!$DB$5:$DB$304,MATCH($B136,'Portfolio Register'!$DH$5:$DH$304,0))="","",INDEX('Portfolio Register'!$DB$5:$DB$304,MATCH($B136,'Portfolio Register'!$DH$5:$DH$304,0))),"")</f>
        <v/>
      </c>
      <c r="L136" s="140" t="str">
        <f>IFERROR(IF(INDEX('Portfolio Register'!$DC$5:$DC$304,MATCH($B136,'Portfolio Register'!$DH$5:$DH$304,0))="","",INDEX('Portfolio Register'!$DC$5:$DC$304,MATCH($B136,'Portfolio Register'!$DH$5:$DH$304,0))),"")</f>
        <v/>
      </c>
      <c r="M136" s="143" t="str">
        <f>IFERROR(IF(INDEX('Portfolio Register'!$DD$5:$DD$304,MATCH($B136,'Portfolio Register'!$DH$5:$DH$304,0))="","",INDEX('Portfolio Register'!$DD$5:$DD$304,MATCH($B136,'Portfolio Register'!$DH$5:$DH$304,0))),"")</f>
        <v/>
      </c>
      <c r="N136" s="144" t="str">
        <f ca="1">IF($C136="","",IF($M136&lt;&gt;"",$M136-IFERROR(INDEX('Portfolio Register'!$C$5:$C$304,MATCH($B136,'Portfolio Register'!$DH$5:$DH$304,0)),$M136),TODAY()-IFERROR(INDEX('Portfolio Register'!$C$5:$C$304,MATCH($B136,'Portfolio Register'!$DH$5:$DH$304,0)),TODAY())))</f>
        <v/>
      </c>
      <c r="O136" s="145" t="str">
        <f t="shared" si="3"/>
        <v/>
      </c>
      <c r="P136" s="140" t="str">
        <f>IFERROR(IF(INDEX('Portfolio Register'!$DG$5:$DG$304,MATCH($B136,'Portfolio Register'!$DH$5:$DH$304,0))="","",INDEX('Portfolio Register'!$DG$5:$DG$304,MATCH($B136,'Portfolio Register'!$DH$5:$DH$304,0))),"")</f>
        <v/>
      </c>
      <c r="Q136" s="140" t="str">
        <f>IFERROR(IF(INDEX('Portfolio Register'!$DF$5:$DF$304,MATCH($B136,'Portfolio Register'!$DH$5:$DH$304,0))="","",INDEX('Portfolio Register'!$DF$5:$DF$304,MATCH($B136,'Portfolio Register'!$DH$5:$DH$304,0))),"")</f>
        <v/>
      </c>
    </row>
    <row r="137" spans="2:17" x14ac:dyDescent="0.25">
      <c r="B137" s="63">
        <v>110</v>
      </c>
      <c r="C137" s="146" t="str">
        <f>IFERROR(IF(INDEX('Portfolio Register'!$A$5:$A$304,MATCH($B137,'Portfolio Register'!$DH$5:$DH$304,0))="","",INDEX('Portfolio Register'!$A$5:$A$304,MATCH($B137,'Portfolio Register'!$DH$5:$DH$304,0))),"")</f>
        <v/>
      </c>
      <c r="D137" s="146" t="str">
        <f>IFERROR(IF(INDEX('Portfolio Register'!$B$5:$B$304,MATCH($B137,'Portfolio Register'!$DH$5:$DH$304,0))="","",INDEX('Portfolio Register'!$B$5:$B$304,MATCH($B137,'Portfolio Register'!$DH$5:$DH$304,0))),"")</f>
        <v/>
      </c>
      <c r="E137" s="146" t="str">
        <f>IFERROR(IF(INDEX('Portfolio Register'!$I$5:$I$304,MATCH($B137,'Portfolio Register'!$DH$5:$DH$304,0))="","",INDEX('Portfolio Register'!$I$5:$I$304,MATCH($B137,'Portfolio Register'!$DH$5:$DH$304,0))),"")</f>
        <v/>
      </c>
      <c r="F137" s="147" t="str">
        <f>IFERROR(IF(INDEX('Portfolio Register'!$J$5:$J$304,MATCH($B137,'Portfolio Register'!$DH$5:$DH$304,0))="","",INDEX('Portfolio Register'!$J$5:$J$304,MATCH($B137,'Portfolio Register'!$DH$5:$DH$304,0))),"")</f>
        <v/>
      </c>
      <c r="G137" s="146" t="str">
        <f>IFERROR(IF(INDEX('Portfolio Register'!$CX$5:$CX$304,MATCH($B137,'Portfolio Register'!$DH$5:$DH$304,0))="","",INDEX('Portfolio Register'!$CX$5:$CX$304,MATCH($B137,'Portfolio Register'!$DH$5:$DH$304,0))),"")</f>
        <v/>
      </c>
      <c r="H137" s="148" t="str">
        <f>IFERROR(IF(INDEX('Portfolio Register'!$CY$5:$CY$304,MATCH($B137,'Portfolio Register'!$DH$5:$DH$304,0))="","",INDEX('Portfolio Register'!$CY$5:$CY$304,MATCH($B137,'Portfolio Register'!$DH$5:$DH$304,0))),"")</f>
        <v/>
      </c>
      <c r="I137" s="146" t="str">
        <f>IFERROR(IF(INDEX('Portfolio Register'!$CZ$5:$CZ$304,MATCH($B137,'Portfolio Register'!$DH$5:$DH$304,0))="","",INDEX('Portfolio Register'!$CZ$5:$CZ$304,MATCH($B137,'Portfolio Register'!$DH$5:$DH$304,0))),"")</f>
        <v/>
      </c>
      <c r="J137" s="146" t="str">
        <f>IFERROR(IF(INDEX('Portfolio Register'!$DA$5:$DA$304,MATCH($B137,'Portfolio Register'!$DH$5:$DH$304,0))="","",INDEX('Portfolio Register'!$DA$5:$DA$304,MATCH($B137,'Portfolio Register'!$DH$5:$DH$304,0))),"")</f>
        <v/>
      </c>
      <c r="K137" s="146" t="str">
        <f>IFERROR(IF(INDEX('Portfolio Register'!$DB$5:$DB$304,MATCH($B137,'Portfolio Register'!$DH$5:$DH$304,0))="","",INDEX('Portfolio Register'!$DB$5:$DB$304,MATCH($B137,'Portfolio Register'!$DH$5:$DH$304,0))),"")</f>
        <v/>
      </c>
      <c r="L137" s="146" t="str">
        <f>IFERROR(IF(INDEX('Portfolio Register'!$DC$5:$DC$304,MATCH($B137,'Portfolio Register'!$DH$5:$DH$304,0))="","",INDEX('Portfolio Register'!$DC$5:$DC$304,MATCH($B137,'Portfolio Register'!$DH$5:$DH$304,0))),"")</f>
        <v/>
      </c>
      <c r="M137" s="149" t="str">
        <f>IFERROR(IF(INDEX('Portfolio Register'!$DD$5:$DD$304,MATCH($B137,'Portfolio Register'!$DH$5:$DH$304,0))="","",INDEX('Portfolio Register'!$DD$5:$DD$304,MATCH($B137,'Portfolio Register'!$DH$5:$DH$304,0))),"")</f>
        <v/>
      </c>
      <c r="N137" s="150" t="str">
        <f ca="1">IF($C137="","",IF($M137&lt;&gt;"",$M137-IFERROR(INDEX('Portfolio Register'!$C$5:$C$304,MATCH($B137,'Portfolio Register'!$DH$5:$DH$304,0)),$M137),TODAY()-IFERROR(INDEX('Portfolio Register'!$C$5:$C$304,MATCH($B137,'Portfolio Register'!$DH$5:$DH$304,0)),TODAY())))</f>
        <v/>
      </c>
      <c r="O137" s="151" t="str">
        <f t="shared" si="3"/>
        <v/>
      </c>
      <c r="P137" s="146" t="str">
        <f>IFERROR(IF(INDEX('Portfolio Register'!$DG$5:$DG$304,MATCH($B137,'Portfolio Register'!$DH$5:$DH$304,0))="","",INDEX('Portfolio Register'!$DG$5:$DG$304,MATCH($B137,'Portfolio Register'!$DH$5:$DH$304,0))),"")</f>
        <v/>
      </c>
      <c r="Q137" s="146" t="str">
        <f>IFERROR(IF(INDEX('Portfolio Register'!$DF$5:$DF$304,MATCH($B137,'Portfolio Register'!$DH$5:$DH$304,0))="","",INDEX('Portfolio Register'!$DF$5:$DF$304,MATCH($B137,'Portfolio Register'!$DH$5:$DH$304,0))),"")</f>
        <v/>
      </c>
    </row>
    <row r="138" spans="2:17" x14ac:dyDescent="0.25">
      <c r="B138" s="56">
        <v>111</v>
      </c>
      <c r="C138" s="140" t="str">
        <f>IFERROR(IF(INDEX('Portfolio Register'!$A$5:$A$304,MATCH($B138,'Portfolio Register'!$DH$5:$DH$304,0))="","",INDEX('Portfolio Register'!$A$5:$A$304,MATCH($B138,'Portfolio Register'!$DH$5:$DH$304,0))),"")</f>
        <v/>
      </c>
      <c r="D138" s="140" t="str">
        <f>IFERROR(IF(INDEX('Portfolio Register'!$B$5:$B$304,MATCH($B138,'Portfolio Register'!$DH$5:$DH$304,0))="","",INDEX('Portfolio Register'!$B$5:$B$304,MATCH($B138,'Portfolio Register'!$DH$5:$DH$304,0))),"")</f>
        <v/>
      </c>
      <c r="E138" s="140" t="str">
        <f>IFERROR(IF(INDEX('Portfolio Register'!$I$5:$I$304,MATCH($B138,'Portfolio Register'!$DH$5:$DH$304,0))="","",INDEX('Portfolio Register'!$I$5:$I$304,MATCH($B138,'Portfolio Register'!$DH$5:$DH$304,0))),"")</f>
        <v/>
      </c>
      <c r="F138" s="141" t="str">
        <f>IFERROR(IF(INDEX('Portfolio Register'!$J$5:$J$304,MATCH($B138,'Portfolio Register'!$DH$5:$DH$304,0))="","",INDEX('Portfolio Register'!$J$5:$J$304,MATCH($B138,'Portfolio Register'!$DH$5:$DH$304,0))),"")</f>
        <v/>
      </c>
      <c r="G138" s="140" t="str">
        <f>IFERROR(IF(INDEX('Portfolio Register'!$CX$5:$CX$304,MATCH($B138,'Portfolio Register'!$DH$5:$DH$304,0))="","",INDEX('Portfolio Register'!$CX$5:$CX$304,MATCH($B138,'Portfolio Register'!$DH$5:$DH$304,0))),"")</f>
        <v/>
      </c>
      <c r="H138" s="142" t="str">
        <f>IFERROR(IF(INDEX('Portfolio Register'!$CY$5:$CY$304,MATCH($B138,'Portfolio Register'!$DH$5:$DH$304,0))="","",INDEX('Portfolio Register'!$CY$5:$CY$304,MATCH($B138,'Portfolio Register'!$DH$5:$DH$304,0))),"")</f>
        <v/>
      </c>
      <c r="I138" s="140" t="str">
        <f>IFERROR(IF(INDEX('Portfolio Register'!$CZ$5:$CZ$304,MATCH($B138,'Portfolio Register'!$DH$5:$DH$304,0))="","",INDEX('Portfolio Register'!$CZ$5:$CZ$304,MATCH($B138,'Portfolio Register'!$DH$5:$DH$304,0))),"")</f>
        <v/>
      </c>
      <c r="J138" s="140" t="str">
        <f>IFERROR(IF(INDEX('Portfolio Register'!$DA$5:$DA$304,MATCH($B138,'Portfolio Register'!$DH$5:$DH$304,0))="","",INDEX('Portfolio Register'!$DA$5:$DA$304,MATCH($B138,'Portfolio Register'!$DH$5:$DH$304,0))),"")</f>
        <v/>
      </c>
      <c r="K138" s="140" t="str">
        <f>IFERROR(IF(INDEX('Portfolio Register'!$DB$5:$DB$304,MATCH($B138,'Portfolio Register'!$DH$5:$DH$304,0))="","",INDEX('Portfolio Register'!$DB$5:$DB$304,MATCH($B138,'Portfolio Register'!$DH$5:$DH$304,0))),"")</f>
        <v/>
      </c>
      <c r="L138" s="140" t="str">
        <f>IFERROR(IF(INDEX('Portfolio Register'!$DC$5:$DC$304,MATCH($B138,'Portfolio Register'!$DH$5:$DH$304,0))="","",INDEX('Portfolio Register'!$DC$5:$DC$304,MATCH($B138,'Portfolio Register'!$DH$5:$DH$304,0))),"")</f>
        <v/>
      </c>
      <c r="M138" s="143" t="str">
        <f>IFERROR(IF(INDEX('Portfolio Register'!$DD$5:$DD$304,MATCH($B138,'Portfolio Register'!$DH$5:$DH$304,0))="","",INDEX('Portfolio Register'!$DD$5:$DD$304,MATCH($B138,'Portfolio Register'!$DH$5:$DH$304,0))),"")</f>
        <v/>
      </c>
      <c r="N138" s="144" t="str">
        <f ca="1">IF($C138="","",IF($M138&lt;&gt;"",$M138-IFERROR(INDEX('Portfolio Register'!$C$5:$C$304,MATCH($B138,'Portfolio Register'!$DH$5:$DH$304,0)),$M138),TODAY()-IFERROR(INDEX('Portfolio Register'!$C$5:$C$304,MATCH($B138,'Portfolio Register'!$DH$5:$DH$304,0)),TODAY())))</f>
        <v/>
      </c>
      <c r="O138" s="145" t="str">
        <f t="shared" si="3"/>
        <v/>
      </c>
      <c r="P138" s="140" t="str">
        <f>IFERROR(IF(INDEX('Portfolio Register'!$DG$5:$DG$304,MATCH($B138,'Portfolio Register'!$DH$5:$DH$304,0))="","",INDEX('Portfolio Register'!$DG$5:$DG$304,MATCH($B138,'Portfolio Register'!$DH$5:$DH$304,0))),"")</f>
        <v/>
      </c>
      <c r="Q138" s="140" t="str">
        <f>IFERROR(IF(INDEX('Portfolio Register'!$DF$5:$DF$304,MATCH($B138,'Portfolio Register'!$DH$5:$DH$304,0))="","",INDEX('Portfolio Register'!$DF$5:$DF$304,MATCH($B138,'Portfolio Register'!$DH$5:$DH$304,0))),"")</f>
        <v/>
      </c>
    </row>
    <row r="139" spans="2:17" x14ac:dyDescent="0.25">
      <c r="B139" s="63">
        <v>112</v>
      </c>
      <c r="C139" s="146" t="str">
        <f>IFERROR(IF(INDEX('Portfolio Register'!$A$5:$A$304,MATCH($B139,'Portfolio Register'!$DH$5:$DH$304,0))="","",INDEX('Portfolio Register'!$A$5:$A$304,MATCH($B139,'Portfolio Register'!$DH$5:$DH$304,0))),"")</f>
        <v/>
      </c>
      <c r="D139" s="146" t="str">
        <f>IFERROR(IF(INDEX('Portfolio Register'!$B$5:$B$304,MATCH($B139,'Portfolio Register'!$DH$5:$DH$304,0))="","",INDEX('Portfolio Register'!$B$5:$B$304,MATCH($B139,'Portfolio Register'!$DH$5:$DH$304,0))),"")</f>
        <v/>
      </c>
      <c r="E139" s="146" t="str">
        <f>IFERROR(IF(INDEX('Portfolio Register'!$I$5:$I$304,MATCH($B139,'Portfolio Register'!$DH$5:$DH$304,0))="","",INDEX('Portfolio Register'!$I$5:$I$304,MATCH($B139,'Portfolio Register'!$DH$5:$DH$304,0))),"")</f>
        <v/>
      </c>
      <c r="F139" s="147" t="str">
        <f>IFERROR(IF(INDEX('Portfolio Register'!$J$5:$J$304,MATCH($B139,'Portfolio Register'!$DH$5:$DH$304,0))="","",INDEX('Portfolio Register'!$J$5:$J$304,MATCH($B139,'Portfolio Register'!$DH$5:$DH$304,0))),"")</f>
        <v/>
      </c>
      <c r="G139" s="146" t="str">
        <f>IFERROR(IF(INDEX('Portfolio Register'!$CX$5:$CX$304,MATCH($B139,'Portfolio Register'!$DH$5:$DH$304,0))="","",INDEX('Portfolio Register'!$CX$5:$CX$304,MATCH($B139,'Portfolio Register'!$DH$5:$DH$304,0))),"")</f>
        <v/>
      </c>
      <c r="H139" s="148" t="str">
        <f>IFERROR(IF(INDEX('Portfolio Register'!$CY$5:$CY$304,MATCH($B139,'Portfolio Register'!$DH$5:$DH$304,0))="","",INDEX('Portfolio Register'!$CY$5:$CY$304,MATCH($B139,'Portfolio Register'!$DH$5:$DH$304,0))),"")</f>
        <v/>
      </c>
      <c r="I139" s="146" t="str">
        <f>IFERROR(IF(INDEX('Portfolio Register'!$CZ$5:$CZ$304,MATCH($B139,'Portfolio Register'!$DH$5:$DH$304,0))="","",INDEX('Portfolio Register'!$CZ$5:$CZ$304,MATCH($B139,'Portfolio Register'!$DH$5:$DH$304,0))),"")</f>
        <v/>
      </c>
      <c r="J139" s="146" t="str">
        <f>IFERROR(IF(INDEX('Portfolio Register'!$DA$5:$DA$304,MATCH($B139,'Portfolio Register'!$DH$5:$DH$304,0))="","",INDEX('Portfolio Register'!$DA$5:$DA$304,MATCH($B139,'Portfolio Register'!$DH$5:$DH$304,0))),"")</f>
        <v/>
      </c>
      <c r="K139" s="146" t="str">
        <f>IFERROR(IF(INDEX('Portfolio Register'!$DB$5:$DB$304,MATCH($B139,'Portfolio Register'!$DH$5:$DH$304,0))="","",INDEX('Portfolio Register'!$DB$5:$DB$304,MATCH($B139,'Portfolio Register'!$DH$5:$DH$304,0))),"")</f>
        <v/>
      </c>
      <c r="L139" s="146" t="str">
        <f>IFERROR(IF(INDEX('Portfolio Register'!$DC$5:$DC$304,MATCH($B139,'Portfolio Register'!$DH$5:$DH$304,0))="","",INDEX('Portfolio Register'!$DC$5:$DC$304,MATCH($B139,'Portfolio Register'!$DH$5:$DH$304,0))),"")</f>
        <v/>
      </c>
      <c r="M139" s="149" t="str">
        <f>IFERROR(IF(INDEX('Portfolio Register'!$DD$5:$DD$304,MATCH($B139,'Portfolio Register'!$DH$5:$DH$304,0))="","",INDEX('Portfolio Register'!$DD$5:$DD$304,MATCH($B139,'Portfolio Register'!$DH$5:$DH$304,0))),"")</f>
        <v/>
      </c>
      <c r="N139" s="150" t="str">
        <f ca="1">IF($C139="","",IF($M139&lt;&gt;"",$M139-IFERROR(INDEX('Portfolio Register'!$C$5:$C$304,MATCH($B139,'Portfolio Register'!$DH$5:$DH$304,0)),$M139),TODAY()-IFERROR(INDEX('Portfolio Register'!$C$5:$C$304,MATCH($B139,'Portfolio Register'!$DH$5:$DH$304,0)),TODAY())))</f>
        <v/>
      </c>
      <c r="O139" s="151" t="str">
        <f t="shared" si="3"/>
        <v/>
      </c>
      <c r="P139" s="146" t="str">
        <f>IFERROR(IF(INDEX('Portfolio Register'!$DG$5:$DG$304,MATCH($B139,'Portfolio Register'!$DH$5:$DH$304,0))="","",INDEX('Portfolio Register'!$DG$5:$DG$304,MATCH($B139,'Portfolio Register'!$DH$5:$DH$304,0))),"")</f>
        <v/>
      </c>
      <c r="Q139" s="146" t="str">
        <f>IFERROR(IF(INDEX('Portfolio Register'!$DF$5:$DF$304,MATCH($B139,'Portfolio Register'!$DH$5:$DH$304,0))="","",INDEX('Portfolio Register'!$DF$5:$DF$304,MATCH($B139,'Portfolio Register'!$DH$5:$DH$304,0))),"")</f>
        <v/>
      </c>
    </row>
    <row r="140" spans="2:17" x14ac:dyDescent="0.25">
      <c r="B140" s="56">
        <v>113</v>
      </c>
      <c r="C140" s="140" t="str">
        <f>IFERROR(IF(INDEX('Portfolio Register'!$A$5:$A$304,MATCH($B140,'Portfolio Register'!$DH$5:$DH$304,0))="","",INDEX('Portfolio Register'!$A$5:$A$304,MATCH($B140,'Portfolio Register'!$DH$5:$DH$304,0))),"")</f>
        <v/>
      </c>
      <c r="D140" s="140" t="str">
        <f>IFERROR(IF(INDEX('Portfolio Register'!$B$5:$B$304,MATCH($B140,'Portfolio Register'!$DH$5:$DH$304,0))="","",INDEX('Portfolio Register'!$B$5:$B$304,MATCH($B140,'Portfolio Register'!$DH$5:$DH$304,0))),"")</f>
        <v/>
      </c>
      <c r="E140" s="140" t="str">
        <f>IFERROR(IF(INDEX('Portfolio Register'!$I$5:$I$304,MATCH($B140,'Portfolio Register'!$DH$5:$DH$304,0))="","",INDEX('Portfolio Register'!$I$5:$I$304,MATCH($B140,'Portfolio Register'!$DH$5:$DH$304,0))),"")</f>
        <v/>
      </c>
      <c r="F140" s="141" t="str">
        <f>IFERROR(IF(INDEX('Portfolio Register'!$J$5:$J$304,MATCH($B140,'Portfolio Register'!$DH$5:$DH$304,0))="","",INDEX('Portfolio Register'!$J$5:$J$304,MATCH($B140,'Portfolio Register'!$DH$5:$DH$304,0))),"")</f>
        <v/>
      </c>
      <c r="G140" s="140" t="str">
        <f>IFERROR(IF(INDEX('Portfolio Register'!$CX$5:$CX$304,MATCH($B140,'Portfolio Register'!$DH$5:$DH$304,0))="","",INDEX('Portfolio Register'!$CX$5:$CX$304,MATCH($B140,'Portfolio Register'!$DH$5:$DH$304,0))),"")</f>
        <v/>
      </c>
      <c r="H140" s="142" t="str">
        <f>IFERROR(IF(INDEX('Portfolio Register'!$CY$5:$CY$304,MATCH($B140,'Portfolio Register'!$DH$5:$DH$304,0))="","",INDEX('Portfolio Register'!$CY$5:$CY$304,MATCH($B140,'Portfolio Register'!$DH$5:$DH$304,0))),"")</f>
        <v/>
      </c>
      <c r="I140" s="140" t="str">
        <f>IFERROR(IF(INDEX('Portfolio Register'!$CZ$5:$CZ$304,MATCH($B140,'Portfolio Register'!$DH$5:$DH$304,0))="","",INDEX('Portfolio Register'!$CZ$5:$CZ$304,MATCH($B140,'Portfolio Register'!$DH$5:$DH$304,0))),"")</f>
        <v/>
      </c>
      <c r="J140" s="140" t="str">
        <f>IFERROR(IF(INDEX('Portfolio Register'!$DA$5:$DA$304,MATCH($B140,'Portfolio Register'!$DH$5:$DH$304,0))="","",INDEX('Portfolio Register'!$DA$5:$DA$304,MATCH($B140,'Portfolio Register'!$DH$5:$DH$304,0))),"")</f>
        <v/>
      </c>
      <c r="K140" s="140" t="str">
        <f>IFERROR(IF(INDEX('Portfolio Register'!$DB$5:$DB$304,MATCH($B140,'Portfolio Register'!$DH$5:$DH$304,0))="","",INDEX('Portfolio Register'!$DB$5:$DB$304,MATCH($B140,'Portfolio Register'!$DH$5:$DH$304,0))),"")</f>
        <v/>
      </c>
      <c r="L140" s="140" t="str">
        <f>IFERROR(IF(INDEX('Portfolio Register'!$DC$5:$DC$304,MATCH($B140,'Portfolio Register'!$DH$5:$DH$304,0))="","",INDEX('Portfolio Register'!$DC$5:$DC$304,MATCH($B140,'Portfolio Register'!$DH$5:$DH$304,0))),"")</f>
        <v/>
      </c>
      <c r="M140" s="143" t="str">
        <f>IFERROR(IF(INDEX('Portfolio Register'!$DD$5:$DD$304,MATCH($B140,'Portfolio Register'!$DH$5:$DH$304,0))="","",INDEX('Portfolio Register'!$DD$5:$DD$304,MATCH($B140,'Portfolio Register'!$DH$5:$DH$304,0))),"")</f>
        <v/>
      </c>
      <c r="N140" s="144" t="str">
        <f ca="1">IF($C140="","",IF($M140&lt;&gt;"",$M140-IFERROR(INDEX('Portfolio Register'!$C$5:$C$304,MATCH($B140,'Portfolio Register'!$DH$5:$DH$304,0)),$M140),TODAY()-IFERROR(INDEX('Portfolio Register'!$C$5:$C$304,MATCH($B140,'Portfolio Register'!$DH$5:$DH$304,0)),TODAY())))</f>
        <v/>
      </c>
      <c r="O140" s="145" t="str">
        <f t="shared" si="3"/>
        <v/>
      </c>
      <c r="P140" s="140" t="str">
        <f>IFERROR(IF(INDEX('Portfolio Register'!$DG$5:$DG$304,MATCH($B140,'Portfolio Register'!$DH$5:$DH$304,0))="","",INDEX('Portfolio Register'!$DG$5:$DG$304,MATCH($B140,'Portfolio Register'!$DH$5:$DH$304,0))),"")</f>
        <v/>
      </c>
      <c r="Q140" s="140" t="str">
        <f>IFERROR(IF(INDEX('Portfolio Register'!$DF$5:$DF$304,MATCH($B140,'Portfolio Register'!$DH$5:$DH$304,0))="","",INDEX('Portfolio Register'!$DF$5:$DF$304,MATCH($B140,'Portfolio Register'!$DH$5:$DH$304,0))),"")</f>
        <v/>
      </c>
    </row>
    <row r="141" spans="2:17" x14ac:dyDescent="0.25">
      <c r="B141" s="63">
        <v>114</v>
      </c>
      <c r="C141" s="146" t="str">
        <f>IFERROR(IF(INDEX('Portfolio Register'!$A$5:$A$304,MATCH($B141,'Portfolio Register'!$DH$5:$DH$304,0))="","",INDEX('Portfolio Register'!$A$5:$A$304,MATCH($B141,'Portfolio Register'!$DH$5:$DH$304,0))),"")</f>
        <v/>
      </c>
      <c r="D141" s="146" t="str">
        <f>IFERROR(IF(INDEX('Portfolio Register'!$B$5:$B$304,MATCH($B141,'Portfolio Register'!$DH$5:$DH$304,0))="","",INDEX('Portfolio Register'!$B$5:$B$304,MATCH($B141,'Portfolio Register'!$DH$5:$DH$304,0))),"")</f>
        <v/>
      </c>
      <c r="E141" s="146" t="str">
        <f>IFERROR(IF(INDEX('Portfolio Register'!$I$5:$I$304,MATCH($B141,'Portfolio Register'!$DH$5:$DH$304,0))="","",INDEX('Portfolio Register'!$I$5:$I$304,MATCH($B141,'Portfolio Register'!$DH$5:$DH$304,0))),"")</f>
        <v/>
      </c>
      <c r="F141" s="147" t="str">
        <f>IFERROR(IF(INDEX('Portfolio Register'!$J$5:$J$304,MATCH($B141,'Portfolio Register'!$DH$5:$DH$304,0))="","",INDEX('Portfolio Register'!$J$5:$J$304,MATCH($B141,'Portfolio Register'!$DH$5:$DH$304,0))),"")</f>
        <v/>
      </c>
      <c r="G141" s="146" t="str">
        <f>IFERROR(IF(INDEX('Portfolio Register'!$CX$5:$CX$304,MATCH($B141,'Portfolio Register'!$DH$5:$DH$304,0))="","",INDEX('Portfolio Register'!$CX$5:$CX$304,MATCH($B141,'Portfolio Register'!$DH$5:$DH$304,0))),"")</f>
        <v/>
      </c>
      <c r="H141" s="148" t="str">
        <f>IFERROR(IF(INDEX('Portfolio Register'!$CY$5:$CY$304,MATCH($B141,'Portfolio Register'!$DH$5:$DH$304,0))="","",INDEX('Portfolio Register'!$CY$5:$CY$304,MATCH($B141,'Portfolio Register'!$DH$5:$DH$304,0))),"")</f>
        <v/>
      </c>
      <c r="I141" s="146" t="str">
        <f>IFERROR(IF(INDEX('Portfolio Register'!$CZ$5:$CZ$304,MATCH($B141,'Portfolio Register'!$DH$5:$DH$304,0))="","",INDEX('Portfolio Register'!$CZ$5:$CZ$304,MATCH($B141,'Portfolio Register'!$DH$5:$DH$304,0))),"")</f>
        <v/>
      </c>
      <c r="J141" s="146" t="str">
        <f>IFERROR(IF(INDEX('Portfolio Register'!$DA$5:$DA$304,MATCH($B141,'Portfolio Register'!$DH$5:$DH$304,0))="","",INDEX('Portfolio Register'!$DA$5:$DA$304,MATCH($B141,'Portfolio Register'!$DH$5:$DH$304,0))),"")</f>
        <v/>
      </c>
      <c r="K141" s="146" t="str">
        <f>IFERROR(IF(INDEX('Portfolio Register'!$DB$5:$DB$304,MATCH($B141,'Portfolio Register'!$DH$5:$DH$304,0))="","",INDEX('Portfolio Register'!$DB$5:$DB$304,MATCH($B141,'Portfolio Register'!$DH$5:$DH$304,0))),"")</f>
        <v/>
      </c>
      <c r="L141" s="146" t="str">
        <f>IFERROR(IF(INDEX('Portfolio Register'!$DC$5:$DC$304,MATCH($B141,'Portfolio Register'!$DH$5:$DH$304,0))="","",INDEX('Portfolio Register'!$DC$5:$DC$304,MATCH($B141,'Portfolio Register'!$DH$5:$DH$304,0))),"")</f>
        <v/>
      </c>
      <c r="M141" s="149" t="str">
        <f>IFERROR(IF(INDEX('Portfolio Register'!$DD$5:$DD$304,MATCH($B141,'Portfolio Register'!$DH$5:$DH$304,0))="","",INDEX('Portfolio Register'!$DD$5:$DD$304,MATCH($B141,'Portfolio Register'!$DH$5:$DH$304,0))),"")</f>
        <v/>
      </c>
      <c r="N141" s="150" t="str">
        <f ca="1">IF($C141="","",IF($M141&lt;&gt;"",$M141-IFERROR(INDEX('Portfolio Register'!$C$5:$C$304,MATCH($B141,'Portfolio Register'!$DH$5:$DH$304,0)),$M141),TODAY()-IFERROR(INDEX('Portfolio Register'!$C$5:$C$304,MATCH($B141,'Portfolio Register'!$DH$5:$DH$304,0)),TODAY())))</f>
        <v/>
      </c>
      <c r="O141" s="151" t="str">
        <f t="shared" si="3"/>
        <v/>
      </c>
      <c r="P141" s="146" t="str">
        <f>IFERROR(IF(INDEX('Portfolio Register'!$DG$5:$DG$304,MATCH($B141,'Portfolio Register'!$DH$5:$DH$304,0))="","",INDEX('Portfolio Register'!$DG$5:$DG$304,MATCH($B141,'Portfolio Register'!$DH$5:$DH$304,0))),"")</f>
        <v/>
      </c>
      <c r="Q141" s="146" t="str">
        <f>IFERROR(IF(INDEX('Portfolio Register'!$DF$5:$DF$304,MATCH($B141,'Portfolio Register'!$DH$5:$DH$304,0))="","",INDEX('Portfolio Register'!$DF$5:$DF$304,MATCH($B141,'Portfolio Register'!$DH$5:$DH$304,0))),"")</f>
        <v/>
      </c>
    </row>
    <row r="142" spans="2:17" x14ac:dyDescent="0.25">
      <c r="B142" s="56">
        <v>115</v>
      </c>
      <c r="C142" s="140" t="str">
        <f>IFERROR(IF(INDEX('Portfolio Register'!$A$5:$A$304,MATCH($B142,'Portfolio Register'!$DH$5:$DH$304,0))="","",INDEX('Portfolio Register'!$A$5:$A$304,MATCH($B142,'Portfolio Register'!$DH$5:$DH$304,0))),"")</f>
        <v/>
      </c>
      <c r="D142" s="140" t="str">
        <f>IFERROR(IF(INDEX('Portfolio Register'!$B$5:$B$304,MATCH($B142,'Portfolio Register'!$DH$5:$DH$304,0))="","",INDEX('Portfolio Register'!$B$5:$B$304,MATCH($B142,'Portfolio Register'!$DH$5:$DH$304,0))),"")</f>
        <v/>
      </c>
      <c r="E142" s="140" t="str">
        <f>IFERROR(IF(INDEX('Portfolio Register'!$I$5:$I$304,MATCH($B142,'Portfolio Register'!$DH$5:$DH$304,0))="","",INDEX('Portfolio Register'!$I$5:$I$304,MATCH($B142,'Portfolio Register'!$DH$5:$DH$304,0))),"")</f>
        <v/>
      </c>
      <c r="F142" s="141" t="str">
        <f>IFERROR(IF(INDEX('Portfolio Register'!$J$5:$J$304,MATCH($B142,'Portfolio Register'!$DH$5:$DH$304,0))="","",INDEX('Portfolio Register'!$J$5:$J$304,MATCH($B142,'Portfolio Register'!$DH$5:$DH$304,0))),"")</f>
        <v/>
      </c>
      <c r="G142" s="140" t="str">
        <f>IFERROR(IF(INDEX('Portfolio Register'!$CX$5:$CX$304,MATCH($B142,'Portfolio Register'!$DH$5:$DH$304,0))="","",INDEX('Portfolio Register'!$CX$5:$CX$304,MATCH($B142,'Portfolio Register'!$DH$5:$DH$304,0))),"")</f>
        <v/>
      </c>
      <c r="H142" s="142" t="str">
        <f>IFERROR(IF(INDEX('Portfolio Register'!$CY$5:$CY$304,MATCH($B142,'Portfolio Register'!$DH$5:$DH$304,0))="","",INDEX('Portfolio Register'!$CY$5:$CY$304,MATCH($B142,'Portfolio Register'!$DH$5:$DH$304,0))),"")</f>
        <v/>
      </c>
      <c r="I142" s="140" t="str">
        <f>IFERROR(IF(INDEX('Portfolio Register'!$CZ$5:$CZ$304,MATCH($B142,'Portfolio Register'!$DH$5:$DH$304,0))="","",INDEX('Portfolio Register'!$CZ$5:$CZ$304,MATCH($B142,'Portfolio Register'!$DH$5:$DH$304,0))),"")</f>
        <v/>
      </c>
      <c r="J142" s="140" t="str">
        <f>IFERROR(IF(INDEX('Portfolio Register'!$DA$5:$DA$304,MATCH($B142,'Portfolio Register'!$DH$5:$DH$304,0))="","",INDEX('Portfolio Register'!$DA$5:$DA$304,MATCH($B142,'Portfolio Register'!$DH$5:$DH$304,0))),"")</f>
        <v/>
      </c>
      <c r="K142" s="140" t="str">
        <f>IFERROR(IF(INDEX('Portfolio Register'!$DB$5:$DB$304,MATCH($B142,'Portfolio Register'!$DH$5:$DH$304,0))="","",INDEX('Portfolio Register'!$DB$5:$DB$304,MATCH($B142,'Portfolio Register'!$DH$5:$DH$304,0))),"")</f>
        <v/>
      </c>
      <c r="L142" s="140" t="str">
        <f>IFERROR(IF(INDEX('Portfolio Register'!$DC$5:$DC$304,MATCH($B142,'Portfolio Register'!$DH$5:$DH$304,0))="","",INDEX('Portfolio Register'!$DC$5:$DC$304,MATCH($B142,'Portfolio Register'!$DH$5:$DH$304,0))),"")</f>
        <v/>
      </c>
      <c r="M142" s="143" t="str">
        <f>IFERROR(IF(INDEX('Portfolio Register'!$DD$5:$DD$304,MATCH($B142,'Portfolio Register'!$DH$5:$DH$304,0))="","",INDEX('Portfolio Register'!$DD$5:$DD$304,MATCH($B142,'Portfolio Register'!$DH$5:$DH$304,0))),"")</f>
        <v/>
      </c>
      <c r="N142" s="144" t="str">
        <f ca="1">IF($C142="","",IF($M142&lt;&gt;"",$M142-IFERROR(INDEX('Portfolio Register'!$C$5:$C$304,MATCH($B142,'Portfolio Register'!$DH$5:$DH$304,0)),$M142),TODAY()-IFERROR(INDEX('Portfolio Register'!$C$5:$C$304,MATCH($B142,'Portfolio Register'!$DH$5:$DH$304,0)),TODAY())))</f>
        <v/>
      </c>
      <c r="O142" s="145" t="str">
        <f t="shared" si="3"/>
        <v/>
      </c>
      <c r="P142" s="140" t="str">
        <f>IFERROR(IF(INDEX('Portfolio Register'!$DG$5:$DG$304,MATCH($B142,'Portfolio Register'!$DH$5:$DH$304,0))="","",INDEX('Portfolio Register'!$DG$5:$DG$304,MATCH($B142,'Portfolio Register'!$DH$5:$DH$304,0))),"")</f>
        <v/>
      </c>
      <c r="Q142" s="140" t="str">
        <f>IFERROR(IF(INDEX('Portfolio Register'!$DF$5:$DF$304,MATCH($B142,'Portfolio Register'!$DH$5:$DH$304,0))="","",INDEX('Portfolio Register'!$DF$5:$DF$304,MATCH($B142,'Portfolio Register'!$DH$5:$DH$304,0))),"")</f>
        <v/>
      </c>
    </row>
    <row r="143" spans="2:17" x14ac:dyDescent="0.25">
      <c r="B143" s="63">
        <v>116</v>
      </c>
      <c r="C143" s="146" t="str">
        <f>IFERROR(IF(INDEX('Portfolio Register'!$A$5:$A$304,MATCH($B143,'Portfolio Register'!$DH$5:$DH$304,0))="","",INDEX('Portfolio Register'!$A$5:$A$304,MATCH($B143,'Portfolio Register'!$DH$5:$DH$304,0))),"")</f>
        <v/>
      </c>
      <c r="D143" s="146" t="str">
        <f>IFERROR(IF(INDEX('Portfolio Register'!$B$5:$B$304,MATCH($B143,'Portfolio Register'!$DH$5:$DH$304,0))="","",INDEX('Portfolio Register'!$B$5:$B$304,MATCH($B143,'Portfolio Register'!$DH$5:$DH$304,0))),"")</f>
        <v/>
      </c>
      <c r="E143" s="146" t="str">
        <f>IFERROR(IF(INDEX('Portfolio Register'!$I$5:$I$304,MATCH($B143,'Portfolio Register'!$DH$5:$DH$304,0))="","",INDEX('Portfolio Register'!$I$5:$I$304,MATCH($B143,'Portfolio Register'!$DH$5:$DH$304,0))),"")</f>
        <v/>
      </c>
      <c r="F143" s="147" t="str">
        <f>IFERROR(IF(INDEX('Portfolio Register'!$J$5:$J$304,MATCH($B143,'Portfolio Register'!$DH$5:$DH$304,0))="","",INDEX('Portfolio Register'!$J$5:$J$304,MATCH($B143,'Portfolio Register'!$DH$5:$DH$304,0))),"")</f>
        <v/>
      </c>
      <c r="G143" s="146" t="str">
        <f>IFERROR(IF(INDEX('Portfolio Register'!$CX$5:$CX$304,MATCH($B143,'Portfolio Register'!$DH$5:$DH$304,0))="","",INDEX('Portfolio Register'!$CX$5:$CX$304,MATCH($B143,'Portfolio Register'!$DH$5:$DH$304,0))),"")</f>
        <v/>
      </c>
      <c r="H143" s="148" t="str">
        <f>IFERROR(IF(INDEX('Portfolio Register'!$CY$5:$CY$304,MATCH($B143,'Portfolio Register'!$DH$5:$DH$304,0))="","",INDEX('Portfolio Register'!$CY$5:$CY$304,MATCH($B143,'Portfolio Register'!$DH$5:$DH$304,0))),"")</f>
        <v/>
      </c>
      <c r="I143" s="146" t="str">
        <f>IFERROR(IF(INDEX('Portfolio Register'!$CZ$5:$CZ$304,MATCH($B143,'Portfolio Register'!$DH$5:$DH$304,0))="","",INDEX('Portfolio Register'!$CZ$5:$CZ$304,MATCH($B143,'Portfolio Register'!$DH$5:$DH$304,0))),"")</f>
        <v/>
      </c>
      <c r="J143" s="146" t="str">
        <f>IFERROR(IF(INDEX('Portfolio Register'!$DA$5:$DA$304,MATCH($B143,'Portfolio Register'!$DH$5:$DH$304,0))="","",INDEX('Portfolio Register'!$DA$5:$DA$304,MATCH($B143,'Portfolio Register'!$DH$5:$DH$304,0))),"")</f>
        <v/>
      </c>
      <c r="K143" s="146" t="str">
        <f>IFERROR(IF(INDEX('Portfolio Register'!$DB$5:$DB$304,MATCH($B143,'Portfolio Register'!$DH$5:$DH$304,0))="","",INDEX('Portfolio Register'!$DB$5:$DB$304,MATCH($B143,'Portfolio Register'!$DH$5:$DH$304,0))),"")</f>
        <v/>
      </c>
      <c r="L143" s="146" t="str">
        <f>IFERROR(IF(INDEX('Portfolio Register'!$DC$5:$DC$304,MATCH($B143,'Portfolio Register'!$DH$5:$DH$304,0))="","",INDEX('Portfolio Register'!$DC$5:$DC$304,MATCH($B143,'Portfolio Register'!$DH$5:$DH$304,0))),"")</f>
        <v/>
      </c>
      <c r="M143" s="149" t="str">
        <f>IFERROR(IF(INDEX('Portfolio Register'!$DD$5:$DD$304,MATCH($B143,'Portfolio Register'!$DH$5:$DH$304,0))="","",INDEX('Portfolio Register'!$DD$5:$DD$304,MATCH($B143,'Portfolio Register'!$DH$5:$DH$304,0))),"")</f>
        <v/>
      </c>
      <c r="N143" s="150" t="str">
        <f ca="1">IF($C143="","",IF($M143&lt;&gt;"",$M143-IFERROR(INDEX('Portfolio Register'!$C$5:$C$304,MATCH($B143,'Portfolio Register'!$DH$5:$DH$304,0)),$M143),TODAY()-IFERROR(INDEX('Portfolio Register'!$C$5:$C$304,MATCH($B143,'Portfolio Register'!$DH$5:$DH$304,0)),TODAY())))</f>
        <v/>
      </c>
      <c r="O143" s="151" t="str">
        <f t="shared" si="3"/>
        <v/>
      </c>
      <c r="P143" s="146" t="str">
        <f>IFERROR(IF(INDEX('Portfolio Register'!$DG$5:$DG$304,MATCH($B143,'Portfolio Register'!$DH$5:$DH$304,0))="","",INDEX('Portfolio Register'!$DG$5:$DG$304,MATCH($B143,'Portfolio Register'!$DH$5:$DH$304,0))),"")</f>
        <v/>
      </c>
      <c r="Q143" s="146" t="str">
        <f>IFERROR(IF(INDEX('Portfolio Register'!$DF$5:$DF$304,MATCH($B143,'Portfolio Register'!$DH$5:$DH$304,0))="","",INDEX('Portfolio Register'!$DF$5:$DF$304,MATCH($B143,'Portfolio Register'!$DH$5:$DH$304,0))),"")</f>
        <v/>
      </c>
    </row>
    <row r="144" spans="2:17" x14ac:dyDescent="0.25">
      <c r="B144" s="56">
        <v>117</v>
      </c>
      <c r="C144" s="140" t="str">
        <f>IFERROR(IF(INDEX('Portfolio Register'!$A$5:$A$304,MATCH($B144,'Portfolio Register'!$DH$5:$DH$304,0))="","",INDEX('Portfolio Register'!$A$5:$A$304,MATCH($B144,'Portfolio Register'!$DH$5:$DH$304,0))),"")</f>
        <v/>
      </c>
      <c r="D144" s="140" t="str">
        <f>IFERROR(IF(INDEX('Portfolio Register'!$B$5:$B$304,MATCH($B144,'Portfolio Register'!$DH$5:$DH$304,0))="","",INDEX('Portfolio Register'!$B$5:$B$304,MATCH($B144,'Portfolio Register'!$DH$5:$DH$304,0))),"")</f>
        <v/>
      </c>
      <c r="E144" s="140" t="str">
        <f>IFERROR(IF(INDEX('Portfolio Register'!$I$5:$I$304,MATCH($B144,'Portfolio Register'!$DH$5:$DH$304,0))="","",INDEX('Portfolio Register'!$I$5:$I$304,MATCH($B144,'Portfolio Register'!$DH$5:$DH$304,0))),"")</f>
        <v/>
      </c>
      <c r="F144" s="141" t="str">
        <f>IFERROR(IF(INDEX('Portfolio Register'!$J$5:$J$304,MATCH($B144,'Portfolio Register'!$DH$5:$DH$304,0))="","",INDEX('Portfolio Register'!$J$5:$J$304,MATCH($B144,'Portfolio Register'!$DH$5:$DH$304,0))),"")</f>
        <v/>
      </c>
      <c r="G144" s="140" t="str">
        <f>IFERROR(IF(INDEX('Portfolio Register'!$CX$5:$CX$304,MATCH($B144,'Portfolio Register'!$DH$5:$DH$304,0))="","",INDEX('Portfolio Register'!$CX$5:$CX$304,MATCH($B144,'Portfolio Register'!$DH$5:$DH$304,0))),"")</f>
        <v/>
      </c>
      <c r="H144" s="142" t="str">
        <f>IFERROR(IF(INDEX('Portfolio Register'!$CY$5:$CY$304,MATCH($B144,'Portfolio Register'!$DH$5:$DH$304,0))="","",INDEX('Portfolio Register'!$CY$5:$CY$304,MATCH($B144,'Portfolio Register'!$DH$5:$DH$304,0))),"")</f>
        <v/>
      </c>
      <c r="I144" s="140" t="str">
        <f>IFERROR(IF(INDEX('Portfolio Register'!$CZ$5:$CZ$304,MATCH($B144,'Portfolio Register'!$DH$5:$DH$304,0))="","",INDEX('Portfolio Register'!$CZ$5:$CZ$304,MATCH($B144,'Portfolio Register'!$DH$5:$DH$304,0))),"")</f>
        <v/>
      </c>
      <c r="J144" s="140" t="str">
        <f>IFERROR(IF(INDEX('Portfolio Register'!$DA$5:$DA$304,MATCH($B144,'Portfolio Register'!$DH$5:$DH$304,0))="","",INDEX('Portfolio Register'!$DA$5:$DA$304,MATCH($B144,'Portfolio Register'!$DH$5:$DH$304,0))),"")</f>
        <v/>
      </c>
      <c r="K144" s="140" t="str">
        <f>IFERROR(IF(INDEX('Portfolio Register'!$DB$5:$DB$304,MATCH($B144,'Portfolio Register'!$DH$5:$DH$304,0))="","",INDEX('Portfolio Register'!$DB$5:$DB$304,MATCH($B144,'Portfolio Register'!$DH$5:$DH$304,0))),"")</f>
        <v/>
      </c>
      <c r="L144" s="140" t="str">
        <f>IFERROR(IF(INDEX('Portfolio Register'!$DC$5:$DC$304,MATCH($B144,'Portfolio Register'!$DH$5:$DH$304,0))="","",INDEX('Portfolio Register'!$DC$5:$DC$304,MATCH($B144,'Portfolio Register'!$DH$5:$DH$304,0))),"")</f>
        <v/>
      </c>
      <c r="M144" s="143" t="str">
        <f>IFERROR(IF(INDEX('Portfolio Register'!$DD$5:$DD$304,MATCH($B144,'Portfolio Register'!$DH$5:$DH$304,0))="","",INDEX('Portfolio Register'!$DD$5:$DD$304,MATCH($B144,'Portfolio Register'!$DH$5:$DH$304,0))),"")</f>
        <v/>
      </c>
      <c r="N144" s="144" t="str">
        <f ca="1">IF($C144="","",IF($M144&lt;&gt;"",$M144-IFERROR(INDEX('Portfolio Register'!$C$5:$C$304,MATCH($B144,'Portfolio Register'!$DH$5:$DH$304,0)),$M144),TODAY()-IFERROR(INDEX('Portfolio Register'!$C$5:$C$304,MATCH($B144,'Portfolio Register'!$DH$5:$DH$304,0)),TODAY())))</f>
        <v/>
      </c>
      <c r="O144" s="145" t="str">
        <f t="shared" si="3"/>
        <v/>
      </c>
      <c r="P144" s="140" t="str">
        <f>IFERROR(IF(INDEX('Portfolio Register'!$DG$5:$DG$304,MATCH($B144,'Portfolio Register'!$DH$5:$DH$304,0))="","",INDEX('Portfolio Register'!$DG$5:$DG$304,MATCH($B144,'Portfolio Register'!$DH$5:$DH$304,0))),"")</f>
        <v/>
      </c>
      <c r="Q144" s="140" t="str">
        <f>IFERROR(IF(INDEX('Portfolio Register'!$DF$5:$DF$304,MATCH($B144,'Portfolio Register'!$DH$5:$DH$304,0))="","",INDEX('Portfolio Register'!$DF$5:$DF$304,MATCH($B144,'Portfolio Register'!$DH$5:$DH$304,0))),"")</f>
        <v/>
      </c>
    </row>
    <row r="145" spans="2:17" x14ac:dyDescent="0.25">
      <c r="B145" s="63">
        <v>118</v>
      </c>
      <c r="C145" s="146" t="str">
        <f>IFERROR(IF(INDEX('Portfolio Register'!$A$5:$A$304,MATCH($B145,'Portfolio Register'!$DH$5:$DH$304,0))="","",INDEX('Portfolio Register'!$A$5:$A$304,MATCH($B145,'Portfolio Register'!$DH$5:$DH$304,0))),"")</f>
        <v/>
      </c>
      <c r="D145" s="146" t="str">
        <f>IFERROR(IF(INDEX('Portfolio Register'!$B$5:$B$304,MATCH($B145,'Portfolio Register'!$DH$5:$DH$304,0))="","",INDEX('Portfolio Register'!$B$5:$B$304,MATCH($B145,'Portfolio Register'!$DH$5:$DH$304,0))),"")</f>
        <v/>
      </c>
      <c r="E145" s="146" t="str">
        <f>IFERROR(IF(INDEX('Portfolio Register'!$I$5:$I$304,MATCH($B145,'Portfolio Register'!$DH$5:$DH$304,0))="","",INDEX('Portfolio Register'!$I$5:$I$304,MATCH($B145,'Portfolio Register'!$DH$5:$DH$304,0))),"")</f>
        <v/>
      </c>
      <c r="F145" s="147" t="str">
        <f>IFERROR(IF(INDEX('Portfolio Register'!$J$5:$J$304,MATCH($B145,'Portfolio Register'!$DH$5:$DH$304,0))="","",INDEX('Portfolio Register'!$J$5:$J$304,MATCH($B145,'Portfolio Register'!$DH$5:$DH$304,0))),"")</f>
        <v/>
      </c>
      <c r="G145" s="146" t="str">
        <f>IFERROR(IF(INDEX('Portfolio Register'!$CX$5:$CX$304,MATCH($B145,'Portfolio Register'!$DH$5:$DH$304,0))="","",INDEX('Portfolio Register'!$CX$5:$CX$304,MATCH($B145,'Portfolio Register'!$DH$5:$DH$304,0))),"")</f>
        <v/>
      </c>
      <c r="H145" s="148" t="str">
        <f>IFERROR(IF(INDEX('Portfolio Register'!$CY$5:$CY$304,MATCH($B145,'Portfolio Register'!$DH$5:$DH$304,0))="","",INDEX('Portfolio Register'!$CY$5:$CY$304,MATCH($B145,'Portfolio Register'!$DH$5:$DH$304,0))),"")</f>
        <v/>
      </c>
      <c r="I145" s="146" t="str">
        <f>IFERROR(IF(INDEX('Portfolio Register'!$CZ$5:$CZ$304,MATCH($B145,'Portfolio Register'!$DH$5:$DH$304,0))="","",INDEX('Portfolio Register'!$CZ$5:$CZ$304,MATCH($B145,'Portfolio Register'!$DH$5:$DH$304,0))),"")</f>
        <v/>
      </c>
      <c r="J145" s="146" t="str">
        <f>IFERROR(IF(INDEX('Portfolio Register'!$DA$5:$DA$304,MATCH($B145,'Portfolio Register'!$DH$5:$DH$304,0))="","",INDEX('Portfolio Register'!$DA$5:$DA$304,MATCH($B145,'Portfolio Register'!$DH$5:$DH$304,0))),"")</f>
        <v/>
      </c>
      <c r="K145" s="146" t="str">
        <f>IFERROR(IF(INDEX('Portfolio Register'!$DB$5:$DB$304,MATCH($B145,'Portfolio Register'!$DH$5:$DH$304,0))="","",INDEX('Portfolio Register'!$DB$5:$DB$304,MATCH($B145,'Portfolio Register'!$DH$5:$DH$304,0))),"")</f>
        <v/>
      </c>
      <c r="L145" s="146" t="str">
        <f>IFERROR(IF(INDEX('Portfolio Register'!$DC$5:$DC$304,MATCH($B145,'Portfolio Register'!$DH$5:$DH$304,0))="","",INDEX('Portfolio Register'!$DC$5:$DC$304,MATCH($B145,'Portfolio Register'!$DH$5:$DH$304,0))),"")</f>
        <v/>
      </c>
      <c r="M145" s="149" t="str">
        <f>IFERROR(IF(INDEX('Portfolio Register'!$DD$5:$DD$304,MATCH($B145,'Portfolio Register'!$DH$5:$DH$304,0))="","",INDEX('Portfolio Register'!$DD$5:$DD$304,MATCH($B145,'Portfolio Register'!$DH$5:$DH$304,0))),"")</f>
        <v/>
      </c>
      <c r="N145" s="150" t="str">
        <f ca="1">IF($C145="","",IF($M145&lt;&gt;"",$M145-IFERROR(INDEX('Portfolio Register'!$C$5:$C$304,MATCH($B145,'Portfolio Register'!$DH$5:$DH$304,0)),$M145),TODAY()-IFERROR(INDEX('Portfolio Register'!$C$5:$C$304,MATCH($B145,'Portfolio Register'!$DH$5:$DH$304,0)),TODAY())))</f>
        <v/>
      </c>
      <c r="O145" s="151" t="str">
        <f t="shared" si="3"/>
        <v/>
      </c>
      <c r="P145" s="146" t="str">
        <f>IFERROR(IF(INDEX('Portfolio Register'!$DG$5:$DG$304,MATCH($B145,'Portfolio Register'!$DH$5:$DH$304,0))="","",INDEX('Portfolio Register'!$DG$5:$DG$304,MATCH($B145,'Portfolio Register'!$DH$5:$DH$304,0))),"")</f>
        <v/>
      </c>
      <c r="Q145" s="146" t="str">
        <f>IFERROR(IF(INDEX('Portfolio Register'!$DF$5:$DF$304,MATCH($B145,'Portfolio Register'!$DH$5:$DH$304,0))="","",INDEX('Portfolio Register'!$DF$5:$DF$304,MATCH($B145,'Portfolio Register'!$DH$5:$DH$304,0))),"")</f>
        <v/>
      </c>
    </row>
    <row r="146" spans="2:17" x14ac:dyDescent="0.25">
      <c r="B146" s="56">
        <v>119</v>
      </c>
      <c r="C146" s="140" t="str">
        <f>IFERROR(IF(INDEX('Portfolio Register'!$A$5:$A$304,MATCH($B146,'Portfolio Register'!$DH$5:$DH$304,0))="","",INDEX('Portfolio Register'!$A$5:$A$304,MATCH($B146,'Portfolio Register'!$DH$5:$DH$304,0))),"")</f>
        <v/>
      </c>
      <c r="D146" s="140" t="str">
        <f>IFERROR(IF(INDEX('Portfolio Register'!$B$5:$B$304,MATCH($B146,'Portfolio Register'!$DH$5:$DH$304,0))="","",INDEX('Portfolio Register'!$B$5:$B$304,MATCH($B146,'Portfolio Register'!$DH$5:$DH$304,0))),"")</f>
        <v/>
      </c>
      <c r="E146" s="140" t="str">
        <f>IFERROR(IF(INDEX('Portfolio Register'!$I$5:$I$304,MATCH($B146,'Portfolio Register'!$DH$5:$DH$304,0))="","",INDEX('Portfolio Register'!$I$5:$I$304,MATCH($B146,'Portfolio Register'!$DH$5:$DH$304,0))),"")</f>
        <v/>
      </c>
      <c r="F146" s="141" t="str">
        <f>IFERROR(IF(INDEX('Portfolio Register'!$J$5:$J$304,MATCH($B146,'Portfolio Register'!$DH$5:$DH$304,0))="","",INDEX('Portfolio Register'!$J$5:$J$304,MATCH($B146,'Portfolio Register'!$DH$5:$DH$304,0))),"")</f>
        <v/>
      </c>
      <c r="G146" s="140" t="str">
        <f>IFERROR(IF(INDEX('Portfolio Register'!$CX$5:$CX$304,MATCH($B146,'Portfolio Register'!$DH$5:$DH$304,0))="","",INDEX('Portfolio Register'!$CX$5:$CX$304,MATCH($B146,'Portfolio Register'!$DH$5:$DH$304,0))),"")</f>
        <v/>
      </c>
      <c r="H146" s="142" t="str">
        <f>IFERROR(IF(INDEX('Portfolio Register'!$CY$5:$CY$304,MATCH($B146,'Portfolio Register'!$DH$5:$DH$304,0))="","",INDEX('Portfolio Register'!$CY$5:$CY$304,MATCH($B146,'Portfolio Register'!$DH$5:$DH$304,0))),"")</f>
        <v/>
      </c>
      <c r="I146" s="140" t="str">
        <f>IFERROR(IF(INDEX('Portfolio Register'!$CZ$5:$CZ$304,MATCH($B146,'Portfolio Register'!$DH$5:$DH$304,0))="","",INDEX('Portfolio Register'!$CZ$5:$CZ$304,MATCH($B146,'Portfolio Register'!$DH$5:$DH$304,0))),"")</f>
        <v/>
      </c>
      <c r="J146" s="140" t="str">
        <f>IFERROR(IF(INDEX('Portfolio Register'!$DA$5:$DA$304,MATCH($B146,'Portfolio Register'!$DH$5:$DH$304,0))="","",INDEX('Portfolio Register'!$DA$5:$DA$304,MATCH($B146,'Portfolio Register'!$DH$5:$DH$304,0))),"")</f>
        <v/>
      </c>
      <c r="K146" s="140" t="str">
        <f>IFERROR(IF(INDEX('Portfolio Register'!$DB$5:$DB$304,MATCH($B146,'Portfolio Register'!$DH$5:$DH$304,0))="","",INDEX('Portfolio Register'!$DB$5:$DB$304,MATCH($B146,'Portfolio Register'!$DH$5:$DH$304,0))),"")</f>
        <v/>
      </c>
      <c r="L146" s="140" t="str">
        <f>IFERROR(IF(INDEX('Portfolio Register'!$DC$5:$DC$304,MATCH($B146,'Portfolio Register'!$DH$5:$DH$304,0))="","",INDEX('Portfolio Register'!$DC$5:$DC$304,MATCH($B146,'Portfolio Register'!$DH$5:$DH$304,0))),"")</f>
        <v/>
      </c>
      <c r="M146" s="143" t="str">
        <f>IFERROR(IF(INDEX('Portfolio Register'!$DD$5:$DD$304,MATCH($B146,'Portfolio Register'!$DH$5:$DH$304,0))="","",INDEX('Portfolio Register'!$DD$5:$DD$304,MATCH($B146,'Portfolio Register'!$DH$5:$DH$304,0))),"")</f>
        <v/>
      </c>
      <c r="N146" s="144" t="str">
        <f ca="1">IF($C146="","",IF($M146&lt;&gt;"",$M146-IFERROR(INDEX('Portfolio Register'!$C$5:$C$304,MATCH($B146,'Portfolio Register'!$DH$5:$DH$304,0)),$M146),TODAY()-IFERROR(INDEX('Portfolio Register'!$C$5:$C$304,MATCH($B146,'Portfolio Register'!$DH$5:$DH$304,0)),TODAY())))</f>
        <v/>
      </c>
      <c r="O146" s="145" t="str">
        <f t="shared" si="3"/>
        <v/>
      </c>
      <c r="P146" s="140" t="str">
        <f>IFERROR(IF(INDEX('Portfolio Register'!$DG$5:$DG$304,MATCH($B146,'Portfolio Register'!$DH$5:$DH$304,0))="","",INDEX('Portfolio Register'!$DG$5:$DG$304,MATCH($B146,'Portfolio Register'!$DH$5:$DH$304,0))),"")</f>
        <v/>
      </c>
      <c r="Q146" s="140" t="str">
        <f>IFERROR(IF(INDEX('Portfolio Register'!$DF$5:$DF$304,MATCH($B146,'Portfolio Register'!$DH$5:$DH$304,0))="","",INDEX('Portfolio Register'!$DF$5:$DF$304,MATCH($B146,'Portfolio Register'!$DH$5:$DH$304,0))),"")</f>
        <v/>
      </c>
    </row>
    <row r="147" spans="2:17" x14ac:dyDescent="0.25">
      <c r="B147" s="63">
        <v>120</v>
      </c>
      <c r="C147" s="146" t="str">
        <f>IFERROR(IF(INDEX('Portfolio Register'!$A$5:$A$304,MATCH($B147,'Portfolio Register'!$DH$5:$DH$304,0))="","",INDEX('Portfolio Register'!$A$5:$A$304,MATCH($B147,'Portfolio Register'!$DH$5:$DH$304,0))),"")</f>
        <v/>
      </c>
      <c r="D147" s="146" t="str">
        <f>IFERROR(IF(INDEX('Portfolio Register'!$B$5:$B$304,MATCH($B147,'Portfolio Register'!$DH$5:$DH$304,0))="","",INDEX('Portfolio Register'!$B$5:$B$304,MATCH($B147,'Portfolio Register'!$DH$5:$DH$304,0))),"")</f>
        <v/>
      </c>
      <c r="E147" s="146" t="str">
        <f>IFERROR(IF(INDEX('Portfolio Register'!$I$5:$I$304,MATCH($B147,'Portfolio Register'!$DH$5:$DH$304,0))="","",INDEX('Portfolio Register'!$I$5:$I$304,MATCH($B147,'Portfolio Register'!$DH$5:$DH$304,0))),"")</f>
        <v/>
      </c>
      <c r="F147" s="147" t="str">
        <f>IFERROR(IF(INDEX('Portfolio Register'!$J$5:$J$304,MATCH($B147,'Portfolio Register'!$DH$5:$DH$304,0))="","",INDEX('Portfolio Register'!$J$5:$J$304,MATCH($B147,'Portfolio Register'!$DH$5:$DH$304,0))),"")</f>
        <v/>
      </c>
      <c r="G147" s="146" t="str">
        <f>IFERROR(IF(INDEX('Portfolio Register'!$CX$5:$CX$304,MATCH($B147,'Portfolio Register'!$DH$5:$DH$304,0))="","",INDEX('Portfolio Register'!$CX$5:$CX$304,MATCH($B147,'Portfolio Register'!$DH$5:$DH$304,0))),"")</f>
        <v/>
      </c>
      <c r="H147" s="148" t="str">
        <f>IFERROR(IF(INDEX('Portfolio Register'!$CY$5:$CY$304,MATCH($B147,'Portfolio Register'!$DH$5:$DH$304,0))="","",INDEX('Portfolio Register'!$CY$5:$CY$304,MATCH($B147,'Portfolio Register'!$DH$5:$DH$304,0))),"")</f>
        <v/>
      </c>
      <c r="I147" s="146" t="str">
        <f>IFERROR(IF(INDEX('Portfolio Register'!$CZ$5:$CZ$304,MATCH($B147,'Portfolio Register'!$DH$5:$DH$304,0))="","",INDEX('Portfolio Register'!$CZ$5:$CZ$304,MATCH($B147,'Portfolio Register'!$DH$5:$DH$304,0))),"")</f>
        <v/>
      </c>
      <c r="J147" s="146" t="str">
        <f>IFERROR(IF(INDEX('Portfolio Register'!$DA$5:$DA$304,MATCH($B147,'Portfolio Register'!$DH$5:$DH$304,0))="","",INDEX('Portfolio Register'!$DA$5:$DA$304,MATCH($B147,'Portfolio Register'!$DH$5:$DH$304,0))),"")</f>
        <v/>
      </c>
      <c r="K147" s="146" t="str">
        <f>IFERROR(IF(INDEX('Portfolio Register'!$DB$5:$DB$304,MATCH($B147,'Portfolio Register'!$DH$5:$DH$304,0))="","",INDEX('Portfolio Register'!$DB$5:$DB$304,MATCH($B147,'Portfolio Register'!$DH$5:$DH$304,0))),"")</f>
        <v/>
      </c>
      <c r="L147" s="146" t="str">
        <f>IFERROR(IF(INDEX('Portfolio Register'!$DC$5:$DC$304,MATCH($B147,'Portfolio Register'!$DH$5:$DH$304,0))="","",INDEX('Portfolio Register'!$DC$5:$DC$304,MATCH($B147,'Portfolio Register'!$DH$5:$DH$304,0))),"")</f>
        <v/>
      </c>
      <c r="M147" s="149" t="str">
        <f>IFERROR(IF(INDEX('Portfolio Register'!$DD$5:$DD$304,MATCH($B147,'Portfolio Register'!$DH$5:$DH$304,0))="","",INDEX('Portfolio Register'!$DD$5:$DD$304,MATCH($B147,'Portfolio Register'!$DH$5:$DH$304,0))),"")</f>
        <v/>
      </c>
      <c r="N147" s="150" t="str">
        <f ca="1">IF($C147="","",IF($M147&lt;&gt;"",$M147-IFERROR(INDEX('Portfolio Register'!$C$5:$C$304,MATCH($B147,'Portfolio Register'!$DH$5:$DH$304,0)),$M147),TODAY()-IFERROR(INDEX('Portfolio Register'!$C$5:$C$304,MATCH($B147,'Portfolio Register'!$DH$5:$DH$304,0)),TODAY())))</f>
        <v/>
      </c>
      <c r="O147" s="151" t="str">
        <f t="shared" si="3"/>
        <v/>
      </c>
      <c r="P147" s="146" t="str">
        <f>IFERROR(IF(INDEX('Portfolio Register'!$DG$5:$DG$304,MATCH($B147,'Portfolio Register'!$DH$5:$DH$304,0))="","",INDEX('Portfolio Register'!$DG$5:$DG$304,MATCH($B147,'Portfolio Register'!$DH$5:$DH$304,0))),"")</f>
        <v/>
      </c>
      <c r="Q147" s="146" t="str">
        <f>IFERROR(IF(INDEX('Portfolio Register'!$DF$5:$DF$304,MATCH($B147,'Portfolio Register'!$DH$5:$DH$304,0))="","",INDEX('Portfolio Register'!$DF$5:$DF$304,MATCH($B147,'Portfolio Register'!$DH$5:$DH$304,0))),"")</f>
        <v/>
      </c>
    </row>
    <row r="148" spans="2:17" x14ac:dyDescent="0.25">
      <c r="B148" s="56">
        <v>121</v>
      </c>
      <c r="C148" s="140" t="str">
        <f>IFERROR(IF(INDEX('Portfolio Register'!$A$5:$A$304,MATCH($B148,'Portfolio Register'!$DH$5:$DH$304,0))="","",INDEX('Portfolio Register'!$A$5:$A$304,MATCH($B148,'Portfolio Register'!$DH$5:$DH$304,0))),"")</f>
        <v/>
      </c>
      <c r="D148" s="140" t="str">
        <f>IFERROR(IF(INDEX('Portfolio Register'!$B$5:$B$304,MATCH($B148,'Portfolio Register'!$DH$5:$DH$304,0))="","",INDEX('Portfolio Register'!$B$5:$B$304,MATCH($B148,'Portfolio Register'!$DH$5:$DH$304,0))),"")</f>
        <v/>
      </c>
      <c r="E148" s="140" t="str">
        <f>IFERROR(IF(INDEX('Portfolio Register'!$I$5:$I$304,MATCH($B148,'Portfolio Register'!$DH$5:$DH$304,0))="","",INDEX('Portfolio Register'!$I$5:$I$304,MATCH($B148,'Portfolio Register'!$DH$5:$DH$304,0))),"")</f>
        <v/>
      </c>
      <c r="F148" s="141" t="str">
        <f>IFERROR(IF(INDEX('Portfolio Register'!$J$5:$J$304,MATCH($B148,'Portfolio Register'!$DH$5:$DH$304,0))="","",INDEX('Portfolio Register'!$J$5:$J$304,MATCH($B148,'Portfolio Register'!$DH$5:$DH$304,0))),"")</f>
        <v/>
      </c>
      <c r="G148" s="140" t="str">
        <f>IFERROR(IF(INDEX('Portfolio Register'!$CX$5:$CX$304,MATCH($B148,'Portfolio Register'!$DH$5:$DH$304,0))="","",INDEX('Portfolio Register'!$CX$5:$CX$304,MATCH($B148,'Portfolio Register'!$DH$5:$DH$304,0))),"")</f>
        <v/>
      </c>
      <c r="H148" s="142" t="str">
        <f>IFERROR(IF(INDEX('Portfolio Register'!$CY$5:$CY$304,MATCH($B148,'Portfolio Register'!$DH$5:$DH$304,0))="","",INDEX('Portfolio Register'!$CY$5:$CY$304,MATCH($B148,'Portfolio Register'!$DH$5:$DH$304,0))),"")</f>
        <v/>
      </c>
      <c r="I148" s="140" t="str">
        <f>IFERROR(IF(INDEX('Portfolio Register'!$CZ$5:$CZ$304,MATCH($B148,'Portfolio Register'!$DH$5:$DH$304,0))="","",INDEX('Portfolio Register'!$CZ$5:$CZ$304,MATCH($B148,'Portfolio Register'!$DH$5:$DH$304,0))),"")</f>
        <v/>
      </c>
      <c r="J148" s="140" t="str">
        <f>IFERROR(IF(INDEX('Portfolio Register'!$DA$5:$DA$304,MATCH($B148,'Portfolio Register'!$DH$5:$DH$304,0))="","",INDEX('Portfolio Register'!$DA$5:$DA$304,MATCH($B148,'Portfolio Register'!$DH$5:$DH$304,0))),"")</f>
        <v/>
      </c>
      <c r="K148" s="140" t="str">
        <f>IFERROR(IF(INDEX('Portfolio Register'!$DB$5:$DB$304,MATCH($B148,'Portfolio Register'!$DH$5:$DH$304,0))="","",INDEX('Portfolio Register'!$DB$5:$DB$304,MATCH($B148,'Portfolio Register'!$DH$5:$DH$304,0))),"")</f>
        <v/>
      </c>
      <c r="L148" s="140" t="str">
        <f>IFERROR(IF(INDEX('Portfolio Register'!$DC$5:$DC$304,MATCH($B148,'Portfolio Register'!$DH$5:$DH$304,0))="","",INDEX('Portfolio Register'!$DC$5:$DC$304,MATCH($B148,'Portfolio Register'!$DH$5:$DH$304,0))),"")</f>
        <v/>
      </c>
      <c r="M148" s="143" t="str">
        <f>IFERROR(IF(INDEX('Portfolio Register'!$DD$5:$DD$304,MATCH($B148,'Portfolio Register'!$DH$5:$DH$304,0))="","",INDEX('Portfolio Register'!$DD$5:$DD$304,MATCH($B148,'Portfolio Register'!$DH$5:$DH$304,0))),"")</f>
        <v/>
      </c>
      <c r="N148" s="144" t="str">
        <f ca="1">IF($C148="","",IF($M148&lt;&gt;"",$M148-IFERROR(INDEX('Portfolio Register'!$C$5:$C$304,MATCH($B148,'Portfolio Register'!$DH$5:$DH$304,0)),$M148),TODAY()-IFERROR(INDEX('Portfolio Register'!$C$5:$C$304,MATCH($B148,'Portfolio Register'!$DH$5:$DH$304,0)),TODAY())))</f>
        <v/>
      </c>
      <c r="O148" s="145" t="str">
        <f t="shared" si="3"/>
        <v/>
      </c>
      <c r="P148" s="140" t="str">
        <f>IFERROR(IF(INDEX('Portfolio Register'!$DG$5:$DG$304,MATCH($B148,'Portfolio Register'!$DH$5:$DH$304,0))="","",INDEX('Portfolio Register'!$DG$5:$DG$304,MATCH($B148,'Portfolio Register'!$DH$5:$DH$304,0))),"")</f>
        <v/>
      </c>
      <c r="Q148" s="140" t="str">
        <f>IFERROR(IF(INDEX('Portfolio Register'!$DF$5:$DF$304,MATCH($B148,'Portfolio Register'!$DH$5:$DH$304,0))="","",INDEX('Portfolio Register'!$DF$5:$DF$304,MATCH($B148,'Portfolio Register'!$DH$5:$DH$304,0))),"")</f>
        <v/>
      </c>
    </row>
    <row r="149" spans="2:17" x14ac:dyDescent="0.25">
      <c r="B149" s="63">
        <v>122</v>
      </c>
      <c r="C149" s="146" t="str">
        <f>IFERROR(IF(INDEX('Portfolio Register'!$A$5:$A$304,MATCH($B149,'Portfolio Register'!$DH$5:$DH$304,0))="","",INDEX('Portfolio Register'!$A$5:$A$304,MATCH($B149,'Portfolio Register'!$DH$5:$DH$304,0))),"")</f>
        <v/>
      </c>
      <c r="D149" s="146" t="str">
        <f>IFERROR(IF(INDEX('Portfolio Register'!$B$5:$B$304,MATCH($B149,'Portfolio Register'!$DH$5:$DH$304,0))="","",INDEX('Portfolio Register'!$B$5:$B$304,MATCH($B149,'Portfolio Register'!$DH$5:$DH$304,0))),"")</f>
        <v/>
      </c>
      <c r="E149" s="146" t="str">
        <f>IFERROR(IF(INDEX('Portfolio Register'!$I$5:$I$304,MATCH($B149,'Portfolio Register'!$DH$5:$DH$304,0))="","",INDEX('Portfolio Register'!$I$5:$I$304,MATCH($B149,'Portfolio Register'!$DH$5:$DH$304,0))),"")</f>
        <v/>
      </c>
      <c r="F149" s="147" t="str">
        <f>IFERROR(IF(INDEX('Portfolio Register'!$J$5:$J$304,MATCH($B149,'Portfolio Register'!$DH$5:$DH$304,0))="","",INDEX('Portfolio Register'!$J$5:$J$304,MATCH($B149,'Portfolio Register'!$DH$5:$DH$304,0))),"")</f>
        <v/>
      </c>
      <c r="G149" s="146" t="str">
        <f>IFERROR(IF(INDEX('Portfolio Register'!$CX$5:$CX$304,MATCH($B149,'Portfolio Register'!$DH$5:$DH$304,0))="","",INDEX('Portfolio Register'!$CX$5:$CX$304,MATCH($B149,'Portfolio Register'!$DH$5:$DH$304,0))),"")</f>
        <v/>
      </c>
      <c r="H149" s="148" t="str">
        <f>IFERROR(IF(INDEX('Portfolio Register'!$CY$5:$CY$304,MATCH($B149,'Portfolio Register'!$DH$5:$DH$304,0))="","",INDEX('Portfolio Register'!$CY$5:$CY$304,MATCH($B149,'Portfolio Register'!$DH$5:$DH$304,0))),"")</f>
        <v/>
      </c>
      <c r="I149" s="146" t="str">
        <f>IFERROR(IF(INDEX('Portfolio Register'!$CZ$5:$CZ$304,MATCH($B149,'Portfolio Register'!$DH$5:$DH$304,0))="","",INDEX('Portfolio Register'!$CZ$5:$CZ$304,MATCH($B149,'Portfolio Register'!$DH$5:$DH$304,0))),"")</f>
        <v/>
      </c>
      <c r="J149" s="146" t="str">
        <f>IFERROR(IF(INDEX('Portfolio Register'!$DA$5:$DA$304,MATCH($B149,'Portfolio Register'!$DH$5:$DH$304,0))="","",INDEX('Portfolio Register'!$DA$5:$DA$304,MATCH($B149,'Portfolio Register'!$DH$5:$DH$304,0))),"")</f>
        <v/>
      </c>
      <c r="K149" s="146" t="str">
        <f>IFERROR(IF(INDEX('Portfolio Register'!$DB$5:$DB$304,MATCH($B149,'Portfolio Register'!$DH$5:$DH$304,0))="","",INDEX('Portfolio Register'!$DB$5:$DB$304,MATCH($B149,'Portfolio Register'!$DH$5:$DH$304,0))),"")</f>
        <v/>
      </c>
      <c r="L149" s="146" t="str">
        <f>IFERROR(IF(INDEX('Portfolio Register'!$DC$5:$DC$304,MATCH($B149,'Portfolio Register'!$DH$5:$DH$304,0))="","",INDEX('Portfolio Register'!$DC$5:$DC$304,MATCH($B149,'Portfolio Register'!$DH$5:$DH$304,0))),"")</f>
        <v/>
      </c>
      <c r="M149" s="149" t="str">
        <f>IFERROR(IF(INDEX('Portfolio Register'!$DD$5:$DD$304,MATCH($B149,'Portfolio Register'!$DH$5:$DH$304,0))="","",INDEX('Portfolio Register'!$DD$5:$DD$304,MATCH($B149,'Portfolio Register'!$DH$5:$DH$304,0))),"")</f>
        <v/>
      </c>
      <c r="N149" s="150" t="str">
        <f ca="1">IF($C149="","",IF($M149&lt;&gt;"",$M149-IFERROR(INDEX('Portfolio Register'!$C$5:$C$304,MATCH($B149,'Portfolio Register'!$DH$5:$DH$304,0)),$M149),TODAY()-IFERROR(INDEX('Portfolio Register'!$C$5:$C$304,MATCH($B149,'Portfolio Register'!$DH$5:$DH$304,0)),TODAY())))</f>
        <v/>
      </c>
      <c r="O149" s="151" t="str">
        <f t="shared" si="3"/>
        <v/>
      </c>
      <c r="P149" s="146" t="str">
        <f>IFERROR(IF(INDEX('Portfolio Register'!$DG$5:$DG$304,MATCH($B149,'Portfolio Register'!$DH$5:$DH$304,0))="","",INDEX('Portfolio Register'!$DG$5:$DG$304,MATCH($B149,'Portfolio Register'!$DH$5:$DH$304,0))),"")</f>
        <v/>
      </c>
      <c r="Q149" s="146" t="str">
        <f>IFERROR(IF(INDEX('Portfolio Register'!$DF$5:$DF$304,MATCH($B149,'Portfolio Register'!$DH$5:$DH$304,0))="","",INDEX('Portfolio Register'!$DF$5:$DF$304,MATCH($B149,'Portfolio Register'!$DH$5:$DH$304,0))),"")</f>
        <v/>
      </c>
    </row>
    <row r="150" spans="2:17" x14ac:dyDescent="0.25">
      <c r="B150" s="56">
        <v>123</v>
      </c>
      <c r="C150" s="140" t="str">
        <f>IFERROR(IF(INDEX('Portfolio Register'!$A$5:$A$304,MATCH($B150,'Portfolio Register'!$DH$5:$DH$304,0))="","",INDEX('Portfolio Register'!$A$5:$A$304,MATCH($B150,'Portfolio Register'!$DH$5:$DH$304,0))),"")</f>
        <v/>
      </c>
      <c r="D150" s="140" t="str">
        <f>IFERROR(IF(INDEX('Portfolio Register'!$B$5:$B$304,MATCH($B150,'Portfolio Register'!$DH$5:$DH$304,0))="","",INDEX('Portfolio Register'!$B$5:$B$304,MATCH($B150,'Portfolio Register'!$DH$5:$DH$304,0))),"")</f>
        <v/>
      </c>
      <c r="E150" s="140" t="str">
        <f>IFERROR(IF(INDEX('Portfolio Register'!$I$5:$I$304,MATCH($B150,'Portfolio Register'!$DH$5:$DH$304,0))="","",INDEX('Portfolio Register'!$I$5:$I$304,MATCH($B150,'Portfolio Register'!$DH$5:$DH$304,0))),"")</f>
        <v/>
      </c>
      <c r="F150" s="141" t="str">
        <f>IFERROR(IF(INDEX('Portfolio Register'!$J$5:$J$304,MATCH($B150,'Portfolio Register'!$DH$5:$DH$304,0))="","",INDEX('Portfolio Register'!$J$5:$J$304,MATCH($B150,'Portfolio Register'!$DH$5:$DH$304,0))),"")</f>
        <v/>
      </c>
      <c r="G150" s="140" t="str">
        <f>IFERROR(IF(INDEX('Portfolio Register'!$CX$5:$CX$304,MATCH($B150,'Portfolio Register'!$DH$5:$DH$304,0))="","",INDEX('Portfolio Register'!$CX$5:$CX$304,MATCH($B150,'Portfolio Register'!$DH$5:$DH$304,0))),"")</f>
        <v/>
      </c>
      <c r="H150" s="142" t="str">
        <f>IFERROR(IF(INDEX('Portfolio Register'!$CY$5:$CY$304,MATCH($B150,'Portfolio Register'!$DH$5:$DH$304,0))="","",INDEX('Portfolio Register'!$CY$5:$CY$304,MATCH($B150,'Portfolio Register'!$DH$5:$DH$304,0))),"")</f>
        <v/>
      </c>
      <c r="I150" s="140" t="str">
        <f>IFERROR(IF(INDEX('Portfolio Register'!$CZ$5:$CZ$304,MATCH($B150,'Portfolio Register'!$DH$5:$DH$304,0))="","",INDEX('Portfolio Register'!$CZ$5:$CZ$304,MATCH($B150,'Portfolio Register'!$DH$5:$DH$304,0))),"")</f>
        <v/>
      </c>
      <c r="J150" s="140" t="str">
        <f>IFERROR(IF(INDEX('Portfolio Register'!$DA$5:$DA$304,MATCH($B150,'Portfolio Register'!$DH$5:$DH$304,0))="","",INDEX('Portfolio Register'!$DA$5:$DA$304,MATCH($B150,'Portfolio Register'!$DH$5:$DH$304,0))),"")</f>
        <v/>
      </c>
      <c r="K150" s="140" t="str">
        <f>IFERROR(IF(INDEX('Portfolio Register'!$DB$5:$DB$304,MATCH($B150,'Portfolio Register'!$DH$5:$DH$304,0))="","",INDEX('Portfolio Register'!$DB$5:$DB$304,MATCH($B150,'Portfolio Register'!$DH$5:$DH$304,0))),"")</f>
        <v/>
      </c>
      <c r="L150" s="140" t="str">
        <f>IFERROR(IF(INDEX('Portfolio Register'!$DC$5:$DC$304,MATCH($B150,'Portfolio Register'!$DH$5:$DH$304,0))="","",INDEX('Portfolio Register'!$DC$5:$DC$304,MATCH($B150,'Portfolio Register'!$DH$5:$DH$304,0))),"")</f>
        <v/>
      </c>
      <c r="M150" s="143" t="str">
        <f>IFERROR(IF(INDEX('Portfolio Register'!$DD$5:$DD$304,MATCH($B150,'Portfolio Register'!$DH$5:$DH$304,0))="","",INDEX('Portfolio Register'!$DD$5:$DD$304,MATCH($B150,'Portfolio Register'!$DH$5:$DH$304,0))),"")</f>
        <v/>
      </c>
      <c r="N150" s="144" t="str">
        <f ca="1">IF($C150="","",IF($M150&lt;&gt;"",$M150-IFERROR(INDEX('Portfolio Register'!$C$5:$C$304,MATCH($B150,'Portfolio Register'!$DH$5:$DH$304,0)),$M150),TODAY()-IFERROR(INDEX('Portfolio Register'!$C$5:$C$304,MATCH($B150,'Portfolio Register'!$DH$5:$DH$304,0)),TODAY())))</f>
        <v/>
      </c>
      <c r="O150" s="145" t="str">
        <f t="shared" si="3"/>
        <v/>
      </c>
      <c r="P150" s="140" t="str">
        <f>IFERROR(IF(INDEX('Portfolio Register'!$DG$5:$DG$304,MATCH($B150,'Portfolio Register'!$DH$5:$DH$304,0))="","",INDEX('Portfolio Register'!$DG$5:$DG$304,MATCH($B150,'Portfolio Register'!$DH$5:$DH$304,0))),"")</f>
        <v/>
      </c>
      <c r="Q150" s="140" t="str">
        <f>IFERROR(IF(INDEX('Portfolio Register'!$DF$5:$DF$304,MATCH($B150,'Portfolio Register'!$DH$5:$DH$304,0))="","",INDEX('Portfolio Register'!$DF$5:$DF$304,MATCH($B150,'Portfolio Register'!$DH$5:$DH$304,0))),"")</f>
        <v/>
      </c>
    </row>
    <row r="151" spans="2:17" x14ac:dyDescent="0.25">
      <c r="B151" s="63">
        <v>124</v>
      </c>
      <c r="C151" s="146" t="str">
        <f>IFERROR(IF(INDEX('Portfolio Register'!$A$5:$A$304,MATCH($B151,'Portfolio Register'!$DH$5:$DH$304,0))="","",INDEX('Portfolio Register'!$A$5:$A$304,MATCH($B151,'Portfolio Register'!$DH$5:$DH$304,0))),"")</f>
        <v/>
      </c>
      <c r="D151" s="146" t="str">
        <f>IFERROR(IF(INDEX('Portfolio Register'!$B$5:$B$304,MATCH($B151,'Portfolio Register'!$DH$5:$DH$304,0))="","",INDEX('Portfolio Register'!$B$5:$B$304,MATCH($B151,'Portfolio Register'!$DH$5:$DH$304,0))),"")</f>
        <v/>
      </c>
      <c r="E151" s="146" t="str">
        <f>IFERROR(IF(INDEX('Portfolio Register'!$I$5:$I$304,MATCH($B151,'Portfolio Register'!$DH$5:$DH$304,0))="","",INDEX('Portfolio Register'!$I$5:$I$304,MATCH($B151,'Portfolio Register'!$DH$5:$DH$304,0))),"")</f>
        <v/>
      </c>
      <c r="F151" s="147" t="str">
        <f>IFERROR(IF(INDEX('Portfolio Register'!$J$5:$J$304,MATCH($B151,'Portfolio Register'!$DH$5:$DH$304,0))="","",INDEX('Portfolio Register'!$J$5:$J$304,MATCH($B151,'Portfolio Register'!$DH$5:$DH$304,0))),"")</f>
        <v/>
      </c>
      <c r="G151" s="146" t="str">
        <f>IFERROR(IF(INDEX('Portfolio Register'!$CX$5:$CX$304,MATCH($B151,'Portfolio Register'!$DH$5:$DH$304,0))="","",INDEX('Portfolio Register'!$CX$5:$CX$304,MATCH($B151,'Portfolio Register'!$DH$5:$DH$304,0))),"")</f>
        <v/>
      </c>
      <c r="H151" s="148" t="str">
        <f>IFERROR(IF(INDEX('Portfolio Register'!$CY$5:$CY$304,MATCH($B151,'Portfolio Register'!$DH$5:$DH$304,0))="","",INDEX('Portfolio Register'!$CY$5:$CY$304,MATCH($B151,'Portfolio Register'!$DH$5:$DH$304,0))),"")</f>
        <v/>
      </c>
      <c r="I151" s="146" t="str">
        <f>IFERROR(IF(INDEX('Portfolio Register'!$CZ$5:$CZ$304,MATCH($B151,'Portfolio Register'!$DH$5:$DH$304,0))="","",INDEX('Portfolio Register'!$CZ$5:$CZ$304,MATCH($B151,'Portfolio Register'!$DH$5:$DH$304,0))),"")</f>
        <v/>
      </c>
      <c r="J151" s="146" t="str">
        <f>IFERROR(IF(INDEX('Portfolio Register'!$DA$5:$DA$304,MATCH($B151,'Portfolio Register'!$DH$5:$DH$304,0))="","",INDEX('Portfolio Register'!$DA$5:$DA$304,MATCH($B151,'Portfolio Register'!$DH$5:$DH$304,0))),"")</f>
        <v/>
      </c>
      <c r="K151" s="146" t="str">
        <f>IFERROR(IF(INDEX('Portfolio Register'!$DB$5:$DB$304,MATCH($B151,'Portfolio Register'!$DH$5:$DH$304,0))="","",INDEX('Portfolio Register'!$DB$5:$DB$304,MATCH($B151,'Portfolio Register'!$DH$5:$DH$304,0))),"")</f>
        <v/>
      </c>
      <c r="L151" s="146" t="str">
        <f>IFERROR(IF(INDEX('Portfolio Register'!$DC$5:$DC$304,MATCH($B151,'Portfolio Register'!$DH$5:$DH$304,0))="","",INDEX('Portfolio Register'!$DC$5:$DC$304,MATCH($B151,'Portfolio Register'!$DH$5:$DH$304,0))),"")</f>
        <v/>
      </c>
      <c r="M151" s="149" t="str">
        <f>IFERROR(IF(INDEX('Portfolio Register'!$DD$5:$DD$304,MATCH($B151,'Portfolio Register'!$DH$5:$DH$304,0))="","",INDEX('Portfolio Register'!$DD$5:$DD$304,MATCH($B151,'Portfolio Register'!$DH$5:$DH$304,0))),"")</f>
        <v/>
      </c>
      <c r="N151" s="150" t="str">
        <f ca="1">IF($C151="","",IF($M151&lt;&gt;"",$M151-IFERROR(INDEX('Portfolio Register'!$C$5:$C$304,MATCH($B151,'Portfolio Register'!$DH$5:$DH$304,0)),$M151),TODAY()-IFERROR(INDEX('Portfolio Register'!$C$5:$C$304,MATCH($B151,'Portfolio Register'!$DH$5:$DH$304,0)),TODAY())))</f>
        <v/>
      </c>
      <c r="O151" s="151" t="str">
        <f t="shared" si="3"/>
        <v/>
      </c>
      <c r="P151" s="146" t="str">
        <f>IFERROR(IF(INDEX('Portfolio Register'!$DG$5:$DG$304,MATCH($B151,'Portfolio Register'!$DH$5:$DH$304,0))="","",INDEX('Portfolio Register'!$DG$5:$DG$304,MATCH($B151,'Portfolio Register'!$DH$5:$DH$304,0))),"")</f>
        <v/>
      </c>
      <c r="Q151" s="146" t="str">
        <f>IFERROR(IF(INDEX('Portfolio Register'!$DF$5:$DF$304,MATCH($B151,'Portfolio Register'!$DH$5:$DH$304,0))="","",INDEX('Portfolio Register'!$DF$5:$DF$304,MATCH($B151,'Portfolio Register'!$DH$5:$DH$304,0))),"")</f>
        <v/>
      </c>
    </row>
    <row r="152" spans="2:17" x14ac:dyDescent="0.25">
      <c r="B152" s="56">
        <v>125</v>
      </c>
      <c r="C152" s="140" t="str">
        <f>IFERROR(IF(INDEX('Portfolio Register'!$A$5:$A$304,MATCH($B152,'Portfolio Register'!$DH$5:$DH$304,0))="","",INDEX('Portfolio Register'!$A$5:$A$304,MATCH($B152,'Portfolio Register'!$DH$5:$DH$304,0))),"")</f>
        <v/>
      </c>
      <c r="D152" s="140" t="str">
        <f>IFERROR(IF(INDEX('Portfolio Register'!$B$5:$B$304,MATCH($B152,'Portfolio Register'!$DH$5:$DH$304,0))="","",INDEX('Portfolio Register'!$B$5:$B$304,MATCH($B152,'Portfolio Register'!$DH$5:$DH$304,0))),"")</f>
        <v/>
      </c>
      <c r="E152" s="140" t="str">
        <f>IFERROR(IF(INDEX('Portfolio Register'!$I$5:$I$304,MATCH($B152,'Portfolio Register'!$DH$5:$DH$304,0))="","",INDEX('Portfolio Register'!$I$5:$I$304,MATCH($B152,'Portfolio Register'!$DH$5:$DH$304,0))),"")</f>
        <v/>
      </c>
      <c r="F152" s="141" t="str">
        <f>IFERROR(IF(INDEX('Portfolio Register'!$J$5:$J$304,MATCH($B152,'Portfolio Register'!$DH$5:$DH$304,0))="","",INDEX('Portfolio Register'!$J$5:$J$304,MATCH($B152,'Portfolio Register'!$DH$5:$DH$304,0))),"")</f>
        <v/>
      </c>
      <c r="G152" s="140" t="str">
        <f>IFERROR(IF(INDEX('Portfolio Register'!$CX$5:$CX$304,MATCH($B152,'Portfolio Register'!$DH$5:$DH$304,0))="","",INDEX('Portfolio Register'!$CX$5:$CX$304,MATCH($B152,'Portfolio Register'!$DH$5:$DH$304,0))),"")</f>
        <v/>
      </c>
      <c r="H152" s="142" t="str">
        <f>IFERROR(IF(INDEX('Portfolio Register'!$CY$5:$CY$304,MATCH($B152,'Portfolio Register'!$DH$5:$DH$304,0))="","",INDEX('Portfolio Register'!$CY$5:$CY$304,MATCH($B152,'Portfolio Register'!$DH$5:$DH$304,0))),"")</f>
        <v/>
      </c>
      <c r="I152" s="140" t="str">
        <f>IFERROR(IF(INDEX('Portfolio Register'!$CZ$5:$CZ$304,MATCH($B152,'Portfolio Register'!$DH$5:$DH$304,0))="","",INDEX('Portfolio Register'!$CZ$5:$CZ$304,MATCH($B152,'Portfolio Register'!$DH$5:$DH$304,0))),"")</f>
        <v/>
      </c>
      <c r="J152" s="140" t="str">
        <f>IFERROR(IF(INDEX('Portfolio Register'!$DA$5:$DA$304,MATCH($B152,'Portfolio Register'!$DH$5:$DH$304,0))="","",INDEX('Portfolio Register'!$DA$5:$DA$304,MATCH($B152,'Portfolio Register'!$DH$5:$DH$304,0))),"")</f>
        <v/>
      </c>
      <c r="K152" s="140" t="str">
        <f>IFERROR(IF(INDEX('Portfolio Register'!$DB$5:$DB$304,MATCH($B152,'Portfolio Register'!$DH$5:$DH$304,0))="","",INDEX('Portfolio Register'!$DB$5:$DB$304,MATCH($B152,'Portfolio Register'!$DH$5:$DH$304,0))),"")</f>
        <v/>
      </c>
      <c r="L152" s="140" t="str">
        <f>IFERROR(IF(INDEX('Portfolio Register'!$DC$5:$DC$304,MATCH($B152,'Portfolio Register'!$DH$5:$DH$304,0))="","",INDEX('Portfolio Register'!$DC$5:$DC$304,MATCH($B152,'Portfolio Register'!$DH$5:$DH$304,0))),"")</f>
        <v/>
      </c>
      <c r="M152" s="143" t="str">
        <f>IFERROR(IF(INDEX('Portfolio Register'!$DD$5:$DD$304,MATCH($B152,'Portfolio Register'!$DH$5:$DH$304,0))="","",INDEX('Portfolio Register'!$DD$5:$DD$304,MATCH($B152,'Portfolio Register'!$DH$5:$DH$304,0))),"")</f>
        <v/>
      </c>
      <c r="N152" s="144" t="str">
        <f ca="1">IF($C152="","",IF($M152&lt;&gt;"",$M152-IFERROR(INDEX('Portfolio Register'!$C$5:$C$304,MATCH($B152,'Portfolio Register'!$DH$5:$DH$304,0)),$M152),TODAY()-IFERROR(INDEX('Portfolio Register'!$C$5:$C$304,MATCH($B152,'Portfolio Register'!$DH$5:$DH$304,0)),TODAY())))</f>
        <v/>
      </c>
      <c r="O152" s="145" t="str">
        <f t="shared" si="3"/>
        <v/>
      </c>
      <c r="P152" s="140" t="str">
        <f>IFERROR(IF(INDEX('Portfolio Register'!$DG$5:$DG$304,MATCH($B152,'Portfolio Register'!$DH$5:$DH$304,0))="","",INDEX('Portfolio Register'!$DG$5:$DG$304,MATCH($B152,'Portfolio Register'!$DH$5:$DH$304,0))),"")</f>
        <v/>
      </c>
      <c r="Q152" s="140" t="str">
        <f>IFERROR(IF(INDEX('Portfolio Register'!$DF$5:$DF$304,MATCH($B152,'Portfolio Register'!$DH$5:$DH$304,0))="","",INDEX('Portfolio Register'!$DF$5:$DF$304,MATCH($B152,'Portfolio Register'!$DH$5:$DH$304,0))),"")</f>
        <v/>
      </c>
    </row>
    <row r="153" spans="2:17" x14ac:dyDescent="0.25">
      <c r="B153" s="63">
        <v>126</v>
      </c>
      <c r="C153" s="146" t="str">
        <f>IFERROR(IF(INDEX('Portfolio Register'!$A$5:$A$304,MATCH($B153,'Portfolio Register'!$DH$5:$DH$304,0))="","",INDEX('Portfolio Register'!$A$5:$A$304,MATCH($B153,'Portfolio Register'!$DH$5:$DH$304,0))),"")</f>
        <v/>
      </c>
      <c r="D153" s="146" t="str">
        <f>IFERROR(IF(INDEX('Portfolio Register'!$B$5:$B$304,MATCH($B153,'Portfolio Register'!$DH$5:$DH$304,0))="","",INDEX('Portfolio Register'!$B$5:$B$304,MATCH($B153,'Portfolio Register'!$DH$5:$DH$304,0))),"")</f>
        <v/>
      </c>
      <c r="E153" s="146" t="str">
        <f>IFERROR(IF(INDEX('Portfolio Register'!$I$5:$I$304,MATCH($B153,'Portfolio Register'!$DH$5:$DH$304,0))="","",INDEX('Portfolio Register'!$I$5:$I$304,MATCH($B153,'Portfolio Register'!$DH$5:$DH$304,0))),"")</f>
        <v/>
      </c>
      <c r="F153" s="147" t="str">
        <f>IFERROR(IF(INDEX('Portfolio Register'!$J$5:$J$304,MATCH($B153,'Portfolio Register'!$DH$5:$DH$304,0))="","",INDEX('Portfolio Register'!$J$5:$J$304,MATCH($B153,'Portfolio Register'!$DH$5:$DH$304,0))),"")</f>
        <v/>
      </c>
      <c r="G153" s="146" t="str">
        <f>IFERROR(IF(INDEX('Portfolio Register'!$CX$5:$CX$304,MATCH($B153,'Portfolio Register'!$DH$5:$DH$304,0))="","",INDEX('Portfolio Register'!$CX$5:$CX$304,MATCH($B153,'Portfolio Register'!$DH$5:$DH$304,0))),"")</f>
        <v/>
      </c>
      <c r="H153" s="148" t="str">
        <f>IFERROR(IF(INDEX('Portfolio Register'!$CY$5:$CY$304,MATCH($B153,'Portfolio Register'!$DH$5:$DH$304,0))="","",INDEX('Portfolio Register'!$CY$5:$CY$304,MATCH($B153,'Portfolio Register'!$DH$5:$DH$304,0))),"")</f>
        <v/>
      </c>
      <c r="I153" s="146" t="str">
        <f>IFERROR(IF(INDEX('Portfolio Register'!$CZ$5:$CZ$304,MATCH($B153,'Portfolio Register'!$DH$5:$DH$304,0))="","",INDEX('Portfolio Register'!$CZ$5:$CZ$304,MATCH($B153,'Portfolio Register'!$DH$5:$DH$304,0))),"")</f>
        <v/>
      </c>
      <c r="J153" s="146" t="str">
        <f>IFERROR(IF(INDEX('Portfolio Register'!$DA$5:$DA$304,MATCH($B153,'Portfolio Register'!$DH$5:$DH$304,0))="","",INDEX('Portfolio Register'!$DA$5:$DA$304,MATCH($B153,'Portfolio Register'!$DH$5:$DH$304,0))),"")</f>
        <v/>
      </c>
      <c r="K153" s="146" t="str">
        <f>IFERROR(IF(INDEX('Portfolio Register'!$DB$5:$DB$304,MATCH($B153,'Portfolio Register'!$DH$5:$DH$304,0))="","",INDEX('Portfolio Register'!$DB$5:$DB$304,MATCH($B153,'Portfolio Register'!$DH$5:$DH$304,0))),"")</f>
        <v/>
      </c>
      <c r="L153" s="146" t="str">
        <f>IFERROR(IF(INDEX('Portfolio Register'!$DC$5:$DC$304,MATCH($B153,'Portfolio Register'!$DH$5:$DH$304,0))="","",INDEX('Portfolio Register'!$DC$5:$DC$304,MATCH($B153,'Portfolio Register'!$DH$5:$DH$304,0))),"")</f>
        <v/>
      </c>
      <c r="M153" s="149" t="str">
        <f>IFERROR(IF(INDEX('Portfolio Register'!$DD$5:$DD$304,MATCH($B153,'Portfolio Register'!$DH$5:$DH$304,0))="","",INDEX('Portfolio Register'!$DD$5:$DD$304,MATCH($B153,'Portfolio Register'!$DH$5:$DH$304,0))),"")</f>
        <v/>
      </c>
      <c r="N153" s="150" t="str">
        <f ca="1">IF($C153="","",IF($M153&lt;&gt;"",$M153-IFERROR(INDEX('Portfolio Register'!$C$5:$C$304,MATCH($B153,'Portfolio Register'!$DH$5:$DH$304,0)),$M153),TODAY()-IFERROR(INDEX('Portfolio Register'!$C$5:$C$304,MATCH($B153,'Portfolio Register'!$DH$5:$DH$304,0)),TODAY())))</f>
        <v/>
      </c>
      <c r="O153" s="151" t="str">
        <f t="shared" si="3"/>
        <v/>
      </c>
      <c r="P153" s="146" t="str">
        <f>IFERROR(IF(INDEX('Portfolio Register'!$DG$5:$DG$304,MATCH($B153,'Portfolio Register'!$DH$5:$DH$304,0))="","",INDEX('Portfolio Register'!$DG$5:$DG$304,MATCH($B153,'Portfolio Register'!$DH$5:$DH$304,0))),"")</f>
        <v/>
      </c>
      <c r="Q153" s="146" t="str">
        <f>IFERROR(IF(INDEX('Portfolio Register'!$DF$5:$DF$304,MATCH($B153,'Portfolio Register'!$DH$5:$DH$304,0))="","",INDEX('Portfolio Register'!$DF$5:$DF$304,MATCH($B153,'Portfolio Register'!$DH$5:$DH$304,0))),"")</f>
        <v/>
      </c>
    </row>
    <row r="154" spans="2:17" x14ac:dyDescent="0.25">
      <c r="B154" s="56">
        <v>127</v>
      </c>
      <c r="C154" s="140" t="str">
        <f>IFERROR(IF(INDEX('Portfolio Register'!$A$5:$A$304,MATCH($B154,'Portfolio Register'!$DH$5:$DH$304,0))="","",INDEX('Portfolio Register'!$A$5:$A$304,MATCH($B154,'Portfolio Register'!$DH$5:$DH$304,0))),"")</f>
        <v/>
      </c>
      <c r="D154" s="140" t="str">
        <f>IFERROR(IF(INDEX('Portfolio Register'!$B$5:$B$304,MATCH($B154,'Portfolio Register'!$DH$5:$DH$304,0))="","",INDEX('Portfolio Register'!$B$5:$B$304,MATCH($B154,'Portfolio Register'!$DH$5:$DH$304,0))),"")</f>
        <v/>
      </c>
      <c r="E154" s="140" t="str">
        <f>IFERROR(IF(INDEX('Portfolio Register'!$I$5:$I$304,MATCH($B154,'Portfolio Register'!$DH$5:$DH$304,0))="","",INDEX('Portfolio Register'!$I$5:$I$304,MATCH($B154,'Portfolio Register'!$DH$5:$DH$304,0))),"")</f>
        <v/>
      </c>
      <c r="F154" s="141" t="str">
        <f>IFERROR(IF(INDEX('Portfolio Register'!$J$5:$J$304,MATCH($B154,'Portfolio Register'!$DH$5:$DH$304,0))="","",INDEX('Portfolio Register'!$J$5:$J$304,MATCH($B154,'Portfolio Register'!$DH$5:$DH$304,0))),"")</f>
        <v/>
      </c>
      <c r="G154" s="140" t="str">
        <f>IFERROR(IF(INDEX('Portfolio Register'!$CX$5:$CX$304,MATCH($B154,'Portfolio Register'!$DH$5:$DH$304,0))="","",INDEX('Portfolio Register'!$CX$5:$CX$304,MATCH($B154,'Portfolio Register'!$DH$5:$DH$304,0))),"")</f>
        <v/>
      </c>
      <c r="H154" s="142" t="str">
        <f>IFERROR(IF(INDEX('Portfolio Register'!$CY$5:$CY$304,MATCH($B154,'Portfolio Register'!$DH$5:$DH$304,0))="","",INDEX('Portfolio Register'!$CY$5:$CY$304,MATCH($B154,'Portfolio Register'!$DH$5:$DH$304,0))),"")</f>
        <v/>
      </c>
      <c r="I154" s="140" t="str">
        <f>IFERROR(IF(INDEX('Portfolio Register'!$CZ$5:$CZ$304,MATCH($B154,'Portfolio Register'!$DH$5:$DH$304,0))="","",INDEX('Portfolio Register'!$CZ$5:$CZ$304,MATCH($B154,'Portfolio Register'!$DH$5:$DH$304,0))),"")</f>
        <v/>
      </c>
      <c r="J154" s="140" t="str">
        <f>IFERROR(IF(INDEX('Portfolio Register'!$DA$5:$DA$304,MATCH($B154,'Portfolio Register'!$DH$5:$DH$304,0))="","",INDEX('Portfolio Register'!$DA$5:$DA$304,MATCH($B154,'Portfolio Register'!$DH$5:$DH$304,0))),"")</f>
        <v/>
      </c>
      <c r="K154" s="140" t="str">
        <f>IFERROR(IF(INDEX('Portfolio Register'!$DB$5:$DB$304,MATCH($B154,'Portfolio Register'!$DH$5:$DH$304,0))="","",INDEX('Portfolio Register'!$DB$5:$DB$304,MATCH($B154,'Portfolio Register'!$DH$5:$DH$304,0))),"")</f>
        <v/>
      </c>
      <c r="L154" s="140" t="str">
        <f>IFERROR(IF(INDEX('Portfolio Register'!$DC$5:$DC$304,MATCH($B154,'Portfolio Register'!$DH$5:$DH$304,0))="","",INDEX('Portfolio Register'!$DC$5:$DC$304,MATCH($B154,'Portfolio Register'!$DH$5:$DH$304,0))),"")</f>
        <v/>
      </c>
      <c r="M154" s="143" t="str">
        <f>IFERROR(IF(INDEX('Portfolio Register'!$DD$5:$DD$304,MATCH($B154,'Portfolio Register'!$DH$5:$DH$304,0))="","",INDEX('Portfolio Register'!$DD$5:$DD$304,MATCH($B154,'Portfolio Register'!$DH$5:$DH$304,0))),"")</f>
        <v/>
      </c>
      <c r="N154" s="144" t="str">
        <f ca="1">IF($C154="","",IF($M154&lt;&gt;"",$M154-IFERROR(INDEX('Portfolio Register'!$C$5:$C$304,MATCH($B154,'Portfolio Register'!$DH$5:$DH$304,0)),$M154),TODAY()-IFERROR(INDEX('Portfolio Register'!$C$5:$C$304,MATCH($B154,'Portfolio Register'!$DH$5:$DH$304,0)),TODAY())))</f>
        <v/>
      </c>
      <c r="O154" s="145" t="str">
        <f t="shared" si="3"/>
        <v/>
      </c>
      <c r="P154" s="140" t="str">
        <f>IFERROR(IF(INDEX('Portfolio Register'!$DG$5:$DG$304,MATCH($B154,'Portfolio Register'!$DH$5:$DH$304,0))="","",INDEX('Portfolio Register'!$DG$5:$DG$304,MATCH($B154,'Portfolio Register'!$DH$5:$DH$304,0))),"")</f>
        <v/>
      </c>
      <c r="Q154" s="140" t="str">
        <f>IFERROR(IF(INDEX('Portfolio Register'!$DF$5:$DF$304,MATCH($B154,'Portfolio Register'!$DH$5:$DH$304,0))="","",INDEX('Portfolio Register'!$DF$5:$DF$304,MATCH($B154,'Portfolio Register'!$DH$5:$DH$304,0))),"")</f>
        <v/>
      </c>
    </row>
    <row r="155" spans="2:17" x14ac:dyDescent="0.25">
      <c r="B155" s="63">
        <v>128</v>
      </c>
      <c r="C155" s="146" t="str">
        <f>IFERROR(IF(INDEX('Portfolio Register'!$A$5:$A$304,MATCH($B155,'Portfolio Register'!$DH$5:$DH$304,0))="","",INDEX('Portfolio Register'!$A$5:$A$304,MATCH($B155,'Portfolio Register'!$DH$5:$DH$304,0))),"")</f>
        <v/>
      </c>
      <c r="D155" s="146" t="str">
        <f>IFERROR(IF(INDEX('Portfolio Register'!$B$5:$B$304,MATCH($B155,'Portfolio Register'!$DH$5:$DH$304,0))="","",INDEX('Portfolio Register'!$B$5:$B$304,MATCH($B155,'Portfolio Register'!$DH$5:$DH$304,0))),"")</f>
        <v/>
      </c>
      <c r="E155" s="146" t="str">
        <f>IFERROR(IF(INDEX('Portfolio Register'!$I$5:$I$304,MATCH($B155,'Portfolio Register'!$DH$5:$DH$304,0))="","",INDEX('Portfolio Register'!$I$5:$I$304,MATCH($B155,'Portfolio Register'!$DH$5:$DH$304,0))),"")</f>
        <v/>
      </c>
      <c r="F155" s="147" t="str">
        <f>IFERROR(IF(INDEX('Portfolio Register'!$J$5:$J$304,MATCH($B155,'Portfolio Register'!$DH$5:$DH$304,0))="","",INDEX('Portfolio Register'!$J$5:$J$304,MATCH($B155,'Portfolio Register'!$DH$5:$DH$304,0))),"")</f>
        <v/>
      </c>
      <c r="G155" s="146" t="str">
        <f>IFERROR(IF(INDEX('Portfolio Register'!$CX$5:$CX$304,MATCH($B155,'Portfolio Register'!$DH$5:$DH$304,0))="","",INDEX('Portfolio Register'!$CX$5:$CX$304,MATCH($B155,'Portfolio Register'!$DH$5:$DH$304,0))),"")</f>
        <v/>
      </c>
      <c r="H155" s="148" t="str">
        <f>IFERROR(IF(INDEX('Portfolio Register'!$CY$5:$CY$304,MATCH($B155,'Portfolio Register'!$DH$5:$DH$304,0))="","",INDEX('Portfolio Register'!$CY$5:$CY$304,MATCH($B155,'Portfolio Register'!$DH$5:$DH$304,0))),"")</f>
        <v/>
      </c>
      <c r="I155" s="146" t="str">
        <f>IFERROR(IF(INDEX('Portfolio Register'!$CZ$5:$CZ$304,MATCH($B155,'Portfolio Register'!$DH$5:$DH$304,0))="","",INDEX('Portfolio Register'!$CZ$5:$CZ$304,MATCH($B155,'Portfolio Register'!$DH$5:$DH$304,0))),"")</f>
        <v/>
      </c>
      <c r="J155" s="146" t="str">
        <f>IFERROR(IF(INDEX('Portfolio Register'!$DA$5:$DA$304,MATCH($B155,'Portfolio Register'!$DH$5:$DH$304,0))="","",INDEX('Portfolio Register'!$DA$5:$DA$304,MATCH($B155,'Portfolio Register'!$DH$5:$DH$304,0))),"")</f>
        <v/>
      </c>
      <c r="K155" s="146" t="str">
        <f>IFERROR(IF(INDEX('Portfolio Register'!$DB$5:$DB$304,MATCH($B155,'Portfolio Register'!$DH$5:$DH$304,0))="","",INDEX('Portfolio Register'!$DB$5:$DB$304,MATCH($B155,'Portfolio Register'!$DH$5:$DH$304,0))),"")</f>
        <v/>
      </c>
      <c r="L155" s="146" t="str">
        <f>IFERROR(IF(INDEX('Portfolio Register'!$DC$5:$DC$304,MATCH($B155,'Portfolio Register'!$DH$5:$DH$304,0))="","",INDEX('Portfolio Register'!$DC$5:$DC$304,MATCH($B155,'Portfolio Register'!$DH$5:$DH$304,0))),"")</f>
        <v/>
      </c>
      <c r="M155" s="149" t="str">
        <f>IFERROR(IF(INDEX('Portfolio Register'!$DD$5:$DD$304,MATCH($B155,'Portfolio Register'!$DH$5:$DH$304,0))="","",INDEX('Portfolio Register'!$DD$5:$DD$304,MATCH($B155,'Portfolio Register'!$DH$5:$DH$304,0))),"")</f>
        <v/>
      </c>
      <c r="N155" s="150" t="str">
        <f ca="1">IF($C155="","",IF($M155&lt;&gt;"",$M155-IFERROR(INDEX('Portfolio Register'!$C$5:$C$304,MATCH($B155,'Portfolio Register'!$DH$5:$DH$304,0)),$M155),TODAY()-IFERROR(INDEX('Portfolio Register'!$C$5:$C$304,MATCH($B155,'Portfolio Register'!$DH$5:$DH$304,0)),TODAY())))</f>
        <v/>
      </c>
      <c r="O155" s="151" t="str">
        <f t="shared" si="3"/>
        <v/>
      </c>
      <c r="P155" s="146" t="str">
        <f>IFERROR(IF(INDEX('Portfolio Register'!$DG$5:$DG$304,MATCH($B155,'Portfolio Register'!$DH$5:$DH$304,0))="","",INDEX('Portfolio Register'!$DG$5:$DG$304,MATCH($B155,'Portfolio Register'!$DH$5:$DH$304,0))),"")</f>
        <v/>
      </c>
      <c r="Q155" s="146" t="str">
        <f>IFERROR(IF(INDEX('Portfolio Register'!$DF$5:$DF$304,MATCH($B155,'Portfolio Register'!$DH$5:$DH$304,0))="","",INDEX('Portfolio Register'!$DF$5:$DF$304,MATCH($B155,'Portfolio Register'!$DH$5:$DH$304,0))),"")</f>
        <v/>
      </c>
    </row>
    <row r="156" spans="2:17" x14ac:dyDescent="0.25">
      <c r="B156" s="56">
        <v>129</v>
      </c>
      <c r="C156" s="140" t="str">
        <f>IFERROR(IF(INDEX('Portfolio Register'!$A$5:$A$304,MATCH($B156,'Portfolio Register'!$DH$5:$DH$304,0))="","",INDEX('Portfolio Register'!$A$5:$A$304,MATCH($B156,'Portfolio Register'!$DH$5:$DH$304,0))),"")</f>
        <v/>
      </c>
      <c r="D156" s="140" t="str">
        <f>IFERROR(IF(INDEX('Portfolio Register'!$B$5:$B$304,MATCH($B156,'Portfolio Register'!$DH$5:$DH$304,0))="","",INDEX('Portfolio Register'!$B$5:$B$304,MATCH($B156,'Portfolio Register'!$DH$5:$DH$304,0))),"")</f>
        <v/>
      </c>
      <c r="E156" s="140" t="str">
        <f>IFERROR(IF(INDEX('Portfolio Register'!$I$5:$I$304,MATCH($B156,'Portfolio Register'!$DH$5:$DH$304,0))="","",INDEX('Portfolio Register'!$I$5:$I$304,MATCH($B156,'Portfolio Register'!$DH$5:$DH$304,0))),"")</f>
        <v/>
      </c>
      <c r="F156" s="141" t="str">
        <f>IFERROR(IF(INDEX('Portfolio Register'!$J$5:$J$304,MATCH($B156,'Portfolio Register'!$DH$5:$DH$304,0))="","",INDEX('Portfolio Register'!$J$5:$J$304,MATCH($B156,'Portfolio Register'!$DH$5:$DH$304,0))),"")</f>
        <v/>
      </c>
      <c r="G156" s="140" t="str">
        <f>IFERROR(IF(INDEX('Portfolio Register'!$CX$5:$CX$304,MATCH($B156,'Portfolio Register'!$DH$5:$DH$304,0))="","",INDEX('Portfolio Register'!$CX$5:$CX$304,MATCH($B156,'Portfolio Register'!$DH$5:$DH$304,0))),"")</f>
        <v/>
      </c>
      <c r="H156" s="142" t="str">
        <f>IFERROR(IF(INDEX('Portfolio Register'!$CY$5:$CY$304,MATCH($B156,'Portfolio Register'!$DH$5:$DH$304,0))="","",INDEX('Portfolio Register'!$CY$5:$CY$304,MATCH($B156,'Portfolio Register'!$DH$5:$DH$304,0))),"")</f>
        <v/>
      </c>
      <c r="I156" s="140" t="str">
        <f>IFERROR(IF(INDEX('Portfolio Register'!$CZ$5:$CZ$304,MATCH($B156,'Portfolio Register'!$DH$5:$DH$304,0))="","",INDEX('Portfolio Register'!$CZ$5:$CZ$304,MATCH($B156,'Portfolio Register'!$DH$5:$DH$304,0))),"")</f>
        <v/>
      </c>
      <c r="J156" s="140" t="str">
        <f>IFERROR(IF(INDEX('Portfolio Register'!$DA$5:$DA$304,MATCH($B156,'Portfolio Register'!$DH$5:$DH$304,0))="","",INDEX('Portfolio Register'!$DA$5:$DA$304,MATCH($B156,'Portfolio Register'!$DH$5:$DH$304,0))),"")</f>
        <v/>
      </c>
      <c r="K156" s="140" t="str">
        <f>IFERROR(IF(INDEX('Portfolio Register'!$DB$5:$DB$304,MATCH($B156,'Portfolio Register'!$DH$5:$DH$304,0))="","",INDEX('Portfolio Register'!$DB$5:$DB$304,MATCH($B156,'Portfolio Register'!$DH$5:$DH$304,0))),"")</f>
        <v/>
      </c>
      <c r="L156" s="140" t="str">
        <f>IFERROR(IF(INDEX('Portfolio Register'!$DC$5:$DC$304,MATCH($B156,'Portfolio Register'!$DH$5:$DH$304,0))="","",INDEX('Portfolio Register'!$DC$5:$DC$304,MATCH($B156,'Portfolio Register'!$DH$5:$DH$304,0))),"")</f>
        <v/>
      </c>
      <c r="M156" s="143" t="str">
        <f>IFERROR(IF(INDEX('Portfolio Register'!$DD$5:$DD$304,MATCH($B156,'Portfolio Register'!$DH$5:$DH$304,0))="","",INDEX('Portfolio Register'!$DD$5:$DD$304,MATCH($B156,'Portfolio Register'!$DH$5:$DH$304,0))),"")</f>
        <v/>
      </c>
      <c r="N156" s="144" t="str">
        <f ca="1">IF($C156="","",IF($M156&lt;&gt;"",$M156-IFERROR(INDEX('Portfolio Register'!$C$5:$C$304,MATCH($B156,'Portfolio Register'!$DH$5:$DH$304,0)),$M156),TODAY()-IFERROR(INDEX('Portfolio Register'!$C$5:$C$304,MATCH($B156,'Portfolio Register'!$DH$5:$DH$304,0)),TODAY())))</f>
        <v/>
      </c>
      <c r="O156" s="145" t="str">
        <f t="shared" ref="O156:O177" si="4">IF($C156="","",IF($L156="","NO ROLE RECORDED",IF($H156&lt;IFERROR(INDEX($C$6:$C$10,MATCH($L156,$B$6:$B$10,0)),-99),"INSUFFICIENT AUTHORITY - escalate","OK")))</f>
        <v/>
      </c>
      <c r="P156" s="140" t="str">
        <f>IFERROR(IF(INDEX('Portfolio Register'!$DG$5:$DG$304,MATCH($B156,'Portfolio Register'!$DH$5:$DH$304,0))="","",INDEX('Portfolio Register'!$DG$5:$DG$304,MATCH($B156,'Portfolio Register'!$DH$5:$DH$304,0))),"")</f>
        <v/>
      </c>
      <c r="Q156" s="140" t="str">
        <f>IFERROR(IF(INDEX('Portfolio Register'!$DF$5:$DF$304,MATCH($B156,'Portfolio Register'!$DH$5:$DH$304,0))="","",INDEX('Portfolio Register'!$DF$5:$DF$304,MATCH($B156,'Portfolio Register'!$DH$5:$DH$304,0))),"")</f>
        <v/>
      </c>
    </row>
    <row r="157" spans="2:17" x14ac:dyDescent="0.25">
      <c r="B157" s="63">
        <v>130</v>
      </c>
      <c r="C157" s="146" t="str">
        <f>IFERROR(IF(INDEX('Portfolio Register'!$A$5:$A$304,MATCH($B157,'Portfolio Register'!$DH$5:$DH$304,0))="","",INDEX('Portfolio Register'!$A$5:$A$304,MATCH($B157,'Portfolio Register'!$DH$5:$DH$304,0))),"")</f>
        <v/>
      </c>
      <c r="D157" s="146" t="str">
        <f>IFERROR(IF(INDEX('Portfolio Register'!$B$5:$B$304,MATCH($B157,'Portfolio Register'!$DH$5:$DH$304,0))="","",INDEX('Portfolio Register'!$B$5:$B$304,MATCH($B157,'Portfolio Register'!$DH$5:$DH$304,0))),"")</f>
        <v/>
      </c>
      <c r="E157" s="146" t="str">
        <f>IFERROR(IF(INDEX('Portfolio Register'!$I$5:$I$304,MATCH($B157,'Portfolio Register'!$DH$5:$DH$304,0))="","",INDEX('Portfolio Register'!$I$5:$I$304,MATCH($B157,'Portfolio Register'!$DH$5:$DH$304,0))),"")</f>
        <v/>
      </c>
      <c r="F157" s="147" t="str">
        <f>IFERROR(IF(INDEX('Portfolio Register'!$J$5:$J$304,MATCH($B157,'Portfolio Register'!$DH$5:$DH$304,0))="","",INDEX('Portfolio Register'!$J$5:$J$304,MATCH($B157,'Portfolio Register'!$DH$5:$DH$304,0))),"")</f>
        <v/>
      </c>
      <c r="G157" s="146" t="str">
        <f>IFERROR(IF(INDEX('Portfolio Register'!$CX$5:$CX$304,MATCH($B157,'Portfolio Register'!$DH$5:$DH$304,0))="","",INDEX('Portfolio Register'!$CX$5:$CX$304,MATCH($B157,'Portfolio Register'!$DH$5:$DH$304,0))),"")</f>
        <v/>
      </c>
      <c r="H157" s="148" t="str">
        <f>IFERROR(IF(INDEX('Portfolio Register'!$CY$5:$CY$304,MATCH($B157,'Portfolio Register'!$DH$5:$DH$304,0))="","",INDEX('Portfolio Register'!$CY$5:$CY$304,MATCH($B157,'Portfolio Register'!$DH$5:$DH$304,0))),"")</f>
        <v/>
      </c>
      <c r="I157" s="146" t="str">
        <f>IFERROR(IF(INDEX('Portfolio Register'!$CZ$5:$CZ$304,MATCH($B157,'Portfolio Register'!$DH$5:$DH$304,0))="","",INDEX('Portfolio Register'!$CZ$5:$CZ$304,MATCH($B157,'Portfolio Register'!$DH$5:$DH$304,0))),"")</f>
        <v/>
      </c>
      <c r="J157" s="146" t="str">
        <f>IFERROR(IF(INDEX('Portfolio Register'!$DA$5:$DA$304,MATCH($B157,'Portfolio Register'!$DH$5:$DH$304,0))="","",INDEX('Portfolio Register'!$DA$5:$DA$304,MATCH($B157,'Portfolio Register'!$DH$5:$DH$304,0))),"")</f>
        <v/>
      </c>
      <c r="K157" s="146" t="str">
        <f>IFERROR(IF(INDEX('Portfolio Register'!$DB$5:$DB$304,MATCH($B157,'Portfolio Register'!$DH$5:$DH$304,0))="","",INDEX('Portfolio Register'!$DB$5:$DB$304,MATCH($B157,'Portfolio Register'!$DH$5:$DH$304,0))),"")</f>
        <v/>
      </c>
      <c r="L157" s="146" t="str">
        <f>IFERROR(IF(INDEX('Portfolio Register'!$DC$5:$DC$304,MATCH($B157,'Portfolio Register'!$DH$5:$DH$304,0))="","",INDEX('Portfolio Register'!$DC$5:$DC$304,MATCH($B157,'Portfolio Register'!$DH$5:$DH$304,0))),"")</f>
        <v/>
      </c>
      <c r="M157" s="149" t="str">
        <f>IFERROR(IF(INDEX('Portfolio Register'!$DD$5:$DD$304,MATCH($B157,'Portfolio Register'!$DH$5:$DH$304,0))="","",INDEX('Portfolio Register'!$DD$5:$DD$304,MATCH($B157,'Portfolio Register'!$DH$5:$DH$304,0))),"")</f>
        <v/>
      </c>
      <c r="N157" s="150" t="str">
        <f ca="1">IF($C157="","",IF($M157&lt;&gt;"",$M157-IFERROR(INDEX('Portfolio Register'!$C$5:$C$304,MATCH($B157,'Portfolio Register'!$DH$5:$DH$304,0)),$M157),TODAY()-IFERROR(INDEX('Portfolio Register'!$C$5:$C$304,MATCH($B157,'Portfolio Register'!$DH$5:$DH$304,0)),TODAY())))</f>
        <v/>
      </c>
      <c r="O157" s="151" t="str">
        <f t="shared" si="4"/>
        <v/>
      </c>
      <c r="P157" s="146" t="str">
        <f>IFERROR(IF(INDEX('Portfolio Register'!$DG$5:$DG$304,MATCH($B157,'Portfolio Register'!$DH$5:$DH$304,0))="","",INDEX('Portfolio Register'!$DG$5:$DG$304,MATCH($B157,'Portfolio Register'!$DH$5:$DH$304,0))),"")</f>
        <v/>
      </c>
      <c r="Q157" s="146" t="str">
        <f>IFERROR(IF(INDEX('Portfolio Register'!$DF$5:$DF$304,MATCH($B157,'Portfolio Register'!$DH$5:$DH$304,0))="","",INDEX('Portfolio Register'!$DF$5:$DF$304,MATCH($B157,'Portfolio Register'!$DH$5:$DH$304,0))),"")</f>
        <v/>
      </c>
    </row>
    <row r="158" spans="2:17" x14ac:dyDescent="0.25">
      <c r="B158" s="56">
        <v>131</v>
      </c>
      <c r="C158" s="140" t="str">
        <f>IFERROR(IF(INDEX('Portfolio Register'!$A$5:$A$304,MATCH($B158,'Portfolio Register'!$DH$5:$DH$304,0))="","",INDEX('Portfolio Register'!$A$5:$A$304,MATCH($B158,'Portfolio Register'!$DH$5:$DH$304,0))),"")</f>
        <v/>
      </c>
      <c r="D158" s="140" t="str">
        <f>IFERROR(IF(INDEX('Portfolio Register'!$B$5:$B$304,MATCH($B158,'Portfolio Register'!$DH$5:$DH$304,0))="","",INDEX('Portfolio Register'!$B$5:$B$304,MATCH($B158,'Portfolio Register'!$DH$5:$DH$304,0))),"")</f>
        <v/>
      </c>
      <c r="E158" s="140" t="str">
        <f>IFERROR(IF(INDEX('Portfolio Register'!$I$5:$I$304,MATCH($B158,'Portfolio Register'!$DH$5:$DH$304,0))="","",INDEX('Portfolio Register'!$I$5:$I$304,MATCH($B158,'Portfolio Register'!$DH$5:$DH$304,0))),"")</f>
        <v/>
      </c>
      <c r="F158" s="141" t="str">
        <f>IFERROR(IF(INDEX('Portfolio Register'!$J$5:$J$304,MATCH($B158,'Portfolio Register'!$DH$5:$DH$304,0))="","",INDEX('Portfolio Register'!$J$5:$J$304,MATCH($B158,'Portfolio Register'!$DH$5:$DH$304,0))),"")</f>
        <v/>
      </c>
      <c r="G158" s="140" t="str">
        <f>IFERROR(IF(INDEX('Portfolio Register'!$CX$5:$CX$304,MATCH($B158,'Portfolio Register'!$DH$5:$DH$304,0))="","",INDEX('Portfolio Register'!$CX$5:$CX$304,MATCH($B158,'Portfolio Register'!$DH$5:$DH$304,0))),"")</f>
        <v/>
      </c>
      <c r="H158" s="142" t="str">
        <f>IFERROR(IF(INDEX('Portfolio Register'!$CY$5:$CY$304,MATCH($B158,'Portfolio Register'!$DH$5:$DH$304,0))="","",INDEX('Portfolio Register'!$CY$5:$CY$304,MATCH($B158,'Portfolio Register'!$DH$5:$DH$304,0))),"")</f>
        <v/>
      </c>
      <c r="I158" s="140" t="str">
        <f>IFERROR(IF(INDEX('Portfolio Register'!$CZ$5:$CZ$304,MATCH($B158,'Portfolio Register'!$DH$5:$DH$304,0))="","",INDEX('Portfolio Register'!$CZ$5:$CZ$304,MATCH($B158,'Portfolio Register'!$DH$5:$DH$304,0))),"")</f>
        <v/>
      </c>
      <c r="J158" s="140" t="str">
        <f>IFERROR(IF(INDEX('Portfolio Register'!$DA$5:$DA$304,MATCH($B158,'Portfolio Register'!$DH$5:$DH$304,0))="","",INDEX('Portfolio Register'!$DA$5:$DA$304,MATCH($B158,'Portfolio Register'!$DH$5:$DH$304,0))),"")</f>
        <v/>
      </c>
      <c r="K158" s="140" t="str">
        <f>IFERROR(IF(INDEX('Portfolio Register'!$DB$5:$DB$304,MATCH($B158,'Portfolio Register'!$DH$5:$DH$304,0))="","",INDEX('Portfolio Register'!$DB$5:$DB$304,MATCH($B158,'Portfolio Register'!$DH$5:$DH$304,0))),"")</f>
        <v/>
      </c>
      <c r="L158" s="140" t="str">
        <f>IFERROR(IF(INDEX('Portfolio Register'!$DC$5:$DC$304,MATCH($B158,'Portfolio Register'!$DH$5:$DH$304,0))="","",INDEX('Portfolio Register'!$DC$5:$DC$304,MATCH($B158,'Portfolio Register'!$DH$5:$DH$304,0))),"")</f>
        <v/>
      </c>
      <c r="M158" s="143" t="str">
        <f>IFERROR(IF(INDEX('Portfolio Register'!$DD$5:$DD$304,MATCH($B158,'Portfolio Register'!$DH$5:$DH$304,0))="","",INDEX('Portfolio Register'!$DD$5:$DD$304,MATCH($B158,'Portfolio Register'!$DH$5:$DH$304,0))),"")</f>
        <v/>
      </c>
      <c r="N158" s="144" t="str">
        <f ca="1">IF($C158="","",IF($M158&lt;&gt;"",$M158-IFERROR(INDEX('Portfolio Register'!$C$5:$C$304,MATCH($B158,'Portfolio Register'!$DH$5:$DH$304,0)),$M158),TODAY()-IFERROR(INDEX('Portfolio Register'!$C$5:$C$304,MATCH($B158,'Portfolio Register'!$DH$5:$DH$304,0)),TODAY())))</f>
        <v/>
      </c>
      <c r="O158" s="145" t="str">
        <f t="shared" si="4"/>
        <v/>
      </c>
      <c r="P158" s="140" t="str">
        <f>IFERROR(IF(INDEX('Portfolio Register'!$DG$5:$DG$304,MATCH($B158,'Portfolio Register'!$DH$5:$DH$304,0))="","",INDEX('Portfolio Register'!$DG$5:$DG$304,MATCH($B158,'Portfolio Register'!$DH$5:$DH$304,0))),"")</f>
        <v/>
      </c>
      <c r="Q158" s="140" t="str">
        <f>IFERROR(IF(INDEX('Portfolio Register'!$DF$5:$DF$304,MATCH($B158,'Portfolio Register'!$DH$5:$DH$304,0))="","",INDEX('Portfolio Register'!$DF$5:$DF$304,MATCH($B158,'Portfolio Register'!$DH$5:$DH$304,0))),"")</f>
        <v/>
      </c>
    </row>
    <row r="159" spans="2:17" x14ac:dyDescent="0.25">
      <c r="B159" s="63">
        <v>132</v>
      </c>
      <c r="C159" s="146" t="str">
        <f>IFERROR(IF(INDEX('Portfolio Register'!$A$5:$A$304,MATCH($B159,'Portfolio Register'!$DH$5:$DH$304,0))="","",INDEX('Portfolio Register'!$A$5:$A$304,MATCH($B159,'Portfolio Register'!$DH$5:$DH$304,0))),"")</f>
        <v/>
      </c>
      <c r="D159" s="146" t="str">
        <f>IFERROR(IF(INDEX('Portfolio Register'!$B$5:$B$304,MATCH($B159,'Portfolio Register'!$DH$5:$DH$304,0))="","",INDEX('Portfolio Register'!$B$5:$B$304,MATCH($B159,'Portfolio Register'!$DH$5:$DH$304,0))),"")</f>
        <v/>
      </c>
      <c r="E159" s="146" t="str">
        <f>IFERROR(IF(INDEX('Portfolio Register'!$I$5:$I$304,MATCH($B159,'Portfolio Register'!$DH$5:$DH$304,0))="","",INDEX('Portfolio Register'!$I$5:$I$304,MATCH($B159,'Portfolio Register'!$DH$5:$DH$304,0))),"")</f>
        <v/>
      </c>
      <c r="F159" s="147" t="str">
        <f>IFERROR(IF(INDEX('Portfolio Register'!$J$5:$J$304,MATCH($B159,'Portfolio Register'!$DH$5:$DH$304,0))="","",INDEX('Portfolio Register'!$J$5:$J$304,MATCH($B159,'Portfolio Register'!$DH$5:$DH$304,0))),"")</f>
        <v/>
      </c>
      <c r="G159" s="146" t="str">
        <f>IFERROR(IF(INDEX('Portfolio Register'!$CX$5:$CX$304,MATCH($B159,'Portfolio Register'!$DH$5:$DH$304,0))="","",INDEX('Portfolio Register'!$CX$5:$CX$304,MATCH($B159,'Portfolio Register'!$DH$5:$DH$304,0))),"")</f>
        <v/>
      </c>
      <c r="H159" s="148" t="str">
        <f>IFERROR(IF(INDEX('Portfolio Register'!$CY$5:$CY$304,MATCH($B159,'Portfolio Register'!$DH$5:$DH$304,0))="","",INDEX('Portfolio Register'!$CY$5:$CY$304,MATCH($B159,'Portfolio Register'!$DH$5:$DH$304,0))),"")</f>
        <v/>
      </c>
      <c r="I159" s="146" t="str">
        <f>IFERROR(IF(INDEX('Portfolio Register'!$CZ$5:$CZ$304,MATCH($B159,'Portfolio Register'!$DH$5:$DH$304,0))="","",INDEX('Portfolio Register'!$CZ$5:$CZ$304,MATCH($B159,'Portfolio Register'!$DH$5:$DH$304,0))),"")</f>
        <v/>
      </c>
      <c r="J159" s="146" t="str">
        <f>IFERROR(IF(INDEX('Portfolio Register'!$DA$5:$DA$304,MATCH($B159,'Portfolio Register'!$DH$5:$DH$304,0))="","",INDEX('Portfolio Register'!$DA$5:$DA$304,MATCH($B159,'Portfolio Register'!$DH$5:$DH$304,0))),"")</f>
        <v/>
      </c>
      <c r="K159" s="146" t="str">
        <f>IFERROR(IF(INDEX('Portfolio Register'!$DB$5:$DB$304,MATCH($B159,'Portfolio Register'!$DH$5:$DH$304,0))="","",INDEX('Portfolio Register'!$DB$5:$DB$304,MATCH($B159,'Portfolio Register'!$DH$5:$DH$304,0))),"")</f>
        <v/>
      </c>
      <c r="L159" s="146" t="str">
        <f>IFERROR(IF(INDEX('Portfolio Register'!$DC$5:$DC$304,MATCH($B159,'Portfolio Register'!$DH$5:$DH$304,0))="","",INDEX('Portfolio Register'!$DC$5:$DC$304,MATCH($B159,'Portfolio Register'!$DH$5:$DH$304,0))),"")</f>
        <v/>
      </c>
      <c r="M159" s="149" t="str">
        <f>IFERROR(IF(INDEX('Portfolio Register'!$DD$5:$DD$304,MATCH($B159,'Portfolio Register'!$DH$5:$DH$304,0))="","",INDEX('Portfolio Register'!$DD$5:$DD$304,MATCH($B159,'Portfolio Register'!$DH$5:$DH$304,0))),"")</f>
        <v/>
      </c>
      <c r="N159" s="150" t="str">
        <f ca="1">IF($C159="","",IF($M159&lt;&gt;"",$M159-IFERROR(INDEX('Portfolio Register'!$C$5:$C$304,MATCH($B159,'Portfolio Register'!$DH$5:$DH$304,0)),$M159),TODAY()-IFERROR(INDEX('Portfolio Register'!$C$5:$C$304,MATCH($B159,'Portfolio Register'!$DH$5:$DH$304,0)),TODAY())))</f>
        <v/>
      </c>
      <c r="O159" s="151" t="str">
        <f t="shared" si="4"/>
        <v/>
      </c>
      <c r="P159" s="146" t="str">
        <f>IFERROR(IF(INDEX('Portfolio Register'!$DG$5:$DG$304,MATCH($B159,'Portfolio Register'!$DH$5:$DH$304,0))="","",INDEX('Portfolio Register'!$DG$5:$DG$304,MATCH($B159,'Portfolio Register'!$DH$5:$DH$304,0))),"")</f>
        <v/>
      </c>
      <c r="Q159" s="146" t="str">
        <f>IFERROR(IF(INDEX('Portfolio Register'!$DF$5:$DF$304,MATCH($B159,'Portfolio Register'!$DH$5:$DH$304,0))="","",INDEX('Portfolio Register'!$DF$5:$DF$304,MATCH($B159,'Portfolio Register'!$DH$5:$DH$304,0))),"")</f>
        <v/>
      </c>
    </row>
    <row r="160" spans="2:17" x14ac:dyDescent="0.25">
      <c r="B160" s="56">
        <v>133</v>
      </c>
      <c r="C160" s="140" t="str">
        <f>IFERROR(IF(INDEX('Portfolio Register'!$A$5:$A$304,MATCH($B160,'Portfolio Register'!$DH$5:$DH$304,0))="","",INDEX('Portfolio Register'!$A$5:$A$304,MATCH($B160,'Portfolio Register'!$DH$5:$DH$304,0))),"")</f>
        <v/>
      </c>
      <c r="D160" s="140" t="str">
        <f>IFERROR(IF(INDEX('Portfolio Register'!$B$5:$B$304,MATCH($B160,'Portfolio Register'!$DH$5:$DH$304,0))="","",INDEX('Portfolio Register'!$B$5:$B$304,MATCH($B160,'Portfolio Register'!$DH$5:$DH$304,0))),"")</f>
        <v/>
      </c>
      <c r="E160" s="140" t="str">
        <f>IFERROR(IF(INDEX('Portfolio Register'!$I$5:$I$304,MATCH($B160,'Portfolio Register'!$DH$5:$DH$304,0))="","",INDEX('Portfolio Register'!$I$5:$I$304,MATCH($B160,'Portfolio Register'!$DH$5:$DH$304,0))),"")</f>
        <v/>
      </c>
      <c r="F160" s="141" t="str">
        <f>IFERROR(IF(INDEX('Portfolio Register'!$J$5:$J$304,MATCH($B160,'Portfolio Register'!$DH$5:$DH$304,0))="","",INDEX('Portfolio Register'!$J$5:$J$304,MATCH($B160,'Portfolio Register'!$DH$5:$DH$304,0))),"")</f>
        <v/>
      </c>
      <c r="G160" s="140" t="str">
        <f>IFERROR(IF(INDEX('Portfolio Register'!$CX$5:$CX$304,MATCH($B160,'Portfolio Register'!$DH$5:$DH$304,0))="","",INDEX('Portfolio Register'!$CX$5:$CX$304,MATCH($B160,'Portfolio Register'!$DH$5:$DH$304,0))),"")</f>
        <v/>
      </c>
      <c r="H160" s="142" t="str">
        <f>IFERROR(IF(INDEX('Portfolio Register'!$CY$5:$CY$304,MATCH($B160,'Portfolio Register'!$DH$5:$DH$304,0))="","",INDEX('Portfolio Register'!$CY$5:$CY$304,MATCH($B160,'Portfolio Register'!$DH$5:$DH$304,0))),"")</f>
        <v/>
      </c>
      <c r="I160" s="140" t="str">
        <f>IFERROR(IF(INDEX('Portfolio Register'!$CZ$5:$CZ$304,MATCH($B160,'Portfolio Register'!$DH$5:$DH$304,0))="","",INDEX('Portfolio Register'!$CZ$5:$CZ$304,MATCH($B160,'Portfolio Register'!$DH$5:$DH$304,0))),"")</f>
        <v/>
      </c>
      <c r="J160" s="140" t="str">
        <f>IFERROR(IF(INDEX('Portfolio Register'!$DA$5:$DA$304,MATCH($B160,'Portfolio Register'!$DH$5:$DH$304,0))="","",INDEX('Portfolio Register'!$DA$5:$DA$304,MATCH($B160,'Portfolio Register'!$DH$5:$DH$304,0))),"")</f>
        <v/>
      </c>
      <c r="K160" s="140" t="str">
        <f>IFERROR(IF(INDEX('Portfolio Register'!$DB$5:$DB$304,MATCH($B160,'Portfolio Register'!$DH$5:$DH$304,0))="","",INDEX('Portfolio Register'!$DB$5:$DB$304,MATCH($B160,'Portfolio Register'!$DH$5:$DH$304,0))),"")</f>
        <v/>
      </c>
      <c r="L160" s="140" t="str">
        <f>IFERROR(IF(INDEX('Portfolio Register'!$DC$5:$DC$304,MATCH($B160,'Portfolio Register'!$DH$5:$DH$304,0))="","",INDEX('Portfolio Register'!$DC$5:$DC$304,MATCH($B160,'Portfolio Register'!$DH$5:$DH$304,0))),"")</f>
        <v/>
      </c>
      <c r="M160" s="143" t="str">
        <f>IFERROR(IF(INDEX('Portfolio Register'!$DD$5:$DD$304,MATCH($B160,'Portfolio Register'!$DH$5:$DH$304,0))="","",INDEX('Portfolio Register'!$DD$5:$DD$304,MATCH($B160,'Portfolio Register'!$DH$5:$DH$304,0))),"")</f>
        <v/>
      </c>
      <c r="N160" s="144" t="str">
        <f ca="1">IF($C160="","",IF($M160&lt;&gt;"",$M160-IFERROR(INDEX('Portfolio Register'!$C$5:$C$304,MATCH($B160,'Portfolio Register'!$DH$5:$DH$304,0)),$M160),TODAY()-IFERROR(INDEX('Portfolio Register'!$C$5:$C$304,MATCH($B160,'Portfolio Register'!$DH$5:$DH$304,0)),TODAY())))</f>
        <v/>
      </c>
      <c r="O160" s="145" t="str">
        <f t="shared" si="4"/>
        <v/>
      </c>
      <c r="P160" s="140" t="str">
        <f>IFERROR(IF(INDEX('Portfolio Register'!$DG$5:$DG$304,MATCH($B160,'Portfolio Register'!$DH$5:$DH$304,0))="","",INDEX('Portfolio Register'!$DG$5:$DG$304,MATCH($B160,'Portfolio Register'!$DH$5:$DH$304,0))),"")</f>
        <v/>
      </c>
      <c r="Q160" s="140" t="str">
        <f>IFERROR(IF(INDEX('Portfolio Register'!$DF$5:$DF$304,MATCH($B160,'Portfolio Register'!$DH$5:$DH$304,0))="","",INDEX('Portfolio Register'!$DF$5:$DF$304,MATCH($B160,'Portfolio Register'!$DH$5:$DH$304,0))),"")</f>
        <v/>
      </c>
    </row>
    <row r="161" spans="2:17" x14ac:dyDescent="0.25">
      <c r="B161" s="63">
        <v>134</v>
      </c>
      <c r="C161" s="146" t="str">
        <f>IFERROR(IF(INDEX('Portfolio Register'!$A$5:$A$304,MATCH($B161,'Portfolio Register'!$DH$5:$DH$304,0))="","",INDEX('Portfolio Register'!$A$5:$A$304,MATCH($B161,'Portfolio Register'!$DH$5:$DH$304,0))),"")</f>
        <v/>
      </c>
      <c r="D161" s="146" t="str">
        <f>IFERROR(IF(INDEX('Portfolio Register'!$B$5:$B$304,MATCH($B161,'Portfolio Register'!$DH$5:$DH$304,0))="","",INDEX('Portfolio Register'!$B$5:$B$304,MATCH($B161,'Portfolio Register'!$DH$5:$DH$304,0))),"")</f>
        <v/>
      </c>
      <c r="E161" s="146" t="str">
        <f>IFERROR(IF(INDEX('Portfolio Register'!$I$5:$I$304,MATCH($B161,'Portfolio Register'!$DH$5:$DH$304,0))="","",INDEX('Portfolio Register'!$I$5:$I$304,MATCH($B161,'Portfolio Register'!$DH$5:$DH$304,0))),"")</f>
        <v/>
      </c>
      <c r="F161" s="147" t="str">
        <f>IFERROR(IF(INDEX('Portfolio Register'!$J$5:$J$304,MATCH($B161,'Portfolio Register'!$DH$5:$DH$304,0))="","",INDEX('Portfolio Register'!$J$5:$J$304,MATCH($B161,'Portfolio Register'!$DH$5:$DH$304,0))),"")</f>
        <v/>
      </c>
      <c r="G161" s="146" t="str">
        <f>IFERROR(IF(INDEX('Portfolio Register'!$CX$5:$CX$304,MATCH($B161,'Portfolio Register'!$DH$5:$DH$304,0))="","",INDEX('Portfolio Register'!$CX$5:$CX$304,MATCH($B161,'Portfolio Register'!$DH$5:$DH$304,0))),"")</f>
        <v/>
      </c>
      <c r="H161" s="148" t="str">
        <f>IFERROR(IF(INDEX('Portfolio Register'!$CY$5:$CY$304,MATCH($B161,'Portfolio Register'!$DH$5:$DH$304,0))="","",INDEX('Portfolio Register'!$CY$5:$CY$304,MATCH($B161,'Portfolio Register'!$DH$5:$DH$304,0))),"")</f>
        <v/>
      </c>
      <c r="I161" s="146" t="str">
        <f>IFERROR(IF(INDEX('Portfolio Register'!$CZ$5:$CZ$304,MATCH($B161,'Portfolio Register'!$DH$5:$DH$304,0))="","",INDEX('Portfolio Register'!$CZ$5:$CZ$304,MATCH($B161,'Portfolio Register'!$DH$5:$DH$304,0))),"")</f>
        <v/>
      </c>
      <c r="J161" s="146" t="str">
        <f>IFERROR(IF(INDEX('Portfolio Register'!$DA$5:$DA$304,MATCH($B161,'Portfolio Register'!$DH$5:$DH$304,0))="","",INDEX('Portfolio Register'!$DA$5:$DA$304,MATCH($B161,'Portfolio Register'!$DH$5:$DH$304,0))),"")</f>
        <v/>
      </c>
      <c r="K161" s="146" t="str">
        <f>IFERROR(IF(INDEX('Portfolio Register'!$DB$5:$DB$304,MATCH($B161,'Portfolio Register'!$DH$5:$DH$304,0))="","",INDEX('Portfolio Register'!$DB$5:$DB$304,MATCH($B161,'Portfolio Register'!$DH$5:$DH$304,0))),"")</f>
        <v/>
      </c>
      <c r="L161" s="146" t="str">
        <f>IFERROR(IF(INDEX('Portfolio Register'!$DC$5:$DC$304,MATCH($B161,'Portfolio Register'!$DH$5:$DH$304,0))="","",INDEX('Portfolio Register'!$DC$5:$DC$304,MATCH($B161,'Portfolio Register'!$DH$5:$DH$304,0))),"")</f>
        <v/>
      </c>
      <c r="M161" s="149" t="str">
        <f>IFERROR(IF(INDEX('Portfolio Register'!$DD$5:$DD$304,MATCH($B161,'Portfolio Register'!$DH$5:$DH$304,0))="","",INDEX('Portfolio Register'!$DD$5:$DD$304,MATCH($B161,'Portfolio Register'!$DH$5:$DH$304,0))),"")</f>
        <v/>
      </c>
      <c r="N161" s="150" t="str">
        <f ca="1">IF($C161="","",IF($M161&lt;&gt;"",$M161-IFERROR(INDEX('Portfolio Register'!$C$5:$C$304,MATCH($B161,'Portfolio Register'!$DH$5:$DH$304,0)),$M161),TODAY()-IFERROR(INDEX('Portfolio Register'!$C$5:$C$304,MATCH($B161,'Portfolio Register'!$DH$5:$DH$304,0)),TODAY())))</f>
        <v/>
      </c>
      <c r="O161" s="151" t="str">
        <f t="shared" si="4"/>
        <v/>
      </c>
      <c r="P161" s="146" t="str">
        <f>IFERROR(IF(INDEX('Portfolio Register'!$DG$5:$DG$304,MATCH($B161,'Portfolio Register'!$DH$5:$DH$304,0))="","",INDEX('Portfolio Register'!$DG$5:$DG$304,MATCH($B161,'Portfolio Register'!$DH$5:$DH$304,0))),"")</f>
        <v/>
      </c>
      <c r="Q161" s="146" t="str">
        <f>IFERROR(IF(INDEX('Portfolio Register'!$DF$5:$DF$304,MATCH($B161,'Portfolio Register'!$DH$5:$DH$304,0))="","",INDEX('Portfolio Register'!$DF$5:$DF$304,MATCH($B161,'Portfolio Register'!$DH$5:$DH$304,0))),"")</f>
        <v/>
      </c>
    </row>
    <row r="162" spans="2:17" x14ac:dyDescent="0.25">
      <c r="B162" s="56">
        <v>135</v>
      </c>
      <c r="C162" s="140" t="str">
        <f>IFERROR(IF(INDEX('Portfolio Register'!$A$5:$A$304,MATCH($B162,'Portfolio Register'!$DH$5:$DH$304,0))="","",INDEX('Portfolio Register'!$A$5:$A$304,MATCH($B162,'Portfolio Register'!$DH$5:$DH$304,0))),"")</f>
        <v/>
      </c>
      <c r="D162" s="140" t="str">
        <f>IFERROR(IF(INDEX('Portfolio Register'!$B$5:$B$304,MATCH($B162,'Portfolio Register'!$DH$5:$DH$304,0))="","",INDEX('Portfolio Register'!$B$5:$B$304,MATCH($B162,'Portfolio Register'!$DH$5:$DH$304,0))),"")</f>
        <v/>
      </c>
      <c r="E162" s="140" t="str">
        <f>IFERROR(IF(INDEX('Portfolio Register'!$I$5:$I$304,MATCH($B162,'Portfolio Register'!$DH$5:$DH$304,0))="","",INDEX('Portfolio Register'!$I$5:$I$304,MATCH($B162,'Portfolio Register'!$DH$5:$DH$304,0))),"")</f>
        <v/>
      </c>
      <c r="F162" s="141" t="str">
        <f>IFERROR(IF(INDEX('Portfolio Register'!$J$5:$J$304,MATCH($B162,'Portfolio Register'!$DH$5:$DH$304,0))="","",INDEX('Portfolio Register'!$J$5:$J$304,MATCH($B162,'Portfolio Register'!$DH$5:$DH$304,0))),"")</f>
        <v/>
      </c>
      <c r="G162" s="140" t="str">
        <f>IFERROR(IF(INDEX('Portfolio Register'!$CX$5:$CX$304,MATCH($B162,'Portfolio Register'!$DH$5:$DH$304,0))="","",INDEX('Portfolio Register'!$CX$5:$CX$304,MATCH($B162,'Portfolio Register'!$DH$5:$DH$304,0))),"")</f>
        <v/>
      </c>
      <c r="H162" s="142" t="str">
        <f>IFERROR(IF(INDEX('Portfolio Register'!$CY$5:$CY$304,MATCH($B162,'Portfolio Register'!$DH$5:$DH$304,0))="","",INDEX('Portfolio Register'!$CY$5:$CY$304,MATCH($B162,'Portfolio Register'!$DH$5:$DH$304,0))),"")</f>
        <v/>
      </c>
      <c r="I162" s="140" t="str">
        <f>IFERROR(IF(INDEX('Portfolio Register'!$CZ$5:$CZ$304,MATCH($B162,'Portfolio Register'!$DH$5:$DH$304,0))="","",INDEX('Portfolio Register'!$CZ$5:$CZ$304,MATCH($B162,'Portfolio Register'!$DH$5:$DH$304,0))),"")</f>
        <v/>
      </c>
      <c r="J162" s="140" t="str">
        <f>IFERROR(IF(INDEX('Portfolio Register'!$DA$5:$DA$304,MATCH($B162,'Portfolio Register'!$DH$5:$DH$304,0))="","",INDEX('Portfolio Register'!$DA$5:$DA$304,MATCH($B162,'Portfolio Register'!$DH$5:$DH$304,0))),"")</f>
        <v/>
      </c>
      <c r="K162" s="140" t="str">
        <f>IFERROR(IF(INDEX('Portfolio Register'!$DB$5:$DB$304,MATCH($B162,'Portfolio Register'!$DH$5:$DH$304,0))="","",INDEX('Portfolio Register'!$DB$5:$DB$304,MATCH($B162,'Portfolio Register'!$DH$5:$DH$304,0))),"")</f>
        <v/>
      </c>
      <c r="L162" s="140" t="str">
        <f>IFERROR(IF(INDEX('Portfolio Register'!$DC$5:$DC$304,MATCH($B162,'Portfolio Register'!$DH$5:$DH$304,0))="","",INDEX('Portfolio Register'!$DC$5:$DC$304,MATCH($B162,'Portfolio Register'!$DH$5:$DH$304,0))),"")</f>
        <v/>
      </c>
      <c r="M162" s="143" t="str">
        <f>IFERROR(IF(INDEX('Portfolio Register'!$DD$5:$DD$304,MATCH($B162,'Portfolio Register'!$DH$5:$DH$304,0))="","",INDEX('Portfolio Register'!$DD$5:$DD$304,MATCH($B162,'Portfolio Register'!$DH$5:$DH$304,0))),"")</f>
        <v/>
      </c>
      <c r="N162" s="144" t="str">
        <f ca="1">IF($C162="","",IF($M162&lt;&gt;"",$M162-IFERROR(INDEX('Portfolio Register'!$C$5:$C$304,MATCH($B162,'Portfolio Register'!$DH$5:$DH$304,0)),$M162),TODAY()-IFERROR(INDEX('Portfolio Register'!$C$5:$C$304,MATCH($B162,'Portfolio Register'!$DH$5:$DH$304,0)),TODAY())))</f>
        <v/>
      </c>
      <c r="O162" s="145" t="str">
        <f t="shared" si="4"/>
        <v/>
      </c>
      <c r="P162" s="140" t="str">
        <f>IFERROR(IF(INDEX('Portfolio Register'!$DG$5:$DG$304,MATCH($B162,'Portfolio Register'!$DH$5:$DH$304,0))="","",INDEX('Portfolio Register'!$DG$5:$DG$304,MATCH($B162,'Portfolio Register'!$DH$5:$DH$304,0))),"")</f>
        <v/>
      </c>
      <c r="Q162" s="140" t="str">
        <f>IFERROR(IF(INDEX('Portfolio Register'!$DF$5:$DF$304,MATCH($B162,'Portfolio Register'!$DH$5:$DH$304,0))="","",INDEX('Portfolio Register'!$DF$5:$DF$304,MATCH($B162,'Portfolio Register'!$DH$5:$DH$304,0))),"")</f>
        <v/>
      </c>
    </row>
    <row r="163" spans="2:17" x14ac:dyDescent="0.25">
      <c r="B163" s="63">
        <v>136</v>
      </c>
      <c r="C163" s="146" t="str">
        <f>IFERROR(IF(INDEX('Portfolio Register'!$A$5:$A$304,MATCH($B163,'Portfolio Register'!$DH$5:$DH$304,0))="","",INDEX('Portfolio Register'!$A$5:$A$304,MATCH($B163,'Portfolio Register'!$DH$5:$DH$304,0))),"")</f>
        <v/>
      </c>
      <c r="D163" s="146" t="str">
        <f>IFERROR(IF(INDEX('Portfolio Register'!$B$5:$B$304,MATCH($B163,'Portfolio Register'!$DH$5:$DH$304,0))="","",INDEX('Portfolio Register'!$B$5:$B$304,MATCH($B163,'Portfolio Register'!$DH$5:$DH$304,0))),"")</f>
        <v/>
      </c>
      <c r="E163" s="146" t="str">
        <f>IFERROR(IF(INDEX('Portfolio Register'!$I$5:$I$304,MATCH($B163,'Portfolio Register'!$DH$5:$DH$304,0))="","",INDEX('Portfolio Register'!$I$5:$I$304,MATCH($B163,'Portfolio Register'!$DH$5:$DH$304,0))),"")</f>
        <v/>
      </c>
      <c r="F163" s="147" t="str">
        <f>IFERROR(IF(INDEX('Portfolio Register'!$J$5:$J$304,MATCH($B163,'Portfolio Register'!$DH$5:$DH$304,0))="","",INDEX('Portfolio Register'!$J$5:$J$304,MATCH($B163,'Portfolio Register'!$DH$5:$DH$304,0))),"")</f>
        <v/>
      </c>
      <c r="G163" s="146" t="str">
        <f>IFERROR(IF(INDEX('Portfolio Register'!$CX$5:$CX$304,MATCH($B163,'Portfolio Register'!$DH$5:$DH$304,0))="","",INDEX('Portfolio Register'!$CX$5:$CX$304,MATCH($B163,'Portfolio Register'!$DH$5:$DH$304,0))),"")</f>
        <v/>
      </c>
      <c r="H163" s="148" t="str">
        <f>IFERROR(IF(INDEX('Portfolio Register'!$CY$5:$CY$304,MATCH($B163,'Portfolio Register'!$DH$5:$DH$304,0))="","",INDEX('Portfolio Register'!$CY$5:$CY$304,MATCH($B163,'Portfolio Register'!$DH$5:$DH$304,0))),"")</f>
        <v/>
      </c>
      <c r="I163" s="146" t="str">
        <f>IFERROR(IF(INDEX('Portfolio Register'!$CZ$5:$CZ$304,MATCH($B163,'Portfolio Register'!$DH$5:$DH$304,0))="","",INDEX('Portfolio Register'!$CZ$5:$CZ$304,MATCH($B163,'Portfolio Register'!$DH$5:$DH$304,0))),"")</f>
        <v/>
      </c>
      <c r="J163" s="146" t="str">
        <f>IFERROR(IF(INDEX('Portfolio Register'!$DA$5:$DA$304,MATCH($B163,'Portfolio Register'!$DH$5:$DH$304,0))="","",INDEX('Portfolio Register'!$DA$5:$DA$304,MATCH($B163,'Portfolio Register'!$DH$5:$DH$304,0))),"")</f>
        <v/>
      </c>
      <c r="K163" s="146" t="str">
        <f>IFERROR(IF(INDEX('Portfolio Register'!$DB$5:$DB$304,MATCH($B163,'Portfolio Register'!$DH$5:$DH$304,0))="","",INDEX('Portfolio Register'!$DB$5:$DB$304,MATCH($B163,'Portfolio Register'!$DH$5:$DH$304,0))),"")</f>
        <v/>
      </c>
      <c r="L163" s="146" t="str">
        <f>IFERROR(IF(INDEX('Portfolio Register'!$DC$5:$DC$304,MATCH($B163,'Portfolio Register'!$DH$5:$DH$304,0))="","",INDEX('Portfolio Register'!$DC$5:$DC$304,MATCH($B163,'Portfolio Register'!$DH$5:$DH$304,0))),"")</f>
        <v/>
      </c>
      <c r="M163" s="149" t="str">
        <f>IFERROR(IF(INDEX('Portfolio Register'!$DD$5:$DD$304,MATCH($B163,'Portfolio Register'!$DH$5:$DH$304,0))="","",INDEX('Portfolio Register'!$DD$5:$DD$304,MATCH($B163,'Portfolio Register'!$DH$5:$DH$304,0))),"")</f>
        <v/>
      </c>
      <c r="N163" s="150" t="str">
        <f ca="1">IF($C163="","",IF($M163&lt;&gt;"",$M163-IFERROR(INDEX('Portfolio Register'!$C$5:$C$304,MATCH($B163,'Portfolio Register'!$DH$5:$DH$304,0)),$M163),TODAY()-IFERROR(INDEX('Portfolio Register'!$C$5:$C$304,MATCH($B163,'Portfolio Register'!$DH$5:$DH$304,0)),TODAY())))</f>
        <v/>
      </c>
      <c r="O163" s="151" t="str">
        <f t="shared" si="4"/>
        <v/>
      </c>
      <c r="P163" s="146" t="str">
        <f>IFERROR(IF(INDEX('Portfolio Register'!$DG$5:$DG$304,MATCH($B163,'Portfolio Register'!$DH$5:$DH$304,0))="","",INDEX('Portfolio Register'!$DG$5:$DG$304,MATCH($B163,'Portfolio Register'!$DH$5:$DH$304,0))),"")</f>
        <v/>
      </c>
      <c r="Q163" s="146" t="str">
        <f>IFERROR(IF(INDEX('Portfolio Register'!$DF$5:$DF$304,MATCH($B163,'Portfolio Register'!$DH$5:$DH$304,0))="","",INDEX('Portfolio Register'!$DF$5:$DF$304,MATCH($B163,'Portfolio Register'!$DH$5:$DH$304,0))),"")</f>
        <v/>
      </c>
    </row>
    <row r="164" spans="2:17" x14ac:dyDescent="0.25">
      <c r="B164" s="56">
        <v>137</v>
      </c>
      <c r="C164" s="140" t="str">
        <f>IFERROR(IF(INDEX('Portfolio Register'!$A$5:$A$304,MATCH($B164,'Portfolio Register'!$DH$5:$DH$304,0))="","",INDEX('Portfolio Register'!$A$5:$A$304,MATCH($B164,'Portfolio Register'!$DH$5:$DH$304,0))),"")</f>
        <v/>
      </c>
      <c r="D164" s="140" t="str">
        <f>IFERROR(IF(INDEX('Portfolio Register'!$B$5:$B$304,MATCH($B164,'Portfolio Register'!$DH$5:$DH$304,0))="","",INDEX('Portfolio Register'!$B$5:$B$304,MATCH($B164,'Portfolio Register'!$DH$5:$DH$304,0))),"")</f>
        <v/>
      </c>
      <c r="E164" s="140" t="str">
        <f>IFERROR(IF(INDEX('Portfolio Register'!$I$5:$I$304,MATCH($B164,'Portfolio Register'!$DH$5:$DH$304,0))="","",INDEX('Portfolio Register'!$I$5:$I$304,MATCH($B164,'Portfolio Register'!$DH$5:$DH$304,0))),"")</f>
        <v/>
      </c>
      <c r="F164" s="141" t="str">
        <f>IFERROR(IF(INDEX('Portfolio Register'!$J$5:$J$304,MATCH($B164,'Portfolio Register'!$DH$5:$DH$304,0))="","",INDEX('Portfolio Register'!$J$5:$J$304,MATCH($B164,'Portfolio Register'!$DH$5:$DH$304,0))),"")</f>
        <v/>
      </c>
      <c r="G164" s="140" t="str">
        <f>IFERROR(IF(INDEX('Portfolio Register'!$CX$5:$CX$304,MATCH($B164,'Portfolio Register'!$DH$5:$DH$304,0))="","",INDEX('Portfolio Register'!$CX$5:$CX$304,MATCH($B164,'Portfolio Register'!$DH$5:$DH$304,0))),"")</f>
        <v/>
      </c>
      <c r="H164" s="142" t="str">
        <f>IFERROR(IF(INDEX('Portfolio Register'!$CY$5:$CY$304,MATCH($B164,'Portfolio Register'!$DH$5:$DH$304,0))="","",INDEX('Portfolio Register'!$CY$5:$CY$304,MATCH($B164,'Portfolio Register'!$DH$5:$DH$304,0))),"")</f>
        <v/>
      </c>
      <c r="I164" s="140" t="str">
        <f>IFERROR(IF(INDEX('Portfolio Register'!$CZ$5:$CZ$304,MATCH($B164,'Portfolio Register'!$DH$5:$DH$304,0))="","",INDEX('Portfolio Register'!$CZ$5:$CZ$304,MATCH($B164,'Portfolio Register'!$DH$5:$DH$304,0))),"")</f>
        <v/>
      </c>
      <c r="J164" s="140" t="str">
        <f>IFERROR(IF(INDEX('Portfolio Register'!$DA$5:$DA$304,MATCH($B164,'Portfolio Register'!$DH$5:$DH$304,0))="","",INDEX('Portfolio Register'!$DA$5:$DA$304,MATCH($B164,'Portfolio Register'!$DH$5:$DH$304,0))),"")</f>
        <v/>
      </c>
      <c r="K164" s="140" t="str">
        <f>IFERROR(IF(INDEX('Portfolio Register'!$DB$5:$DB$304,MATCH($B164,'Portfolio Register'!$DH$5:$DH$304,0))="","",INDEX('Portfolio Register'!$DB$5:$DB$304,MATCH($B164,'Portfolio Register'!$DH$5:$DH$304,0))),"")</f>
        <v/>
      </c>
      <c r="L164" s="140" t="str">
        <f>IFERROR(IF(INDEX('Portfolio Register'!$DC$5:$DC$304,MATCH($B164,'Portfolio Register'!$DH$5:$DH$304,0))="","",INDEX('Portfolio Register'!$DC$5:$DC$304,MATCH($B164,'Portfolio Register'!$DH$5:$DH$304,0))),"")</f>
        <v/>
      </c>
      <c r="M164" s="143" t="str">
        <f>IFERROR(IF(INDEX('Portfolio Register'!$DD$5:$DD$304,MATCH($B164,'Portfolio Register'!$DH$5:$DH$304,0))="","",INDEX('Portfolio Register'!$DD$5:$DD$304,MATCH($B164,'Portfolio Register'!$DH$5:$DH$304,0))),"")</f>
        <v/>
      </c>
      <c r="N164" s="144" t="str">
        <f ca="1">IF($C164="","",IF($M164&lt;&gt;"",$M164-IFERROR(INDEX('Portfolio Register'!$C$5:$C$304,MATCH($B164,'Portfolio Register'!$DH$5:$DH$304,0)),$M164),TODAY()-IFERROR(INDEX('Portfolio Register'!$C$5:$C$304,MATCH($B164,'Portfolio Register'!$DH$5:$DH$304,0)),TODAY())))</f>
        <v/>
      </c>
      <c r="O164" s="145" t="str">
        <f t="shared" si="4"/>
        <v/>
      </c>
      <c r="P164" s="140" t="str">
        <f>IFERROR(IF(INDEX('Portfolio Register'!$DG$5:$DG$304,MATCH($B164,'Portfolio Register'!$DH$5:$DH$304,0))="","",INDEX('Portfolio Register'!$DG$5:$DG$304,MATCH($B164,'Portfolio Register'!$DH$5:$DH$304,0))),"")</f>
        <v/>
      </c>
      <c r="Q164" s="140" t="str">
        <f>IFERROR(IF(INDEX('Portfolio Register'!$DF$5:$DF$304,MATCH($B164,'Portfolio Register'!$DH$5:$DH$304,0))="","",INDEX('Portfolio Register'!$DF$5:$DF$304,MATCH($B164,'Portfolio Register'!$DH$5:$DH$304,0))),"")</f>
        <v/>
      </c>
    </row>
    <row r="165" spans="2:17" x14ac:dyDescent="0.25">
      <c r="B165" s="63">
        <v>138</v>
      </c>
      <c r="C165" s="146" t="str">
        <f>IFERROR(IF(INDEX('Portfolio Register'!$A$5:$A$304,MATCH($B165,'Portfolio Register'!$DH$5:$DH$304,0))="","",INDEX('Portfolio Register'!$A$5:$A$304,MATCH($B165,'Portfolio Register'!$DH$5:$DH$304,0))),"")</f>
        <v/>
      </c>
      <c r="D165" s="146" t="str">
        <f>IFERROR(IF(INDEX('Portfolio Register'!$B$5:$B$304,MATCH($B165,'Portfolio Register'!$DH$5:$DH$304,0))="","",INDEX('Portfolio Register'!$B$5:$B$304,MATCH($B165,'Portfolio Register'!$DH$5:$DH$304,0))),"")</f>
        <v/>
      </c>
      <c r="E165" s="146" t="str">
        <f>IFERROR(IF(INDEX('Portfolio Register'!$I$5:$I$304,MATCH($B165,'Portfolio Register'!$DH$5:$DH$304,0))="","",INDEX('Portfolio Register'!$I$5:$I$304,MATCH($B165,'Portfolio Register'!$DH$5:$DH$304,0))),"")</f>
        <v/>
      </c>
      <c r="F165" s="147" t="str">
        <f>IFERROR(IF(INDEX('Portfolio Register'!$J$5:$J$304,MATCH($B165,'Portfolio Register'!$DH$5:$DH$304,0))="","",INDEX('Portfolio Register'!$J$5:$J$304,MATCH($B165,'Portfolio Register'!$DH$5:$DH$304,0))),"")</f>
        <v/>
      </c>
      <c r="G165" s="146" t="str">
        <f>IFERROR(IF(INDEX('Portfolio Register'!$CX$5:$CX$304,MATCH($B165,'Portfolio Register'!$DH$5:$DH$304,0))="","",INDEX('Portfolio Register'!$CX$5:$CX$304,MATCH($B165,'Portfolio Register'!$DH$5:$DH$304,0))),"")</f>
        <v/>
      </c>
      <c r="H165" s="148" t="str">
        <f>IFERROR(IF(INDEX('Portfolio Register'!$CY$5:$CY$304,MATCH($B165,'Portfolio Register'!$DH$5:$DH$304,0))="","",INDEX('Portfolio Register'!$CY$5:$CY$304,MATCH($B165,'Portfolio Register'!$DH$5:$DH$304,0))),"")</f>
        <v/>
      </c>
      <c r="I165" s="146" t="str">
        <f>IFERROR(IF(INDEX('Portfolio Register'!$CZ$5:$CZ$304,MATCH($B165,'Portfolio Register'!$DH$5:$DH$304,0))="","",INDEX('Portfolio Register'!$CZ$5:$CZ$304,MATCH($B165,'Portfolio Register'!$DH$5:$DH$304,0))),"")</f>
        <v/>
      </c>
      <c r="J165" s="146" t="str">
        <f>IFERROR(IF(INDEX('Portfolio Register'!$DA$5:$DA$304,MATCH($B165,'Portfolio Register'!$DH$5:$DH$304,0))="","",INDEX('Portfolio Register'!$DA$5:$DA$304,MATCH($B165,'Portfolio Register'!$DH$5:$DH$304,0))),"")</f>
        <v/>
      </c>
      <c r="K165" s="146" t="str">
        <f>IFERROR(IF(INDEX('Portfolio Register'!$DB$5:$DB$304,MATCH($B165,'Portfolio Register'!$DH$5:$DH$304,0))="","",INDEX('Portfolio Register'!$DB$5:$DB$304,MATCH($B165,'Portfolio Register'!$DH$5:$DH$304,0))),"")</f>
        <v/>
      </c>
      <c r="L165" s="146" t="str">
        <f>IFERROR(IF(INDEX('Portfolio Register'!$DC$5:$DC$304,MATCH($B165,'Portfolio Register'!$DH$5:$DH$304,0))="","",INDEX('Portfolio Register'!$DC$5:$DC$304,MATCH($B165,'Portfolio Register'!$DH$5:$DH$304,0))),"")</f>
        <v/>
      </c>
      <c r="M165" s="149" t="str">
        <f>IFERROR(IF(INDEX('Portfolio Register'!$DD$5:$DD$304,MATCH($B165,'Portfolio Register'!$DH$5:$DH$304,0))="","",INDEX('Portfolio Register'!$DD$5:$DD$304,MATCH($B165,'Portfolio Register'!$DH$5:$DH$304,0))),"")</f>
        <v/>
      </c>
      <c r="N165" s="150" t="str">
        <f ca="1">IF($C165="","",IF($M165&lt;&gt;"",$M165-IFERROR(INDEX('Portfolio Register'!$C$5:$C$304,MATCH($B165,'Portfolio Register'!$DH$5:$DH$304,0)),$M165),TODAY()-IFERROR(INDEX('Portfolio Register'!$C$5:$C$304,MATCH($B165,'Portfolio Register'!$DH$5:$DH$304,0)),TODAY())))</f>
        <v/>
      </c>
      <c r="O165" s="151" t="str">
        <f t="shared" si="4"/>
        <v/>
      </c>
      <c r="P165" s="146" t="str">
        <f>IFERROR(IF(INDEX('Portfolio Register'!$DG$5:$DG$304,MATCH($B165,'Portfolio Register'!$DH$5:$DH$304,0))="","",INDEX('Portfolio Register'!$DG$5:$DG$304,MATCH($B165,'Portfolio Register'!$DH$5:$DH$304,0))),"")</f>
        <v/>
      </c>
      <c r="Q165" s="146" t="str">
        <f>IFERROR(IF(INDEX('Portfolio Register'!$DF$5:$DF$304,MATCH($B165,'Portfolio Register'!$DH$5:$DH$304,0))="","",INDEX('Portfolio Register'!$DF$5:$DF$304,MATCH($B165,'Portfolio Register'!$DH$5:$DH$304,0))),"")</f>
        <v/>
      </c>
    </row>
    <row r="166" spans="2:17" x14ac:dyDescent="0.25">
      <c r="B166" s="56">
        <v>139</v>
      </c>
      <c r="C166" s="140" t="str">
        <f>IFERROR(IF(INDEX('Portfolio Register'!$A$5:$A$304,MATCH($B166,'Portfolio Register'!$DH$5:$DH$304,0))="","",INDEX('Portfolio Register'!$A$5:$A$304,MATCH($B166,'Portfolio Register'!$DH$5:$DH$304,0))),"")</f>
        <v/>
      </c>
      <c r="D166" s="140" t="str">
        <f>IFERROR(IF(INDEX('Portfolio Register'!$B$5:$B$304,MATCH($B166,'Portfolio Register'!$DH$5:$DH$304,0))="","",INDEX('Portfolio Register'!$B$5:$B$304,MATCH($B166,'Portfolio Register'!$DH$5:$DH$304,0))),"")</f>
        <v/>
      </c>
      <c r="E166" s="140" t="str">
        <f>IFERROR(IF(INDEX('Portfolio Register'!$I$5:$I$304,MATCH($B166,'Portfolio Register'!$DH$5:$DH$304,0))="","",INDEX('Portfolio Register'!$I$5:$I$304,MATCH($B166,'Portfolio Register'!$DH$5:$DH$304,0))),"")</f>
        <v/>
      </c>
      <c r="F166" s="141" t="str">
        <f>IFERROR(IF(INDEX('Portfolio Register'!$J$5:$J$304,MATCH($B166,'Portfolio Register'!$DH$5:$DH$304,0))="","",INDEX('Portfolio Register'!$J$5:$J$304,MATCH($B166,'Portfolio Register'!$DH$5:$DH$304,0))),"")</f>
        <v/>
      </c>
      <c r="G166" s="140" t="str">
        <f>IFERROR(IF(INDEX('Portfolio Register'!$CX$5:$CX$304,MATCH($B166,'Portfolio Register'!$DH$5:$DH$304,0))="","",INDEX('Portfolio Register'!$CX$5:$CX$304,MATCH($B166,'Portfolio Register'!$DH$5:$DH$304,0))),"")</f>
        <v/>
      </c>
      <c r="H166" s="142" t="str">
        <f>IFERROR(IF(INDEX('Portfolio Register'!$CY$5:$CY$304,MATCH($B166,'Portfolio Register'!$DH$5:$DH$304,0))="","",INDEX('Portfolio Register'!$CY$5:$CY$304,MATCH($B166,'Portfolio Register'!$DH$5:$DH$304,0))),"")</f>
        <v/>
      </c>
      <c r="I166" s="140" t="str">
        <f>IFERROR(IF(INDEX('Portfolio Register'!$CZ$5:$CZ$304,MATCH($B166,'Portfolio Register'!$DH$5:$DH$304,0))="","",INDEX('Portfolio Register'!$CZ$5:$CZ$304,MATCH($B166,'Portfolio Register'!$DH$5:$DH$304,0))),"")</f>
        <v/>
      </c>
      <c r="J166" s="140" t="str">
        <f>IFERROR(IF(INDEX('Portfolio Register'!$DA$5:$DA$304,MATCH($B166,'Portfolio Register'!$DH$5:$DH$304,0))="","",INDEX('Portfolio Register'!$DA$5:$DA$304,MATCH($B166,'Portfolio Register'!$DH$5:$DH$304,0))),"")</f>
        <v/>
      </c>
      <c r="K166" s="140" t="str">
        <f>IFERROR(IF(INDEX('Portfolio Register'!$DB$5:$DB$304,MATCH($B166,'Portfolio Register'!$DH$5:$DH$304,0))="","",INDEX('Portfolio Register'!$DB$5:$DB$304,MATCH($B166,'Portfolio Register'!$DH$5:$DH$304,0))),"")</f>
        <v/>
      </c>
      <c r="L166" s="140" t="str">
        <f>IFERROR(IF(INDEX('Portfolio Register'!$DC$5:$DC$304,MATCH($B166,'Portfolio Register'!$DH$5:$DH$304,0))="","",INDEX('Portfolio Register'!$DC$5:$DC$304,MATCH($B166,'Portfolio Register'!$DH$5:$DH$304,0))),"")</f>
        <v/>
      </c>
      <c r="M166" s="143" t="str">
        <f>IFERROR(IF(INDEX('Portfolio Register'!$DD$5:$DD$304,MATCH($B166,'Portfolio Register'!$DH$5:$DH$304,0))="","",INDEX('Portfolio Register'!$DD$5:$DD$304,MATCH($B166,'Portfolio Register'!$DH$5:$DH$304,0))),"")</f>
        <v/>
      </c>
      <c r="N166" s="144" t="str">
        <f ca="1">IF($C166="","",IF($M166&lt;&gt;"",$M166-IFERROR(INDEX('Portfolio Register'!$C$5:$C$304,MATCH($B166,'Portfolio Register'!$DH$5:$DH$304,0)),$M166),TODAY()-IFERROR(INDEX('Portfolio Register'!$C$5:$C$304,MATCH($B166,'Portfolio Register'!$DH$5:$DH$304,0)),TODAY())))</f>
        <v/>
      </c>
      <c r="O166" s="145" t="str">
        <f t="shared" si="4"/>
        <v/>
      </c>
      <c r="P166" s="140" t="str">
        <f>IFERROR(IF(INDEX('Portfolio Register'!$DG$5:$DG$304,MATCH($B166,'Portfolio Register'!$DH$5:$DH$304,0))="","",INDEX('Portfolio Register'!$DG$5:$DG$304,MATCH($B166,'Portfolio Register'!$DH$5:$DH$304,0))),"")</f>
        <v/>
      </c>
      <c r="Q166" s="140" t="str">
        <f>IFERROR(IF(INDEX('Portfolio Register'!$DF$5:$DF$304,MATCH($B166,'Portfolio Register'!$DH$5:$DH$304,0))="","",INDEX('Portfolio Register'!$DF$5:$DF$304,MATCH($B166,'Portfolio Register'!$DH$5:$DH$304,0))),"")</f>
        <v/>
      </c>
    </row>
    <row r="167" spans="2:17" x14ac:dyDescent="0.25">
      <c r="B167" s="63">
        <v>140</v>
      </c>
      <c r="C167" s="146" t="str">
        <f>IFERROR(IF(INDEX('Portfolio Register'!$A$5:$A$304,MATCH($B167,'Portfolio Register'!$DH$5:$DH$304,0))="","",INDEX('Portfolio Register'!$A$5:$A$304,MATCH($B167,'Portfolio Register'!$DH$5:$DH$304,0))),"")</f>
        <v/>
      </c>
      <c r="D167" s="146" t="str">
        <f>IFERROR(IF(INDEX('Portfolio Register'!$B$5:$B$304,MATCH($B167,'Portfolio Register'!$DH$5:$DH$304,0))="","",INDEX('Portfolio Register'!$B$5:$B$304,MATCH($B167,'Portfolio Register'!$DH$5:$DH$304,0))),"")</f>
        <v/>
      </c>
      <c r="E167" s="146" t="str">
        <f>IFERROR(IF(INDEX('Portfolio Register'!$I$5:$I$304,MATCH($B167,'Portfolio Register'!$DH$5:$DH$304,0))="","",INDEX('Portfolio Register'!$I$5:$I$304,MATCH($B167,'Portfolio Register'!$DH$5:$DH$304,0))),"")</f>
        <v/>
      </c>
      <c r="F167" s="147" t="str">
        <f>IFERROR(IF(INDEX('Portfolio Register'!$J$5:$J$304,MATCH($B167,'Portfolio Register'!$DH$5:$DH$304,0))="","",INDEX('Portfolio Register'!$J$5:$J$304,MATCH($B167,'Portfolio Register'!$DH$5:$DH$304,0))),"")</f>
        <v/>
      </c>
      <c r="G167" s="146" t="str">
        <f>IFERROR(IF(INDEX('Portfolio Register'!$CX$5:$CX$304,MATCH($B167,'Portfolio Register'!$DH$5:$DH$304,0))="","",INDEX('Portfolio Register'!$CX$5:$CX$304,MATCH($B167,'Portfolio Register'!$DH$5:$DH$304,0))),"")</f>
        <v/>
      </c>
      <c r="H167" s="148" t="str">
        <f>IFERROR(IF(INDEX('Portfolio Register'!$CY$5:$CY$304,MATCH($B167,'Portfolio Register'!$DH$5:$DH$304,0))="","",INDEX('Portfolio Register'!$CY$5:$CY$304,MATCH($B167,'Portfolio Register'!$DH$5:$DH$304,0))),"")</f>
        <v/>
      </c>
      <c r="I167" s="146" t="str">
        <f>IFERROR(IF(INDEX('Portfolio Register'!$CZ$5:$CZ$304,MATCH($B167,'Portfolio Register'!$DH$5:$DH$304,0))="","",INDEX('Portfolio Register'!$CZ$5:$CZ$304,MATCH($B167,'Portfolio Register'!$DH$5:$DH$304,0))),"")</f>
        <v/>
      </c>
      <c r="J167" s="146" t="str">
        <f>IFERROR(IF(INDEX('Portfolio Register'!$DA$5:$DA$304,MATCH($B167,'Portfolio Register'!$DH$5:$DH$304,0))="","",INDEX('Portfolio Register'!$DA$5:$DA$304,MATCH($B167,'Portfolio Register'!$DH$5:$DH$304,0))),"")</f>
        <v/>
      </c>
      <c r="K167" s="146" t="str">
        <f>IFERROR(IF(INDEX('Portfolio Register'!$DB$5:$DB$304,MATCH($B167,'Portfolio Register'!$DH$5:$DH$304,0))="","",INDEX('Portfolio Register'!$DB$5:$DB$304,MATCH($B167,'Portfolio Register'!$DH$5:$DH$304,0))),"")</f>
        <v/>
      </c>
      <c r="L167" s="146" t="str">
        <f>IFERROR(IF(INDEX('Portfolio Register'!$DC$5:$DC$304,MATCH($B167,'Portfolio Register'!$DH$5:$DH$304,0))="","",INDEX('Portfolio Register'!$DC$5:$DC$304,MATCH($B167,'Portfolio Register'!$DH$5:$DH$304,0))),"")</f>
        <v/>
      </c>
      <c r="M167" s="149" t="str">
        <f>IFERROR(IF(INDEX('Portfolio Register'!$DD$5:$DD$304,MATCH($B167,'Portfolio Register'!$DH$5:$DH$304,0))="","",INDEX('Portfolio Register'!$DD$5:$DD$304,MATCH($B167,'Portfolio Register'!$DH$5:$DH$304,0))),"")</f>
        <v/>
      </c>
      <c r="N167" s="150" t="str">
        <f ca="1">IF($C167="","",IF($M167&lt;&gt;"",$M167-IFERROR(INDEX('Portfolio Register'!$C$5:$C$304,MATCH($B167,'Portfolio Register'!$DH$5:$DH$304,0)),$M167),TODAY()-IFERROR(INDEX('Portfolio Register'!$C$5:$C$304,MATCH($B167,'Portfolio Register'!$DH$5:$DH$304,0)),TODAY())))</f>
        <v/>
      </c>
      <c r="O167" s="151" t="str">
        <f t="shared" si="4"/>
        <v/>
      </c>
      <c r="P167" s="146" t="str">
        <f>IFERROR(IF(INDEX('Portfolio Register'!$DG$5:$DG$304,MATCH($B167,'Portfolio Register'!$DH$5:$DH$304,0))="","",INDEX('Portfolio Register'!$DG$5:$DG$304,MATCH($B167,'Portfolio Register'!$DH$5:$DH$304,0))),"")</f>
        <v/>
      </c>
      <c r="Q167" s="146" t="str">
        <f>IFERROR(IF(INDEX('Portfolio Register'!$DF$5:$DF$304,MATCH($B167,'Portfolio Register'!$DH$5:$DH$304,0))="","",INDEX('Portfolio Register'!$DF$5:$DF$304,MATCH($B167,'Portfolio Register'!$DH$5:$DH$304,0))),"")</f>
        <v/>
      </c>
    </row>
    <row r="168" spans="2:17" x14ac:dyDescent="0.25">
      <c r="B168" s="56">
        <v>141</v>
      </c>
      <c r="C168" s="140" t="str">
        <f>IFERROR(IF(INDEX('Portfolio Register'!$A$5:$A$304,MATCH($B168,'Portfolio Register'!$DH$5:$DH$304,0))="","",INDEX('Portfolio Register'!$A$5:$A$304,MATCH($B168,'Portfolio Register'!$DH$5:$DH$304,0))),"")</f>
        <v/>
      </c>
      <c r="D168" s="140" t="str">
        <f>IFERROR(IF(INDEX('Portfolio Register'!$B$5:$B$304,MATCH($B168,'Portfolio Register'!$DH$5:$DH$304,0))="","",INDEX('Portfolio Register'!$B$5:$B$304,MATCH($B168,'Portfolio Register'!$DH$5:$DH$304,0))),"")</f>
        <v/>
      </c>
      <c r="E168" s="140" t="str">
        <f>IFERROR(IF(INDEX('Portfolio Register'!$I$5:$I$304,MATCH($B168,'Portfolio Register'!$DH$5:$DH$304,0))="","",INDEX('Portfolio Register'!$I$5:$I$304,MATCH($B168,'Portfolio Register'!$DH$5:$DH$304,0))),"")</f>
        <v/>
      </c>
      <c r="F168" s="141" t="str">
        <f>IFERROR(IF(INDEX('Portfolio Register'!$J$5:$J$304,MATCH($B168,'Portfolio Register'!$DH$5:$DH$304,0))="","",INDEX('Portfolio Register'!$J$5:$J$304,MATCH($B168,'Portfolio Register'!$DH$5:$DH$304,0))),"")</f>
        <v/>
      </c>
      <c r="G168" s="140" t="str">
        <f>IFERROR(IF(INDEX('Portfolio Register'!$CX$5:$CX$304,MATCH($B168,'Portfolio Register'!$DH$5:$DH$304,0))="","",INDEX('Portfolio Register'!$CX$5:$CX$304,MATCH($B168,'Portfolio Register'!$DH$5:$DH$304,0))),"")</f>
        <v/>
      </c>
      <c r="H168" s="142" t="str">
        <f>IFERROR(IF(INDEX('Portfolio Register'!$CY$5:$CY$304,MATCH($B168,'Portfolio Register'!$DH$5:$DH$304,0))="","",INDEX('Portfolio Register'!$CY$5:$CY$304,MATCH($B168,'Portfolio Register'!$DH$5:$DH$304,0))),"")</f>
        <v/>
      </c>
      <c r="I168" s="140" t="str">
        <f>IFERROR(IF(INDEX('Portfolio Register'!$CZ$5:$CZ$304,MATCH($B168,'Portfolio Register'!$DH$5:$DH$304,0))="","",INDEX('Portfolio Register'!$CZ$5:$CZ$304,MATCH($B168,'Portfolio Register'!$DH$5:$DH$304,0))),"")</f>
        <v/>
      </c>
      <c r="J168" s="140" t="str">
        <f>IFERROR(IF(INDEX('Portfolio Register'!$DA$5:$DA$304,MATCH($B168,'Portfolio Register'!$DH$5:$DH$304,0))="","",INDEX('Portfolio Register'!$DA$5:$DA$304,MATCH($B168,'Portfolio Register'!$DH$5:$DH$304,0))),"")</f>
        <v/>
      </c>
      <c r="K168" s="140" t="str">
        <f>IFERROR(IF(INDEX('Portfolio Register'!$DB$5:$DB$304,MATCH($B168,'Portfolio Register'!$DH$5:$DH$304,0))="","",INDEX('Portfolio Register'!$DB$5:$DB$304,MATCH($B168,'Portfolio Register'!$DH$5:$DH$304,0))),"")</f>
        <v/>
      </c>
      <c r="L168" s="140" t="str">
        <f>IFERROR(IF(INDEX('Portfolio Register'!$DC$5:$DC$304,MATCH($B168,'Portfolio Register'!$DH$5:$DH$304,0))="","",INDEX('Portfolio Register'!$DC$5:$DC$304,MATCH($B168,'Portfolio Register'!$DH$5:$DH$304,0))),"")</f>
        <v/>
      </c>
      <c r="M168" s="143" t="str">
        <f>IFERROR(IF(INDEX('Portfolio Register'!$DD$5:$DD$304,MATCH($B168,'Portfolio Register'!$DH$5:$DH$304,0))="","",INDEX('Portfolio Register'!$DD$5:$DD$304,MATCH($B168,'Portfolio Register'!$DH$5:$DH$304,0))),"")</f>
        <v/>
      </c>
      <c r="N168" s="144" t="str">
        <f ca="1">IF($C168="","",IF($M168&lt;&gt;"",$M168-IFERROR(INDEX('Portfolio Register'!$C$5:$C$304,MATCH($B168,'Portfolio Register'!$DH$5:$DH$304,0)),$M168),TODAY()-IFERROR(INDEX('Portfolio Register'!$C$5:$C$304,MATCH($B168,'Portfolio Register'!$DH$5:$DH$304,0)),TODAY())))</f>
        <v/>
      </c>
      <c r="O168" s="145" t="str">
        <f t="shared" si="4"/>
        <v/>
      </c>
      <c r="P168" s="140" t="str">
        <f>IFERROR(IF(INDEX('Portfolio Register'!$DG$5:$DG$304,MATCH($B168,'Portfolio Register'!$DH$5:$DH$304,0))="","",INDEX('Portfolio Register'!$DG$5:$DG$304,MATCH($B168,'Portfolio Register'!$DH$5:$DH$304,0))),"")</f>
        <v/>
      </c>
      <c r="Q168" s="140" t="str">
        <f>IFERROR(IF(INDEX('Portfolio Register'!$DF$5:$DF$304,MATCH($B168,'Portfolio Register'!$DH$5:$DH$304,0))="","",INDEX('Portfolio Register'!$DF$5:$DF$304,MATCH($B168,'Portfolio Register'!$DH$5:$DH$304,0))),"")</f>
        <v/>
      </c>
    </row>
    <row r="169" spans="2:17" x14ac:dyDescent="0.25">
      <c r="B169" s="63">
        <v>142</v>
      </c>
      <c r="C169" s="146" t="str">
        <f>IFERROR(IF(INDEX('Portfolio Register'!$A$5:$A$304,MATCH($B169,'Portfolio Register'!$DH$5:$DH$304,0))="","",INDEX('Portfolio Register'!$A$5:$A$304,MATCH($B169,'Portfolio Register'!$DH$5:$DH$304,0))),"")</f>
        <v/>
      </c>
      <c r="D169" s="146" t="str">
        <f>IFERROR(IF(INDEX('Portfolio Register'!$B$5:$B$304,MATCH($B169,'Portfolio Register'!$DH$5:$DH$304,0))="","",INDEX('Portfolio Register'!$B$5:$B$304,MATCH($B169,'Portfolio Register'!$DH$5:$DH$304,0))),"")</f>
        <v/>
      </c>
      <c r="E169" s="146" t="str">
        <f>IFERROR(IF(INDEX('Portfolio Register'!$I$5:$I$304,MATCH($B169,'Portfolio Register'!$DH$5:$DH$304,0))="","",INDEX('Portfolio Register'!$I$5:$I$304,MATCH($B169,'Portfolio Register'!$DH$5:$DH$304,0))),"")</f>
        <v/>
      </c>
      <c r="F169" s="147" t="str">
        <f>IFERROR(IF(INDEX('Portfolio Register'!$J$5:$J$304,MATCH($B169,'Portfolio Register'!$DH$5:$DH$304,0))="","",INDEX('Portfolio Register'!$J$5:$J$304,MATCH($B169,'Portfolio Register'!$DH$5:$DH$304,0))),"")</f>
        <v/>
      </c>
      <c r="G169" s="146" t="str">
        <f>IFERROR(IF(INDEX('Portfolio Register'!$CX$5:$CX$304,MATCH($B169,'Portfolio Register'!$DH$5:$DH$304,0))="","",INDEX('Portfolio Register'!$CX$5:$CX$304,MATCH($B169,'Portfolio Register'!$DH$5:$DH$304,0))),"")</f>
        <v/>
      </c>
      <c r="H169" s="148" t="str">
        <f>IFERROR(IF(INDEX('Portfolio Register'!$CY$5:$CY$304,MATCH($B169,'Portfolio Register'!$DH$5:$DH$304,0))="","",INDEX('Portfolio Register'!$CY$5:$CY$304,MATCH($B169,'Portfolio Register'!$DH$5:$DH$304,0))),"")</f>
        <v/>
      </c>
      <c r="I169" s="146" t="str">
        <f>IFERROR(IF(INDEX('Portfolio Register'!$CZ$5:$CZ$304,MATCH($B169,'Portfolio Register'!$DH$5:$DH$304,0))="","",INDEX('Portfolio Register'!$CZ$5:$CZ$304,MATCH($B169,'Portfolio Register'!$DH$5:$DH$304,0))),"")</f>
        <v/>
      </c>
      <c r="J169" s="146" t="str">
        <f>IFERROR(IF(INDEX('Portfolio Register'!$DA$5:$DA$304,MATCH($B169,'Portfolio Register'!$DH$5:$DH$304,0))="","",INDEX('Portfolio Register'!$DA$5:$DA$304,MATCH($B169,'Portfolio Register'!$DH$5:$DH$304,0))),"")</f>
        <v/>
      </c>
      <c r="K169" s="146" t="str">
        <f>IFERROR(IF(INDEX('Portfolio Register'!$DB$5:$DB$304,MATCH($B169,'Portfolio Register'!$DH$5:$DH$304,0))="","",INDEX('Portfolio Register'!$DB$5:$DB$304,MATCH($B169,'Portfolio Register'!$DH$5:$DH$304,0))),"")</f>
        <v/>
      </c>
      <c r="L169" s="146" t="str">
        <f>IFERROR(IF(INDEX('Portfolio Register'!$DC$5:$DC$304,MATCH($B169,'Portfolio Register'!$DH$5:$DH$304,0))="","",INDEX('Portfolio Register'!$DC$5:$DC$304,MATCH($B169,'Portfolio Register'!$DH$5:$DH$304,0))),"")</f>
        <v/>
      </c>
      <c r="M169" s="149" t="str">
        <f>IFERROR(IF(INDEX('Portfolio Register'!$DD$5:$DD$304,MATCH($B169,'Portfolio Register'!$DH$5:$DH$304,0))="","",INDEX('Portfolio Register'!$DD$5:$DD$304,MATCH($B169,'Portfolio Register'!$DH$5:$DH$304,0))),"")</f>
        <v/>
      </c>
      <c r="N169" s="150" t="str">
        <f ca="1">IF($C169="","",IF($M169&lt;&gt;"",$M169-IFERROR(INDEX('Portfolio Register'!$C$5:$C$304,MATCH($B169,'Portfolio Register'!$DH$5:$DH$304,0)),$M169),TODAY()-IFERROR(INDEX('Portfolio Register'!$C$5:$C$304,MATCH($B169,'Portfolio Register'!$DH$5:$DH$304,0)),TODAY())))</f>
        <v/>
      </c>
      <c r="O169" s="151" t="str">
        <f t="shared" si="4"/>
        <v/>
      </c>
      <c r="P169" s="146" t="str">
        <f>IFERROR(IF(INDEX('Portfolio Register'!$DG$5:$DG$304,MATCH($B169,'Portfolio Register'!$DH$5:$DH$304,0))="","",INDEX('Portfolio Register'!$DG$5:$DG$304,MATCH($B169,'Portfolio Register'!$DH$5:$DH$304,0))),"")</f>
        <v/>
      </c>
      <c r="Q169" s="146" t="str">
        <f>IFERROR(IF(INDEX('Portfolio Register'!$DF$5:$DF$304,MATCH($B169,'Portfolio Register'!$DH$5:$DH$304,0))="","",INDEX('Portfolio Register'!$DF$5:$DF$304,MATCH($B169,'Portfolio Register'!$DH$5:$DH$304,0))),"")</f>
        <v/>
      </c>
    </row>
    <row r="170" spans="2:17" x14ac:dyDescent="0.25">
      <c r="B170" s="56">
        <v>143</v>
      </c>
      <c r="C170" s="140" t="str">
        <f>IFERROR(IF(INDEX('Portfolio Register'!$A$5:$A$304,MATCH($B170,'Portfolio Register'!$DH$5:$DH$304,0))="","",INDEX('Portfolio Register'!$A$5:$A$304,MATCH($B170,'Portfolio Register'!$DH$5:$DH$304,0))),"")</f>
        <v/>
      </c>
      <c r="D170" s="140" t="str">
        <f>IFERROR(IF(INDEX('Portfolio Register'!$B$5:$B$304,MATCH($B170,'Portfolio Register'!$DH$5:$DH$304,0))="","",INDEX('Portfolio Register'!$B$5:$B$304,MATCH($B170,'Portfolio Register'!$DH$5:$DH$304,0))),"")</f>
        <v/>
      </c>
      <c r="E170" s="140" t="str">
        <f>IFERROR(IF(INDEX('Portfolio Register'!$I$5:$I$304,MATCH($B170,'Portfolio Register'!$DH$5:$DH$304,0))="","",INDEX('Portfolio Register'!$I$5:$I$304,MATCH($B170,'Portfolio Register'!$DH$5:$DH$304,0))),"")</f>
        <v/>
      </c>
      <c r="F170" s="141" t="str">
        <f>IFERROR(IF(INDEX('Portfolio Register'!$J$5:$J$304,MATCH($B170,'Portfolio Register'!$DH$5:$DH$304,0))="","",INDEX('Portfolio Register'!$J$5:$J$304,MATCH($B170,'Portfolio Register'!$DH$5:$DH$304,0))),"")</f>
        <v/>
      </c>
      <c r="G170" s="140" t="str">
        <f>IFERROR(IF(INDEX('Portfolio Register'!$CX$5:$CX$304,MATCH($B170,'Portfolio Register'!$DH$5:$DH$304,0))="","",INDEX('Portfolio Register'!$CX$5:$CX$304,MATCH($B170,'Portfolio Register'!$DH$5:$DH$304,0))),"")</f>
        <v/>
      </c>
      <c r="H170" s="142" t="str">
        <f>IFERROR(IF(INDEX('Portfolio Register'!$CY$5:$CY$304,MATCH($B170,'Portfolio Register'!$DH$5:$DH$304,0))="","",INDEX('Portfolio Register'!$CY$5:$CY$304,MATCH($B170,'Portfolio Register'!$DH$5:$DH$304,0))),"")</f>
        <v/>
      </c>
      <c r="I170" s="140" t="str">
        <f>IFERROR(IF(INDEX('Portfolio Register'!$CZ$5:$CZ$304,MATCH($B170,'Portfolio Register'!$DH$5:$DH$304,0))="","",INDEX('Portfolio Register'!$CZ$5:$CZ$304,MATCH($B170,'Portfolio Register'!$DH$5:$DH$304,0))),"")</f>
        <v/>
      </c>
      <c r="J170" s="140" t="str">
        <f>IFERROR(IF(INDEX('Portfolio Register'!$DA$5:$DA$304,MATCH($B170,'Portfolio Register'!$DH$5:$DH$304,0))="","",INDEX('Portfolio Register'!$DA$5:$DA$304,MATCH($B170,'Portfolio Register'!$DH$5:$DH$304,0))),"")</f>
        <v/>
      </c>
      <c r="K170" s="140" t="str">
        <f>IFERROR(IF(INDEX('Portfolio Register'!$DB$5:$DB$304,MATCH($B170,'Portfolio Register'!$DH$5:$DH$304,0))="","",INDEX('Portfolio Register'!$DB$5:$DB$304,MATCH($B170,'Portfolio Register'!$DH$5:$DH$304,0))),"")</f>
        <v/>
      </c>
      <c r="L170" s="140" t="str">
        <f>IFERROR(IF(INDEX('Portfolio Register'!$DC$5:$DC$304,MATCH($B170,'Portfolio Register'!$DH$5:$DH$304,0))="","",INDEX('Portfolio Register'!$DC$5:$DC$304,MATCH($B170,'Portfolio Register'!$DH$5:$DH$304,0))),"")</f>
        <v/>
      </c>
      <c r="M170" s="143" t="str">
        <f>IFERROR(IF(INDEX('Portfolio Register'!$DD$5:$DD$304,MATCH($B170,'Portfolio Register'!$DH$5:$DH$304,0))="","",INDEX('Portfolio Register'!$DD$5:$DD$304,MATCH($B170,'Portfolio Register'!$DH$5:$DH$304,0))),"")</f>
        <v/>
      </c>
      <c r="N170" s="144" t="str">
        <f ca="1">IF($C170="","",IF($M170&lt;&gt;"",$M170-IFERROR(INDEX('Portfolio Register'!$C$5:$C$304,MATCH($B170,'Portfolio Register'!$DH$5:$DH$304,0)),$M170),TODAY()-IFERROR(INDEX('Portfolio Register'!$C$5:$C$304,MATCH($B170,'Portfolio Register'!$DH$5:$DH$304,0)),TODAY())))</f>
        <v/>
      </c>
      <c r="O170" s="145" t="str">
        <f t="shared" si="4"/>
        <v/>
      </c>
      <c r="P170" s="140" t="str">
        <f>IFERROR(IF(INDEX('Portfolio Register'!$DG$5:$DG$304,MATCH($B170,'Portfolio Register'!$DH$5:$DH$304,0))="","",INDEX('Portfolio Register'!$DG$5:$DG$304,MATCH($B170,'Portfolio Register'!$DH$5:$DH$304,0))),"")</f>
        <v/>
      </c>
      <c r="Q170" s="140" t="str">
        <f>IFERROR(IF(INDEX('Portfolio Register'!$DF$5:$DF$304,MATCH($B170,'Portfolio Register'!$DH$5:$DH$304,0))="","",INDEX('Portfolio Register'!$DF$5:$DF$304,MATCH($B170,'Portfolio Register'!$DH$5:$DH$304,0))),"")</f>
        <v/>
      </c>
    </row>
    <row r="171" spans="2:17" x14ac:dyDescent="0.25">
      <c r="B171" s="63">
        <v>144</v>
      </c>
      <c r="C171" s="146" t="str">
        <f>IFERROR(IF(INDEX('Portfolio Register'!$A$5:$A$304,MATCH($B171,'Portfolio Register'!$DH$5:$DH$304,0))="","",INDEX('Portfolio Register'!$A$5:$A$304,MATCH($B171,'Portfolio Register'!$DH$5:$DH$304,0))),"")</f>
        <v/>
      </c>
      <c r="D171" s="146" t="str">
        <f>IFERROR(IF(INDEX('Portfolio Register'!$B$5:$B$304,MATCH($B171,'Portfolio Register'!$DH$5:$DH$304,0))="","",INDEX('Portfolio Register'!$B$5:$B$304,MATCH($B171,'Portfolio Register'!$DH$5:$DH$304,0))),"")</f>
        <v/>
      </c>
      <c r="E171" s="146" t="str">
        <f>IFERROR(IF(INDEX('Portfolio Register'!$I$5:$I$304,MATCH($B171,'Portfolio Register'!$DH$5:$DH$304,0))="","",INDEX('Portfolio Register'!$I$5:$I$304,MATCH($B171,'Portfolio Register'!$DH$5:$DH$304,0))),"")</f>
        <v/>
      </c>
      <c r="F171" s="147" t="str">
        <f>IFERROR(IF(INDEX('Portfolio Register'!$J$5:$J$304,MATCH($B171,'Portfolio Register'!$DH$5:$DH$304,0))="","",INDEX('Portfolio Register'!$J$5:$J$304,MATCH($B171,'Portfolio Register'!$DH$5:$DH$304,0))),"")</f>
        <v/>
      </c>
      <c r="G171" s="146" t="str">
        <f>IFERROR(IF(INDEX('Portfolio Register'!$CX$5:$CX$304,MATCH($B171,'Portfolio Register'!$DH$5:$DH$304,0))="","",INDEX('Portfolio Register'!$CX$5:$CX$304,MATCH($B171,'Portfolio Register'!$DH$5:$DH$304,0))),"")</f>
        <v/>
      </c>
      <c r="H171" s="148" t="str">
        <f>IFERROR(IF(INDEX('Portfolio Register'!$CY$5:$CY$304,MATCH($B171,'Portfolio Register'!$DH$5:$DH$304,0))="","",INDEX('Portfolio Register'!$CY$5:$CY$304,MATCH($B171,'Portfolio Register'!$DH$5:$DH$304,0))),"")</f>
        <v/>
      </c>
      <c r="I171" s="146" t="str">
        <f>IFERROR(IF(INDEX('Portfolio Register'!$CZ$5:$CZ$304,MATCH($B171,'Portfolio Register'!$DH$5:$DH$304,0))="","",INDEX('Portfolio Register'!$CZ$5:$CZ$304,MATCH($B171,'Portfolio Register'!$DH$5:$DH$304,0))),"")</f>
        <v/>
      </c>
      <c r="J171" s="146" t="str">
        <f>IFERROR(IF(INDEX('Portfolio Register'!$DA$5:$DA$304,MATCH($B171,'Portfolio Register'!$DH$5:$DH$304,0))="","",INDEX('Portfolio Register'!$DA$5:$DA$304,MATCH($B171,'Portfolio Register'!$DH$5:$DH$304,0))),"")</f>
        <v/>
      </c>
      <c r="K171" s="146" t="str">
        <f>IFERROR(IF(INDEX('Portfolio Register'!$DB$5:$DB$304,MATCH($B171,'Portfolio Register'!$DH$5:$DH$304,0))="","",INDEX('Portfolio Register'!$DB$5:$DB$304,MATCH($B171,'Portfolio Register'!$DH$5:$DH$304,0))),"")</f>
        <v/>
      </c>
      <c r="L171" s="146" t="str">
        <f>IFERROR(IF(INDEX('Portfolio Register'!$DC$5:$DC$304,MATCH($B171,'Portfolio Register'!$DH$5:$DH$304,0))="","",INDEX('Portfolio Register'!$DC$5:$DC$304,MATCH($B171,'Portfolio Register'!$DH$5:$DH$304,0))),"")</f>
        <v/>
      </c>
      <c r="M171" s="149" t="str">
        <f>IFERROR(IF(INDEX('Portfolio Register'!$DD$5:$DD$304,MATCH($B171,'Portfolio Register'!$DH$5:$DH$304,0))="","",INDEX('Portfolio Register'!$DD$5:$DD$304,MATCH($B171,'Portfolio Register'!$DH$5:$DH$304,0))),"")</f>
        <v/>
      </c>
      <c r="N171" s="150" t="str">
        <f ca="1">IF($C171="","",IF($M171&lt;&gt;"",$M171-IFERROR(INDEX('Portfolio Register'!$C$5:$C$304,MATCH($B171,'Portfolio Register'!$DH$5:$DH$304,0)),$M171),TODAY()-IFERROR(INDEX('Portfolio Register'!$C$5:$C$304,MATCH($B171,'Portfolio Register'!$DH$5:$DH$304,0)),TODAY())))</f>
        <v/>
      </c>
      <c r="O171" s="151" t="str">
        <f t="shared" si="4"/>
        <v/>
      </c>
      <c r="P171" s="146" t="str">
        <f>IFERROR(IF(INDEX('Portfolio Register'!$DG$5:$DG$304,MATCH($B171,'Portfolio Register'!$DH$5:$DH$304,0))="","",INDEX('Portfolio Register'!$DG$5:$DG$304,MATCH($B171,'Portfolio Register'!$DH$5:$DH$304,0))),"")</f>
        <v/>
      </c>
      <c r="Q171" s="146" t="str">
        <f>IFERROR(IF(INDEX('Portfolio Register'!$DF$5:$DF$304,MATCH($B171,'Portfolio Register'!$DH$5:$DH$304,0))="","",INDEX('Portfolio Register'!$DF$5:$DF$304,MATCH($B171,'Portfolio Register'!$DH$5:$DH$304,0))),"")</f>
        <v/>
      </c>
    </row>
    <row r="172" spans="2:17" x14ac:dyDescent="0.25">
      <c r="B172" s="56">
        <v>145</v>
      </c>
      <c r="C172" s="140" t="str">
        <f>IFERROR(IF(INDEX('Portfolio Register'!$A$5:$A$304,MATCH($B172,'Portfolio Register'!$DH$5:$DH$304,0))="","",INDEX('Portfolio Register'!$A$5:$A$304,MATCH($B172,'Portfolio Register'!$DH$5:$DH$304,0))),"")</f>
        <v/>
      </c>
      <c r="D172" s="140" t="str">
        <f>IFERROR(IF(INDEX('Portfolio Register'!$B$5:$B$304,MATCH($B172,'Portfolio Register'!$DH$5:$DH$304,0))="","",INDEX('Portfolio Register'!$B$5:$B$304,MATCH($B172,'Portfolio Register'!$DH$5:$DH$304,0))),"")</f>
        <v/>
      </c>
      <c r="E172" s="140" t="str">
        <f>IFERROR(IF(INDEX('Portfolio Register'!$I$5:$I$304,MATCH($B172,'Portfolio Register'!$DH$5:$DH$304,0))="","",INDEX('Portfolio Register'!$I$5:$I$304,MATCH($B172,'Portfolio Register'!$DH$5:$DH$304,0))),"")</f>
        <v/>
      </c>
      <c r="F172" s="141" t="str">
        <f>IFERROR(IF(INDEX('Portfolio Register'!$J$5:$J$304,MATCH($B172,'Portfolio Register'!$DH$5:$DH$304,0))="","",INDEX('Portfolio Register'!$J$5:$J$304,MATCH($B172,'Portfolio Register'!$DH$5:$DH$304,0))),"")</f>
        <v/>
      </c>
      <c r="G172" s="140" t="str">
        <f>IFERROR(IF(INDEX('Portfolio Register'!$CX$5:$CX$304,MATCH($B172,'Portfolio Register'!$DH$5:$DH$304,0))="","",INDEX('Portfolio Register'!$CX$5:$CX$304,MATCH($B172,'Portfolio Register'!$DH$5:$DH$304,0))),"")</f>
        <v/>
      </c>
      <c r="H172" s="142" t="str">
        <f>IFERROR(IF(INDEX('Portfolio Register'!$CY$5:$CY$304,MATCH($B172,'Portfolio Register'!$DH$5:$DH$304,0))="","",INDEX('Portfolio Register'!$CY$5:$CY$304,MATCH($B172,'Portfolio Register'!$DH$5:$DH$304,0))),"")</f>
        <v/>
      </c>
      <c r="I172" s="140" t="str">
        <f>IFERROR(IF(INDEX('Portfolio Register'!$CZ$5:$CZ$304,MATCH($B172,'Portfolio Register'!$DH$5:$DH$304,0))="","",INDEX('Portfolio Register'!$CZ$5:$CZ$304,MATCH($B172,'Portfolio Register'!$DH$5:$DH$304,0))),"")</f>
        <v/>
      </c>
      <c r="J172" s="140" t="str">
        <f>IFERROR(IF(INDEX('Portfolio Register'!$DA$5:$DA$304,MATCH($B172,'Portfolio Register'!$DH$5:$DH$304,0))="","",INDEX('Portfolio Register'!$DA$5:$DA$304,MATCH($B172,'Portfolio Register'!$DH$5:$DH$304,0))),"")</f>
        <v/>
      </c>
      <c r="K172" s="140" t="str">
        <f>IFERROR(IF(INDEX('Portfolio Register'!$DB$5:$DB$304,MATCH($B172,'Portfolio Register'!$DH$5:$DH$304,0))="","",INDEX('Portfolio Register'!$DB$5:$DB$304,MATCH($B172,'Portfolio Register'!$DH$5:$DH$304,0))),"")</f>
        <v/>
      </c>
      <c r="L172" s="140" t="str">
        <f>IFERROR(IF(INDEX('Portfolio Register'!$DC$5:$DC$304,MATCH($B172,'Portfolio Register'!$DH$5:$DH$304,0))="","",INDEX('Portfolio Register'!$DC$5:$DC$304,MATCH($B172,'Portfolio Register'!$DH$5:$DH$304,0))),"")</f>
        <v/>
      </c>
      <c r="M172" s="143" t="str">
        <f>IFERROR(IF(INDEX('Portfolio Register'!$DD$5:$DD$304,MATCH($B172,'Portfolio Register'!$DH$5:$DH$304,0))="","",INDEX('Portfolio Register'!$DD$5:$DD$304,MATCH($B172,'Portfolio Register'!$DH$5:$DH$304,0))),"")</f>
        <v/>
      </c>
      <c r="N172" s="144" t="str">
        <f ca="1">IF($C172="","",IF($M172&lt;&gt;"",$M172-IFERROR(INDEX('Portfolio Register'!$C$5:$C$304,MATCH($B172,'Portfolio Register'!$DH$5:$DH$304,0)),$M172),TODAY()-IFERROR(INDEX('Portfolio Register'!$C$5:$C$304,MATCH($B172,'Portfolio Register'!$DH$5:$DH$304,0)),TODAY())))</f>
        <v/>
      </c>
      <c r="O172" s="145" t="str">
        <f t="shared" si="4"/>
        <v/>
      </c>
      <c r="P172" s="140" t="str">
        <f>IFERROR(IF(INDEX('Portfolio Register'!$DG$5:$DG$304,MATCH($B172,'Portfolio Register'!$DH$5:$DH$304,0))="","",INDEX('Portfolio Register'!$DG$5:$DG$304,MATCH($B172,'Portfolio Register'!$DH$5:$DH$304,0))),"")</f>
        <v/>
      </c>
      <c r="Q172" s="140" t="str">
        <f>IFERROR(IF(INDEX('Portfolio Register'!$DF$5:$DF$304,MATCH($B172,'Portfolio Register'!$DH$5:$DH$304,0))="","",INDEX('Portfolio Register'!$DF$5:$DF$304,MATCH($B172,'Portfolio Register'!$DH$5:$DH$304,0))),"")</f>
        <v/>
      </c>
    </row>
    <row r="173" spans="2:17" x14ac:dyDescent="0.25">
      <c r="B173" s="63">
        <v>146</v>
      </c>
      <c r="C173" s="146" t="str">
        <f>IFERROR(IF(INDEX('Portfolio Register'!$A$5:$A$304,MATCH($B173,'Portfolio Register'!$DH$5:$DH$304,0))="","",INDEX('Portfolio Register'!$A$5:$A$304,MATCH($B173,'Portfolio Register'!$DH$5:$DH$304,0))),"")</f>
        <v/>
      </c>
      <c r="D173" s="146" t="str">
        <f>IFERROR(IF(INDEX('Portfolio Register'!$B$5:$B$304,MATCH($B173,'Portfolio Register'!$DH$5:$DH$304,0))="","",INDEX('Portfolio Register'!$B$5:$B$304,MATCH($B173,'Portfolio Register'!$DH$5:$DH$304,0))),"")</f>
        <v/>
      </c>
      <c r="E173" s="146" t="str">
        <f>IFERROR(IF(INDEX('Portfolio Register'!$I$5:$I$304,MATCH($B173,'Portfolio Register'!$DH$5:$DH$304,0))="","",INDEX('Portfolio Register'!$I$5:$I$304,MATCH($B173,'Portfolio Register'!$DH$5:$DH$304,0))),"")</f>
        <v/>
      </c>
      <c r="F173" s="147" t="str">
        <f>IFERROR(IF(INDEX('Portfolio Register'!$J$5:$J$304,MATCH($B173,'Portfolio Register'!$DH$5:$DH$304,0))="","",INDEX('Portfolio Register'!$J$5:$J$304,MATCH($B173,'Portfolio Register'!$DH$5:$DH$304,0))),"")</f>
        <v/>
      </c>
      <c r="G173" s="146" t="str">
        <f>IFERROR(IF(INDEX('Portfolio Register'!$CX$5:$CX$304,MATCH($B173,'Portfolio Register'!$DH$5:$DH$304,0))="","",INDEX('Portfolio Register'!$CX$5:$CX$304,MATCH($B173,'Portfolio Register'!$DH$5:$DH$304,0))),"")</f>
        <v/>
      </c>
      <c r="H173" s="148" t="str">
        <f>IFERROR(IF(INDEX('Portfolio Register'!$CY$5:$CY$304,MATCH($B173,'Portfolio Register'!$DH$5:$DH$304,0))="","",INDEX('Portfolio Register'!$CY$5:$CY$304,MATCH($B173,'Portfolio Register'!$DH$5:$DH$304,0))),"")</f>
        <v/>
      </c>
      <c r="I173" s="146" t="str">
        <f>IFERROR(IF(INDEX('Portfolio Register'!$CZ$5:$CZ$304,MATCH($B173,'Portfolio Register'!$DH$5:$DH$304,0))="","",INDEX('Portfolio Register'!$CZ$5:$CZ$304,MATCH($B173,'Portfolio Register'!$DH$5:$DH$304,0))),"")</f>
        <v/>
      </c>
      <c r="J173" s="146" t="str">
        <f>IFERROR(IF(INDEX('Portfolio Register'!$DA$5:$DA$304,MATCH($B173,'Portfolio Register'!$DH$5:$DH$304,0))="","",INDEX('Portfolio Register'!$DA$5:$DA$304,MATCH($B173,'Portfolio Register'!$DH$5:$DH$304,0))),"")</f>
        <v/>
      </c>
      <c r="K173" s="146" t="str">
        <f>IFERROR(IF(INDEX('Portfolio Register'!$DB$5:$DB$304,MATCH($B173,'Portfolio Register'!$DH$5:$DH$304,0))="","",INDEX('Portfolio Register'!$DB$5:$DB$304,MATCH($B173,'Portfolio Register'!$DH$5:$DH$304,0))),"")</f>
        <v/>
      </c>
      <c r="L173" s="146" t="str">
        <f>IFERROR(IF(INDEX('Portfolio Register'!$DC$5:$DC$304,MATCH($B173,'Portfolio Register'!$DH$5:$DH$304,0))="","",INDEX('Portfolio Register'!$DC$5:$DC$304,MATCH($B173,'Portfolio Register'!$DH$5:$DH$304,0))),"")</f>
        <v/>
      </c>
      <c r="M173" s="149" t="str">
        <f>IFERROR(IF(INDEX('Portfolio Register'!$DD$5:$DD$304,MATCH($B173,'Portfolio Register'!$DH$5:$DH$304,0))="","",INDEX('Portfolio Register'!$DD$5:$DD$304,MATCH($B173,'Portfolio Register'!$DH$5:$DH$304,0))),"")</f>
        <v/>
      </c>
      <c r="N173" s="150" t="str">
        <f ca="1">IF($C173="","",IF($M173&lt;&gt;"",$M173-IFERROR(INDEX('Portfolio Register'!$C$5:$C$304,MATCH($B173,'Portfolio Register'!$DH$5:$DH$304,0)),$M173),TODAY()-IFERROR(INDEX('Portfolio Register'!$C$5:$C$304,MATCH($B173,'Portfolio Register'!$DH$5:$DH$304,0)),TODAY())))</f>
        <v/>
      </c>
      <c r="O173" s="151" t="str">
        <f t="shared" si="4"/>
        <v/>
      </c>
      <c r="P173" s="146" t="str">
        <f>IFERROR(IF(INDEX('Portfolio Register'!$DG$5:$DG$304,MATCH($B173,'Portfolio Register'!$DH$5:$DH$304,0))="","",INDEX('Portfolio Register'!$DG$5:$DG$304,MATCH($B173,'Portfolio Register'!$DH$5:$DH$304,0))),"")</f>
        <v/>
      </c>
      <c r="Q173" s="146" t="str">
        <f>IFERROR(IF(INDEX('Portfolio Register'!$DF$5:$DF$304,MATCH($B173,'Portfolio Register'!$DH$5:$DH$304,0))="","",INDEX('Portfolio Register'!$DF$5:$DF$304,MATCH($B173,'Portfolio Register'!$DH$5:$DH$304,0))),"")</f>
        <v/>
      </c>
    </row>
    <row r="174" spans="2:17" x14ac:dyDescent="0.25">
      <c r="B174" s="56">
        <v>147</v>
      </c>
      <c r="C174" s="140" t="str">
        <f>IFERROR(IF(INDEX('Portfolio Register'!$A$5:$A$304,MATCH($B174,'Portfolio Register'!$DH$5:$DH$304,0))="","",INDEX('Portfolio Register'!$A$5:$A$304,MATCH($B174,'Portfolio Register'!$DH$5:$DH$304,0))),"")</f>
        <v/>
      </c>
      <c r="D174" s="140" t="str">
        <f>IFERROR(IF(INDEX('Portfolio Register'!$B$5:$B$304,MATCH($B174,'Portfolio Register'!$DH$5:$DH$304,0))="","",INDEX('Portfolio Register'!$B$5:$B$304,MATCH($B174,'Portfolio Register'!$DH$5:$DH$304,0))),"")</f>
        <v/>
      </c>
      <c r="E174" s="140" t="str">
        <f>IFERROR(IF(INDEX('Portfolio Register'!$I$5:$I$304,MATCH($B174,'Portfolio Register'!$DH$5:$DH$304,0))="","",INDEX('Portfolio Register'!$I$5:$I$304,MATCH($B174,'Portfolio Register'!$DH$5:$DH$304,0))),"")</f>
        <v/>
      </c>
      <c r="F174" s="141" t="str">
        <f>IFERROR(IF(INDEX('Portfolio Register'!$J$5:$J$304,MATCH($B174,'Portfolio Register'!$DH$5:$DH$304,0))="","",INDEX('Portfolio Register'!$J$5:$J$304,MATCH($B174,'Portfolio Register'!$DH$5:$DH$304,0))),"")</f>
        <v/>
      </c>
      <c r="G174" s="140" t="str">
        <f>IFERROR(IF(INDEX('Portfolio Register'!$CX$5:$CX$304,MATCH($B174,'Portfolio Register'!$DH$5:$DH$304,0))="","",INDEX('Portfolio Register'!$CX$5:$CX$304,MATCH($B174,'Portfolio Register'!$DH$5:$DH$304,0))),"")</f>
        <v/>
      </c>
      <c r="H174" s="142" t="str">
        <f>IFERROR(IF(INDEX('Portfolio Register'!$CY$5:$CY$304,MATCH($B174,'Portfolio Register'!$DH$5:$DH$304,0))="","",INDEX('Portfolio Register'!$CY$5:$CY$304,MATCH($B174,'Portfolio Register'!$DH$5:$DH$304,0))),"")</f>
        <v/>
      </c>
      <c r="I174" s="140" t="str">
        <f>IFERROR(IF(INDEX('Portfolio Register'!$CZ$5:$CZ$304,MATCH($B174,'Portfolio Register'!$DH$5:$DH$304,0))="","",INDEX('Portfolio Register'!$CZ$5:$CZ$304,MATCH($B174,'Portfolio Register'!$DH$5:$DH$304,0))),"")</f>
        <v/>
      </c>
      <c r="J174" s="140" t="str">
        <f>IFERROR(IF(INDEX('Portfolio Register'!$DA$5:$DA$304,MATCH($B174,'Portfolio Register'!$DH$5:$DH$304,0))="","",INDEX('Portfolio Register'!$DA$5:$DA$304,MATCH($B174,'Portfolio Register'!$DH$5:$DH$304,0))),"")</f>
        <v/>
      </c>
      <c r="K174" s="140" t="str">
        <f>IFERROR(IF(INDEX('Portfolio Register'!$DB$5:$DB$304,MATCH($B174,'Portfolio Register'!$DH$5:$DH$304,0))="","",INDEX('Portfolio Register'!$DB$5:$DB$304,MATCH($B174,'Portfolio Register'!$DH$5:$DH$304,0))),"")</f>
        <v/>
      </c>
      <c r="L174" s="140" t="str">
        <f>IFERROR(IF(INDEX('Portfolio Register'!$DC$5:$DC$304,MATCH($B174,'Portfolio Register'!$DH$5:$DH$304,0))="","",INDEX('Portfolio Register'!$DC$5:$DC$304,MATCH($B174,'Portfolio Register'!$DH$5:$DH$304,0))),"")</f>
        <v/>
      </c>
      <c r="M174" s="143" t="str">
        <f>IFERROR(IF(INDEX('Portfolio Register'!$DD$5:$DD$304,MATCH($B174,'Portfolio Register'!$DH$5:$DH$304,0))="","",INDEX('Portfolio Register'!$DD$5:$DD$304,MATCH($B174,'Portfolio Register'!$DH$5:$DH$304,0))),"")</f>
        <v/>
      </c>
      <c r="N174" s="144" t="str">
        <f ca="1">IF($C174="","",IF($M174&lt;&gt;"",$M174-IFERROR(INDEX('Portfolio Register'!$C$5:$C$304,MATCH($B174,'Portfolio Register'!$DH$5:$DH$304,0)),$M174),TODAY()-IFERROR(INDEX('Portfolio Register'!$C$5:$C$304,MATCH($B174,'Portfolio Register'!$DH$5:$DH$304,0)),TODAY())))</f>
        <v/>
      </c>
      <c r="O174" s="145" t="str">
        <f t="shared" si="4"/>
        <v/>
      </c>
      <c r="P174" s="140" t="str">
        <f>IFERROR(IF(INDEX('Portfolio Register'!$DG$5:$DG$304,MATCH($B174,'Portfolio Register'!$DH$5:$DH$304,0))="","",INDEX('Portfolio Register'!$DG$5:$DG$304,MATCH($B174,'Portfolio Register'!$DH$5:$DH$304,0))),"")</f>
        <v/>
      </c>
      <c r="Q174" s="140" t="str">
        <f>IFERROR(IF(INDEX('Portfolio Register'!$DF$5:$DF$304,MATCH($B174,'Portfolio Register'!$DH$5:$DH$304,0))="","",INDEX('Portfolio Register'!$DF$5:$DF$304,MATCH($B174,'Portfolio Register'!$DH$5:$DH$304,0))),"")</f>
        <v/>
      </c>
    </row>
    <row r="175" spans="2:17" x14ac:dyDescent="0.25">
      <c r="B175" s="63">
        <v>148</v>
      </c>
      <c r="C175" s="146" t="str">
        <f>IFERROR(IF(INDEX('Portfolio Register'!$A$5:$A$304,MATCH($B175,'Portfolio Register'!$DH$5:$DH$304,0))="","",INDEX('Portfolio Register'!$A$5:$A$304,MATCH($B175,'Portfolio Register'!$DH$5:$DH$304,0))),"")</f>
        <v/>
      </c>
      <c r="D175" s="146" t="str">
        <f>IFERROR(IF(INDEX('Portfolio Register'!$B$5:$B$304,MATCH($B175,'Portfolio Register'!$DH$5:$DH$304,0))="","",INDEX('Portfolio Register'!$B$5:$B$304,MATCH($B175,'Portfolio Register'!$DH$5:$DH$304,0))),"")</f>
        <v/>
      </c>
      <c r="E175" s="146" t="str">
        <f>IFERROR(IF(INDEX('Portfolio Register'!$I$5:$I$304,MATCH($B175,'Portfolio Register'!$DH$5:$DH$304,0))="","",INDEX('Portfolio Register'!$I$5:$I$304,MATCH($B175,'Portfolio Register'!$DH$5:$DH$304,0))),"")</f>
        <v/>
      </c>
      <c r="F175" s="147" t="str">
        <f>IFERROR(IF(INDEX('Portfolio Register'!$J$5:$J$304,MATCH($B175,'Portfolio Register'!$DH$5:$DH$304,0))="","",INDEX('Portfolio Register'!$J$5:$J$304,MATCH($B175,'Portfolio Register'!$DH$5:$DH$304,0))),"")</f>
        <v/>
      </c>
      <c r="G175" s="146" t="str">
        <f>IFERROR(IF(INDEX('Portfolio Register'!$CX$5:$CX$304,MATCH($B175,'Portfolio Register'!$DH$5:$DH$304,0))="","",INDEX('Portfolio Register'!$CX$5:$CX$304,MATCH($B175,'Portfolio Register'!$DH$5:$DH$304,0))),"")</f>
        <v/>
      </c>
      <c r="H175" s="148" t="str">
        <f>IFERROR(IF(INDEX('Portfolio Register'!$CY$5:$CY$304,MATCH($B175,'Portfolio Register'!$DH$5:$DH$304,0))="","",INDEX('Portfolio Register'!$CY$5:$CY$304,MATCH($B175,'Portfolio Register'!$DH$5:$DH$304,0))),"")</f>
        <v/>
      </c>
      <c r="I175" s="146" t="str">
        <f>IFERROR(IF(INDEX('Portfolio Register'!$CZ$5:$CZ$304,MATCH($B175,'Portfolio Register'!$DH$5:$DH$304,0))="","",INDEX('Portfolio Register'!$CZ$5:$CZ$304,MATCH($B175,'Portfolio Register'!$DH$5:$DH$304,0))),"")</f>
        <v/>
      </c>
      <c r="J175" s="146" t="str">
        <f>IFERROR(IF(INDEX('Portfolio Register'!$DA$5:$DA$304,MATCH($B175,'Portfolio Register'!$DH$5:$DH$304,0))="","",INDEX('Portfolio Register'!$DA$5:$DA$304,MATCH($B175,'Portfolio Register'!$DH$5:$DH$304,0))),"")</f>
        <v/>
      </c>
      <c r="K175" s="146" t="str">
        <f>IFERROR(IF(INDEX('Portfolio Register'!$DB$5:$DB$304,MATCH($B175,'Portfolio Register'!$DH$5:$DH$304,0))="","",INDEX('Portfolio Register'!$DB$5:$DB$304,MATCH($B175,'Portfolio Register'!$DH$5:$DH$304,0))),"")</f>
        <v/>
      </c>
      <c r="L175" s="146" t="str">
        <f>IFERROR(IF(INDEX('Portfolio Register'!$DC$5:$DC$304,MATCH($B175,'Portfolio Register'!$DH$5:$DH$304,0))="","",INDEX('Portfolio Register'!$DC$5:$DC$304,MATCH($B175,'Portfolio Register'!$DH$5:$DH$304,0))),"")</f>
        <v/>
      </c>
      <c r="M175" s="149" t="str">
        <f>IFERROR(IF(INDEX('Portfolio Register'!$DD$5:$DD$304,MATCH($B175,'Portfolio Register'!$DH$5:$DH$304,0))="","",INDEX('Portfolio Register'!$DD$5:$DD$304,MATCH($B175,'Portfolio Register'!$DH$5:$DH$304,0))),"")</f>
        <v/>
      </c>
      <c r="N175" s="150" t="str">
        <f ca="1">IF($C175="","",IF($M175&lt;&gt;"",$M175-IFERROR(INDEX('Portfolio Register'!$C$5:$C$304,MATCH($B175,'Portfolio Register'!$DH$5:$DH$304,0)),$M175),TODAY()-IFERROR(INDEX('Portfolio Register'!$C$5:$C$304,MATCH($B175,'Portfolio Register'!$DH$5:$DH$304,0)),TODAY())))</f>
        <v/>
      </c>
      <c r="O175" s="151" t="str">
        <f t="shared" si="4"/>
        <v/>
      </c>
      <c r="P175" s="146" t="str">
        <f>IFERROR(IF(INDEX('Portfolio Register'!$DG$5:$DG$304,MATCH($B175,'Portfolio Register'!$DH$5:$DH$304,0))="","",INDEX('Portfolio Register'!$DG$5:$DG$304,MATCH($B175,'Portfolio Register'!$DH$5:$DH$304,0))),"")</f>
        <v/>
      </c>
      <c r="Q175" s="146" t="str">
        <f>IFERROR(IF(INDEX('Portfolio Register'!$DF$5:$DF$304,MATCH($B175,'Portfolio Register'!$DH$5:$DH$304,0))="","",INDEX('Portfolio Register'!$DF$5:$DF$304,MATCH($B175,'Portfolio Register'!$DH$5:$DH$304,0))),"")</f>
        <v/>
      </c>
    </row>
    <row r="176" spans="2:17" x14ac:dyDescent="0.25">
      <c r="B176" s="56">
        <v>149</v>
      </c>
      <c r="C176" s="140" t="str">
        <f>IFERROR(IF(INDEX('Portfolio Register'!$A$5:$A$304,MATCH($B176,'Portfolio Register'!$DH$5:$DH$304,0))="","",INDEX('Portfolio Register'!$A$5:$A$304,MATCH($B176,'Portfolio Register'!$DH$5:$DH$304,0))),"")</f>
        <v/>
      </c>
      <c r="D176" s="140" t="str">
        <f>IFERROR(IF(INDEX('Portfolio Register'!$B$5:$B$304,MATCH($B176,'Portfolio Register'!$DH$5:$DH$304,0))="","",INDEX('Portfolio Register'!$B$5:$B$304,MATCH($B176,'Portfolio Register'!$DH$5:$DH$304,0))),"")</f>
        <v/>
      </c>
      <c r="E176" s="140" t="str">
        <f>IFERROR(IF(INDEX('Portfolio Register'!$I$5:$I$304,MATCH($B176,'Portfolio Register'!$DH$5:$DH$304,0))="","",INDEX('Portfolio Register'!$I$5:$I$304,MATCH($B176,'Portfolio Register'!$DH$5:$DH$304,0))),"")</f>
        <v/>
      </c>
      <c r="F176" s="141" t="str">
        <f>IFERROR(IF(INDEX('Portfolio Register'!$J$5:$J$304,MATCH($B176,'Portfolio Register'!$DH$5:$DH$304,0))="","",INDEX('Portfolio Register'!$J$5:$J$304,MATCH($B176,'Portfolio Register'!$DH$5:$DH$304,0))),"")</f>
        <v/>
      </c>
      <c r="G176" s="140" t="str">
        <f>IFERROR(IF(INDEX('Portfolio Register'!$CX$5:$CX$304,MATCH($B176,'Portfolio Register'!$DH$5:$DH$304,0))="","",INDEX('Portfolio Register'!$CX$5:$CX$304,MATCH($B176,'Portfolio Register'!$DH$5:$DH$304,0))),"")</f>
        <v/>
      </c>
      <c r="H176" s="142" t="str">
        <f>IFERROR(IF(INDEX('Portfolio Register'!$CY$5:$CY$304,MATCH($B176,'Portfolio Register'!$DH$5:$DH$304,0))="","",INDEX('Portfolio Register'!$CY$5:$CY$304,MATCH($B176,'Portfolio Register'!$DH$5:$DH$304,0))),"")</f>
        <v/>
      </c>
      <c r="I176" s="140" t="str">
        <f>IFERROR(IF(INDEX('Portfolio Register'!$CZ$5:$CZ$304,MATCH($B176,'Portfolio Register'!$DH$5:$DH$304,0))="","",INDEX('Portfolio Register'!$CZ$5:$CZ$304,MATCH($B176,'Portfolio Register'!$DH$5:$DH$304,0))),"")</f>
        <v/>
      </c>
      <c r="J176" s="140" t="str">
        <f>IFERROR(IF(INDEX('Portfolio Register'!$DA$5:$DA$304,MATCH($B176,'Portfolio Register'!$DH$5:$DH$304,0))="","",INDEX('Portfolio Register'!$DA$5:$DA$304,MATCH($B176,'Portfolio Register'!$DH$5:$DH$304,0))),"")</f>
        <v/>
      </c>
      <c r="K176" s="140" t="str">
        <f>IFERROR(IF(INDEX('Portfolio Register'!$DB$5:$DB$304,MATCH($B176,'Portfolio Register'!$DH$5:$DH$304,0))="","",INDEX('Portfolio Register'!$DB$5:$DB$304,MATCH($B176,'Portfolio Register'!$DH$5:$DH$304,0))),"")</f>
        <v/>
      </c>
      <c r="L176" s="140" t="str">
        <f>IFERROR(IF(INDEX('Portfolio Register'!$DC$5:$DC$304,MATCH($B176,'Portfolio Register'!$DH$5:$DH$304,0))="","",INDEX('Portfolio Register'!$DC$5:$DC$304,MATCH($B176,'Portfolio Register'!$DH$5:$DH$304,0))),"")</f>
        <v/>
      </c>
      <c r="M176" s="143" t="str">
        <f>IFERROR(IF(INDEX('Portfolio Register'!$DD$5:$DD$304,MATCH($B176,'Portfolio Register'!$DH$5:$DH$304,0))="","",INDEX('Portfolio Register'!$DD$5:$DD$304,MATCH($B176,'Portfolio Register'!$DH$5:$DH$304,0))),"")</f>
        <v/>
      </c>
      <c r="N176" s="144" t="str">
        <f ca="1">IF($C176="","",IF($M176&lt;&gt;"",$M176-IFERROR(INDEX('Portfolio Register'!$C$5:$C$304,MATCH($B176,'Portfolio Register'!$DH$5:$DH$304,0)),$M176),TODAY()-IFERROR(INDEX('Portfolio Register'!$C$5:$C$304,MATCH($B176,'Portfolio Register'!$DH$5:$DH$304,0)),TODAY())))</f>
        <v/>
      </c>
      <c r="O176" s="145" t="str">
        <f t="shared" si="4"/>
        <v/>
      </c>
      <c r="P176" s="140" t="str">
        <f>IFERROR(IF(INDEX('Portfolio Register'!$DG$5:$DG$304,MATCH($B176,'Portfolio Register'!$DH$5:$DH$304,0))="","",INDEX('Portfolio Register'!$DG$5:$DG$304,MATCH($B176,'Portfolio Register'!$DH$5:$DH$304,0))),"")</f>
        <v/>
      </c>
      <c r="Q176" s="140" t="str">
        <f>IFERROR(IF(INDEX('Portfolio Register'!$DF$5:$DF$304,MATCH($B176,'Portfolio Register'!$DH$5:$DH$304,0))="","",INDEX('Portfolio Register'!$DF$5:$DF$304,MATCH($B176,'Portfolio Register'!$DH$5:$DH$304,0))),"")</f>
        <v/>
      </c>
    </row>
    <row r="177" spans="2:17" x14ac:dyDescent="0.25">
      <c r="B177" s="63">
        <v>150</v>
      </c>
      <c r="C177" s="146" t="str">
        <f>IFERROR(IF(INDEX('Portfolio Register'!$A$5:$A$304,MATCH($B177,'Portfolio Register'!$DH$5:$DH$304,0))="","",INDEX('Portfolio Register'!$A$5:$A$304,MATCH($B177,'Portfolio Register'!$DH$5:$DH$304,0))),"")</f>
        <v/>
      </c>
      <c r="D177" s="146" t="str">
        <f>IFERROR(IF(INDEX('Portfolio Register'!$B$5:$B$304,MATCH($B177,'Portfolio Register'!$DH$5:$DH$304,0))="","",INDEX('Portfolio Register'!$B$5:$B$304,MATCH($B177,'Portfolio Register'!$DH$5:$DH$304,0))),"")</f>
        <v/>
      </c>
      <c r="E177" s="146" t="str">
        <f>IFERROR(IF(INDEX('Portfolio Register'!$I$5:$I$304,MATCH($B177,'Portfolio Register'!$DH$5:$DH$304,0))="","",INDEX('Portfolio Register'!$I$5:$I$304,MATCH($B177,'Portfolio Register'!$DH$5:$DH$304,0))),"")</f>
        <v/>
      </c>
      <c r="F177" s="147" t="str">
        <f>IFERROR(IF(INDEX('Portfolio Register'!$J$5:$J$304,MATCH($B177,'Portfolio Register'!$DH$5:$DH$304,0))="","",INDEX('Portfolio Register'!$J$5:$J$304,MATCH($B177,'Portfolio Register'!$DH$5:$DH$304,0))),"")</f>
        <v/>
      </c>
      <c r="G177" s="146" t="str">
        <f>IFERROR(IF(INDEX('Portfolio Register'!$CX$5:$CX$304,MATCH($B177,'Portfolio Register'!$DH$5:$DH$304,0))="","",INDEX('Portfolio Register'!$CX$5:$CX$304,MATCH($B177,'Portfolio Register'!$DH$5:$DH$304,0))),"")</f>
        <v/>
      </c>
      <c r="H177" s="148" t="str">
        <f>IFERROR(IF(INDEX('Portfolio Register'!$CY$5:$CY$304,MATCH($B177,'Portfolio Register'!$DH$5:$DH$304,0))="","",INDEX('Portfolio Register'!$CY$5:$CY$304,MATCH($B177,'Portfolio Register'!$DH$5:$DH$304,0))),"")</f>
        <v/>
      </c>
      <c r="I177" s="146" t="str">
        <f>IFERROR(IF(INDEX('Portfolio Register'!$CZ$5:$CZ$304,MATCH($B177,'Portfolio Register'!$DH$5:$DH$304,0))="","",INDEX('Portfolio Register'!$CZ$5:$CZ$304,MATCH($B177,'Portfolio Register'!$DH$5:$DH$304,0))),"")</f>
        <v/>
      </c>
      <c r="J177" s="146" t="str">
        <f>IFERROR(IF(INDEX('Portfolio Register'!$DA$5:$DA$304,MATCH($B177,'Portfolio Register'!$DH$5:$DH$304,0))="","",INDEX('Portfolio Register'!$DA$5:$DA$304,MATCH($B177,'Portfolio Register'!$DH$5:$DH$304,0))),"")</f>
        <v/>
      </c>
      <c r="K177" s="146" t="str">
        <f>IFERROR(IF(INDEX('Portfolio Register'!$DB$5:$DB$304,MATCH($B177,'Portfolio Register'!$DH$5:$DH$304,0))="","",INDEX('Portfolio Register'!$DB$5:$DB$304,MATCH($B177,'Portfolio Register'!$DH$5:$DH$304,0))),"")</f>
        <v/>
      </c>
      <c r="L177" s="146" t="str">
        <f>IFERROR(IF(INDEX('Portfolio Register'!$DC$5:$DC$304,MATCH($B177,'Portfolio Register'!$DH$5:$DH$304,0))="","",INDEX('Portfolio Register'!$DC$5:$DC$304,MATCH($B177,'Portfolio Register'!$DH$5:$DH$304,0))),"")</f>
        <v/>
      </c>
      <c r="M177" s="149" t="str">
        <f>IFERROR(IF(INDEX('Portfolio Register'!$DD$5:$DD$304,MATCH($B177,'Portfolio Register'!$DH$5:$DH$304,0))="","",INDEX('Portfolio Register'!$DD$5:$DD$304,MATCH($B177,'Portfolio Register'!$DH$5:$DH$304,0))),"")</f>
        <v/>
      </c>
      <c r="N177" s="150" t="str">
        <f ca="1">IF($C177="","",IF($M177&lt;&gt;"",$M177-IFERROR(INDEX('Portfolio Register'!$C$5:$C$304,MATCH($B177,'Portfolio Register'!$DH$5:$DH$304,0)),$M177),TODAY()-IFERROR(INDEX('Portfolio Register'!$C$5:$C$304,MATCH($B177,'Portfolio Register'!$DH$5:$DH$304,0)),TODAY())))</f>
        <v/>
      </c>
      <c r="O177" s="151" t="str">
        <f t="shared" si="4"/>
        <v/>
      </c>
      <c r="P177" s="146" t="str">
        <f>IFERROR(IF(INDEX('Portfolio Register'!$DG$5:$DG$304,MATCH($B177,'Portfolio Register'!$DH$5:$DH$304,0))="","",INDEX('Portfolio Register'!$DG$5:$DG$304,MATCH($B177,'Portfolio Register'!$DH$5:$DH$304,0))),"")</f>
        <v/>
      </c>
      <c r="Q177" s="146" t="str">
        <f>IFERROR(IF(INDEX('Portfolio Register'!$DF$5:$DF$304,MATCH($B177,'Portfolio Register'!$DH$5:$DH$304,0))="","",INDEX('Portfolio Register'!$DF$5:$DF$304,MATCH($B177,'Portfolio Register'!$DH$5:$DH$304,0))),"")</f>
        <v/>
      </c>
    </row>
    <row r="179" spans="2:17" x14ac:dyDescent="0.25">
      <c r="B179" s="15" t="s">
        <v>673</v>
      </c>
    </row>
    <row r="180" spans="2:17" ht="25.5" customHeight="1" x14ac:dyDescent="0.25">
      <c r="B180" s="10" t="s">
        <v>674</v>
      </c>
      <c r="C180" s="10"/>
      <c r="D180" s="10"/>
      <c r="E180" s="10"/>
      <c r="F180" s="10"/>
      <c r="G180" s="10"/>
      <c r="H180" s="10"/>
      <c r="I180" s="10"/>
      <c r="J180" s="10"/>
      <c r="K180" s="10"/>
      <c r="L180" s="10"/>
      <c r="M180" s="10"/>
      <c r="N180" s="10"/>
      <c r="O180" s="10"/>
      <c r="P180" s="10"/>
      <c r="Q180" s="10"/>
    </row>
    <row r="181" spans="2:17" ht="25.5" customHeight="1" x14ac:dyDescent="0.25">
      <c r="B181" s="10" t="s">
        <v>675</v>
      </c>
      <c r="C181" s="10"/>
      <c r="D181" s="10"/>
      <c r="E181" s="10"/>
      <c r="F181" s="10"/>
      <c r="G181" s="10"/>
      <c r="H181" s="10"/>
      <c r="I181" s="10"/>
      <c r="J181" s="10"/>
      <c r="K181" s="10"/>
      <c r="L181" s="10"/>
      <c r="M181" s="10"/>
      <c r="N181" s="10"/>
      <c r="O181" s="10"/>
      <c r="P181" s="10"/>
      <c r="Q181" s="10"/>
    </row>
    <row r="182" spans="2:17" ht="25.5" customHeight="1" x14ac:dyDescent="0.25">
      <c r="B182" s="10" t="s">
        <v>676</v>
      </c>
      <c r="C182" s="10"/>
      <c r="D182" s="10"/>
      <c r="E182" s="10"/>
      <c r="F182" s="10"/>
      <c r="G182" s="10"/>
      <c r="H182" s="10"/>
      <c r="I182" s="10"/>
      <c r="J182" s="10"/>
      <c r="K182" s="10"/>
      <c r="L182" s="10"/>
      <c r="M182" s="10"/>
      <c r="N182" s="10"/>
      <c r="O182" s="10"/>
      <c r="P182" s="10"/>
      <c r="Q182" s="10"/>
    </row>
    <row r="183" spans="2:17" ht="25.5" customHeight="1" x14ac:dyDescent="0.25">
      <c r="B183" s="10" t="s">
        <v>677</v>
      </c>
      <c r="C183" s="10"/>
      <c r="D183" s="10"/>
      <c r="E183" s="10"/>
      <c r="F183" s="10"/>
      <c r="G183" s="10"/>
      <c r="H183" s="10"/>
      <c r="I183" s="10"/>
      <c r="J183" s="10"/>
      <c r="K183" s="10"/>
      <c r="L183" s="10"/>
      <c r="M183" s="10"/>
      <c r="N183" s="10"/>
      <c r="O183" s="10"/>
      <c r="P183" s="10"/>
      <c r="Q183" s="10"/>
    </row>
    <row r="184" spans="2:17" ht="25.5" customHeight="1" x14ac:dyDescent="0.25">
      <c r="B184" s="10" t="s">
        <v>678</v>
      </c>
      <c r="C184" s="10"/>
      <c r="D184" s="10"/>
      <c r="E184" s="10"/>
      <c r="F184" s="10"/>
      <c r="G184" s="10"/>
      <c r="H184" s="10"/>
      <c r="I184" s="10"/>
      <c r="J184" s="10"/>
      <c r="K184" s="10"/>
      <c r="L184" s="10"/>
      <c r="M184" s="10"/>
      <c r="N184" s="10"/>
      <c r="O184" s="10"/>
      <c r="P184" s="10"/>
      <c r="Q184" s="10"/>
    </row>
    <row r="185" spans="2:17" ht="25.5" customHeight="1" x14ac:dyDescent="0.25">
      <c r="B185" s="10" t="s">
        <v>679</v>
      </c>
      <c r="C185" s="10"/>
      <c r="D185" s="10"/>
      <c r="E185" s="10"/>
      <c r="F185" s="10"/>
      <c r="G185" s="10"/>
      <c r="H185" s="10"/>
      <c r="I185" s="10"/>
      <c r="J185" s="10"/>
      <c r="K185" s="10"/>
      <c r="L185" s="10"/>
      <c r="M185" s="10"/>
      <c r="N185" s="10"/>
      <c r="O185" s="10"/>
      <c r="P185" s="10"/>
      <c r="Q185" s="10"/>
    </row>
  </sheetData>
  <mergeCells count="12">
    <mergeCell ref="B184:Q184"/>
    <mergeCell ref="B185:Q185"/>
    <mergeCell ref="B26:Q26"/>
    <mergeCell ref="B180:Q180"/>
    <mergeCell ref="B181:Q181"/>
    <mergeCell ref="B182:Q182"/>
    <mergeCell ref="B183:Q183"/>
    <mergeCell ref="B1:Q1"/>
    <mergeCell ref="B2:Q2"/>
    <mergeCell ref="B4:Q4"/>
    <mergeCell ref="B11:Q11"/>
    <mergeCell ref="B13:Q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128"/>
  <sheetViews>
    <sheetView showGridLines="0" zoomScaleNormal="100" workbookViewId="0"/>
  </sheetViews>
  <sheetFormatPr defaultColWidth="8.7109375" defaultRowHeight="15" x14ac:dyDescent="0.25"/>
  <cols>
    <col min="1" max="1" width="2" customWidth="1"/>
    <col min="2" max="2" width="44" customWidth="1"/>
    <col min="3" max="8" width="26" customWidth="1"/>
  </cols>
  <sheetData>
    <row r="1" spans="2:8" ht="25.5" customHeight="1" x14ac:dyDescent="0.25">
      <c r="B1" s="14" t="s">
        <v>680</v>
      </c>
      <c r="C1" s="14"/>
      <c r="D1" s="14"/>
      <c r="E1" s="14"/>
      <c r="F1" s="14"/>
      <c r="G1" s="14"/>
      <c r="H1" s="14"/>
    </row>
    <row r="2" spans="2:8" ht="15" customHeight="1" x14ac:dyDescent="0.25">
      <c r="B2" s="13" t="s">
        <v>681</v>
      </c>
      <c r="C2" s="13"/>
      <c r="D2" s="13"/>
      <c r="E2" s="13"/>
      <c r="F2" s="13"/>
      <c r="G2" s="13"/>
      <c r="H2" s="13"/>
    </row>
    <row r="4" spans="2:8" ht="18" customHeight="1" x14ac:dyDescent="0.25">
      <c r="B4" s="12" t="s">
        <v>151</v>
      </c>
      <c r="C4" s="12"/>
      <c r="D4" s="12"/>
      <c r="E4" s="12"/>
      <c r="F4" s="12"/>
      <c r="G4" s="12"/>
      <c r="H4" s="12"/>
    </row>
    <row r="5" spans="2:8" ht="26.25" x14ac:dyDescent="0.25">
      <c r="B5" s="36" t="s">
        <v>152</v>
      </c>
      <c r="C5" s="37" t="s">
        <v>682</v>
      </c>
      <c r="D5" s="37" t="s">
        <v>683</v>
      </c>
      <c r="E5" s="37" t="s">
        <v>684</v>
      </c>
      <c r="F5" s="37" t="s">
        <v>685</v>
      </c>
      <c r="G5" s="37" t="s">
        <v>686</v>
      </c>
      <c r="H5" s="37" t="s">
        <v>687</v>
      </c>
    </row>
    <row r="6" spans="2:8" x14ac:dyDescent="0.25">
      <c r="B6" s="36" t="s">
        <v>155</v>
      </c>
      <c r="C6" s="39">
        <v>46266</v>
      </c>
      <c r="D6" s="39">
        <v>46266</v>
      </c>
      <c r="E6" s="39">
        <v>46266</v>
      </c>
      <c r="F6" s="39">
        <v>46266</v>
      </c>
      <c r="G6" s="39">
        <v>46266</v>
      </c>
      <c r="H6" s="39">
        <v>46266</v>
      </c>
    </row>
    <row r="7" spans="2:8" x14ac:dyDescent="0.25">
      <c r="B7" s="36" t="s">
        <v>157</v>
      </c>
      <c r="C7" s="37">
        <v>2024</v>
      </c>
      <c r="D7" s="37">
        <v>2021</v>
      </c>
      <c r="E7" s="37">
        <v>1967</v>
      </c>
      <c r="F7" s="37">
        <v>2023</v>
      </c>
      <c r="G7" s="37">
        <v>2025</v>
      </c>
      <c r="H7" s="37">
        <v>2022</v>
      </c>
    </row>
    <row r="8" spans="2:8" x14ac:dyDescent="0.25">
      <c r="B8" s="36" t="s">
        <v>159</v>
      </c>
      <c r="C8" s="37" t="s">
        <v>160</v>
      </c>
      <c r="D8" s="37" t="s">
        <v>500</v>
      </c>
      <c r="E8" s="37" t="s">
        <v>160</v>
      </c>
      <c r="F8" s="37" t="s">
        <v>532</v>
      </c>
      <c r="G8" s="37" t="s">
        <v>688</v>
      </c>
      <c r="H8" s="37" t="s">
        <v>565</v>
      </c>
    </row>
    <row r="9" spans="2:8" x14ac:dyDescent="0.25">
      <c r="B9" s="36" t="s">
        <v>162</v>
      </c>
      <c r="C9" s="37" t="s">
        <v>163</v>
      </c>
      <c r="D9" s="37" t="s">
        <v>501</v>
      </c>
      <c r="E9" s="37" t="s">
        <v>689</v>
      </c>
      <c r="F9" s="37" t="s">
        <v>533</v>
      </c>
      <c r="G9" s="37" t="s">
        <v>690</v>
      </c>
      <c r="H9" s="37" t="s">
        <v>566</v>
      </c>
    </row>
    <row r="10" spans="2:8" ht="26.25" x14ac:dyDescent="0.25">
      <c r="B10" s="36" t="s">
        <v>165</v>
      </c>
      <c r="C10" s="37" t="s">
        <v>166</v>
      </c>
      <c r="D10" s="37" t="s">
        <v>503</v>
      </c>
      <c r="E10" s="37" t="s">
        <v>525</v>
      </c>
      <c r="F10" s="37" t="s">
        <v>166</v>
      </c>
      <c r="G10" s="37" t="s">
        <v>166</v>
      </c>
      <c r="H10" s="37" t="s">
        <v>568</v>
      </c>
    </row>
    <row r="11" spans="2:8" x14ac:dyDescent="0.25">
      <c r="B11" s="36" t="s">
        <v>168</v>
      </c>
      <c r="C11" s="40">
        <v>425000</v>
      </c>
      <c r="D11" s="40">
        <v>3600000</v>
      </c>
      <c r="E11" s="40">
        <v>2800000</v>
      </c>
      <c r="F11" s="40">
        <v>280000</v>
      </c>
      <c r="G11" s="40">
        <v>340000</v>
      </c>
      <c r="H11" s="40">
        <v>2200000</v>
      </c>
    </row>
    <row r="12" spans="2:8" x14ac:dyDescent="0.25">
      <c r="B12" s="36" t="s">
        <v>170</v>
      </c>
      <c r="C12" s="37" t="s">
        <v>171</v>
      </c>
      <c r="D12" s="37" t="s">
        <v>504</v>
      </c>
      <c r="E12" s="37" t="s">
        <v>691</v>
      </c>
      <c r="F12" s="37" t="s">
        <v>535</v>
      </c>
      <c r="G12" s="37" t="s">
        <v>692</v>
      </c>
      <c r="H12" s="37" t="s">
        <v>569</v>
      </c>
    </row>
    <row r="13" spans="2:8" x14ac:dyDescent="0.25">
      <c r="B13" s="36" t="s">
        <v>173</v>
      </c>
      <c r="C13" s="37" t="s">
        <v>497</v>
      </c>
      <c r="D13" s="37" t="s">
        <v>505</v>
      </c>
      <c r="E13" s="37" t="s">
        <v>693</v>
      </c>
      <c r="F13" s="37" t="s">
        <v>536</v>
      </c>
      <c r="G13" s="37" t="s">
        <v>694</v>
      </c>
      <c r="H13" s="37" t="s">
        <v>570</v>
      </c>
    </row>
    <row r="14" spans="2:8" x14ac:dyDescent="0.25">
      <c r="B14" s="36" t="s">
        <v>176</v>
      </c>
      <c r="C14" s="37" t="s">
        <v>177</v>
      </c>
      <c r="D14" s="37" t="s">
        <v>177</v>
      </c>
      <c r="E14" s="37" t="s">
        <v>177</v>
      </c>
      <c r="F14" s="37" t="s">
        <v>537</v>
      </c>
      <c r="G14" s="37" t="s">
        <v>537</v>
      </c>
      <c r="H14" s="37" t="s">
        <v>177</v>
      </c>
    </row>
    <row r="15" spans="2:8" ht="26.25" x14ac:dyDescent="0.25">
      <c r="B15" s="36" t="s">
        <v>179</v>
      </c>
      <c r="C15" s="37" t="s">
        <v>180</v>
      </c>
      <c r="D15" s="37" t="s">
        <v>506</v>
      </c>
      <c r="E15" s="37" t="s">
        <v>695</v>
      </c>
      <c r="F15" s="37" t="s">
        <v>538</v>
      </c>
      <c r="G15" s="37" t="s">
        <v>696</v>
      </c>
      <c r="H15" s="37" t="s">
        <v>526</v>
      </c>
    </row>
    <row r="16" spans="2:8" x14ac:dyDescent="0.25">
      <c r="B16" s="36" t="s">
        <v>182</v>
      </c>
      <c r="C16" s="37" t="s">
        <v>183</v>
      </c>
      <c r="D16" s="37" t="s">
        <v>507</v>
      </c>
      <c r="E16" s="37" t="s">
        <v>507</v>
      </c>
      <c r="F16" s="37" t="s">
        <v>539</v>
      </c>
      <c r="G16" s="37" t="s">
        <v>527</v>
      </c>
      <c r="H16" s="37" t="s">
        <v>183</v>
      </c>
    </row>
    <row r="17" spans="2:8" ht="26.25" x14ac:dyDescent="0.25">
      <c r="B17" s="36" t="s">
        <v>185</v>
      </c>
      <c r="C17" s="37" t="s">
        <v>186</v>
      </c>
      <c r="D17" s="37" t="s">
        <v>508</v>
      </c>
      <c r="E17" s="37" t="s">
        <v>508</v>
      </c>
      <c r="F17" s="37" t="s">
        <v>540</v>
      </c>
      <c r="G17" s="37" t="s">
        <v>540</v>
      </c>
      <c r="H17" s="37" t="s">
        <v>186</v>
      </c>
    </row>
    <row r="18" spans="2:8" ht="26.25" x14ac:dyDescent="0.25">
      <c r="B18" s="36" t="s">
        <v>188</v>
      </c>
      <c r="C18" s="37" t="s">
        <v>189</v>
      </c>
      <c r="D18" s="37" t="s">
        <v>509</v>
      </c>
      <c r="E18" s="37" t="s">
        <v>697</v>
      </c>
      <c r="F18" s="37" t="s">
        <v>509</v>
      </c>
      <c r="G18" s="37" t="s">
        <v>698</v>
      </c>
      <c r="H18" s="37" t="s">
        <v>189</v>
      </c>
    </row>
    <row r="19" spans="2:8" x14ac:dyDescent="0.25">
      <c r="B19" s="36" t="s">
        <v>191</v>
      </c>
      <c r="C19" s="37" t="s">
        <v>192</v>
      </c>
      <c r="D19" s="37" t="s">
        <v>510</v>
      </c>
      <c r="E19" s="37" t="s">
        <v>699</v>
      </c>
      <c r="F19" s="37" t="s">
        <v>541</v>
      </c>
      <c r="G19" s="37" t="s">
        <v>560</v>
      </c>
      <c r="H19" s="37" t="s">
        <v>560</v>
      </c>
    </row>
    <row r="20" spans="2:8" ht="26.25" x14ac:dyDescent="0.25">
      <c r="B20" s="36" t="s">
        <v>194</v>
      </c>
      <c r="C20" s="37" t="s">
        <v>195</v>
      </c>
      <c r="D20" s="37" t="s">
        <v>511</v>
      </c>
      <c r="E20" s="37" t="s">
        <v>511</v>
      </c>
      <c r="F20" s="37" t="s">
        <v>542</v>
      </c>
      <c r="G20" s="37" t="s">
        <v>195</v>
      </c>
      <c r="H20" s="37" t="s">
        <v>561</v>
      </c>
    </row>
    <row r="21" spans="2:8" x14ac:dyDescent="0.25">
      <c r="B21" s="36" t="s">
        <v>197</v>
      </c>
      <c r="C21" s="37" t="s">
        <v>198</v>
      </c>
      <c r="D21" s="37" t="s">
        <v>198</v>
      </c>
      <c r="E21" s="37" t="s">
        <v>198</v>
      </c>
      <c r="F21" s="37" t="s">
        <v>543</v>
      </c>
      <c r="G21" s="37" t="s">
        <v>198</v>
      </c>
      <c r="H21" s="37" t="s">
        <v>543</v>
      </c>
    </row>
    <row r="22" spans="2:8" ht="26.25" x14ac:dyDescent="0.25">
      <c r="B22" s="36" t="s">
        <v>200</v>
      </c>
      <c r="C22" s="37" t="s">
        <v>201</v>
      </c>
      <c r="D22" s="37" t="s">
        <v>512</v>
      </c>
      <c r="E22" s="37" t="s">
        <v>201</v>
      </c>
      <c r="F22" s="37" t="s">
        <v>544</v>
      </c>
      <c r="G22" s="37" t="s">
        <v>700</v>
      </c>
      <c r="H22" s="37" t="s">
        <v>201</v>
      </c>
    </row>
    <row r="23" spans="2:8" x14ac:dyDescent="0.25">
      <c r="B23" s="36" t="s">
        <v>203</v>
      </c>
      <c r="C23" s="37" t="s">
        <v>204</v>
      </c>
      <c r="D23" s="37" t="s">
        <v>513</v>
      </c>
      <c r="E23" s="37" t="s">
        <v>701</v>
      </c>
      <c r="F23" s="37" t="s">
        <v>545</v>
      </c>
      <c r="G23" s="37" t="s">
        <v>701</v>
      </c>
      <c r="H23" s="37" t="s">
        <v>571</v>
      </c>
    </row>
    <row r="24" spans="2:8" x14ac:dyDescent="0.25">
      <c r="B24" s="36" t="s">
        <v>206</v>
      </c>
      <c r="C24" s="37" t="s">
        <v>207</v>
      </c>
      <c r="D24" s="37" t="s">
        <v>244</v>
      </c>
      <c r="E24" s="37" t="s">
        <v>235</v>
      </c>
      <c r="F24" s="37" t="s">
        <v>238</v>
      </c>
      <c r="G24" s="37" t="s">
        <v>235</v>
      </c>
      <c r="H24" s="37" t="s">
        <v>572</v>
      </c>
    </row>
    <row r="25" spans="2:8" ht="26.25" x14ac:dyDescent="0.25">
      <c r="B25" s="36" t="s">
        <v>209</v>
      </c>
      <c r="C25" s="37" t="s">
        <v>210</v>
      </c>
      <c r="D25" s="37" t="s">
        <v>514</v>
      </c>
      <c r="E25" s="37" t="s">
        <v>210</v>
      </c>
      <c r="F25" s="37" t="s">
        <v>546</v>
      </c>
      <c r="G25" s="37" t="s">
        <v>210</v>
      </c>
      <c r="H25" s="37" t="s">
        <v>514</v>
      </c>
    </row>
    <row r="26" spans="2:8" x14ac:dyDescent="0.25">
      <c r="B26" s="36" t="s">
        <v>211</v>
      </c>
      <c r="C26" s="37" t="s">
        <v>212</v>
      </c>
      <c r="D26" s="37" t="s">
        <v>515</v>
      </c>
      <c r="E26" s="37" t="s">
        <v>212</v>
      </c>
      <c r="F26" s="37" t="s">
        <v>528</v>
      </c>
      <c r="G26" s="37" t="s">
        <v>212</v>
      </c>
      <c r="H26" s="37" t="s">
        <v>528</v>
      </c>
    </row>
    <row r="27" spans="2:8" ht="26.25" x14ac:dyDescent="0.25">
      <c r="B27" s="36" t="s">
        <v>214</v>
      </c>
      <c r="C27" s="37" t="s">
        <v>215</v>
      </c>
      <c r="D27" s="37" t="s">
        <v>516</v>
      </c>
      <c r="E27" s="37" t="s">
        <v>562</v>
      </c>
      <c r="F27" s="37" t="s">
        <v>547</v>
      </c>
      <c r="G27" s="37" t="s">
        <v>702</v>
      </c>
      <c r="H27" s="37" t="s">
        <v>573</v>
      </c>
    </row>
    <row r="28" spans="2:8" ht="26.25" x14ac:dyDescent="0.25">
      <c r="B28" s="36" t="s">
        <v>217</v>
      </c>
      <c r="C28" s="37" t="s">
        <v>218</v>
      </c>
      <c r="D28" s="37" t="s">
        <v>218</v>
      </c>
      <c r="E28" s="37" t="s">
        <v>548</v>
      </c>
      <c r="F28" s="37" t="s">
        <v>548</v>
      </c>
      <c r="G28" s="37" t="s">
        <v>703</v>
      </c>
      <c r="H28" s="37" t="s">
        <v>218</v>
      </c>
    </row>
    <row r="29" spans="2:8" ht="26.25" x14ac:dyDescent="0.25">
      <c r="B29" s="42" t="s">
        <v>220</v>
      </c>
      <c r="C29" s="37" t="s">
        <v>221</v>
      </c>
      <c r="D29" s="37" t="s">
        <v>221</v>
      </c>
      <c r="E29" s="37" t="s">
        <v>221</v>
      </c>
      <c r="F29" s="37" t="s">
        <v>549</v>
      </c>
      <c r="G29" s="37" t="s">
        <v>549</v>
      </c>
      <c r="H29" s="37" t="s">
        <v>221</v>
      </c>
    </row>
    <row r="30" spans="2:8" ht="26.25" x14ac:dyDescent="0.25">
      <c r="B30" s="36" t="s">
        <v>223</v>
      </c>
      <c r="C30" s="37" t="s">
        <v>224</v>
      </c>
      <c r="D30" s="37" t="s">
        <v>224</v>
      </c>
      <c r="E30" s="37" t="s">
        <v>224</v>
      </c>
      <c r="F30" s="37" t="s">
        <v>224</v>
      </c>
      <c r="G30" s="37" t="s">
        <v>224</v>
      </c>
      <c r="H30" s="37" t="s">
        <v>574</v>
      </c>
    </row>
    <row r="31" spans="2:8" ht="26.25" x14ac:dyDescent="0.25">
      <c r="B31" s="36" t="s">
        <v>225</v>
      </c>
      <c r="C31" s="37" t="s">
        <v>226</v>
      </c>
      <c r="D31" s="37" t="s">
        <v>226</v>
      </c>
      <c r="E31" s="37" t="s">
        <v>226</v>
      </c>
      <c r="F31" s="37" t="s">
        <v>550</v>
      </c>
      <c r="G31" s="37" t="s">
        <v>226</v>
      </c>
      <c r="H31" s="37" t="s">
        <v>226</v>
      </c>
    </row>
    <row r="32" spans="2:8" ht="26.25" x14ac:dyDescent="0.25">
      <c r="B32" s="36" t="s">
        <v>227</v>
      </c>
      <c r="C32" s="37" t="s">
        <v>228</v>
      </c>
      <c r="D32" s="37" t="s">
        <v>704</v>
      </c>
      <c r="E32" s="37" t="s">
        <v>228</v>
      </c>
      <c r="F32" s="37" t="s">
        <v>228</v>
      </c>
      <c r="G32" s="37" t="s">
        <v>705</v>
      </c>
      <c r="H32" s="37" t="s">
        <v>228</v>
      </c>
    </row>
    <row r="33" spans="2:8" x14ac:dyDescent="0.25">
      <c r="B33" s="36" t="s">
        <v>229</v>
      </c>
      <c r="C33" s="37" t="s">
        <v>230</v>
      </c>
      <c r="D33" s="37" t="s">
        <v>706</v>
      </c>
      <c r="E33" s="37" t="s">
        <v>230</v>
      </c>
      <c r="F33" s="37" t="s">
        <v>230</v>
      </c>
      <c r="G33" s="37" t="s">
        <v>230</v>
      </c>
      <c r="H33" s="37" t="s">
        <v>230</v>
      </c>
    </row>
    <row r="34" spans="2:8" x14ac:dyDescent="0.25">
      <c r="B34" s="42" t="s">
        <v>231</v>
      </c>
      <c r="C34" s="37" t="s">
        <v>232</v>
      </c>
      <c r="D34" s="37" t="s">
        <v>232</v>
      </c>
      <c r="E34" s="37" t="s">
        <v>232</v>
      </c>
      <c r="F34" s="37" t="s">
        <v>232</v>
      </c>
      <c r="G34" s="37" t="s">
        <v>232</v>
      </c>
      <c r="H34" s="37" t="s">
        <v>232</v>
      </c>
    </row>
    <row r="35" spans="2:8" x14ac:dyDescent="0.25">
      <c r="B35" s="36" t="s">
        <v>234</v>
      </c>
      <c r="C35" s="37" t="s">
        <v>235</v>
      </c>
      <c r="D35" s="37" t="s">
        <v>517</v>
      </c>
      <c r="E35" s="37" t="s">
        <v>235</v>
      </c>
      <c r="F35" s="37" t="s">
        <v>235</v>
      </c>
      <c r="G35" s="37" t="s">
        <v>235</v>
      </c>
      <c r="H35" s="37" t="s">
        <v>244</v>
      </c>
    </row>
    <row r="36" spans="2:8" x14ac:dyDescent="0.25">
      <c r="B36" s="36" t="s">
        <v>236</v>
      </c>
      <c r="C36" s="37" t="s">
        <v>207</v>
      </c>
      <c r="D36" s="37" t="s">
        <v>207</v>
      </c>
      <c r="E36" s="37" t="s">
        <v>207</v>
      </c>
      <c r="F36" s="37" t="s">
        <v>551</v>
      </c>
      <c r="G36" s="37" t="s">
        <v>207</v>
      </c>
      <c r="H36" s="37" t="s">
        <v>207</v>
      </c>
    </row>
    <row r="37" spans="2:8" x14ac:dyDescent="0.25">
      <c r="B37" s="36" t="s">
        <v>237</v>
      </c>
      <c r="C37" s="37" t="s">
        <v>238</v>
      </c>
      <c r="D37" s="37" t="s">
        <v>238</v>
      </c>
      <c r="E37" s="37" t="s">
        <v>551</v>
      </c>
      <c r="F37" s="37" t="s">
        <v>551</v>
      </c>
      <c r="G37" s="37" t="s">
        <v>551</v>
      </c>
      <c r="H37" s="37" t="s">
        <v>238</v>
      </c>
    </row>
    <row r="38" spans="2:8" ht="26.25" x14ac:dyDescent="0.25">
      <c r="B38" s="36" t="s">
        <v>239</v>
      </c>
      <c r="C38" s="37" t="s">
        <v>240</v>
      </c>
      <c r="D38" s="37" t="s">
        <v>240</v>
      </c>
      <c r="E38" s="37" t="s">
        <v>240</v>
      </c>
      <c r="F38" s="37" t="s">
        <v>240</v>
      </c>
      <c r="G38" s="37" t="s">
        <v>707</v>
      </c>
      <c r="H38" s="37" t="s">
        <v>240</v>
      </c>
    </row>
    <row r="39" spans="2:8" ht="26.25" x14ac:dyDescent="0.25">
      <c r="B39" s="36" t="s">
        <v>241</v>
      </c>
      <c r="C39" s="37" t="s">
        <v>242</v>
      </c>
      <c r="D39" s="37" t="s">
        <v>518</v>
      </c>
      <c r="E39" s="37" t="s">
        <v>242</v>
      </c>
      <c r="F39" s="37" t="s">
        <v>242</v>
      </c>
      <c r="G39" s="37" t="s">
        <v>242</v>
      </c>
      <c r="H39" s="37" t="s">
        <v>242</v>
      </c>
    </row>
    <row r="40" spans="2:8" x14ac:dyDescent="0.25">
      <c r="B40" s="36" t="s">
        <v>243</v>
      </c>
      <c r="C40" s="37" t="s">
        <v>244</v>
      </c>
      <c r="D40" s="37" t="s">
        <v>244</v>
      </c>
      <c r="E40" s="37" t="s">
        <v>517</v>
      </c>
      <c r="F40" s="37" t="s">
        <v>244</v>
      </c>
      <c r="G40" s="37" t="s">
        <v>244</v>
      </c>
      <c r="H40" s="37" t="s">
        <v>517</v>
      </c>
    </row>
    <row r="41" spans="2:8" x14ac:dyDescent="0.25">
      <c r="B41" s="36" t="s">
        <v>245</v>
      </c>
      <c r="C41" s="37" t="s">
        <v>246</v>
      </c>
      <c r="D41" s="37" t="s">
        <v>519</v>
      </c>
      <c r="E41" s="37" t="s">
        <v>246</v>
      </c>
      <c r="F41" s="37" t="s">
        <v>551</v>
      </c>
      <c r="G41" s="37" t="s">
        <v>246</v>
      </c>
      <c r="H41" s="37" t="s">
        <v>519</v>
      </c>
    </row>
    <row r="42" spans="2:8" x14ac:dyDescent="0.25">
      <c r="B42" s="36" t="s">
        <v>247</v>
      </c>
      <c r="C42" s="37" t="s">
        <v>248</v>
      </c>
      <c r="D42" s="37" t="s">
        <v>520</v>
      </c>
      <c r="E42" s="37" t="s">
        <v>708</v>
      </c>
      <c r="F42" s="37" t="s">
        <v>248</v>
      </c>
      <c r="G42" s="37" t="s">
        <v>520</v>
      </c>
      <c r="H42" s="37" t="s">
        <v>248</v>
      </c>
    </row>
    <row r="43" spans="2:8" x14ac:dyDescent="0.25">
      <c r="B43" s="36" t="s">
        <v>249</v>
      </c>
      <c r="C43" s="37"/>
      <c r="D43" s="37"/>
      <c r="E43" s="37"/>
      <c r="F43" s="37"/>
      <c r="G43" s="37"/>
      <c r="H43" s="37"/>
    </row>
    <row r="44" spans="2:8" x14ac:dyDescent="0.25">
      <c r="B44" s="36" t="s">
        <v>118</v>
      </c>
      <c r="C44" s="43">
        <v>0</v>
      </c>
      <c r="D44" s="43">
        <v>0</v>
      </c>
      <c r="E44" s="43">
        <v>0</v>
      </c>
      <c r="F44" s="43">
        <v>0.1</v>
      </c>
      <c r="G44" s="43">
        <v>0</v>
      </c>
      <c r="H44" s="43">
        <v>0.05</v>
      </c>
    </row>
    <row r="46" spans="2:8" ht="18" customHeight="1" x14ac:dyDescent="0.25">
      <c r="B46" s="12" t="s">
        <v>252</v>
      </c>
      <c r="C46" s="12"/>
      <c r="D46" s="12"/>
      <c r="E46" s="12"/>
      <c r="F46" s="12"/>
      <c r="G46" s="12"/>
      <c r="H46" s="12"/>
    </row>
    <row r="47" spans="2:8" x14ac:dyDescent="0.25">
      <c r="B47" s="36" t="s">
        <v>253</v>
      </c>
      <c r="C47" s="44" t="str">
        <f t="shared" ref="C47:H47" si="0">IFERROR(LEFT(TEXT(VALUE(C13),"00000"),3),"---")</f>
        <v>331</v>
      </c>
      <c r="D47" s="44" t="str">
        <f t="shared" si="0"/>
        <v>852</v>
      </c>
      <c r="E47" s="44" t="str">
        <f t="shared" si="0"/>
        <v>068</v>
      </c>
      <c r="F47" s="44" t="str">
        <f t="shared" si="0"/>
        <v>891</v>
      </c>
      <c r="G47" s="44" t="str">
        <f t="shared" si="0"/>
        <v>752</v>
      </c>
      <c r="H47" s="44" t="str">
        <f t="shared" si="0"/>
        <v>913</v>
      </c>
    </row>
    <row r="48" spans="2:8" ht="39" x14ac:dyDescent="0.25">
      <c r="B48" s="32" t="s">
        <v>255</v>
      </c>
      <c r="C48" s="152" t="str">
        <f>IF(C43&lt;&gt;"",C43,IFERROR(INDEX('Cat Zone by ZIP'!$D$6:$D$856,MATCH(C47,'Cat Zone by ZIP'!$B$6:$B$856,0)),IFERROR(INDEX('Cat Zone by ZIP'!$C$860:$C$910,MATCH(C12,'Cat Zone by ZIP'!$B$860:$B$910,0)),"NOT FOUND - select an override")))</f>
        <v>Tier 1 - Coastal wind / surge (0-1 mile, FEMA V or Coastal A)</v>
      </c>
      <c r="D48" s="152" t="str">
        <f>IF(D43&lt;&gt;"",D43,IFERROR(INDEX('Cat Zone by ZIP'!$D$6:$D$856,MATCH(D47,'Cat Zone by ZIP'!$B$6:$B$856,0)),IFERROR(INDEX('Cat Zone by ZIP'!$C$860:$C$910,MATCH(D12,'Cat Zone by ZIP'!$B$860:$B$910,0)),"NOT FOUND - select an override")))</f>
        <v>Severe convective - hail / tornado (moderate)</v>
      </c>
      <c r="E48" s="152" t="str">
        <f>IF(E43&lt;&gt;"",E43,IFERROR(INDEX('Cat Zone by ZIP'!$D$6:$D$856,MATCH(E47,'Cat Zone by ZIP'!$B$6:$B$856,0)),IFERROR(INDEX('Cat Zone by ZIP'!$C$860:$C$910,MATCH(E12,'Cat Zone by ZIP'!$B$860:$B$910,0)),"NOT FOUND - select an override")))</f>
        <v>Tier 3 - Coastal wind (25-100 miles)</v>
      </c>
      <c r="F48" s="152" t="str">
        <f>IF(F43&lt;&gt;"",F43,IFERROR(INDEX('Cat Zone by ZIP'!$D$6:$D$856,MATCH(F47,'Cat Zone by ZIP'!$B$6:$B$856,0)),IFERROR(INDEX('Cat Zone by ZIP'!$C$860:$C$910,MATCH(F12,'Cat Zone by ZIP'!$B$860:$B$910,0)),"NOT FOUND - select an override")))</f>
        <v>Low hazard - inland benign</v>
      </c>
      <c r="G48" s="152" t="str">
        <f>IF(G43&lt;&gt;"",G43,IFERROR(INDEX('Cat Zone by ZIP'!$D$6:$D$856,MATCH(G47,'Cat Zone by ZIP'!$B$6:$B$856,0)),IFERROR(INDEX('Cat Zone by ZIP'!$C$860:$C$910,MATCH(G12,'Cat Zone by ZIP'!$B$860:$B$910,0)),"NOT FOUND - select an override")))</f>
        <v>Severe convective - hail alley (high)</v>
      </c>
      <c r="H48" s="152" t="str">
        <f>IF(H43&lt;&gt;"",H43,IFERROR(INDEX('Cat Zone by ZIP'!$D$6:$D$856,MATCH(H47,'Cat Zone by ZIP'!$B$6:$B$856,0)),IFERROR(INDEX('Cat Zone by ZIP'!$C$860:$C$910,MATCH(H12,'Cat Zone by ZIP'!$B$860:$B$910,0)),"NOT FOUND - select an override")))</f>
        <v>Wildfire - WUI high hazard</v>
      </c>
    </row>
    <row r="49" spans="2:8" x14ac:dyDescent="0.25">
      <c r="B49" s="36" t="s">
        <v>257</v>
      </c>
      <c r="C49" s="44" t="str">
        <f>IF(C43&lt;&gt;"","Manual underwriter override",IF(ISNUMBER(MATCH(C47,'Cat Zone by ZIP'!$B$6:$B$856,0)),"ZIP-3 prefix "&amp;C47&amp;" mapped","State default for "&amp;C12))</f>
        <v>ZIP-3 prefix 331 mapped</v>
      </c>
      <c r="D49" s="44" t="str">
        <f>IF(D43&lt;&gt;"","Manual underwriter override",IF(ISNUMBER(MATCH(D47,'Cat Zone by ZIP'!$B$6:$B$856,0)),"ZIP-3 prefix "&amp;D47&amp;" mapped","State default for "&amp;D12))</f>
        <v>ZIP-3 prefix 852 mapped</v>
      </c>
      <c r="E49" s="44" t="str">
        <f>IF(E43&lt;&gt;"","Manual underwriter override",IF(ISNUMBER(MATCH(E47,'Cat Zone by ZIP'!$B$6:$B$856,0)),"ZIP-3 prefix "&amp;E47&amp;" mapped","State default for "&amp;E12))</f>
        <v>ZIP-3 prefix 068 mapped</v>
      </c>
      <c r="F49" s="44" t="str">
        <f>IF(F43&lt;&gt;"","Manual underwriter override",IF(ISNUMBER(MATCH(F47,'Cat Zone by ZIP'!$B$6:$B$856,0)),"ZIP-3 prefix "&amp;F47&amp;" mapped","State default for "&amp;F12))</f>
        <v>ZIP-3 prefix 891 mapped</v>
      </c>
      <c r="G49" s="44" t="str">
        <f>IF(G43&lt;&gt;"","Manual underwriter override",IF(ISNUMBER(MATCH(G47,'Cat Zone by ZIP'!$B$6:$B$856,0)),"ZIP-3 prefix "&amp;G47&amp;" mapped","State default for "&amp;G12))</f>
        <v>ZIP-3 prefix 752 mapped</v>
      </c>
      <c r="H49" s="44" t="str">
        <f>IF(H43&lt;&gt;"","Manual underwriter override",IF(ISNUMBER(MATCH(H47,'Cat Zone by ZIP'!$B$6:$B$856,0)),"ZIP-3 prefix "&amp;H47&amp;" mapped","State default for "&amp;H12))</f>
        <v>ZIP-3 prefix 913 mapped</v>
      </c>
    </row>
    <row r="50" spans="2:8" ht="51.75" x14ac:dyDescent="0.25">
      <c r="B50" s="36" t="s">
        <v>259</v>
      </c>
      <c r="C50" s="44" t="str">
        <f>INDEX('Natural Catastrophe'!$C$6:$C$17,MATCH(C48,'Natural Catastrophe'!$B$6:$B$17,0))</f>
        <v>Barrier islands and immediate waterfront on the Gulf and South Atlantic coasts.</v>
      </c>
      <c r="D50" s="44" t="str">
        <f>INDEX('Natural Catastrophe'!$C$6:$C$17,MATCH(D48,'Natural Catastrophe'!$B$6:$B$17,0))</f>
        <v>Midwest and mid-South convective corridor.</v>
      </c>
      <c r="E50" s="44" t="str">
        <f>INDEX('Natural Catastrophe'!$C$6:$C$17,MATCH(E48,'Natural Catastrophe'!$B$6:$B$17,0))</f>
        <v>Secondary wind band; surge unlikely, sustained hurricane wind likely.</v>
      </c>
      <c r="F50" s="44" t="str">
        <f>INDEX('Natural Catastrophe'!$C$6:$C$17,MATCH(F48,'Natural Catastrophe'!$B$6:$B$17,0))</f>
        <v>No material catastrophe accumulation.</v>
      </c>
      <c r="G50" s="44" t="str">
        <f>INDEX('Natural Catastrophe'!$C$6:$C$17,MATCH(G48,'Natural Catastrophe'!$B$6:$B$17,0))</f>
        <v>TX, OK, KS, NE, CO Front Range, north TX. Highest hail frequency in the world.</v>
      </c>
      <c r="H50" s="44" t="str">
        <f>INDEX('Natural Catastrophe'!$C$6:$C$17,MATCH(H48,'Natural Catastrophe'!$B$6:$B$17,0))</f>
        <v>Wildland-urban interface in CA, CO, OR, WA, MT, ID, AZ, UT.</v>
      </c>
    </row>
    <row r="51" spans="2:8" x14ac:dyDescent="0.25">
      <c r="B51" s="36" t="s">
        <v>261</v>
      </c>
      <c r="C51" s="46">
        <f>INDEX('Natural Catastrophe'!$D$6:$D$17,MATCH(C48,'Natural Catastrophe'!$B$6:$B$17,0))</f>
        <v>3</v>
      </c>
      <c r="D51" s="46">
        <f>INDEX('Natural Catastrophe'!$D$6:$D$17,MATCH(D48,'Natural Catastrophe'!$B$6:$B$17,0))</f>
        <v>1.5</v>
      </c>
      <c r="E51" s="46">
        <f>INDEX('Natural Catastrophe'!$D$6:$D$17,MATCH(E48,'Natural Catastrophe'!$B$6:$B$17,0))</f>
        <v>1.4</v>
      </c>
      <c r="F51" s="46">
        <f>INDEX('Natural Catastrophe'!$D$6:$D$17,MATCH(F48,'Natural Catastrophe'!$B$6:$B$17,0))</f>
        <v>0.45</v>
      </c>
      <c r="G51" s="46">
        <f>INDEX('Natural Catastrophe'!$D$6:$D$17,MATCH(G48,'Natural Catastrophe'!$B$6:$B$17,0))</f>
        <v>2.4</v>
      </c>
      <c r="H51" s="46">
        <f>INDEX('Natural Catastrophe'!$D$6:$D$17,MATCH(H48,'Natural Catastrophe'!$B$6:$B$17,0))</f>
        <v>2.6</v>
      </c>
    </row>
    <row r="52" spans="2:8" x14ac:dyDescent="0.25">
      <c r="B52" s="36" t="s">
        <v>263</v>
      </c>
      <c r="C52" s="46">
        <f>INDEX('Natural Catastrophe'!$C$21:$C$26,MATCH(C28,'Natural Catastrophe'!$B$21:$B$26,0))</f>
        <v>0.8</v>
      </c>
      <c r="D52" s="46">
        <f>INDEX('Natural Catastrophe'!$C$21:$C$26,MATCH(D28,'Natural Catastrophe'!$B$21:$B$26,0))</f>
        <v>0.8</v>
      </c>
      <c r="E52" s="46">
        <f>INDEX('Natural Catastrophe'!$C$21:$C$26,MATCH(E28,'Natural Catastrophe'!$B$21:$B$26,0))</f>
        <v>1</v>
      </c>
      <c r="F52" s="46">
        <f>INDEX('Natural Catastrophe'!$C$21:$C$26,MATCH(F28,'Natural Catastrophe'!$B$21:$B$26,0))</f>
        <v>1</v>
      </c>
      <c r="G52" s="46">
        <f>INDEX('Natural Catastrophe'!$C$21:$C$26,MATCH(G28,'Natural Catastrophe'!$B$21:$B$26,0))</f>
        <v>0.62</v>
      </c>
      <c r="H52" s="46">
        <f>INDEX('Natural Catastrophe'!$C$21:$C$26,MATCH(H28,'Natural Catastrophe'!$B$21:$B$26,0))</f>
        <v>0.8</v>
      </c>
    </row>
    <row r="54" spans="2:8" ht="18" customHeight="1" x14ac:dyDescent="0.25">
      <c r="B54" s="12" t="s">
        <v>265</v>
      </c>
      <c r="C54" s="12"/>
      <c r="D54" s="12"/>
      <c r="E54" s="12"/>
      <c r="F54" s="12"/>
      <c r="G54" s="12"/>
      <c r="H54" s="12"/>
    </row>
    <row r="55" spans="2:8" x14ac:dyDescent="0.25">
      <c r="B55" s="36" t="s">
        <v>266</v>
      </c>
      <c r="C55" s="44" t="str">
        <f>INDEX('Base Rates'!$C$4:$I$4,MATCH(MAX(C11,'Technical Premium'!$C$18),'Base Rates'!$C$3:$I$3,1))</f>
        <v>$250k - $500k</v>
      </c>
      <c r="D55" s="44" t="str">
        <f>INDEX('Base Rates'!$C$4:$I$4,MATCH(MAX(D11,'Technical Premium'!$C$18),'Base Rates'!$C$3:$I$3,1))</f>
        <v>$2.0M - $5.0M</v>
      </c>
      <c r="E55" s="44" t="str">
        <f>INDEX('Base Rates'!$C$4:$I$4,MATCH(MAX(E11,'Technical Premium'!$C$18),'Base Rates'!$C$3:$I$3,1))</f>
        <v>$2.0M - $5.0M</v>
      </c>
      <c r="F55" s="44" t="str">
        <f>INDEX('Base Rates'!$C$4:$I$4,MATCH(MAX(F11,'Technical Premium'!$C$18),'Base Rates'!$C$3:$I$3,1))</f>
        <v>$250k - $500k</v>
      </c>
      <c r="G55" s="44" t="str">
        <f>INDEX('Base Rates'!$C$4:$I$4,MATCH(MAX(G11,'Technical Premium'!$C$18),'Base Rates'!$C$3:$I$3,1))</f>
        <v>$250k - $500k</v>
      </c>
      <c r="H55" s="44" t="str">
        <f>INDEX('Base Rates'!$C$4:$I$4,MATCH(MAX(H11,'Technical Premium'!$C$18),'Base Rates'!$C$3:$I$3,1))</f>
        <v>$2.0M - $5.0M</v>
      </c>
    </row>
    <row r="56" spans="2:8" x14ac:dyDescent="0.25">
      <c r="B56" s="36" t="s">
        <v>268</v>
      </c>
      <c r="C56" s="47">
        <f>INDEX('Base Rates'!$C$5:$I$16,MATCH(C10,'Base Rates'!$B$5:$B$16,0),MATCH(MAX(C11,'Technical Premium'!$C$18),'Base Rates'!$C$3:$I$3,1))</f>
        <v>1.1499999999999999</v>
      </c>
      <c r="D56" s="47">
        <f>INDEX('Base Rates'!$C$5:$I$16,MATCH(D10,'Base Rates'!$B$5:$B$16,0),MATCH(MAX(D11,'Technical Premium'!$C$18),'Base Rates'!$C$3:$I$3,1))</f>
        <v>0.82</v>
      </c>
      <c r="E56" s="47">
        <f>INDEX('Base Rates'!$C$5:$I$16,MATCH(E10,'Base Rates'!$B$5:$B$16,0),MATCH(MAX(E11,'Technical Premium'!$C$18),'Base Rates'!$C$3:$I$3,1))</f>
        <v>0.33</v>
      </c>
      <c r="F56" s="47">
        <f>INDEX('Base Rates'!$C$5:$I$16,MATCH(F10,'Base Rates'!$B$5:$B$16,0),MATCH(MAX(F11,'Technical Premium'!$C$18),'Base Rates'!$C$3:$I$3,1))</f>
        <v>1.1499999999999999</v>
      </c>
      <c r="G56" s="47">
        <f>INDEX('Base Rates'!$C$5:$I$16,MATCH(G10,'Base Rates'!$B$5:$B$16,0),MATCH(MAX(G11,'Technical Premium'!$C$18),'Base Rates'!$C$3:$I$3,1))</f>
        <v>1.1499999999999999</v>
      </c>
      <c r="H56" s="47">
        <f>INDEX('Base Rates'!$C$5:$I$16,MATCH(H10,'Base Rates'!$B$5:$B$16,0),MATCH(MAX(H11,'Technical Premium'!$C$18),'Base Rates'!$C$3:$I$3,1))</f>
        <v>0.57999999999999996</v>
      </c>
    </row>
    <row r="57" spans="2:8" x14ac:dyDescent="0.25">
      <c r="B57" s="36" t="s">
        <v>270</v>
      </c>
      <c r="C57" s="48">
        <f t="shared" ref="C57:H57" si="1">C11/100*C56</f>
        <v>4887.5</v>
      </c>
      <c r="D57" s="48">
        <f t="shared" si="1"/>
        <v>29520</v>
      </c>
      <c r="E57" s="48">
        <f t="shared" si="1"/>
        <v>9240</v>
      </c>
      <c r="F57" s="48">
        <f t="shared" si="1"/>
        <v>3219.9999999999995</v>
      </c>
      <c r="G57" s="48">
        <f t="shared" si="1"/>
        <v>3909.9999999999995</v>
      </c>
      <c r="H57" s="48">
        <f t="shared" si="1"/>
        <v>12760</v>
      </c>
    </row>
    <row r="58" spans="2:8" x14ac:dyDescent="0.25">
      <c r="B58" s="36" t="s">
        <v>272</v>
      </c>
      <c r="C58" s="46">
        <f>INDEX('Make Factors'!$G$5:$G$69,MATCH(C8,'Make Factors'!$B$5:$B$69,0))</f>
        <v>1.087</v>
      </c>
      <c r="D58" s="46">
        <f>INDEX('Make Factors'!$G$5:$G$69,MATCH(D8,'Make Factors'!$B$5:$B$69,0))</f>
        <v>1.607</v>
      </c>
      <c r="E58" s="46">
        <f>INDEX('Make Factors'!$G$5:$G$69,MATCH(E8,'Make Factors'!$B$5:$B$69,0))</f>
        <v>1.087</v>
      </c>
      <c r="F58" s="46">
        <f>INDEX('Make Factors'!$G$5:$G$69,MATCH(F8,'Make Factors'!$B$5:$B$69,0))</f>
        <v>1.127</v>
      </c>
      <c r="G58" s="46">
        <f>INDEX('Make Factors'!$G$5:$G$69,MATCH(G8,'Make Factors'!$B$5:$B$69,0))</f>
        <v>1.153</v>
      </c>
      <c r="H58" s="46">
        <f>INDEX('Make Factors'!$G$5:$G$69,MATCH(H8,'Make Factors'!$B$5:$B$69,0))</f>
        <v>1.6539999999999999</v>
      </c>
    </row>
    <row r="59" spans="2:8" x14ac:dyDescent="0.25">
      <c r="B59" s="36" t="s">
        <v>273</v>
      </c>
      <c r="C59" s="46">
        <f>INDEX('Driver Factors'!$C$6:$C$15,MATCH(C19,'Driver Factors'!$B$6:$B$15,0))</f>
        <v>1</v>
      </c>
      <c r="D59" s="46">
        <f>INDEX('Driver Factors'!$C$6:$C$15,MATCH(D19,'Driver Factors'!$B$6:$B$15,0))</f>
        <v>1</v>
      </c>
      <c r="E59" s="46">
        <f>INDEX('Driver Factors'!$C$6:$C$15,MATCH(E19,'Driver Factors'!$B$6:$B$15,0))</f>
        <v>1.1499999999999999</v>
      </c>
      <c r="F59" s="46">
        <f>INDEX('Driver Factors'!$C$6:$C$15,MATCH(F19,'Driver Factors'!$B$6:$B$15,0))</f>
        <v>1.35</v>
      </c>
      <c r="G59" s="46">
        <f>INDEX('Driver Factors'!$C$6:$C$15,MATCH(G19,'Driver Factors'!$B$6:$B$15,0))</f>
        <v>1.1000000000000001</v>
      </c>
      <c r="H59" s="46">
        <f>INDEX('Driver Factors'!$C$6:$C$15,MATCH(H19,'Driver Factors'!$B$6:$B$15,0))</f>
        <v>1.1000000000000001</v>
      </c>
    </row>
    <row r="60" spans="2:8" x14ac:dyDescent="0.25">
      <c r="B60" s="36" t="s">
        <v>274</v>
      </c>
      <c r="C60" s="46">
        <f>INDEX('Driver Factors'!$C$19:$C$24,MATCH(C20,'Driver Factors'!$B$19:$B$24,0))</f>
        <v>1</v>
      </c>
      <c r="D60" s="46">
        <f>INDEX('Driver Factors'!$C$19:$C$24,MATCH(D20,'Driver Factors'!$B$19:$B$24,0))</f>
        <v>0.95</v>
      </c>
      <c r="E60" s="46">
        <f>INDEX('Driver Factors'!$C$19:$C$24,MATCH(E20,'Driver Factors'!$B$19:$B$24,0))</f>
        <v>0.95</v>
      </c>
      <c r="F60" s="46">
        <f>INDEX('Driver Factors'!$C$19:$C$24,MATCH(F20,'Driver Factors'!$B$19:$B$24,0))</f>
        <v>1.05</v>
      </c>
      <c r="G60" s="46">
        <f>INDEX('Driver Factors'!$C$19:$C$24,MATCH(G20,'Driver Factors'!$B$19:$B$24,0))</f>
        <v>1</v>
      </c>
      <c r="H60" s="46">
        <f>INDEX('Driver Factors'!$C$19:$C$24,MATCH(H20,'Driver Factors'!$B$19:$B$24,0))</f>
        <v>0.9</v>
      </c>
    </row>
    <row r="61" spans="2:8" x14ac:dyDescent="0.25">
      <c r="B61" s="36" t="s">
        <v>275</v>
      </c>
      <c r="C61" s="46">
        <f>INDEX('Driver Factors'!$C$28:$C$36,MATCH(C21,'Driver Factors'!$B$28:$B$36,0))</f>
        <v>1</v>
      </c>
      <c r="D61" s="46">
        <f>INDEX('Driver Factors'!$C$28:$C$36,MATCH(D21,'Driver Factors'!$B$28:$B$36,0))</f>
        <v>1</v>
      </c>
      <c r="E61" s="46">
        <f>INDEX('Driver Factors'!$C$28:$C$36,MATCH(E21,'Driver Factors'!$B$28:$B$36,0))</f>
        <v>1</v>
      </c>
      <c r="F61" s="46">
        <f>INDEX('Driver Factors'!$C$28:$C$36,MATCH(F21,'Driver Factors'!$B$28:$B$36,0))</f>
        <v>1.1499999999999999</v>
      </c>
      <c r="G61" s="46">
        <f>INDEX('Driver Factors'!$C$28:$C$36,MATCH(G21,'Driver Factors'!$B$28:$B$36,0))</f>
        <v>1</v>
      </c>
      <c r="H61" s="46">
        <f>INDEX('Driver Factors'!$C$28:$C$36,MATCH(H21,'Driver Factors'!$B$28:$B$36,0))</f>
        <v>1.1499999999999999</v>
      </c>
    </row>
    <row r="62" spans="2:8" x14ac:dyDescent="0.25">
      <c r="B62" s="36" t="s">
        <v>276</v>
      </c>
      <c r="C62" s="46">
        <f>INDEX('Claims History'!$C$6:$C$15,MATCH(C22,'Claims History'!$B$6:$B$15,0))</f>
        <v>0.9</v>
      </c>
      <c r="D62" s="46">
        <f>INDEX('Claims History'!$C$6:$C$15,MATCH(D22,'Claims History'!$B$6:$B$15,0))</f>
        <v>0.85</v>
      </c>
      <c r="E62" s="46">
        <f>INDEX('Claims History'!$C$6:$C$15,MATCH(E22,'Claims History'!$B$6:$B$15,0))</f>
        <v>0.9</v>
      </c>
      <c r="F62" s="46">
        <f>INDEX('Claims History'!$C$6:$C$15,MATCH(F22,'Claims History'!$B$6:$B$15,0))</f>
        <v>1.1000000000000001</v>
      </c>
      <c r="G62" s="46">
        <f>INDEX('Claims History'!$C$6:$C$15,MATCH(G22,'Claims History'!$B$6:$B$15,0))</f>
        <v>1.05</v>
      </c>
      <c r="H62" s="46">
        <f>INDEX('Claims History'!$C$6:$C$15,MATCH(H22,'Claims History'!$B$6:$B$15,0))</f>
        <v>0.9</v>
      </c>
    </row>
    <row r="63" spans="2:8" x14ac:dyDescent="0.25">
      <c r="B63" s="36" t="s">
        <v>277</v>
      </c>
      <c r="C63" s="46">
        <f>INDEX('Territory Factors'!$E$6:$E$56,MATCH(C12,'Territory Factors'!$B$6:$B$56,0))</f>
        <v>1.45</v>
      </c>
      <c r="D63" s="46">
        <f>INDEX('Territory Factors'!$E$6:$E$56,MATCH(D12,'Territory Factors'!$B$6:$B$56,0))</f>
        <v>1.1000000000000001</v>
      </c>
      <c r="E63" s="46">
        <f>INDEX('Territory Factors'!$E$6:$E$56,MATCH(E12,'Territory Factors'!$B$6:$B$56,0))</f>
        <v>1.1200000000000001</v>
      </c>
      <c r="F63" s="46">
        <f>INDEX('Territory Factors'!$E$6:$E$56,MATCH(F12,'Territory Factors'!$B$6:$B$56,0))</f>
        <v>1.1499999999999999</v>
      </c>
      <c r="G63" s="46">
        <f>INDEX('Territory Factors'!$E$6:$E$56,MATCH(G12,'Territory Factors'!$B$6:$B$56,0))</f>
        <v>1.25</v>
      </c>
      <c r="H63" s="46">
        <f>INDEX('Territory Factors'!$E$6:$E$56,MATCH(H12,'Territory Factors'!$B$6:$B$56,0))</f>
        <v>1.35</v>
      </c>
    </row>
    <row r="64" spans="2:8" x14ac:dyDescent="0.25">
      <c r="B64" s="36" t="s">
        <v>278</v>
      </c>
      <c r="C64" s="46">
        <f>INDEX('City Accident Ratings'!$G$6:$G$54,MATCH(C27,'City Accident Ratings'!$B$6:$B$54,0))</f>
        <v>1.395</v>
      </c>
      <c r="D64" s="46">
        <f>INDEX('City Accident Ratings'!$G$6:$G$54,MATCH(D27,'City Accident Ratings'!$B$6:$B$54,0))</f>
        <v>1.18</v>
      </c>
      <c r="E64" s="46">
        <f>INDEX('City Accident Ratings'!$G$6:$G$54,MATCH(E27,'City Accident Ratings'!$B$6:$B$54,0))</f>
        <v>1</v>
      </c>
      <c r="F64" s="46">
        <f>INDEX('City Accident Ratings'!$G$6:$G$54,MATCH(F27,'City Accident Ratings'!$B$6:$B$54,0))</f>
        <v>1.2250000000000001</v>
      </c>
      <c r="G64" s="46">
        <f>INDEX('City Accident Ratings'!$G$6:$G$54,MATCH(G27,'City Accident Ratings'!$B$6:$B$54,0))</f>
        <v>1.2749999999999999</v>
      </c>
      <c r="H64" s="46">
        <f>INDEX('City Accident Ratings'!$G$6:$G$54,MATCH(H27,'City Accident Ratings'!$B$6:$B$54,0))</f>
        <v>1.35</v>
      </c>
    </row>
    <row r="65" spans="2:8" x14ac:dyDescent="0.25">
      <c r="B65" s="36" t="s">
        <v>279</v>
      </c>
      <c r="C65" s="46">
        <f>INDEX('Usage and Coverage'!$D$6:$D$20,MATCH(C15,'Usage and Coverage'!$C$6:$C$20,0))</f>
        <v>1</v>
      </c>
      <c r="D65" s="46">
        <f>INDEX('Usage and Coverage'!$D$6:$D$20,MATCH(D15,'Usage and Coverage'!$C$6:$C$20,0))</f>
        <v>0.85</v>
      </c>
      <c r="E65" s="46">
        <f>INDEX('Usage and Coverage'!$D$6:$D$20,MATCH(E15,'Usage and Coverage'!$C$6:$C$20,0))</f>
        <v>0.65</v>
      </c>
      <c r="F65" s="46">
        <f>INDEX('Usage and Coverage'!$D$6:$D$20,MATCH(F15,'Usage and Coverage'!$C$6:$C$20,0))</f>
        <v>2.9</v>
      </c>
      <c r="G65" s="46">
        <f>INDEX('Usage and Coverage'!$D$6:$D$20,MATCH(G15,'Usage and Coverage'!$C$6:$C$20,0))</f>
        <v>1.45</v>
      </c>
      <c r="H65" s="46">
        <f>INDEX('Usage and Coverage'!$D$6:$D$20,MATCH(H15,'Usage and Coverage'!$C$6:$C$20,0))</f>
        <v>1.05</v>
      </c>
    </row>
    <row r="66" spans="2:8" x14ac:dyDescent="0.25">
      <c r="B66" s="36" t="s">
        <v>280</v>
      </c>
      <c r="C66" s="46">
        <f>INDEX('Usage and Coverage'!$C$24:$C$30,MATCH(C16,'Usage and Coverage'!$B$24:$B$30,0))</f>
        <v>1</v>
      </c>
      <c r="D66" s="46">
        <f>INDEX('Usage and Coverage'!$C$24:$C$30,MATCH(D16,'Usage and Coverage'!$B$24:$B$30,0))</f>
        <v>0.75</v>
      </c>
      <c r="E66" s="46">
        <f>INDEX('Usage and Coverage'!$C$24:$C$30,MATCH(E16,'Usage and Coverage'!$B$24:$B$30,0))</f>
        <v>0.75</v>
      </c>
      <c r="F66" s="46">
        <f>INDEX('Usage and Coverage'!$C$24:$C$30,MATCH(F16,'Usage and Coverage'!$B$24:$B$30,0))</f>
        <v>1.85</v>
      </c>
      <c r="G66" s="46">
        <f>INDEX('Usage and Coverage'!$C$24:$C$30,MATCH(G16,'Usage and Coverage'!$B$24:$B$30,0))</f>
        <v>0.85</v>
      </c>
      <c r="H66" s="46">
        <f>INDEX('Usage and Coverage'!$C$24:$C$30,MATCH(H16,'Usage and Coverage'!$B$24:$B$30,0))</f>
        <v>1</v>
      </c>
    </row>
    <row r="67" spans="2:8" x14ac:dyDescent="0.25">
      <c r="B67" s="36" t="s">
        <v>281</v>
      </c>
      <c r="C67" s="46">
        <f>INDEX('Usage and Coverage'!$C$34:$C$40,MATCH(C17,'Usage and Coverage'!$B$34:$B$40,0))</f>
        <v>0.9</v>
      </c>
      <c r="D67" s="46">
        <f>INDEX('Usage and Coverage'!$C$34:$C$40,MATCH(D17,'Usage and Coverage'!$B$34:$B$40,0))</f>
        <v>0.85</v>
      </c>
      <c r="E67" s="46">
        <f>INDEX('Usage and Coverage'!$C$34:$C$40,MATCH(E17,'Usage and Coverage'!$B$34:$B$40,0))</f>
        <v>0.85</v>
      </c>
      <c r="F67" s="46">
        <f>INDEX('Usage and Coverage'!$C$34:$C$40,MATCH(F17,'Usage and Coverage'!$B$34:$B$40,0))</f>
        <v>1.05</v>
      </c>
      <c r="G67" s="46">
        <f>INDEX('Usage and Coverage'!$C$34:$C$40,MATCH(G17,'Usage and Coverage'!$B$34:$B$40,0))</f>
        <v>1.05</v>
      </c>
      <c r="H67" s="46">
        <f>INDEX('Usage and Coverage'!$C$34:$C$40,MATCH(H17,'Usage and Coverage'!$B$34:$B$40,0))</f>
        <v>0.9</v>
      </c>
    </row>
    <row r="68" spans="2:8" x14ac:dyDescent="0.25">
      <c r="B68" s="36" t="s">
        <v>282</v>
      </c>
      <c r="C68" s="46">
        <f>INDEX('Usage and Coverage'!$C$44:$C$49,MATCH(C18,'Usage and Coverage'!$B$44:$B$49,0))</f>
        <v>0.9</v>
      </c>
      <c r="D68" s="46">
        <f>INDEX('Usage and Coverage'!$C$44:$C$49,MATCH(D18,'Usage and Coverage'!$B$44:$B$49,0))</f>
        <v>0.85</v>
      </c>
      <c r="E68" s="46">
        <f>INDEX('Usage and Coverage'!$C$44:$C$49,MATCH(E18,'Usage and Coverage'!$B$44:$B$49,0))</f>
        <v>1.1499999999999999</v>
      </c>
      <c r="F68" s="46">
        <f>INDEX('Usage and Coverage'!$C$44:$C$49,MATCH(F18,'Usage and Coverage'!$B$44:$B$49,0))</f>
        <v>0.85</v>
      </c>
      <c r="G68" s="46">
        <f>INDEX('Usage and Coverage'!$C$44:$C$49,MATCH(G18,'Usage and Coverage'!$B$44:$B$49,0))</f>
        <v>0.95</v>
      </c>
      <c r="H68" s="46">
        <f>INDEX('Usage and Coverage'!$C$44:$C$49,MATCH(H18,'Usage and Coverage'!$B$44:$B$49,0))</f>
        <v>0.9</v>
      </c>
    </row>
    <row r="69" spans="2:8" x14ac:dyDescent="0.25">
      <c r="B69" s="36" t="s">
        <v>283</v>
      </c>
      <c r="C69" s="46">
        <f>INDEX(Deductibles!$C$6:$I$15,MATCH(C24,Deductibles!$B$6:$B$15,0),MATCH(MAX(C11,'Technical Premium'!$C$18),'Base Rates'!$C$3:$I$3,1))</f>
        <v>0.94</v>
      </c>
      <c r="D69" s="46">
        <f>INDEX(Deductibles!$C$6:$I$15,MATCH(D24,Deductibles!$B$6:$B$15,0),MATCH(MAX(D11,'Technical Premium'!$C$18),'Base Rates'!$C$3:$I$3,1))</f>
        <v>0.78</v>
      </c>
      <c r="E69" s="46">
        <f>INDEX(Deductibles!$C$6:$I$15,MATCH(E24,Deductibles!$B$6:$B$15,0),MATCH(MAX(E11,'Technical Premium'!$C$18),'Base Rates'!$C$3:$I$3,1))</f>
        <v>0.92</v>
      </c>
      <c r="F69" s="46">
        <f>INDEX(Deductibles!$C$6:$I$15,MATCH(F24,Deductibles!$B$6:$B$15,0),MATCH(MAX(F11,'Technical Premium'!$C$18),'Base Rates'!$C$3:$I$3,1))</f>
        <v>0.87</v>
      </c>
      <c r="G69" s="46">
        <f>INDEX(Deductibles!$C$6:$I$15,MATCH(G24,Deductibles!$B$6:$B$15,0),MATCH(MAX(G11,'Technical Premium'!$C$18),'Base Rates'!$C$3:$I$3,1))</f>
        <v>0.78</v>
      </c>
      <c r="H69" s="46">
        <f>INDEX(Deductibles!$C$6:$I$15,MATCH(H24,Deductibles!$B$6:$B$15,0),MATCH(MAX(H11,'Technical Premium'!$C$18),'Base Rates'!$C$3:$I$3,1))</f>
        <v>0.83</v>
      </c>
    </row>
    <row r="70" spans="2:8" x14ac:dyDescent="0.25">
      <c r="B70" s="36" t="s">
        <v>284</v>
      </c>
      <c r="C70" s="46">
        <f>INDEX('Usage and Coverage'!$C$63:$C$66,MATCH(C25,'Usage and Coverage'!$B$63:$B$66,0))</f>
        <v>1</v>
      </c>
      <c r="D70" s="46">
        <f>INDEX('Usage and Coverage'!$C$63:$C$66,MATCH(D25,'Usage and Coverage'!$B$63:$B$66,0))</f>
        <v>1.06</v>
      </c>
      <c r="E70" s="46">
        <f>INDEX('Usage and Coverage'!$C$63:$C$66,MATCH(E25,'Usage and Coverage'!$B$63:$B$66,0))</f>
        <v>1</v>
      </c>
      <c r="F70" s="46">
        <f>INDEX('Usage and Coverage'!$C$63:$C$66,MATCH(F25,'Usage and Coverage'!$B$63:$B$66,0))</f>
        <v>0.92</v>
      </c>
      <c r="G70" s="46">
        <f>INDEX('Usage and Coverage'!$C$63:$C$66,MATCH(G25,'Usage and Coverage'!$B$63:$B$66,0))</f>
        <v>1</v>
      </c>
      <c r="H70" s="46">
        <f>INDEX('Usage and Coverage'!$C$63:$C$66,MATCH(H25,'Usage and Coverage'!$B$63:$B$66,0))</f>
        <v>1.06</v>
      </c>
    </row>
    <row r="71" spans="2:8" x14ac:dyDescent="0.25">
      <c r="B71" s="36" t="s">
        <v>285</v>
      </c>
      <c r="C71" s="46">
        <f>INDEX('Usage and Coverage'!$C$70:$C$75,MATCH(C23,'Usage and Coverage'!$B$70:$B$75,0))</f>
        <v>0.95</v>
      </c>
      <c r="D71" s="46">
        <f>INDEX('Usage and Coverage'!$C$70:$C$75,MATCH(D23,'Usage and Coverage'!$B$70:$B$75,0))</f>
        <v>0.82</v>
      </c>
      <c r="E71" s="46">
        <f>INDEX('Usage and Coverage'!$C$70:$C$75,MATCH(E23,'Usage and Coverage'!$B$70:$B$75,0))</f>
        <v>0.78</v>
      </c>
      <c r="F71" s="46">
        <f>INDEX('Usage and Coverage'!$C$70:$C$75,MATCH(F23,'Usage and Coverage'!$B$70:$B$75,0))</f>
        <v>0.86</v>
      </c>
      <c r="G71" s="46">
        <f>INDEX('Usage and Coverage'!$C$70:$C$75,MATCH(G23,'Usage and Coverage'!$B$70:$B$75,0))</f>
        <v>0.78</v>
      </c>
      <c r="H71" s="46">
        <f>INDEX('Usage and Coverage'!$C$70:$C$75,MATCH(H23,'Usage and Coverage'!$B$70:$B$75,0))</f>
        <v>0.9</v>
      </c>
    </row>
    <row r="72" spans="2:8" x14ac:dyDescent="0.25">
      <c r="B72" s="36" t="s">
        <v>286</v>
      </c>
      <c r="C72" s="46">
        <f>INDEX(Deductibles!$C$48:$C$51,MATCH(C29,Deductibles!$B$48:$B$51,0))</f>
        <v>1</v>
      </c>
      <c r="D72" s="46">
        <f>INDEX(Deductibles!$C$48:$C$51,MATCH(D29,Deductibles!$B$48:$B$51,0))</f>
        <v>1</v>
      </c>
      <c r="E72" s="46">
        <f>INDEX(Deductibles!$C$48:$C$51,MATCH(E29,Deductibles!$B$48:$B$51,0))</f>
        <v>1</v>
      </c>
      <c r="F72" s="46">
        <f>INDEX(Deductibles!$C$48:$C$51,MATCH(F29,Deductibles!$B$48:$B$51,0))</f>
        <v>0.97499999999999998</v>
      </c>
      <c r="G72" s="46">
        <f>INDEX(Deductibles!$C$48:$C$51,MATCH(G29,Deductibles!$B$48:$B$51,0))</f>
        <v>0.97499999999999998</v>
      </c>
      <c r="H72" s="46">
        <f>INDEX(Deductibles!$C$48:$C$51,MATCH(H29,Deductibles!$B$48:$B$51,0))</f>
        <v>1</v>
      </c>
    </row>
    <row r="73" spans="2:8" x14ac:dyDescent="0.25">
      <c r="B73" s="36" t="s">
        <v>287</v>
      </c>
      <c r="C73" s="46">
        <f>INDEX(Deductibles!$C$55:$C$57,MATCH(C30,Deductibles!$B$55:$B$57,0))</f>
        <v>1</v>
      </c>
      <c r="D73" s="46">
        <f>INDEX(Deductibles!$C$55:$C$57,MATCH(D30,Deductibles!$B$55:$B$57,0))</f>
        <v>1</v>
      </c>
      <c r="E73" s="46">
        <f>INDEX(Deductibles!$C$55:$C$57,MATCH(E30,Deductibles!$B$55:$B$57,0))</f>
        <v>1</v>
      </c>
      <c r="F73" s="46">
        <f>INDEX(Deductibles!$C$55:$C$57,MATCH(F30,Deductibles!$B$55:$B$57,0))</f>
        <v>1</v>
      </c>
      <c r="G73" s="46">
        <f>INDEX(Deductibles!$C$55:$C$57,MATCH(G30,Deductibles!$B$55:$B$57,0))</f>
        <v>1</v>
      </c>
      <c r="H73" s="46">
        <f>INDEX(Deductibles!$C$55:$C$57,MATCH(H30,Deductibles!$B$55:$B$57,0))</f>
        <v>1.0149999999999999</v>
      </c>
    </row>
    <row r="74" spans="2:8" x14ac:dyDescent="0.25">
      <c r="B74" s="36" t="s">
        <v>288</v>
      </c>
      <c r="C74" s="46">
        <f>INDEX(Deductibles!$C$61:$C$63,MATCH(C31,Deductibles!$B$61:$B$63,0))</f>
        <v>1</v>
      </c>
      <c r="D74" s="46">
        <f>INDEX(Deductibles!$C$61:$C$63,MATCH(D31,Deductibles!$B$61:$B$63,0))</f>
        <v>1</v>
      </c>
      <c r="E74" s="46">
        <f>INDEX(Deductibles!$C$61:$C$63,MATCH(E31,Deductibles!$B$61:$B$63,0))</f>
        <v>1</v>
      </c>
      <c r="F74" s="46">
        <f>INDEX(Deductibles!$C$61:$C$63,MATCH(F31,Deductibles!$B$61:$B$63,0))</f>
        <v>0.97499999999999998</v>
      </c>
      <c r="G74" s="46">
        <f>INDEX(Deductibles!$C$61:$C$63,MATCH(G31,Deductibles!$B$61:$B$63,0))</f>
        <v>1</v>
      </c>
      <c r="H74" s="46">
        <f>INDEX(Deductibles!$C$61:$C$63,MATCH(H31,Deductibles!$B$61:$B$63,0))</f>
        <v>1</v>
      </c>
    </row>
    <row r="75" spans="2:8" x14ac:dyDescent="0.25">
      <c r="B75" s="36" t="s">
        <v>289</v>
      </c>
      <c r="C75" s="46">
        <f>INDEX(Deductibles!$C$67:$C$69,MATCH(C32,Deductibles!$B$67:$B$69,0))</f>
        <v>1</v>
      </c>
      <c r="D75" s="46">
        <f>INDEX(Deductibles!$C$67:$C$69,MATCH(D32,Deductibles!$B$67:$B$69,0))</f>
        <v>0.95499999999999996</v>
      </c>
      <c r="E75" s="46">
        <f>INDEX(Deductibles!$C$67:$C$69,MATCH(E32,Deductibles!$B$67:$B$69,0))</f>
        <v>1</v>
      </c>
      <c r="F75" s="46">
        <f>INDEX(Deductibles!$C$67:$C$69,MATCH(F32,Deductibles!$B$67:$B$69,0))</f>
        <v>1</v>
      </c>
      <c r="G75" s="46">
        <f>INDEX(Deductibles!$C$67:$C$69,MATCH(G32,Deductibles!$B$67:$B$69,0))</f>
        <v>0.92</v>
      </c>
      <c r="H75" s="46">
        <f>INDEX(Deductibles!$C$67:$C$69,MATCH(H32,Deductibles!$B$67:$B$69,0))</f>
        <v>1</v>
      </c>
    </row>
    <row r="76" spans="2:8" x14ac:dyDescent="0.25">
      <c r="B76" s="36" t="s">
        <v>290</v>
      </c>
      <c r="C76" s="46">
        <f>INDEX(Deductibles!$C$73:$C$74,MATCH(C33,Deductibles!$B$73:$B$74,0))</f>
        <v>1</v>
      </c>
      <c r="D76" s="46">
        <f>INDEX(Deductibles!$C$73:$C$74,MATCH(D33,Deductibles!$B$73:$B$74,0))</f>
        <v>1.02</v>
      </c>
      <c r="E76" s="46">
        <f>INDEX(Deductibles!$C$73:$C$74,MATCH(E33,Deductibles!$B$73:$B$74,0))</f>
        <v>1</v>
      </c>
      <c r="F76" s="46">
        <f>INDEX(Deductibles!$C$73:$C$74,MATCH(F33,Deductibles!$B$73:$B$74,0))</f>
        <v>1</v>
      </c>
      <c r="G76" s="46">
        <f>INDEX(Deductibles!$C$73:$C$74,MATCH(G33,Deductibles!$B$73:$B$74,0))</f>
        <v>1</v>
      </c>
      <c r="H76" s="46">
        <f>INDEX(Deductibles!$C$73:$C$74,MATCH(H33,Deductibles!$B$73:$B$74,0))</f>
        <v>1</v>
      </c>
    </row>
    <row r="77" spans="2:8" x14ac:dyDescent="0.25">
      <c r="B77" s="36" t="s">
        <v>291</v>
      </c>
      <c r="C77" s="46">
        <f>INDEX('Sublimits and Parts'!$C$49:$C$52,MATCH(C34,'Sublimits and Parts'!$B$49:$B$52,0))</f>
        <v>1</v>
      </c>
      <c r="D77" s="46">
        <f>INDEX('Sublimits and Parts'!$C$49:$C$52,MATCH(D34,'Sublimits and Parts'!$B$49:$B$52,0))</f>
        <v>1</v>
      </c>
      <c r="E77" s="46">
        <f>INDEX('Sublimits and Parts'!$C$49:$C$52,MATCH(E34,'Sublimits and Parts'!$B$49:$B$52,0))</f>
        <v>1</v>
      </c>
      <c r="F77" s="46">
        <f>INDEX('Sublimits and Parts'!$C$49:$C$52,MATCH(F34,'Sublimits and Parts'!$B$49:$B$52,0))</f>
        <v>1</v>
      </c>
      <c r="G77" s="46">
        <f>INDEX('Sublimits and Parts'!$C$49:$C$52,MATCH(G34,'Sublimits and Parts'!$B$49:$B$52,0))</f>
        <v>1</v>
      </c>
      <c r="H77" s="46">
        <f>INDEX('Sublimits and Parts'!$C$49:$C$52,MATCH(H34,'Sublimits and Parts'!$B$49:$B$52,0))</f>
        <v>1</v>
      </c>
    </row>
    <row r="78" spans="2:8" x14ac:dyDescent="0.25">
      <c r="B78" s="36" t="s">
        <v>292</v>
      </c>
      <c r="C78" s="46">
        <f>INDEX('Sublimits and Parts'!$C$56:$C$60,MATCH(C35,'Sublimits and Parts'!$B$56:$B$60,0))</f>
        <v>1</v>
      </c>
      <c r="D78" s="46">
        <f>INDEX('Sublimits and Parts'!$C$56:$C$60,MATCH(D35,'Sublimits and Parts'!$B$56:$B$60,0))</f>
        <v>1.0349999999999999</v>
      </c>
      <c r="E78" s="46">
        <f>INDEX('Sublimits and Parts'!$C$56:$C$60,MATCH(E35,'Sublimits and Parts'!$B$56:$B$60,0))</f>
        <v>1</v>
      </c>
      <c r="F78" s="46">
        <f>INDEX('Sublimits and Parts'!$C$56:$C$60,MATCH(F35,'Sublimits and Parts'!$B$56:$B$60,0))</f>
        <v>1</v>
      </c>
      <c r="G78" s="46">
        <f>INDEX('Sublimits and Parts'!$C$56:$C$60,MATCH(G35,'Sublimits and Parts'!$B$56:$B$60,0))</f>
        <v>1</v>
      </c>
      <c r="H78" s="46">
        <f>INDEX('Sublimits and Parts'!$C$56:$C$60,MATCH(H35,'Sublimits and Parts'!$B$56:$B$60,0))</f>
        <v>1.018</v>
      </c>
    </row>
    <row r="79" spans="2:8" x14ac:dyDescent="0.25">
      <c r="B79" s="36" t="s">
        <v>293</v>
      </c>
      <c r="C79" s="46">
        <f>INDEX('Sublimits and Parts'!$C$64:$C$67,MATCH(C36,'Sublimits and Parts'!$B$64:$B$67,0))</f>
        <v>1</v>
      </c>
      <c r="D79" s="46">
        <f>INDEX('Sublimits and Parts'!$C$64:$C$67,MATCH(D36,'Sublimits and Parts'!$B$64:$B$67,0))</f>
        <v>1</v>
      </c>
      <c r="E79" s="46">
        <f>INDEX('Sublimits and Parts'!$C$64:$C$67,MATCH(E36,'Sublimits and Parts'!$B$64:$B$67,0))</f>
        <v>1</v>
      </c>
      <c r="F79" s="46">
        <f>INDEX('Sublimits and Parts'!$C$64:$C$67,MATCH(F36,'Sublimits and Parts'!$B$64:$B$67,0))</f>
        <v>0.997</v>
      </c>
      <c r="G79" s="46">
        <f>INDEX('Sublimits and Parts'!$C$64:$C$67,MATCH(G36,'Sublimits and Parts'!$B$64:$B$67,0))</f>
        <v>1</v>
      </c>
      <c r="H79" s="46">
        <f>INDEX('Sublimits and Parts'!$C$64:$C$67,MATCH(H36,'Sublimits and Parts'!$B$64:$B$67,0))</f>
        <v>1</v>
      </c>
    </row>
    <row r="80" spans="2:8" x14ac:dyDescent="0.25">
      <c r="B80" s="36" t="s">
        <v>294</v>
      </c>
      <c r="C80" s="46">
        <f>INDEX('Sublimits and Parts'!$C$71:$C$74,MATCH(C37,'Sublimits and Parts'!$B$71:$B$74,0))</f>
        <v>1</v>
      </c>
      <c r="D80" s="46">
        <f>INDEX('Sublimits and Parts'!$C$71:$C$74,MATCH(D37,'Sublimits and Parts'!$B$71:$B$74,0))</f>
        <v>1</v>
      </c>
      <c r="E80" s="46">
        <f>INDEX('Sublimits and Parts'!$C$71:$C$74,MATCH(E37,'Sublimits and Parts'!$B$71:$B$74,0))</f>
        <v>0.98499999999999999</v>
      </c>
      <c r="F80" s="46">
        <f>INDEX('Sublimits and Parts'!$C$71:$C$74,MATCH(F37,'Sublimits and Parts'!$B$71:$B$74,0))</f>
        <v>0.98499999999999999</v>
      </c>
      <c r="G80" s="46">
        <f>INDEX('Sublimits and Parts'!$C$71:$C$74,MATCH(G37,'Sublimits and Parts'!$B$71:$B$74,0))</f>
        <v>0.98499999999999999</v>
      </c>
      <c r="H80" s="46">
        <f>INDEX('Sublimits and Parts'!$C$71:$C$74,MATCH(H37,'Sublimits and Parts'!$B$71:$B$74,0))</f>
        <v>1</v>
      </c>
    </row>
    <row r="81" spans="2:8" x14ac:dyDescent="0.25">
      <c r="B81" s="36" t="s">
        <v>295</v>
      </c>
      <c r="C81" s="46">
        <f>INDEX('Sublimits and Parts'!$C$78:$C$80,MATCH(C38,'Sublimits and Parts'!$B$78:$B$80,0))</f>
        <v>1</v>
      </c>
      <c r="D81" s="46">
        <f>INDEX('Sublimits and Parts'!$C$78:$C$80,MATCH(D38,'Sublimits and Parts'!$B$78:$B$80,0))</f>
        <v>1</v>
      </c>
      <c r="E81" s="46">
        <f>INDEX('Sublimits and Parts'!$C$78:$C$80,MATCH(E38,'Sublimits and Parts'!$B$78:$B$80,0))</f>
        <v>1</v>
      </c>
      <c r="F81" s="46">
        <f>INDEX('Sublimits and Parts'!$C$78:$C$80,MATCH(F38,'Sublimits and Parts'!$B$78:$B$80,0))</f>
        <v>1</v>
      </c>
      <c r="G81" s="46">
        <f>INDEX('Sublimits and Parts'!$C$78:$C$80,MATCH(G38,'Sublimits and Parts'!$B$78:$B$80,0))</f>
        <v>1.0249999999999999</v>
      </c>
      <c r="H81" s="46">
        <f>INDEX('Sublimits and Parts'!$C$78:$C$80,MATCH(H38,'Sublimits and Parts'!$B$78:$B$80,0))</f>
        <v>1</v>
      </c>
    </row>
    <row r="82" spans="2:8" x14ac:dyDescent="0.25">
      <c r="B82" s="36" t="s">
        <v>296</v>
      </c>
      <c r="C82" s="46">
        <f>INDEX('Sublimits and Parts'!$C$84:$C$87,MATCH(C39,'Sublimits and Parts'!$B$84:$B$87,0))</f>
        <v>1</v>
      </c>
      <c r="D82" s="46">
        <f>INDEX('Sublimits and Parts'!$C$84:$C$87,MATCH(D39,'Sublimits and Parts'!$B$84:$B$87,0))</f>
        <v>1.1000000000000001</v>
      </c>
      <c r="E82" s="46">
        <f>INDEX('Sublimits and Parts'!$C$84:$C$87,MATCH(E39,'Sublimits and Parts'!$B$84:$B$87,0))</f>
        <v>1</v>
      </c>
      <c r="F82" s="46">
        <f>INDEX('Sublimits and Parts'!$C$84:$C$87,MATCH(F39,'Sublimits and Parts'!$B$84:$B$87,0))</f>
        <v>1</v>
      </c>
      <c r="G82" s="46">
        <f>INDEX('Sublimits and Parts'!$C$84:$C$87,MATCH(G39,'Sublimits and Parts'!$B$84:$B$87,0))</f>
        <v>1</v>
      </c>
      <c r="H82" s="46">
        <f>INDEX('Sublimits and Parts'!$C$84:$C$87,MATCH(H39,'Sublimits and Parts'!$B$84:$B$87,0))</f>
        <v>1</v>
      </c>
    </row>
    <row r="83" spans="2:8" x14ac:dyDescent="0.25">
      <c r="B83" s="36" t="s">
        <v>297</v>
      </c>
      <c r="C83" s="46">
        <f>INDEX('Sublimits and Parts'!$C$91:$C$94,MATCH(C40,'Sublimits and Parts'!$B$91:$B$94,0))</f>
        <v>1</v>
      </c>
      <c r="D83" s="46">
        <f>INDEX('Sublimits and Parts'!$C$91:$C$94,MATCH(D40,'Sublimits and Parts'!$B$91:$B$94,0))</f>
        <v>1</v>
      </c>
      <c r="E83" s="46">
        <f>INDEX('Sublimits and Parts'!$C$91:$C$94,MATCH(E40,'Sublimits and Parts'!$B$91:$B$94,0))</f>
        <v>1.03</v>
      </c>
      <c r="F83" s="46">
        <f>INDEX('Sublimits and Parts'!$C$91:$C$94,MATCH(F40,'Sublimits and Parts'!$B$91:$B$94,0))</f>
        <v>1</v>
      </c>
      <c r="G83" s="46">
        <f>INDEX('Sublimits and Parts'!$C$91:$C$94,MATCH(G40,'Sublimits and Parts'!$B$91:$B$94,0))</f>
        <v>1</v>
      </c>
      <c r="H83" s="46">
        <f>INDEX('Sublimits and Parts'!$C$91:$C$94,MATCH(H40,'Sublimits and Parts'!$B$91:$B$94,0))</f>
        <v>1.03</v>
      </c>
    </row>
    <row r="84" spans="2:8" x14ac:dyDescent="0.25">
      <c r="B84" s="36" t="s">
        <v>298</v>
      </c>
      <c r="C84" s="46">
        <f>INDEX('Sublimits and Parts'!$C$98:$C$101,MATCH(C41,'Sublimits and Parts'!$B$98:$B$101,0))</f>
        <v>1</v>
      </c>
      <c r="D84" s="46">
        <f>INDEX('Sublimits and Parts'!$C$98:$C$101,MATCH(D41,'Sublimits and Parts'!$B$98:$B$101,0))</f>
        <v>1.0449999999999999</v>
      </c>
      <c r="E84" s="46">
        <f>INDEX('Sublimits and Parts'!$C$98:$C$101,MATCH(E41,'Sublimits and Parts'!$B$98:$B$101,0))</f>
        <v>1</v>
      </c>
      <c r="F84" s="46">
        <f>INDEX('Sublimits and Parts'!$C$98:$C$101,MATCH(F41,'Sublimits and Parts'!$B$98:$B$101,0))</f>
        <v>0.96</v>
      </c>
      <c r="G84" s="46">
        <f>INDEX('Sublimits and Parts'!$C$98:$C$101,MATCH(G41,'Sublimits and Parts'!$B$98:$B$101,0))</f>
        <v>1</v>
      </c>
      <c r="H84" s="46">
        <f>INDEX('Sublimits and Parts'!$C$98:$C$101,MATCH(H41,'Sublimits and Parts'!$B$98:$B$101,0))</f>
        <v>1.0449999999999999</v>
      </c>
    </row>
    <row r="85" spans="2:8" x14ac:dyDescent="0.25">
      <c r="B85" s="36" t="s">
        <v>299</v>
      </c>
      <c r="C85" s="46">
        <f>INDEX('Sublimits and Parts'!$C$105:$C$109,MATCH(C42,'Sublimits and Parts'!$B$105:$B$109,0))</f>
        <v>1</v>
      </c>
      <c r="D85" s="46">
        <f>INDEX('Sublimits and Parts'!$C$105:$C$109,MATCH(D42,'Sublimits and Parts'!$B$105:$B$109,0))</f>
        <v>1.03</v>
      </c>
      <c r="E85" s="46">
        <f>INDEX('Sublimits and Parts'!$C$105:$C$109,MATCH(E42,'Sublimits and Parts'!$B$105:$B$109,0))</f>
        <v>0.98</v>
      </c>
      <c r="F85" s="46">
        <f>INDEX('Sublimits and Parts'!$C$105:$C$109,MATCH(F42,'Sublimits and Parts'!$B$105:$B$109,0))</f>
        <v>1</v>
      </c>
      <c r="G85" s="46">
        <f>INDEX('Sublimits and Parts'!$C$105:$C$109,MATCH(G42,'Sublimits and Parts'!$B$105:$B$109,0))</f>
        <v>1.03</v>
      </c>
      <c r="H85" s="46">
        <f>INDEX('Sublimits and Parts'!$C$105:$C$109,MATCH(H42,'Sublimits and Parts'!$B$105:$B$109,0))</f>
        <v>1</v>
      </c>
    </row>
    <row r="86" spans="2:8" x14ac:dyDescent="0.25">
      <c r="B86" s="32" t="s">
        <v>300</v>
      </c>
      <c r="C86" s="49">
        <f t="shared" ref="C86:H86" si="2">PRODUCT(C58:C71)</f>
        <v>1.4313661455622497</v>
      </c>
      <c r="D86" s="49">
        <f t="shared" si="2"/>
        <v>0.52597543456047924</v>
      </c>
      <c r="E86" s="49">
        <f t="shared" si="2"/>
        <v>0.40934108651354101</v>
      </c>
      <c r="F86" s="49">
        <f t="shared" si="2"/>
        <v>9.3832852819536914</v>
      </c>
      <c r="G86" s="49">
        <f t="shared" si="2"/>
        <v>1.5875248311074497</v>
      </c>
      <c r="H86" s="49">
        <f t="shared" si="2"/>
        <v>2.0800768070430005</v>
      </c>
    </row>
    <row r="87" spans="2:8" x14ac:dyDescent="0.25">
      <c r="B87" s="32" t="s">
        <v>302</v>
      </c>
      <c r="C87" s="49">
        <f t="shared" ref="C87:H87" si="3">PRODUCT(C72:C85)</f>
        <v>1</v>
      </c>
      <c r="D87" s="49">
        <f t="shared" si="3"/>
        <v>1.1936859810975</v>
      </c>
      <c r="E87" s="49">
        <f t="shared" si="3"/>
        <v>0.994259</v>
      </c>
      <c r="F87" s="49">
        <f t="shared" si="3"/>
        <v>0.89621426699999995</v>
      </c>
      <c r="G87" s="49">
        <f t="shared" si="3"/>
        <v>0.93280263375000005</v>
      </c>
      <c r="H87" s="49">
        <f t="shared" si="3"/>
        <v>1.1121601644999997</v>
      </c>
    </row>
    <row r="88" spans="2:8" x14ac:dyDescent="0.25">
      <c r="B88" s="32" t="s">
        <v>304</v>
      </c>
      <c r="C88" s="49">
        <f>MIN(C86*C87,'Technical Premium'!$C$17)</f>
        <v>1.4313661455622497</v>
      </c>
      <c r="D88" s="49">
        <f>MIN(D86*D87,'Technical Premium'!$C$17)</f>
        <v>0.62784950263650963</v>
      </c>
      <c r="E88" s="49">
        <f>MIN(E86*E87,'Technical Premium'!$C$17)</f>
        <v>0.40699105933586677</v>
      </c>
      <c r="F88" s="49">
        <f>MIN(F86*F87,'Technical Premium'!$C$17)</f>
        <v>5</v>
      </c>
      <c r="G88" s="49">
        <f>MIN(G86*G87,'Technical Premium'!$C$17)</f>
        <v>1.4808473436005531</v>
      </c>
      <c r="H88" s="49">
        <f>MIN(H86*H87,'Technical Premium'!$C$17)</f>
        <v>2.3133785638935773</v>
      </c>
    </row>
    <row r="90" spans="2:8" ht="18" customHeight="1" x14ac:dyDescent="0.25">
      <c r="B90" s="12" t="s">
        <v>306</v>
      </c>
      <c r="C90" s="12"/>
      <c r="D90" s="12"/>
      <c r="E90" s="12"/>
      <c r="F90" s="12"/>
      <c r="G90" s="12"/>
      <c r="H90" s="12"/>
    </row>
    <row r="91" spans="2:8" x14ac:dyDescent="0.25">
      <c r="B91" s="36" t="s">
        <v>307</v>
      </c>
      <c r="C91" s="48">
        <f t="shared" ref="C91:H91" si="4">C57*C88</f>
        <v>6995.8020364354952</v>
      </c>
      <c r="D91" s="48">
        <f t="shared" si="4"/>
        <v>18534.117317829765</v>
      </c>
      <c r="E91" s="48">
        <f t="shared" si="4"/>
        <v>3760.5973882634089</v>
      </c>
      <c r="F91" s="48">
        <f t="shared" si="4"/>
        <v>16099.999999999998</v>
      </c>
      <c r="G91" s="48">
        <f t="shared" si="4"/>
        <v>5790.1131134781617</v>
      </c>
      <c r="H91" s="48">
        <f t="shared" si="4"/>
        <v>29518.710475282045</v>
      </c>
    </row>
    <row r="92" spans="2:8" x14ac:dyDescent="0.25">
      <c r="B92" s="36" t="s">
        <v>309</v>
      </c>
      <c r="C92" s="48">
        <f>INDEX('Territory Factors'!$F$6:$F$56,MATCH(C12,'Territory Factors'!$B$6:$B$56,0))</f>
        <v>980</v>
      </c>
      <c r="D92" s="48">
        <f>INDEX('Territory Factors'!$F$6:$F$56,MATCH(D12,'Territory Factors'!$B$6:$B$56,0))</f>
        <v>520</v>
      </c>
      <c r="E92" s="48">
        <f>INDEX('Territory Factors'!$F$6:$F$56,MATCH(E12,'Territory Factors'!$B$6:$B$56,0))</f>
        <v>600</v>
      </c>
      <c r="F92" s="48">
        <f>INDEX('Territory Factors'!$F$6:$F$56,MATCH(F12,'Territory Factors'!$B$6:$B$56,0))</f>
        <v>560</v>
      </c>
      <c r="G92" s="48">
        <f>INDEX('Territory Factors'!$F$6:$F$56,MATCH(G12,'Territory Factors'!$B$6:$B$56,0))</f>
        <v>700</v>
      </c>
      <c r="H92" s="48">
        <f>INDEX('Territory Factors'!$F$6:$F$56,MATCH(H12,'Territory Factors'!$B$6:$B$56,0))</f>
        <v>760</v>
      </c>
    </row>
    <row r="93" spans="2:8" x14ac:dyDescent="0.25">
      <c r="B93" s="36" t="s">
        <v>310</v>
      </c>
      <c r="C93" s="46">
        <f>INDEX('Usage and Coverage'!$C$79:$C$84,MATCH(C26,'Usage and Coverage'!$B$79:$B$84,0))</f>
        <v>1.42</v>
      </c>
      <c r="D93" s="46">
        <f>INDEX('Usage and Coverage'!$C$79:$C$84,MATCH(D26,'Usage and Coverage'!$B$79:$B$84,0))</f>
        <v>2.0499999999999998</v>
      </c>
      <c r="E93" s="46">
        <f>INDEX('Usage and Coverage'!$C$79:$C$84,MATCH(E26,'Usage and Coverage'!$B$79:$B$84,0))</f>
        <v>1.42</v>
      </c>
      <c r="F93" s="46">
        <f>INDEX('Usage and Coverage'!$C$79:$C$84,MATCH(F26,'Usage and Coverage'!$B$79:$B$84,0))</f>
        <v>1.68</v>
      </c>
      <c r="G93" s="46">
        <f>INDEX('Usage and Coverage'!$C$79:$C$84,MATCH(G26,'Usage and Coverage'!$B$79:$B$84,0))</f>
        <v>1.42</v>
      </c>
      <c r="H93" s="46">
        <f>INDEX('Usage and Coverage'!$C$79:$C$84,MATCH(H26,'Usage and Coverage'!$B$79:$B$84,0))</f>
        <v>1.68</v>
      </c>
    </row>
    <row r="94" spans="2:8" x14ac:dyDescent="0.25">
      <c r="B94" s="36" t="s">
        <v>311</v>
      </c>
      <c r="C94" s="48">
        <f>C92*C93*MIN(C65*C59*C61*C62*C66*C64,'Technical Premium'!$C$17)</f>
        <v>1747.1538</v>
      </c>
      <c r="D94" s="48">
        <f>D92*D93*MIN(D65*D59*D61*D62*D66*D64,'Technical Premium'!$C$17)</f>
        <v>681.61372499999982</v>
      </c>
      <c r="E94" s="48">
        <f>E92*E93*MIN(E65*E59*E61*E62*E66*E64,'Technical Premium'!$C$17)</f>
        <v>429.88724999999999</v>
      </c>
      <c r="F94" s="48">
        <f>F92*F93*MIN(F65*F59*F61*F62*F66*F64,'Technical Premium'!$C$17)</f>
        <v>4704</v>
      </c>
      <c r="G94" s="48">
        <f>G92*G93*MIN(G65*G59*G61*G62*G66*G64,'Technical Premium'!$C$17)</f>
        <v>1804.1202506249997</v>
      </c>
      <c r="H94" s="48">
        <f>H92*H93*MIN(H65*H59*H61*H62*H66*H64,'Technical Premium'!$C$17)</f>
        <v>2060.5301640000002</v>
      </c>
    </row>
    <row r="95" spans="2:8" x14ac:dyDescent="0.25">
      <c r="B95" s="36" t="s">
        <v>313</v>
      </c>
      <c r="C95" s="48">
        <f t="shared" ref="C95:H95" si="5">C91+C94</f>
        <v>8742.9558364354962</v>
      </c>
      <c r="D95" s="48">
        <f t="shared" si="5"/>
        <v>19215.731042829764</v>
      </c>
      <c r="E95" s="48">
        <f t="shared" si="5"/>
        <v>4190.4846382634087</v>
      </c>
      <c r="F95" s="48">
        <f t="shared" si="5"/>
        <v>20804</v>
      </c>
      <c r="G95" s="48">
        <f t="shared" si="5"/>
        <v>7594.2333641031619</v>
      </c>
      <c r="H95" s="48">
        <f t="shared" si="5"/>
        <v>31579.240639282045</v>
      </c>
    </row>
    <row r="96" spans="2:8" x14ac:dyDescent="0.25">
      <c r="B96" s="36" t="s">
        <v>314</v>
      </c>
      <c r="C96" s="48">
        <f>C95*'Technical Premium'!$C$5</f>
        <v>699.43646691483968</v>
      </c>
      <c r="D96" s="48">
        <f>D95*'Technical Premium'!$C$5</f>
        <v>1537.2584834263812</v>
      </c>
      <c r="E96" s="48">
        <f>E95*'Technical Premium'!$C$5</f>
        <v>335.23877106107273</v>
      </c>
      <c r="F96" s="48">
        <f>F95*'Technical Premium'!$C$5</f>
        <v>1664.32</v>
      </c>
      <c r="G96" s="48">
        <f>G95*'Technical Premium'!$C$5</f>
        <v>607.53866912825299</v>
      </c>
      <c r="H96" s="48">
        <f>H95*'Technical Premium'!$C$5</f>
        <v>2526.3392511425636</v>
      </c>
    </row>
    <row r="97" spans="2:8" x14ac:dyDescent="0.25">
      <c r="B97" s="36" t="s">
        <v>315</v>
      </c>
      <c r="C97" s="48">
        <f t="shared" ref="C97:H97" si="6">C95+C96</f>
        <v>9442.3923033503361</v>
      </c>
      <c r="D97" s="48">
        <f t="shared" si="6"/>
        <v>20752.989526256144</v>
      </c>
      <c r="E97" s="48">
        <f t="shared" si="6"/>
        <v>4525.7234093244815</v>
      </c>
      <c r="F97" s="48">
        <f t="shared" si="6"/>
        <v>22468.32</v>
      </c>
      <c r="G97" s="48">
        <f t="shared" si="6"/>
        <v>8201.7720332314148</v>
      </c>
      <c r="H97" s="48">
        <f t="shared" si="6"/>
        <v>34105.579890424611</v>
      </c>
    </row>
    <row r="98" spans="2:8" x14ac:dyDescent="0.25">
      <c r="B98" s="36" t="s">
        <v>316</v>
      </c>
      <c r="C98" s="48">
        <f>C97*'Technical Premium'!$C$6</f>
        <v>472.11961516751683</v>
      </c>
      <c r="D98" s="48">
        <f>D97*'Technical Premium'!$C$6</f>
        <v>1037.6494763128073</v>
      </c>
      <c r="E98" s="48">
        <f>E97*'Technical Premium'!$C$6</f>
        <v>226.28617046622409</v>
      </c>
      <c r="F98" s="48">
        <f>F97*'Technical Premium'!$C$6</f>
        <v>1123.4159999999999</v>
      </c>
      <c r="G98" s="48">
        <f>G97*'Technical Premium'!$C$6</f>
        <v>410.08860166157075</v>
      </c>
      <c r="H98" s="48">
        <f>H97*'Technical Premium'!$C$6</f>
        <v>1705.2789945212307</v>
      </c>
    </row>
    <row r="99" spans="2:8" x14ac:dyDescent="0.25">
      <c r="B99" s="36" t="s">
        <v>317</v>
      </c>
      <c r="C99" s="50">
        <f>INDEX('Territory Factors'!$G$6:$G$56,MATCH(C12,'Territory Factors'!$B$6:$B$56,0))</f>
        <v>0.18</v>
      </c>
      <c r="D99" s="50">
        <f>INDEX('Territory Factors'!$G$6:$G$56,MATCH(D12,'Territory Factors'!$B$6:$B$56,0))</f>
        <v>4.4999999999999998E-2</v>
      </c>
      <c r="E99" s="50">
        <f>INDEX('Territory Factors'!$G$6:$G$56,MATCH(E12,'Territory Factors'!$B$6:$B$56,0))</f>
        <v>0.03</v>
      </c>
      <c r="F99" s="50">
        <f>INDEX('Territory Factors'!$G$6:$G$56,MATCH(F12,'Territory Factors'!$B$6:$B$56,0))</f>
        <v>3.5000000000000003E-2</v>
      </c>
      <c r="G99" s="50">
        <f>INDEX('Territory Factors'!$G$6:$G$56,MATCH(G12,'Territory Factors'!$B$6:$B$56,0))</f>
        <v>0.1</v>
      </c>
      <c r="H99" s="50">
        <f>INDEX('Territory Factors'!$G$6:$G$56,MATCH(H12,'Territory Factors'!$B$6:$B$56,0))</f>
        <v>0.06</v>
      </c>
    </row>
    <row r="100" spans="2:8" x14ac:dyDescent="0.25">
      <c r="B100" s="36" t="s">
        <v>319</v>
      </c>
      <c r="C100" s="48">
        <f t="shared" ref="C100:H100" si="7">C91*C99*C51*C52</f>
        <v>3022.186479740134</v>
      </c>
      <c r="D100" s="48">
        <f t="shared" si="7"/>
        <v>1000.8423351628073</v>
      </c>
      <c r="E100" s="48">
        <f t="shared" si="7"/>
        <v>157.94509030706317</v>
      </c>
      <c r="F100" s="48">
        <f t="shared" si="7"/>
        <v>253.57500000000002</v>
      </c>
      <c r="G100" s="48">
        <f t="shared" si="7"/>
        <v>861.56883128555057</v>
      </c>
      <c r="H100" s="48">
        <f t="shared" si="7"/>
        <v>3683.9350673151989</v>
      </c>
    </row>
    <row r="101" spans="2:8" x14ac:dyDescent="0.25">
      <c r="B101" s="36" t="s">
        <v>321</v>
      </c>
      <c r="C101" s="48">
        <f t="shared" ref="C101:H101" si="8">C97+C98+C100</f>
        <v>12936.698398257988</v>
      </c>
      <c r="D101" s="48">
        <f t="shared" si="8"/>
        <v>22791.481337731759</v>
      </c>
      <c r="E101" s="48">
        <f t="shared" si="8"/>
        <v>4909.954670097768</v>
      </c>
      <c r="F101" s="48">
        <f t="shared" si="8"/>
        <v>23845.311000000002</v>
      </c>
      <c r="G101" s="48">
        <f t="shared" si="8"/>
        <v>9473.429466178537</v>
      </c>
      <c r="H101" s="48">
        <f t="shared" si="8"/>
        <v>39494.79395226104</v>
      </c>
    </row>
    <row r="102" spans="2:8" x14ac:dyDescent="0.25">
      <c r="B102" s="36" t="s">
        <v>322</v>
      </c>
      <c r="C102" s="48">
        <f>C101*'Technical Premium'!$C$7</f>
        <v>970.25237986934906</v>
      </c>
      <c r="D102" s="48">
        <f>D101*'Technical Premium'!$C$7</f>
        <v>1709.3611003298818</v>
      </c>
      <c r="E102" s="48">
        <f>E101*'Technical Premium'!$C$7</f>
        <v>368.2466002573326</v>
      </c>
      <c r="F102" s="48">
        <f>F101*'Technical Premium'!$C$7</f>
        <v>1788.3983250000001</v>
      </c>
      <c r="G102" s="48">
        <f>G101*'Technical Premium'!$C$7</f>
        <v>710.50720996339021</v>
      </c>
      <c r="H102" s="48">
        <f>H101*'Technical Premium'!$C$7</f>
        <v>2962.1095464195778</v>
      </c>
    </row>
    <row r="103" spans="2:8" x14ac:dyDescent="0.25">
      <c r="B103" s="32" t="s">
        <v>323</v>
      </c>
      <c r="C103" s="51">
        <f t="shared" ref="C103:H103" si="9">C101+C102</f>
        <v>13906.950778127337</v>
      </c>
      <c r="D103" s="51">
        <f t="shared" si="9"/>
        <v>24500.842438061642</v>
      </c>
      <c r="E103" s="51">
        <f t="shared" si="9"/>
        <v>5278.2012703551009</v>
      </c>
      <c r="F103" s="51">
        <f t="shared" si="9"/>
        <v>25633.709325000003</v>
      </c>
      <c r="G103" s="51">
        <f t="shared" si="9"/>
        <v>10183.936676141928</v>
      </c>
      <c r="H103" s="51">
        <f t="shared" si="9"/>
        <v>42456.903498680615</v>
      </c>
    </row>
    <row r="104" spans="2:8" x14ac:dyDescent="0.25">
      <c r="B104" s="36" t="s">
        <v>109</v>
      </c>
      <c r="C104" s="46">
        <f>'Technical Premium'!$C$13</f>
        <v>0.55499999999999994</v>
      </c>
      <c r="D104" s="46">
        <f>'Technical Premium'!$C$13</f>
        <v>0.55499999999999994</v>
      </c>
      <c r="E104" s="46">
        <f>'Technical Premium'!$C$13</f>
        <v>0.55499999999999994</v>
      </c>
      <c r="F104" s="46">
        <f>'Technical Premium'!$C$13</f>
        <v>0.55499999999999994</v>
      </c>
      <c r="G104" s="46">
        <f>'Technical Premium'!$C$13</f>
        <v>0.55499999999999994</v>
      </c>
      <c r="H104" s="46">
        <f>'Technical Premium'!$C$13</f>
        <v>0.55499999999999994</v>
      </c>
    </row>
    <row r="105" spans="2:8" x14ac:dyDescent="0.25">
      <c r="B105" s="32" t="s">
        <v>112</v>
      </c>
      <c r="C105" s="153">
        <f t="shared" ref="C105:H105" si="10">C103/C104</f>
        <v>25057.568969598808</v>
      </c>
      <c r="D105" s="153">
        <f t="shared" si="10"/>
        <v>44145.662050561521</v>
      </c>
      <c r="E105" s="153">
        <f t="shared" si="10"/>
        <v>9510.2725591983817</v>
      </c>
      <c r="F105" s="153">
        <f t="shared" si="10"/>
        <v>46186.863648648658</v>
      </c>
      <c r="G105" s="153">
        <f t="shared" si="10"/>
        <v>18349.43545250798</v>
      </c>
      <c r="H105" s="153">
        <f t="shared" si="10"/>
        <v>76498.92522284796</v>
      </c>
    </row>
    <row r="106" spans="2:8" x14ac:dyDescent="0.25">
      <c r="B106" s="32" t="s">
        <v>327</v>
      </c>
      <c r="C106" s="154">
        <f t="shared" ref="C106:H106" si="11">C105/C11*100</f>
        <v>5.8958985810820721</v>
      </c>
      <c r="D106" s="154">
        <f t="shared" si="11"/>
        <v>1.2262683902933755</v>
      </c>
      <c r="E106" s="154">
        <f t="shared" si="11"/>
        <v>0.33965259139994219</v>
      </c>
      <c r="F106" s="154">
        <f t="shared" si="11"/>
        <v>16.495308445945948</v>
      </c>
      <c r="G106" s="154">
        <f t="shared" si="11"/>
        <v>5.3968927801494058</v>
      </c>
      <c r="H106" s="154">
        <f t="shared" si="11"/>
        <v>3.4772238737658161</v>
      </c>
    </row>
    <row r="107" spans="2:8" x14ac:dyDescent="0.25">
      <c r="B107" s="36" t="s">
        <v>118</v>
      </c>
      <c r="C107" s="48">
        <f t="shared" ref="C107:H107" si="12">C105*C44</f>
        <v>0</v>
      </c>
      <c r="D107" s="48">
        <f t="shared" si="12"/>
        <v>0</v>
      </c>
      <c r="E107" s="48">
        <f t="shared" si="12"/>
        <v>0</v>
      </c>
      <c r="F107" s="48">
        <f t="shared" si="12"/>
        <v>4618.6863648648659</v>
      </c>
      <c r="G107" s="48">
        <f t="shared" si="12"/>
        <v>0</v>
      </c>
      <c r="H107" s="48">
        <f t="shared" si="12"/>
        <v>3824.9462611423983</v>
      </c>
    </row>
    <row r="108" spans="2:8" x14ac:dyDescent="0.25">
      <c r="B108" s="32" t="s">
        <v>329</v>
      </c>
      <c r="C108" s="153">
        <f t="shared" ref="C108:H108" si="13">C105+C107</f>
        <v>25057.568969598808</v>
      </c>
      <c r="D108" s="153">
        <f t="shared" si="13"/>
        <v>44145.662050561521</v>
      </c>
      <c r="E108" s="153">
        <f t="shared" si="13"/>
        <v>9510.2725591983817</v>
      </c>
      <c r="F108" s="153">
        <f t="shared" si="13"/>
        <v>50805.550013513523</v>
      </c>
      <c r="G108" s="153">
        <f t="shared" si="13"/>
        <v>18349.43545250798</v>
      </c>
      <c r="H108" s="153">
        <f t="shared" si="13"/>
        <v>80323.871483990355</v>
      </c>
    </row>
    <row r="109" spans="2:8" x14ac:dyDescent="0.25">
      <c r="B109" s="36" t="s">
        <v>331</v>
      </c>
      <c r="C109" s="54">
        <f t="shared" ref="C109:H109" si="14">C108/C11*100</f>
        <v>5.8958985810820721</v>
      </c>
      <c r="D109" s="54">
        <f t="shared" si="14"/>
        <v>1.2262683902933755</v>
      </c>
      <c r="E109" s="54">
        <f t="shared" si="14"/>
        <v>0.33965259139994219</v>
      </c>
      <c r="F109" s="54">
        <f t="shared" si="14"/>
        <v>18.144839290540542</v>
      </c>
      <c r="G109" s="54">
        <f t="shared" si="14"/>
        <v>5.3968927801494058</v>
      </c>
      <c r="H109" s="54">
        <f t="shared" si="14"/>
        <v>3.6510850674541073</v>
      </c>
    </row>
    <row r="110" spans="2:8" x14ac:dyDescent="0.25">
      <c r="B110" s="36" t="s">
        <v>333</v>
      </c>
      <c r="C110" s="55">
        <f t="shared" ref="C110:H110" si="15">C109/C106</f>
        <v>1</v>
      </c>
      <c r="D110" s="55">
        <f t="shared" si="15"/>
        <v>1</v>
      </c>
      <c r="E110" s="55">
        <f t="shared" si="15"/>
        <v>1</v>
      </c>
      <c r="F110" s="55">
        <f t="shared" si="15"/>
        <v>1.0999999999999999</v>
      </c>
      <c r="G110" s="55">
        <f t="shared" si="15"/>
        <v>1</v>
      </c>
      <c r="H110" s="55">
        <f t="shared" si="15"/>
        <v>1.05</v>
      </c>
    </row>
    <row r="111" spans="2:8" x14ac:dyDescent="0.25">
      <c r="B111" s="36" t="s">
        <v>335</v>
      </c>
      <c r="C111" s="48">
        <f>'Technical Premium'!$C$14</f>
        <v>350</v>
      </c>
      <c r="D111" s="48">
        <f>'Technical Premium'!$C$14</f>
        <v>350</v>
      </c>
      <c r="E111" s="48">
        <f>'Technical Premium'!$C$14</f>
        <v>350</v>
      </c>
      <c r="F111" s="48">
        <f>'Technical Premium'!$C$14</f>
        <v>350</v>
      </c>
      <c r="G111" s="48">
        <f>'Technical Premium'!$C$14</f>
        <v>350</v>
      </c>
      <c r="H111" s="48">
        <f>'Technical Premium'!$C$14</f>
        <v>350</v>
      </c>
    </row>
    <row r="112" spans="2:8" x14ac:dyDescent="0.25">
      <c r="B112" s="36" t="s">
        <v>336</v>
      </c>
      <c r="C112" s="48">
        <f>IF(C11&gt;=1000000,'Technical Premium'!$C$15,0)</f>
        <v>0</v>
      </c>
      <c r="D112" s="48">
        <f>IF(D11&gt;=1000000,'Technical Premium'!$C$15,0)</f>
        <v>250</v>
      </c>
      <c r="E112" s="48">
        <f>IF(E11&gt;=1000000,'Technical Premium'!$C$15,0)</f>
        <v>250</v>
      </c>
      <c r="F112" s="48">
        <f>IF(F11&gt;=1000000,'Technical Premium'!$C$15,0)</f>
        <v>0</v>
      </c>
      <c r="G112" s="48">
        <f>IF(G11&gt;=1000000,'Technical Premium'!$C$15,0)</f>
        <v>0</v>
      </c>
      <c r="H112" s="48">
        <f>IF(H11&gt;=1000000,'Technical Premium'!$C$15,0)</f>
        <v>250</v>
      </c>
    </row>
    <row r="113" spans="2:8" x14ac:dyDescent="0.25">
      <c r="B113" s="36" t="s">
        <v>337</v>
      </c>
      <c r="C113" s="48">
        <f>(C108+C111+C112)*(INDEX('Territory Factors'!$K$6:$K$56,MATCH(C12,'Territory Factors'!$B$6:$B$56,0))+'Commission Structure'!$C$21)</f>
        <v>1300.8675312434591</v>
      </c>
      <c r="D113" s="48">
        <f>(D108+D111+D112)*(INDEX('Territory Factors'!$K$6:$K$56,MATCH(D12,'Territory Factors'!$B$6:$B$56,0))+'Commission Structure'!$C$21)</f>
        <v>1422.9120532078564</v>
      </c>
      <c r="E113" s="48">
        <f>(E108+E111+E112)*(INDEX('Territory Factors'!$K$6:$K$56,MATCH(E12,'Territory Factors'!$B$6:$B$56,0))+'Commission Structure'!$C$21)</f>
        <v>422.60939297449238</v>
      </c>
      <c r="F113" s="48">
        <f>(F108+F111+F112)*(INDEX('Territory Factors'!$K$6:$K$56,MATCH(F12,'Territory Factors'!$B$6:$B$56,0))+'Commission Structure'!$C$21)</f>
        <v>1882.524240497298</v>
      </c>
      <c r="G113" s="48">
        <f>(G108+G111+G112)*(INDEX('Territory Factors'!$K$6:$K$56,MATCH(G12,'Territory Factors'!$B$6:$B$56,0))+'Commission Structure'!$C$21)</f>
        <v>940.58160326115149</v>
      </c>
      <c r="H113" s="48">
        <f>(H108+H111+H112)*(INDEX('Territory Factors'!$K$6:$K$56,MATCH(H12,'Territory Factors'!$B$6:$B$56,0))+'Commission Structure'!$C$21)</f>
        <v>2573.3791131908933</v>
      </c>
    </row>
    <row r="114" spans="2:8" x14ac:dyDescent="0.25">
      <c r="B114" s="32" t="s">
        <v>339</v>
      </c>
      <c r="C114" s="153">
        <f t="shared" ref="C114:H114" si="16">C108+C111+C112+C113</f>
        <v>26708.436500842268</v>
      </c>
      <c r="D114" s="153">
        <f t="shared" si="16"/>
        <v>46168.574103769381</v>
      </c>
      <c r="E114" s="153">
        <f t="shared" si="16"/>
        <v>10532.881952172875</v>
      </c>
      <c r="F114" s="153">
        <f t="shared" si="16"/>
        <v>53038.074254010819</v>
      </c>
      <c r="G114" s="153">
        <f t="shared" si="16"/>
        <v>19640.017055769131</v>
      </c>
      <c r="H114" s="153">
        <f t="shared" si="16"/>
        <v>83497.25059718125</v>
      </c>
    </row>
    <row r="116" spans="2:8" ht="18" customHeight="1" x14ac:dyDescent="0.25">
      <c r="B116" s="12" t="s">
        <v>341</v>
      </c>
      <c r="C116" s="12"/>
      <c r="D116" s="12"/>
      <c r="E116" s="12"/>
      <c r="F116" s="12"/>
      <c r="G116" s="12"/>
      <c r="H116" s="12"/>
    </row>
    <row r="117" spans="2:8" x14ac:dyDescent="0.25">
      <c r="B117" s="36" t="s">
        <v>342</v>
      </c>
      <c r="C117" s="48">
        <f>C108*'Commission Structure'!$C$5</f>
        <v>6890.8314666396727</v>
      </c>
      <c r="D117" s="48">
        <f>D108*'Commission Structure'!$C$5</f>
        <v>12140.05706390442</v>
      </c>
      <c r="E117" s="48">
        <f>E108*'Commission Structure'!$C$5</f>
        <v>2615.324953779555</v>
      </c>
      <c r="F117" s="48">
        <f>F108*'Commission Structure'!$C$5</f>
        <v>13971.52625371622</v>
      </c>
      <c r="G117" s="48">
        <f>G108*'Commission Structure'!$C$5</f>
        <v>5046.0947494396951</v>
      </c>
      <c r="H117" s="48">
        <f>H108*'Commission Structure'!$C$5</f>
        <v>22089.064658097348</v>
      </c>
    </row>
    <row r="118" spans="2:8" x14ac:dyDescent="0.25">
      <c r="B118" s="36" t="s">
        <v>343</v>
      </c>
      <c r="C118" s="48">
        <f>C108*'Commission Structure'!$C$6</f>
        <v>3132.1961211998509</v>
      </c>
      <c r="D118" s="48">
        <f>D108*'Commission Structure'!$C$6</f>
        <v>5518.2077563201901</v>
      </c>
      <c r="E118" s="48">
        <f>E108*'Commission Structure'!$C$6</f>
        <v>1188.7840698997977</v>
      </c>
      <c r="F118" s="48">
        <f>F108*'Commission Structure'!$C$6</f>
        <v>6350.6937516891903</v>
      </c>
      <c r="G118" s="48">
        <f>G108*'Commission Structure'!$C$6</f>
        <v>2293.6794315634975</v>
      </c>
      <c r="H118" s="48">
        <f>H108*'Commission Structure'!$C$6</f>
        <v>10040.483935498794</v>
      </c>
    </row>
    <row r="119" spans="2:8" x14ac:dyDescent="0.25">
      <c r="B119" s="36" t="s">
        <v>344</v>
      </c>
      <c r="C119" s="48">
        <f>C108*'Commission Structure'!$C$7</f>
        <v>1252.8784484799405</v>
      </c>
      <c r="D119" s="48">
        <f>D108*'Commission Structure'!$C$7</f>
        <v>2207.2831025280761</v>
      </c>
      <c r="E119" s="48">
        <f>E108*'Commission Structure'!$C$7</f>
        <v>475.51362795991912</v>
      </c>
      <c r="F119" s="48">
        <f>F108*'Commission Structure'!$C$7</f>
        <v>2540.2775006756765</v>
      </c>
      <c r="G119" s="48">
        <f>G108*'Commission Structure'!$C$7</f>
        <v>917.47177262539901</v>
      </c>
      <c r="H119" s="48">
        <f>H108*'Commission Structure'!$C$7</f>
        <v>4016.193574199518</v>
      </c>
    </row>
    <row r="120" spans="2:8" x14ac:dyDescent="0.25">
      <c r="B120" s="32" t="s">
        <v>345</v>
      </c>
      <c r="C120" s="51">
        <f t="shared" ref="C120:H120" si="17">C117-C118-C119</f>
        <v>2505.7568969598815</v>
      </c>
      <c r="D120" s="51">
        <f t="shared" si="17"/>
        <v>4414.5662050561532</v>
      </c>
      <c r="E120" s="51">
        <f t="shared" si="17"/>
        <v>951.02725591983813</v>
      </c>
      <c r="F120" s="51">
        <f t="shared" si="17"/>
        <v>5080.555001351353</v>
      </c>
      <c r="G120" s="51">
        <f t="shared" si="17"/>
        <v>1834.9435452507987</v>
      </c>
      <c r="H120" s="51">
        <f t="shared" si="17"/>
        <v>8032.3871483990351</v>
      </c>
    </row>
    <row r="121" spans="2:8" x14ac:dyDescent="0.25">
      <c r="B121" s="36" t="s">
        <v>346</v>
      </c>
      <c r="C121" s="48">
        <f t="shared" ref="C121:H121" si="18">C108-C117</f>
        <v>18166.737502959135</v>
      </c>
      <c r="D121" s="48">
        <f t="shared" si="18"/>
        <v>32005.604986657101</v>
      </c>
      <c r="E121" s="48">
        <f t="shared" si="18"/>
        <v>6894.9476054188272</v>
      </c>
      <c r="F121" s="48">
        <f t="shared" si="18"/>
        <v>36834.023759797303</v>
      </c>
      <c r="G121" s="48">
        <f t="shared" si="18"/>
        <v>13303.340703068285</v>
      </c>
      <c r="H121" s="48">
        <f t="shared" si="18"/>
        <v>58234.806825893007</v>
      </c>
    </row>
    <row r="122" spans="2:8" x14ac:dyDescent="0.25">
      <c r="B122" s="32" t="s">
        <v>347</v>
      </c>
      <c r="C122" s="152" t="str">
        <f>IF(OR(C11&lt;'Technical Premium'!$C$18,LEFT(INDEX('Driver Factors'!$D$6:$D$15,MATCH(C19,'Driver Factors'!$B$6:$B$15,0)),7)="DECLINE",LEFT(INDEX('Driver Factors'!$D$28:$D$36,MATCH(C21,'Driver Factors'!$B$28:$B$36,0)),7)="DECLINE",LEFT(INDEX('Claims History'!$D$6:$D$15,MATCH(C22,'Claims History'!$B$6:$B$15,0)),7)="DECLINE",LEFT(INDEX('Usage and Coverage'!$E$6:$E$20,MATCH(C15,'Usage and Coverage'!$C$6:$C$20,0)),7)="DECLINE"),"DECLINE",IF(OR(C88&gt;2.5,C88&gt;='Technical Premium'!$C$17,C11&gt;='Technical Premium'!$C$16,C44&lt;'Technical Premium'!$C$19,C44&gt;'Technical Premium'!$C$20,LEFT(INDEX('Driver Factors'!$D$6:$D$15,MATCH(C19,'Driver Factors'!$B$6:$B$15,0)),5)="Refer",LEFT(INDEX('Driver Factors'!$D$28:$D$36,MATCH(C21,'Driver Factors'!$B$28:$B$36,0)),5)="Refer",LEFT(INDEX('Claims History'!$D$6:$D$15,MATCH(C22,'Claims History'!$B$6:$B$15,0)),5)="Refer",LEFT(INDEX('Usage and Coverage'!$E$6:$E$20,MATCH(C15,'Usage and Coverage'!$C$6:$C$20,0)),5)="Refer"),"REFER TO UNDERWRITER","AUTO-BIND"))</f>
        <v>AUTO-BIND</v>
      </c>
      <c r="D122" s="152" t="str">
        <f>IF(OR(D11&lt;'Technical Premium'!$C$18,LEFT(INDEX('Driver Factors'!$D$6:$D$15,MATCH(D19,'Driver Factors'!$B$6:$B$15,0)),7)="DECLINE",LEFT(INDEX('Driver Factors'!$D$28:$D$36,MATCH(D21,'Driver Factors'!$B$28:$B$36,0)),7)="DECLINE",LEFT(INDEX('Claims History'!$D$6:$D$15,MATCH(D22,'Claims History'!$B$6:$B$15,0)),7)="DECLINE",LEFT(INDEX('Usage and Coverage'!$E$6:$E$20,MATCH(D15,'Usage and Coverage'!$C$6:$C$20,0)),7)="DECLINE"),"DECLINE",IF(OR(D88&gt;2.5,D88&gt;='Technical Premium'!$C$17,D11&gt;='Technical Premium'!$C$16,D44&lt;'Technical Premium'!$C$19,D44&gt;'Technical Premium'!$C$20,LEFT(INDEX('Driver Factors'!$D$6:$D$15,MATCH(D19,'Driver Factors'!$B$6:$B$15,0)),5)="Refer",LEFT(INDEX('Driver Factors'!$D$28:$D$36,MATCH(D21,'Driver Factors'!$B$28:$B$36,0)),5)="Refer",LEFT(INDEX('Claims History'!$D$6:$D$15,MATCH(D22,'Claims History'!$B$6:$B$15,0)),5)="Refer",LEFT(INDEX('Usage and Coverage'!$E$6:$E$20,MATCH(D15,'Usage and Coverage'!$C$6:$C$20,0)),5)="Refer"),"REFER TO UNDERWRITER","AUTO-BIND"))</f>
        <v>REFER TO UNDERWRITER</v>
      </c>
      <c r="E122" s="152" t="str">
        <f>IF(OR(E11&lt;'Technical Premium'!$C$18,LEFT(INDEX('Driver Factors'!$D$6:$D$15,MATCH(E19,'Driver Factors'!$B$6:$B$15,0)),7)="DECLINE",LEFT(INDEX('Driver Factors'!$D$28:$D$36,MATCH(E21,'Driver Factors'!$B$28:$B$36,0)),7)="DECLINE",LEFT(INDEX('Claims History'!$D$6:$D$15,MATCH(E22,'Claims History'!$B$6:$B$15,0)),7)="DECLINE",LEFT(INDEX('Usage and Coverage'!$E$6:$E$20,MATCH(E15,'Usage and Coverage'!$C$6:$C$20,0)),7)="DECLINE"),"DECLINE",IF(OR(E88&gt;2.5,E88&gt;='Technical Premium'!$C$17,E11&gt;='Technical Premium'!$C$16,E44&lt;'Technical Premium'!$C$19,E44&gt;'Technical Premium'!$C$20,LEFT(INDEX('Driver Factors'!$D$6:$D$15,MATCH(E19,'Driver Factors'!$B$6:$B$15,0)),5)="Refer",LEFT(INDEX('Driver Factors'!$D$28:$D$36,MATCH(E21,'Driver Factors'!$B$28:$B$36,0)),5)="Refer",LEFT(INDEX('Claims History'!$D$6:$D$15,MATCH(E22,'Claims History'!$B$6:$B$15,0)),5)="Refer",LEFT(INDEX('Usage and Coverage'!$E$6:$E$20,MATCH(E15,'Usage and Coverage'!$C$6:$C$20,0)),5)="Refer"),"REFER TO UNDERWRITER","AUTO-BIND"))</f>
        <v>REFER TO UNDERWRITER</v>
      </c>
      <c r="F122" s="152" t="str">
        <f>IF(OR(F11&lt;'Technical Premium'!$C$18,LEFT(INDEX('Driver Factors'!$D$6:$D$15,MATCH(F19,'Driver Factors'!$B$6:$B$15,0)),7)="DECLINE",LEFT(INDEX('Driver Factors'!$D$28:$D$36,MATCH(F21,'Driver Factors'!$B$28:$B$36,0)),7)="DECLINE",LEFT(INDEX('Claims History'!$D$6:$D$15,MATCH(F22,'Claims History'!$B$6:$B$15,0)),7)="DECLINE",LEFT(INDEX('Usage and Coverage'!$E$6:$E$20,MATCH(F15,'Usage and Coverage'!$C$6:$C$20,0)),7)="DECLINE"),"DECLINE",IF(OR(F88&gt;2.5,F88&gt;='Technical Premium'!$C$17,F11&gt;='Technical Premium'!$C$16,F44&lt;'Technical Premium'!$C$19,F44&gt;'Technical Premium'!$C$20,LEFT(INDEX('Driver Factors'!$D$6:$D$15,MATCH(F19,'Driver Factors'!$B$6:$B$15,0)),5)="Refer",LEFT(INDEX('Driver Factors'!$D$28:$D$36,MATCH(F21,'Driver Factors'!$B$28:$B$36,0)),5)="Refer",LEFT(INDEX('Claims History'!$D$6:$D$15,MATCH(F22,'Claims History'!$B$6:$B$15,0)),5)="Refer",LEFT(INDEX('Usage and Coverage'!$E$6:$E$20,MATCH(F15,'Usage and Coverage'!$C$6:$C$20,0)),5)="Refer"),"REFER TO UNDERWRITER","AUTO-BIND"))</f>
        <v>REFER TO UNDERWRITER</v>
      </c>
      <c r="G122" s="152" t="str">
        <f>IF(OR(G11&lt;'Technical Premium'!$C$18,LEFT(INDEX('Driver Factors'!$D$6:$D$15,MATCH(G19,'Driver Factors'!$B$6:$B$15,0)),7)="DECLINE",LEFT(INDEX('Driver Factors'!$D$28:$D$36,MATCH(G21,'Driver Factors'!$B$28:$B$36,0)),7)="DECLINE",LEFT(INDEX('Claims History'!$D$6:$D$15,MATCH(G22,'Claims History'!$B$6:$B$15,0)),7)="DECLINE",LEFT(INDEX('Usage and Coverage'!$E$6:$E$20,MATCH(G15,'Usage and Coverage'!$C$6:$C$20,0)),7)="DECLINE"),"DECLINE",IF(OR(G88&gt;2.5,G88&gt;='Technical Premium'!$C$17,G11&gt;='Technical Premium'!$C$16,G44&lt;'Technical Premium'!$C$19,G44&gt;'Technical Premium'!$C$20,LEFT(INDEX('Driver Factors'!$D$6:$D$15,MATCH(G19,'Driver Factors'!$B$6:$B$15,0)),5)="Refer",LEFT(INDEX('Driver Factors'!$D$28:$D$36,MATCH(G21,'Driver Factors'!$B$28:$B$36,0)),5)="Refer",LEFT(INDEX('Claims History'!$D$6:$D$15,MATCH(G22,'Claims History'!$B$6:$B$15,0)),5)="Refer",LEFT(INDEX('Usage and Coverage'!$E$6:$E$20,MATCH(G15,'Usage and Coverage'!$C$6:$C$20,0)),5)="Refer"),"REFER TO UNDERWRITER","AUTO-BIND"))</f>
        <v>AUTO-BIND</v>
      </c>
      <c r="H122" s="152" t="str">
        <f>IF(OR(H11&lt;'Technical Premium'!$C$18,LEFT(INDEX('Driver Factors'!$D$6:$D$15,MATCH(H19,'Driver Factors'!$B$6:$B$15,0)),7)="DECLINE",LEFT(INDEX('Driver Factors'!$D$28:$D$36,MATCH(H21,'Driver Factors'!$B$28:$B$36,0)),7)="DECLINE",LEFT(INDEX('Claims History'!$D$6:$D$15,MATCH(H22,'Claims History'!$B$6:$B$15,0)),7)="DECLINE",LEFT(INDEX('Usage and Coverage'!$E$6:$E$20,MATCH(H15,'Usage and Coverage'!$C$6:$C$20,0)),7)="DECLINE"),"DECLINE",IF(OR(H88&gt;2.5,H88&gt;='Technical Premium'!$C$17,H11&gt;='Technical Premium'!$C$16,H44&lt;'Technical Premium'!$C$19,H44&gt;'Technical Premium'!$C$20,LEFT(INDEX('Driver Factors'!$D$6:$D$15,MATCH(H19,'Driver Factors'!$B$6:$B$15,0)),5)="Refer",LEFT(INDEX('Driver Factors'!$D$28:$D$36,MATCH(H21,'Driver Factors'!$B$28:$B$36,0)),5)="Refer",LEFT(INDEX('Claims History'!$D$6:$D$15,MATCH(H22,'Claims History'!$B$6:$B$15,0)),5)="Refer",LEFT(INDEX('Usage and Coverage'!$E$6:$E$20,MATCH(H15,'Usage and Coverage'!$C$6:$C$20,0)),5)="Refer"),"REFER TO UNDERWRITER","AUTO-BIND"))</f>
        <v>REFER TO UNDERWRITER</v>
      </c>
    </row>
    <row r="125" spans="2:8" x14ac:dyDescent="0.25">
      <c r="B125" s="15" t="s">
        <v>709</v>
      </c>
    </row>
    <row r="126" spans="2:8" ht="15" customHeight="1" x14ac:dyDescent="0.25">
      <c r="B126" s="10" t="s">
        <v>710</v>
      </c>
      <c r="C126" s="10"/>
      <c r="D126" s="10"/>
      <c r="E126" s="10"/>
      <c r="F126" s="10"/>
      <c r="G126" s="10"/>
      <c r="H126" s="10"/>
    </row>
    <row r="127" spans="2:8" x14ac:dyDescent="0.25">
      <c r="B127" s="10"/>
      <c r="C127" s="10"/>
      <c r="D127" s="10"/>
      <c r="E127" s="10"/>
      <c r="F127" s="10"/>
      <c r="G127" s="10"/>
      <c r="H127" s="10"/>
    </row>
    <row r="128" spans="2:8" x14ac:dyDescent="0.25">
      <c r="B128" s="10"/>
      <c r="C128" s="10"/>
      <c r="D128" s="10"/>
      <c r="E128" s="10"/>
      <c r="F128" s="10"/>
      <c r="G128" s="10"/>
      <c r="H128" s="10"/>
    </row>
  </sheetData>
  <mergeCells count="8">
    <mergeCell ref="B90:H90"/>
    <mergeCell ref="B116:H116"/>
    <mergeCell ref="B126:H128"/>
    <mergeCell ref="B1:H1"/>
    <mergeCell ref="B2:H2"/>
    <mergeCell ref="B4:H4"/>
    <mergeCell ref="B46:H46"/>
    <mergeCell ref="B54:H54"/>
  </mergeCells>
  <dataValidations count="1">
    <dataValidation type="list" allowBlank="1" sqref="C14:H14" xr:uid="{00000000-0002-0000-0700-000003000000}">
      <formula1>"Personal,Commercial"</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2">
        <x14:dataValidation type="list" allowBlank="1" xr:uid="{00000000-0002-0000-0700-000000000000}">
          <x14:formula1>
            <xm:f>'Make Factors'!$B$5:$B$69</xm:f>
          </x14:formula1>
          <x14:formula2>
            <xm:f>0</xm:f>
          </x14:formula2>
          <xm:sqref>C8:H8</xm:sqref>
        </x14:dataValidation>
        <x14:dataValidation type="list" allowBlank="1" xr:uid="{00000000-0002-0000-0700-000001000000}">
          <x14:formula1>
            <xm:f>'Base Rates'!$B$5:$B$16</xm:f>
          </x14:formula1>
          <x14:formula2>
            <xm:f>0</xm:f>
          </x14:formula2>
          <xm:sqref>C10:H10</xm:sqref>
        </x14:dataValidation>
        <x14:dataValidation type="list" allowBlank="1" xr:uid="{00000000-0002-0000-0700-000002000000}">
          <x14:formula1>
            <xm:f>'Territory Factors'!$B$6:$B$56</xm:f>
          </x14:formula1>
          <x14:formula2>
            <xm:f>0</xm:f>
          </x14:formula2>
          <xm:sqref>C12:H12</xm:sqref>
        </x14:dataValidation>
        <x14:dataValidation type="list" allowBlank="1" xr:uid="{00000000-0002-0000-0700-000004000000}">
          <x14:formula1>
            <xm:f>'Usage and Coverage'!$C$6:$C$20</xm:f>
          </x14:formula1>
          <x14:formula2>
            <xm:f>0</xm:f>
          </x14:formula2>
          <xm:sqref>C15:H15</xm:sqref>
        </x14:dataValidation>
        <x14:dataValidation type="list" allowBlank="1" xr:uid="{00000000-0002-0000-0700-000005000000}">
          <x14:formula1>
            <xm:f>'Usage and Coverage'!$B$24:$B$30</xm:f>
          </x14:formula1>
          <x14:formula2>
            <xm:f>0</xm:f>
          </x14:formula2>
          <xm:sqref>C16:H16</xm:sqref>
        </x14:dataValidation>
        <x14:dataValidation type="list" allowBlank="1" xr:uid="{00000000-0002-0000-0700-000006000000}">
          <x14:formula1>
            <xm:f>'Usage and Coverage'!$B$34:$B$40</xm:f>
          </x14:formula1>
          <x14:formula2>
            <xm:f>0</xm:f>
          </x14:formula2>
          <xm:sqref>C17:H17</xm:sqref>
        </x14:dataValidation>
        <x14:dataValidation type="list" allowBlank="1" xr:uid="{00000000-0002-0000-0700-000007000000}">
          <x14:formula1>
            <xm:f>'Usage and Coverage'!$B$44:$B$49</xm:f>
          </x14:formula1>
          <x14:formula2>
            <xm:f>0</xm:f>
          </x14:formula2>
          <xm:sqref>C18:H18</xm:sqref>
        </x14:dataValidation>
        <x14:dataValidation type="list" allowBlank="1" xr:uid="{00000000-0002-0000-0700-000008000000}">
          <x14:formula1>
            <xm:f>'Driver Factors'!$B$6:$B$15</xm:f>
          </x14:formula1>
          <x14:formula2>
            <xm:f>0</xm:f>
          </x14:formula2>
          <xm:sqref>C19:H19</xm:sqref>
        </x14:dataValidation>
        <x14:dataValidation type="list" allowBlank="1" xr:uid="{00000000-0002-0000-0700-000009000000}">
          <x14:formula1>
            <xm:f>'Driver Factors'!$B$19:$B$24</xm:f>
          </x14:formula1>
          <x14:formula2>
            <xm:f>0</xm:f>
          </x14:formula2>
          <xm:sqref>C20:H20</xm:sqref>
        </x14:dataValidation>
        <x14:dataValidation type="list" allowBlank="1" xr:uid="{00000000-0002-0000-0700-00000A000000}">
          <x14:formula1>
            <xm:f>'Driver Factors'!$B$28:$B$36</xm:f>
          </x14:formula1>
          <x14:formula2>
            <xm:f>0</xm:f>
          </x14:formula2>
          <xm:sqref>C21:H21</xm:sqref>
        </x14:dataValidation>
        <x14:dataValidation type="list" allowBlank="1" xr:uid="{00000000-0002-0000-0700-00000B000000}">
          <x14:formula1>
            <xm:f>'Claims History'!$B$6:$B$15</xm:f>
          </x14:formula1>
          <x14:formula2>
            <xm:f>0</xm:f>
          </x14:formula2>
          <xm:sqref>C22:H22</xm:sqref>
        </x14:dataValidation>
        <x14:dataValidation type="list" allowBlank="1" xr:uid="{00000000-0002-0000-0700-00000C000000}">
          <x14:formula1>
            <xm:f>'Usage and Coverage'!$B$70:$B$75</xm:f>
          </x14:formula1>
          <x14:formula2>
            <xm:f>0</xm:f>
          </x14:formula2>
          <xm:sqref>C23:H23</xm:sqref>
        </x14:dataValidation>
        <x14:dataValidation type="list" allowBlank="1" xr:uid="{00000000-0002-0000-0700-00000D000000}">
          <x14:formula1>
            <xm:f>Deductibles!$B$6:$B$15</xm:f>
          </x14:formula1>
          <x14:formula2>
            <xm:f>0</xm:f>
          </x14:formula2>
          <xm:sqref>C24:H24</xm:sqref>
        </x14:dataValidation>
        <x14:dataValidation type="list" allowBlank="1" xr:uid="{00000000-0002-0000-0700-00000E000000}">
          <x14:formula1>
            <xm:f>'Usage and Coverage'!$B$63:$B$66</xm:f>
          </x14:formula1>
          <x14:formula2>
            <xm:f>0</xm:f>
          </x14:formula2>
          <xm:sqref>C25:H25</xm:sqref>
        </x14:dataValidation>
        <x14:dataValidation type="list" allowBlank="1" xr:uid="{00000000-0002-0000-0700-00000F000000}">
          <x14:formula1>
            <xm:f>'Usage and Coverage'!$B$79:$B$84</xm:f>
          </x14:formula1>
          <x14:formula2>
            <xm:f>0</xm:f>
          </x14:formula2>
          <xm:sqref>C26:H26</xm:sqref>
        </x14:dataValidation>
        <x14:dataValidation type="list" allowBlank="1" xr:uid="{00000000-0002-0000-0700-000010000000}">
          <x14:formula1>
            <xm:f>'City Accident Ratings'!$B$6:$B$54</xm:f>
          </x14:formula1>
          <x14:formula2>
            <xm:f>0</xm:f>
          </x14:formula2>
          <xm:sqref>C27:H27</xm:sqref>
        </x14:dataValidation>
        <x14:dataValidation type="list" allowBlank="1" xr:uid="{00000000-0002-0000-0700-000011000000}">
          <x14:formula1>
            <xm:f>'Natural Catastrophe'!$B$21:$B$26</xm:f>
          </x14:formula1>
          <x14:formula2>
            <xm:f>0</xm:f>
          </x14:formula2>
          <xm:sqref>C28:H28</xm:sqref>
        </x14:dataValidation>
        <x14:dataValidation type="list" allowBlank="1" xr:uid="{00000000-0002-0000-0700-000012000000}">
          <x14:formula1>
            <xm:f>'Natural Catastrophe'!$B$6:$B$17</xm:f>
          </x14:formula1>
          <x14:formula2>
            <xm:f>0</xm:f>
          </x14:formula2>
          <xm:sqref>C43:H43</xm:sqref>
        </x14:dataValidation>
        <x14:dataValidation type="list" allowBlank="1" xr:uid="{00000000-0002-0000-0700-000013000000}">
          <x14:formula1>
            <xm:f>Deductibles!$B$48:$B$51</xm:f>
          </x14:formula1>
          <x14:formula2>
            <xm:f>0</xm:f>
          </x14:formula2>
          <xm:sqref>C29:H29</xm:sqref>
        </x14:dataValidation>
        <x14:dataValidation type="list" allowBlank="1" xr:uid="{00000000-0002-0000-0700-000014000000}">
          <x14:formula1>
            <xm:f>Deductibles!$B$55:$B$57</xm:f>
          </x14:formula1>
          <x14:formula2>
            <xm:f>0</xm:f>
          </x14:formula2>
          <xm:sqref>C30:H30</xm:sqref>
        </x14:dataValidation>
        <x14:dataValidation type="list" allowBlank="1" xr:uid="{00000000-0002-0000-0700-000015000000}">
          <x14:formula1>
            <xm:f>Deductibles!$B$61:$B$63</xm:f>
          </x14:formula1>
          <x14:formula2>
            <xm:f>0</xm:f>
          </x14:formula2>
          <xm:sqref>C31:H31</xm:sqref>
        </x14:dataValidation>
        <x14:dataValidation type="list" allowBlank="1" xr:uid="{00000000-0002-0000-0700-000016000000}">
          <x14:formula1>
            <xm:f>Deductibles!$B$67:$B$69</xm:f>
          </x14:formula1>
          <x14:formula2>
            <xm:f>0</xm:f>
          </x14:formula2>
          <xm:sqref>C32:H32</xm:sqref>
        </x14:dataValidation>
        <x14:dataValidation type="list" allowBlank="1" xr:uid="{00000000-0002-0000-0700-000017000000}">
          <x14:formula1>
            <xm:f>Deductibles!$B$73:$B$74</xm:f>
          </x14:formula1>
          <x14:formula2>
            <xm:f>0</xm:f>
          </x14:formula2>
          <xm:sqref>C33:H33</xm:sqref>
        </x14:dataValidation>
        <x14:dataValidation type="list" allowBlank="1" xr:uid="{00000000-0002-0000-0700-000018000000}">
          <x14:formula1>
            <xm:f>'Sublimits and Parts'!$B$49:$B$52</xm:f>
          </x14:formula1>
          <x14:formula2>
            <xm:f>0</xm:f>
          </x14:formula2>
          <xm:sqref>C34:H34</xm:sqref>
        </x14:dataValidation>
        <x14:dataValidation type="list" allowBlank="1" xr:uid="{00000000-0002-0000-0700-000019000000}">
          <x14:formula1>
            <xm:f>'Sublimits and Parts'!$B$56:$B$60</xm:f>
          </x14:formula1>
          <x14:formula2>
            <xm:f>0</xm:f>
          </x14:formula2>
          <xm:sqref>C35:H35</xm:sqref>
        </x14:dataValidation>
        <x14:dataValidation type="list" allowBlank="1" xr:uid="{00000000-0002-0000-0700-00001A000000}">
          <x14:formula1>
            <xm:f>'Sublimits and Parts'!$B$64:$B$67</xm:f>
          </x14:formula1>
          <x14:formula2>
            <xm:f>0</xm:f>
          </x14:formula2>
          <xm:sqref>C36:H36</xm:sqref>
        </x14:dataValidation>
        <x14:dataValidation type="list" allowBlank="1" xr:uid="{00000000-0002-0000-0700-00001B000000}">
          <x14:formula1>
            <xm:f>'Sublimits and Parts'!$B$71:$B$74</xm:f>
          </x14:formula1>
          <x14:formula2>
            <xm:f>0</xm:f>
          </x14:formula2>
          <xm:sqref>C37:H37</xm:sqref>
        </x14:dataValidation>
        <x14:dataValidation type="list" allowBlank="1" xr:uid="{00000000-0002-0000-0700-00001C000000}">
          <x14:formula1>
            <xm:f>'Sublimits and Parts'!$B$78:$B$80</xm:f>
          </x14:formula1>
          <x14:formula2>
            <xm:f>0</xm:f>
          </x14:formula2>
          <xm:sqref>C38:H38</xm:sqref>
        </x14:dataValidation>
        <x14:dataValidation type="list" allowBlank="1" xr:uid="{00000000-0002-0000-0700-00001D000000}">
          <x14:formula1>
            <xm:f>'Sublimits and Parts'!$B$84:$B$87</xm:f>
          </x14:formula1>
          <x14:formula2>
            <xm:f>0</xm:f>
          </x14:formula2>
          <xm:sqref>C39:H39</xm:sqref>
        </x14:dataValidation>
        <x14:dataValidation type="list" allowBlank="1" xr:uid="{00000000-0002-0000-0700-00001E000000}">
          <x14:formula1>
            <xm:f>'Sublimits and Parts'!$B$91:$B$94</xm:f>
          </x14:formula1>
          <x14:formula2>
            <xm:f>0</xm:f>
          </x14:formula2>
          <xm:sqref>C40:H40</xm:sqref>
        </x14:dataValidation>
        <x14:dataValidation type="list" allowBlank="1" xr:uid="{00000000-0002-0000-0700-00001F000000}">
          <x14:formula1>
            <xm:f>'Sublimits and Parts'!$B$98:$B$101</xm:f>
          </x14:formula1>
          <x14:formula2>
            <xm:f>0</xm:f>
          </x14:formula2>
          <xm:sqref>C41:H41</xm:sqref>
        </x14:dataValidation>
        <x14:dataValidation type="list" allowBlank="1" xr:uid="{00000000-0002-0000-0700-000020000000}">
          <x14:formula1>
            <xm:f>'Sublimits and Parts'!$B$105:$B$109</xm:f>
          </x14:formula1>
          <x14:formula2>
            <xm:f>0</xm:f>
          </x14:formula2>
          <xm:sqref>C42:H42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21"/>
  <sheetViews>
    <sheetView showGridLines="0" zoomScaleNormal="100" workbookViewId="0"/>
  </sheetViews>
  <sheetFormatPr defaultColWidth="8.7109375" defaultRowHeight="15" x14ac:dyDescent="0.25"/>
  <cols>
    <col min="1" max="1" width="2" customWidth="1"/>
    <col min="2" max="2" width="42" customWidth="1"/>
    <col min="3" max="9" width="14" customWidth="1"/>
    <col min="10" max="10" width="88" customWidth="1"/>
  </cols>
  <sheetData>
    <row r="1" spans="2:10" ht="25.5" customHeight="1" x14ac:dyDescent="0.25">
      <c r="B1" s="14" t="s">
        <v>711</v>
      </c>
      <c r="C1" s="14"/>
      <c r="D1" s="14"/>
      <c r="E1" s="14"/>
      <c r="F1" s="14"/>
      <c r="G1" s="14"/>
      <c r="H1" s="14"/>
      <c r="I1" s="14"/>
      <c r="J1" s="14"/>
    </row>
    <row r="2" spans="2:10" ht="15" customHeight="1" x14ac:dyDescent="0.25">
      <c r="B2" s="13" t="s">
        <v>712</v>
      </c>
      <c r="C2" s="13"/>
      <c r="D2" s="13"/>
      <c r="E2" s="13"/>
      <c r="F2" s="13"/>
      <c r="G2" s="13"/>
      <c r="H2" s="13"/>
      <c r="I2" s="13"/>
      <c r="J2" s="13"/>
    </row>
    <row r="3" spans="2:10" x14ac:dyDescent="0.25">
      <c r="B3" s="155" t="s">
        <v>713</v>
      </c>
      <c r="C3" s="156">
        <v>100000</v>
      </c>
      <c r="D3" s="156">
        <v>250000</v>
      </c>
      <c r="E3" s="156">
        <v>500000</v>
      </c>
      <c r="F3" s="156">
        <v>1000000</v>
      </c>
      <c r="G3" s="156">
        <v>2000000</v>
      </c>
      <c r="H3" s="156">
        <v>5000000</v>
      </c>
      <c r="I3" s="156">
        <v>10000000</v>
      </c>
    </row>
    <row r="4" spans="2:10" ht="30" customHeight="1" x14ac:dyDescent="0.25">
      <c r="B4" s="22" t="s">
        <v>714</v>
      </c>
      <c r="C4" s="22" t="s">
        <v>715</v>
      </c>
      <c r="D4" s="22" t="s">
        <v>716</v>
      </c>
      <c r="E4" s="22" t="s">
        <v>717</v>
      </c>
      <c r="F4" s="22" t="s">
        <v>718</v>
      </c>
      <c r="G4" s="22" t="s">
        <v>719</v>
      </c>
      <c r="H4" s="22" t="s">
        <v>720</v>
      </c>
      <c r="I4" s="22" t="s">
        <v>721</v>
      </c>
      <c r="J4" s="22" t="s">
        <v>722</v>
      </c>
    </row>
    <row r="5" spans="2:10" ht="30" customHeight="1" x14ac:dyDescent="0.25">
      <c r="B5" s="20" t="s">
        <v>723</v>
      </c>
      <c r="C5" s="157">
        <v>0.92</v>
      </c>
      <c r="D5" s="157">
        <v>0.75</v>
      </c>
      <c r="E5" s="157">
        <v>0.65</v>
      </c>
      <c r="F5" s="157">
        <v>0.55000000000000004</v>
      </c>
      <c r="G5" s="157">
        <v>0.48</v>
      </c>
      <c r="H5" s="157">
        <v>0.42</v>
      </c>
      <c r="I5" s="157">
        <v>0.38</v>
      </c>
      <c r="J5" s="24" t="s">
        <v>724</v>
      </c>
    </row>
    <row r="6" spans="2:10" ht="30" customHeight="1" x14ac:dyDescent="0.25">
      <c r="B6" s="119" t="s">
        <v>557</v>
      </c>
      <c r="C6" s="158">
        <v>1.18</v>
      </c>
      <c r="D6" s="158">
        <v>0.95</v>
      </c>
      <c r="E6" s="158">
        <v>0.82</v>
      </c>
      <c r="F6" s="158">
        <v>0.7</v>
      </c>
      <c r="G6" s="158">
        <v>0.57999999999999996</v>
      </c>
      <c r="H6" s="158">
        <v>0.5</v>
      </c>
      <c r="I6" s="158">
        <v>0.42</v>
      </c>
      <c r="J6" s="26" t="s">
        <v>725</v>
      </c>
    </row>
    <row r="7" spans="2:10" ht="30" customHeight="1" x14ac:dyDescent="0.25">
      <c r="B7" s="20" t="s">
        <v>166</v>
      </c>
      <c r="C7" s="157">
        <v>1.42</v>
      </c>
      <c r="D7" s="157">
        <v>1.1499999999999999</v>
      </c>
      <c r="E7" s="157">
        <v>0.95</v>
      </c>
      <c r="F7" s="157">
        <v>0.8</v>
      </c>
      <c r="G7" s="157">
        <v>0.65</v>
      </c>
      <c r="H7" s="157">
        <v>0.55000000000000004</v>
      </c>
      <c r="I7" s="157">
        <v>0.45</v>
      </c>
      <c r="J7" s="24" t="s">
        <v>726</v>
      </c>
    </row>
    <row r="8" spans="2:10" ht="30" customHeight="1" x14ac:dyDescent="0.25">
      <c r="B8" s="119" t="s">
        <v>503</v>
      </c>
      <c r="C8" s="158">
        <v>1.75</v>
      </c>
      <c r="D8" s="158">
        <v>1.45</v>
      </c>
      <c r="E8" s="158">
        <v>1.2</v>
      </c>
      <c r="F8" s="158">
        <v>1</v>
      </c>
      <c r="G8" s="158">
        <v>0.82</v>
      </c>
      <c r="H8" s="158">
        <v>0.68</v>
      </c>
      <c r="I8" s="158">
        <v>0.55000000000000004</v>
      </c>
      <c r="J8" s="26" t="s">
        <v>727</v>
      </c>
    </row>
    <row r="9" spans="2:10" ht="30" customHeight="1" x14ac:dyDescent="0.25">
      <c r="B9" s="20" t="s">
        <v>728</v>
      </c>
      <c r="C9" s="157">
        <v>1.65</v>
      </c>
      <c r="D9" s="157">
        <v>1.35</v>
      </c>
      <c r="E9" s="157">
        <v>1.1000000000000001</v>
      </c>
      <c r="F9" s="157">
        <v>0.92</v>
      </c>
      <c r="G9" s="157">
        <v>0.78</v>
      </c>
      <c r="H9" s="157">
        <v>0.64</v>
      </c>
      <c r="I9" s="157">
        <v>0.52</v>
      </c>
      <c r="J9" s="24" t="s">
        <v>729</v>
      </c>
    </row>
    <row r="10" spans="2:10" ht="30" customHeight="1" x14ac:dyDescent="0.25">
      <c r="B10" s="119" t="s">
        <v>730</v>
      </c>
      <c r="C10" s="158">
        <v>0.5</v>
      </c>
      <c r="D10" s="158">
        <v>0.42</v>
      </c>
      <c r="E10" s="158">
        <v>0.38</v>
      </c>
      <c r="F10" s="158">
        <v>0.34</v>
      </c>
      <c r="G10" s="158">
        <v>0.3</v>
      </c>
      <c r="H10" s="158">
        <v>0.27</v>
      </c>
      <c r="I10" s="158">
        <v>0.24</v>
      </c>
      <c r="J10" s="26" t="s">
        <v>731</v>
      </c>
    </row>
    <row r="11" spans="2:10" ht="30" customHeight="1" x14ac:dyDescent="0.25">
      <c r="B11" s="20" t="s">
        <v>525</v>
      </c>
      <c r="C11" s="157">
        <v>0.56999999999999995</v>
      </c>
      <c r="D11" s="157">
        <v>0.48</v>
      </c>
      <c r="E11" s="157">
        <v>0.43</v>
      </c>
      <c r="F11" s="157">
        <v>0.38</v>
      </c>
      <c r="G11" s="157">
        <v>0.33</v>
      </c>
      <c r="H11" s="157">
        <v>0.28999999999999998</v>
      </c>
      <c r="I11" s="157">
        <v>0.26</v>
      </c>
      <c r="J11" s="24" t="s">
        <v>732</v>
      </c>
    </row>
    <row r="12" spans="2:10" ht="30" customHeight="1" x14ac:dyDescent="0.25">
      <c r="B12" s="119" t="s">
        <v>733</v>
      </c>
      <c r="C12" s="158">
        <v>0.74</v>
      </c>
      <c r="D12" s="158">
        <v>0.62</v>
      </c>
      <c r="E12" s="158">
        <v>0.55000000000000004</v>
      </c>
      <c r="F12" s="158">
        <v>0.48</v>
      </c>
      <c r="G12" s="158">
        <v>0.42</v>
      </c>
      <c r="H12" s="158">
        <v>0.36</v>
      </c>
      <c r="I12" s="158">
        <v>0.32</v>
      </c>
      <c r="J12" s="26" t="s">
        <v>734</v>
      </c>
    </row>
    <row r="13" spans="2:10" ht="30" customHeight="1" x14ac:dyDescent="0.25">
      <c r="B13" s="20" t="s">
        <v>735</v>
      </c>
      <c r="C13" s="157">
        <v>0.86</v>
      </c>
      <c r="D13" s="157">
        <v>0.72</v>
      </c>
      <c r="E13" s="157">
        <v>0.63</v>
      </c>
      <c r="F13" s="157">
        <v>0.55000000000000004</v>
      </c>
      <c r="G13" s="157">
        <v>0.47</v>
      </c>
      <c r="H13" s="157">
        <v>0.41</v>
      </c>
      <c r="I13" s="157">
        <v>0.35</v>
      </c>
      <c r="J13" s="24" t="s">
        <v>736</v>
      </c>
    </row>
    <row r="14" spans="2:10" ht="30" customHeight="1" x14ac:dyDescent="0.25">
      <c r="B14" s="119" t="s">
        <v>737</v>
      </c>
      <c r="C14" s="158">
        <v>1</v>
      </c>
      <c r="D14" s="158">
        <v>0.85</v>
      </c>
      <c r="E14" s="158">
        <v>0.75</v>
      </c>
      <c r="F14" s="158">
        <v>0.65</v>
      </c>
      <c r="G14" s="158">
        <v>0.56000000000000005</v>
      </c>
      <c r="H14" s="158">
        <v>0.48</v>
      </c>
      <c r="I14" s="158">
        <v>0.42</v>
      </c>
      <c r="J14" s="26" t="s">
        <v>738</v>
      </c>
    </row>
    <row r="15" spans="2:10" ht="30" customHeight="1" x14ac:dyDescent="0.25">
      <c r="B15" s="20" t="s">
        <v>568</v>
      </c>
      <c r="C15" s="157">
        <v>1.05</v>
      </c>
      <c r="D15" s="157">
        <v>0.88</v>
      </c>
      <c r="E15" s="157">
        <v>0.78</v>
      </c>
      <c r="F15" s="157">
        <v>0.68</v>
      </c>
      <c r="G15" s="157">
        <v>0.57999999999999996</v>
      </c>
      <c r="H15" s="157">
        <v>0.5</v>
      </c>
      <c r="I15" s="157">
        <v>0.43</v>
      </c>
      <c r="J15" s="24" t="s">
        <v>739</v>
      </c>
    </row>
    <row r="16" spans="2:10" ht="30" customHeight="1" x14ac:dyDescent="0.25">
      <c r="B16" s="119" t="s">
        <v>740</v>
      </c>
      <c r="C16" s="158">
        <v>1.58</v>
      </c>
      <c r="D16" s="158">
        <v>1.3</v>
      </c>
      <c r="E16" s="158">
        <v>1.1000000000000001</v>
      </c>
      <c r="F16" s="158">
        <v>0.95</v>
      </c>
      <c r="G16" s="158">
        <v>0.8</v>
      </c>
      <c r="H16" s="158">
        <v>0.66</v>
      </c>
      <c r="I16" s="158">
        <v>0.55000000000000004</v>
      </c>
      <c r="J16" s="26" t="s">
        <v>741</v>
      </c>
    </row>
    <row r="18" spans="2:10" x14ac:dyDescent="0.25">
      <c r="B18" s="15" t="s">
        <v>709</v>
      </c>
    </row>
    <row r="19" spans="2:10" ht="15" customHeight="1" x14ac:dyDescent="0.25">
      <c r="B19" s="10" t="s">
        <v>742</v>
      </c>
      <c r="C19" s="10"/>
      <c r="D19" s="10"/>
      <c r="E19" s="10"/>
      <c r="F19" s="10"/>
      <c r="G19" s="10"/>
      <c r="H19" s="10"/>
      <c r="I19" s="10"/>
      <c r="J19" s="10"/>
    </row>
    <row r="20" spans="2:10" x14ac:dyDescent="0.25">
      <c r="B20" s="10"/>
      <c r="C20" s="10"/>
      <c r="D20" s="10"/>
      <c r="E20" s="10"/>
      <c r="F20" s="10"/>
      <c r="G20" s="10"/>
      <c r="H20" s="10"/>
      <c r="I20" s="10"/>
      <c r="J20" s="10"/>
    </row>
    <row r="21" spans="2:10" x14ac:dyDescent="0.25">
      <c r="B21" s="10"/>
      <c r="C21" s="10"/>
      <c r="D21" s="10"/>
      <c r="E21" s="10"/>
      <c r="F21" s="10"/>
      <c r="G21" s="10"/>
      <c r="H21" s="10"/>
      <c r="I21" s="10"/>
      <c r="J21" s="10"/>
    </row>
  </sheetData>
  <mergeCells count="3">
    <mergeCell ref="B1:J1"/>
    <mergeCell ref="B2:J2"/>
    <mergeCell ref="B19:J2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H74"/>
  <sheetViews>
    <sheetView showGridLines="0" zoomScaleNormal="100" workbookViewId="0"/>
  </sheetViews>
  <sheetFormatPr defaultColWidth="8.7109375" defaultRowHeight="15" x14ac:dyDescent="0.25"/>
  <cols>
    <col min="1" max="1" width="2" customWidth="1"/>
    <col min="2" max="2" width="26" customWidth="1"/>
    <col min="3" max="3" width="36" customWidth="1"/>
    <col min="4" max="7" width="13" customWidth="1"/>
    <col min="8" max="8" width="52" customWidth="1"/>
  </cols>
  <sheetData>
    <row r="1" spans="2:8" ht="25.5" customHeight="1" x14ac:dyDescent="0.25">
      <c r="B1" s="14" t="s">
        <v>743</v>
      </c>
      <c r="C1" s="14"/>
      <c r="D1" s="14"/>
      <c r="E1" s="14"/>
      <c r="F1" s="14"/>
      <c r="G1" s="14"/>
      <c r="H1" s="14"/>
    </row>
    <row r="2" spans="2:8" ht="15" customHeight="1" x14ac:dyDescent="0.25">
      <c r="B2" s="13" t="s">
        <v>744</v>
      </c>
      <c r="C2" s="13"/>
      <c r="D2" s="13"/>
      <c r="E2" s="13"/>
      <c r="F2" s="13"/>
      <c r="G2" s="13"/>
      <c r="H2" s="13"/>
    </row>
    <row r="3" spans="2:8" x14ac:dyDescent="0.25">
      <c r="B3" s="159" t="s">
        <v>745</v>
      </c>
      <c r="C3" s="2">
        <v>1.2</v>
      </c>
      <c r="D3" s="2"/>
      <c r="E3" s="127" t="s">
        <v>746</v>
      </c>
    </row>
    <row r="4" spans="2:8" ht="30" customHeight="1" x14ac:dyDescent="0.25">
      <c r="B4" s="22" t="s">
        <v>404</v>
      </c>
      <c r="C4" s="22" t="s">
        <v>747</v>
      </c>
      <c r="D4" s="22" t="s">
        <v>748</v>
      </c>
      <c r="E4" s="22" t="s">
        <v>749</v>
      </c>
      <c r="F4" s="22" t="s">
        <v>750</v>
      </c>
      <c r="G4" s="22" t="s">
        <v>751</v>
      </c>
      <c r="H4" s="22" t="s">
        <v>752</v>
      </c>
    </row>
    <row r="5" spans="2:8" x14ac:dyDescent="0.25">
      <c r="B5" s="20" t="s">
        <v>160</v>
      </c>
      <c r="C5" s="27" t="s">
        <v>166</v>
      </c>
      <c r="D5" s="161">
        <v>1.1499999999999999</v>
      </c>
      <c r="E5" s="161">
        <v>1.08</v>
      </c>
      <c r="F5" s="161">
        <v>1.05</v>
      </c>
      <c r="G5" s="162">
        <f t="shared" ref="G5:G36" si="0">ROUND(D5*E5*F5/$C$3,3)</f>
        <v>1.087</v>
      </c>
      <c r="H5" s="27" t="s">
        <v>753</v>
      </c>
    </row>
    <row r="6" spans="2:8" x14ac:dyDescent="0.25">
      <c r="B6" s="119" t="s">
        <v>532</v>
      </c>
      <c r="C6" s="114" t="s">
        <v>166</v>
      </c>
      <c r="D6" s="163">
        <v>1.1200000000000001</v>
      </c>
      <c r="E6" s="163">
        <v>1.1499999999999999</v>
      </c>
      <c r="F6" s="163">
        <v>1.05</v>
      </c>
      <c r="G6" s="164">
        <f t="shared" si="0"/>
        <v>1.127</v>
      </c>
      <c r="H6" s="114" t="s">
        <v>754</v>
      </c>
    </row>
    <row r="7" spans="2:8" x14ac:dyDescent="0.25">
      <c r="B7" s="20" t="s">
        <v>688</v>
      </c>
      <c r="C7" s="27" t="s">
        <v>166</v>
      </c>
      <c r="D7" s="161">
        <v>1.18</v>
      </c>
      <c r="E7" s="161">
        <v>1.02</v>
      </c>
      <c r="F7" s="161">
        <v>1.1499999999999999</v>
      </c>
      <c r="G7" s="162">
        <f t="shared" si="0"/>
        <v>1.153</v>
      </c>
      <c r="H7" s="27" t="s">
        <v>755</v>
      </c>
    </row>
    <row r="8" spans="2:8" x14ac:dyDescent="0.25">
      <c r="B8" s="119" t="s">
        <v>554</v>
      </c>
      <c r="C8" s="114" t="s">
        <v>557</v>
      </c>
      <c r="D8" s="163">
        <v>1</v>
      </c>
      <c r="E8" s="163">
        <v>1.05</v>
      </c>
      <c r="F8" s="163">
        <v>0.92</v>
      </c>
      <c r="G8" s="164">
        <f t="shared" si="0"/>
        <v>0.80500000000000005</v>
      </c>
      <c r="H8" s="114" t="s">
        <v>756</v>
      </c>
    </row>
    <row r="9" spans="2:8" x14ac:dyDescent="0.25">
      <c r="B9" s="20" t="s">
        <v>500</v>
      </c>
      <c r="C9" s="27" t="s">
        <v>503</v>
      </c>
      <c r="D9" s="161">
        <v>1.45</v>
      </c>
      <c r="E9" s="161">
        <v>0.95</v>
      </c>
      <c r="F9" s="161">
        <v>1.4</v>
      </c>
      <c r="G9" s="162">
        <f t="shared" si="0"/>
        <v>1.607</v>
      </c>
      <c r="H9" s="27" t="s">
        <v>757</v>
      </c>
    </row>
    <row r="10" spans="2:8" x14ac:dyDescent="0.25">
      <c r="B10" s="119" t="s">
        <v>758</v>
      </c>
      <c r="C10" s="114" t="s">
        <v>503</v>
      </c>
      <c r="D10" s="163">
        <v>1.5</v>
      </c>
      <c r="E10" s="163">
        <v>0.9</v>
      </c>
      <c r="F10" s="163">
        <v>1.5</v>
      </c>
      <c r="G10" s="164">
        <f t="shared" si="0"/>
        <v>1.6879999999999999</v>
      </c>
      <c r="H10" s="114" t="s">
        <v>759</v>
      </c>
    </row>
    <row r="11" spans="2:8" x14ac:dyDescent="0.25">
      <c r="B11" s="20" t="s">
        <v>760</v>
      </c>
      <c r="C11" s="27" t="s">
        <v>503</v>
      </c>
      <c r="D11" s="161">
        <v>1.48</v>
      </c>
      <c r="E11" s="161">
        <v>0.9</v>
      </c>
      <c r="F11" s="161">
        <v>1.45</v>
      </c>
      <c r="G11" s="162">
        <f t="shared" si="0"/>
        <v>1.61</v>
      </c>
      <c r="H11" s="27" t="s">
        <v>761</v>
      </c>
    </row>
    <row r="12" spans="2:8" x14ac:dyDescent="0.25">
      <c r="B12" s="119" t="s">
        <v>762</v>
      </c>
      <c r="C12" s="114" t="s">
        <v>740</v>
      </c>
      <c r="D12" s="163">
        <v>1.42</v>
      </c>
      <c r="E12" s="163">
        <v>0.92</v>
      </c>
      <c r="F12" s="163">
        <v>1.48</v>
      </c>
      <c r="G12" s="164">
        <f t="shared" si="0"/>
        <v>1.611</v>
      </c>
      <c r="H12" s="114" t="s">
        <v>763</v>
      </c>
    </row>
    <row r="13" spans="2:8" x14ac:dyDescent="0.25">
      <c r="B13" s="20" t="s">
        <v>764</v>
      </c>
      <c r="C13" s="27" t="s">
        <v>557</v>
      </c>
      <c r="D13" s="161">
        <v>1.1000000000000001</v>
      </c>
      <c r="E13" s="161">
        <v>1</v>
      </c>
      <c r="F13" s="161">
        <v>1.1000000000000001</v>
      </c>
      <c r="G13" s="162">
        <f t="shared" si="0"/>
        <v>1.008</v>
      </c>
      <c r="H13" s="27" t="s">
        <v>765</v>
      </c>
    </row>
    <row r="14" spans="2:8" x14ac:dyDescent="0.25">
      <c r="B14" s="119" t="s">
        <v>766</v>
      </c>
      <c r="C14" s="114" t="s">
        <v>723</v>
      </c>
      <c r="D14" s="163">
        <v>1.08</v>
      </c>
      <c r="E14" s="163">
        <v>1.02</v>
      </c>
      <c r="F14" s="163">
        <v>1</v>
      </c>
      <c r="G14" s="164">
        <f t="shared" si="0"/>
        <v>0.91800000000000004</v>
      </c>
      <c r="H14" s="114" t="s">
        <v>767</v>
      </c>
    </row>
    <row r="15" spans="2:8" x14ac:dyDescent="0.25">
      <c r="B15" s="20" t="s">
        <v>768</v>
      </c>
      <c r="C15" s="27" t="s">
        <v>723</v>
      </c>
      <c r="D15" s="161">
        <v>1.1200000000000001</v>
      </c>
      <c r="E15" s="161">
        <v>0.98</v>
      </c>
      <c r="F15" s="161">
        <v>1.05</v>
      </c>
      <c r="G15" s="162">
        <f t="shared" si="0"/>
        <v>0.96</v>
      </c>
      <c r="H15" s="27" t="s">
        <v>769</v>
      </c>
    </row>
    <row r="16" spans="2:8" x14ac:dyDescent="0.25">
      <c r="B16" s="119" t="s">
        <v>770</v>
      </c>
      <c r="C16" s="114" t="s">
        <v>723</v>
      </c>
      <c r="D16" s="163">
        <v>1.05</v>
      </c>
      <c r="E16" s="163">
        <v>1.05</v>
      </c>
      <c r="F16" s="163">
        <v>0.95</v>
      </c>
      <c r="G16" s="164">
        <f t="shared" si="0"/>
        <v>0.873</v>
      </c>
      <c r="H16" s="114" t="s">
        <v>771</v>
      </c>
    </row>
    <row r="17" spans="2:8" x14ac:dyDescent="0.25">
      <c r="B17" s="20" t="s">
        <v>772</v>
      </c>
      <c r="C17" s="27" t="s">
        <v>557</v>
      </c>
      <c r="D17" s="161">
        <v>1</v>
      </c>
      <c r="E17" s="161">
        <v>1.08</v>
      </c>
      <c r="F17" s="161">
        <v>0.9</v>
      </c>
      <c r="G17" s="162">
        <f t="shared" si="0"/>
        <v>0.81</v>
      </c>
      <c r="H17" s="27" t="s">
        <v>773</v>
      </c>
    </row>
    <row r="18" spans="2:8" x14ac:dyDescent="0.25">
      <c r="B18" s="119" t="s">
        <v>774</v>
      </c>
      <c r="C18" s="114" t="s">
        <v>557</v>
      </c>
      <c r="D18" s="163">
        <v>0.95</v>
      </c>
      <c r="E18" s="163">
        <v>1.06</v>
      </c>
      <c r="F18" s="163">
        <v>0.88</v>
      </c>
      <c r="G18" s="164">
        <f t="shared" si="0"/>
        <v>0.73799999999999999</v>
      </c>
      <c r="H18" s="114" t="s">
        <v>775</v>
      </c>
    </row>
    <row r="19" spans="2:8" x14ac:dyDescent="0.25">
      <c r="B19" s="20" t="s">
        <v>776</v>
      </c>
      <c r="C19" s="27" t="s">
        <v>557</v>
      </c>
      <c r="D19" s="161">
        <v>0.95</v>
      </c>
      <c r="E19" s="161">
        <v>1.02</v>
      </c>
      <c r="F19" s="161">
        <v>0.9</v>
      </c>
      <c r="G19" s="162">
        <f t="shared" si="0"/>
        <v>0.72699999999999998</v>
      </c>
      <c r="H19" s="27" t="s">
        <v>777</v>
      </c>
    </row>
    <row r="20" spans="2:8" x14ac:dyDescent="0.25">
      <c r="B20" s="119" t="s">
        <v>778</v>
      </c>
      <c r="C20" s="114" t="s">
        <v>557</v>
      </c>
      <c r="D20" s="163">
        <v>1.08</v>
      </c>
      <c r="E20" s="163">
        <v>1</v>
      </c>
      <c r="F20" s="163">
        <v>1.08</v>
      </c>
      <c r="G20" s="164">
        <f t="shared" si="0"/>
        <v>0.97199999999999998</v>
      </c>
      <c r="H20" s="114" t="s">
        <v>779</v>
      </c>
    </row>
    <row r="21" spans="2:8" x14ac:dyDescent="0.25">
      <c r="B21" s="20" t="s">
        <v>780</v>
      </c>
      <c r="C21" s="27" t="s">
        <v>557</v>
      </c>
      <c r="D21" s="161">
        <v>1.02</v>
      </c>
      <c r="E21" s="161">
        <v>0.96</v>
      </c>
      <c r="F21" s="161">
        <v>1.1200000000000001</v>
      </c>
      <c r="G21" s="162">
        <f t="shared" si="0"/>
        <v>0.91400000000000003</v>
      </c>
      <c r="H21" s="27" t="s">
        <v>781</v>
      </c>
    </row>
    <row r="22" spans="2:8" x14ac:dyDescent="0.25">
      <c r="B22" s="119" t="s">
        <v>782</v>
      </c>
      <c r="C22" s="114" t="s">
        <v>525</v>
      </c>
      <c r="D22" s="163">
        <v>1.1000000000000001</v>
      </c>
      <c r="E22" s="163">
        <v>0.95</v>
      </c>
      <c r="F22" s="163">
        <v>1.18</v>
      </c>
      <c r="G22" s="164">
        <f t="shared" si="0"/>
        <v>1.028</v>
      </c>
      <c r="H22" s="114" t="s">
        <v>783</v>
      </c>
    </row>
    <row r="23" spans="2:8" x14ac:dyDescent="0.25">
      <c r="B23" s="20" t="s">
        <v>784</v>
      </c>
      <c r="C23" s="27" t="s">
        <v>733</v>
      </c>
      <c r="D23" s="161">
        <v>1</v>
      </c>
      <c r="E23" s="161">
        <v>0.94</v>
      </c>
      <c r="F23" s="161">
        <v>1.05</v>
      </c>
      <c r="G23" s="162">
        <f t="shared" si="0"/>
        <v>0.82299999999999995</v>
      </c>
      <c r="H23" s="27" t="s">
        <v>785</v>
      </c>
    </row>
    <row r="24" spans="2:8" x14ac:dyDescent="0.25">
      <c r="B24" s="119" t="s">
        <v>786</v>
      </c>
      <c r="C24" s="114" t="s">
        <v>723</v>
      </c>
      <c r="D24" s="163">
        <v>0.95</v>
      </c>
      <c r="E24" s="163">
        <v>1.04</v>
      </c>
      <c r="F24" s="163">
        <v>0.95</v>
      </c>
      <c r="G24" s="164">
        <f t="shared" si="0"/>
        <v>0.78200000000000003</v>
      </c>
      <c r="H24" s="114" t="s">
        <v>787</v>
      </c>
    </row>
    <row r="25" spans="2:8" x14ac:dyDescent="0.25">
      <c r="B25" s="20" t="s">
        <v>788</v>
      </c>
      <c r="C25" s="27" t="s">
        <v>728</v>
      </c>
      <c r="D25" s="161">
        <v>1.05</v>
      </c>
      <c r="E25" s="161">
        <v>1.1000000000000001</v>
      </c>
      <c r="F25" s="161">
        <v>1</v>
      </c>
      <c r="G25" s="162">
        <f t="shared" si="0"/>
        <v>0.96299999999999997</v>
      </c>
      <c r="H25" s="27" t="s">
        <v>789</v>
      </c>
    </row>
    <row r="26" spans="2:8" x14ac:dyDescent="0.25">
      <c r="B26" s="119" t="s">
        <v>790</v>
      </c>
      <c r="C26" s="114" t="s">
        <v>728</v>
      </c>
      <c r="D26" s="163">
        <v>0.92</v>
      </c>
      <c r="E26" s="163">
        <v>1.1200000000000001</v>
      </c>
      <c r="F26" s="163">
        <v>0.85</v>
      </c>
      <c r="G26" s="164">
        <f t="shared" si="0"/>
        <v>0.73</v>
      </c>
      <c r="H26" s="114" t="s">
        <v>791</v>
      </c>
    </row>
    <row r="27" spans="2:8" x14ac:dyDescent="0.25">
      <c r="B27" s="20" t="s">
        <v>792</v>
      </c>
      <c r="C27" s="27" t="s">
        <v>728</v>
      </c>
      <c r="D27" s="161">
        <v>0.9</v>
      </c>
      <c r="E27" s="161">
        <v>1.22</v>
      </c>
      <c r="F27" s="161">
        <v>0.85</v>
      </c>
      <c r="G27" s="162">
        <f t="shared" si="0"/>
        <v>0.77800000000000002</v>
      </c>
      <c r="H27" s="27" t="s">
        <v>793</v>
      </c>
    </row>
    <row r="28" spans="2:8" x14ac:dyDescent="0.25">
      <c r="B28" s="119" t="s">
        <v>522</v>
      </c>
      <c r="C28" s="114" t="s">
        <v>525</v>
      </c>
      <c r="D28" s="163">
        <v>1.1200000000000001</v>
      </c>
      <c r="E28" s="163">
        <v>1.06</v>
      </c>
      <c r="F28" s="163">
        <v>1.2</v>
      </c>
      <c r="G28" s="164">
        <f t="shared" si="0"/>
        <v>1.1870000000000001</v>
      </c>
      <c r="H28" s="114" t="s">
        <v>794</v>
      </c>
    </row>
    <row r="29" spans="2:8" x14ac:dyDescent="0.25">
      <c r="B29" s="20" t="s">
        <v>795</v>
      </c>
      <c r="C29" s="27" t="s">
        <v>723</v>
      </c>
      <c r="D29" s="161">
        <v>0.9</v>
      </c>
      <c r="E29" s="161">
        <v>1.05</v>
      </c>
      <c r="F29" s="161">
        <v>0.85</v>
      </c>
      <c r="G29" s="162">
        <f t="shared" si="0"/>
        <v>0.66900000000000004</v>
      </c>
      <c r="H29" s="27" t="s">
        <v>796</v>
      </c>
    </row>
    <row r="30" spans="2:8" x14ac:dyDescent="0.25">
      <c r="B30" s="119" t="s">
        <v>797</v>
      </c>
      <c r="C30" s="114" t="s">
        <v>557</v>
      </c>
      <c r="D30" s="163">
        <v>0.95</v>
      </c>
      <c r="E30" s="163">
        <v>0.96</v>
      </c>
      <c r="F30" s="163">
        <v>1.05</v>
      </c>
      <c r="G30" s="164">
        <f t="shared" si="0"/>
        <v>0.79800000000000004</v>
      </c>
      <c r="H30" s="114" t="s">
        <v>798</v>
      </c>
    </row>
    <row r="31" spans="2:8" x14ac:dyDescent="0.25">
      <c r="B31" s="20" t="s">
        <v>799</v>
      </c>
      <c r="C31" s="27" t="s">
        <v>557</v>
      </c>
      <c r="D31" s="161">
        <v>0.92</v>
      </c>
      <c r="E31" s="161">
        <v>1.18</v>
      </c>
      <c r="F31" s="161">
        <v>0.92</v>
      </c>
      <c r="G31" s="162">
        <f t="shared" si="0"/>
        <v>0.83199999999999996</v>
      </c>
      <c r="H31" s="27" t="s">
        <v>800</v>
      </c>
    </row>
    <row r="32" spans="2:8" x14ac:dyDescent="0.25">
      <c r="B32" s="119" t="s">
        <v>801</v>
      </c>
      <c r="C32" s="114" t="s">
        <v>557</v>
      </c>
      <c r="D32" s="163">
        <v>0.92</v>
      </c>
      <c r="E32" s="163">
        <v>1.02</v>
      </c>
      <c r="F32" s="163">
        <v>0.95</v>
      </c>
      <c r="G32" s="164">
        <f t="shared" si="0"/>
        <v>0.74299999999999999</v>
      </c>
      <c r="H32" s="114" t="s">
        <v>802</v>
      </c>
    </row>
    <row r="33" spans="2:8" x14ac:dyDescent="0.25">
      <c r="B33" s="20" t="s">
        <v>803</v>
      </c>
      <c r="C33" s="27" t="s">
        <v>735</v>
      </c>
      <c r="D33" s="161">
        <v>0.92</v>
      </c>
      <c r="E33" s="161">
        <v>1.08</v>
      </c>
      <c r="F33" s="161">
        <v>1.02</v>
      </c>
      <c r="G33" s="162">
        <f t="shared" si="0"/>
        <v>0.84499999999999997</v>
      </c>
      <c r="H33" s="27" t="s">
        <v>804</v>
      </c>
    </row>
    <row r="34" spans="2:8" x14ac:dyDescent="0.25">
      <c r="B34" s="119" t="s">
        <v>805</v>
      </c>
      <c r="C34" s="114" t="s">
        <v>525</v>
      </c>
      <c r="D34" s="163">
        <v>1.2</v>
      </c>
      <c r="E34" s="163">
        <v>0.88</v>
      </c>
      <c r="F34" s="163">
        <v>1.35</v>
      </c>
      <c r="G34" s="164">
        <f t="shared" si="0"/>
        <v>1.1879999999999999</v>
      </c>
      <c r="H34" s="114" t="s">
        <v>806</v>
      </c>
    </row>
    <row r="35" spans="2:8" x14ac:dyDescent="0.25">
      <c r="B35" s="20" t="s">
        <v>807</v>
      </c>
      <c r="C35" s="27" t="s">
        <v>733</v>
      </c>
      <c r="D35" s="161">
        <v>1.1000000000000001</v>
      </c>
      <c r="E35" s="161">
        <v>0.92</v>
      </c>
      <c r="F35" s="161">
        <v>1.25</v>
      </c>
      <c r="G35" s="162">
        <f t="shared" si="0"/>
        <v>1.054</v>
      </c>
      <c r="H35" s="27" t="s">
        <v>808</v>
      </c>
    </row>
    <row r="36" spans="2:8" x14ac:dyDescent="0.25">
      <c r="B36" s="119" t="s">
        <v>809</v>
      </c>
      <c r="C36" s="114" t="s">
        <v>525</v>
      </c>
      <c r="D36" s="163">
        <v>1.1200000000000001</v>
      </c>
      <c r="E36" s="163">
        <v>0.88</v>
      </c>
      <c r="F36" s="163">
        <v>1.3</v>
      </c>
      <c r="G36" s="164">
        <f t="shared" si="0"/>
        <v>1.0680000000000001</v>
      </c>
      <c r="H36" s="114" t="s">
        <v>810</v>
      </c>
    </row>
    <row r="37" spans="2:8" x14ac:dyDescent="0.25">
      <c r="B37" s="20" t="s">
        <v>811</v>
      </c>
      <c r="C37" s="27" t="s">
        <v>525</v>
      </c>
      <c r="D37" s="161">
        <v>1.1499999999999999</v>
      </c>
      <c r="E37" s="161">
        <v>0.86</v>
      </c>
      <c r="F37" s="161">
        <v>1.35</v>
      </c>
      <c r="G37" s="162">
        <f t="shared" ref="G37:G68" si="1">ROUND(D37*E37*F37/$C$3,3)</f>
        <v>1.113</v>
      </c>
      <c r="H37" s="27" t="s">
        <v>812</v>
      </c>
    </row>
    <row r="38" spans="2:8" x14ac:dyDescent="0.25">
      <c r="B38" s="119" t="s">
        <v>813</v>
      </c>
      <c r="C38" s="114" t="s">
        <v>730</v>
      </c>
      <c r="D38" s="163">
        <v>1.25</v>
      </c>
      <c r="E38" s="163">
        <v>0.85</v>
      </c>
      <c r="F38" s="163">
        <v>1.4</v>
      </c>
      <c r="G38" s="164">
        <f t="shared" si="1"/>
        <v>1.24</v>
      </c>
      <c r="H38" s="114" t="s">
        <v>814</v>
      </c>
    </row>
    <row r="39" spans="2:8" x14ac:dyDescent="0.25">
      <c r="B39" s="20" t="s">
        <v>815</v>
      </c>
      <c r="C39" s="27" t="s">
        <v>730</v>
      </c>
      <c r="D39" s="161">
        <v>1.1000000000000001</v>
      </c>
      <c r="E39" s="161">
        <v>0.85</v>
      </c>
      <c r="F39" s="161">
        <v>1.28</v>
      </c>
      <c r="G39" s="162">
        <f t="shared" si="1"/>
        <v>0.997</v>
      </c>
      <c r="H39" s="27" t="s">
        <v>816</v>
      </c>
    </row>
    <row r="40" spans="2:8" x14ac:dyDescent="0.25">
      <c r="B40" s="119" t="s">
        <v>817</v>
      </c>
      <c r="C40" s="114" t="s">
        <v>730</v>
      </c>
      <c r="D40" s="163">
        <v>1.1200000000000001</v>
      </c>
      <c r="E40" s="163">
        <v>0.85</v>
      </c>
      <c r="F40" s="163">
        <v>1.32</v>
      </c>
      <c r="G40" s="164">
        <f t="shared" si="1"/>
        <v>1.0469999999999999</v>
      </c>
      <c r="H40" s="114" t="s">
        <v>818</v>
      </c>
    </row>
    <row r="41" spans="2:8" x14ac:dyDescent="0.25">
      <c r="B41" s="20" t="s">
        <v>819</v>
      </c>
      <c r="C41" s="27" t="s">
        <v>730</v>
      </c>
      <c r="D41" s="161">
        <v>1.28</v>
      </c>
      <c r="E41" s="161">
        <v>0.85</v>
      </c>
      <c r="F41" s="161">
        <v>1.45</v>
      </c>
      <c r="G41" s="162">
        <f t="shared" si="1"/>
        <v>1.3149999999999999</v>
      </c>
      <c r="H41" s="27" t="s">
        <v>820</v>
      </c>
    </row>
    <row r="42" spans="2:8" x14ac:dyDescent="0.25">
      <c r="B42" s="119" t="s">
        <v>821</v>
      </c>
      <c r="C42" s="114" t="s">
        <v>730</v>
      </c>
      <c r="D42" s="163">
        <v>1.3</v>
      </c>
      <c r="E42" s="163">
        <v>0.85</v>
      </c>
      <c r="F42" s="163">
        <v>1.45</v>
      </c>
      <c r="G42" s="164">
        <f t="shared" si="1"/>
        <v>1.335</v>
      </c>
      <c r="H42" s="114" t="s">
        <v>822</v>
      </c>
    </row>
    <row r="43" spans="2:8" x14ac:dyDescent="0.25">
      <c r="B43" s="20" t="s">
        <v>823</v>
      </c>
      <c r="C43" s="27" t="s">
        <v>730</v>
      </c>
      <c r="D43" s="161">
        <v>1.3</v>
      </c>
      <c r="E43" s="161">
        <v>0.85</v>
      </c>
      <c r="F43" s="161">
        <v>1.48</v>
      </c>
      <c r="G43" s="162">
        <f t="shared" si="1"/>
        <v>1.363</v>
      </c>
      <c r="H43" s="27" t="s">
        <v>824</v>
      </c>
    </row>
    <row r="44" spans="2:8" x14ac:dyDescent="0.25">
      <c r="B44" s="119" t="s">
        <v>825</v>
      </c>
      <c r="C44" s="114" t="s">
        <v>730</v>
      </c>
      <c r="D44" s="163">
        <v>1.22</v>
      </c>
      <c r="E44" s="163">
        <v>0.85</v>
      </c>
      <c r="F44" s="163">
        <v>1.42</v>
      </c>
      <c r="G44" s="164">
        <f t="shared" si="1"/>
        <v>1.2270000000000001</v>
      </c>
      <c r="H44" s="114" t="s">
        <v>826</v>
      </c>
    </row>
    <row r="45" spans="2:8" x14ac:dyDescent="0.25">
      <c r="B45" s="20" t="s">
        <v>827</v>
      </c>
      <c r="C45" s="27" t="s">
        <v>730</v>
      </c>
      <c r="D45" s="161">
        <v>1.18</v>
      </c>
      <c r="E45" s="161">
        <v>0.85</v>
      </c>
      <c r="F45" s="161">
        <v>1.38</v>
      </c>
      <c r="G45" s="162">
        <f t="shared" si="1"/>
        <v>1.153</v>
      </c>
      <c r="H45" s="27" t="s">
        <v>828</v>
      </c>
    </row>
    <row r="46" spans="2:8" x14ac:dyDescent="0.25">
      <c r="B46" s="119" t="s">
        <v>829</v>
      </c>
      <c r="C46" s="114" t="s">
        <v>730</v>
      </c>
      <c r="D46" s="163">
        <v>1.3</v>
      </c>
      <c r="E46" s="163">
        <v>0.85</v>
      </c>
      <c r="F46" s="163">
        <v>1.45</v>
      </c>
      <c r="G46" s="164">
        <f t="shared" si="1"/>
        <v>1.335</v>
      </c>
      <c r="H46" s="114" t="s">
        <v>830</v>
      </c>
    </row>
    <row r="47" spans="2:8" x14ac:dyDescent="0.25">
      <c r="B47" s="20" t="s">
        <v>831</v>
      </c>
      <c r="C47" s="27" t="s">
        <v>525</v>
      </c>
      <c r="D47" s="161">
        <v>1.35</v>
      </c>
      <c r="E47" s="161">
        <v>0.85</v>
      </c>
      <c r="F47" s="161">
        <v>1.55</v>
      </c>
      <c r="G47" s="162">
        <f t="shared" si="1"/>
        <v>1.482</v>
      </c>
      <c r="H47" s="27" t="s">
        <v>832</v>
      </c>
    </row>
    <row r="48" spans="2:8" x14ac:dyDescent="0.25">
      <c r="B48" s="119" t="s">
        <v>833</v>
      </c>
      <c r="C48" s="114" t="s">
        <v>503</v>
      </c>
      <c r="D48" s="163">
        <v>1.42</v>
      </c>
      <c r="E48" s="163">
        <v>0.92</v>
      </c>
      <c r="F48" s="163">
        <v>1.5</v>
      </c>
      <c r="G48" s="164">
        <f t="shared" si="1"/>
        <v>1.633</v>
      </c>
      <c r="H48" s="114" t="s">
        <v>834</v>
      </c>
    </row>
    <row r="49" spans="2:8" x14ac:dyDescent="0.25">
      <c r="B49" s="20" t="s">
        <v>835</v>
      </c>
      <c r="C49" s="27" t="s">
        <v>503</v>
      </c>
      <c r="D49" s="161">
        <v>1.3</v>
      </c>
      <c r="E49" s="161">
        <v>1.05</v>
      </c>
      <c r="F49" s="161">
        <v>1.35</v>
      </c>
      <c r="G49" s="162">
        <f t="shared" si="1"/>
        <v>1.536</v>
      </c>
      <c r="H49" s="27" t="s">
        <v>836</v>
      </c>
    </row>
    <row r="50" spans="2:8" x14ac:dyDescent="0.25">
      <c r="B50" s="119" t="s">
        <v>837</v>
      </c>
      <c r="C50" s="114" t="s">
        <v>503</v>
      </c>
      <c r="D50" s="163">
        <v>1.32</v>
      </c>
      <c r="E50" s="163">
        <v>0.95</v>
      </c>
      <c r="F50" s="163">
        <v>1.4</v>
      </c>
      <c r="G50" s="164">
        <f t="shared" si="1"/>
        <v>1.4630000000000001</v>
      </c>
      <c r="H50" s="114" t="s">
        <v>838</v>
      </c>
    </row>
    <row r="51" spans="2:8" x14ac:dyDescent="0.25">
      <c r="B51" s="20" t="s">
        <v>839</v>
      </c>
      <c r="C51" s="27" t="s">
        <v>503</v>
      </c>
      <c r="D51" s="161">
        <v>1.45</v>
      </c>
      <c r="E51" s="161">
        <v>0.92</v>
      </c>
      <c r="F51" s="161">
        <v>1.5</v>
      </c>
      <c r="G51" s="162">
        <f t="shared" si="1"/>
        <v>1.6679999999999999</v>
      </c>
      <c r="H51" s="27" t="s">
        <v>840</v>
      </c>
    </row>
    <row r="52" spans="2:8" x14ac:dyDescent="0.25">
      <c r="B52" s="119" t="s">
        <v>841</v>
      </c>
      <c r="C52" s="114" t="s">
        <v>503</v>
      </c>
      <c r="D52" s="163">
        <v>1.4</v>
      </c>
      <c r="E52" s="163">
        <v>0.92</v>
      </c>
      <c r="F52" s="163">
        <v>1.48</v>
      </c>
      <c r="G52" s="164">
        <f t="shared" si="1"/>
        <v>1.589</v>
      </c>
      <c r="H52" s="114" t="s">
        <v>842</v>
      </c>
    </row>
    <row r="53" spans="2:8" x14ac:dyDescent="0.25">
      <c r="B53" s="20" t="s">
        <v>843</v>
      </c>
      <c r="C53" s="27" t="s">
        <v>503</v>
      </c>
      <c r="D53" s="161">
        <v>1.42</v>
      </c>
      <c r="E53" s="161">
        <v>0.9</v>
      </c>
      <c r="F53" s="161">
        <v>1.5</v>
      </c>
      <c r="G53" s="162">
        <f t="shared" si="1"/>
        <v>1.5980000000000001</v>
      </c>
      <c r="H53" s="27" t="s">
        <v>844</v>
      </c>
    </row>
    <row r="54" spans="2:8" x14ac:dyDescent="0.25">
      <c r="B54" s="119" t="s">
        <v>845</v>
      </c>
      <c r="C54" s="114" t="s">
        <v>503</v>
      </c>
      <c r="D54" s="163">
        <v>1.38</v>
      </c>
      <c r="E54" s="163">
        <v>0.92</v>
      </c>
      <c r="F54" s="163">
        <v>1.5</v>
      </c>
      <c r="G54" s="164">
        <f t="shared" si="1"/>
        <v>1.587</v>
      </c>
      <c r="H54" s="114" t="s">
        <v>846</v>
      </c>
    </row>
    <row r="55" spans="2:8" x14ac:dyDescent="0.25">
      <c r="B55" s="20" t="s">
        <v>847</v>
      </c>
      <c r="C55" s="27" t="s">
        <v>740</v>
      </c>
      <c r="D55" s="161">
        <v>1.05</v>
      </c>
      <c r="E55" s="161">
        <v>1.06</v>
      </c>
      <c r="F55" s="161">
        <v>0.98</v>
      </c>
      <c r="G55" s="162">
        <f t="shared" si="1"/>
        <v>0.90900000000000003</v>
      </c>
      <c r="H55" s="27" t="s">
        <v>848</v>
      </c>
    </row>
    <row r="56" spans="2:8" x14ac:dyDescent="0.25">
      <c r="B56" s="119" t="s">
        <v>849</v>
      </c>
      <c r="C56" s="114" t="s">
        <v>740</v>
      </c>
      <c r="D56" s="163">
        <v>1.1200000000000001</v>
      </c>
      <c r="E56" s="163">
        <v>1</v>
      </c>
      <c r="F56" s="163">
        <v>1.1499999999999999</v>
      </c>
      <c r="G56" s="164">
        <f t="shared" si="1"/>
        <v>1.073</v>
      </c>
      <c r="H56" s="114" t="s">
        <v>850</v>
      </c>
    </row>
    <row r="57" spans="2:8" x14ac:dyDescent="0.25">
      <c r="B57" s="20" t="s">
        <v>851</v>
      </c>
      <c r="C57" s="27" t="s">
        <v>740</v>
      </c>
      <c r="D57" s="161">
        <v>1.38</v>
      </c>
      <c r="E57" s="161">
        <v>0.92</v>
      </c>
      <c r="F57" s="161">
        <v>1.45</v>
      </c>
      <c r="G57" s="162">
        <f t="shared" si="1"/>
        <v>1.534</v>
      </c>
      <c r="H57" s="27" t="s">
        <v>852</v>
      </c>
    </row>
    <row r="58" spans="2:8" x14ac:dyDescent="0.25">
      <c r="B58" s="119" t="s">
        <v>565</v>
      </c>
      <c r="C58" s="114" t="s">
        <v>568</v>
      </c>
      <c r="D58" s="163">
        <v>1.35</v>
      </c>
      <c r="E58" s="163">
        <v>1.05</v>
      </c>
      <c r="F58" s="163">
        <v>1.4</v>
      </c>
      <c r="G58" s="164">
        <f t="shared" si="1"/>
        <v>1.6539999999999999</v>
      </c>
      <c r="H58" s="114" t="s">
        <v>853</v>
      </c>
    </row>
    <row r="59" spans="2:8" x14ac:dyDescent="0.25">
      <c r="B59" s="20" t="s">
        <v>854</v>
      </c>
      <c r="C59" s="27" t="s">
        <v>568</v>
      </c>
      <c r="D59" s="161">
        <v>1.28</v>
      </c>
      <c r="E59" s="161">
        <v>0.95</v>
      </c>
      <c r="F59" s="161">
        <v>1.38</v>
      </c>
      <c r="G59" s="162">
        <f t="shared" si="1"/>
        <v>1.3979999999999999</v>
      </c>
      <c r="H59" s="27" t="s">
        <v>855</v>
      </c>
    </row>
    <row r="60" spans="2:8" x14ac:dyDescent="0.25">
      <c r="B60" s="119" t="s">
        <v>856</v>
      </c>
      <c r="C60" s="114" t="s">
        <v>568</v>
      </c>
      <c r="D60" s="163">
        <v>1.22</v>
      </c>
      <c r="E60" s="163">
        <v>1</v>
      </c>
      <c r="F60" s="163">
        <v>1.3</v>
      </c>
      <c r="G60" s="164">
        <f t="shared" si="1"/>
        <v>1.3220000000000001</v>
      </c>
      <c r="H60" s="114" t="s">
        <v>857</v>
      </c>
    </row>
    <row r="61" spans="2:8" x14ac:dyDescent="0.25">
      <c r="B61" s="20" t="s">
        <v>858</v>
      </c>
      <c r="C61" s="27" t="s">
        <v>568</v>
      </c>
      <c r="D61" s="161">
        <v>1.25</v>
      </c>
      <c r="E61" s="161">
        <v>1.05</v>
      </c>
      <c r="F61" s="161">
        <v>1.32</v>
      </c>
      <c r="G61" s="162">
        <f t="shared" si="1"/>
        <v>1.444</v>
      </c>
      <c r="H61" s="27" t="s">
        <v>859</v>
      </c>
    </row>
    <row r="62" spans="2:8" x14ac:dyDescent="0.25">
      <c r="B62" s="119" t="s">
        <v>860</v>
      </c>
      <c r="C62" s="114" t="s">
        <v>568</v>
      </c>
      <c r="D62" s="163">
        <v>1.25</v>
      </c>
      <c r="E62" s="163">
        <v>0.92</v>
      </c>
      <c r="F62" s="163">
        <v>1.35</v>
      </c>
      <c r="G62" s="164">
        <f t="shared" si="1"/>
        <v>1.294</v>
      </c>
      <c r="H62" s="114" t="s">
        <v>861</v>
      </c>
    </row>
    <row r="63" spans="2:8" x14ac:dyDescent="0.25">
      <c r="B63" s="20" t="s">
        <v>862</v>
      </c>
      <c r="C63" s="27" t="s">
        <v>568</v>
      </c>
      <c r="D63" s="161">
        <v>1.28</v>
      </c>
      <c r="E63" s="161">
        <v>0.95</v>
      </c>
      <c r="F63" s="161">
        <v>1.38</v>
      </c>
      <c r="G63" s="162">
        <f t="shared" si="1"/>
        <v>1.3979999999999999</v>
      </c>
      <c r="H63" s="27" t="s">
        <v>863</v>
      </c>
    </row>
    <row r="64" spans="2:8" x14ac:dyDescent="0.25">
      <c r="B64" s="119" t="s">
        <v>864</v>
      </c>
      <c r="C64" s="114" t="s">
        <v>568</v>
      </c>
      <c r="D64" s="163">
        <v>1.25</v>
      </c>
      <c r="E64" s="163">
        <v>1</v>
      </c>
      <c r="F64" s="163">
        <v>1.35</v>
      </c>
      <c r="G64" s="164">
        <f t="shared" si="1"/>
        <v>1.4059999999999999</v>
      </c>
      <c r="H64" s="114" t="s">
        <v>865</v>
      </c>
    </row>
    <row r="65" spans="2:8" x14ac:dyDescent="0.25">
      <c r="B65" s="20" t="s">
        <v>866</v>
      </c>
      <c r="C65" s="27" t="s">
        <v>557</v>
      </c>
      <c r="D65" s="161">
        <v>1.05</v>
      </c>
      <c r="E65" s="161">
        <v>0.98</v>
      </c>
      <c r="F65" s="161">
        <v>1.1499999999999999</v>
      </c>
      <c r="G65" s="162">
        <f t="shared" si="1"/>
        <v>0.98599999999999999</v>
      </c>
      <c r="H65" s="27" t="s">
        <v>867</v>
      </c>
    </row>
    <row r="66" spans="2:8" x14ac:dyDescent="0.25">
      <c r="B66" s="119" t="s">
        <v>868</v>
      </c>
      <c r="C66" s="114" t="s">
        <v>723</v>
      </c>
      <c r="D66" s="163">
        <v>1.1000000000000001</v>
      </c>
      <c r="E66" s="163">
        <v>1.1000000000000001</v>
      </c>
      <c r="F66" s="163">
        <v>1.1499999999999999</v>
      </c>
      <c r="G66" s="164">
        <f t="shared" si="1"/>
        <v>1.1599999999999999</v>
      </c>
      <c r="H66" s="114" t="s">
        <v>869</v>
      </c>
    </row>
    <row r="67" spans="2:8" x14ac:dyDescent="0.25">
      <c r="B67" s="20" t="s">
        <v>870</v>
      </c>
      <c r="C67" s="27" t="s">
        <v>568</v>
      </c>
      <c r="D67" s="161">
        <v>1.3</v>
      </c>
      <c r="E67" s="161">
        <v>1.1200000000000001</v>
      </c>
      <c r="F67" s="161">
        <v>1.35</v>
      </c>
      <c r="G67" s="162">
        <f t="shared" si="1"/>
        <v>1.6379999999999999</v>
      </c>
      <c r="H67" s="27" t="s">
        <v>871</v>
      </c>
    </row>
    <row r="68" spans="2:8" x14ac:dyDescent="0.25">
      <c r="B68" s="119" t="s">
        <v>872</v>
      </c>
      <c r="C68" s="114" t="s">
        <v>568</v>
      </c>
      <c r="D68" s="163">
        <v>1.22</v>
      </c>
      <c r="E68" s="163">
        <v>1.08</v>
      </c>
      <c r="F68" s="163">
        <v>1.28</v>
      </c>
      <c r="G68" s="164">
        <f t="shared" si="1"/>
        <v>1.405</v>
      </c>
      <c r="H68" s="114" t="s">
        <v>873</v>
      </c>
    </row>
    <row r="69" spans="2:8" x14ac:dyDescent="0.25">
      <c r="B69" s="20" t="s">
        <v>874</v>
      </c>
      <c r="C69" s="27" t="s">
        <v>568</v>
      </c>
      <c r="D69" s="161">
        <v>1.2</v>
      </c>
      <c r="E69" s="161">
        <v>1</v>
      </c>
      <c r="F69" s="161">
        <v>1.25</v>
      </c>
      <c r="G69" s="162">
        <f t="shared" ref="G69:G100" si="2">ROUND(D69*E69*F69/$C$3,3)</f>
        <v>1.25</v>
      </c>
      <c r="H69" s="27" t="s">
        <v>875</v>
      </c>
    </row>
    <row r="71" spans="2:8" x14ac:dyDescent="0.25">
      <c r="B71" s="15" t="s">
        <v>709</v>
      </c>
    </row>
    <row r="72" spans="2:8" ht="15" customHeight="1" x14ac:dyDescent="0.25">
      <c r="B72" s="10" t="s">
        <v>876</v>
      </c>
      <c r="C72" s="10"/>
      <c r="D72" s="10"/>
      <c r="E72" s="10"/>
      <c r="F72" s="10"/>
      <c r="G72" s="10"/>
      <c r="H72" s="10"/>
    </row>
    <row r="73" spans="2:8" x14ac:dyDescent="0.25">
      <c r="B73" s="10"/>
      <c r="C73" s="10"/>
      <c r="D73" s="10"/>
      <c r="E73" s="10"/>
      <c r="F73" s="10"/>
      <c r="G73" s="10"/>
      <c r="H73" s="10"/>
    </row>
    <row r="74" spans="2:8" x14ac:dyDescent="0.25">
      <c r="B74" s="10"/>
      <c r="C74" s="10"/>
      <c r="D74" s="10"/>
      <c r="E74" s="10"/>
      <c r="F74" s="10"/>
      <c r="G74" s="10"/>
      <c r="H74" s="10"/>
    </row>
  </sheetData>
  <mergeCells count="4">
    <mergeCell ref="B1:H1"/>
    <mergeCell ref="B2:H2"/>
    <mergeCell ref="C3:D3"/>
    <mergeCell ref="B72:H7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42"/>
  <sheetViews>
    <sheetView showGridLines="0" zoomScaleNormal="100" workbookViewId="0"/>
  </sheetViews>
  <sheetFormatPr defaultColWidth="8.7109375" defaultRowHeight="15" x14ac:dyDescent="0.25"/>
  <cols>
    <col min="1" max="1" width="2" customWidth="1"/>
    <col min="2" max="2" width="44" customWidth="1"/>
    <col min="3" max="3" width="14" customWidth="1"/>
    <col min="4" max="4" width="62" customWidth="1"/>
    <col min="5" max="5" width="20" customWidth="1"/>
  </cols>
  <sheetData>
    <row r="1" spans="2:5" ht="25.5" customHeight="1" x14ac:dyDescent="0.25">
      <c r="B1" s="14" t="s">
        <v>877</v>
      </c>
      <c r="C1" s="14"/>
      <c r="D1" s="14"/>
      <c r="E1" s="14"/>
    </row>
    <row r="2" spans="2:5" ht="15" customHeight="1" x14ac:dyDescent="0.25">
      <c r="B2" s="13" t="s">
        <v>878</v>
      </c>
      <c r="C2" s="13"/>
      <c r="D2" s="13"/>
      <c r="E2" s="13"/>
    </row>
    <row r="4" spans="2:5" ht="18" customHeight="1" x14ac:dyDescent="0.25">
      <c r="B4" s="12" t="s">
        <v>879</v>
      </c>
      <c r="C4" s="12"/>
      <c r="D4" s="12"/>
      <c r="E4" s="12"/>
    </row>
    <row r="5" spans="2:5" ht="30" customHeight="1" x14ac:dyDescent="0.25">
      <c r="B5" s="22" t="s">
        <v>880</v>
      </c>
      <c r="C5" s="22" t="s">
        <v>353</v>
      </c>
      <c r="D5" s="22" t="s">
        <v>881</v>
      </c>
    </row>
    <row r="6" spans="2:5" x14ac:dyDescent="0.25">
      <c r="B6" s="20" t="s">
        <v>882</v>
      </c>
      <c r="C6" s="161">
        <v>2.95</v>
      </c>
      <c r="D6" s="27" t="s">
        <v>883</v>
      </c>
    </row>
    <row r="7" spans="2:5" x14ac:dyDescent="0.25">
      <c r="B7" s="119" t="s">
        <v>884</v>
      </c>
      <c r="C7" s="163">
        <v>2.5</v>
      </c>
      <c r="D7" s="114" t="s">
        <v>885</v>
      </c>
    </row>
    <row r="8" spans="2:5" x14ac:dyDescent="0.25">
      <c r="B8" s="20" t="s">
        <v>886</v>
      </c>
      <c r="C8" s="161">
        <v>1.75</v>
      </c>
      <c r="D8" s="27" t="s">
        <v>887</v>
      </c>
    </row>
    <row r="9" spans="2:5" x14ac:dyDescent="0.25">
      <c r="B9" s="119" t="s">
        <v>541</v>
      </c>
      <c r="C9" s="163">
        <v>1.35</v>
      </c>
      <c r="D9" s="114" t="s">
        <v>888</v>
      </c>
    </row>
    <row r="10" spans="2:5" x14ac:dyDescent="0.25">
      <c r="B10" s="20" t="s">
        <v>560</v>
      </c>
      <c r="C10" s="161">
        <v>1.1000000000000001</v>
      </c>
      <c r="D10" s="27" t="s">
        <v>888</v>
      </c>
    </row>
    <row r="11" spans="2:5" x14ac:dyDescent="0.25">
      <c r="B11" s="119" t="s">
        <v>192</v>
      </c>
      <c r="C11" s="163">
        <v>1</v>
      </c>
      <c r="D11" s="114" t="s">
        <v>889</v>
      </c>
    </row>
    <row r="12" spans="2:5" x14ac:dyDescent="0.25">
      <c r="B12" s="20" t="s">
        <v>510</v>
      </c>
      <c r="C12" s="161">
        <v>1</v>
      </c>
      <c r="D12" s="27" t="s">
        <v>889</v>
      </c>
    </row>
    <row r="13" spans="2:5" x14ac:dyDescent="0.25">
      <c r="B13" s="119" t="s">
        <v>699</v>
      </c>
      <c r="C13" s="163">
        <v>1.1499999999999999</v>
      </c>
      <c r="D13" s="114" t="s">
        <v>888</v>
      </c>
    </row>
    <row r="14" spans="2:5" x14ac:dyDescent="0.25">
      <c r="B14" s="20" t="s">
        <v>890</v>
      </c>
      <c r="C14" s="161">
        <v>1.45</v>
      </c>
      <c r="D14" s="27" t="s">
        <v>891</v>
      </c>
    </row>
    <row r="15" spans="2:5" x14ac:dyDescent="0.25">
      <c r="B15" s="119" t="s">
        <v>892</v>
      </c>
      <c r="C15" s="163">
        <v>1.8</v>
      </c>
      <c r="D15" s="114" t="s">
        <v>893</v>
      </c>
    </row>
    <row r="17" spans="2:5" ht="18" customHeight="1" x14ac:dyDescent="0.25">
      <c r="B17" s="12" t="s">
        <v>894</v>
      </c>
      <c r="C17" s="12"/>
      <c r="D17" s="12"/>
      <c r="E17" s="12"/>
    </row>
    <row r="18" spans="2:5" ht="30" customHeight="1" x14ac:dyDescent="0.25">
      <c r="B18" s="22" t="s">
        <v>895</v>
      </c>
      <c r="C18" s="22" t="s">
        <v>353</v>
      </c>
      <c r="D18" s="22" t="s">
        <v>881</v>
      </c>
    </row>
    <row r="19" spans="2:5" x14ac:dyDescent="0.25">
      <c r="B19" s="20" t="s">
        <v>896</v>
      </c>
      <c r="C19" s="161">
        <v>1.35</v>
      </c>
      <c r="D19" s="27" t="s">
        <v>897</v>
      </c>
    </row>
    <row r="20" spans="2:5" x14ac:dyDescent="0.25">
      <c r="B20" s="119" t="s">
        <v>898</v>
      </c>
      <c r="C20" s="163">
        <v>1.1499999999999999</v>
      </c>
      <c r="D20" s="114" t="s">
        <v>888</v>
      </c>
    </row>
    <row r="21" spans="2:5" x14ac:dyDescent="0.25">
      <c r="B21" s="20" t="s">
        <v>542</v>
      </c>
      <c r="C21" s="161">
        <v>1.05</v>
      </c>
      <c r="D21" s="27" t="s">
        <v>888</v>
      </c>
    </row>
    <row r="22" spans="2:5" x14ac:dyDescent="0.25">
      <c r="B22" s="119" t="s">
        <v>195</v>
      </c>
      <c r="C22" s="163">
        <v>1</v>
      </c>
      <c r="D22" s="114" t="s">
        <v>899</v>
      </c>
    </row>
    <row r="23" spans="2:5" x14ac:dyDescent="0.25">
      <c r="B23" s="20" t="s">
        <v>511</v>
      </c>
      <c r="C23" s="161">
        <v>0.95</v>
      </c>
      <c r="D23" s="27" t="s">
        <v>900</v>
      </c>
    </row>
    <row r="24" spans="2:5" x14ac:dyDescent="0.25">
      <c r="B24" s="119" t="s">
        <v>561</v>
      </c>
      <c r="C24" s="163">
        <v>0.9</v>
      </c>
      <c r="D24" s="114" t="s">
        <v>901</v>
      </c>
    </row>
    <row r="26" spans="2:5" ht="18" customHeight="1" x14ac:dyDescent="0.25">
      <c r="B26" s="12" t="s">
        <v>902</v>
      </c>
      <c r="C26" s="12"/>
      <c r="D26" s="12"/>
      <c r="E26" s="12"/>
    </row>
    <row r="27" spans="2:5" ht="30" customHeight="1" x14ac:dyDescent="0.25">
      <c r="B27" s="22" t="s">
        <v>411</v>
      </c>
      <c r="C27" s="22" t="s">
        <v>353</v>
      </c>
      <c r="D27" s="22" t="s">
        <v>881</v>
      </c>
    </row>
    <row r="28" spans="2:5" x14ac:dyDescent="0.25">
      <c r="B28" s="20" t="s">
        <v>198</v>
      </c>
      <c r="C28" s="161">
        <v>1</v>
      </c>
      <c r="D28" s="27" t="s">
        <v>899</v>
      </c>
    </row>
    <row r="29" spans="2:5" x14ac:dyDescent="0.25">
      <c r="B29" s="119" t="s">
        <v>543</v>
      </c>
      <c r="C29" s="163">
        <v>1.1499999999999999</v>
      </c>
      <c r="D29" s="114" t="s">
        <v>888</v>
      </c>
    </row>
    <row r="30" spans="2:5" x14ac:dyDescent="0.25">
      <c r="B30" s="20" t="s">
        <v>903</v>
      </c>
      <c r="C30" s="161">
        <v>1.35</v>
      </c>
      <c r="D30" s="27" t="s">
        <v>888</v>
      </c>
    </row>
    <row r="31" spans="2:5" x14ac:dyDescent="0.25">
      <c r="B31" s="119" t="s">
        <v>904</v>
      </c>
      <c r="C31" s="163">
        <v>1.65</v>
      </c>
      <c r="D31" s="114" t="s">
        <v>905</v>
      </c>
    </row>
    <row r="32" spans="2:5" x14ac:dyDescent="0.25">
      <c r="B32" s="20" t="s">
        <v>906</v>
      </c>
      <c r="C32" s="161">
        <v>1.85</v>
      </c>
      <c r="D32" s="27" t="s">
        <v>907</v>
      </c>
    </row>
    <row r="33" spans="2:5" x14ac:dyDescent="0.25">
      <c r="B33" s="119" t="s">
        <v>908</v>
      </c>
      <c r="C33" s="163">
        <v>2.6</v>
      </c>
      <c r="D33" s="114" t="s">
        <v>909</v>
      </c>
    </row>
    <row r="34" spans="2:5" x14ac:dyDescent="0.25">
      <c r="B34" s="20" t="s">
        <v>910</v>
      </c>
      <c r="C34" s="161">
        <v>2.85</v>
      </c>
      <c r="D34" s="27" t="s">
        <v>909</v>
      </c>
    </row>
    <row r="35" spans="2:5" x14ac:dyDescent="0.25">
      <c r="B35" s="119" t="s">
        <v>911</v>
      </c>
      <c r="C35" s="163">
        <v>3</v>
      </c>
      <c r="D35" s="114" t="s">
        <v>909</v>
      </c>
    </row>
    <row r="36" spans="2:5" x14ac:dyDescent="0.25">
      <c r="B36" s="20" t="s">
        <v>912</v>
      </c>
      <c r="C36" s="161">
        <v>1.4</v>
      </c>
      <c r="D36" s="27" t="s">
        <v>913</v>
      </c>
    </row>
    <row r="38" spans="2:5" x14ac:dyDescent="0.25">
      <c r="B38" s="15" t="s">
        <v>914</v>
      </c>
    </row>
    <row r="39" spans="2:5" ht="27.75" customHeight="1" x14ac:dyDescent="0.25">
      <c r="B39" s="10" t="s">
        <v>915</v>
      </c>
      <c r="C39" s="10"/>
      <c r="D39" s="10"/>
      <c r="E39" s="10"/>
    </row>
    <row r="40" spans="2:5" ht="27.75" customHeight="1" x14ac:dyDescent="0.25">
      <c r="B40" s="10" t="s">
        <v>916</v>
      </c>
      <c r="C40" s="10"/>
      <c r="D40" s="10"/>
      <c r="E40" s="10"/>
    </row>
    <row r="41" spans="2:5" ht="27.75" customHeight="1" x14ac:dyDescent="0.25">
      <c r="B41" s="10" t="s">
        <v>917</v>
      </c>
      <c r="C41" s="10"/>
      <c r="D41" s="10"/>
      <c r="E41" s="10"/>
    </row>
    <row r="42" spans="2:5" ht="27.75" customHeight="1" x14ac:dyDescent="0.25">
      <c r="B42" s="10" t="s">
        <v>918</v>
      </c>
      <c r="C42" s="10"/>
      <c r="D42" s="10"/>
      <c r="E42" s="10"/>
    </row>
  </sheetData>
  <mergeCells count="9">
    <mergeCell ref="B39:E39"/>
    <mergeCell ref="B40:E40"/>
    <mergeCell ref="B41:E41"/>
    <mergeCell ref="B42:E42"/>
    <mergeCell ref="B1:E1"/>
    <mergeCell ref="B2:E2"/>
    <mergeCell ref="B4:E4"/>
    <mergeCell ref="B17:E17"/>
    <mergeCell ref="B26:E26"/>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showGridLines="0" zoomScaleNormal="100" workbookViewId="0"/>
  </sheetViews>
  <sheetFormatPr defaultColWidth="8.7109375" defaultRowHeight="15" x14ac:dyDescent="0.25"/>
  <cols>
    <col min="1" max="1" width="2" customWidth="1"/>
    <col min="2" max="2" width="46" customWidth="1"/>
    <col min="3" max="3" width="14" customWidth="1"/>
    <col min="4" max="4" width="62" customWidth="1"/>
    <col min="5" max="5" width="20" customWidth="1"/>
  </cols>
  <sheetData>
    <row r="1" spans="2:5" ht="25.5" customHeight="1" x14ac:dyDescent="0.25">
      <c r="B1" s="14" t="s">
        <v>919</v>
      </c>
      <c r="C1" s="14"/>
      <c r="D1" s="14"/>
      <c r="E1" s="14"/>
    </row>
    <row r="2" spans="2:5" ht="15" customHeight="1" x14ac:dyDescent="0.25">
      <c r="B2" s="13" t="s">
        <v>920</v>
      </c>
      <c r="C2" s="13"/>
      <c r="D2" s="13"/>
      <c r="E2" s="13"/>
    </row>
    <row r="4" spans="2:5" ht="18" customHeight="1" x14ac:dyDescent="0.25">
      <c r="B4" s="12" t="s">
        <v>921</v>
      </c>
      <c r="C4" s="12"/>
      <c r="D4" s="12"/>
      <c r="E4" s="12"/>
    </row>
    <row r="5" spans="2:5" ht="30" customHeight="1" x14ac:dyDescent="0.25">
      <c r="B5" s="22" t="s">
        <v>922</v>
      </c>
      <c r="C5" s="22" t="s">
        <v>353</v>
      </c>
      <c r="D5" s="22" t="s">
        <v>881</v>
      </c>
    </row>
    <row r="6" spans="2:5" x14ac:dyDescent="0.25">
      <c r="B6" s="20" t="s">
        <v>201</v>
      </c>
      <c r="C6" s="161">
        <v>0.9</v>
      </c>
      <c r="D6" s="27" t="s">
        <v>900</v>
      </c>
    </row>
    <row r="7" spans="2:5" x14ac:dyDescent="0.25">
      <c r="B7" s="119" t="s">
        <v>512</v>
      </c>
      <c r="C7" s="163">
        <v>0.85</v>
      </c>
      <c r="D7" s="114" t="s">
        <v>923</v>
      </c>
    </row>
    <row r="8" spans="2:5" x14ac:dyDescent="0.25">
      <c r="B8" s="20" t="s">
        <v>544</v>
      </c>
      <c r="C8" s="161">
        <v>1.1000000000000001</v>
      </c>
      <c r="D8" s="27" t="s">
        <v>888</v>
      </c>
    </row>
    <row r="9" spans="2:5" x14ac:dyDescent="0.25">
      <c r="B9" s="119" t="s">
        <v>924</v>
      </c>
      <c r="C9" s="163">
        <v>1.3</v>
      </c>
      <c r="D9" s="114" t="s">
        <v>888</v>
      </c>
    </row>
    <row r="10" spans="2:5" x14ac:dyDescent="0.25">
      <c r="B10" s="20" t="s">
        <v>925</v>
      </c>
      <c r="C10" s="161">
        <v>1.6</v>
      </c>
      <c r="D10" s="27" t="s">
        <v>905</v>
      </c>
    </row>
    <row r="11" spans="2:5" x14ac:dyDescent="0.25">
      <c r="B11" s="119" t="s">
        <v>926</v>
      </c>
      <c r="C11" s="163">
        <v>1.75</v>
      </c>
      <c r="D11" s="114" t="s">
        <v>927</v>
      </c>
    </row>
    <row r="12" spans="2:5" x14ac:dyDescent="0.25">
      <c r="B12" s="20" t="s">
        <v>928</v>
      </c>
      <c r="C12" s="161">
        <v>1.85</v>
      </c>
      <c r="D12" s="27" t="s">
        <v>907</v>
      </c>
    </row>
    <row r="13" spans="2:5" x14ac:dyDescent="0.25">
      <c r="B13" s="119" t="s">
        <v>929</v>
      </c>
      <c r="C13" s="163">
        <v>2.5</v>
      </c>
      <c r="D13" s="114" t="s">
        <v>909</v>
      </c>
    </row>
    <row r="14" spans="2:5" x14ac:dyDescent="0.25">
      <c r="B14" s="20" t="s">
        <v>930</v>
      </c>
      <c r="C14" s="161">
        <v>1.55</v>
      </c>
      <c r="D14" s="27" t="s">
        <v>931</v>
      </c>
    </row>
    <row r="15" spans="2:5" x14ac:dyDescent="0.25">
      <c r="B15" s="119" t="s">
        <v>700</v>
      </c>
      <c r="C15" s="163">
        <v>1.05</v>
      </c>
      <c r="D15" s="114" t="s">
        <v>888</v>
      </c>
    </row>
    <row r="18" spans="2:5" x14ac:dyDescent="0.25">
      <c r="B18" s="15" t="s">
        <v>932</v>
      </c>
    </row>
    <row r="19" spans="2:5" ht="27.75" customHeight="1" x14ac:dyDescent="0.25">
      <c r="B19" s="10" t="s">
        <v>933</v>
      </c>
      <c r="C19" s="10"/>
      <c r="D19" s="10"/>
      <c r="E19" s="10"/>
    </row>
    <row r="20" spans="2:5" ht="27.75" customHeight="1" x14ac:dyDescent="0.25">
      <c r="B20" s="10" t="s">
        <v>934</v>
      </c>
      <c r="C20" s="10"/>
      <c r="D20" s="10"/>
      <c r="E20" s="10"/>
    </row>
    <row r="21" spans="2:5" ht="27.75" customHeight="1" x14ac:dyDescent="0.25">
      <c r="B21" s="10" t="s">
        <v>935</v>
      </c>
      <c r="C21" s="10"/>
      <c r="D21" s="10"/>
      <c r="E21" s="10"/>
    </row>
    <row r="22" spans="2:5" ht="27.75" customHeight="1" x14ac:dyDescent="0.25">
      <c r="B22" s="10" t="s">
        <v>936</v>
      </c>
      <c r="C22" s="10"/>
      <c r="D22" s="10"/>
      <c r="E22" s="10"/>
    </row>
    <row r="23" spans="2:5" ht="27.75" customHeight="1" x14ac:dyDescent="0.25">
      <c r="B23" s="10" t="s">
        <v>937</v>
      </c>
      <c r="C23" s="10"/>
      <c r="D23" s="10"/>
      <c r="E23" s="10"/>
    </row>
    <row r="24" spans="2:5" ht="27.75" customHeight="1" x14ac:dyDescent="0.25">
      <c r="B24" s="10" t="s">
        <v>938</v>
      </c>
      <c r="C24" s="10"/>
      <c r="D24" s="10"/>
      <c r="E24" s="10"/>
    </row>
  </sheetData>
  <mergeCells count="9">
    <mergeCell ref="B21:E21"/>
    <mergeCell ref="B22:E22"/>
    <mergeCell ref="B23:E23"/>
    <mergeCell ref="B24:E24"/>
    <mergeCell ref="B1:E1"/>
    <mergeCell ref="B2:E2"/>
    <mergeCell ref="B4:E4"/>
    <mergeCell ref="B19:E19"/>
    <mergeCell ref="B20:E2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L76"/>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22" customWidth="1"/>
    <col min="3" max="3" width="8" customWidth="1"/>
    <col min="4" max="4" width="24" customWidth="1"/>
    <col min="5" max="5" width="11" customWidth="1"/>
    <col min="6" max="6" width="13" customWidth="1"/>
    <col min="7" max="7" width="11" customWidth="1"/>
    <col min="8" max="8" width="10" customWidth="1"/>
    <col min="9" max="10" width="11" customWidth="1"/>
    <col min="11" max="11" width="12" customWidth="1"/>
    <col min="12" max="12" width="74" customWidth="1"/>
  </cols>
  <sheetData>
    <row r="1" spans="2:12" ht="25.5" customHeight="1" x14ac:dyDescent="0.25">
      <c r="B1" s="14" t="s">
        <v>939</v>
      </c>
      <c r="C1" s="14"/>
      <c r="D1" s="14"/>
      <c r="E1" s="14"/>
      <c r="F1" s="14"/>
      <c r="G1" s="14"/>
      <c r="H1" s="14"/>
      <c r="I1" s="14"/>
      <c r="J1" s="14"/>
      <c r="K1" s="14"/>
      <c r="L1" s="14"/>
    </row>
    <row r="2" spans="2:12" ht="15" customHeight="1" x14ac:dyDescent="0.25">
      <c r="B2" s="13" t="s">
        <v>940</v>
      </c>
      <c r="C2" s="13"/>
      <c r="D2" s="13"/>
      <c r="E2" s="13"/>
      <c r="F2" s="13"/>
      <c r="G2" s="13"/>
      <c r="H2" s="13"/>
      <c r="I2" s="13"/>
      <c r="J2" s="13"/>
      <c r="K2" s="13"/>
      <c r="L2" s="13"/>
    </row>
    <row r="5" spans="2:12" ht="30" customHeight="1" x14ac:dyDescent="0.25">
      <c r="B5" s="22" t="s">
        <v>602</v>
      </c>
      <c r="C5" s="22" t="s">
        <v>941</v>
      </c>
      <c r="D5" s="22" t="s">
        <v>942</v>
      </c>
      <c r="E5" s="22" t="s">
        <v>943</v>
      </c>
      <c r="F5" s="22" t="s">
        <v>944</v>
      </c>
      <c r="G5" s="22" t="s">
        <v>945</v>
      </c>
      <c r="H5" s="22" t="s">
        <v>946</v>
      </c>
      <c r="I5" s="22" t="s">
        <v>947</v>
      </c>
      <c r="J5" s="22" t="s">
        <v>948</v>
      </c>
      <c r="K5" s="22" t="s">
        <v>949</v>
      </c>
      <c r="L5" s="22" t="s">
        <v>950</v>
      </c>
    </row>
    <row r="6" spans="2:12" ht="25.5" customHeight="1" x14ac:dyDescent="0.25">
      <c r="B6" s="20" t="s">
        <v>951</v>
      </c>
      <c r="C6" s="56" t="s">
        <v>952</v>
      </c>
      <c r="D6" s="27" t="s">
        <v>953</v>
      </c>
      <c r="E6" s="161">
        <v>1.05</v>
      </c>
      <c r="F6" s="133">
        <v>470</v>
      </c>
      <c r="G6" s="165">
        <v>0.09</v>
      </c>
      <c r="H6" s="161">
        <v>1.05</v>
      </c>
      <c r="I6" s="161">
        <v>1.1499999999999999</v>
      </c>
      <c r="J6" s="56" t="s">
        <v>642</v>
      </c>
      <c r="K6" s="165">
        <v>0.06</v>
      </c>
      <c r="L6" s="24" t="s">
        <v>954</v>
      </c>
    </row>
    <row r="7" spans="2:12" ht="25.5" customHeight="1" x14ac:dyDescent="0.25">
      <c r="B7" s="119" t="s">
        <v>955</v>
      </c>
      <c r="C7" s="63" t="s">
        <v>956</v>
      </c>
      <c r="D7" s="114" t="s">
        <v>957</v>
      </c>
      <c r="E7" s="163">
        <v>0.78</v>
      </c>
      <c r="F7" s="135">
        <v>330</v>
      </c>
      <c r="G7" s="166">
        <v>0.02</v>
      </c>
      <c r="H7" s="163">
        <v>0.85</v>
      </c>
      <c r="I7" s="163">
        <v>0.9</v>
      </c>
      <c r="J7" s="63" t="s">
        <v>642</v>
      </c>
      <c r="K7" s="166">
        <v>2.7E-2</v>
      </c>
      <c r="L7" s="26" t="s">
        <v>958</v>
      </c>
    </row>
    <row r="8" spans="2:12" ht="25.5" customHeight="1" x14ac:dyDescent="0.25">
      <c r="B8" s="20" t="s">
        <v>504</v>
      </c>
      <c r="C8" s="56" t="s">
        <v>959</v>
      </c>
      <c r="D8" s="27" t="s">
        <v>960</v>
      </c>
      <c r="E8" s="161">
        <v>1.1000000000000001</v>
      </c>
      <c r="F8" s="133">
        <v>520</v>
      </c>
      <c r="G8" s="165">
        <v>4.4999999999999998E-2</v>
      </c>
      <c r="H8" s="161">
        <v>1.2</v>
      </c>
      <c r="I8" s="161">
        <v>1.05</v>
      </c>
      <c r="J8" s="56" t="s">
        <v>642</v>
      </c>
      <c r="K8" s="165">
        <v>0.03</v>
      </c>
      <c r="L8" s="24" t="s">
        <v>961</v>
      </c>
    </row>
    <row r="9" spans="2:12" ht="25.5" customHeight="1" x14ac:dyDescent="0.25">
      <c r="B9" s="119" t="s">
        <v>962</v>
      </c>
      <c r="C9" s="63" t="s">
        <v>963</v>
      </c>
      <c r="D9" s="114" t="s">
        <v>964</v>
      </c>
      <c r="E9" s="163">
        <v>0.92</v>
      </c>
      <c r="F9" s="135">
        <v>400</v>
      </c>
      <c r="G9" s="166">
        <v>7.0000000000000007E-2</v>
      </c>
      <c r="H9" s="163">
        <v>0.95</v>
      </c>
      <c r="I9" s="163">
        <v>1.05</v>
      </c>
      <c r="J9" s="63" t="s">
        <v>642</v>
      </c>
      <c r="K9" s="166">
        <v>0.04</v>
      </c>
      <c r="L9" s="26" t="s">
        <v>965</v>
      </c>
    </row>
    <row r="10" spans="2:12" ht="25.5" customHeight="1" x14ac:dyDescent="0.25">
      <c r="B10" s="20" t="s">
        <v>569</v>
      </c>
      <c r="C10" s="56" t="s">
        <v>966</v>
      </c>
      <c r="D10" s="27" t="s">
        <v>967</v>
      </c>
      <c r="E10" s="161">
        <v>1.35</v>
      </c>
      <c r="F10" s="133">
        <v>760</v>
      </c>
      <c r="G10" s="165">
        <v>0.06</v>
      </c>
      <c r="H10" s="161">
        <v>1.3</v>
      </c>
      <c r="I10" s="161">
        <v>1.3</v>
      </c>
      <c r="J10" s="56" t="s">
        <v>642</v>
      </c>
      <c r="K10" s="165">
        <v>0.03</v>
      </c>
      <c r="L10" s="24" t="s">
        <v>968</v>
      </c>
    </row>
    <row r="11" spans="2:12" ht="25.5" customHeight="1" x14ac:dyDescent="0.25">
      <c r="B11" s="119" t="s">
        <v>969</v>
      </c>
      <c r="C11" s="63" t="s">
        <v>970</v>
      </c>
      <c r="D11" s="114" t="s">
        <v>971</v>
      </c>
      <c r="E11" s="163">
        <v>1.08</v>
      </c>
      <c r="F11" s="135">
        <v>480</v>
      </c>
      <c r="G11" s="166">
        <v>8.5000000000000006E-2</v>
      </c>
      <c r="H11" s="163">
        <v>1.05</v>
      </c>
      <c r="I11" s="163">
        <v>1.05</v>
      </c>
      <c r="J11" s="63" t="s">
        <v>642</v>
      </c>
      <c r="K11" s="166">
        <v>0.03</v>
      </c>
      <c r="L11" s="26" t="s">
        <v>972</v>
      </c>
    </row>
    <row r="12" spans="2:12" ht="25.5" customHeight="1" x14ac:dyDescent="0.25">
      <c r="B12" s="20" t="s">
        <v>691</v>
      </c>
      <c r="C12" s="56" t="s">
        <v>973</v>
      </c>
      <c r="D12" s="27" t="s">
        <v>974</v>
      </c>
      <c r="E12" s="161">
        <v>1.1200000000000001</v>
      </c>
      <c r="F12" s="133">
        <v>600</v>
      </c>
      <c r="G12" s="165">
        <v>0.03</v>
      </c>
      <c r="H12" s="161">
        <v>1.05</v>
      </c>
      <c r="I12" s="161">
        <v>1.2</v>
      </c>
      <c r="J12" s="56" t="s">
        <v>642</v>
      </c>
      <c r="K12" s="165">
        <v>0.04</v>
      </c>
      <c r="L12" s="24" t="s">
        <v>975</v>
      </c>
    </row>
    <row r="13" spans="2:12" ht="25.5" customHeight="1" x14ac:dyDescent="0.25">
      <c r="B13" s="119" t="s">
        <v>976</v>
      </c>
      <c r="C13" s="63" t="s">
        <v>977</v>
      </c>
      <c r="D13" s="114" t="s">
        <v>978</v>
      </c>
      <c r="E13" s="163">
        <v>1.05</v>
      </c>
      <c r="F13" s="135">
        <v>540</v>
      </c>
      <c r="G13" s="166">
        <v>3.5000000000000003E-2</v>
      </c>
      <c r="H13" s="163">
        <v>1</v>
      </c>
      <c r="I13" s="163">
        <v>1.1000000000000001</v>
      </c>
      <c r="J13" s="63" t="s">
        <v>642</v>
      </c>
      <c r="K13" s="166">
        <v>0.03</v>
      </c>
      <c r="L13" s="26" t="s">
        <v>979</v>
      </c>
    </row>
    <row r="14" spans="2:12" ht="25.5" customHeight="1" x14ac:dyDescent="0.25">
      <c r="B14" s="20" t="s">
        <v>980</v>
      </c>
      <c r="C14" s="56" t="s">
        <v>981</v>
      </c>
      <c r="D14" s="27" t="s">
        <v>978</v>
      </c>
      <c r="E14" s="161">
        <v>1.3</v>
      </c>
      <c r="F14" s="133">
        <v>720</v>
      </c>
      <c r="G14" s="165">
        <v>2.5000000000000001E-2</v>
      </c>
      <c r="H14" s="161">
        <v>1.25</v>
      </c>
      <c r="I14" s="161">
        <v>1.25</v>
      </c>
      <c r="J14" s="56" t="s">
        <v>644</v>
      </c>
      <c r="K14" s="165">
        <v>0.02</v>
      </c>
      <c r="L14" s="24" t="s">
        <v>982</v>
      </c>
    </row>
    <row r="15" spans="2:12" ht="25.5" customHeight="1" x14ac:dyDescent="0.25">
      <c r="B15" s="119" t="s">
        <v>171</v>
      </c>
      <c r="C15" s="63" t="s">
        <v>983</v>
      </c>
      <c r="D15" s="114" t="s">
        <v>953</v>
      </c>
      <c r="E15" s="163">
        <v>1.45</v>
      </c>
      <c r="F15" s="135">
        <v>980</v>
      </c>
      <c r="G15" s="166">
        <v>0.18</v>
      </c>
      <c r="H15" s="163">
        <v>1.35</v>
      </c>
      <c r="I15" s="163">
        <v>1.4</v>
      </c>
      <c r="J15" s="63" t="s">
        <v>644</v>
      </c>
      <c r="K15" s="166">
        <v>4.9399999999999999E-2</v>
      </c>
      <c r="L15" s="26" t="s">
        <v>984</v>
      </c>
    </row>
    <row r="16" spans="2:12" ht="25.5" customHeight="1" x14ac:dyDescent="0.25">
      <c r="B16" s="20" t="s">
        <v>985</v>
      </c>
      <c r="C16" s="56" t="s">
        <v>986</v>
      </c>
      <c r="D16" s="27" t="s">
        <v>953</v>
      </c>
      <c r="E16" s="161">
        <v>1.18</v>
      </c>
      <c r="F16" s="133">
        <v>620</v>
      </c>
      <c r="G16" s="165">
        <v>5.5E-2</v>
      </c>
      <c r="H16" s="161">
        <v>1.2</v>
      </c>
      <c r="I16" s="161">
        <v>1.2</v>
      </c>
      <c r="J16" s="56" t="s">
        <v>642</v>
      </c>
      <c r="K16" s="165">
        <v>0.04</v>
      </c>
      <c r="L16" s="24" t="s">
        <v>987</v>
      </c>
    </row>
    <row r="17" spans="2:12" ht="25.5" customHeight="1" x14ac:dyDescent="0.25">
      <c r="B17" s="119" t="s">
        <v>988</v>
      </c>
      <c r="C17" s="63" t="s">
        <v>989</v>
      </c>
      <c r="D17" s="114" t="s">
        <v>957</v>
      </c>
      <c r="E17" s="163">
        <v>0.95</v>
      </c>
      <c r="F17" s="135">
        <v>420</v>
      </c>
      <c r="G17" s="166">
        <v>7.0000000000000007E-2</v>
      </c>
      <c r="H17" s="163">
        <v>0.9</v>
      </c>
      <c r="I17" s="163">
        <v>1</v>
      </c>
      <c r="J17" s="63" t="s">
        <v>644</v>
      </c>
      <c r="K17" s="166">
        <v>4.6800000000000001E-2</v>
      </c>
      <c r="L17" s="26" t="s">
        <v>990</v>
      </c>
    </row>
    <row r="18" spans="2:12" ht="25.5" customHeight="1" x14ac:dyDescent="0.25">
      <c r="B18" s="20" t="s">
        <v>991</v>
      </c>
      <c r="C18" s="56" t="s">
        <v>992</v>
      </c>
      <c r="D18" s="27" t="s">
        <v>971</v>
      </c>
      <c r="E18" s="161">
        <v>0.75</v>
      </c>
      <c r="F18" s="133">
        <v>300</v>
      </c>
      <c r="G18" s="165">
        <v>0.03</v>
      </c>
      <c r="H18" s="161">
        <v>0.8</v>
      </c>
      <c r="I18" s="161">
        <v>0.85</v>
      </c>
      <c r="J18" s="56" t="s">
        <v>642</v>
      </c>
      <c r="K18" s="165">
        <v>1.4999999999999999E-2</v>
      </c>
      <c r="L18" s="24" t="s">
        <v>993</v>
      </c>
    </row>
    <row r="19" spans="2:12" ht="25.5" customHeight="1" x14ac:dyDescent="0.25">
      <c r="B19" s="119" t="s">
        <v>994</v>
      </c>
      <c r="C19" s="63" t="s">
        <v>995</v>
      </c>
      <c r="D19" s="114" t="s">
        <v>996</v>
      </c>
      <c r="E19" s="163">
        <v>1.22</v>
      </c>
      <c r="F19" s="135">
        <v>640</v>
      </c>
      <c r="G19" s="166">
        <v>5.5E-2</v>
      </c>
      <c r="H19" s="163">
        <v>1.3</v>
      </c>
      <c r="I19" s="163">
        <v>1.25</v>
      </c>
      <c r="J19" s="63" t="s">
        <v>642</v>
      </c>
      <c r="K19" s="166">
        <v>3.5000000000000003E-2</v>
      </c>
      <c r="L19" s="26" t="s">
        <v>997</v>
      </c>
    </row>
    <row r="20" spans="2:12" ht="25.5" customHeight="1" x14ac:dyDescent="0.25">
      <c r="B20" s="20" t="s">
        <v>998</v>
      </c>
      <c r="C20" s="56" t="s">
        <v>999</v>
      </c>
      <c r="D20" s="27" t="s">
        <v>996</v>
      </c>
      <c r="E20" s="161">
        <v>0.95</v>
      </c>
      <c r="F20" s="133">
        <v>420</v>
      </c>
      <c r="G20" s="165">
        <v>5.5E-2</v>
      </c>
      <c r="H20" s="161">
        <v>0.95</v>
      </c>
      <c r="I20" s="161">
        <v>1</v>
      </c>
      <c r="J20" s="56" t="s">
        <v>642</v>
      </c>
      <c r="K20" s="165">
        <v>2.5000000000000001E-2</v>
      </c>
      <c r="L20" s="24" t="s">
        <v>1000</v>
      </c>
    </row>
    <row r="21" spans="2:12" ht="25.5" customHeight="1" x14ac:dyDescent="0.25">
      <c r="B21" s="119" t="s">
        <v>1001</v>
      </c>
      <c r="C21" s="63" t="s">
        <v>1002</v>
      </c>
      <c r="D21" s="114" t="s">
        <v>996</v>
      </c>
      <c r="E21" s="163">
        <v>0.82</v>
      </c>
      <c r="F21" s="135">
        <v>350</v>
      </c>
      <c r="G21" s="166">
        <v>6.5000000000000002E-2</v>
      </c>
      <c r="H21" s="163">
        <v>0.82</v>
      </c>
      <c r="I21" s="163">
        <v>0.9</v>
      </c>
      <c r="J21" s="63" t="s">
        <v>642</v>
      </c>
      <c r="K21" s="166">
        <v>0.01</v>
      </c>
      <c r="L21" s="26" t="s">
        <v>1003</v>
      </c>
    </row>
    <row r="22" spans="2:12" ht="25.5" customHeight="1" x14ac:dyDescent="0.25">
      <c r="B22" s="20" t="s">
        <v>1004</v>
      </c>
      <c r="C22" s="56" t="s">
        <v>1005</v>
      </c>
      <c r="D22" s="27" t="s">
        <v>996</v>
      </c>
      <c r="E22" s="161">
        <v>0.88</v>
      </c>
      <c r="F22" s="133">
        <v>380</v>
      </c>
      <c r="G22" s="165">
        <v>7.4999999999999997E-2</v>
      </c>
      <c r="H22" s="161">
        <v>0.9</v>
      </c>
      <c r="I22" s="161">
        <v>0.95</v>
      </c>
      <c r="J22" s="56" t="s">
        <v>642</v>
      </c>
      <c r="K22" s="165">
        <v>0.06</v>
      </c>
      <c r="L22" s="24" t="s">
        <v>1006</v>
      </c>
    </row>
    <row r="23" spans="2:12" ht="25.5" customHeight="1" x14ac:dyDescent="0.25">
      <c r="B23" s="119" t="s">
        <v>1007</v>
      </c>
      <c r="C23" s="63" t="s">
        <v>1008</v>
      </c>
      <c r="D23" s="114" t="s">
        <v>964</v>
      </c>
      <c r="E23" s="163">
        <v>0.95</v>
      </c>
      <c r="F23" s="135">
        <v>430</v>
      </c>
      <c r="G23" s="166">
        <v>5.5E-2</v>
      </c>
      <c r="H23" s="163">
        <v>0.95</v>
      </c>
      <c r="I23" s="163">
        <v>1.05</v>
      </c>
      <c r="J23" s="63" t="s">
        <v>644</v>
      </c>
      <c r="K23" s="166">
        <v>0.03</v>
      </c>
      <c r="L23" s="26" t="s">
        <v>1009</v>
      </c>
    </row>
    <row r="24" spans="2:12" ht="25.5" customHeight="1" x14ac:dyDescent="0.25">
      <c r="B24" s="20" t="s">
        <v>1010</v>
      </c>
      <c r="C24" s="56" t="s">
        <v>1011</v>
      </c>
      <c r="D24" s="27" t="s">
        <v>953</v>
      </c>
      <c r="E24" s="161">
        <v>1.38</v>
      </c>
      <c r="F24" s="133">
        <v>880</v>
      </c>
      <c r="G24" s="165">
        <v>0.15</v>
      </c>
      <c r="H24" s="161">
        <v>1.25</v>
      </c>
      <c r="I24" s="161">
        <v>1.45</v>
      </c>
      <c r="J24" s="56" t="s">
        <v>642</v>
      </c>
      <c r="K24" s="165">
        <v>4.8500000000000001E-2</v>
      </c>
      <c r="L24" s="24" t="s">
        <v>1012</v>
      </c>
    </row>
    <row r="25" spans="2:12" ht="25.5" customHeight="1" x14ac:dyDescent="0.25">
      <c r="B25" s="119" t="s">
        <v>1013</v>
      </c>
      <c r="C25" s="63" t="s">
        <v>1014</v>
      </c>
      <c r="D25" s="114" t="s">
        <v>974</v>
      </c>
      <c r="E25" s="163">
        <v>0.72</v>
      </c>
      <c r="F25" s="135">
        <v>310</v>
      </c>
      <c r="G25" s="166">
        <v>0.03</v>
      </c>
      <c r="H25" s="163">
        <v>0.75</v>
      </c>
      <c r="I25" s="163">
        <v>0.9</v>
      </c>
      <c r="J25" s="63" t="s">
        <v>642</v>
      </c>
      <c r="K25" s="166">
        <v>0.03</v>
      </c>
      <c r="L25" s="26" t="s">
        <v>1015</v>
      </c>
    </row>
    <row r="26" spans="2:12" ht="25.5" customHeight="1" x14ac:dyDescent="0.25">
      <c r="B26" s="20" t="s">
        <v>1016</v>
      </c>
      <c r="C26" s="56" t="s">
        <v>1017</v>
      </c>
      <c r="D26" s="27" t="s">
        <v>978</v>
      </c>
      <c r="E26" s="161">
        <v>1.18</v>
      </c>
      <c r="F26" s="133">
        <v>620</v>
      </c>
      <c r="G26" s="165">
        <v>3.5000000000000003E-2</v>
      </c>
      <c r="H26" s="161">
        <v>1.18</v>
      </c>
      <c r="I26" s="161">
        <v>1.2</v>
      </c>
      <c r="J26" s="56" t="s">
        <v>644</v>
      </c>
      <c r="K26" s="165">
        <v>0.03</v>
      </c>
      <c r="L26" s="24" t="s">
        <v>1018</v>
      </c>
    </row>
    <row r="27" spans="2:12" ht="25.5" customHeight="1" x14ac:dyDescent="0.25">
      <c r="B27" s="119" t="s">
        <v>1019</v>
      </c>
      <c r="C27" s="63" t="s">
        <v>1020</v>
      </c>
      <c r="D27" s="114" t="s">
        <v>974</v>
      </c>
      <c r="E27" s="163">
        <v>1.1499999999999999</v>
      </c>
      <c r="F27" s="135">
        <v>610</v>
      </c>
      <c r="G27" s="166">
        <v>3.5000000000000003E-2</v>
      </c>
      <c r="H27" s="163">
        <v>1.05</v>
      </c>
      <c r="I27" s="163">
        <v>1.2</v>
      </c>
      <c r="J27" s="63" t="s">
        <v>644</v>
      </c>
      <c r="K27" s="166">
        <v>0.04</v>
      </c>
      <c r="L27" s="26" t="s">
        <v>1021</v>
      </c>
    </row>
    <row r="28" spans="2:12" ht="25.5" customHeight="1" x14ac:dyDescent="0.25">
      <c r="B28" s="20" t="s">
        <v>1022</v>
      </c>
      <c r="C28" s="56" t="s">
        <v>1023</v>
      </c>
      <c r="D28" s="27" t="s">
        <v>996</v>
      </c>
      <c r="E28" s="161">
        <v>1.2</v>
      </c>
      <c r="F28" s="133">
        <v>700</v>
      </c>
      <c r="G28" s="165">
        <v>0.04</v>
      </c>
      <c r="H28" s="161">
        <v>1.1499999999999999</v>
      </c>
      <c r="I28" s="161">
        <v>1.35</v>
      </c>
      <c r="J28" s="56" t="s">
        <v>644</v>
      </c>
      <c r="K28" s="165">
        <v>2.5000000000000001E-2</v>
      </c>
      <c r="L28" s="24" t="s">
        <v>1024</v>
      </c>
    </row>
    <row r="29" spans="2:12" ht="25.5" customHeight="1" x14ac:dyDescent="0.25">
      <c r="B29" s="119" t="s">
        <v>1025</v>
      </c>
      <c r="C29" s="63" t="s">
        <v>1026</v>
      </c>
      <c r="D29" s="114" t="s">
        <v>996</v>
      </c>
      <c r="E29" s="163">
        <v>0.9</v>
      </c>
      <c r="F29" s="135">
        <v>400</v>
      </c>
      <c r="G29" s="166">
        <v>5.5E-2</v>
      </c>
      <c r="H29" s="163">
        <v>0.9</v>
      </c>
      <c r="I29" s="163">
        <v>0.95</v>
      </c>
      <c r="J29" s="63" t="s">
        <v>644</v>
      </c>
      <c r="K29" s="166">
        <v>0.03</v>
      </c>
      <c r="L29" s="26" t="s">
        <v>1027</v>
      </c>
    </row>
    <row r="30" spans="2:12" ht="25.5" customHeight="1" x14ac:dyDescent="0.25">
      <c r="B30" s="20" t="s">
        <v>1028</v>
      </c>
      <c r="C30" s="56" t="s">
        <v>1029</v>
      </c>
      <c r="D30" s="27" t="s">
        <v>953</v>
      </c>
      <c r="E30" s="161">
        <v>1.08</v>
      </c>
      <c r="F30" s="133">
        <v>500</v>
      </c>
      <c r="G30" s="165">
        <v>9.5000000000000001E-2</v>
      </c>
      <c r="H30" s="161">
        <v>1</v>
      </c>
      <c r="I30" s="161">
        <v>1.2</v>
      </c>
      <c r="J30" s="56" t="s">
        <v>642</v>
      </c>
      <c r="K30" s="165">
        <v>0.04</v>
      </c>
      <c r="L30" s="24" t="s">
        <v>1030</v>
      </c>
    </row>
    <row r="31" spans="2:12" ht="25.5" customHeight="1" x14ac:dyDescent="0.25">
      <c r="B31" s="119" t="s">
        <v>1031</v>
      </c>
      <c r="C31" s="63" t="s">
        <v>1032</v>
      </c>
      <c r="D31" s="114" t="s">
        <v>996</v>
      </c>
      <c r="E31" s="163">
        <v>0.98</v>
      </c>
      <c r="F31" s="135">
        <v>450</v>
      </c>
      <c r="G31" s="166">
        <v>7.0000000000000007E-2</v>
      </c>
      <c r="H31" s="163">
        <v>1.05</v>
      </c>
      <c r="I31" s="163">
        <v>1.1000000000000001</v>
      </c>
      <c r="J31" s="63" t="s">
        <v>642</v>
      </c>
      <c r="K31" s="166">
        <v>0.05</v>
      </c>
      <c r="L31" s="26" t="s">
        <v>1033</v>
      </c>
    </row>
    <row r="32" spans="2:12" ht="25.5" customHeight="1" x14ac:dyDescent="0.25">
      <c r="B32" s="20" t="s">
        <v>1034</v>
      </c>
      <c r="C32" s="56" t="s">
        <v>1035</v>
      </c>
      <c r="D32" s="27" t="s">
        <v>971</v>
      </c>
      <c r="E32" s="161">
        <v>0.72</v>
      </c>
      <c r="F32" s="133">
        <v>290</v>
      </c>
      <c r="G32" s="165">
        <v>3.5000000000000003E-2</v>
      </c>
      <c r="H32" s="161">
        <v>0.78</v>
      </c>
      <c r="I32" s="161">
        <v>0.85</v>
      </c>
      <c r="J32" s="56" t="s">
        <v>642</v>
      </c>
      <c r="K32" s="165">
        <v>2.75E-2</v>
      </c>
      <c r="L32" s="24" t="s">
        <v>1036</v>
      </c>
    </row>
    <row r="33" spans="2:12" ht="25.5" customHeight="1" x14ac:dyDescent="0.25">
      <c r="B33" s="119" t="s">
        <v>1037</v>
      </c>
      <c r="C33" s="63" t="s">
        <v>1038</v>
      </c>
      <c r="D33" s="114" t="s">
        <v>996</v>
      </c>
      <c r="E33" s="163">
        <v>0.85</v>
      </c>
      <c r="F33" s="135">
        <v>360</v>
      </c>
      <c r="G33" s="166">
        <v>7.4999999999999997E-2</v>
      </c>
      <c r="H33" s="163">
        <v>0.85</v>
      </c>
      <c r="I33" s="163">
        <v>0.9</v>
      </c>
      <c r="J33" s="63" t="s">
        <v>642</v>
      </c>
      <c r="K33" s="166">
        <v>0.03</v>
      </c>
      <c r="L33" s="26" t="s">
        <v>1039</v>
      </c>
    </row>
    <row r="34" spans="2:12" ht="25.5" customHeight="1" x14ac:dyDescent="0.25">
      <c r="B34" s="20" t="s">
        <v>535</v>
      </c>
      <c r="C34" s="56" t="s">
        <v>1040</v>
      </c>
      <c r="D34" s="27" t="s">
        <v>967</v>
      </c>
      <c r="E34" s="161">
        <v>1.1499999999999999</v>
      </c>
      <c r="F34" s="133">
        <v>560</v>
      </c>
      <c r="G34" s="165">
        <v>3.5000000000000003E-2</v>
      </c>
      <c r="H34" s="161">
        <v>1.22</v>
      </c>
      <c r="I34" s="161">
        <v>1.1000000000000001</v>
      </c>
      <c r="J34" s="56" t="s">
        <v>642</v>
      </c>
      <c r="K34" s="165">
        <v>3.5000000000000003E-2</v>
      </c>
      <c r="L34" s="24" t="s">
        <v>1041</v>
      </c>
    </row>
    <row r="35" spans="2:12" ht="25.5" customHeight="1" x14ac:dyDescent="0.25">
      <c r="B35" s="119" t="s">
        <v>1042</v>
      </c>
      <c r="C35" s="63" t="s">
        <v>1043</v>
      </c>
      <c r="D35" s="114" t="s">
        <v>974</v>
      </c>
      <c r="E35" s="163">
        <v>0.75</v>
      </c>
      <c r="F35" s="135">
        <v>320</v>
      </c>
      <c r="G35" s="166">
        <v>0.03</v>
      </c>
      <c r="H35" s="163">
        <v>0.78</v>
      </c>
      <c r="I35" s="163">
        <v>0.9</v>
      </c>
      <c r="J35" s="63" t="s">
        <v>642</v>
      </c>
      <c r="K35" s="166">
        <v>0.03</v>
      </c>
      <c r="L35" s="26" t="s">
        <v>1044</v>
      </c>
    </row>
    <row r="36" spans="2:12" ht="25.5" customHeight="1" x14ac:dyDescent="0.25">
      <c r="B36" s="20" t="s">
        <v>1045</v>
      </c>
      <c r="C36" s="56" t="s">
        <v>1046</v>
      </c>
      <c r="D36" s="27" t="s">
        <v>974</v>
      </c>
      <c r="E36" s="161">
        <v>1.32</v>
      </c>
      <c r="F36" s="133">
        <v>780</v>
      </c>
      <c r="G36" s="165">
        <v>4.4999999999999998E-2</v>
      </c>
      <c r="H36" s="161">
        <v>1.28</v>
      </c>
      <c r="I36" s="161">
        <v>1.35</v>
      </c>
      <c r="J36" s="56" t="s">
        <v>644</v>
      </c>
      <c r="K36" s="165">
        <v>0.05</v>
      </c>
      <c r="L36" s="24" t="s">
        <v>1047</v>
      </c>
    </row>
    <row r="37" spans="2:12" ht="25.5" customHeight="1" x14ac:dyDescent="0.25">
      <c r="B37" s="119" t="s">
        <v>1048</v>
      </c>
      <c r="C37" s="63" t="s">
        <v>1049</v>
      </c>
      <c r="D37" s="114" t="s">
        <v>960</v>
      </c>
      <c r="E37" s="163">
        <v>0.95</v>
      </c>
      <c r="F37" s="135">
        <v>430</v>
      </c>
      <c r="G37" s="166">
        <v>4.4999999999999998E-2</v>
      </c>
      <c r="H37" s="163">
        <v>1.05</v>
      </c>
      <c r="I37" s="163">
        <v>1.05</v>
      </c>
      <c r="J37" s="63" t="s">
        <v>642</v>
      </c>
      <c r="K37" s="166">
        <v>3.3000000000000002E-2</v>
      </c>
      <c r="L37" s="26" t="s">
        <v>1050</v>
      </c>
    </row>
    <row r="38" spans="2:12" ht="25.5" customHeight="1" x14ac:dyDescent="0.25">
      <c r="B38" s="20" t="s">
        <v>1051</v>
      </c>
      <c r="C38" s="56" t="s">
        <v>1052</v>
      </c>
      <c r="D38" s="27" t="s">
        <v>974</v>
      </c>
      <c r="E38" s="161">
        <v>1.4</v>
      </c>
      <c r="F38" s="133">
        <v>900</v>
      </c>
      <c r="G38" s="165">
        <v>4.4999999999999998E-2</v>
      </c>
      <c r="H38" s="161">
        <v>1.3</v>
      </c>
      <c r="I38" s="161">
        <v>1.4</v>
      </c>
      <c r="J38" s="56" t="s">
        <v>644</v>
      </c>
      <c r="K38" s="165">
        <v>3.5999999999999997E-2</v>
      </c>
      <c r="L38" s="24" t="s">
        <v>1053</v>
      </c>
    </row>
    <row r="39" spans="2:12" ht="25.5" customHeight="1" x14ac:dyDescent="0.25">
      <c r="B39" s="119" t="s">
        <v>1054</v>
      </c>
      <c r="C39" s="63" t="s">
        <v>1055</v>
      </c>
      <c r="D39" s="114" t="s">
        <v>953</v>
      </c>
      <c r="E39" s="163">
        <v>1.05</v>
      </c>
      <c r="F39" s="135">
        <v>500</v>
      </c>
      <c r="G39" s="166">
        <v>7.0000000000000007E-2</v>
      </c>
      <c r="H39" s="163">
        <v>1</v>
      </c>
      <c r="I39" s="163">
        <v>1.1000000000000001</v>
      </c>
      <c r="J39" s="63" t="s">
        <v>642</v>
      </c>
      <c r="K39" s="166">
        <v>0.05</v>
      </c>
      <c r="L39" s="26" t="s">
        <v>1056</v>
      </c>
    </row>
    <row r="40" spans="2:12" ht="25.5" customHeight="1" x14ac:dyDescent="0.25">
      <c r="B40" s="20" t="s">
        <v>1057</v>
      </c>
      <c r="C40" s="56" t="s">
        <v>1058</v>
      </c>
      <c r="D40" s="27" t="s">
        <v>996</v>
      </c>
      <c r="E40" s="161">
        <v>0.7</v>
      </c>
      <c r="F40" s="133">
        <v>280</v>
      </c>
      <c r="G40" s="165">
        <v>5.5E-2</v>
      </c>
      <c r="H40" s="161">
        <v>0.75</v>
      </c>
      <c r="I40" s="161">
        <v>0.85</v>
      </c>
      <c r="J40" s="56" t="s">
        <v>644</v>
      </c>
      <c r="K40" s="165">
        <v>1.7500000000000002E-2</v>
      </c>
      <c r="L40" s="24" t="s">
        <v>1059</v>
      </c>
    </row>
    <row r="41" spans="2:12" ht="25.5" customHeight="1" x14ac:dyDescent="0.25">
      <c r="B41" s="119" t="s">
        <v>1060</v>
      </c>
      <c r="C41" s="63" t="s">
        <v>1061</v>
      </c>
      <c r="D41" s="114" t="s">
        <v>996</v>
      </c>
      <c r="E41" s="163">
        <v>0.98</v>
      </c>
      <c r="F41" s="135">
        <v>450</v>
      </c>
      <c r="G41" s="166">
        <v>4.4999999999999998E-2</v>
      </c>
      <c r="H41" s="163">
        <v>1.05</v>
      </c>
      <c r="I41" s="163">
        <v>1.05</v>
      </c>
      <c r="J41" s="63" t="s">
        <v>642</v>
      </c>
      <c r="K41" s="166">
        <v>0.05</v>
      </c>
      <c r="L41" s="26" t="s">
        <v>1062</v>
      </c>
    </row>
    <row r="42" spans="2:12" ht="25.5" customHeight="1" x14ac:dyDescent="0.25">
      <c r="B42" s="20" t="s">
        <v>1063</v>
      </c>
      <c r="C42" s="56" t="s">
        <v>1064</v>
      </c>
      <c r="D42" s="27" t="s">
        <v>964</v>
      </c>
      <c r="E42" s="161">
        <v>1</v>
      </c>
      <c r="F42" s="133">
        <v>460</v>
      </c>
      <c r="G42" s="165">
        <v>0.08</v>
      </c>
      <c r="H42" s="161">
        <v>1.05</v>
      </c>
      <c r="I42" s="161">
        <v>1.05</v>
      </c>
      <c r="J42" s="56" t="s">
        <v>642</v>
      </c>
      <c r="K42" s="165">
        <v>0.06</v>
      </c>
      <c r="L42" s="24" t="s">
        <v>1065</v>
      </c>
    </row>
    <row r="43" spans="2:12" ht="25.5" customHeight="1" x14ac:dyDescent="0.25">
      <c r="B43" s="119" t="s">
        <v>1066</v>
      </c>
      <c r="C43" s="63" t="s">
        <v>1067</v>
      </c>
      <c r="D43" s="114" t="s">
        <v>1068</v>
      </c>
      <c r="E43" s="163">
        <v>0.95</v>
      </c>
      <c r="F43" s="135">
        <v>430</v>
      </c>
      <c r="G43" s="166">
        <v>3.5000000000000003E-2</v>
      </c>
      <c r="H43" s="163">
        <v>1.1000000000000001</v>
      </c>
      <c r="I43" s="163">
        <v>1.05</v>
      </c>
      <c r="J43" s="63" t="s">
        <v>644</v>
      </c>
      <c r="K43" s="166">
        <v>0.02</v>
      </c>
      <c r="L43" s="26" t="s">
        <v>1069</v>
      </c>
    </row>
    <row r="44" spans="2:12" ht="25.5" customHeight="1" x14ac:dyDescent="0.25">
      <c r="B44" s="20" t="s">
        <v>1070</v>
      </c>
      <c r="C44" s="56" t="s">
        <v>1071</v>
      </c>
      <c r="D44" s="27" t="s">
        <v>978</v>
      </c>
      <c r="E44" s="161">
        <v>1.08</v>
      </c>
      <c r="F44" s="133">
        <v>540</v>
      </c>
      <c r="G44" s="165">
        <v>3.5000000000000003E-2</v>
      </c>
      <c r="H44" s="161">
        <v>1.1000000000000001</v>
      </c>
      <c r="I44" s="161">
        <v>1.2</v>
      </c>
      <c r="J44" s="56" t="s">
        <v>644</v>
      </c>
      <c r="K44" s="165">
        <v>0.03</v>
      </c>
      <c r="L44" s="24" t="s">
        <v>1072</v>
      </c>
    </row>
    <row r="45" spans="2:12" ht="25.5" customHeight="1" x14ac:dyDescent="0.25">
      <c r="B45" s="119" t="s">
        <v>558</v>
      </c>
      <c r="C45" s="63" t="s">
        <v>1073</v>
      </c>
      <c r="D45" s="114" t="s">
        <v>974</v>
      </c>
      <c r="E45" s="163">
        <v>1.1499999999999999</v>
      </c>
      <c r="F45" s="135">
        <v>600</v>
      </c>
      <c r="G45" s="166">
        <v>4.4999999999999998E-2</v>
      </c>
      <c r="H45" s="163">
        <v>1.05</v>
      </c>
      <c r="I45" s="163">
        <v>1.2</v>
      </c>
      <c r="J45" s="63" t="s">
        <v>642</v>
      </c>
      <c r="K45" s="166">
        <v>0.04</v>
      </c>
      <c r="L45" s="26" t="s">
        <v>1074</v>
      </c>
    </row>
    <row r="46" spans="2:12" ht="25.5" customHeight="1" x14ac:dyDescent="0.25">
      <c r="B46" s="20" t="s">
        <v>1075</v>
      </c>
      <c r="C46" s="56" t="s">
        <v>1076</v>
      </c>
      <c r="D46" s="27" t="s">
        <v>953</v>
      </c>
      <c r="E46" s="161">
        <v>1.08</v>
      </c>
      <c r="F46" s="133">
        <v>520</v>
      </c>
      <c r="G46" s="165">
        <v>7.4999999999999997E-2</v>
      </c>
      <c r="H46" s="161">
        <v>1</v>
      </c>
      <c r="I46" s="161">
        <v>1.1499999999999999</v>
      </c>
      <c r="J46" s="56" t="s">
        <v>642</v>
      </c>
      <c r="K46" s="165">
        <v>0.06</v>
      </c>
      <c r="L46" s="24" t="s">
        <v>1077</v>
      </c>
    </row>
    <row r="47" spans="2:12" ht="25.5" customHeight="1" x14ac:dyDescent="0.25">
      <c r="B47" s="119" t="s">
        <v>1078</v>
      </c>
      <c r="C47" s="63" t="s">
        <v>1079</v>
      </c>
      <c r="D47" s="114" t="s">
        <v>996</v>
      </c>
      <c r="E47" s="163">
        <v>0.72</v>
      </c>
      <c r="F47" s="135">
        <v>285</v>
      </c>
      <c r="G47" s="166">
        <v>0.06</v>
      </c>
      <c r="H47" s="163">
        <v>0.75</v>
      </c>
      <c r="I47" s="163">
        <v>0.85</v>
      </c>
      <c r="J47" s="63" t="s">
        <v>642</v>
      </c>
      <c r="K47" s="166">
        <v>2.5000000000000001E-2</v>
      </c>
      <c r="L47" s="26" t="s">
        <v>1080</v>
      </c>
    </row>
    <row r="48" spans="2:12" ht="25.5" customHeight="1" x14ac:dyDescent="0.25">
      <c r="B48" s="20" t="s">
        <v>1081</v>
      </c>
      <c r="C48" s="56" t="s">
        <v>1082</v>
      </c>
      <c r="D48" s="27" t="s">
        <v>964</v>
      </c>
      <c r="E48" s="161">
        <v>0.98</v>
      </c>
      <c r="F48" s="133">
        <v>450</v>
      </c>
      <c r="G48" s="165">
        <v>5.5E-2</v>
      </c>
      <c r="H48" s="161">
        <v>1.05</v>
      </c>
      <c r="I48" s="161">
        <v>1.05</v>
      </c>
      <c r="J48" s="56" t="s">
        <v>642</v>
      </c>
      <c r="K48" s="165">
        <v>0.05</v>
      </c>
      <c r="L48" s="24" t="s">
        <v>1083</v>
      </c>
    </row>
    <row r="49" spans="2:12" ht="25.5" customHeight="1" x14ac:dyDescent="0.25">
      <c r="B49" s="119" t="s">
        <v>692</v>
      </c>
      <c r="C49" s="63" t="s">
        <v>1084</v>
      </c>
      <c r="D49" s="114" t="s">
        <v>964</v>
      </c>
      <c r="E49" s="163">
        <v>1.25</v>
      </c>
      <c r="F49" s="135">
        <v>700</v>
      </c>
      <c r="G49" s="166">
        <v>0.1</v>
      </c>
      <c r="H49" s="163">
        <v>1.3</v>
      </c>
      <c r="I49" s="163">
        <v>1.25</v>
      </c>
      <c r="J49" s="63" t="s">
        <v>642</v>
      </c>
      <c r="K49" s="166">
        <v>4.8500000000000001E-2</v>
      </c>
      <c r="L49" s="26" t="s">
        <v>1085</v>
      </c>
    </row>
    <row r="50" spans="2:12" ht="25.5" customHeight="1" x14ac:dyDescent="0.25">
      <c r="B50" s="20" t="s">
        <v>1086</v>
      </c>
      <c r="C50" s="56" t="s">
        <v>1087</v>
      </c>
      <c r="D50" s="27" t="s">
        <v>971</v>
      </c>
      <c r="E50" s="161">
        <v>0.85</v>
      </c>
      <c r="F50" s="133">
        <v>360</v>
      </c>
      <c r="G50" s="165">
        <v>3.5000000000000003E-2</v>
      </c>
      <c r="H50" s="161">
        <v>0.92</v>
      </c>
      <c r="I50" s="161">
        <v>0.9</v>
      </c>
      <c r="J50" s="56" t="s">
        <v>642</v>
      </c>
      <c r="K50" s="165">
        <v>4.2500000000000003E-2</v>
      </c>
      <c r="L50" s="24" t="s">
        <v>1088</v>
      </c>
    </row>
    <row r="51" spans="2:12" ht="25.5" customHeight="1" x14ac:dyDescent="0.25">
      <c r="B51" s="119" t="s">
        <v>1089</v>
      </c>
      <c r="C51" s="63" t="s">
        <v>1090</v>
      </c>
      <c r="D51" s="114" t="s">
        <v>974</v>
      </c>
      <c r="E51" s="163">
        <v>0.68</v>
      </c>
      <c r="F51" s="135">
        <v>275</v>
      </c>
      <c r="G51" s="166">
        <v>2.8000000000000001E-2</v>
      </c>
      <c r="H51" s="163">
        <v>0.72</v>
      </c>
      <c r="I51" s="163">
        <v>0.9</v>
      </c>
      <c r="J51" s="63" t="s">
        <v>642</v>
      </c>
      <c r="K51" s="166">
        <v>0.03</v>
      </c>
      <c r="L51" s="26" t="s">
        <v>1091</v>
      </c>
    </row>
    <row r="52" spans="2:12" ht="25.5" customHeight="1" x14ac:dyDescent="0.25">
      <c r="B52" s="20" t="s">
        <v>1092</v>
      </c>
      <c r="C52" s="56" t="s">
        <v>1093</v>
      </c>
      <c r="D52" s="27" t="s">
        <v>978</v>
      </c>
      <c r="E52" s="161">
        <v>1.02</v>
      </c>
      <c r="F52" s="133">
        <v>490</v>
      </c>
      <c r="G52" s="165">
        <v>4.4999999999999998E-2</v>
      </c>
      <c r="H52" s="161">
        <v>1.02</v>
      </c>
      <c r="I52" s="161">
        <v>1.05</v>
      </c>
      <c r="J52" s="56" t="s">
        <v>642</v>
      </c>
      <c r="K52" s="165">
        <v>2.2499999999999999E-2</v>
      </c>
      <c r="L52" s="24" t="s">
        <v>1094</v>
      </c>
    </row>
    <row r="53" spans="2:12" ht="25.5" customHeight="1" x14ac:dyDescent="0.25">
      <c r="B53" s="119" t="s">
        <v>1095</v>
      </c>
      <c r="C53" s="63" t="s">
        <v>1096</v>
      </c>
      <c r="D53" s="114" t="s">
        <v>1068</v>
      </c>
      <c r="E53" s="163">
        <v>1</v>
      </c>
      <c r="F53" s="135">
        <v>470</v>
      </c>
      <c r="G53" s="166">
        <v>3.5000000000000003E-2</v>
      </c>
      <c r="H53" s="163">
        <v>1.1499999999999999</v>
      </c>
      <c r="I53" s="163">
        <v>1.1000000000000001</v>
      </c>
      <c r="J53" s="63" t="s">
        <v>644</v>
      </c>
      <c r="K53" s="166">
        <v>0.02</v>
      </c>
      <c r="L53" s="26" t="s">
        <v>1097</v>
      </c>
    </row>
    <row r="54" spans="2:12" ht="25.5" customHeight="1" x14ac:dyDescent="0.25">
      <c r="B54" s="20" t="s">
        <v>1098</v>
      </c>
      <c r="C54" s="56" t="s">
        <v>1099</v>
      </c>
      <c r="D54" s="27" t="s">
        <v>978</v>
      </c>
      <c r="E54" s="161">
        <v>0.85</v>
      </c>
      <c r="F54" s="133">
        <v>370</v>
      </c>
      <c r="G54" s="165">
        <v>0.04</v>
      </c>
      <c r="H54" s="161">
        <v>0.85</v>
      </c>
      <c r="I54" s="161">
        <v>1.05</v>
      </c>
      <c r="J54" s="56" t="s">
        <v>642</v>
      </c>
      <c r="K54" s="165">
        <v>4.5499999999999999E-2</v>
      </c>
      <c r="L54" s="24" t="s">
        <v>1100</v>
      </c>
    </row>
    <row r="55" spans="2:12" ht="25.5" customHeight="1" x14ac:dyDescent="0.25">
      <c r="B55" s="119" t="s">
        <v>1101</v>
      </c>
      <c r="C55" s="63" t="s">
        <v>1102</v>
      </c>
      <c r="D55" s="114" t="s">
        <v>996</v>
      </c>
      <c r="E55" s="163">
        <v>0.88</v>
      </c>
      <c r="F55" s="135">
        <v>380</v>
      </c>
      <c r="G55" s="166">
        <v>4.4999999999999998E-2</v>
      </c>
      <c r="H55" s="163">
        <v>0.92</v>
      </c>
      <c r="I55" s="163">
        <v>0.95</v>
      </c>
      <c r="J55" s="63" t="s">
        <v>642</v>
      </c>
      <c r="K55" s="166">
        <v>0.03</v>
      </c>
      <c r="L55" s="26" t="s">
        <v>1103</v>
      </c>
    </row>
    <row r="56" spans="2:12" ht="25.5" customHeight="1" x14ac:dyDescent="0.25">
      <c r="B56" s="20" t="s">
        <v>1104</v>
      </c>
      <c r="C56" s="56" t="s">
        <v>1105</v>
      </c>
      <c r="D56" s="27" t="s">
        <v>971</v>
      </c>
      <c r="E56" s="161">
        <v>0.68</v>
      </c>
      <c r="F56" s="133">
        <v>270</v>
      </c>
      <c r="G56" s="165">
        <v>4.4999999999999998E-2</v>
      </c>
      <c r="H56" s="161">
        <v>0.72</v>
      </c>
      <c r="I56" s="161">
        <v>0.85</v>
      </c>
      <c r="J56" s="56" t="s">
        <v>642</v>
      </c>
      <c r="K56" s="165">
        <v>0.03</v>
      </c>
      <c r="L56" s="24" t="s">
        <v>1106</v>
      </c>
    </row>
    <row r="59" spans="2:12" ht="18" customHeight="1" x14ac:dyDescent="0.25">
      <c r="B59" s="12" t="s">
        <v>1107</v>
      </c>
      <c r="C59" s="12"/>
      <c r="D59" s="12"/>
      <c r="E59" s="12"/>
      <c r="F59" s="12"/>
      <c r="G59" s="12"/>
      <c r="H59" s="12"/>
      <c r="I59" s="12"/>
      <c r="J59" s="12"/>
      <c r="K59" s="12"/>
      <c r="L59" s="12"/>
    </row>
    <row r="60" spans="2:12" ht="30" customHeight="1" x14ac:dyDescent="0.25">
      <c r="B60" s="22" t="s">
        <v>942</v>
      </c>
      <c r="C60" s="22" t="s">
        <v>1108</v>
      </c>
      <c r="D60" s="22" t="s">
        <v>1109</v>
      </c>
      <c r="E60" s="22" t="s">
        <v>1110</v>
      </c>
    </row>
    <row r="61" spans="2:12" ht="55.5" customHeight="1" x14ac:dyDescent="0.25">
      <c r="B61" s="167" t="s">
        <v>1111</v>
      </c>
      <c r="C61" s="1" t="s">
        <v>1112</v>
      </c>
      <c r="D61" s="1"/>
      <c r="E61" s="1" t="s">
        <v>1113</v>
      </c>
      <c r="F61" s="1"/>
      <c r="G61" s="1"/>
      <c r="H61" s="1"/>
      <c r="I61" s="1" t="s">
        <v>1114</v>
      </c>
      <c r="J61" s="1"/>
      <c r="K61" s="1"/>
      <c r="L61" s="1"/>
    </row>
    <row r="62" spans="2:12" ht="55.5" customHeight="1" x14ac:dyDescent="0.25">
      <c r="B62" s="168" t="s">
        <v>1115</v>
      </c>
      <c r="C62" s="201" t="s">
        <v>1116</v>
      </c>
      <c r="D62" s="201"/>
      <c r="E62" s="201" t="s">
        <v>1117</v>
      </c>
      <c r="F62" s="201"/>
      <c r="G62" s="201"/>
      <c r="H62" s="201"/>
      <c r="I62" s="201" t="s">
        <v>1118</v>
      </c>
      <c r="J62" s="201"/>
      <c r="K62" s="201"/>
      <c r="L62" s="201"/>
    </row>
    <row r="63" spans="2:12" ht="55.5" customHeight="1" x14ac:dyDescent="0.25">
      <c r="B63" s="167" t="s">
        <v>1119</v>
      </c>
      <c r="C63" s="1" t="s">
        <v>1120</v>
      </c>
      <c r="D63" s="1"/>
      <c r="E63" s="1" t="s">
        <v>1121</v>
      </c>
      <c r="F63" s="1"/>
      <c r="G63" s="1"/>
      <c r="H63" s="1"/>
      <c r="I63" s="1" t="s">
        <v>1122</v>
      </c>
      <c r="J63" s="1"/>
      <c r="K63" s="1"/>
      <c r="L63" s="1"/>
    </row>
    <row r="64" spans="2:12" ht="55.5" customHeight="1" x14ac:dyDescent="0.25">
      <c r="B64" s="168" t="s">
        <v>1123</v>
      </c>
      <c r="C64" s="201" t="s">
        <v>1124</v>
      </c>
      <c r="D64" s="201"/>
      <c r="E64" s="201" t="s">
        <v>1125</v>
      </c>
      <c r="F64" s="201"/>
      <c r="G64" s="201"/>
      <c r="H64" s="201"/>
      <c r="I64" s="201" t="s">
        <v>1126</v>
      </c>
      <c r="J64" s="201"/>
      <c r="K64" s="201"/>
      <c r="L64" s="201"/>
    </row>
    <row r="65" spans="2:12" ht="55.5" customHeight="1" x14ac:dyDescent="0.25">
      <c r="B65" s="167" t="s">
        <v>1127</v>
      </c>
      <c r="C65" s="1" t="s">
        <v>1128</v>
      </c>
      <c r="D65" s="1"/>
      <c r="E65" s="1" t="s">
        <v>1129</v>
      </c>
      <c r="F65" s="1"/>
      <c r="G65" s="1"/>
      <c r="H65" s="1"/>
      <c r="I65" s="1" t="s">
        <v>1130</v>
      </c>
      <c r="J65" s="1"/>
      <c r="K65" s="1"/>
      <c r="L65" s="1"/>
    </row>
    <row r="66" spans="2:12" ht="55.5" customHeight="1" x14ac:dyDescent="0.25">
      <c r="B66" s="168" t="s">
        <v>1131</v>
      </c>
      <c r="C66" s="201" t="s">
        <v>1132</v>
      </c>
      <c r="D66" s="201"/>
      <c r="E66" s="201" t="s">
        <v>1133</v>
      </c>
      <c r="F66" s="201"/>
      <c r="G66" s="201"/>
      <c r="H66" s="201"/>
      <c r="I66" s="201" t="s">
        <v>1134</v>
      </c>
      <c r="J66" s="201"/>
      <c r="K66" s="201"/>
      <c r="L66" s="201"/>
    </row>
    <row r="67" spans="2:12" ht="55.5" customHeight="1" x14ac:dyDescent="0.25">
      <c r="B67" s="167" t="s">
        <v>1135</v>
      </c>
      <c r="C67" s="1" t="s">
        <v>1136</v>
      </c>
      <c r="D67" s="1"/>
      <c r="E67" s="1" t="s">
        <v>1137</v>
      </c>
      <c r="F67" s="1"/>
      <c r="G67" s="1"/>
      <c r="H67" s="1"/>
      <c r="I67" s="1" t="s">
        <v>1138</v>
      </c>
      <c r="J67" s="1"/>
      <c r="K67" s="1"/>
      <c r="L67" s="1"/>
    </row>
    <row r="68" spans="2:12" ht="55.5" customHeight="1" x14ac:dyDescent="0.25">
      <c r="B68" s="168" t="s">
        <v>1139</v>
      </c>
      <c r="C68" s="201" t="s">
        <v>1140</v>
      </c>
      <c r="D68" s="201"/>
      <c r="E68" s="201" t="s">
        <v>1141</v>
      </c>
      <c r="F68" s="201"/>
      <c r="G68" s="201"/>
      <c r="H68" s="201"/>
      <c r="I68" s="201" t="s">
        <v>1142</v>
      </c>
      <c r="J68" s="201"/>
      <c r="K68" s="201"/>
      <c r="L68" s="201"/>
    </row>
    <row r="69" spans="2:12" ht="55.5" customHeight="1" x14ac:dyDescent="0.25">
      <c r="B69" s="167" t="s">
        <v>1143</v>
      </c>
      <c r="C69" s="1" t="s">
        <v>1144</v>
      </c>
      <c r="D69" s="1"/>
      <c r="E69" s="1" t="s">
        <v>1145</v>
      </c>
      <c r="F69" s="1"/>
      <c r="G69" s="1"/>
      <c r="H69" s="1"/>
      <c r="I69" s="1" t="s">
        <v>1146</v>
      </c>
      <c r="J69" s="1"/>
      <c r="K69" s="1"/>
      <c r="L69" s="1"/>
    </row>
    <row r="70" spans="2:12" ht="55.5" customHeight="1" x14ac:dyDescent="0.25">
      <c r="B70" s="168" t="s">
        <v>1147</v>
      </c>
      <c r="C70" s="201" t="s">
        <v>1148</v>
      </c>
      <c r="D70" s="201"/>
      <c r="E70" s="201" t="s">
        <v>1149</v>
      </c>
      <c r="F70" s="201"/>
      <c r="G70" s="201"/>
      <c r="H70" s="201"/>
      <c r="I70" s="201" t="s">
        <v>1150</v>
      </c>
      <c r="J70" s="201"/>
      <c r="K70" s="201"/>
      <c r="L70" s="201"/>
    </row>
    <row r="72" spans="2:12" x14ac:dyDescent="0.25">
      <c r="B72" s="15" t="s">
        <v>709</v>
      </c>
    </row>
    <row r="73" spans="2:12" ht="15" customHeight="1" x14ac:dyDescent="0.25">
      <c r="B73" s="10" t="s">
        <v>1151</v>
      </c>
      <c r="C73" s="10"/>
      <c r="D73" s="10"/>
      <c r="E73" s="10"/>
      <c r="F73" s="10"/>
      <c r="G73" s="10"/>
      <c r="H73" s="10"/>
      <c r="I73" s="10"/>
      <c r="J73" s="10"/>
      <c r="K73" s="10"/>
      <c r="L73" s="10"/>
    </row>
    <row r="74" spans="2:12" x14ac:dyDescent="0.25">
      <c r="B74" s="10"/>
      <c r="C74" s="10"/>
      <c r="D74" s="10"/>
      <c r="E74" s="10"/>
      <c r="F74" s="10"/>
      <c r="G74" s="10"/>
      <c r="H74" s="10"/>
      <c r="I74" s="10"/>
      <c r="J74" s="10"/>
      <c r="K74" s="10"/>
      <c r="L74" s="10"/>
    </row>
    <row r="75" spans="2:12" x14ac:dyDescent="0.25">
      <c r="B75" s="10"/>
      <c r="C75" s="10"/>
      <c r="D75" s="10"/>
      <c r="E75" s="10"/>
      <c r="F75" s="10"/>
      <c r="G75" s="10"/>
      <c r="H75" s="10"/>
      <c r="I75" s="10"/>
      <c r="J75" s="10"/>
      <c r="K75" s="10"/>
      <c r="L75" s="10"/>
    </row>
    <row r="76" spans="2:12" x14ac:dyDescent="0.25">
      <c r="B76" s="10"/>
      <c r="C76" s="10"/>
      <c r="D76" s="10"/>
      <c r="E76" s="10"/>
      <c r="F76" s="10"/>
      <c r="G76" s="10"/>
      <c r="H76" s="10"/>
      <c r="I76" s="10"/>
      <c r="J76" s="10"/>
      <c r="K76" s="10"/>
      <c r="L76" s="10"/>
    </row>
  </sheetData>
  <mergeCells count="34">
    <mergeCell ref="C70:D70"/>
    <mergeCell ref="E70:H70"/>
    <mergeCell ref="I70:L70"/>
    <mergeCell ref="B73:L76"/>
    <mergeCell ref="C68:D68"/>
    <mergeCell ref="E68:H68"/>
    <mergeCell ref="I68:L68"/>
    <mergeCell ref="C69:D69"/>
    <mergeCell ref="E69:H69"/>
    <mergeCell ref="I69:L69"/>
    <mergeCell ref="C66:D66"/>
    <mergeCell ref="E66:H66"/>
    <mergeCell ref="I66:L66"/>
    <mergeCell ref="C67:D67"/>
    <mergeCell ref="E67:H67"/>
    <mergeCell ref="I67:L67"/>
    <mergeCell ref="C64:D64"/>
    <mergeCell ref="E64:H64"/>
    <mergeCell ref="I64:L64"/>
    <mergeCell ref="C65:D65"/>
    <mergeCell ref="E65:H65"/>
    <mergeCell ref="I65:L65"/>
    <mergeCell ref="C62:D62"/>
    <mergeCell ref="E62:H62"/>
    <mergeCell ref="I62:L62"/>
    <mergeCell ref="C63:D63"/>
    <mergeCell ref="E63:H63"/>
    <mergeCell ref="I63:L63"/>
    <mergeCell ref="B1:L1"/>
    <mergeCell ref="B2:L2"/>
    <mergeCell ref="B59:L59"/>
    <mergeCell ref="C61:D61"/>
    <mergeCell ref="E61:H61"/>
    <mergeCell ref="I61:L6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H60"/>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36" customWidth="1"/>
    <col min="3" max="3" width="8" customWidth="1"/>
    <col min="4" max="4" width="15" customWidth="1"/>
    <col min="5" max="5" width="13" customWidth="1"/>
    <col min="6" max="7" width="15" customWidth="1"/>
    <col min="8" max="8" width="66" customWidth="1"/>
  </cols>
  <sheetData>
    <row r="1" spans="2:8" ht="25.5" customHeight="1" x14ac:dyDescent="0.25">
      <c r="B1" s="14" t="s">
        <v>1152</v>
      </c>
      <c r="C1" s="14"/>
      <c r="D1" s="14"/>
      <c r="E1" s="14"/>
      <c r="F1" s="14"/>
      <c r="G1" s="14"/>
      <c r="H1" s="14"/>
    </row>
    <row r="2" spans="2:8" ht="15" customHeight="1" x14ac:dyDescent="0.25">
      <c r="B2" s="13" t="s">
        <v>1153</v>
      </c>
      <c r="C2" s="13"/>
      <c r="D2" s="13"/>
      <c r="E2" s="13"/>
      <c r="F2" s="13"/>
      <c r="G2" s="13"/>
      <c r="H2" s="13"/>
    </row>
    <row r="4" spans="2:8" x14ac:dyDescent="0.25">
      <c r="B4" s="169" t="s">
        <v>1154</v>
      </c>
      <c r="D4" s="170">
        <v>0.5</v>
      </c>
      <c r="E4" s="170">
        <v>0.3</v>
      </c>
      <c r="F4" s="170">
        <v>0.2</v>
      </c>
      <c r="G4" s="171">
        <f>SUM(D4:F4)</f>
        <v>1</v>
      </c>
      <c r="H4" s="127" t="s">
        <v>1155</v>
      </c>
    </row>
    <row r="5" spans="2:8" ht="30" customHeight="1" x14ac:dyDescent="0.25">
      <c r="B5" s="22" t="s">
        <v>1156</v>
      </c>
      <c r="C5" s="22" t="s">
        <v>602</v>
      </c>
      <c r="D5" s="22" t="s">
        <v>1157</v>
      </c>
      <c r="E5" s="22" t="s">
        <v>946</v>
      </c>
      <c r="F5" s="22" t="s">
        <v>1158</v>
      </c>
      <c r="G5" s="22" t="s">
        <v>1159</v>
      </c>
      <c r="H5" s="22" t="s">
        <v>493</v>
      </c>
    </row>
    <row r="6" spans="2:8" x14ac:dyDescent="0.25">
      <c r="B6" s="20" t="s">
        <v>1160</v>
      </c>
      <c r="C6" s="56" t="s">
        <v>1052</v>
      </c>
      <c r="D6" s="161">
        <v>1.4</v>
      </c>
      <c r="E6" s="161">
        <v>1.3</v>
      </c>
      <c r="F6" s="161">
        <v>1.2</v>
      </c>
      <c r="G6" s="162">
        <f t="shared" ref="G6:G37" si="0">ROUND($D$4*D6+$E$4*E6+$F$4*F6,3)</f>
        <v>1.33</v>
      </c>
      <c r="H6" s="27" t="s">
        <v>1161</v>
      </c>
    </row>
    <row r="7" spans="2:8" x14ac:dyDescent="0.25">
      <c r="B7" s="119" t="s">
        <v>1162</v>
      </c>
      <c r="C7" s="63" t="s">
        <v>1052</v>
      </c>
      <c r="D7" s="163">
        <v>1.1499999999999999</v>
      </c>
      <c r="E7" s="163">
        <v>1.05</v>
      </c>
      <c r="F7" s="163">
        <v>1.05</v>
      </c>
      <c r="G7" s="164">
        <f t="shared" si="0"/>
        <v>1.1000000000000001</v>
      </c>
      <c r="H7" s="114" t="s">
        <v>1163</v>
      </c>
    </row>
    <row r="8" spans="2:8" x14ac:dyDescent="0.25">
      <c r="B8" s="20" t="s">
        <v>573</v>
      </c>
      <c r="C8" s="56" t="s">
        <v>966</v>
      </c>
      <c r="D8" s="161">
        <v>1.35</v>
      </c>
      <c r="E8" s="161">
        <v>1.45</v>
      </c>
      <c r="F8" s="161">
        <v>1.2</v>
      </c>
      <c r="G8" s="162">
        <f t="shared" si="0"/>
        <v>1.35</v>
      </c>
      <c r="H8" s="27" t="s">
        <v>1164</v>
      </c>
    </row>
    <row r="9" spans="2:8" x14ac:dyDescent="0.25">
      <c r="B9" s="119" t="s">
        <v>1165</v>
      </c>
      <c r="C9" s="63" t="s">
        <v>966</v>
      </c>
      <c r="D9" s="163">
        <v>1.2</v>
      </c>
      <c r="E9" s="163">
        <v>1.35</v>
      </c>
      <c r="F9" s="163">
        <v>1.1499999999999999</v>
      </c>
      <c r="G9" s="164">
        <f t="shared" si="0"/>
        <v>1.2350000000000001</v>
      </c>
      <c r="H9" s="114" t="s">
        <v>1166</v>
      </c>
    </row>
    <row r="10" spans="2:8" x14ac:dyDescent="0.25">
      <c r="B10" s="20" t="s">
        <v>1167</v>
      </c>
      <c r="C10" s="56" t="s">
        <v>966</v>
      </c>
      <c r="D10" s="161">
        <v>1.25</v>
      </c>
      <c r="E10" s="161">
        <v>1.4</v>
      </c>
      <c r="F10" s="161">
        <v>1.3</v>
      </c>
      <c r="G10" s="162">
        <f t="shared" si="0"/>
        <v>1.3049999999999999</v>
      </c>
      <c r="H10" s="27" t="s">
        <v>1168</v>
      </c>
    </row>
    <row r="11" spans="2:8" x14ac:dyDescent="0.25">
      <c r="B11" s="119" t="s">
        <v>1169</v>
      </c>
      <c r="C11" s="63" t="s">
        <v>966</v>
      </c>
      <c r="D11" s="163">
        <v>1.1000000000000001</v>
      </c>
      <c r="E11" s="163">
        <v>1.1499999999999999</v>
      </c>
      <c r="F11" s="163">
        <v>1.05</v>
      </c>
      <c r="G11" s="164">
        <f t="shared" si="0"/>
        <v>1.105</v>
      </c>
      <c r="H11" s="114" t="s">
        <v>1170</v>
      </c>
    </row>
    <row r="12" spans="2:8" x14ac:dyDescent="0.25">
      <c r="B12" s="20" t="s">
        <v>1171</v>
      </c>
      <c r="C12" s="56" t="s">
        <v>966</v>
      </c>
      <c r="D12" s="161">
        <v>1.1000000000000001</v>
      </c>
      <c r="E12" s="161">
        <v>1.1499999999999999</v>
      </c>
      <c r="F12" s="161">
        <v>1</v>
      </c>
      <c r="G12" s="162">
        <f t="shared" si="0"/>
        <v>1.095</v>
      </c>
      <c r="H12" s="27" t="s">
        <v>1172</v>
      </c>
    </row>
    <row r="13" spans="2:8" x14ac:dyDescent="0.25">
      <c r="B13" s="119" t="s">
        <v>1173</v>
      </c>
      <c r="C13" s="63" t="s">
        <v>966</v>
      </c>
      <c r="D13" s="163">
        <v>1.1000000000000001</v>
      </c>
      <c r="E13" s="163">
        <v>1.2</v>
      </c>
      <c r="F13" s="163">
        <v>1.05</v>
      </c>
      <c r="G13" s="164">
        <f t="shared" si="0"/>
        <v>1.1200000000000001</v>
      </c>
      <c r="H13" s="114"/>
    </row>
    <row r="14" spans="2:8" x14ac:dyDescent="0.25">
      <c r="B14" s="20" t="s">
        <v>215</v>
      </c>
      <c r="C14" s="56" t="s">
        <v>983</v>
      </c>
      <c r="D14" s="161">
        <v>1.4</v>
      </c>
      <c r="E14" s="161">
        <v>1.45</v>
      </c>
      <c r="F14" s="161">
        <v>1.3</v>
      </c>
      <c r="G14" s="162">
        <f t="shared" si="0"/>
        <v>1.395</v>
      </c>
      <c r="H14" s="27" t="s">
        <v>1174</v>
      </c>
    </row>
    <row r="15" spans="2:8" x14ac:dyDescent="0.25">
      <c r="B15" s="119" t="s">
        <v>1175</v>
      </c>
      <c r="C15" s="63" t="s">
        <v>983</v>
      </c>
      <c r="D15" s="163">
        <v>1.2</v>
      </c>
      <c r="E15" s="163">
        <v>1.2</v>
      </c>
      <c r="F15" s="163">
        <v>1.2</v>
      </c>
      <c r="G15" s="164">
        <f t="shared" si="0"/>
        <v>1.2</v>
      </c>
      <c r="H15" s="114" t="s">
        <v>1176</v>
      </c>
    </row>
    <row r="16" spans="2:8" x14ac:dyDescent="0.25">
      <c r="B16" s="20" t="s">
        <v>1177</v>
      </c>
      <c r="C16" s="56" t="s">
        <v>983</v>
      </c>
      <c r="D16" s="161">
        <v>1.25</v>
      </c>
      <c r="E16" s="161">
        <v>1.1499999999999999</v>
      </c>
      <c r="F16" s="161">
        <v>1.2</v>
      </c>
      <c r="G16" s="162">
        <f t="shared" si="0"/>
        <v>1.21</v>
      </c>
      <c r="H16" s="27" t="s">
        <v>1178</v>
      </c>
    </row>
    <row r="17" spans="2:8" x14ac:dyDescent="0.25">
      <c r="B17" s="119" t="s">
        <v>1179</v>
      </c>
      <c r="C17" s="63" t="s">
        <v>983</v>
      </c>
      <c r="D17" s="163">
        <v>1.2</v>
      </c>
      <c r="E17" s="163">
        <v>1.1499999999999999</v>
      </c>
      <c r="F17" s="163">
        <v>1.1000000000000001</v>
      </c>
      <c r="G17" s="164">
        <f t="shared" si="0"/>
        <v>1.165</v>
      </c>
      <c r="H17" s="114" t="s">
        <v>1180</v>
      </c>
    </row>
    <row r="18" spans="2:8" x14ac:dyDescent="0.25">
      <c r="B18" s="20" t="s">
        <v>1181</v>
      </c>
      <c r="C18" s="56" t="s">
        <v>983</v>
      </c>
      <c r="D18" s="161">
        <v>1.1000000000000001</v>
      </c>
      <c r="E18" s="161">
        <v>1.1000000000000001</v>
      </c>
      <c r="F18" s="161">
        <v>1.05</v>
      </c>
      <c r="G18" s="162">
        <f t="shared" si="0"/>
        <v>1.0900000000000001</v>
      </c>
      <c r="H18" s="27"/>
    </row>
    <row r="19" spans="2:8" x14ac:dyDescent="0.25">
      <c r="B19" s="119" t="s">
        <v>1182</v>
      </c>
      <c r="C19" s="63" t="s">
        <v>983</v>
      </c>
      <c r="D19" s="163">
        <v>1.05</v>
      </c>
      <c r="E19" s="163">
        <v>1</v>
      </c>
      <c r="F19" s="163">
        <v>1.1499999999999999</v>
      </c>
      <c r="G19" s="164">
        <f t="shared" si="0"/>
        <v>1.0549999999999999</v>
      </c>
      <c r="H19" s="114" t="s">
        <v>1183</v>
      </c>
    </row>
    <row r="20" spans="2:8" x14ac:dyDescent="0.25">
      <c r="B20" s="20" t="s">
        <v>1184</v>
      </c>
      <c r="C20" s="56" t="s">
        <v>995</v>
      </c>
      <c r="D20" s="161">
        <v>1.3</v>
      </c>
      <c r="E20" s="161">
        <v>1.45</v>
      </c>
      <c r="F20" s="161">
        <v>1.1499999999999999</v>
      </c>
      <c r="G20" s="162">
        <f t="shared" si="0"/>
        <v>1.3149999999999999</v>
      </c>
      <c r="H20" s="27" t="s">
        <v>1185</v>
      </c>
    </row>
    <row r="21" spans="2:8" x14ac:dyDescent="0.25">
      <c r="B21" s="119" t="s">
        <v>1186</v>
      </c>
      <c r="C21" s="63" t="s">
        <v>1084</v>
      </c>
      <c r="D21" s="163">
        <v>1.3</v>
      </c>
      <c r="E21" s="163">
        <v>1.35</v>
      </c>
      <c r="F21" s="163">
        <v>1.25</v>
      </c>
      <c r="G21" s="164">
        <f t="shared" si="0"/>
        <v>1.3049999999999999</v>
      </c>
      <c r="H21" s="114" t="s">
        <v>1187</v>
      </c>
    </row>
    <row r="22" spans="2:8" x14ac:dyDescent="0.25">
      <c r="B22" s="20" t="s">
        <v>702</v>
      </c>
      <c r="C22" s="56" t="s">
        <v>1084</v>
      </c>
      <c r="D22" s="161">
        <v>1.25</v>
      </c>
      <c r="E22" s="161">
        <v>1.3</v>
      </c>
      <c r="F22" s="161">
        <v>1.3</v>
      </c>
      <c r="G22" s="162">
        <f t="shared" si="0"/>
        <v>1.2749999999999999</v>
      </c>
      <c r="H22" s="27" t="s">
        <v>1188</v>
      </c>
    </row>
    <row r="23" spans="2:8" x14ac:dyDescent="0.25">
      <c r="B23" s="119" t="s">
        <v>1189</v>
      </c>
      <c r="C23" s="63" t="s">
        <v>1084</v>
      </c>
      <c r="D23" s="163">
        <v>1.1000000000000001</v>
      </c>
      <c r="E23" s="163">
        <v>1.05</v>
      </c>
      <c r="F23" s="163">
        <v>1.1499999999999999</v>
      </c>
      <c r="G23" s="164">
        <f t="shared" si="0"/>
        <v>1.095</v>
      </c>
      <c r="H23" s="114"/>
    </row>
    <row r="24" spans="2:8" x14ac:dyDescent="0.25">
      <c r="B24" s="20" t="s">
        <v>1190</v>
      </c>
      <c r="C24" s="56" t="s">
        <v>1084</v>
      </c>
      <c r="D24" s="161">
        <v>1.1000000000000001</v>
      </c>
      <c r="E24" s="161">
        <v>1.1000000000000001</v>
      </c>
      <c r="F24" s="161">
        <v>1.1000000000000001</v>
      </c>
      <c r="G24" s="162">
        <f t="shared" si="0"/>
        <v>1.1000000000000001</v>
      </c>
      <c r="H24" s="27"/>
    </row>
    <row r="25" spans="2:8" x14ac:dyDescent="0.25">
      <c r="B25" s="119" t="s">
        <v>1191</v>
      </c>
      <c r="C25" s="63" t="s">
        <v>986</v>
      </c>
      <c r="D25" s="163">
        <v>1.25</v>
      </c>
      <c r="E25" s="163">
        <v>1.3</v>
      </c>
      <c r="F25" s="163">
        <v>1.05</v>
      </c>
      <c r="G25" s="164">
        <f t="shared" si="0"/>
        <v>1.2250000000000001</v>
      </c>
      <c r="H25" s="114" t="s">
        <v>1192</v>
      </c>
    </row>
    <row r="26" spans="2:8" x14ac:dyDescent="0.25">
      <c r="B26" s="20" t="s">
        <v>1193</v>
      </c>
      <c r="C26" s="56" t="s">
        <v>1071</v>
      </c>
      <c r="D26" s="161">
        <v>1.25</v>
      </c>
      <c r="E26" s="161">
        <v>1.3</v>
      </c>
      <c r="F26" s="161">
        <v>1.1000000000000001</v>
      </c>
      <c r="G26" s="162">
        <f t="shared" si="0"/>
        <v>1.2350000000000001</v>
      </c>
      <c r="H26" s="27"/>
    </row>
    <row r="27" spans="2:8" x14ac:dyDescent="0.25">
      <c r="B27" s="119" t="s">
        <v>1194</v>
      </c>
      <c r="C27" s="63" t="s">
        <v>981</v>
      </c>
      <c r="D27" s="163">
        <v>1.25</v>
      </c>
      <c r="E27" s="163">
        <v>1.3</v>
      </c>
      <c r="F27" s="163">
        <v>1.05</v>
      </c>
      <c r="G27" s="164">
        <f t="shared" si="0"/>
        <v>1.2250000000000001</v>
      </c>
      <c r="H27" s="114" t="s">
        <v>1195</v>
      </c>
    </row>
    <row r="28" spans="2:8" x14ac:dyDescent="0.25">
      <c r="B28" s="20" t="s">
        <v>1196</v>
      </c>
      <c r="C28" s="56" t="s">
        <v>1017</v>
      </c>
      <c r="D28" s="161">
        <v>1.2</v>
      </c>
      <c r="E28" s="161">
        <v>1.35</v>
      </c>
      <c r="F28" s="161">
        <v>1.1000000000000001</v>
      </c>
      <c r="G28" s="162">
        <f t="shared" si="0"/>
        <v>1.2250000000000001</v>
      </c>
      <c r="H28" s="27"/>
    </row>
    <row r="29" spans="2:8" x14ac:dyDescent="0.25">
      <c r="B29" s="119" t="s">
        <v>1197</v>
      </c>
      <c r="C29" s="63" t="s">
        <v>1020</v>
      </c>
      <c r="D29" s="163">
        <v>1.2</v>
      </c>
      <c r="E29" s="163">
        <v>1.05</v>
      </c>
      <c r="F29" s="163">
        <v>1.05</v>
      </c>
      <c r="G29" s="164">
        <f t="shared" si="0"/>
        <v>1.125</v>
      </c>
      <c r="H29" s="114" t="s">
        <v>1198</v>
      </c>
    </row>
    <row r="30" spans="2:8" x14ac:dyDescent="0.25">
      <c r="B30" s="20" t="s">
        <v>516</v>
      </c>
      <c r="C30" s="56" t="s">
        <v>959</v>
      </c>
      <c r="D30" s="161">
        <v>1.1499999999999999</v>
      </c>
      <c r="E30" s="161">
        <v>1.25</v>
      </c>
      <c r="F30" s="161">
        <v>1.1499999999999999</v>
      </c>
      <c r="G30" s="162">
        <f t="shared" si="0"/>
        <v>1.18</v>
      </c>
      <c r="H30" s="27" t="s">
        <v>1199</v>
      </c>
    </row>
    <row r="31" spans="2:8" x14ac:dyDescent="0.25">
      <c r="B31" s="119" t="s">
        <v>1200</v>
      </c>
      <c r="C31" s="63" t="s">
        <v>959</v>
      </c>
      <c r="D31" s="163">
        <v>1.05</v>
      </c>
      <c r="E31" s="163">
        <v>1.1499999999999999</v>
      </c>
      <c r="F31" s="163">
        <v>1.05</v>
      </c>
      <c r="G31" s="164">
        <f t="shared" si="0"/>
        <v>1.08</v>
      </c>
      <c r="H31" s="114"/>
    </row>
    <row r="32" spans="2:8" x14ac:dyDescent="0.25">
      <c r="B32" s="20" t="s">
        <v>547</v>
      </c>
      <c r="C32" s="56" t="s">
        <v>1040</v>
      </c>
      <c r="D32" s="161">
        <v>1.25</v>
      </c>
      <c r="E32" s="161">
        <v>1.3</v>
      </c>
      <c r="F32" s="161">
        <v>1.05</v>
      </c>
      <c r="G32" s="162">
        <f t="shared" si="0"/>
        <v>1.2250000000000001</v>
      </c>
      <c r="H32" s="27" t="s">
        <v>1201</v>
      </c>
    </row>
    <row r="33" spans="2:8" x14ac:dyDescent="0.25">
      <c r="B33" s="119" t="s">
        <v>1202</v>
      </c>
      <c r="C33" s="63" t="s">
        <v>1096</v>
      </c>
      <c r="D33" s="163">
        <v>1.1499999999999999</v>
      </c>
      <c r="E33" s="163">
        <v>1.3</v>
      </c>
      <c r="F33" s="163">
        <v>1.05</v>
      </c>
      <c r="G33" s="164">
        <f t="shared" si="0"/>
        <v>1.175</v>
      </c>
      <c r="H33" s="114" t="s">
        <v>1203</v>
      </c>
    </row>
    <row r="34" spans="2:8" x14ac:dyDescent="0.25">
      <c r="B34" s="20" t="s">
        <v>1204</v>
      </c>
      <c r="C34" s="56" t="s">
        <v>1067</v>
      </c>
      <c r="D34" s="161">
        <v>1.1000000000000001</v>
      </c>
      <c r="E34" s="161">
        <v>1.3</v>
      </c>
      <c r="F34" s="161">
        <v>1.1000000000000001</v>
      </c>
      <c r="G34" s="162">
        <f t="shared" si="0"/>
        <v>1.1599999999999999</v>
      </c>
      <c r="H34" s="27"/>
    </row>
    <row r="35" spans="2:8" x14ac:dyDescent="0.25">
      <c r="B35" s="119" t="s">
        <v>1205</v>
      </c>
      <c r="C35" s="63" t="s">
        <v>970</v>
      </c>
      <c r="D35" s="163">
        <v>1.1000000000000001</v>
      </c>
      <c r="E35" s="163">
        <v>1.1499999999999999</v>
      </c>
      <c r="F35" s="163">
        <v>1.35</v>
      </c>
      <c r="G35" s="164">
        <f t="shared" si="0"/>
        <v>1.165</v>
      </c>
      <c r="H35" s="114" t="s">
        <v>1206</v>
      </c>
    </row>
    <row r="36" spans="2:8" x14ac:dyDescent="0.25">
      <c r="B36" s="20" t="s">
        <v>1207</v>
      </c>
      <c r="C36" s="56" t="s">
        <v>1023</v>
      </c>
      <c r="D36" s="161">
        <v>1.2</v>
      </c>
      <c r="E36" s="161">
        <v>1.4</v>
      </c>
      <c r="F36" s="161">
        <v>1.1000000000000001</v>
      </c>
      <c r="G36" s="162">
        <f t="shared" si="0"/>
        <v>1.24</v>
      </c>
      <c r="H36" s="27"/>
    </row>
    <row r="37" spans="2:8" x14ac:dyDescent="0.25">
      <c r="B37" s="119" t="s">
        <v>1208</v>
      </c>
      <c r="C37" s="63" t="s">
        <v>1026</v>
      </c>
      <c r="D37" s="163">
        <v>1.05</v>
      </c>
      <c r="E37" s="163">
        <v>1.1000000000000001</v>
      </c>
      <c r="F37" s="163">
        <v>1.1000000000000001</v>
      </c>
      <c r="G37" s="164">
        <f t="shared" si="0"/>
        <v>1.075</v>
      </c>
      <c r="H37" s="114"/>
    </row>
    <row r="38" spans="2:8" x14ac:dyDescent="0.25">
      <c r="B38" s="20" t="s">
        <v>1209</v>
      </c>
      <c r="C38" s="56" t="s">
        <v>1032</v>
      </c>
      <c r="D38" s="161">
        <v>1.1499999999999999</v>
      </c>
      <c r="E38" s="161">
        <v>1.3</v>
      </c>
      <c r="F38" s="161">
        <v>1.1000000000000001</v>
      </c>
      <c r="G38" s="162">
        <f t="shared" ref="G38:G69" si="1">ROUND($D$4*D38+$E$4*E38+$F$4*F38,3)</f>
        <v>1.1850000000000001</v>
      </c>
      <c r="H38" s="27"/>
    </row>
    <row r="39" spans="2:8" x14ac:dyDescent="0.25">
      <c r="B39" s="119" t="s">
        <v>1210</v>
      </c>
      <c r="C39" s="63" t="s">
        <v>1032</v>
      </c>
      <c r="D39" s="163">
        <v>1.1000000000000001</v>
      </c>
      <c r="E39" s="163">
        <v>1.25</v>
      </c>
      <c r="F39" s="163">
        <v>1.2</v>
      </c>
      <c r="G39" s="164">
        <f t="shared" si="1"/>
        <v>1.165</v>
      </c>
      <c r="H39" s="114" t="s">
        <v>1211</v>
      </c>
    </row>
    <row r="40" spans="2:8" x14ac:dyDescent="0.25">
      <c r="B40" s="20" t="s">
        <v>1212</v>
      </c>
      <c r="C40" s="56" t="s">
        <v>1082</v>
      </c>
      <c r="D40" s="161">
        <v>1.2</v>
      </c>
      <c r="E40" s="161">
        <v>1.45</v>
      </c>
      <c r="F40" s="161">
        <v>1.05</v>
      </c>
      <c r="G40" s="162">
        <f t="shared" si="1"/>
        <v>1.2450000000000001</v>
      </c>
      <c r="H40" s="27" t="s">
        <v>1213</v>
      </c>
    </row>
    <row r="41" spans="2:8" x14ac:dyDescent="0.25">
      <c r="B41" s="119" t="s">
        <v>1214</v>
      </c>
      <c r="C41" s="63" t="s">
        <v>1082</v>
      </c>
      <c r="D41" s="163">
        <v>1.1499999999999999</v>
      </c>
      <c r="E41" s="163">
        <v>1.1499999999999999</v>
      </c>
      <c r="F41" s="163">
        <v>1.05</v>
      </c>
      <c r="G41" s="164">
        <f t="shared" si="1"/>
        <v>1.1299999999999999</v>
      </c>
      <c r="H41" s="114"/>
    </row>
    <row r="42" spans="2:8" x14ac:dyDescent="0.25">
      <c r="B42" s="20" t="s">
        <v>1215</v>
      </c>
      <c r="C42" s="56" t="s">
        <v>1011</v>
      </c>
      <c r="D42" s="161">
        <v>1.3</v>
      </c>
      <c r="E42" s="161">
        <v>1.35</v>
      </c>
      <c r="F42" s="161">
        <v>1.3</v>
      </c>
      <c r="G42" s="162">
        <f t="shared" si="1"/>
        <v>1.3149999999999999</v>
      </c>
      <c r="H42" s="27" t="s">
        <v>1216</v>
      </c>
    </row>
    <row r="43" spans="2:8" x14ac:dyDescent="0.25">
      <c r="B43" s="119" t="s">
        <v>1217</v>
      </c>
      <c r="C43" s="63" t="s">
        <v>1055</v>
      </c>
      <c r="D43" s="163">
        <v>1.1000000000000001</v>
      </c>
      <c r="E43" s="163">
        <v>1.1000000000000001</v>
      </c>
      <c r="F43" s="163">
        <v>1.05</v>
      </c>
      <c r="G43" s="164">
        <f t="shared" si="1"/>
        <v>1.0900000000000001</v>
      </c>
      <c r="H43" s="114"/>
    </row>
    <row r="44" spans="2:8" x14ac:dyDescent="0.25">
      <c r="B44" s="20" t="s">
        <v>1218</v>
      </c>
      <c r="C44" s="56" t="s">
        <v>1061</v>
      </c>
      <c r="D44" s="161">
        <v>1.1000000000000001</v>
      </c>
      <c r="E44" s="161">
        <v>1.1499999999999999</v>
      </c>
      <c r="F44" s="161">
        <v>1.05</v>
      </c>
      <c r="G44" s="162">
        <f t="shared" si="1"/>
        <v>1.105</v>
      </c>
      <c r="H44" s="27"/>
    </row>
    <row r="45" spans="2:8" x14ac:dyDescent="0.25">
      <c r="B45" s="119" t="s">
        <v>1219</v>
      </c>
      <c r="C45" s="63" t="s">
        <v>1061</v>
      </c>
      <c r="D45" s="163">
        <v>1.05</v>
      </c>
      <c r="E45" s="163">
        <v>1.1000000000000001</v>
      </c>
      <c r="F45" s="163">
        <v>1.05</v>
      </c>
      <c r="G45" s="164">
        <f t="shared" si="1"/>
        <v>1.0649999999999999</v>
      </c>
      <c r="H45" s="114"/>
    </row>
    <row r="46" spans="2:8" x14ac:dyDescent="0.25">
      <c r="B46" s="20" t="s">
        <v>1220</v>
      </c>
      <c r="C46" s="56" t="s">
        <v>1061</v>
      </c>
      <c r="D46" s="161">
        <v>1.05</v>
      </c>
      <c r="E46" s="161">
        <v>1.05</v>
      </c>
      <c r="F46" s="161">
        <v>1.05</v>
      </c>
      <c r="G46" s="162">
        <f t="shared" si="1"/>
        <v>1.05</v>
      </c>
      <c r="H46" s="27"/>
    </row>
    <row r="47" spans="2:8" x14ac:dyDescent="0.25">
      <c r="B47" s="119" t="s">
        <v>1221</v>
      </c>
      <c r="C47" s="63" t="s">
        <v>1071</v>
      </c>
      <c r="D47" s="163">
        <v>1.05</v>
      </c>
      <c r="E47" s="163">
        <v>1</v>
      </c>
      <c r="F47" s="163">
        <v>1.05</v>
      </c>
      <c r="G47" s="164">
        <f t="shared" si="1"/>
        <v>1.0349999999999999</v>
      </c>
      <c r="H47" s="114"/>
    </row>
    <row r="48" spans="2:8" x14ac:dyDescent="0.25">
      <c r="B48" s="20" t="s">
        <v>1222</v>
      </c>
      <c r="C48" s="56" t="s">
        <v>999</v>
      </c>
      <c r="D48" s="161">
        <v>1.05</v>
      </c>
      <c r="E48" s="161">
        <v>1.1499999999999999</v>
      </c>
      <c r="F48" s="161">
        <v>1.05</v>
      </c>
      <c r="G48" s="162">
        <f t="shared" si="1"/>
        <v>1.08</v>
      </c>
      <c r="H48" s="27"/>
    </row>
    <row r="49" spans="2:8" x14ac:dyDescent="0.25">
      <c r="B49" s="119" t="s">
        <v>1223</v>
      </c>
      <c r="C49" s="63" t="s">
        <v>1102</v>
      </c>
      <c r="D49" s="163">
        <v>1.1000000000000001</v>
      </c>
      <c r="E49" s="163">
        <v>1.3</v>
      </c>
      <c r="F49" s="163">
        <v>1.05</v>
      </c>
      <c r="G49" s="164">
        <f t="shared" si="1"/>
        <v>1.1499999999999999</v>
      </c>
      <c r="H49" s="114"/>
    </row>
    <row r="50" spans="2:8" x14ac:dyDescent="0.25">
      <c r="B50" s="20" t="s">
        <v>1224</v>
      </c>
      <c r="C50" s="56" t="s">
        <v>1064</v>
      </c>
      <c r="D50" s="161">
        <v>1.05</v>
      </c>
      <c r="E50" s="161">
        <v>1.1000000000000001</v>
      </c>
      <c r="F50" s="161">
        <v>1.3</v>
      </c>
      <c r="G50" s="162">
        <f t="shared" si="1"/>
        <v>1.115</v>
      </c>
      <c r="H50" s="27" t="s">
        <v>1211</v>
      </c>
    </row>
    <row r="51" spans="2:8" x14ac:dyDescent="0.25">
      <c r="B51" s="119" t="s">
        <v>1225</v>
      </c>
      <c r="C51" s="63" t="s">
        <v>1049</v>
      </c>
      <c r="D51" s="163">
        <v>1.1000000000000001</v>
      </c>
      <c r="E51" s="163">
        <v>1.3</v>
      </c>
      <c r="F51" s="163">
        <v>1.05</v>
      </c>
      <c r="G51" s="164">
        <f t="shared" si="1"/>
        <v>1.1499999999999999</v>
      </c>
      <c r="H51" s="114"/>
    </row>
    <row r="52" spans="2:8" x14ac:dyDescent="0.25">
      <c r="B52" s="20" t="s">
        <v>1226</v>
      </c>
      <c r="C52" s="56" t="s">
        <v>1087</v>
      </c>
      <c r="D52" s="161">
        <v>1.05</v>
      </c>
      <c r="E52" s="161">
        <v>1.05</v>
      </c>
      <c r="F52" s="161">
        <v>1.05</v>
      </c>
      <c r="G52" s="162">
        <f t="shared" si="1"/>
        <v>1.05</v>
      </c>
      <c r="H52" s="27"/>
    </row>
    <row r="53" spans="2:8" x14ac:dyDescent="0.25">
      <c r="B53" s="119" t="s">
        <v>1227</v>
      </c>
      <c r="C53" s="63" t="s">
        <v>989</v>
      </c>
      <c r="D53" s="163">
        <v>1.05</v>
      </c>
      <c r="E53" s="163">
        <v>1</v>
      </c>
      <c r="F53" s="163">
        <v>1.05</v>
      </c>
      <c r="G53" s="164">
        <f t="shared" si="1"/>
        <v>1.0349999999999999</v>
      </c>
      <c r="H53" s="114"/>
    </row>
    <row r="54" spans="2:8" x14ac:dyDescent="0.25">
      <c r="B54" s="20" t="s">
        <v>562</v>
      </c>
      <c r="C54" s="56" t="s">
        <v>1228</v>
      </c>
      <c r="D54" s="161">
        <v>1</v>
      </c>
      <c r="E54" s="161">
        <v>1</v>
      </c>
      <c r="F54" s="161">
        <v>1</v>
      </c>
      <c r="G54" s="162">
        <f t="shared" si="1"/>
        <v>1</v>
      </c>
      <c r="H54" s="27" t="s">
        <v>1229</v>
      </c>
    </row>
    <row r="56" spans="2:8" x14ac:dyDescent="0.25">
      <c r="B56" s="15" t="s">
        <v>709</v>
      </c>
    </row>
    <row r="57" spans="2:8" ht="15" customHeight="1" x14ac:dyDescent="0.25">
      <c r="B57" s="10" t="s">
        <v>1230</v>
      </c>
      <c r="C57" s="10"/>
      <c r="D57" s="10"/>
      <c r="E57" s="10"/>
      <c r="F57" s="10"/>
      <c r="G57" s="10"/>
      <c r="H57" s="10"/>
    </row>
    <row r="58" spans="2:8" x14ac:dyDescent="0.25">
      <c r="B58" s="10"/>
      <c r="C58" s="10"/>
      <c r="D58" s="10"/>
      <c r="E58" s="10"/>
      <c r="F58" s="10"/>
      <c r="G58" s="10"/>
      <c r="H58" s="10"/>
    </row>
    <row r="59" spans="2:8" x14ac:dyDescent="0.25">
      <c r="B59" s="10"/>
      <c r="C59" s="10"/>
      <c r="D59" s="10"/>
      <c r="E59" s="10"/>
      <c r="F59" s="10"/>
      <c r="G59" s="10"/>
      <c r="H59" s="10"/>
    </row>
    <row r="60" spans="2:8" x14ac:dyDescent="0.25">
      <c r="B60" s="10"/>
      <c r="C60" s="10"/>
      <c r="D60" s="10"/>
      <c r="E60" s="10"/>
      <c r="F60" s="10"/>
      <c r="G60" s="10"/>
      <c r="H60" s="10"/>
    </row>
  </sheetData>
  <mergeCells count="3">
    <mergeCell ref="B1:H1"/>
    <mergeCell ref="B2:H2"/>
    <mergeCell ref="B57:H60"/>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F917"/>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7109375" defaultRowHeight="15" x14ac:dyDescent="0.25"/>
  <cols>
    <col min="1" max="1" width="2" customWidth="1"/>
    <col min="2" max="2" width="12" customWidth="1"/>
    <col min="3" max="3" width="46" customWidth="1"/>
    <col min="4" max="4" width="56" customWidth="1"/>
    <col min="5" max="6" width="30" customWidth="1"/>
  </cols>
  <sheetData>
    <row r="1" spans="2:6" ht="25.5" customHeight="1" x14ac:dyDescent="0.25">
      <c r="B1" s="14" t="s">
        <v>1231</v>
      </c>
      <c r="C1" s="14"/>
      <c r="D1" s="14"/>
      <c r="E1" s="14"/>
      <c r="F1" s="14"/>
    </row>
    <row r="2" spans="2:6" ht="15" customHeight="1" x14ac:dyDescent="0.25">
      <c r="B2" s="13" t="s">
        <v>1232</v>
      </c>
      <c r="C2" s="13"/>
      <c r="D2" s="13"/>
      <c r="E2" s="13"/>
      <c r="F2" s="13"/>
    </row>
    <row r="4" spans="2:6" ht="18" customHeight="1" x14ac:dyDescent="0.25">
      <c r="B4" s="12" t="s">
        <v>1233</v>
      </c>
      <c r="C4" s="12"/>
      <c r="D4" s="12"/>
      <c r="E4" s="12"/>
      <c r="F4" s="12"/>
    </row>
    <row r="5" spans="2:6" ht="30" customHeight="1" x14ac:dyDescent="0.25">
      <c r="B5" s="22" t="s">
        <v>429</v>
      </c>
      <c r="C5" s="22" t="s">
        <v>1234</v>
      </c>
      <c r="D5" s="22" t="s">
        <v>605</v>
      </c>
    </row>
    <row r="6" spans="2:6" x14ac:dyDescent="0.25">
      <c r="B6" s="172" t="s">
        <v>1235</v>
      </c>
      <c r="C6" s="27" t="s">
        <v>1236</v>
      </c>
      <c r="D6" s="7" t="s">
        <v>1237</v>
      </c>
      <c r="E6" s="7"/>
      <c r="F6" s="7"/>
    </row>
    <row r="7" spans="2:6" x14ac:dyDescent="0.25">
      <c r="B7" s="173" t="s">
        <v>1238</v>
      </c>
      <c r="C7" s="114" t="s">
        <v>1236</v>
      </c>
      <c r="D7" s="202" t="s">
        <v>1237</v>
      </c>
      <c r="E7" s="202"/>
      <c r="F7" s="202"/>
    </row>
    <row r="8" spans="2:6" x14ac:dyDescent="0.25">
      <c r="B8" s="172" t="s">
        <v>1239</v>
      </c>
      <c r="C8" s="27" t="s">
        <v>1236</v>
      </c>
      <c r="D8" s="7" t="s">
        <v>1237</v>
      </c>
      <c r="E8" s="7"/>
      <c r="F8" s="7"/>
    </row>
    <row r="9" spans="2:6" x14ac:dyDescent="0.25">
      <c r="B9" s="173" t="s">
        <v>1240</v>
      </c>
      <c r="C9" s="114" t="s">
        <v>1236</v>
      </c>
      <c r="D9" s="202" t="s">
        <v>1237</v>
      </c>
      <c r="E9" s="202"/>
      <c r="F9" s="202"/>
    </row>
    <row r="10" spans="2:6" x14ac:dyDescent="0.25">
      <c r="B10" s="172" t="s">
        <v>1241</v>
      </c>
      <c r="C10" s="27" t="s">
        <v>1236</v>
      </c>
      <c r="D10" s="7" t="s">
        <v>1237</v>
      </c>
      <c r="E10" s="7"/>
      <c r="F10" s="7"/>
    </row>
    <row r="11" spans="2:6" x14ac:dyDescent="0.25">
      <c r="B11" s="173" t="s">
        <v>1242</v>
      </c>
      <c r="C11" s="114" t="s">
        <v>1236</v>
      </c>
      <c r="D11" s="202" t="s">
        <v>1237</v>
      </c>
      <c r="E11" s="202"/>
      <c r="F11" s="202"/>
    </row>
    <row r="12" spans="2:6" x14ac:dyDescent="0.25">
      <c r="B12" s="172" t="s">
        <v>1243</v>
      </c>
      <c r="C12" s="27" t="s">
        <v>1236</v>
      </c>
      <c r="D12" s="7" t="s">
        <v>1237</v>
      </c>
      <c r="E12" s="7"/>
      <c r="F12" s="7"/>
    </row>
    <row r="13" spans="2:6" x14ac:dyDescent="0.25">
      <c r="B13" s="173" t="s">
        <v>1244</v>
      </c>
      <c r="C13" s="114" t="s">
        <v>1236</v>
      </c>
      <c r="D13" s="202" t="s">
        <v>1237</v>
      </c>
      <c r="E13" s="202"/>
      <c r="F13" s="202"/>
    </row>
    <row r="14" spans="2:6" x14ac:dyDescent="0.25">
      <c r="B14" s="172" t="s">
        <v>1245</v>
      </c>
      <c r="C14" s="27" t="s">
        <v>1236</v>
      </c>
      <c r="D14" s="7" t="s">
        <v>1237</v>
      </c>
      <c r="E14" s="7"/>
      <c r="F14" s="7"/>
    </row>
    <row r="15" spans="2:6" x14ac:dyDescent="0.25">
      <c r="B15" s="173" t="s">
        <v>1246</v>
      </c>
      <c r="C15" s="114" t="s">
        <v>1236</v>
      </c>
      <c r="D15" s="202" t="s">
        <v>1237</v>
      </c>
      <c r="E15" s="202"/>
      <c r="F15" s="202"/>
    </row>
    <row r="16" spans="2:6" x14ac:dyDescent="0.25">
      <c r="B16" s="172" t="s">
        <v>1247</v>
      </c>
      <c r="C16" s="27" t="s">
        <v>1248</v>
      </c>
      <c r="D16" s="7" t="s">
        <v>1249</v>
      </c>
      <c r="E16" s="7"/>
      <c r="F16" s="7"/>
    </row>
    <row r="17" spans="2:6" x14ac:dyDescent="0.25">
      <c r="B17" s="173" t="s">
        <v>1250</v>
      </c>
      <c r="C17" s="114" t="s">
        <v>1248</v>
      </c>
      <c r="D17" s="202" t="s">
        <v>1249</v>
      </c>
      <c r="E17" s="202"/>
      <c r="F17" s="202"/>
    </row>
    <row r="18" spans="2:6" x14ac:dyDescent="0.25">
      <c r="B18" s="172" t="s">
        <v>1251</v>
      </c>
      <c r="C18" s="27" t="s">
        <v>1248</v>
      </c>
      <c r="D18" s="7" t="s">
        <v>1249</v>
      </c>
      <c r="E18" s="7"/>
      <c r="F18" s="7"/>
    </row>
    <row r="19" spans="2:6" x14ac:dyDescent="0.25">
      <c r="B19" s="173" t="s">
        <v>1252</v>
      </c>
      <c r="C19" s="114" t="s">
        <v>1248</v>
      </c>
      <c r="D19" s="202" t="s">
        <v>1249</v>
      </c>
      <c r="E19" s="202"/>
      <c r="F19" s="202"/>
    </row>
    <row r="20" spans="2:6" x14ac:dyDescent="0.25">
      <c r="B20" s="172" t="s">
        <v>1253</v>
      </c>
      <c r="C20" s="27" t="s">
        <v>1248</v>
      </c>
      <c r="D20" s="7" t="s">
        <v>1249</v>
      </c>
      <c r="E20" s="7"/>
      <c r="F20" s="7"/>
    </row>
    <row r="21" spans="2:6" x14ac:dyDescent="0.25">
      <c r="B21" s="173" t="s">
        <v>1254</v>
      </c>
      <c r="C21" s="114" t="s">
        <v>1255</v>
      </c>
      <c r="D21" s="202" t="s">
        <v>1256</v>
      </c>
      <c r="E21" s="202"/>
      <c r="F21" s="202"/>
    </row>
    <row r="22" spans="2:6" x14ac:dyDescent="0.25">
      <c r="B22" s="172" t="s">
        <v>1257</v>
      </c>
      <c r="C22" s="27" t="s">
        <v>1255</v>
      </c>
      <c r="D22" s="7" t="s">
        <v>1256</v>
      </c>
      <c r="E22" s="7"/>
      <c r="F22" s="7"/>
    </row>
    <row r="23" spans="2:6" x14ac:dyDescent="0.25">
      <c r="B23" s="173" t="s">
        <v>1258</v>
      </c>
      <c r="C23" s="114" t="s">
        <v>1248</v>
      </c>
      <c r="D23" s="202" t="s">
        <v>1249</v>
      </c>
      <c r="E23" s="202"/>
      <c r="F23" s="202"/>
    </row>
    <row r="24" spans="2:6" x14ac:dyDescent="0.25">
      <c r="B24" s="172" t="s">
        <v>1259</v>
      </c>
      <c r="C24" s="27" t="s">
        <v>1260</v>
      </c>
      <c r="D24" s="7" t="s">
        <v>1261</v>
      </c>
      <c r="E24" s="7"/>
      <c r="F24" s="7"/>
    </row>
    <row r="25" spans="2:6" x14ac:dyDescent="0.25">
      <c r="B25" s="173" t="s">
        <v>1262</v>
      </c>
      <c r="C25" s="114" t="s">
        <v>1260</v>
      </c>
      <c r="D25" s="202" t="s">
        <v>1261</v>
      </c>
      <c r="E25" s="202"/>
      <c r="F25" s="202"/>
    </row>
    <row r="26" spans="2:6" x14ac:dyDescent="0.25">
      <c r="B26" s="172" t="s">
        <v>1263</v>
      </c>
      <c r="C26" s="27" t="s">
        <v>1236</v>
      </c>
      <c r="D26" s="7" t="s">
        <v>1237</v>
      </c>
      <c r="E26" s="7"/>
      <c r="F26" s="7"/>
    </row>
    <row r="27" spans="2:6" x14ac:dyDescent="0.25">
      <c r="B27" s="173" t="s">
        <v>1264</v>
      </c>
      <c r="C27" s="114" t="s">
        <v>1236</v>
      </c>
      <c r="D27" s="202" t="s">
        <v>1237</v>
      </c>
      <c r="E27" s="202"/>
      <c r="F27" s="202"/>
    </row>
    <row r="28" spans="2:6" x14ac:dyDescent="0.25">
      <c r="B28" s="172" t="s">
        <v>1265</v>
      </c>
      <c r="C28" s="27" t="s">
        <v>1236</v>
      </c>
      <c r="D28" s="7" t="s">
        <v>1237</v>
      </c>
      <c r="E28" s="7"/>
      <c r="F28" s="7"/>
    </row>
    <row r="29" spans="2:6" x14ac:dyDescent="0.25">
      <c r="B29" s="173" t="s">
        <v>1266</v>
      </c>
      <c r="C29" s="114" t="s">
        <v>1236</v>
      </c>
      <c r="D29" s="202" t="s">
        <v>1237</v>
      </c>
      <c r="E29" s="202"/>
      <c r="F29" s="202"/>
    </row>
    <row r="30" spans="2:6" x14ac:dyDescent="0.25">
      <c r="B30" s="172" t="s">
        <v>1267</v>
      </c>
      <c r="C30" s="27" t="s">
        <v>1236</v>
      </c>
      <c r="D30" s="7" t="s">
        <v>1237</v>
      </c>
      <c r="E30" s="7"/>
      <c r="F30" s="7"/>
    </row>
    <row r="31" spans="2:6" x14ac:dyDescent="0.25">
      <c r="B31" s="173" t="s">
        <v>1268</v>
      </c>
      <c r="C31" s="114" t="s">
        <v>1236</v>
      </c>
      <c r="D31" s="202" t="s">
        <v>1237</v>
      </c>
      <c r="E31" s="202"/>
      <c r="F31" s="202"/>
    </row>
    <row r="32" spans="2:6" x14ac:dyDescent="0.25">
      <c r="B32" s="172" t="s">
        <v>1269</v>
      </c>
      <c r="C32" s="27" t="s">
        <v>1236</v>
      </c>
      <c r="D32" s="7" t="s">
        <v>1237</v>
      </c>
      <c r="E32" s="7"/>
      <c r="F32" s="7"/>
    </row>
    <row r="33" spans="2:6" x14ac:dyDescent="0.25">
      <c r="B33" s="173" t="s">
        <v>1270</v>
      </c>
      <c r="C33" s="114" t="s">
        <v>1236</v>
      </c>
      <c r="D33" s="202" t="s">
        <v>1237</v>
      </c>
      <c r="E33" s="202"/>
      <c r="F33" s="202"/>
    </row>
    <row r="34" spans="2:6" x14ac:dyDescent="0.25">
      <c r="B34" s="172" t="s">
        <v>1271</v>
      </c>
      <c r="C34" s="27" t="s">
        <v>1236</v>
      </c>
      <c r="D34" s="7" t="s">
        <v>1237</v>
      </c>
      <c r="E34" s="7"/>
      <c r="F34" s="7"/>
    </row>
    <row r="35" spans="2:6" x14ac:dyDescent="0.25">
      <c r="B35" s="173" t="s">
        <v>1272</v>
      </c>
      <c r="C35" s="114" t="s">
        <v>1236</v>
      </c>
      <c r="D35" s="202" t="s">
        <v>1237</v>
      </c>
      <c r="E35" s="202"/>
      <c r="F35" s="202"/>
    </row>
    <row r="36" spans="2:6" x14ac:dyDescent="0.25">
      <c r="B36" s="172" t="s">
        <v>1273</v>
      </c>
      <c r="C36" s="27" t="s">
        <v>1236</v>
      </c>
      <c r="D36" s="7" t="s">
        <v>1237</v>
      </c>
      <c r="E36" s="7"/>
      <c r="F36" s="7"/>
    </row>
    <row r="37" spans="2:6" x14ac:dyDescent="0.25">
      <c r="B37" s="173" t="s">
        <v>1274</v>
      </c>
      <c r="C37" s="114" t="s">
        <v>1236</v>
      </c>
      <c r="D37" s="202" t="s">
        <v>1237</v>
      </c>
      <c r="E37" s="202"/>
      <c r="F37" s="202"/>
    </row>
    <row r="38" spans="2:6" x14ac:dyDescent="0.25">
      <c r="B38" s="172" t="s">
        <v>1275</v>
      </c>
      <c r="C38" s="27" t="s">
        <v>1236</v>
      </c>
      <c r="D38" s="7" t="s">
        <v>1237</v>
      </c>
      <c r="E38" s="7"/>
      <c r="F38" s="7"/>
    </row>
    <row r="39" spans="2:6" x14ac:dyDescent="0.25">
      <c r="B39" s="173" t="s">
        <v>1276</v>
      </c>
      <c r="C39" s="114" t="s">
        <v>1236</v>
      </c>
      <c r="D39" s="202" t="s">
        <v>1237</v>
      </c>
      <c r="E39" s="202"/>
      <c r="F39" s="202"/>
    </row>
    <row r="40" spans="2:6" x14ac:dyDescent="0.25">
      <c r="B40" s="172" t="s">
        <v>1277</v>
      </c>
      <c r="C40" s="27" t="s">
        <v>1236</v>
      </c>
      <c r="D40" s="7" t="s">
        <v>1237</v>
      </c>
      <c r="E40" s="7"/>
      <c r="F40" s="7"/>
    </row>
    <row r="41" spans="2:6" x14ac:dyDescent="0.25">
      <c r="B41" s="173" t="s">
        <v>1278</v>
      </c>
      <c r="C41" s="114" t="s">
        <v>1236</v>
      </c>
      <c r="D41" s="202" t="s">
        <v>1237</v>
      </c>
      <c r="E41" s="202"/>
      <c r="F41" s="202"/>
    </row>
    <row r="42" spans="2:6" x14ac:dyDescent="0.25">
      <c r="B42" s="172" t="s">
        <v>1279</v>
      </c>
      <c r="C42" s="27" t="s">
        <v>1236</v>
      </c>
      <c r="D42" s="7" t="s">
        <v>1237</v>
      </c>
      <c r="E42" s="7"/>
      <c r="F42" s="7"/>
    </row>
    <row r="43" spans="2:6" x14ac:dyDescent="0.25">
      <c r="B43" s="173" t="s">
        <v>1280</v>
      </c>
      <c r="C43" s="114" t="s">
        <v>1236</v>
      </c>
      <c r="D43" s="202" t="s">
        <v>1237</v>
      </c>
      <c r="E43" s="202"/>
      <c r="F43" s="202"/>
    </row>
    <row r="44" spans="2:6" x14ac:dyDescent="0.25">
      <c r="B44" s="172" t="s">
        <v>1281</v>
      </c>
      <c r="C44" s="27" t="s">
        <v>1236</v>
      </c>
      <c r="D44" s="7" t="s">
        <v>1237</v>
      </c>
      <c r="E44" s="7"/>
      <c r="F44" s="7"/>
    </row>
    <row r="45" spans="2:6" x14ac:dyDescent="0.25">
      <c r="B45" s="173" t="s">
        <v>1282</v>
      </c>
      <c r="C45" s="114" t="s">
        <v>1236</v>
      </c>
      <c r="D45" s="202" t="s">
        <v>1237</v>
      </c>
      <c r="E45" s="202"/>
      <c r="F45" s="202"/>
    </row>
    <row r="46" spans="2:6" x14ac:dyDescent="0.25">
      <c r="B46" s="172" t="s">
        <v>1283</v>
      </c>
      <c r="C46" s="27" t="s">
        <v>1236</v>
      </c>
      <c r="D46" s="7" t="s">
        <v>1237</v>
      </c>
      <c r="E46" s="7"/>
      <c r="F46" s="7"/>
    </row>
    <row r="47" spans="2:6" x14ac:dyDescent="0.25">
      <c r="B47" s="173" t="s">
        <v>1284</v>
      </c>
      <c r="C47" s="114" t="s">
        <v>1236</v>
      </c>
      <c r="D47" s="202" t="s">
        <v>1237</v>
      </c>
      <c r="E47" s="202"/>
      <c r="F47" s="202"/>
    </row>
    <row r="48" spans="2:6" x14ac:dyDescent="0.25">
      <c r="B48" s="172" t="s">
        <v>1285</v>
      </c>
      <c r="C48" s="27" t="s">
        <v>1236</v>
      </c>
      <c r="D48" s="7" t="s">
        <v>1237</v>
      </c>
      <c r="E48" s="7"/>
      <c r="F48" s="7"/>
    </row>
    <row r="49" spans="2:6" x14ac:dyDescent="0.25">
      <c r="B49" s="173" t="s">
        <v>1286</v>
      </c>
      <c r="C49" s="114" t="s">
        <v>1236</v>
      </c>
      <c r="D49" s="202" t="s">
        <v>1237</v>
      </c>
      <c r="E49" s="202"/>
      <c r="F49" s="202"/>
    </row>
    <row r="50" spans="2:6" x14ac:dyDescent="0.25">
      <c r="B50" s="172" t="s">
        <v>1287</v>
      </c>
      <c r="C50" s="27" t="s">
        <v>1236</v>
      </c>
      <c r="D50" s="7" t="s">
        <v>1237</v>
      </c>
      <c r="E50" s="7"/>
      <c r="F50" s="7"/>
    </row>
    <row r="51" spans="2:6" x14ac:dyDescent="0.25">
      <c r="B51" s="173" t="s">
        <v>1288</v>
      </c>
      <c r="C51" s="114" t="s">
        <v>1236</v>
      </c>
      <c r="D51" s="202" t="s">
        <v>1237</v>
      </c>
      <c r="E51" s="202"/>
      <c r="F51" s="202"/>
    </row>
    <row r="52" spans="2:6" x14ac:dyDescent="0.25">
      <c r="B52" s="172" t="s">
        <v>1289</v>
      </c>
      <c r="C52" s="27" t="s">
        <v>1236</v>
      </c>
      <c r="D52" s="7" t="s">
        <v>1237</v>
      </c>
      <c r="E52" s="7"/>
      <c r="F52" s="7"/>
    </row>
    <row r="53" spans="2:6" x14ac:dyDescent="0.25">
      <c r="B53" s="173" t="s">
        <v>1290</v>
      </c>
      <c r="C53" s="114" t="s">
        <v>1236</v>
      </c>
      <c r="D53" s="202" t="s">
        <v>1237</v>
      </c>
      <c r="E53" s="202"/>
      <c r="F53" s="202"/>
    </row>
    <row r="54" spans="2:6" x14ac:dyDescent="0.25">
      <c r="B54" s="172" t="s">
        <v>1291</v>
      </c>
      <c r="C54" s="27" t="s">
        <v>1236</v>
      </c>
      <c r="D54" s="7" t="s">
        <v>1237</v>
      </c>
      <c r="E54" s="7"/>
      <c r="F54" s="7"/>
    </row>
    <row r="55" spans="2:6" x14ac:dyDescent="0.25">
      <c r="B55" s="173" t="s">
        <v>1292</v>
      </c>
      <c r="C55" s="114" t="s">
        <v>1236</v>
      </c>
      <c r="D55" s="202" t="s">
        <v>1237</v>
      </c>
      <c r="E55" s="202"/>
      <c r="F55" s="202"/>
    </row>
    <row r="56" spans="2:6" x14ac:dyDescent="0.25">
      <c r="B56" s="172" t="s">
        <v>1293</v>
      </c>
      <c r="C56" s="27" t="s">
        <v>1236</v>
      </c>
      <c r="D56" s="7" t="s">
        <v>1237</v>
      </c>
      <c r="E56" s="7"/>
      <c r="F56" s="7"/>
    </row>
    <row r="57" spans="2:6" x14ac:dyDescent="0.25">
      <c r="B57" s="173" t="s">
        <v>1294</v>
      </c>
      <c r="C57" s="114" t="s">
        <v>1236</v>
      </c>
      <c r="D57" s="202" t="s">
        <v>1237</v>
      </c>
      <c r="E57" s="202"/>
      <c r="F57" s="202"/>
    </row>
    <row r="58" spans="2:6" x14ac:dyDescent="0.25">
      <c r="B58" s="172" t="s">
        <v>1295</v>
      </c>
      <c r="C58" s="27" t="s">
        <v>1248</v>
      </c>
      <c r="D58" s="7" t="s">
        <v>1249</v>
      </c>
      <c r="E58" s="7"/>
      <c r="F58" s="7"/>
    </row>
    <row r="59" spans="2:6" x14ac:dyDescent="0.25">
      <c r="B59" s="173" t="s">
        <v>1296</v>
      </c>
      <c r="C59" s="114" t="s">
        <v>1248</v>
      </c>
      <c r="D59" s="202" t="s">
        <v>1249</v>
      </c>
      <c r="E59" s="202"/>
      <c r="F59" s="202"/>
    </row>
    <row r="60" spans="2:6" x14ac:dyDescent="0.25">
      <c r="B60" s="172" t="s">
        <v>1297</v>
      </c>
      <c r="C60" s="27" t="s">
        <v>1248</v>
      </c>
      <c r="D60" s="7" t="s">
        <v>1249</v>
      </c>
      <c r="E60" s="7"/>
      <c r="F60" s="7"/>
    </row>
    <row r="61" spans="2:6" x14ac:dyDescent="0.25">
      <c r="B61" s="173" t="s">
        <v>1298</v>
      </c>
      <c r="C61" s="114" t="s">
        <v>1248</v>
      </c>
      <c r="D61" s="202" t="s">
        <v>1249</v>
      </c>
      <c r="E61" s="202"/>
      <c r="F61" s="202"/>
    </row>
    <row r="62" spans="2:6" x14ac:dyDescent="0.25">
      <c r="B62" s="172" t="s">
        <v>1299</v>
      </c>
      <c r="C62" s="27" t="s">
        <v>1248</v>
      </c>
      <c r="D62" s="7" t="s">
        <v>1249</v>
      </c>
      <c r="E62" s="7"/>
      <c r="F62" s="7"/>
    </row>
    <row r="63" spans="2:6" x14ac:dyDescent="0.25">
      <c r="B63" s="173" t="s">
        <v>1300</v>
      </c>
      <c r="C63" s="114" t="s">
        <v>1248</v>
      </c>
      <c r="D63" s="202" t="s">
        <v>1249</v>
      </c>
      <c r="E63" s="202"/>
      <c r="F63" s="202"/>
    </row>
    <row r="64" spans="2:6" x14ac:dyDescent="0.25">
      <c r="B64" s="172" t="s">
        <v>1301</v>
      </c>
      <c r="C64" s="27" t="s">
        <v>1248</v>
      </c>
      <c r="D64" s="7" t="s">
        <v>1249</v>
      </c>
      <c r="E64" s="7"/>
      <c r="F64" s="7"/>
    </row>
    <row r="65" spans="2:6" x14ac:dyDescent="0.25">
      <c r="B65" s="173" t="s">
        <v>1302</v>
      </c>
      <c r="C65" s="114" t="s">
        <v>1248</v>
      </c>
      <c r="D65" s="202" t="s">
        <v>1249</v>
      </c>
      <c r="E65" s="202"/>
      <c r="F65" s="202"/>
    </row>
    <row r="66" spans="2:6" x14ac:dyDescent="0.25">
      <c r="B66" s="172" t="s">
        <v>1303</v>
      </c>
      <c r="C66" s="27" t="s">
        <v>1248</v>
      </c>
      <c r="D66" s="7" t="s">
        <v>1249</v>
      </c>
      <c r="E66" s="7"/>
      <c r="F66" s="7"/>
    </row>
    <row r="67" spans="2:6" x14ac:dyDescent="0.25">
      <c r="B67" s="173" t="s">
        <v>1304</v>
      </c>
      <c r="C67" s="114" t="s">
        <v>1248</v>
      </c>
      <c r="D67" s="202" t="s">
        <v>1249</v>
      </c>
      <c r="E67" s="202"/>
      <c r="F67" s="202"/>
    </row>
    <row r="68" spans="2:6" x14ac:dyDescent="0.25">
      <c r="B68" s="172" t="s">
        <v>1305</v>
      </c>
      <c r="C68" s="27" t="s">
        <v>1248</v>
      </c>
      <c r="D68" s="7" t="s">
        <v>1249</v>
      </c>
      <c r="E68" s="7"/>
      <c r="F68" s="7"/>
    </row>
    <row r="69" spans="2:6" x14ac:dyDescent="0.25">
      <c r="B69" s="173" t="s">
        <v>1306</v>
      </c>
      <c r="C69" s="114" t="s">
        <v>1248</v>
      </c>
      <c r="D69" s="202" t="s">
        <v>1249</v>
      </c>
      <c r="E69" s="202"/>
      <c r="F69" s="202"/>
    </row>
    <row r="70" spans="2:6" x14ac:dyDescent="0.25">
      <c r="B70" s="172" t="s">
        <v>1307</v>
      </c>
      <c r="C70" s="27" t="s">
        <v>1248</v>
      </c>
      <c r="D70" s="7" t="s">
        <v>1249</v>
      </c>
      <c r="E70" s="7"/>
      <c r="F70" s="7"/>
    </row>
    <row r="71" spans="2:6" x14ac:dyDescent="0.25">
      <c r="B71" s="173" t="s">
        <v>1308</v>
      </c>
      <c r="C71" s="114" t="s">
        <v>1248</v>
      </c>
      <c r="D71" s="202" t="s">
        <v>1249</v>
      </c>
      <c r="E71" s="202"/>
      <c r="F71" s="202"/>
    </row>
    <row r="72" spans="2:6" x14ac:dyDescent="0.25">
      <c r="B72" s="172" t="s">
        <v>1309</v>
      </c>
      <c r="C72" s="27" t="s">
        <v>1260</v>
      </c>
      <c r="D72" s="7" t="s">
        <v>1261</v>
      </c>
      <c r="E72" s="7"/>
      <c r="F72" s="7"/>
    </row>
    <row r="73" spans="2:6" x14ac:dyDescent="0.25">
      <c r="B73" s="173" t="s">
        <v>1310</v>
      </c>
      <c r="C73" s="114" t="s">
        <v>1248</v>
      </c>
      <c r="D73" s="202" t="s">
        <v>1249</v>
      </c>
      <c r="E73" s="202"/>
      <c r="F73" s="202"/>
    </row>
    <row r="74" spans="2:6" x14ac:dyDescent="0.25">
      <c r="B74" s="172" t="s">
        <v>1311</v>
      </c>
      <c r="C74" s="27" t="s">
        <v>1248</v>
      </c>
      <c r="D74" s="7" t="s">
        <v>1249</v>
      </c>
      <c r="E74" s="7"/>
      <c r="F74" s="7"/>
    </row>
    <row r="75" spans="2:6" x14ac:dyDescent="0.25">
      <c r="B75" s="173" t="s">
        <v>1312</v>
      </c>
      <c r="C75" s="114" t="s">
        <v>1260</v>
      </c>
      <c r="D75" s="202" t="s">
        <v>1261</v>
      </c>
      <c r="E75" s="202"/>
      <c r="F75" s="202"/>
    </row>
    <row r="76" spans="2:6" x14ac:dyDescent="0.25">
      <c r="B76" s="172" t="s">
        <v>1313</v>
      </c>
      <c r="C76" s="27" t="s">
        <v>1248</v>
      </c>
      <c r="D76" s="7" t="s">
        <v>1249</v>
      </c>
      <c r="E76" s="7"/>
      <c r="F76" s="7"/>
    </row>
    <row r="77" spans="2:6" x14ac:dyDescent="0.25">
      <c r="B77" s="173" t="s">
        <v>1314</v>
      </c>
      <c r="C77" s="114" t="s">
        <v>1260</v>
      </c>
      <c r="D77" s="202" t="s">
        <v>1261</v>
      </c>
      <c r="E77" s="202"/>
      <c r="F77" s="202"/>
    </row>
    <row r="78" spans="2:6" x14ac:dyDescent="0.25">
      <c r="B78" s="172" t="s">
        <v>1315</v>
      </c>
      <c r="C78" s="27" t="s">
        <v>1260</v>
      </c>
      <c r="D78" s="7" t="s">
        <v>1261</v>
      </c>
      <c r="E78" s="7"/>
      <c r="F78" s="7"/>
    </row>
    <row r="79" spans="2:6" x14ac:dyDescent="0.25">
      <c r="B79" s="173" t="s">
        <v>1316</v>
      </c>
      <c r="C79" s="114" t="s">
        <v>1255</v>
      </c>
      <c r="D79" s="202" t="s">
        <v>1256</v>
      </c>
      <c r="E79" s="202"/>
      <c r="F79" s="202"/>
    </row>
    <row r="80" spans="2:6" x14ac:dyDescent="0.25">
      <c r="B80" s="172" t="s">
        <v>1317</v>
      </c>
      <c r="C80" s="27" t="s">
        <v>1248</v>
      </c>
      <c r="D80" s="7" t="s">
        <v>1249</v>
      </c>
      <c r="E80" s="7"/>
      <c r="F80" s="7"/>
    </row>
    <row r="81" spans="2:6" x14ac:dyDescent="0.25">
      <c r="B81" s="173" t="s">
        <v>1318</v>
      </c>
      <c r="C81" s="114" t="s">
        <v>1248</v>
      </c>
      <c r="D81" s="202" t="s">
        <v>1249</v>
      </c>
      <c r="E81" s="202"/>
      <c r="F81" s="202"/>
    </row>
    <row r="82" spans="2:6" x14ac:dyDescent="0.25">
      <c r="B82" s="172" t="s">
        <v>1319</v>
      </c>
      <c r="C82" s="27" t="s">
        <v>1248</v>
      </c>
      <c r="D82" s="7" t="s">
        <v>1249</v>
      </c>
      <c r="E82" s="7"/>
      <c r="F82" s="7"/>
    </row>
    <row r="83" spans="2:6" x14ac:dyDescent="0.25">
      <c r="B83" s="173" t="s">
        <v>1320</v>
      </c>
      <c r="C83" s="114" t="s">
        <v>1248</v>
      </c>
      <c r="D83" s="202" t="s">
        <v>1249</v>
      </c>
      <c r="E83" s="202"/>
      <c r="F83" s="202"/>
    </row>
    <row r="84" spans="2:6" x14ac:dyDescent="0.25">
      <c r="B84" s="172" t="s">
        <v>1321</v>
      </c>
      <c r="C84" s="27" t="s">
        <v>1248</v>
      </c>
      <c r="D84" s="7" t="s">
        <v>1249</v>
      </c>
      <c r="E84" s="7"/>
      <c r="F84" s="7"/>
    </row>
    <row r="85" spans="2:6" x14ac:dyDescent="0.25">
      <c r="B85" s="173" t="s">
        <v>1322</v>
      </c>
      <c r="C85" s="114" t="s">
        <v>1248</v>
      </c>
      <c r="D85" s="202" t="s">
        <v>1249</v>
      </c>
      <c r="E85" s="202"/>
      <c r="F85" s="202"/>
    </row>
    <row r="86" spans="2:6" x14ac:dyDescent="0.25">
      <c r="B86" s="172" t="s">
        <v>1323</v>
      </c>
      <c r="C86" s="27" t="s">
        <v>1248</v>
      </c>
      <c r="D86" s="7" t="s">
        <v>1249</v>
      </c>
      <c r="E86" s="7"/>
      <c r="F86" s="7"/>
    </row>
    <row r="87" spans="2:6" x14ac:dyDescent="0.25">
      <c r="B87" s="173" t="s">
        <v>1324</v>
      </c>
      <c r="C87" s="114" t="s">
        <v>1248</v>
      </c>
      <c r="D87" s="202" t="s">
        <v>1249</v>
      </c>
      <c r="E87" s="202"/>
      <c r="F87" s="202"/>
    </row>
    <row r="88" spans="2:6" x14ac:dyDescent="0.25">
      <c r="B88" s="172" t="s">
        <v>1325</v>
      </c>
      <c r="C88" s="27" t="s">
        <v>1248</v>
      </c>
      <c r="D88" s="7" t="s">
        <v>1249</v>
      </c>
      <c r="E88" s="7"/>
      <c r="F88" s="7"/>
    </row>
    <row r="89" spans="2:6" x14ac:dyDescent="0.25">
      <c r="B89" s="173" t="s">
        <v>1326</v>
      </c>
      <c r="C89" s="114" t="s">
        <v>1248</v>
      </c>
      <c r="D89" s="202" t="s">
        <v>1249</v>
      </c>
      <c r="E89" s="202"/>
      <c r="F89" s="202"/>
    </row>
    <row r="90" spans="2:6" x14ac:dyDescent="0.25">
      <c r="B90" s="172" t="s">
        <v>1327</v>
      </c>
      <c r="C90" s="27" t="s">
        <v>1236</v>
      </c>
      <c r="D90" s="7" t="s">
        <v>1237</v>
      </c>
      <c r="E90" s="7"/>
      <c r="F90" s="7"/>
    </row>
    <row r="91" spans="2:6" x14ac:dyDescent="0.25">
      <c r="B91" s="173" t="s">
        <v>1328</v>
      </c>
      <c r="C91" s="114" t="s">
        <v>1236</v>
      </c>
      <c r="D91" s="202" t="s">
        <v>1237</v>
      </c>
      <c r="E91" s="202"/>
      <c r="F91" s="202"/>
    </row>
    <row r="92" spans="2:6" x14ac:dyDescent="0.25">
      <c r="B92" s="172" t="s">
        <v>1329</v>
      </c>
      <c r="C92" s="27" t="s">
        <v>1236</v>
      </c>
      <c r="D92" s="7" t="s">
        <v>1237</v>
      </c>
      <c r="E92" s="7"/>
      <c r="F92" s="7"/>
    </row>
    <row r="93" spans="2:6" x14ac:dyDescent="0.25">
      <c r="B93" s="173" t="s">
        <v>1330</v>
      </c>
      <c r="C93" s="114" t="s">
        <v>1236</v>
      </c>
      <c r="D93" s="202" t="s">
        <v>1237</v>
      </c>
      <c r="E93" s="202"/>
      <c r="F93" s="202"/>
    </row>
    <row r="94" spans="2:6" x14ac:dyDescent="0.25">
      <c r="B94" s="172" t="s">
        <v>1331</v>
      </c>
      <c r="C94" s="27" t="s">
        <v>1236</v>
      </c>
      <c r="D94" s="7" t="s">
        <v>1237</v>
      </c>
      <c r="E94" s="7"/>
      <c r="F94" s="7"/>
    </row>
    <row r="95" spans="2:6" x14ac:dyDescent="0.25">
      <c r="B95" s="173" t="s">
        <v>1332</v>
      </c>
      <c r="C95" s="114" t="s">
        <v>1236</v>
      </c>
      <c r="D95" s="202" t="s">
        <v>1237</v>
      </c>
      <c r="E95" s="202"/>
      <c r="F95" s="202"/>
    </row>
    <row r="96" spans="2:6" x14ac:dyDescent="0.25">
      <c r="B96" s="172" t="s">
        <v>1333</v>
      </c>
      <c r="C96" s="27" t="s">
        <v>1236</v>
      </c>
      <c r="D96" s="7" t="s">
        <v>1237</v>
      </c>
      <c r="E96" s="7"/>
      <c r="F96" s="7"/>
    </row>
    <row r="97" spans="2:6" x14ac:dyDescent="0.25">
      <c r="B97" s="173" t="s">
        <v>1334</v>
      </c>
      <c r="C97" s="114" t="s">
        <v>1260</v>
      </c>
      <c r="D97" s="202" t="s">
        <v>1261</v>
      </c>
      <c r="E97" s="202"/>
      <c r="F97" s="202"/>
    </row>
    <row r="98" spans="2:6" x14ac:dyDescent="0.25">
      <c r="B98" s="172" t="s">
        <v>1335</v>
      </c>
      <c r="C98" s="27" t="s">
        <v>1248</v>
      </c>
      <c r="D98" s="7" t="s">
        <v>1249</v>
      </c>
      <c r="E98" s="7"/>
      <c r="F98" s="7"/>
    </row>
    <row r="99" spans="2:6" x14ac:dyDescent="0.25">
      <c r="B99" s="173" t="s">
        <v>1336</v>
      </c>
      <c r="C99" s="114" t="s">
        <v>1260</v>
      </c>
      <c r="D99" s="202" t="s">
        <v>1261</v>
      </c>
      <c r="E99" s="202"/>
      <c r="F99" s="202"/>
    </row>
    <row r="100" spans="2:6" x14ac:dyDescent="0.25">
      <c r="B100" s="172" t="s">
        <v>1337</v>
      </c>
      <c r="C100" s="27" t="s">
        <v>1260</v>
      </c>
      <c r="D100" s="7" t="s">
        <v>1261</v>
      </c>
      <c r="E100" s="7"/>
      <c r="F100" s="7"/>
    </row>
    <row r="101" spans="2:6" x14ac:dyDescent="0.25">
      <c r="B101" s="173" t="s">
        <v>1338</v>
      </c>
      <c r="C101" s="114" t="s">
        <v>1248</v>
      </c>
      <c r="D101" s="202" t="s">
        <v>1249</v>
      </c>
      <c r="E101" s="202"/>
      <c r="F101" s="202"/>
    </row>
    <row r="102" spans="2:6" x14ac:dyDescent="0.25">
      <c r="B102" s="172" t="s">
        <v>1339</v>
      </c>
      <c r="C102" s="27" t="s">
        <v>1260</v>
      </c>
      <c r="D102" s="7" t="s">
        <v>1261</v>
      </c>
      <c r="E102" s="7"/>
      <c r="F102" s="7"/>
    </row>
    <row r="103" spans="2:6" x14ac:dyDescent="0.25">
      <c r="B103" s="173" t="s">
        <v>1340</v>
      </c>
      <c r="C103" s="114" t="s">
        <v>1260</v>
      </c>
      <c r="D103" s="202" t="s">
        <v>1261</v>
      </c>
      <c r="E103" s="202"/>
      <c r="F103" s="202"/>
    </row>
    <row r="104" spans="2:6" x14ac:dyDescent="0.25">
      <c r="B104" s="172" t="s">
        <v>1341</v>
      </c>
      <c r="C104" s="27" t="s">
        <v>1255</v>
      </c>
      <c r="D104" s="7" t="s">
        <v>1256</v>
      </c>
      <c r="E104" s="7"/>
      <c r="F104" s="7"/>
    </row>
    <row r="105" spans="2:6" x14ac:dyDescent="0.25">
      <c r="B105" s="173" t="s">
        <v>1342</v>
      </c>
      <c r="C105" s="114" t="s">
        <v>1236</v>
      </c>
      <c r="D105" s="202" t="s">
        <v>1237</v>
      </c>
      <c r="E105" s="202"/>
      <c r="F105" s="202"/>
    </row>
    <row r="106" spans="2:6" x14ac:dyDescent="0.25">
      <c r="B106" s="172" t="s">
        <v>1343</v>
      </c>
      <c r="C106" s="27" t="s">
        <v>1236</v>
      </c>
      <c r="D106" s="7" t="s">
        <v>1237</v>
      </c>
      <c r="E106" s="7"/>
      <c r="F106" s="7"/>
    </row>
    <row r="107" spans="2:6" x14ac:dyDescent="0.25">
      <c r="B107" s="173" t="s">
        <v>1344</v>
      </c>
      <c r="C107" s="114" t="s">
        <v>1236</v>
      </c>
      <c r="D107" s="202" t="s">
        <v>1237</v>
      </c>
      <c r="E107" s="202"/>
      <c r="F107" s="202"/>
    </row>
    <row r="108" spans="2:6" x14ac:dyDescent="0.25">
      <c r="B108" s="172" t="s">
        <v>1345</v>
      </c>
      <c r="C108" s="27" t="s">
        <v>1236</v>
      </c>
      <c r="D108" s="7" t="s">
        <v>1237</v>
      </c>
      <c r="E108" s="7"/>
      <c r="F108" s="7"/>
    </row>
    <row r="109" spans="2:6" x14ac:dyDescent="0.25">
      <c r="B109" s="173" t="s">
        <v>1346</v>
      </c>
      <c r="C109" s="114" t="s">
        <v>1236</v>
      </c>
      <c r="D109" s="202" t="s">
        <v>1237</v>
      </c>
      <c r="E109" s="202"/>
      <c r="F109" s="202"/>
    </row>
    <row r="110" spans="2:6" x14ac:dyDescent="0.25">
      <c r="B110" s="172" t="s">
        <v>1347</v>
      </c>
      <c r="C110" s="27" t="s">
        <v>1236</v>
      </c>
      <c r="D110" s="7" t="s">
        <v>1237</v>
      </c>
      <c r="E110" s="7"/>
      <c r="F110" s="7"/>
    </row>
    <row r="111" spans="2:6" x14ac:dyDescent="0.25">
      <c r="B111" s="173" t="s">
        <v>1348</v>
      </c>
      <c r="C111" s="114" t="s">
        <v>1236</v>
      </c>
      <c r="D111" s="202" t="s">
        <v>1237</v>
      </c>
      <c r="E111" s="202"/>
      <c r="F111" s="202"/>
    </row>
    <row r="112" spans="2:6" x14ac:dyDescent="0.25">
      <c r="B112" s="172" t="s">
        <v>1349</v>
      </c>
      <c r="C112" s="27" t="s">
        <v>1236</v>
      </c>
      <c r="D112" s="7" t="s">
        <v>1237</v>
      </c>
      <c r="E112" s="7"/>
      <c r="F112" s="7"/>
    </row>
    <row r="113" spans="2:6" x14ac:dyDescent="0.25">
      <c r="B113" s="173" t="s">
        <v>1350</v>
      </c>
      <c r="C113" s="114" t="s">
        <v>1236</v>
      </c>
      <c r="D113" s="202" t="s">
        <v>1237</v>
      </c>
      <c r="E113" s="202"/>
      <c r="F113" s="202"/>
    </row>
    <row r="114" spans="2:6" x14ac:dyDescent="0.25">
      <c r="B114" s="172" t="s">
        <v>1351</v>
      </c>
      <c r="C114" s="27" t="s">
        <v>1236</v>
      </c>
      <c r="D114" s="7" t="s">
        <v>1237</v>
      </c>
      <c r="E114" s="7"/>
      <c r="F114" s="7"/>
    </row>
    <row r="115" spans="2:6" x14ac:dyDescent="0.25">
      <c r="B115" s="173" t="s">
        <v>1352</v>
      </c>
      <c r="C115" s="114" t="s">
        <v>1236</v>
      </c>
      <c r="D115" s="202" t="s">
        <v>1237</v>
      </c>
      <c r="E115" s="202"/>
      <c r="F115" s="202"/>
    </row>
    <row r="116" spans="2:6" x14ac:dyDescent="0.25">
      <c r="B116" s="172" t="s">
        <v>1353</v>
      </c>
      <c r="C116" s="27" t="s">
        <v>1236</v>
      </c>
      <c r="D116" s="7" t="s">
        <v>1237</v>
      </c>
      <c r="E116" s="7"/>
      <c r="F116" s="7"/>
    </row>
    <row r="117" spans="2:6" x14ac:dyDescent="0.25">
      <c r="B117" s="173" t="s">
        <v>1354</v>
      </c>
      <c r="C117" s="114" t="s">
        <v>1236</v>
      </c>
      <c r="D117" s="202" t="s">
        <v>1237</v>
      </c>
      <c r="E117" s="202"/>
      <c r="F117" s="202"/>
    </row>
    <row r="118" spans="2:6" x14ac:dyDescent="0.25">
      <c r="B118" s="172" t="s">
        <v>1355</v>
      </c>
      <c r="C118" s="27" t="s">
        <v>1236</v>
      </c>
      <c r="D118" s="7" t="s">
        <v>1237</v>
      </c>
      <c r="E118" s="7"/>
      <c r="F118" s="7"/>
    </row>
    <row r="119" spans="2:6" x14ac:dyDescent="0.25">
      <c r="B119" s="173" t="s">
        <v>1356</v>
      </c>
      <c r="C119" s="114" t="s">
        <v>1236</v>
      </c>
      <c r="D119" s="202" t="s">
        <v>1237</v>
      </c>
      <c r="E119" s="202"/>
      <c r="F119" s="202"/>
    </row>
    <row r="120" spans="2:6" x14ac:dyDescent="0.25">
      <c r="B120" s="172" t="s">
        <v>1357</v>
      </c>
      <c r="C120" s="27" t="s">
        <v>1236</v>
      </c>
      <c r="D120" s="7" t="s">
        <v>1237</v>
      </c>
      <c r="E120" s="7"/>
      <c r="F120" s="7"/>
    </row>
    <row r="121" spans="2:6" x14ac:dyDescent="0.25">
      <c r="B121" s="173" t="s">
        <v>1358</v>
      </c>
      <c r="C121" s="114" t="s">
        <v>1236</v>
      </c>
      <c r="D121" s="202" t="s">
        <v>1237</v>
      </c>
      <c r="E121" s="202"/>
      <c r="F121" s="202"/>
    </row>
    <row r="122" spans="2:6" x14ac:dyDescent="0.25">
      <c r="B122" s="172" t="s">
        <v>1359</v>
      </c>
      <c r="C122" s="27" t="s">
        <v>1236</v>
      </c>
      <c r="D122" s="7" t="s">
        <v>1237</v>
      </c>
      <c r="E122" s="7"/>
      <c r="F122" s="7"/>
    </row>
    <row r="123" spans="2:6" x14ac:dyDescent="0.25">
      <c r="B123" s="173" t="s">
        <v>1360</v>
      </c>
      <c r="C123" s="114" t="s">
        <v>1236</v>
      </c>
      <c r="D123" s="202" t="s">
        <v>1237</v>
      </c>
      <c r="E123" s="202"/>
      <c r="F123" s="202"/>
    </row>
    <row r="124" spans="2:6" x14ac:dyDescent="0.25">
      <c r="B124" s="172" t="s">
        <v>1361</v>
      </c>
      <c r="C124" s="27" t="s">
        <v>1236</v>
      </c>
      <c r="D124" s="7" t="s">
        <v>1237</v>
      </c>
      <c r="E124" s="7"/>
      <c r="F124" s="7"/>
    </row>
    <row r="125" spans="2:6" x14ac:dyDescent="0.25">
      <c r="B125" s="173" t="s">
        <v>1362</v>
      </c>
      <c r="C125" s="114" t="s">
        <v>1236</v>
      </c>
      <c r="D125" s="202" t="s">
        <v>1237</v>
      </c>
      <c r="E125" s="202"/>
      <c r="F125" s="202"/>
    </row>
    <row r="126" spans="2:6" x14ac:dyDescent="0.25">
      <c r="B126" s="172" t="s">
        <v>1363</v>
      </c>
      <c r="C126" s="27" t="s">
        <v>1236</v>
      </c>
      <c r="D126" s="7" t="s">
        <v>1237</v>
      </c>
      <c r="E126" s="7"/>
      <c r="F126" s="7"/>
    </row>
    <row r="127" spans="2:6" x14ac:dyDescent="0.25">
      <c r="B127" s="173" t="s">
        <v>1364</v>
      </c>
      <c r="C127" s="114" t="s">
        <v>1236</v>
      </c>
      <c r="D127" s="202" t="s">
        <v>1237</v>
      </c>
      <c r="E127" s="202"/>
      <c r="F127" s="202"/>
    </row>
    <row r="128" spans="2:6" x14ac:dyDescent="0.25">
      <c r="B128" s="172" t="s">
        <v>1365</v>
      </c>
      <c r="C128" s="27" t="s">
        <v>1236</v>
      </c>
      <c r="D128" s="7" t="s">
        <v>1237</v>
      </c>
      <c r="E128" s="7"/>
      <c r="F128" s="7"/>
    </row>
    <row r="129" spans="2:6" x14ac:dyDescent="0.25">
      <c r="B129" s="173" t="s">
        <v>1366</v>
      </c>
      <c r="C129" s="114" t="s">
        <v>1236</v>
      </c>
      <c r="D129" s="202" t="s">
        <v>1237</v>
      </c>
      <c r="E129" s="202"/>
      <c r="F129" s="202"/>
    </row>
    <row r="130" spans="2:6" x14ac:dyDescent="0.25">
      <c r="B130" s="172" t="s">
        <v>1367</v>
      </c>
      <c r="C130" s="27" t="s">
        <v>1236</v>
      </c>
      <c r="D130" s="7" t="s">
        <v>1237</v>
      </c>
      <c r="E130" s="7"/>
      <c r="F130" s="7"/>
    </row>
    <row r="131" spans="2:6" x14ac:dyDescent="0.25">
      <c r="B131" s="173" t="s">
        <v>1368</v>
      </c>
      <c r="C131" s="114" t="s">
        <v>1236</v>
      </c>
      <c r="D131" s="202" t="s">
        <v>1237</v>
      </c>
      <c r="E131" s="202"/>
      <c r="F131" s="202"/>
    </row>
    <row r="132" spans="2:6" x14ac:dyDescent="0.25">
      <c r="B132" s="172" t="s">
        <v>1369</v>
      </c>
      <c r="C132" s="27" t="s">
        <v>1236</v>
      </c>
      <c r="D132" s="7" t="s">
        <v>1237</v>
      </c>
      <c r="E132" s="7"/>
      <c r="F132" s="7"/>
    </row>
    <row r="133" spans="2:6" x14ac:dyDescent="0.25">
      <c r="B133" s="173" t="s">
        <v>1370</v>
      </c>
      <c r="C133" s="114" t="s">
        <v>1236</v>
      </c>
      <c r="D133" s="202" t="s">
        <v>1237</v>
      </c>
      <c r="E133" s="202"/>
      <c r="F133" s="202"/>
    </row>
    <row r="134" spans="2:6" x14ac:dyDescent="0.25">
      <c r="B134" s="172" t="s">
        <v>1371</v>
      </c>
      <c r="C134" s="27" t="s">
        <v>1236</v>
      </c>
      <c r="D134" s="7" t="s">
        <v>1237</v>
      </c>
      <c r="E134" s="7"/>
      <c r="F134" s="7"/>
    </row>
    <row r="135" spans="2:6" x14ac:dyDescent="0.25">
      <c r="B135" s="173" t="s">
        <v>1372</v>
      </c>
      <c r="C135" s="114" t="s">
        <v>1373</v>
      </c>
      <c r="D135" s="202" t="s">
        <v>1237</v>
      </c>
      <c r="E135" s="202"/>
      <c r="F135" s="202"/>
    </row>
    <row r="136" spans="2:6" x14ac:dyDescent="0.25">
      <c r="B136" s="172" t="s">
        <v>1374</v>
      </c>
      <c r="C136" s="27" t="s">
        <v>1373</v>
      </c>
      <c r="D136" s="7" t="s">
        <v>1237</v>
      </c>
      <c r="E136" s="7"/>
      <c r="F136" s="7"/>
    </row>
    <row r="137" spans="2:6" x14ac:dyDescent="0.25">
      <c r="B137" s="173" t="s">
        <v>1375</v>
      </c>
      <c r="C137" s="114" t="s">
        <v>1373</v>
      </c>
      <c r="D137" s="202" t="s">
        <v>1237</v>
      </c>
      <c r="E137" s="202"/>
      <c r="F137" s="202"/>
    </row>
    <row r="138" spans="2:6" x14ac:dyDescent="0.25">
      <c r="B138" s="172" t="s">
        <v>1376</v>
      </c>
      <c r="C138" s="27" t="s">
        <v>1373</v>
      </c>
      <c r="D138" s="7" t="s">
        <v>1237</v>
      </c>
      <c r="E138" s="7"/>
      <c r="F138" s="7"/>
    </row>
    <row r="139" spans="2:6" x14ac:dyDescent="0.25">
      <c r="B139" s="173" t="s">
        <v>1377</v>
      </c>
      <c r="C139" s="114" t="s">
        <v>1373</v>
      </c>
      <c r="D139" s="202" t="s">
        <v>1237</v>
      </c>
      <c r="E139" s="202"/>
      <c r="F139" s="202"/>
    </row>
    <row r="140" spans="2:6" x14ac:dyDescent="0.25">
      <c r="B140" s="172" t="s">
        <v>1378</v>
      </c>
      <c r="C140" s="27" t="s">
        <v>1373</v>
      </c>
      <c r="D140" s="7" t="s">
        <v>1237</v>
      </c>
      <c r="E140" s="7"/>
      <c r="F140" s="7"/>
    </row>
    <row r="141" spans="2:6" x14ac:dyDescent="0.25">
      <c r="B141" s="173" t="s">
        <v>1379</v>
      </c>
      <c r="C141" s="114" t="s">
        <v>1373</v>
      </c>
      <c r="D141" s="202" t="s">
        <v>1237</v>
      </c>
      <c r="E141" s="202"/>
      <c r="F141" s="202"/>
    </row>
    <row r="142" spans="2:6" x14ac:dyDescent="0.25">
      <c r="B142" s="172" t="s">
        <v>1380</v>
      </c>
      <c r="C142" s="27" t="s">
        <v>1373</v>
      </c>
      <c r="D142" s="7" t="s">
        <v>1237</v>
      </c>
      <c r="E142" s="7"/>
      <c r="F142" s="7"/>
    </row>
    <row r="143" spans="2:6" x14ac:dyDescent="0.25">
      <c r="B143" s="173" t="s">
        <v>1381</v>
      </c>
      <c r="C143" s="114" t="s">
        <v>1373</v>
      </c>
      <c r="D143" s="202" t="s">
        <v>1237</v>
      </c>
      <c r="E143" s="202"/>
      <c r="F143" s="202"/>
    </row>
    <row r="144" spans="2:6" x14ac:dyDescent="0.25">
      <c r="B144" s="172" t="s">
        <v>1382</v>
      </c>
      <c r="C144" s="27" t="s">
        <v>1373</v>
      </c>
      <c r="D144" s="7" t="s">
        <v>1237</v>
      </c>
      <c r="E144" s="7"/>
      <c r="F144" s="7"/>
    </row>
    <row r="145" spans="2:6" x14ac:dyDescent="0.25">
      <c r="B145" s="173" t="s">
        <v>1383</v>
      </c>
      <c r="C145" s="114" t="s">
        <v>1373</v>
      </c>
      <c r="D145" s="202" t="s">
        <v>1237</v>
      </c>
      <c r="E145" s="202"/>
      <c r="F145" s="202"/>
    </row>
    <row r="146" spans="2:6" x14ac:dyDescent="0.25">
      <c r="B146" s="172" t="s">
        <v>1384</v>
      </c>
      <c r="C146" s="27" t="s">
        <v>1373</v>
      </c>
      <c r="D146" s="7" t="s">
        <v>1237</v>
      </c>
      <c r="E146" s="7"/>
      <c r="F146" s="7"/>
    </row>
    <row r="147" spans="2:6" x14ac:dyDescent="0.25">
      <c r="B147" s="173" t="s">
        <v>1385</v>
      </c>
      <c r="C147" s="114" t="s">
        <v>1373</v>
      </c>
      <c r="D147" s="202" t="s">
        <v>1237</v>
      </c>
      <c r="E147" s="202"/>
      <c r="F147" s="202"/>
    </row>
    <row r="148" spans="2:6" x14ac:dyDescent="0.25">
      <c r="B148" s="172" t="s">
        <v>1386</v>
      </c>
      <c r="C148" s="27" t="s">
        <v>1373</v>
      </c>
      <c r="D148" s="7" t="s">
        <v>1237</v>
      </c>
      <c r="E148" s="7"/>
      <c r="F148" s="7"/>
    </row>
    <row r="149" spans="2:6" x14ac:dyDescent="0.25">
      <c r="B149" s="173" t="s">
        <v>1387</v>
      </c>
      <c r="C149" s="114" t="s">
        <v>1373</v>
      </c>
      <c r="D149" s="202" t="s">
        <v>1237</v>
      </c>
      <c r="E149" s="202"/>
      <c r="F149" s="202"/>
    </row>
    <row r="150" spans="2:6" x14ac:dyDescent="0.25">
      <c r="B150" s="172" t="s">
        <v>1388</v>
      </c>
      <c r="C150" s="27" t="s">
        <v>1373</v>
      </c>
      <c r="D150" s="7" t="s">
        <v>1237</v>
      </c>
      <c r="E150" s="7"/>
      <c r="F150" s="7"/>
    </row>
    <row r="151" spans="2:6" x14ac:dyDescent="0.25">
      <c r="B151" s="173" t="s">
        <v>1389</v>
      </c>
      <c r="C151" s="114" t="s">
        <v>1373</v>
      </c>
      <c r="D151" s="202" t="s">
        <v>1237</v>
      </c>
      <c r="E151" s="202"/>
      <c r="F151" s="202"/>
    </row>
    <row r="152" spans="2:6" x14ac:dyDescent="0.25">
      <c r="B152" s="172" t="s">
        <v>1390</v>
      </c>
      <c r="C152" s="27" t="s">
        <v>1373</v>
      </c>
      <c r="D152" s="7" t="s">
        <v>1237</v>
      </c>
      <c r="E152" s="7"/>
      <c r="F152" s="7"/>
    </row>
    <row r="153" spans="2:6" x14ac:dyDescent="0.25">
      <c r="B153" s="173" t="s">
        <v>1391</v>
      </c>
      <c r="C153" s="114" t="s">
        <v>1373</v>
      </c>
      <c r="D153" s="202" t="s">
        <v>1237</v>
      </c>
      <c r="E153" s="202"/>
      <c r="F153" s="202"/>
    </row>
    <row r="154" spans="2:6" x14ac:dyDescent="0.25">
      <c r="B154" s="172" t="s">
        <v>1392</v>
      </c>
      <c r="C154" s="27" t="s">
        <v>1373</v>
      </c>
      <c r="D154" s="7" t="s">
        <v>1237</v>
      </c>
      <c r="E154" s="7"/>
      <c r="F154" s="7"/>
    </row>
    <row r="155" spans="2:6" x14ac:dyDescent="0.25">
      <c r="B155" s="173" t="s">
        <v>1393</v>
      </c>
      <c r="C155" s="114" t="s">
        <v>1373</v>
      </c>
      <c r="D155" s="202" t="s">
        <v>1237</v>
      </c>
      <c r="E155" s="202"/>
      <c r="F155" s="202"/>
    </row>
    <row r="156" spans="2:6" x14ac:dyDescent="0.25">
      <c r="B156" s="172" t="s">
        <v>1394</v>
      </c>
      <c r="C156" s="27" t="s">
        <v>1373</v>
      </c>
      <c r="D156" s="7" t="s">
        <v>1237</v>
      </c>
      <c r="E156" s="7"/>
      <c r="F156" s="7"/>
    </row>
    <row r="157" spans="2:6" x14ac:dyDescent="0.25">
      <c r="B157" s="173" t="s">
        <v>1395</v>
      </c>
      <c r="C157" s="114" t="s">
        <v>1373</v>
      </c>
      <c r="D157" s="202" t="s">
        <v>1237</v>
      </c>
      <c r="E157" s="202"/>
      <c r="F157" s="202"/>
    </row>
    <row r="158" spans="2:6" x14ac:dyDescent="0.25">
      <c r="B158" s="172" t="s">
        <v>1396</v>
      </c>
      <c r="C158" s="27" t="s">
        <v>1373</v>
      </c>
      <c r="D158" s="7" t="s">
        <v>1237</v>
      </c>
      <c r="E158" s="7"/>
      <c r="F158" s="7"/>
    </row>
    <row r="159" spans="2:6" x14ac:dyDescent="0.25">
      <c r="B159" s="173" t="s">
        <v>1397</v>
      </c>
      <c r="C159" s="114" t="s">
        <v>1373</v>
      </c>
      <c r="D159" s="202" t="s">
        <v>1237</v>
      </c>
      <c r="E159" s="202"/>
      <c r="F159" s="202"/>
    </row>
    <row r="160" spans="2:6" x14ac:dyDescent="0.25">
      <c r="B160" s="172" t="s">
        <v>1398</v>
      </c>
      <c r="C160" s="27" t="s">
        <v>1373</v>
      </c>
      <c r="D160" s="7" t="s">
        <v>1237</v>
      </c>
      <c r="E160" s="7"/>
      <c r="F160" s="7"/>
    </row>
    <row r="161" spans="2:6" x14ac:dyDescent="0.25">
      <c r="B161" s="173" t="s">
        <v>1399</v>
      </c>
      <c r="C161" s="114" t="s">
        <v>1373</v>
      </c>
      <c r="D161" s="202" t="s">
        <v>1237</v>
      </c>
      <c r="E161" s="202"/>
      <c r="F161" s="202"/>
    </row>
    <row r="162" spans="2:6" x14ac:dyDescent="0.25">
      <c r="B162" s="172" t="s">
        <v>1400</v>
      </c>
      <c r="C162" s="27" t="s">
        <v>1373</v>
      </c>
      <c r="D162" s="7" t="s">
        <v>1237</v>
      </c>
      <c r="E162" s="7"/>
      <c r="F162" s="7"/>
    </row>
    <row r="163" spans="2:6" x14ac:dyDescent="0.25">
      <c r="B163" s="173" t="s">
        <v>1401</v>
      </c>
      <c r="C163" s="114" t="s">
        <v>1373</v>
      </c>
      <c r="D163" s="202" t="s">
        <v>1237</v>
      </c>
      <c r="E163" s="202"/>
      <c r="F163" s="202"/>
    </row>
    <row r="164" spans="2:6" x14ac:dyDescent="0.25">
      <c r="B164" s="172" t="s">
        <v>1402</v>
      </c>
      <c r="C164" s="27" t="s">
        <v>1373</v>
      </c>
      <c r="D164" s="7" t="s">
        <v>1237</v>
      </c>
      <c r="E164" s="7"/>
      <c r="F164" s="7"/>
    </row>
    <row r="165" spans="2:6" x14ac:dyDescent="0.25">
      <c r="B165" s="173" t="s">
        <v>1403</v>
      </c>
      <c r="C165" s="114" t="s">
        <v>1373</v>
      </c>
      <c r="D165" s="202" t="s">
        <v>1237</v>
      </c>
      <c r="E165" s="202"/>
      <c r="F165" s="202"/>
    </row>
    <row r="166" spans="2:6" x14ac:dyDescent="0.25">
      <c r="B166" s="172" t="s">
        <v>1404</v>
      </c>
      <c r="C166" s="27" t="s">
        <v>1373</v>
      </c>
      <c r="D166" s="7" t="s">
        <v>1237</v>
      </c>
      <c r="E166" s="7"/>
      <c r="F166" s="7"/>
    </row>
    <row r="167" spans="2:6" x14ac:dyDescent="0.25">
      <c r="B167" s="173" t="s">
        <v>1405</v>
      </c>
      <c r="C167" s="114" t="s">
        <v>1373</v>
      </c>
      <c r="D167" s="202" t="s">
        <v>1237</v>
      </c>
      <c r="E167" s="202"/>
      <c r="F167" s="202"/>
    </row>
    <row r="168" spans="2:6" x14ac:dyDescent="0.25">
      <c r="B168" s="172" t="s">
        <v>1406</v>
      </c>
      <c r="C168" s="27" t="s">
        <v>1373</v>
      </c>
      <c r="D168" s="7" t="s">
        <v>1237</v>
      </c>
      <c r="E168" s="7"/>
      <c r="F168" s="7"/>
    </row>
    <row r="169" spans="2:6" x14ac:dyDescent="0.25">
      <c r="B169" s="173" t="s">
        <v>1407</v>
      </c>
      <c r="C169" s="114" t="s">
        <v>1373</v>
      </c>
      <c r="D169" s="202" t="s">
        <v>1237</v>
      </c>
      <c r="E169" s="202"/>
      <c r="F169" s="202"/>
    </row>
    <row r="170" spans="2:6" x14ac:dyDescent="0.25">
      <c r="B170" s="172" t="s">
        <v>1408</v>
      </c>
      <c r="C170" s="27" t="s">
        <v>1373</v>
      </c>
      <c r="D170" s="7" t="s">
        <v>1237</v>
      </c>
      <c r="E170" s="7"/>
      <c r="F170" s="7"/>
    </row>
    <row r="171" spans="2:6" x14ac:dyDescent="0.25">
      <c r="B171" s="173" t="s">
        <v>1409</v>
      </c>
      <c r="C171" s="114" t="s">
        <v>1373</v>
      </c>
      <c r="D171" s="202" t="s">
        <v>1237</v>
      </c>
      <c r="E171" s="202"/>
      <c r="F171" s="202"/>
    </row>
    <row r="172" spans="2:6" x14ac:dyDescent="0.25">
      <c r="B172" s="172" t="s">
        <v>1410</v>
      </c>
      <c r="C172" s="27" t="s">
        <v>1373</v>
      </c>
      <c r="D172" s="7" t="s">
        <v>1237</v>
      </c>
      <c r="E172" s="7"/>
      <c r="F172" s="7"/>
    </row>
    <row r="173" spans="2:6" x14ac:dyDescent="0.25">
      <c r="B173" s="173" t="s">
        <v>1411</v>
      </c>
      <c r="C173" s="114" t="s">
        <v>1373</v>
      </c>
      <c r="D173" s="202" t="s">
        <v>1237</v>
      </c>
      <c r="E173" s="202"/>
      <c r="F173" s="202"/>
    </row>
    <row r="174" spans="2:6" x14ac:dyDescent="0.25">
      <c r="B174" s="172" t="s">
        <v>1412</v>
      </c>
      <c r="C174" s="27" t="s">
        <v>1373</v>
      </c>
      <c r="D174" s="7" t="s">
        <v>1237</v>
      </c>
      <c r="E174" s="7"/>
      <c r="F174" s="7"/>
    </row>
    <row r="175" spans="2:6" x14ac:dyDescent="0.25">
      <c r="B175" s="173" t="s">
        <v>1413</v>
      </c>
      <c r="C175" s="114" t="s">
        <v>1373</v>
      </c>
      <c r="D175" s="202" t="s">
        <v>1237</v>
      </c>
      <c r="E175" s="202"/>
      <c r="F175" s="202"/>
    </row>
    <row r="176" spans="2:6" x14ac:dyDescent="0.25">
      <c r="B176" s="172" t="s">
        <v>1414</v>
      </c>
      <c r="C176" s="27" t="s">
        <v>1373</v>
      </c>
      <c r="D176" s="7" t="s">
        <v>1237</v>
      </c>
      <c r="E176" s="7"/>
      <c r="F176" s="7"/>
    </row>
    <row r="177" spans="2:6" x14ac:dyDescent="0.25">
      <c r="B177" s="173" t="s">
        <v>1415</v>
      </c>
      <c r="C177" s="114" t="s">
        <v>1373</v>
      </c>
      <c r="D177" s="202" t="s">
        <v>1237</v>
      </c>
      <c r="E177" s="202"/>
      <c r="F177" s="202"/>
    </row>
    <row r="178" spans="2:6" x14ac:dyDescent="0.25">
      <c r="B178" s="172" t="s">
        <v>1416</v>
      </c>
      <c r="C178" s="27" t="s">
        <v>1373</v>
      </c>
      <c r="D178" s="7" t="s">
        <v>1237</v>
      </c>
      <c r="E178" s="7"/>
      <c r="F178" s="7"/>
    </row>
    <row r="179" spans="2:6" x14ac:dyDescent="0.25">
      <c r="B179" s="173" t="s">
        <v>1417</v>
      </c>
      <c r="C179" s="114" t="s">
        <v>1373</v>
      </c>
      <c r="D179" s="202" t="s">
        <v>1237</v>
      </c>
      <c r="E179" s="202"/>
      <c r="F179" s="202"/>
    </row>
    <row r="180" spans="2:6" x14ac:dyDescent="0.25">
      <c r="B180" s="172" t="s">
        <v>1418</v>
      </c>
      <c r="C180" s="27" t="s">
        <v>1373</v>
      </c>
      <c r="D180" s="7" t="s">
        <v>1237</v>
      </c>
      <c r="E180" s="7"/>
      <c r="F180" s="7"/>
    </row>
    <row r="181" spans="2:6" x14ac:dyDescent="0.25">
      <c r="B181" s="173" t="s">
        <v>1419</v>
      </c>
      <c r="C181" s="114" t="s">
        <v>1373</v>
      </c>
      <c r="D181" s="202" t="s">
        <v>1237</v>
      </c>
      <c r="E181" s="202"/>
      <c r="F181" s="202"/>
    </row>
    <row r="182" spans="2:6" x14ac:dyDescent="0.25">
      <c r="B182" s="172" t="s">
        <v>1420</v>
      </c>
      <c r="C182" s="27" t="s">
        <v>1421</v>
      </c>
      <c r="D182" s="7" t="s">
        <v>1249</v>
      </c>
      <c r="E182" s="7"/>
      <c r="F182" s="7"/>
    </row>
    <row r="183" spans="2:6" x14ac:dyDescent="0.25">
      <c r="B183" s="173" t="s">
        <v>1422</v>
      </c>
      <c r="C183" s="114" t="s">
        <v>1421</v>
      </c>
      <c r="D183" s="202" t="s">
        <v>1249</v>
      </c>
      <c r="E183" s="202"/>
      <c r="F183" s="202"/>
    </row>
    <row r="184" spans="2:6" x14ac:dyDescent="0.25">
      <c r="B184" s="172" t="s">
        <v>1423</v>
      </c>
      <c r="C184" s="27" t="s">
        <v>1421</v>
      </c>
      <c r="D184" s="7" t="s">
        <v>1249</v>
      </c>
      <c r="E184" s="7"/>
      <c r="F184" s="7"/>
    </row>
    <row r="185" spans="2:6" x14ac:dyDescent="0.25">
      <c r="B185" s="173" t="s">
        <v>1424</v>
      </c>
      <c r="C185" s="114" t="s">
        <v>1373</v>
      </c>
      <c r="D185" s="202" t="s">
        <v>1237</v>
      </c>
      <c r="E185" s="202"/>
      <c r="F185" s="202"/>
    </row>
    <row r="186" spans="2:6" x14ac:dyDescent="0.25">
      <c r="B186" s="172" t="s">
        <v>1425</v>
      </c>
      <c r="C186" s="27" t="s">
        <v>1421</v>
      </c>
      <c r="D186" s="7" t="s">
        <v>1249</v>
      </c>
      <c r="E186" s="7"/>
      <c r="F186" s="7"/>
    </row>
    <row r="187" spans="2:6" x14ac:dyDescent="0.25">
      <c r="B187" s="173" t="s">
        <v>1426</v>
      </c>
      <c r="C187" s="114" t="s">
        <v>1421</v>
      </c>
      <c r="D187" s="202" t="s">
        <v>1249</v>
      </c>
      <c r="E187" s="202"/>
      <c r="F187" s="202"/>
    </row>
    <row r="188" spans="2:6" x14ac:dyDescent="0.25">
      <c r="B188" s="172" t="s">
        <v>1427</v>
      </c>
      <c r="C188" s="27" t="s">
        <v>1421</v>
      </c>
      <c r="D188" s="7" t="s">
        <v>1249</v>
      </c>
      <c r="E188" s="7"/>
      <c r="F188" s="7"/>
    </row>
    <row r="189" spans="2:6" x14ac:dyDescent="0.25">
      <c r="B189" s="173" t="s">
        <v>1428</v>
      </c>
      <c r="C189" s="114" t="s">
        <v>1421</v>
      </c>
      <c r="D189" s="202" t="s">
        <v>1249</v>
      </c>
      <c r="E189" s="202"/>
      <c r="F189" s="202"/>
    </row>
    <row r="190" spans="2:6" x14ac:dyDescent="0.25">
      <c r="B190" s="172" t="s">
        <v>1429</v>
      </c>
      <c r="C190" s="27" t="s">
        <v>1421</v>
      </c>
      <c r="D190" s="7" t="s">
        <v>1249</v>
      </c>
      <c r="E190" s="7"/>
      <c r="F190" s="7"/>
    </row>
    <row r="191" spans="2:6" x14ac:dyDescent="0.25">
      <c r="B191" s="173" t="s">
        <v>1430</v>
      </c>
      <c r="C191" s="114" t="s">
        <v>1431</v>
      </c>
      <c r="D191" s="202" t="s">
        <v>1261</v>
      </c>
      <c r="E191" s="202"/>
      <c r="F191" s="202"/>
    </row>
    <row r="192" spans="2:6" x14ac:dyDescent="0.25">
      <c r="B192" s="172" t="s">
        <v>1432</v>
      </c>
      <c r="C192" s="27" t="s">
        <v>1431</v>
      </c>
      <c r="D192" s="7" t="s">
        <v>1261</v>
      </c>
      <c r="E192" s="7"/>
      <c r="F192" s="7"/>
    </row>
    <row r="193" spans="2:6" x14ac:dyDescent="0.25">
      <c r="B193" s="173" t="s">
        <v>1433</v>
      </c>
      <c r="C193" s="114" t="s">
        <v>1373</v>
      </c>
      <c r="D193" s="202" t="s">
        <v>1237</v>
      </c>
      <c r="E193" s="202"/>
      <c r="F193" s="202"/>
    </row>
    <row r="194" spans="2:6" x14ac:dyDescent="0.25">
      <c r="B194" s="172" t="s">
        <v>1434</v>
      </c>
      <c r="C194" s="27" t="s">
        <v>1373</v>
      </c>
      <c r="D194" s="7" t="s">
        <v>1237</v>
      </c>
      <c r="E194" s="7"/>
      <c r="F194" s="7"/>
    </row>
    <row r="195" spans="2:6" x14ac:dyDescent="0.25">
      <c r="B195" s="173" t="s">
        <v>1435</v>
      </c>
      <c r="C195" s="114" t="s">
        <v>1373</v>
      </c>
      <c r="D195" s="202" t="s">
        <v>1237</v>
      </c>
      <c r="E195" s="202"/>
      <c r="F195" s="202"/>
    </row>
    <row r="196" spans="2:6" x14ac:dyDescent="0.25">
      <c r="B196" s="172" t="s">
        <v>1436</v>
      </c>
      <c r="C196" s="27" t="s">
        <v>1373</v>
      </c>
      <c r="D196" s="7" t="s">
        <v>1237</v>
      </c>
      <c r="E196" s="7"/>
      <c r="F196" s="7"/>
    </row>
    <row r="197" spans="2:6" x14ac:dyDescent="0.25">
      <c r="B197" s="173" t="s">
        <v>1437</v>
      </c>
      <c r="C197" s="114" t="s">
        <v>1373</v>
      </c>
      <c r="D197" s="202" t="s">
        <v>1237</v>
      </c>
      <c r="E197" s="202"/>
      <c r="F197" s="202"/>
    </row>
    <row r="198" spans="2:6" x14ac:dyDescent="0.25">
      <c r="B198" s="172" t="s">
        <v>1438</v>
      </c>
      <c r="C198" s="27" t="s">
        <v>1373</v>
      </c>
      <c r="D198" s="7" t="s">
        <v>1237</v>
      </c>
      <c r="E198" s="7"/>
      <c r="F198" s="7"/>
    </row>
    <row r="199" spans="2:6" x14ac:dyDescent="0.25">
      <c r="B199" s="173" t="s">
        <v>1439</v>
      </c>
      <c r="C199" s="114" t="s">
        <v>1373</v>
      </c>
      <c r="D199" s="202" t="s">
        <v>1237</v>
      </c>
      <c r="E199" s="202"/>
      <c r="F199" s="202"/>
    </row>
    <row r="200" spans="2:6" x14ac:dyDescent="0.25">
      <c r="B200" s="172" t="s">
        <v>1440</v>
      </c>
      <c r="C200" s="27" t="s">
        <v>1373</v>
      </c>
      <c r="D200" s="7" t="s">
        <v>1237</v>
      </c>
      <c r="E200" s="7"/>
      <c r="F200" s="7"/>
    </row>
    <row r="201" spans="2:6" x14ac:dyDescent="0.25">
      <c r="B201" s="173" t="s">
        <v>1441</v>
      </c>
      <c r="C201" s="114" t="s">
        <v>1373</v>
      </c>
      <c r="D201" s="202" t="s">
        <v>1237</v>
      </c>
      <c r="E201" s="202"/>
      <c r="F201" s="202"/>
    </row>
    <row r="202" spans="2:6" x14ac:dyDescent="0.25">
      <c r="B202" s="172" t="s">
        <v>1442</v>
      </c>
      <c r="C202" s="27" t="s">
        <v>1373</v>
      </c>
      <c r="D202" s="7" t="s">
        <v>1237</v>
      </c>
      <c r="E202" s="7"/>
      <c r="F202" s="7"/>
    </row>
    <row r="203" spans="2:6" x14ac:dyDescent="0.25">
      <c r="B203" s="173" t="s">
        <v>1443</v>
      </c>
      <c r="C203" s="114" t="s">
        <v>1421</v>
      </c>
      <c r="D203" s="202" t="s">
        <v>1249</v>
      </c>
      <c r="E203" s="202"/>
      <c r="F203" s="202"/>
    </row>
    <row r="204" spans="2:6" x14ac:dyDescent="0.25">
      <c r="B204" s="172" t="s">
        <v>1444</v>
      </c>
      <c r="C204" s="27" t="s">
        <v>1421</v>
      </c>
      <c r="D204" s="7" t="s">
        <v>1249</v>
      </c>
      <c r="E204" s="7"/>
      <c r="F204" s="7"/>
    </row>
    <row r="205" spans="2:6" x14ac:dyDescent="0.25">
      <c r="B205" s="173" t="s">
        <v>1445</v>
      </c>
      <c r="C205" s="114" t="s">
        <v>1421</v>
      </c>
      <c r="D205" s="202" t="s">
        <v>1249</v>
      </c>
      <c r="E205" s="202"/>
      <c r="F205" s="202"/>
    </row>
    <row r="206" spans="2:6" x14ac:dyDescent="0.25">
      <c r="B206" s="172" t="s">
        <v>1446</v>
      </c>
      <c r="C206" s="27" t="s">
        <v>1431</v>
      </c>
      <c r="D206" s="7" t="s">
        <v>1261</v>
      </c>
      <c r="E206" s="7"/>
      <c r="F206" s="7"/>
    </row>
    <row r="207" spans="2:6" x14ac:dyDescent="0.25">
      <c r="B207" s="173" t="s">
        <v>1447</v>
      </c>
      <c r="C207" s="114" t="s">
        <v>1431</v>
      </c>
      <c r="D207" s="202" t="s">
        <v>1261</v>
      </c>
      <c r="E207" s="202"/>
      <c r="F207" s="202"/>
    </row>
    <row r="208" spans="2:6" x14ac:dyDescent="0.25">
      <c r="B208" s="172" t="s">
        <v>1448</v>
      </c>
      <c r="C208" s="27" t="s">
        <v>1421</v>
      </c>
      <c r="D208" s="7" t="s">
        <v>1249</v>
      </c>
      <c r="E208" s="7"/>
      <c r="F208" s="7"/>
    </row>
    <row r="209" spans="2:6" x14ac:dyDescent="0.25">
      <c r="B209" s="173" t="s">
        <v>1449</v>
      </c>
      <c r="C209" s="114" t="s">
        <v>1421</v>
      </c>
      <c r="D209" s="202" t="s">
        <v>1249</v>
      </c>
      <c r="E209" s="202"/>
      <c r="F209" s="202"/>
    </row>
    <row r="210" spans="2:6" x14ac:dyDescent="0.25">
      <c r="B210" s="172" t="s">
        <v>1450</v>
      </c>
      <c r="C210" s="27" t="s">
        <v>1421</v>
      </c>
      <c r="D210" s="7" t="s">
        <v>1249</v>
      </c>
      <c r="E210" s="7"/>
      <c r="F210" s="7"/>
    </row>
    <row r="211" spans="2:6" x14ac:dyDescent="0.25">
      <c r="B211" s="173" t="s">
        <v>1451</v>
      </c>
      <c r="C211" s="114" t="s">
        <v>1373</v>
      </c>
      <c r="D211" s="202" t="s">
        <v>1237</v>
      </c>
      <c r="E211" s="202"/>
      <c r="F211" s="202"/>
    </row>
    <row r="212" spans="2:6" x14ac:dyDescent="0.25">
      <c r="B212" s="172" t="s">
        <v>1452</v>
      </c>
      <c r="C212" s="27" t="s">
        <v>1373</v>
      </c>
      <c r="D212" s="7" t="s">
        <v>1237</v>
      </c>
      <c r="E212" s="7"/>
      <c r="F212" s="7"/>
    </row>
    <row r="213" spans="2:6" x14ac:dyDescent="0.25">
      <c r="B213" s="173" t="s">
        <v>1453</v>
      </c>
      <c r="C213" s="114" t="s">
        <v>1373</v>
      </c>
      <c r="D213" s="202" t="s">
        <v>1237</v>
      </c>
      <c r="E213" s="202"/>
      <c r="F213" s="202"/>
    </row>
    <row r="214" spans="2:6" x14ac:dyDescent="0.25">
      <c r="B214" s="172" t="s">
        <v>1454</v>
      </c>
      <c r="C214" s="27" t="s">
        <v>1373</v>
      </c>
      <c r="D214" s="7" t="s">
        <v>1237</v>
      </c>
      <c r="E214" s="7"/>
      <c r="F214" s="7"/>
    </row>
    <row r="215" spans="2:6" x14ac:dyDescent="0.25">
      <c r="B215" s="173" t="s">
        <v>1455</v>
      </c>
      <c r="C215" s="114" t="s">
        <v>1373</v>
      </c>
      <c r="D215" s="202" t="s">
        <v>1237</v>
      </c>
      <c r="E215" s="202"/>
      <c r="F215" s="202"/>
    </row>
    <row r="216" spans="2:6" x14ac:dyDescent="0.25">
      <c r="B216" s="172" t="s">
        <v>1456</v>
      </c>
      <c r="C216" s="27" t="s">
        <v>1373</v>
      </c>
      <c r="D216" s="7" t="s">
        <v>1237</v>
      </c>
      <c r="E216" s="7"/>
      <c r="F216" s="7"/>
    </row>
    <row r="217" spans="2:6" x14ac:dyDescent="0.25">
      <c r="B217" s="173" t="s">
        <v>1457</v>
      </c>
      <c r="C217" s="114" t="s">
        <v>1373</v>
      </c>
      <c r="D217" s="202" t="s">
        <v>1237</v>
      </c>
      <c r="E217" s="202"/>
      <c r="F217" s="202"/>
    </row>
    <row r="218" spans="2:6" x14ac:dyDescent="0.25">
      <c r="B218" s="172" t="s">
        <v>1458</v>
      </c>
      <c r="C218" s="27" t="s">
        <v>1373</v>
      </c>
      <c r="D218" s="7" t="s">
        <v>1237</v>
      </c>
      <c r="E218" s="7"/>
      <c r="F218" s="7"/>
    </row>
    <row r="219" spans="2:6" x14ac:dyDescent="0.25">
      <c r="B219" s="173" t="s">
        <v>1459</v>
      </c>
      <c r="C219" s="114" t="s">
        <v>1373</v>
      </c>
      <c r="D219" s="202" t="s">
        <v>1237</v>
      </c>
      <c r="E219" s="202"/>
      <c r="F219" s="202"/>
    </row>
    <row r="220" spans="2:6" x14ac:dyDescent="0.25">
      <c r="B220" s="172" t="s">
        <v>1460</v>
      </c>
      <c r="C220" s="27" t="s">
        <v>1373</v>
      </c>
      <c r="D220" s="7" t="s">
        <v>1237</v>
      </c>
      <c r="E220" s="7"/>
      <c r="F220" s="7"/>
    </row>
    <row r="221" spans="2:6" x14ac:dyDescent="0.25">
      <c r="B221" s="173" t="s">
        <v>1461</v>
      </c>
      <c r="C221" s="114" t="s">
        <v>1373</v>
      </c>
      <c r="D221" s="202" t="s">
        <v>1237</v>
      </c>
      <c r="E221" s="202"/>
      <c r="F221" s="202"/>
    </row>
    <row r="222" spans="2:6" x14ac:dyDescent="0.25">
      <c r="B222" s="172" t="s">
        <v>1462</v>
      </c>
      <c r="C222" s="27" t="s">
        <v>1373</v>
      </c>
      <c r="D222" s="7" t="s">
        <v>1237</v>
      </c>
      <c r="E222" s="7"/>
      <c r="F222" s="7"/>
    </row>
    <row r="223" spans="2:6" x14ac:dyDescent="0.25">
      <c r="B223" s="173" t="s">
        <v>1463</v>
      </c>
      <c r="C223" s="114" t="s">
        <v>1373</v>
      </c>
      <c r="D223" s="202" t="s">
        <v>1237</v>
      </c>
      <c r="E223" s="202"/>
      <c r="F223" s="202"/>
    </row>
    <row r="224" spans="2:6" x14ac:dyDescent="0.25">
      <c r="B224" s="172" t="s">
        <v>1464</v>
      </c>
      <c r="C224" s="27" t="s">
        <v>1373</v>
      </c>
      <c r="D224" s="7" t="s">
        <v>1237</v>
      </c>
      <c r="E224" s="7"/>
      <c r="F224" s="7"/>
    </row>
    <row r="225" spans="2:6" x14ac:dyDescent="0.25">
      <c r="B225" s="173" t="s">
        <v>1465</v>
      </c>
      <c r="C225" s="114" t="s">
        <v>1373</v>
      </c>
      <c r="D225" s="202" t="s">
        <v>1237</v>
      </c>
      <c r="E225" s="202"/>
      <c r="F225" s="202"/>
    </row>
    <row r="226" spans="2:6" x14ac:dyDescent="0.25">
      <c r="B226" s="172" t="s">
        <v>1466</v>
      </c>
      <c r="C226" s="27" t="s">
        <v>1373</v>
      </c>
      <c r="D226" s="7" t="s">
        <v>1237</v>
      </c>
      <c r="E226" s="7"/>
      <c r="F226" s="7"/>
    </row>
    <row r="227" spans="2:6" x14ac:dyDescent="0.25">
      <c r="B227" s="173" t="s">
        <v>1467</v>
      </c>
      <c r="C227" s="114" t="s">
        <v>1373</v>
      </c>
      <c r="D227" s="202" t="s">
        <v>1237</v>
      </c>
      <c r="E227" s="202"/>
      <c r="F227" s="202"/>
    </row>
    <row r="228" spans="2:6" x14ac:dyDescent="0.25">
      <c r="B228" s="172" t="s">
        <v>1468</v>
      </c>
      <c r="C228" s="27" t="s">
        <v>1373</v>
      </c>
      <c r="D228" s="7" t="s">
        <v>1237</v>
      </c>
      <c r="E228" s="7"/>
      <c r="F228" s="7"/>
    </row>
    <row r="229" spans="2:6" x14ac:dyDescent="0.25">
      <c r="B229" s="173" t="s">
        <v>1469</v>
      </c>
      <c r="C229" s="114" t="s">
        <v>1373</v>
      </c>
      <c r="D229" s="202" t="s">
        <v>1237</v>
      </c>
      <c r="E229" s="202"/>
      <c r="F229" s="202"/>
    </row>
    <row r="230" spans="2:6" x14ac:dyDescent="0.25">
      <c r="B230" s="172" t="s">
        <v>1470</v>
      </c>
      <c r="C230" s="27" t="s">
        <v>1373</v>
      </c>
      <c r="D230" s="7" t="s">
        <v>1237</v>
      </c>
      <c r="E230" s="7"/>
      <c r="F230" s="7"/>
    </row>
    <row r="231" spans="2:6" x14ac:dyDescent="0.25">
      <c r="B231" s="173" t="s">
        <v>1471</v>
      </c>
      <c r="C231" s="114" t="s">
        <v>1373</v>
      </c>
      <c r="D231" s="202" t="s">
        <v>1237</v>
      </c>
      <c r="E231" s="202"/>
      <c r="F231" s="202"/>
    </row>
    <row r="232" spans="2:6" x14ac:dyDescent="0.25">
      <c r="B232" s="172" t="s">
        <v>1472</v>
      </c>
      <c r="C232" s="27" t="s">
        <v>1373</v>
      </c>
      <c r="D232" s="7" t="s">
        <v>1237</v>
      </c>
      <c r="E232" s="7"/>
      <c r="F232" s="7"/>
    </row>
    <row r="233" spans="2:6" x14ac:dyDescent="0.25">
      <c r="B233" s="173" t="s">
        <v>1473</v>
      </c>
      <c r="C233" s="114" t="s">
        <v>1373</v>
      </c>
      <c r="D233" s="202" t="s">
        <v>1237</v>
      </c>
      <c r="E233" s="202"/>
      <c r="F233" s="202"/>
    </row>
    <row r="234" spans="2:6" x14ac:dyDescent="0.25">
      <c r="B234" s="172" t="s">
        <v>1474</v>
      </c>
      <c r="C234" s="27" t="s">
        <v>1373</v>
      </c>
      <c r="D234" s="7" t="s">
        <v>1237</v>
      </c>
      <c r="E234" s="7"/>
      <c r="F234" s="7"/>
    </row>
    <row r="235" spans="2:6" x14ac:dyDescent="0.25">
      <c r="B235" s="173" t="s">
        <v>1475</v>
      </c>
      <c r="C235" s="114" t="s">
        <v>1373</v>
      </c>
      <c r="D235" s="202" t="s">
        <v>1237</v>
      </c>
      <c r="E235" s="202"/>
      <c r="F235" s="202"/>
    </row>
    <row r="236" spans="2:6" x14ac:dyDescent="0.25">
      <c r="B236" s="172" t="s">
        <v>1476</v>
      </c>
      <c r="C236" s="27" t="s">
        <v>1373</v>
      </c>
      <c r="D236" s="7" t="s">
        <v>1237</v>
      </c>
      <c r="E236" s="7"/>
      <c r="F236" s="7"/>
    </row>
    <row r="237" spans="2:6" x14ac:dyDescent="0.25">
      <c r="B237" s="173" t="s">
        <v>1477</v>
      </c>
      <c r="C237" s="114" t="s">
        <v>1373</v>
      </c>
      <c r="D237" s="202" t="s">
        <v>1237</v>
      </c>
      <c r="E237" s="202"/>
      <c r="F237" s="202"/>
    </row>
    <row r="238" spans="2:6" x14ac:dyDescent="0.25">
      <c r="B238" s="172" t="s">
        <v>1478</v>
      </c>
      <c r="C238" s="27" t="s">
        <v>1373</v>
      </c>
      <c r="D238" s="7" t="s">
        <v>1237</v>
      </c>
      <c r="E238" s="7"/>
      <c r="F238" s="7"/>
    </row>
    <row r="239" spans="2:6" x14ac:dyDescent="0.25">
      <c r="B239" s="173" t="s">
        <v>1479</v>
      </c>
      <c r="C239" s="114" t="s">
        <v>1480</v>
      </c>
      <c r="D239" s="202" t="s">
        <v>1249</v>
      </c>
      <c r="E239" s="202"/>
      <c r="F239" s="202"/>
    </row>
    <row r="240" spans="2:6" x14ac:dyDescent="0.25">
      <c r="B240" s="172" t="s">
        <v>1481</v>
      </c>
      <c r="C240" s="27" t="s">
        <v>1480</v>
      </c>
      <c r="D240" s="7" t="s">
        <v>1249</v>
      </c>
      <c r="E240" s="7"/>
      <c r="F240" s="7"/>
    </row>
    <row r="241" spans="2:6" x14ac:dyDescent="0.25">
      <c r="B241" s="173" t="s">
        <v>1482</v>
      </c>
      <c r="C241" s="114" t="s">
        <v>1480</v>
      </c>
      <c r="D241" s="202" t="s">
        <v>1249</v>
      </c>
      <c r="E241" s="202"/>
      <c r="F241" s="202"/>
    </row>
    <row r="242" spans="2:6" x14ac:dyDescent="0.25">
      <c r="B242" s="172" t="s">
        <v>1483</v>
      </c>
      <c r="C242" s="27" t="s">
        <v>1480</v>
      </c>
      <c r="D242" s="7" t="s">
        <v>1249</v>
      </c>
      <c r="E242" s="7"/>
      <c r="F242" s="7"/>
    </row>
    <row r="243" spans="2:6" x14ac:dyDescent="0.25">
      <c r="B243" s="173" t="s">
        <v>1484</v>
      </c>
      <c r="C243" s="114" t="s">
        <v>1485</v>
      </c>
      <c r="D243" s="202" t="s">
        <v>1261</v>
      </c>
      <c r="E243" s="202"/>
      <c r="F243" s="202"/>
    </row>
    <row r="244" spans="2:6" x14ac:dyDescent="0.25">
      <c r="B244" s="172" t="s">
        <v>1486</v>
      </c>
      <c r="C244" s="27" t="s">
        <v>1487</v>
      </c>
      <c r="D244" s="7" t="s">
        <v>1488</v>
      </c>
      <c r="E244" s="7"/>
      <c r="F244" s="7"/>
    </row>
    <row r="245" spans="2:6" x14ac:dyDescent="0.25">
      <c r="B245" s="173" t="s">
        <v>1489</v>
      </c>
      <c r="C245" s="114" t="s">
        <v>1487</v>
      </c>
      <c r="D245" s="202" t="s">
        <v>1488</v>
      </c>
      <c r="E245" s="202"/>
      <c r="F245" s="202"/>
    </row>
    <row r="246" spans="2:6" x14ac:dyDescent="0.25">
      <c r="B246" s="172" t="s">
        <v>1490</v>
      </c>
      <c r="C246" s="27" t="s">
        <v>1487</v>
      </c>
      <c r="D246" s="7" t="s">
        <v>1488</v>
      </c>
      <c r="E246" s="7"/>
      <c r="F246" s="7"/>
    </row>
    <row r="247" spans="2:6" x14ac:dyDescent="0.25">
      <c r="B247" s="173" t="s">
        <v>1491</v>
      </c>
      <c r="C247" s="114" t="s">
        <v>1480</v>
      </c>
      <c r="D247" s="202" t="s">
        <v>1249</v>
      </c>
      <c r="E247" s="202"/>
      <c r="F247" s="202"/>
    </row>
    <row r="248" spans="2:6" x14ac:dyDescent="0.25">
      <c r="B248" s="172" t="s">
        <v>1492</v>
      </c>
      <c r="C248" s="27" t="s">
        <v>1493</v>
      </c>
      <c r="D248" s="7" t="s">
        <v>1256</v>
      </c>
      <c r="E248" s="7"/>
      <c r="F248" s="7"/>
    </row>
    <row r="249" spans="2:6" x14ac:dyDescent="0.25">
      <c r="B249" s="173" t="s">
        <v>1494</v>
      </c>
      <c r="C249" s="114" t="s">
        <v>1485</v>
      </c>
      <c r="D249" s="202" t="s">
        <v>1261</v>
      </c>
      <c r="E249" s="202"/>
      <c r="F249" s="202"/>
    </row>
    <row r="250" spans="2:6" x14ac:dyDescent="0.25">
      <c r="B250" s="172" t="s">
        <v>1495</v>
      </c>
      <c r="C250" s="27" t="s">
        <v>1480</v>
      </c>
      <c r="D250" s="7" t="s">
        <v>1249</v>
      </c>
      <c r="E250" s="7"/>
      <c r="F250" s="7"/>
    </row>
    <row r="251" spans="2:6" x14ac:dyDescent="0.25">
      <c r="B251" s="173" t="s">
        <v>1496</v>
      </c>
      <c r="C251" s="114" t="s">
        <v>1487</v>
      </c>
      <c r="D251" s="202" t="s">
        <v>1488</v>
      </c>
      <c r="E251" s="202"/>
      <c r="F251" s="202"/>
    </row>
    <row r="252" spans="2:6" x14ac:dyDescent="0.25">
      <c r="B252" s="172" t="s">
        <v>1497</v>
      </c>
      <c r="C252" s="27" t="s">
        <v>1487</v>
      </c>
      <c r="D252" s="7" t="s">
        <v>1488</v>
      </c>
      <c r="E252" s="7"/>
      <c r="F252" s="7"/>
    </row>
    <row r="253" spans="2:6" x14ac:dyDescent="0.25">
      <c r="B253" s="173" t="s">
        <v>1498</v>
      </c>
      <c r="C253" s="114" t="s">
        <v>1485</v>
      </c>
      <c r="D253" s="202" t="s">
        <v>1261</v>
      </c>
      <c r="E253" s="202"/>
      <c r="F253" s="202"/>
    </row>
    <row r="254" spans="2:6" x14ac:dyDescent="0.25">
      <c r="B254" s="172" t="s">
        <v>1499</v>
      </c>
      <c r="C254" s="27" t="s">
        <v>1487</v>
      </c>
      <c r="D254" s="7" t="s">
        <v>1488</v>
      </c>
      <c r="E254" s="7"/>
      <c r="F254" s="7"/>
    </row>
    <row r="255" spans="2:6" x14ac:dyDescent="0.25">
      <c r="B255" s="173" t="s">
        <v>1500</v>
      </c>
      <c r="C255" s="114" t="s">
        <v>1487</v>
      </c>
      <c r="D255" s="202" t="s">
        <v>1488</v>
      </c>
      <c r="E255" s="202"/>
      <c r="F255" s="202"/>
    </row>
    <row r="256" spans="2:6" x14ac:dyDescent="0.25">
      <c r="B256" s="172" t="s">
        <v>1501</v>
      </c>
      <c r="C256" s="27" t="s">
        <v>1487</v>
      </c>
      <c r="D256" s="7" t="s">
        <v>1488</v>
      </c>
      <c r="E256" s="7"/>
      <c r="F256" s="7"/>
    </row>
    <row r="257" spans="2:6" x14ac:dyDescent="0.25">
      <c r="B257" s="173" t="s">
        <v>1502</v>
      </c>
      <c r="C257" s="114" t="s">
        <v>1487</v>
      </c>
      <c r="D257" s="202" t="s">
        <v>1488</v>
      </c>
      <c r="E257" s="202"/>
      <c r="F257" s="202"/>
    </row>
    <row r="258" spans="2:6" x14ac:dyDescent="0.25">
      <c r="B258" s="172" t="s">
        <v>1503</v>
      </c>
      <c r="C258" s="27" t="s">
        <v>1493</v>
      </c>
      <c r="D258" s="7" t="s">
        <v>1256</v>
      </c>
      <c r="E258" s="7"/>
      <c r="F258" s="7"/>
    </row>
    <row r="259" spans="2:6" x14ac:dyDescent="0.25">
      <c r="B259" s="173" t="s">
        <v>1504</v>
      </c>
      <c r="C259" s="114" t="s">
        <v>1480</v>
      </c>
      <c r="D259" s="202" t="s">
        <v>1249</v>
      </c>
      <c r="E259" s="202"/>
      <c r="F259" s="202"/>
    </row>
    <row r="260" spans="2:6" x14ac:dyDescent="0.25">
      <c r="B260" s="172" t="s">
        <v>1505</v>
      </c>
      <c r="C260" s="27" t="s">
        <v>1480</v>
      </c>
      <c r="D260" s="7" t="s">
        <v>1249</v>
      </c>
      <c r="E260" s="7"/>
      <c r="F260" s="7"/>
    </row>
    <row r="261" spans="2:6" x14ac:dyDescent="0.25">
      <c r="B261" s="173" t="s">
        <v>1506</v>
      </c>
      <c r="C261" s="114" t="s">
        <v>1493</v>
      </c>
      <c r="D261" s="202" t="s">
        <v>1256</v>
      </c>
      <c r="E261" s="202"/>
      <c r="F261" s="202"/>
    </row>
    <row r="262" spans="2:6" x14ac:dyDescent="0.25">
      <c r="B262" s="172" t="s">
        <v>1507</v>
      </c>
      <c r="C262" s="27" t="s">
        <v>1487</v>
      </c>
      <c r="D262" s="7" t="s">
        <v>1488</v>
      </c>
      <c r="E262" s="7"/>
      <c r="F262" s="7"/>
    </row>
    <row r="263" spans="2:6" x14ac:dyDescent="0.25">
      <c r="B263" s="173" t="s">
        <v>1508</v>
      </c>
      <c r="C263" s="114" t="s">
        <v>1487</v>
      </c>
      <c r="D263" s="202" t="s">
        <v>1488</v>
      </c>
      <c r="E263" s="202"/>
      <c r="F263" s="202"/>
    </row>
    <row r="264" spans="2:6" x14ac:dyDescent="0.25">
      <c r="B264" s="172" t="s">
        <v>1509</v>
      </c>
      <c r="C264" s="27" t="s">
        <v>1487</v>
      </c>
      <c r="D264" s="7" t="s">
        <v>1488</v>
      </c>
      <c r="E264" s="7"/>
      <c r="F264" s="7"/>
    </row>
    <row r="265" spans="2:6" x14ac:dyDescent="0.25">
      <c r="B265" s="173" t="s">
        <v>1510</v>
      </c>
      <c r="C265" s="114" t="s">
        <v>1487</v>
      </c>
      <c r="D265" s="202" t="s">
        <v>1488</v>
      </c>
      <c r="E265" s="202"/>
      <c r="F265" s="202"/>
    </row>
    <row r="266" spans="2:6" x14ac:dyDescent="0.25">
      <c r="B266" s="172" t="s">
        <v>1511</v>
      </c>
      <c r="C266" s="27" t="s">
        <v>1487</v>
      </c>
      <c r="D266" s="7" t="s">
        <v>1488</v>
      </c>
      <c r="E266" s="7"/>
      <c r="F266" s="7"/>
    </row>
    <row r="267" spans="2:6" x14ac:dyDescent="0.25">
      <c r="B267" s="173" t="s">
        <v>1512</v>
      </c>
      <c r="C267" s="114" t="s">
        <v>1487</v>
      </c>
      <c r="D267" s="202" t="s">
        <v>1488</v>
      </c>
      <c r="E267" s="202"/>
      <c r="F267" s="202"/>
    </row>
    <row r="268" spans="2:6" x14ac:dyDescent="0.25">
      <c r="B268" s="172" t="s">
        <v>1513</v>
      </c>
      <c r="C268" s="27" t="s">
        <v>1487</v>
      </c>
      <c r="D268" s="7" t="s">
        <v>1488</v>
      </c>
      <c r="E268" s="7"/>
      <c r="F268" s="7"/>
    </row>
    <row r="269" spans="2:6" x14ac:dyDescent="0.25">
      <c r="B269" s="173" t="s">
        <v>1514</v>
      </c>
      <c r="C269" s="114" t="s">
        <v>1487</v>
      </c>
      <c r="D269" s="202" t="s">
        <v>1488</v>
      </c>
      <c r="E269" s="202"/>
      <c r="F269" s="202"/>
    </row>
    <row r="270" spans="2:6" x14ac:dyDescent="0.25">
      <c r="B270" s="172" t="s">
        <v>1515</v>
      </c>
      <c r="C270" s="27" t="s">
        <v>1487</v>
      </c>
      <c r="D270" s="7" t="s">
        <v>1488</v>
      </c>
      <c r="E270" s="7"/>
      <c r="F270" s="7"/>
    </row>
    <row r="271" spans="2:6" x14ac:dyDescent="0.25">
      <c r="B271" s="173" t="s">
        <v>1516</v>
      </c>
      <c r="C271" s="114" t="s">
        <v>1480</v>
      </c>
      <c r="D271" s="202" t="s">
        <v>1249</v>
      </c>
      <c r="E271" s="202"/>
      <c r="F271" s="202"/>
    </row>
    <row r="272" spans="2:6" x14ac:dyDescent="0.25">
      <c r="B272" s="172" t="s">
        <v>1517</v>
      </c>
      <c r="C272" s="27" t="s">
        <v>1480</v>
      </c>
      <c r="D272" s="7" t="s">
        <v>1249</v>
      </c>
      <c r="E272" s="7"/>
      <c r="F272" s="7"/>
    </row>
    <row r="273" spans="2:6" x14ac:dyDescent="0.25">
      <c r="B273" s="173" t="s">
        <v>1518</v>
      </c>
      <c r="C273" s="114" t="s">
        <v>1493</v>
      </c>
      <c r="D273" s="202" t="s">
        <v>1256</v>
      </c>
      <c r="E273" s="202"/>
      <c r="F273" s="202"/>
    </row>
    <row r="274" spans="2:6" x14ac:dyDescent="0.25">
      <c r="B274" s="172" t="s">
        <v>1519</v>
      </c>
      <c r="C274" s="27" t="s">
        <v>1485</v>
      </c>
      <c r="D274" s="7" t="s">
        <v>1261</v>
      </c>
      <c r="E274" s="7"/>
      <c r="F274" s="7"/>
    </row>
    <row r="275" spans="2:6" x14ac:dyDescent="0.25">
      <c r="B275" s="173" t="s">
        <v>1520</v>
      </c>
      <c r="C275" s="114" t="s">
        <v>1485</v>
      </c>
      <c r="D275" s="202" t="s">
        <v>1261</v>
      </c>
      <c r="E275" s="202"/>
      <c r="F275" s="202"/>
    </row>
    <row r="276" spans="2:6" x14ac:dyDescent="0.25">
      <c r="B276" s="172" t="s">
        <v>1521</v>
      </c>
      <c r="C276" s="27" t="s">
        <v>1480</v>
      </c>
      <c r="D276" s="7" t="s">
        <v>1249</v>
      </c>
      <c r="E276" s="7"/>
      <c r="F276" s="7"/>
    </row>
    <row r="277" spans="2:6" x14ac:dyDescent="0.25">
      <c r="B277" s="173" t="s">
        <v>1522</v>
      </c>
      <c r="C277" s="114" t="s">
        <v>1480</v>
      </c>
      <c r="D277" s="202" t="s">
        <v>1249</v>
      </c>
      <c r="E277" s="202"/>
      <c r="F277" s="202"/>
    </row>
    <row r="278" spans="2:6" x14ac:dyDescent="0.25">
      <c r="B278" s="172" t="s">
        <v>1523</v>
      </c>
      <c r="C278" s="27" t="s">
        <v>1524</v>
      </c>
      <c r="D278" s="7" t="s">
        <v>1261</v>
      </c>
      <c r="E278" s="7"/>
      <c r="F278" s="7"/>
    </row>
    <row r="279" spans="2:6" x14ac:dyDescent="0.25">
      <c r="B279" s="173" t="s">
        <v>1525</v>
      </c>
      <c r="C279" s="114" t="s">
        <v>1524</v>
      </c>
      <c r="D279" s="202" t="s">
        <v>1261</v>
      </c>
      <c r="E279" s="202"/>
      <c r="F279" s="202"/>
    </row>
    <row r="280" spans="2:6" x14ac:dyDescent="0.25">
      <c r="B280" s="172" t="s">
        <v>1526</v>
      </c>
      <c r="C280" s="27" t="s">
        <v>1524</v>
      </c>
      <c r="D280" s="7" t="s">
        <v>1261</v>
      </c>
      <c r="E280" s="7"/>
      <c r="F280" s="7"/>
    </row>
    <row r="281" spans="2:6" x14ac:dyDescent="0.25">
      <c r="B281" s="173" t="s">
        <v>1527</v>
      </c>
      <c r="C281" s="114" t="s">
        <v>1528</v>
      </c>
      <c r="D281" s="202" t="s">
        <v>1249</v>
      </c>
      <c r="E281" s="202"/>
      <c r="F281" s="202"/>
    </row>
    <row r="282" spans="2:6" x14ac:dyDescent="0.25">
      <c r="B282" s="172" t="s">
        <v>1529</v>
      </c>
      <c r="C282" s="27" t="s">
        <v>1530</v>
      </c>
      <c r="D282" s="7" t="s">
        <v>1256</v>
      </c>
      <c r="E282" s="7"/>
      <c r="F282" s="7"/>
    </row>
    <row r="283" spans="2:6" x14ac:dyDescent="0.25">
      <c r="B283" s="173" t="s">
        <v>1531</v>
      </c>
      <c r="C283" s="114" t="s">
        <v>1530</v>
      </c>
      <c r="D283" s="202" t="s">
        <v>1256</v>
      </c>
      <c r="E283" s="202"/>
      <c r="F283" s="202"/>
    </row>
    <row r="284" spans="2:6" x14ac:dyDescent="0.25">
      <c r="B284" s="172" t="s">
        <v>1532</v>
      </c>
      <c r="C284" s="27" t="s">
        <v>1528</v>
      </c>
      <c r="D284" s="7" t="s">
        <v>1249</v>
      </c>
      <c r="E284" s="7"/>
      <c r="F284" s="7"/>
    </row>
    <row r="285" spans="2:6" x14ac:dyDescent="0.25">
      <c r="B285" s="173" t="s">
        <v>1533</v>
      </c>
      <c r="C285" s="114" t="s">
        <v>1528</v>
      </c>
      <c r="D285" s="202" t="s">
        <v>1249</v>
      </c>
      <c r="E285" s="202"/>
      <c r="F285" s="202"/>
    </row>
    <row r="286" spans="2:6" x14ac:dyDescent="0.25">
      <c r="B286" s="172" t="s">
        <v>1534</v>
      </c>
      <c r="C286" s="27" t="s">
        <v>1528</v>
      </c>
      <c r="D286" s="7" t="s">
        <v>1249</v>
      </c>
      <c r="E286" s="7"/>
      <c r="F286" s="7"/>
    </row>
    <row r="287" spans="2:6" x14ac:dyDescent="0.25">
      <c r="B287" s="173" t="s">
        <v>1535</v>
      </c>
      <c r="C287" s="114" t="s">
        <v>1524</v>
      </c>
      <c r="D287" s="202" t="s">
        <v>1261</v>
      </c>
      <c r="E287" s="202"/>
      <c r="F287" s="202"/>
    </row>
    <row r="288" spans="2:6" x14ac:dyDescent="0.25">
      <c r="B288" s="172" t="s">
        <v>1536</v>
      </c>
      <c r="C288" s="27" t="s">
        <v>1524</v>
      </c>
      <c r="D288" s="7" t="s">
        <v>1261</v>
      </c>
      <c r="E288" s="7"/>
      <c r="F288" s="7"/>
    </row>
    <row r="289" spans="2:6" x14ac:dyDescent="0.25">
      <c r="B289" s="173" t="s">
        <v>1537</v>
      </c>
      <c r="C289" s="114" t="s">
        <v>1530</v>
      </c>
      <c r="D289" s="202" t="s">
        <v>1256</v>
      </c>
      <c r="E289" s="202"/>
      <c r="F289" s="202"/>
    </row>
    <row r="290" spans="2:6" x14ac:dyDescent="0.25">
      <c r="B290" s="172" t="s">
        <v>1538</v>
      </c>
      <c r="C290" s="27" t="s">
        <v>1524</v>
      </c>
      <c r="D290" s="7" t="s">
        <v>1261</v>
      </c>
      <c r="E290" s="7"/>
      <c r="F290" s="7"/>
    </row>
    <row r="291" spans="2:6" x14ac:dyDescent="0.25">
      <c r="B291" s="173" t="s">
        <v>1539</v>
      </c>
      <c r="C291" s="114" t="s">
        <v>1524</v>
      </c>
      <c r="D291" s="202" t="s">
        <v>1261</v>
      </c>
      <c r="E291" s="202"/>
      <c r="F291" s="202"/>
    </row>
    <row r="292" spans="2:6" x14ac:dyDescent="0.25">
      <c r="B292" s="172" t="s">
        <v>1540</v>
      </c>
      <c r="C292" s="27" t="s">
        <v>1524</v>
      </c>
      <c r="D292" s="7" t="s">
        <v>1261</v>
      </c>
      <c r="E292" s="7"/>
      <c r="F292" s="7"/>
    </row>
    <row r="293" spans="2:6" x14ac:dyDescent="0.25">
      <c r="B293" s="173" t="s">
        <v>1541</v>
      </c>
      <c r="C293" s="114" t="s">
        <v>1524</v>
      </c>
      <c r="D293" s="202" t="s">
        <v>1261</v>
      </c>
      <c r="E293" s="202"/>
      <c r="F293" s="202"/>
    </row>
    <row r="294" spans="2:6" x14ac:dyDescent="0.25">
      <c r="B294" s="172" t="s">
        <v>1542</v>
      </c>
      <c r="C294" s="27" t="s">
        <v>1524</v>
      </c>
      <c r="D294" s="7" t="s">
        <v>1261</v>
      </c>
      <c r="E294" s="7"/>
      <c r="F294" s="7"/>
    </row>
    <row r="295" spans="2:6" x14ac:dyDescent="0.25">
      <c r="B295" s="173" t="s">
        <v>1543</v>
      </c>
      <c r="C295" s="114" t="s">
        <v>1530</v>
      </c>
      <c r="D295" s="202" t="s">
        <v>1256</v>
      </c>
      <c r="E295" s="202"/>
      <c r="F295" s="202"/>
    </row>
    <row r="296" spans="2:6" x14ac:dyDescent="0.25">
      <c r="B296" s="172" t="s">
        <v>1544</v>
      </c>
      <c r="C296" s="27" t="s">
        <v>1528</v>
      </c>
      <c r="D296" s="7" t="s">
        <v>1249</v>
      </c>
      <c r="E296" s="7"/>
      <c r="F296" s="7"/>
    </row>
    <row r="297" spans="2:6" x14ac:dyDescent="0.25">
      <c r="B297" s="173" t="s">
        <v>1545</v>
      </c>
      <c r="C297" s="114" t="s">
        <v>1530</v>
      </c>
      <c r="D297" s="202" t="s">
        <v>1256</v>
      </c>
      <c r="E297" s="202"/>
      <c r="F297" s="202"/>
    </row>
    <row r="298" spans="2:6" x14ac:dyDescent="0.25">
      <c r="B298" s="172" t="s">
        <v>1546</v>
      </c>
      <c r="C298" s="27" t="s">
        <v>1530</v>
      </c>
      <c r="D298" s="7" t="s">
        <v>1256</v>
      </c>
      <c r="E298" s="7"/>
      <c r="F298" s="7"/>
    </row>
    <row r="299" spans="2:6" x14ac:dyDescent="0.25">
      <c r="B299" s="173" t="s">
        <v>1547</v>
      </c>
      <c r="C299" s="114" t="s">
        <v>1530</v>
      </c>
      <c r="D299" s="202" t="s">
        <v>1256</v>
      </c>
      <c r="E299" s="202"/>
      <c r="F299" s="202"/>
    </row>
    <row r="300" spans="2:6" x14ac:dyDescent="0.25">
      <c r="B300" s="172" t="s">
        <v>1548</v>
      </c>
      <c r="C300" s="27" t="s">
        <v>1528</v>
      </c>
      <c r="D300" s="7" t="s">
        <v>1249</v>
      </c>
      <c r="E300" s="7"/>
      <c r="F300" s="7"/>
    </row>
    <row r="301" spans="2:6" x14ac:dyDescent="0.25">
      <c r="B301" s="173" t="s">
        <v>1549</v>
      </c>
      <c r="C301" s="114" t="s">
        <v>1528</v>
      </c>
      <c r="D301" s="202" t="s">
        <v>1249</v>
      </c>
      <c r="E301" s="202"/>
      <c r="F301" s="202"/>
    </row>
    <row r="302" spans="2:6" x14ac:dyDescent="0.25">
      <c r="B302" s="172" t="s">
        <v>1550</v>
      </c>
      <c r="C302" s="27" t="s">
        <v>1528</v>
      </c>
      <c r="D302" s="7" t="s">
        <v>1249</v>
      </c>
      <c r="E302" s="7"/>
      <c r="F302" s="7"/>
    </row>
    <row r="303" spans="2:6" x14ac:dyDescent="0.25">
      <c r="B303" s="173" t="s">
        <v>1551</v>
      </c>
      <c r="C303" s="114" t="s">
        <v>1530</v>
      </c>
      <c r="D303" s="202" t="s">
        <v>1256</v>
      </c>
      <c r="E303" s="202"/>
      <c r="F303" s="202"/>
    </row>
    <row r="304" spans="2:6" x14ac:dyDescent="0.25">
      <c r="B304" s="172" t="s">
        <v>1552</v>
      </c>
      <c r="C304" s="27" t="s">
        <v>1553</v>
      </c>
      <c r="D304" s="7" t="s">
        <v>1488</v>
      </c>
      <c r="E304" s="7"/>
      <c r="F304" s="7"/>
    </row>
    <row r="305" spans="2:6" x14ac:dyDescent="0.25">
      <c r="B305" s="173" t="s">
        <v>1554</v>
      </c>
      <c r="C305" s="114" t="s">
        <v>1553</v>
      </c>
      <c r="D305" s="202" t="s">
        <v>1488</v>
      </c>
      <c r="E305" s="202"/>
      <c r="F305" s="202"/>
    </row>
    <row r="306" spans="2:6" x14ac:dyDescent="0.25">
      <c r="B306" s="172" t="s">
        <v>1555</v>
      </c>
      <c r="C306" s="27" t="s">
        <v>1553</v>
      </c>
      <c r="D306" s="7" t="s">
        <v>1488</v>
      </c>
      <c r="E306" s="7"/>
      <c r="F306" s="7"/>
    </row>
    <row r="307" spans="2:6" x14ac:dyDescent="0.25">
      <c r="B307" s="173" t="s">
        <v>1556</v>
      </c>
      <c r="C307" s="114" t="s">
        <v>1553</v>
      </c>
      <c r="D307" s="202" t="s">
        <v>1488</v>
      </c>
      <c r="E307" s="202"/>
      <c r="F307" s="202"/>
    </row>
    <row r="308" spans="2:6" x14ac:dyDescent="0.25">
      <c r="B308" s="172" t="s">
        <v>1557</v>
      </c>
      <c r="C308" s="27" t="s">
        <v>1553</v>
      </c>
      <c r="D308" s="7" t="s">
        <v>1488</v>
      </c>
      <c r="E308" s="7"/>
      <c r="F308" s="7"/>
    </row>
    <row r="309" spans="2:6" x14ac:dyDescent="0.25">
      <c r="B309" s="173" t="s">
        <v>1558</v>
      </c>
      <c r="C309" s="114" t="s">
        <v>1553</v>
      </c>
      <c r="D309" s="202" t="s">
        <v>1488</v>
      </c>
      <c r="E309" s="202"/>
      <c r="F309" s="202"/>
    </row>
    <row r="310" spans="2:6" x14ac:dyDescent="0.25">
      <c r="B310" s="172" t="s">
        <v>1559</v>
      </c>
      <c r="C310" s="27" t="s">
        <v>1560</v>
      </c>
      <c r="D310" s="7" t="s">
        <v>1249</v>
      </c>
      <c r="E310" s="7"/>
      <c r="F310" s="7"/>
    </row>
    <row r="311" spans="2:6" x14ac:dyDescent="0.25">
      <c r="B311" s="173" t="s">
        <v>1561</v>
      </c>
      <c r="C311" s="114" t="s">
        <v>1560</v>
      </c>
      <c r="D311" s="202" t="s">
        <v>1249</v>
      </c>
      <c r="E311" s="202"/>
      <c r="F311" s="202"/>
    </row>
    <row r="312" spans="2:6" x14ac:dyDescent="0.25">
      <c r="B312" s="172" t="s">
        <v>1562</v>
      </c>
      <c r="C312" s="27" t="s">
        <v>1563</v>
      </c>
      <c r="D312" s="7" t="s">
        <v>1256</v>
      </c>
      <c r="E312" s="7"/>
      <c r="F312" s="7"/>
    </row>
    <row r="313" spans="2:6" x14ac:dyDescent="0.25">
      <c r="B313" s="173" t="s">
        <v>1564</v>
      </c>
      <c r="C313" s="114" t="s">
        <v>1565</v>
      </c>
      <c r="D313" s="202" t="s">
        <v>1261</v>
      </c>
      <c r="E313" s="202"/>
      <c r="F313" s="202"/>
    </row>
    <row r="314" spans="2:6" x14ac:dyDescent="0.25">
      <c r="B314" s="172" t="s">
        <v>1566</v>
      </c>
      <c r="C314" s="27" t="s">
        <v>1567</v>
      </c>
      <c r="D314" s="7" t="s">
        <v>1488</v>
      </c>
      <c r="E314" s="7"/>
      <c r="F314" s="7"/>
    </row>
    <row r="315" spans="2:6" x14ac:dyDescent="0.25">
      <c r="B315" s="173" t="s">
        <v>1568</v>
      </c>
      <c r="C315" s="114" t="s">
        <v>1567</v>
      </c>
      <c r="D315" s="202" t="s">
        <v>1488</v>
      </c>
      <c r="E315" s="202"/>
      <c r="F315" s="202"/>
    </row>
    <row r="316" spans="2:6" x14ac:dyDescent="0.25">
      <c r="B316" s="172" t="s">
        <v>1569</v>
      </c>
      <c r="C316" s="27" t="s">
        <v>1567</v>
      </c>
      <c r="D316" s="7" t="s">
        <v>1488</v>
      </c>
      <c r="E316" s="7"/>
      <c r="F316" s="7"/>
    </row>
    <row r="317" spans="2:6" x14ac:dyDescent="0.25">
      <c r="B317" s="173" t="s">
        <v>1570</v>
      </c>
      <c r="C317" s="114" t="s">
        <v>1567</v>
      </c>
      <c r="D317" s="202" t="s">
        <v>1488</v>
      </c>
      <c r="E317" s="202"/>
      <c r="F317" s="202"/>
    </row>
    <row r="318" spans="2:6" x14ac:dyDescent="0.25">
      <c r="B318" s="172" t="s">
        <v>1571</v>
      </c>
      <c r="C318" s="27" t="s">
        <v>1567</v>
      </c>
      <c r="D318" s="7" t="s">
        <v>1488</v>
      </c>
      <c r="E318" s="7"/>
      <c r="F318" s="7"/>
    </row>
    <row r="319" spans="2:6" x14ac:dyDescent="0.25">
      <c r="B319" s="173" t="s">
        <v>1572</v>
      </c>
      <c r="C319" s="114" t="s">
        <v>1567</v>
      </c>
      <c r="D319" s="202" t="s">
        <v>1488</v>
      </c>
      <c r="E319" s="202"/>
      <c r="F319" s="202"/>
    </row>
    <row r="320" spans="2:6" x14ac:dyDescent="0.25">
      <c r="B320" s="172" t="s">
        <v>1573</v>
      </c>
      <c r="C320" s="27" t="s">
        <v>1567</v>
      </c>
      <c r="D320" s="7" t="s">
        <v>1488</v>
      </c>
      <c r="E320" s="7"/>
      <c r="F320" s="7"/>
    </row>
    <row r="321" spans="2:6" x14ac:dyDescent="0.25">
      <c r="B321" s="173" t="s">
        <v>1574</v>
      </c>
      <c r="C321" s="114" t="s">
        <v>1567</v>
      </c>
      <c r="D321" s="202" t="s">
        <v>1488</v>
      </c>
      <c r="E321" s="202"/>
      <c r="F321" s="202"/>
    </row>
    <row r="322" spans="2:6" x14ac:dyDescent="0.25">
      <c r="B322" s="172" t="s">
        <v>1575</v>
      </c>
      <c r="C322" s="27" t="s">
        <v>1567</v>
      </c>
      <c r="D322" s="7" t="s">
        <v>1488</v>
      </c>
      <c r="E322" s="7"/>
      <c r="F322" s="7"/>
    </row>
    <row r="323" spans="2:6" x14ac:dyDescent="0.25">
      <c r="B323" s="173" t="s">
        <v>1576</v>
      </c>
      <c r="C323" s="114" t="s">
        <v>1567</v>
      </c>
      <c r="D323" s="202" t="s">
        <v>1488</v>
      </c>
      <c r="E323" s="202"/>
      <c r="F323" s="202"/>
    </row>
    <row r="324" spans="2:6" x14ac:dyDescent="0.25">
      <c r="B324" s="172" t="s">
        <v>1577</v>
      </c>
      <c r="C324" s="27" t="s">
        <v>1567</v>
      </c>
      <c r="D324" s="7" t="s">
        <v>1488</v>
      </c>
      <c r="E324" s="7"/>
      <c r="F324" s="7"/>
    </row>
    <row r="325" spans="2:6" x14ac:dyDescent="0.25">
      <c r="B325" s="173" t="s">
        <v>1578</v>
      </c>
      <c r="C325" s="114" t="s">
        <v>1567</v>
      </c>
      <c r="D325" s="202" t="s">
        <v>1488</v>
      </c>
      <c r="E325" s="202"/>
      <c r="F325" s="202"/>
    </row>
    <row r="326" spans="2:6" x14ac:dyDescent="0.25">
      <c r="B326" s="172" t="s">
        <v>1579</v>
      </c>
      <c r="C326" s="27" t="s">
        <v>1567</v>
      </c>
      <c r="D326" s="7" t="s">
        <v>1488</v>
      </c>
      <c r="E326" s="7"/>
      <c r="F326" s="7"/>
    </row>
    <row r="327" spans="2:6" x14ac:dyDescent="0.25">
      <c r="B327" s="173" t="s">
        <v>1580</v>
      </c>
      <c r="C327" s="114" t="s">
        <v>1567</v>
      </c>
      <c r="D327" s="202" t="s">
        <v>1488</v>
      </c>
      <c r="E327" s="202"/>
      <c r="F327" s="202"/>
    </row>
    <row r="328" spans="2:6" x14ac:dyDescent="0.25">
      <c r="B328" s="172" t="s">
        <v>1581</v>
      </c>
      <c r="C328" s="27" t="s">
        <v>1567</v>
      </c>
      <c r="D328" s="7" t="s">
        <v>1488</v>
      </c>
      <c r="E328" s="7"/>
      <c r="F328" s="7"/>
    </row>
    <row r="329" spans="2:6" x14ac:dyDescent="0.25">
      <c r="B329" s="173" t="s">
        <v>1582</v>
      </c>
      <c r="C329" s="114" t="s">
        <v>1567</v>
      </c>
      <c r="D329" s="202" t="s">
        <v>1488</v>
      </c>
      <c r="E329" s="202"/>
      <c r="F329" s="202"/>
    </row>
    <row r="330" spans="2:6" x14ac:dyDescent="0.25">
      <c r="B330" s="172" t="s">
        <v>1583</v>
      </c>
      <c r="C330" s="27" t="s">
        <v>1560</v>
      </c>
      <c r="D330" s="7" t="s">
        <v>1249</v>
      </c>
      <c r="E330" s="7"/>
      <c r="F330" s="7"/>
    </row>
    <row r="331" spans="2:6" x14ac:dyDescent="0.25">
      <c r="B331" s="173" t="s">
        <v>1584</v>
      </c>
      <c r="C331" s="114" t="s">
        <v>1560</v>
      </c>
      <c r="D331" s="202" t="s">
        <v>1249</v>
      </c>
      <c r="E331" s="202"/>
      <c r="F331" s="202"/>
    </row>
    <row r="332" spans="2:6" x14ac:dyDescent="0.25">
      <c r="B332" s="172" t="s">
        <v>1585</v>
      </c>
      <c r="C332" s="27" t="s">
        <v>1560</v>
      </c>
      <c r="D332" s="7" t="s">
        <v>1249</v>
      </c>
      <c r="E332" s="7"/>
      <c r="F332" s="7"/>
    </row>
    <row r="333" spans="2:6" x14ac:dyDescent="0.25">
      <c r="B333" s="173" t="s">
        <v>1586</v>
      </c>
      <c r="C333" s="114" t="s">
        <v>1560</v>
      </c>
      <c r="D333" s="202" t="s">
        <v>1249</v>
      </c>
      <c r="E333" s="202"/>
      <c r="F333" s="202"/>
    </row>
    <row r="334" spans="2:6" x14ac:dyDescent="0.25">
      <c r="B334" s="172" t="s">
        <v>1587</v>
      </c>
      <c r="C334" s="27" t="s">
        <v>1565</v>
      </c>
      <c r="D334" s="7" t="s">
        <v>1261</v>
      </c>
      <c r="E334" s="7"/>
      <c r="F334" s="7"/>
    </row>
    <row r="335" spans="2:6" x14ac:dyDescent="0.25">
      <c r="B335" s="173" t="s">
        <v>1588</v>
      </c>
      <c r="C335" s="114" t="s">
        <v>1563</v>
      </c>
      <c r="D335" s="202" t="s">
        <v>1256</v>
      </c>
      <c r="E335" s="202"/>
      <c r="F335" s="202"/>
    </row>
    <row r="336" spans="2:6" x14ac:dyDescent="0.25">
      <c r="B336" s="172" t="s">
        <v>1589</v>
      </c>
      <c r="C336" s="27" t="s">
        <v>1567</v>
      </c>
      <c r="D336" s="7" t="s">
        <v>1488</v>
      </c>
      <c r="E336" s="7"/>
      <c r="F336" s="7"/>
    </row>
    <row r="337" spans="2:6" x14ac:dyDescent="0.25">
      <c r="B337" s="173" t="s">
        <v>1590</v>
      </c>
      <c r="C337" s="114" t="s">
        <v>1567</v>
      </c>
      <c r="D337" s="202" t="s">
        <v>1488</v>
      </c>
      <c r="E337" s="202"/>
      <c r="F337" s="202"/>
    </row>
    <row r="338" spans="2:6" x14ac:dyDescent="0.25">
      <c r="B338" s="172" t="s">
        <v>1591</v>
      </c>
      <c r="C338" s="27" t="s">
        <v>1567</v>
      </c>
      <c r="D338" s="7" t="s">
        <v>1488</v>
      </c>
      <c r="E338" s="7"/>
      <c r="F338" s="7"/>
    </row>
    <row r="339" spans="2:6" x14ac:dyDescent="0.25">
      <c r="B339" s="173" t="s">
        <v>1592</v>
      </c>
      <c r="C339" s="114" t="s">
        <v>1567</v>
      </c>
      <c r="D339" s="202" t="s">
        <v>1488</v>
      </c>
      <c r="E339" s="202"/>
      <c r="F339" s="202"/>
    </row>
    <row r="340" spans="2:6" x14ac:dyDescent="0.25">
      <c r="B340" s="172" t="s">
        <v>1593</v>
      </c>
      <c r="C340" s="27" t="s">
        <v>1567</v>
      </c>
      <c r="D340" s="7" t="s">
        <v>1488</v>
      </c>
      <c r="E340" s="7"/>
      <c r="F340" s="7"/>
    </row>
    <row r="341" spans="2:6" x14ac:dyDescent="0.25">
      <c r="B341" s="173" t="s">
        <v>1594</v>
      </c>
      <c r="C341" s="114" t="s">
        <v>1567</v>
      </c>
      <c r="D341" s="202" t="s">
        <v>1488</v>
      </c>
      <c r="E341" s="202"/>
      <c r="F341" s="202"/>
    </row>
    <row r="342" spans="2:6" x14ac:dyDescent="0.25">
      <c r="B342" s="172" t="s">
        <v>1595</v>
      </c>
      <c r="C342" s="27" t="s">
        <v>1567</v>
      </c>
      <c r="D342" s="7" t="s">
        <v>1488</v>
      </c>
      <c r="E342" s="7"/>
      <c r="F342" s="7"/>
    </row>
    <row r="343" spans="2:6" x14ac:dyDescent="0.25">
      <c r="B343" s="173" t="s">
        <v>1596</v>
      </c>
      <c r="C343" s="114" t="s">
        <v>1567</v>
      </c>
      <c r="D343" s="202" t="s">
        <v>1488</v>
      </c>
      <c r="E343" s="202"/>
      <c r="F343" s="202"/>
    </row>
    <row r="344" spans="2:6" x14ac:dyDescent="0.25">
      <c r="B344" s="172" t="s">
        <v>1597</v>
      </c>
      <c r="C344" s="27" t="s">
        <v>1567</v>
      </c>
      <c r="D344" s="7" t="s">
        <v>1488</v>
      </c>
      <c r="E344" s="7"/>
      <c r="F344" s="7"/>
    </row>
    <row r="345" spans="2:6" x14ac:dyDescent="0.25">
      <c r="B345" s="173" t="s">
        <v>1598</v>
      </c>
      <c r="C345" s="114" t="s">
        <v>1567</v>
      </c>
      <c r="D345" s="202" t="s">
        <v>1488</v>
      </c>
      <c r="E345" s="202"/>
      <c r="F345" s="202"/>
    </row>
    <row r="346" spans="2:6" x14ac:dyDescent="0.25">
      <c r="B346" s="172" t="s">
        <v>1599</v>
      </c>
      <c r="C346" s="27" t="s">
        <v>1567</v>
      </c>
      <c r="D346" s="7" t="s">
        <v>1488</v>
      </c>
      <c r="E346" s="7"/>
      <c r="F346" s="7"/>
    </row>
    <row r="347" spans="2:6" x14ac:dyDescent="0.25">
      <c r="B347" s="173" t="s">
        <v>1600</v>
      </c>
      <c r="C347" s="114" t="s">
        <v>1567</v>
      </c>
      <c r="D347" s="202" t="s">
        <v>1488</v>
      </c>
      <c r="E347" s="202"/>
      <c r="F347" s="202"/>
    </row>
    <row r="348" spans="2:6" x14ac:dyDescent="0.25">
      <c r="B348" s="172" t="s">
        <v>1601</v>
      </c>
      <c r="C348" s="27" t="s">
        <v>1567</v>
      </c>
      <c r="D348" s="7" t="s">
        <v>1488</v>
      </c>
      <c r="E348" s="7"/>
      <c r="F348" s="7"/>
    </row>
    <row r="349" spans="2:6" x14ac:dyDescent="0.25">
      <c r="B349" s="173" t="s">
        <v>1602</v>
      </c>
      <c r="C349" s="114" t="s">
        <v>1567</v>
      </c>
      <c r="D349" s="202" t="s">
        <v>1488</v>
      </c>
      <c r="E349" s="202"/>
      <c r="F349" s="202"/>
    </row>
    <row r="350" spans="2:6" x14ac:dyDescent="0.25">
      <c r="B350" s="172" t="s">
        <v>1603</v>
      </c>
      <c r="C350" s="27" t="s">
        <v>1567</v>
      </c>
      <c r="D350" s="7" t="s">
        <v>1488</v>
      </c>
      <c r="E350" s="7"/>
      <c r="F350" s="7"/>
    </row>
    <row r="351" spans="2:6" x14ac:dyDescent="0.25">
      <c r="B351" s="173" t="s">
        <v>1604</v>
      </c>
      <c r="C351" s="114" t="s">
        <v>1567</v>
      </c>
      <c r="D351" s="202" t="s">
        <v>1488</v>
      </c>
      <c r="E351" s="202"/>
      <c r="F351" s="202"/>
    </row>
    <row r="352" spans="2:6" x14ac:dyDescent="0.25">
      <c r="B352" s="172" t="s">
        <v>1605</v>
      </c>
      <c r="C352" s="27" t="s">
        <v>1567</v>
      </c>
      <c r="D352" s="7" t="s">
        <v>1488</v>
      </c>
      <c r="E352" s="7"/>
      <c r="F352" s="7"/>
    </row>
    <row r="353" spans="2:6" x14ac:dyDescent="0.25">
      <c r="B353" s="173" t="s">
        <v>1606</v>
      </c>
      <c r="C353" s="114" t="s">
        <v>1567</v>
      </c>
      <c r="D353" s="202" t="s">
        <v>1488</v>
      </c>
      <c r="E353" s="202"/>
      <c r="F353" s="202"/>
    </row>
    <row r="354" spans="2:6" x14ac:dyDescent="0.25">
      <c r="B354" s="172" t="s">
        <v>1607</v>
      </c>
      <c r="C354" s="27" t="s">
        <v>1567</v>
      </c>
      <c r="D354" s="7" t="s">
        <v>1488</v>
      </c>
      <c r="E354" s="7"/>
      <c r="F354" s="7"/>
    </row>
    <row r="355" spans="2:6" x14ac:dyDescent="0.25">
      <c r="B355" s="173" t="s">
        <v>1608</v>
      </c>
      <c r="C355" s="114" t="s">
        <v>1567</v>
      </c>
      <c r="D355" s="202" t="s">
        <v>1488</v>
      </c>
      <c r="E355" s="202"/>
      <c r="F355" s="202"/>
    </row>
    <row r="356" spans="2:6" x14ac:dyDescent="0.25">
      <c r="B356" s="172" t="s">
        <v>1609</v>
      </c>
      <c r="C356" s="27" t="s">
        <v>1567</v>
      </c>
      <c r="D356" s="7" t="s">
        <v>1488</v>
      </c>
      <c r="E356" s="7"/>
      <c r="F356" s="7"/>
    </row>
    <row r="357" spans="2:6" x14ac:dyDescent="0.25">
      <c r="B357" s="173" t="s">
        <v>1610</v>
      </c>
      <c r="C357" s="114" t="s">
        <v>1567</v>
      </c>
      <c r="D357" s="202" t="s">
        <v>1488</v>
      </c>
      <c r="E357" s="202"/>
      <c r="F357" s="202"/>
    </row>
    <row r="358" spans="2:6" x14ac:dyDescent="0.25">
      <c r="B358" s="172" t="s">
        <v>1611</v>
      </c>
      <c r="C358" s="27" t="s">
        <v>1567</v>
      </c>
      <c r="D358" s="7" t="s">
        <v>1488</v>
      </c>
      <c r="E358" s="7"/>
      <c r="F358" s="7"/>
    </row>
    <row r="359" spans="2:6" x14ac:dyDescent="0.25">
      <c r="B359" s="173" t="s">
        <v>1612</v>
      </c>
      <c r="C359" s="114" t="s">
        <v>1567</v>
      </c>
      <c r="D359" s="202" t="s">
        <v>1488</v>
      </c>
      <c r="E359" s="202"/>
      <c r="F359" s="202"/>
    </row>
    <row r="360" spans="2:6" x14ac:dyDescent="0.25">
      <c r="B360" s="172" t="s">
        <v>1613</v>
      </c>
      <c r="C360" s="27" t="s">
        <v>1567</v>
      </c>
      <c r="D360" s="7" t="s">
        <v>1488</v>
      </c>
      <c r="E360" s="7"/>
      <c r="F360" s="7"/>
    </row>
    <row r="361" spans="2:6" x14ac:dyDescent="0.25">
      <c r="B361" s="173" t="s">
        <v>1614</v>
      </c>
      <c r="C361" s="114" t="s">
        <v>1567</v>
      </c>
      <c r="D361" s="202" t="s">
        <v>1488</v>
      </c>
      <c r="E361" s="202"/>
      <c r="F361" s="202"/>
    </row>
    <row r="362" spans="2:6" x14ac:dyDescent="0.25">
      <c r="B362" s="172" t="s">
        <v>1615</v>
      </c>
      <c r="C362" s="27" t="s">
        <v>1567</v>
      </c>
      <c r="D362" s="7" t="s">
        <v>1488</v>
      </c>
      <c r="E362" s="7"/>
      <c r="F362" s="7"/>
    </row>
    <row r="363" spans="2:6" x14ac:dyDescent="0.25">
      <c r="B363" s="173" t="s">
        <v>1616</v>
      </c>
      <c r="C363" s="114" t="s">
        <v>1567</v>
      </c>
      <c r="D363" s="202" t="s">
        <v>1488</v>
      </c>
      <c r="E363" s="202"/>
      <c r="F363" s="202"/>
    </row>
    <row r="364" spans="2:6" x14ac:dyDescent="0.25">
      <c r="B364" s="172" t="s">
        <v>1617</v>
      </c>
      <c r="C364" s="27" t="s">
        <v>1567</v>
      </c>
      <c r="D364" s="7" t="s">
        <v>1488</v>
      </c>
      <c r="E364" s="7"/>
      <c r="F364" s="7"/>
    </row>
    <row r="365" spans="2:6" x14ac:dyDescent="0.25">
      <c r="B365" s="173" t="s">
        <v>1618</v>
      </c>
      <c r="C365" s="114" t="s">
        <v>1567</v>
      </c>
      <c r="D365" s="202" t="s">
        <v>1488</v>
      </c>
      <c r="E365" s="202"/>
      <c r="F365" s="202"/>
    </row>
    <row r="366" spans="2:6" x14ac:dyDescent="0.25">
      <c r="B366" s="172" t="s">
        <v>1619</v>
      </c>
      <c r="C366" s="27" t="s">
        <v>1567</v>
      </c>
      <c r="D366" s="7" t="s">
        <v>1488</v>
      </c>
      <c r="E366" s="7"/>
      <c r="F366" s="7"/>
    </row>
    <row r="367" spans="2:6" x14ac:dyDescent="0.25">
      <c r="B367" s="173" t="s">
        <v>1620</v>
      </c>
      <c r="C367" s="114" t="s">
        <v>1567</v>
      </c>
      <c r="D367" s="202" t="s">
        <v>1488</v>
      </c>
      <c r="E367" s="202"/>
      <c r="F367" s="202"/>
    </row>
    <row r="368" spans="2:6" x14ac:dyDescent="0.25">
      <c r="B368" s="172" t="s">
        <v>1621</v>
      </c>
      <c r="C368" s="27" t="s">
        <v>1567</v>
      </c>
      <c r="D368" s="7" t="s">
        <v>1488</v>
      </c>
      <c r="E368" s="7"/>
      <c r="F368" s="7"/>
    </row>
    <row r="369" spans="2:6" x14ac:dyDescent="0.25">
      <c r="B369" s="173" t="s">
        <v>1622</v>
      </c>
      <c r="C369" s="114" t="s">
        <v>1567</v>
      </c>
      <c r="D369" s="202" t="s">
        <v>1488</v>
      </c>
      <c r="E369" s="202"/>
      <c r="F369" s="202"/>
    </row>
    <row r="370" spans="2:6" x14ac:dyDescent="0.25">
      <c r="B370" s="172" t="s">
        <v>1623</v>
      </c>
      <c r="C370" s="27" t="s">
        <v>1567</v>
      </c>
      <c r="D370" s="7" t="s">
        <v>1488</v>
      </c>
      <c r="E370" s="7"/>
      <c r="F370" s="7"/>
    </row>
    <row r="371" spans="2:6" x14ac:dyDescent="0.25">
      <c r="B371" s="173" t="s">
        <v>1624</v>
      </c>
      <c r="C371" s="114" t="s">
        <v>1567</v>
      </c>
      <c r="D371" s="202" t="s">
        <v>1488</v>
      </c>
      <c r="E371" s="202"/>
      <c r="F371" s="202"/>
    </row>
    <row r="372" spans="2:6" x14ac:dyDescent="0.25">
      <c r="B372" s="172" t="s">
        <v>1625</v>
      </c>
      <c r="C372" s="27" t="s">
        <v>1567</v>
      </c>
      <c r="D372" s="7" t="s">
        <v>1488</v>
      </c>
      <c r="E372" s="7"/>
      <c r="F372" s="7"/>
    </row>
    <row r="373" spans="2:6" x14ac:dyDescent="0.25">
      <c r="B373" s="173" t="s">
        <v>1626</v>
      </c>
      <c r="C373" s="114" t="s">
        <v>1567</v>
      </c>
      <c r="D373" s="202" t="s">
        <v>1488</v>
      </c>
      <c r="E373" s="202"/>
      <c r="F373" s="202"/>
    </row>
    <row r="374" spans="2:6" x14ac:dyDescent="0.25">
      <c r="B374" s="172" t="s">
        <v>1627</v>
      </c>
      <c r="C374" s="27" t="s">
        <v>1567</v>
      </c>
      <c r="D374" s="7" t="s">
        <v>1488</v>
      </c>
      <c r="E374" s="7"/>
      <c r="F374" s="7"/>
    </row>
    <row r="375" spans="2:6" x14ac:dyDescent="0.25">
      <c r="B375" s="173" t="s">
        <v>1628</v>
      </c>
      <c r="C375" s="114" t="s">
        <v>1567</v>
      </c>
      <c r="D375" s="202" t="s">
        <v>1488</v>
      </c>
      <c r="E375" s="202"/>
      <c r="F375" s="202"/>
    </row>
    <row r="376" spans="2:6" x14ac:dyDescent="0.25">
      <c r="B376" s="172" t="s">
        <v>1629</v>
      </c>
      <c r="C376" s="27" t="s">
        <v>1567</v>
      </c>
      <c r="D376" s="7" t="s">
        <v>1488</v>
      </c>
      <c r="E376" s="7"/>
      <c r="F376" s="7"/>
    </row>
    <row r="377" spans="2:6" x14ac:dyDescent="0.25">
      <c r="B377" s="173" t="s">
        <v>1630</v>
      </c>
      <c r="C377" s="114" t="s">
        <v>1567</v>
      </c>
      <c r="D377" s="202" t="s">
        <v>1488</v>
      </c>
      <c r="E377" s="202"/>
      <c r="F377" s="202"/>
    </row>
    <row r="378" spans="2:6" x14ac:dyDescent="0.25">
      <c r="B378" s="172" t="s">
        <v>1631</v>
      </c>
      <c r="C378" s="27" t="s">
        <v>1567</v>
      </c>
      <c r="D378" s="7" t="s">
        <v>1488</v>
      </c>
      <c r="E378" s="7"/>
      <c r="F378" s="7"/>
    </row>
    <row r="379" spans="2:6" x14ac:dyDescent="0.25">
      <c r="B379" s="173" t="s">
        <v>1632</v>
      </c>
      <c r="C379" s="114" t="s">
        <v>1567</v>
      </c>
      <c r="D379" s="202" t="s">
        <v>1488</v>
      </c>
      <c r="E379" s="202"/>
      <c r="F379" s="202"/>
    </row>
    <row r="380" spans="2:6" x14ac:dyDescent="0.25">
      <c r="B380" s="172" t="s">
        <v>1633</v>
      </c>
      <c r="C380" s="27" t="s">
        <v>1567</v>
      </c>
      <c r="D380" s="7" t="s">
        <v>1488</v>
      </c>
      <c r="E380" s="7"/>
      <c r="F380" s="7"/>
    </row>
    <row r="381" spans="2:6" x14ac:dyDescent="0.25">
      <c r="B381" s="173" t="s">
        <v>1634</v>
      </c>
      <c r="C381" s="114" t="s">
        <v>1567</v>
      </c>
      <c r="D381" s="202" t="s">
        <v>1488</v>
      </c>
      <c r="E381" s="202"/>
      <c r="F381" s="202"/>
    </row>
    <row r="382" spans="2:6" x14ac:dyDescent="0.25">
      <c r="B382" s="172" t="s">
        <v>1635</v>
      </c>
      <c r="C382" s="27" t="s">
        <v>1567</v>
      </c>
      <c r="D382" s="7" t="s">
        <v>1488</v>
      </c>
      <c r="E382" s="7"/>
      <c r="F382" s="7"/>
    </row>
    <row r="383" spans="2:6" x14ac:dyDescent="0.25">
      <c r="B383" s="173" t="s">
        <v>1636</v>
      </c>
      <c r="C383" s="114" t="s">
        <v>1567</v>
      </c>
      <c r="D383" s="202" t="s">
        <v>1488</v>
      </c>
      <c r="E383" s="202"/>
      <c r="F383" s="202"/>
    </row>
    <row r="384" spans="2:6" x14ac:dyDescent="0.25">
      <c r="B384" s="172" t="s">
        <v>1637</v>
      </c>
      <c r="C384" s="27" t="s">
        <v>1567</v>
      </c>
      <c r="D384" s="7" t="s">
        <v>1488</v>
      </c>
      <c r="E384" s="7"/>
      <c r="F384" s="7"/>
    </row>
    <row r="385" spans="2:6" x14ac:dyDescent="0.25">
      <c r="B385" s="173" t="s">
        <v>1638</v>
      </c>
      <c r="C385" s="114" t="s">
        <v>1567</v>
      </c>
      <c r="D385" s="202" t="s">
        <v>1488</v>
      </c>
      <c r="E385" s="202"/>
      <c r="F385" s="202"/>
    </row>
    <row r="386" spans="2:6" x14ac:dyDescent="0.25">
      <c r="B386" s="172" t="s">
        <v>1639</v>
      </c>
      <c r="C386" s="27" t="s">
        <v>1567</v>
      </c>
      <c r="D386" s="7" t="s">
        <v>1488</v>
      </c>
      <c r="E386" s="7"/>
      <c r="F386" s="7"/>
    </row>
    <row r="387" spans="2:6" x14ac:dyDescent="0.25">
      <c r="B387" s="173" t="s">
        <v>1640</v>
      </c>
      <c r="C387" s="114" t="s">
        <v>1567</v>
      </c>
      <c r="D387" s="202" t="s">
        <v>1488</v>
      </c>
      <c r="E387" s="202"/>
      <c r="F387" s="202"/>
    </row>
    <row r="388" spans="2:6" x14ac:dyDescent="0.25">
      <c r="B388" s="172" t="s">
        <v>1641</v>
      </c>
      <c r="C388" s="27" t="s">
        <v>1567</v>
      </c>
      <c r="D388" s="7" t="s">
        <v>1488</v>
      </c>
      <c r="E388" s="7"/>
      <c r="F388" s="7"/>
    </row>
    <row r="389" spans="2:6" x14ac:dyDescent="0.25">
      <c r="B389" s="173" t="s">
        <v>1642</v>
      </c>
      <c r="C389" s="114" t="s">
        <v>1567</v>
      </c>
      <c r="D389" s="202" t="s">
        <v>1488</v>
      </c>
      <c r="E389" s="202"/>
      <c r="F389" s="202"/>
    </row>
    <row r="390" spans="2:6" x14ac:dyDescent="0.25">
      <c r="B390" s="172" t="s">
        <v>1643</v>
      </c>
      <c r="C390" s="27" t="s">
        <v>1567</v>
      </c>
      <c r="D390" s="7" t="s">
        <v>1488</v>
      </c>
      <c r="E390" s="7"/>
      <c r="F390" s="7"/>
    </row>
    <row r="391" spans="2:6" x14ac:dyDescent="0.25">
      <c r="B391" s="173" t="s">
        <v>1644</v>
      </c>
      <c r="C391" s="114" t="s">
        <v>1567</v>
      </c>
      <c r="D391" s="202" t="s">
        <v>1488</v>
      </c>
      <c r="E391" s="202"/>
      <c r="F391" s="202"/>
    </row>
    <row r="392" spans="2:6" x14ac:dyDescent="0.25">
      <c r="B392" s="172" t="s">
        <v>1645</v>
      </c>
      <c r="C392" s="27" t="s">
        <v>1567</v>
      </c>
      <c r="D392" s="7" t="s">
        <v>1488</v>
      </c>
      <c r="E392" s="7"/>
      <c r="F392" s="7"/>
    </row>
    <row r="393" spans="2:6" x14ac:dyDescent="0.25">
      <c r="B393" s="173" t="s">
        <v>1646</v>
      </c>
      <c r="C393" s="114" t="s">
        <v>1567</v>
      </c>
      <c r="D393" s="202" t="s">
        <v>1488</v>
      </c>
      <c r="E393" s="202"/>
      <c r="F393" s="202"/>
    </row>
    <row r="394" spans="2:6" x14ac:dyDescent="0.25">
      <c r="B394" s="172" t="s">
        <v>1647</v>
      </c>
      <c r="C394" s="27" t="s">
        <v>1567</v>
      </c>
      <c r="D394" s="7" t="s">
        <v>1488</v>
      </c>
      <c r="E394" s="7"/>
      <c r="F394" s="7"/>
    </row>
    <row r="395" spans="2:6" x14ac:dyDescent="0.25">
      <c r="B395" s="173" t="s">
        <v>1648</v>
      </c>
      <c r="C395" s="114" t="s">
        <v>1567</v>
      </c>
      <c r="D395" s="202" t="s">
        <v>1488</v>
      </c>
      <c r="E395" s="202"/>
      <c r="F395" s="202"/>
    </row>
    <row r="396" spans="2:6" x14ac:dyDescent="0.25">
      <c r="B396" s="172" t="s">
        <v>1649</v>
      </c>
      <c r="C396" s="27" t="s">
        <v>1567</v>
      </c>
      <c r="D396" s="7" t="s">
        <v>1488</v>
      </c>
      <c r="E396" s="7"/>
      <c r="F396" s="7"/>
    </row>
    <row r="397" spans="2:6" x14ac:dyDescent="0.25">
      <c r="B397" s="173" t="s">
        <v>1650</v>
      </c>
      <c r="C397" s="114" t="s">
        <v>1567</v>
      </c>
      <c r="D397" s="202" t="s">
        <v>1488</v>
      </c>
      <c r="E397" s="202"/>
      <c r="F397" s="202"/>
    </row>
    <row r="398" spans="2:6" x14ac:dyDescent="0.25">
      <c r="B398" s="172" t="s">
        <v>1651</v>
      </c>
      <c r="C398" s="27" t="s">
        <v>1567</v>
      </c>
      <c r="D398" s="7" t="s">
        <v>1488</v>
      </c>
      <c r="E398" s="7"/>
      <c r="F398" s="7"/>
    </row>
    <row r="399" spans="2:6" x14ac:dyDescent="0.25">
      <c r="B399" s="173" t="s">
        <v>1652</v>
      </c>
      <c r="C399" s="114" t="s">
        <v>1567</v>
      </c>
      <c r="D399" s="202" t="s">
        <v>1488</v>
      </c>
      <c r="E399" s="202"/>
      <c r="F399" s="202"/>
    </row>
    <row r="400" spans="2:6" x14ac:dyDescent="0.25">
      <c r="B400" s="172" t="s">
        <v>1653</v>
      </c>
      <c r="C400" s="27" t="s">
        <v>1567</v>
      </c>
      <c r="D400" s="7" t="s">
        <v>1488</v>
      </c>
      <c r="E400" s="7"/>
      <c r="F400" s="7"/>
    </row>
    <row r="401" spans="2:6" x14ac:dyDescent="0.25">
      <c r="B401" s="173" t="s">
        <v>1654</v>
      </c>
      <c r="C401" s="114" t="s">
        <v>1567</v>
      </c>
      <c r="D401" s="202" t="s">
        <v>1488</v>
      </c>
      <c r="E401" s="202"/>
      <c r="F401" s="202"/>
    </row>
    <row r="402" spans="2:6" x14ac:dyDescent="0.25">
      <c r="B402" s="172" t="s">
        <v>1655</v>
      </c>
      <c r="C402" s="27" t="s">
        <v>1567</v>
      </c>
      <c r="D402" s="7" t="s">
        <v>1488</v>
      </c>
      <c r="E402" s="7"/>
      <c r="F402" s="7"/>
    </row>
    <row r="403" spans="2:6" x14ac:dyDescent="0.25">
      <c r="B403" s="173" t="s">
        <v>1656</v>
      </c>
      <c r="C403" s="114" t="s">
        <v>1567</v>
      </c>
      <c r="D403" s="202" t="s">
        <v>1488</v>
      </c>
      <c r="E403" s="202"/>
      <c r="F403" s="202"/>
    </row>
    <row r="404" spans="2:6" x14ac:dyDescent="0.25">
      <c r="B404" s="172" t="s">
        <v>1657</v>
      </c>
      <c r="C404" s="27" t="s">
        <v>1567</v>
      </c>
      <c r="D404" s="7" t="s">
        <v>1488</v>
      </c>
      <c r="E404" s="7"/>
      <c r="F404" s="7"/>
    </row>
    <row r="405" spans="2:6" x14ac:dyDescent="0.25">
      <c r="B405" s="173" t="s">
        <v>1658</v>
      </c>
      <c r="C405" s="114" t="s">
        <v>1567</v>
      </c>
      <c r="D405" s="202" t="s">
        <v>1488</v>
      </c>
      <c r="E405" s="202"/>
      <c r="F405" s="202"/>
    </row>
    <row r="406" spans="2:6" x14ac:dyDescent="0.25">
      <c r="B406" s="172" t="s">
        <v>1659</v>
      </c>
      <c r="C406" s="27" t="s">
        <v>1567</v>
      </c>
      <c r="D406" s="7" t="s">
        <v>1488</v>
      </c>
      <c r="E406" s="7"/>
      <c r="F406" s="7"/>
    </row>
    <row r="407" spans="2:6" x14ac:dyDescent="0.25">
      <c r="B407" s="173" t="s">
        <v>1660</v>
      </c>
      <c r="C407" s="114" t="s">
        <v>1567</v>
      </c>
      <c r="D407" s="202" t="s">
        <v>1488</v>
      </c>
      <c r="E407" s="202"/>
      <c r="F407" s="202"/>
    </row>
    <row r="408" spans="2:6" x14ac:dyDescent="0.25">
      <c r="B408" s="172" t="s">
        <v>1661</v>
      </c>
      <c r="C408" s="27" t="s">
        <v>1567</v>
      </c>
      <c r="D408" s="7" t="s">
        <v>1488</v>
      </c>
      <c r="E408" s="7"/>
      <c r="F408" s="7"/>
    </row>
    <row r="409" spans="2:6" x14ac:dyDescent="0.25">
      <c r="B409" s="173" t="s">
        <v>1662</v>
      </c>
      <c r="C409" s="114" t="s">
        <v>1567</v>
      </c>
      <c r="D409" s="202" t="s">
        <v>1488</v>
      </c>
      <c r="E409" s="202"/>
      <c r="F409" s="202"/>
    </row>
    <row r="410" spans="2:6" x14ac:dyDescent="0.25">
      <c r="B410" s="172" t="s">
        <v>1663</v>
      </c>
      <c r="C410" s="27" t="s">
        <v>1567</v>
      </c>
      <c r="D410" s="7" t="s">
        <v>1488</v>
      </c>
      <c r="E410" s="7"/>
      <c r="F410" s="7"/>
    </row>
    <row r="411" spans="2:6" x14ac:dyDescent="0.25">
      <c r="B411" s="173" t="s">
        <v>1664</v>
      </c>
      <c r="C411" s="114" t="s">
        <v>1567</v>
      </c>
      <c r="D411" s="202" t="s">
        <v>1488</v>
      </c>
      <c r="E411" s="202"/>
      <c r="F411" s="202"/>
    </row>
    <row r="412" spans="2:6" x14ac:dyDescent="0.25">
      <c r="B412" s="172" t="s">
        <v>1665</v>
      </c>
      <c r="C412" s="27" t="s">
        <v>1666</v>
      </c>
      <c r="D412" s="7" t="s">
        <v>1237</v>
      </c>
      <c r="E412" s="7"/>
      <c r="F412" s="7"/>
    </row>
    <row r="413" spans="2:6" x14ac:dyDescent="0.25">
      <c r="B413" s="173" t="s">
        <v>1667</v>
      </c>
      <c r="C413" s="114" t="s">
        <v>1666</v>
      </c>
      <c r="D413" s="202" t="s">
        <v>1237</v>
      </c>
      <c r="E413" s="202"/>
      <c r="F413" s="202"/>
    </row>
    <row r="414" spans="2:6" x14ac:dyDescent="0.25">
      <c r="B414" s="172" t="s">
        <v>1668</v>
      </c>
      <c r="C414" s="27" t="s">
        <v>1666</v>
      </c>
      <c r="D414" s="7" t="s">
        <v>1237</v>
      </c>
      <c r="E414" s="7"/>
      <c r="F414" s="7"/>
    </row>
    <row r="415" spans="2:6" x14ac:dyDescent="0.25">
      <c r="B415" s="173" t="s">
        <v>1669</v>
      </c>
      <c r="C415" s="114" t="s">
        <v>1666</v>
      </c>
      <c r="D415" s="202" t="s">
        <v>1237</v>
      </c>
      <c r="E415" s="202"/>
      <c r="F415" s="202"/>
    </row>
    <row r="416" spans="2:6" x14ac:dyDescent="0.25">
      <c r="B416" s="172" t="s">
        <v>1670</v>
      </c>
      <c r="C416" s="27" t="s">
        <v>1666</v>
      </c>
      <c r="D416" s="7" t="s">
        <v>1237</v>
      </c>
      <c r="E416" s="7"/>
      <c r="F416" s="7"/>
    </row>
    <row r="417" spans="2:6" x14ac:dyDescent="0.25">
      <c r="B417" s="173" t="s">
        <v>1671</v>
      </c>
      <c r="C417" s="114" t="s">
        <v>1666</v>
      </c>
      <c r="D417" s="202" t="s">
        <v>1237</v>
      </c>
      <c r="E417" s="202"/>
      <c r="F417" s="202"/>
    </row>
    <row r="418" spans="2:6" x14ac:dyDescent="0.25">
      <c r="B418" s="172" t="s">
        <v>1672</v>
      </c>
      <c r="C418" s="27" t="s">
        <v>1666</v>
      </c>
      <c r="D418" s="7" t="s">
        <v>1237</v>
      </c>
      <c r="E418" s="7"/>
      <c r="F418" s="7"/>
    </row>
    <row r="419" spans="2:6" x14ac:dyDescent="0.25">
      <c r="B419" s="173" t="s">
        <v>1673</v>
      </c>
      <c r="C419" s="114" t="s">
        <v>1666</v>
      </c>
      <c r="D419" s="202" t="s">
        <v>1237</v>
      </c>
      <c r="E419" s="202"/>
      <c r="F419" s="202"/>
    </row>
    <row r="420" spans="2:6" x14ac:dyDescent="0.25">
      <c r="B420" s="172" t="s">
        <v>1674</v>
      </c>
      <c r="C420" s="27" t="s">
        <v>1666</v>
      </c>
      <c r="D420" s="7" t="s">
        <v>1237</v>
      </c>
      <c r="E420" s="7"/>
      <c r="F420" s="7"/>
    </row>
    <row r="421" spans="2:6" x14ac:dyDescent="0.25">
      <c r="B421" s="173" t="s">
        <v>1675</v>
      </c>
      <c r="C421" s="114" t="s">
        <v>1666</v>
      </c>
      <c r="D421" s="202" t="s">
        <v>1237</v>
      </c>
      <c r="E421" s="202"/>
      <c r="F421" s="202"/>
    </row>
    <row r="422" spans="2:6" x14ac:dyDescent="0.25">
      <c r="B422" s="172" t="s">
        <v>1676</v>
      </c>
      <c r="C422" s="27" t="s">
        <v>1666</v>
      </c>
      <c r="D422" s="7" t="s">
        <v>1237</v>
      </c>
      <c r="E422" s="7"/>
      <c r="F422" s="7"/>
    </row>
    <row r="423" spans="2:6" x14ac:dyDescent="0.25">
      <c r="B423" s="173" t="s">
        <v>1677</v>
      </c>
      <c r="C423" s="114" t="s">
        <v>1666</v>
      </c>
      <c r="D423" s="202" t="s">
        <v>1237</v>
      </c>
      <c r="E423" s="202"/>
      <c r="F423" s="202"/>
    </row>
    <row r="424" spans="2:6" x14ac:dyDescent="0.25">
      <c r="B424" s="172" t="s">
        <v>1678</v>
      </c>
      <c r="C424" s="27" t="s">
        <v>1666</v>
      </c>
      <c r="D424" s="7" t="s">
        <v>1237</v>
      </c>
      <c r="E424" s="7"/>
      <c r="F424" s="7"/>
    </row>
    <row r="425" spans="2:6" x14ac:dyDescent="0.25">
      <c r="B425" s="173" t="s">
        <v>1679</v>
      </c>
      <c r="C425" s="114" t="s">
        <v>1666</v>
      </c>
      <c r="D425" s="202" t="s">
        <v>1237</v>
      </c>
      <c r="E425" s="202"/>
      <c r="F425" s="202"/>
    </row>
    <row r="426" spans="2:6" x14ac:dyDescent="0.25">
      <c r="B426" s="172" t="s">
        <v>1680</v>
      </c>
      <c r="C426" s="27" t="s">
        <v>1666</v>
      </c>
      <c r="D426" s="7" t="s">
        <v>1237</v>
      </c>
      <c r="E426" s="7"/>
      <c r="F426" s="7"/>
    </row>
    <row r="427" spans="2:6" x14ac:dyDescent="0.25">
      <c r="B427" s="173" t="s">
        <v>1681</v>
      </c>
      <c r="C427" s="114" t="s">
        <v>1666</v>
      </c>
      <c r="D427" s="202" t="s">
        <v>1237</v>
      </c>
      <c r="E427" s="202"/>
      <c r="F427" s="202"/>
    </row>
    <row r="428" spans="2:6" x14ac:dyDescent="0.25">
      <c r="B428" s="172" t="s">
        <v>1682</v>
      </c>
      <c r="C428" s="27" t="s">
        <v>1666</v>
      </c>
      <c r="D428" s="7" t="s">
        <v>1237</v>
      </c>
      <c r="E428" s="7"/>
      <c r="F428" s="7"/>
    </row>
    <row r="429" spans="2:6" x14ac:dyDescent="0.25">
      <c r="B429" s="173" t="s">
        <v>1683</v>
      </c>
      <c r="C429" s="114" t="s">
        <v>1666</v>
      </c>
      <c r="D429" s="202" t="s">
        <v>1237</v>
      </c>
      <c r="E429" s="202"/>
      <c r="F429" s="202"/>
    </row>
    <row r="430" spans="2:6" x14ac:dyDescent="0.25">
      <c r="B430" s="172" t="s">
        <v>1684</v>
      </c>
      <c r="C430" s="27" t="s">
        <v>1666</v>
      </c>
      <c r="D430" s="7" t="s">
        <v>1237</v>
      </c>
      <c r="E430" s="7"/>
      <c r="F430" s="7"/>
    </row>
    <row r="431" spans="2:6" x14ac:dyDescent="0.25">
      <c r="B431" s="173" t="s">
        <v>1685</v>
      </c>
      <c r="C431" s="114" t="s">
        <v>1666</v>
      </c>
      <c r="D431" s="202" t="s">
        <v>1237</v>
      </c>
      <c r="E431" s="202"/>
      <c r="F431" s="202"/>
    </row>
    <row r="432" spans="2:6" x14ac:dyDescent="0.25">
      <c r="B432" s="172" t="s">
        <v>1686</v>
      </c>
      <c r="C432" s="27" t="s">
        <v>1567</v>
      </c>
      <c r="D432" s="7" t="s">
        <v>1488</v>
      </c>
      <c r="E432" s="7"/>
      <c r="F432" s="7"/>
    </row>
    <row r="433" spans="2:6" x14ac:dyDescent="0.25">
      <c r="B433" s="173" t="s">
        <v>1687</v>
      </c>
      <c r="C433" s="114" t="s">
        <v>1567</v>
      </c>
      <c r="D433" s="202" t="s">
        <v>1488</v>
      </c>
      <c r="E433" s="202"/>
      <c r="F433" s="202"/>
    </row>
    <row r="434" spans="2:6" x14ac:dyDescent="0.25">
      <c r="B434" s="172" t="s">
        <v>1688</v>
      </c>
      <c r="C434" s="27" t="s">
        <v>1567</v>
      </c>
      <c r="D434" s="7" t="s">
        <v>1488</v>
      </c>
      <c r="E434" s="7"/>
      <c r="F434" s="7"/>
    </row>
    <row r="435" spans="2:6" x14ac:dyDescent="0.25">
      <c r="B435" s="173" t="s">
        <v>1689</v>
      </c>
      <c r="C435" s="114" t="s">
        <v>1567</v>
      </c>
      <c r="D435" s="202" t="s">
        <v>1488</v>
      </c>
      <c r="E435" s="202"/>
      <c r="F435" s="202"/>
    </row>
    <row r="436" spans="2:6" x14ac:dyDescent="0.25">
      <c r="B436" s="172" t="s">
        <v>1690</v>
      </c>
      <c r="C436" s="27" t="s">
        <v>1567</v>
      </c>
      <c r="D436" s="7" t="s">
        <v>1488</v>
      </c>
      <c r="E436" s="7"/>
      <c r="F436" s="7"/>
    </row>
    <row r="437" spans="2:6" x14ac:dyDescent="0.25">
      <c r="B437" s="173" t="s">
        <v>1691</v>
      </c>
      <c r="C437" s="114" t="s">
        <v>1567</v>
      </c>
      <c r="D437" s="202" t="s">
        <v>1488</v>
      </c>
      <c r="E437" s="202"/>
      <c r="F437" s="202"/>
    </row>
    <row r="438" spans="2:6" x14ac:dyDescent="0.25">
      <c r="B438" s="172" t="s">
        <v>1692</v>
      </c>
      <c r="C438" s="27" t="s">
        <v>1567</v>
      </c>
      <c r="D438" s="7" t="s">
        <v>1488</v>
      </c>
      <c r="E438" s="7"/>
      <c r="F438" s="7"/>
    </row>
    <row r="439" spans="2:6" x14ac:dyDescent="0.25">
      <c r="B439" s="173" t="s">
        <v>1693</v>
      </c>
      <c r="C439" s="114" t="s">
        <v>1567</v>
      </c>
      <c r="D439" s="202" t="s">
        <v>1488</v>
      </c>
      <c r="E439" s="202"/>
      <c r="F439" s="202"/>
    </row>
    <row r="440" spans="2:6" x14ac:dyDescent="0.25">
      <c r="B440" s="172" t="s">
        <v>1694</v>
      </c>
      <c r="C440" s="27" t="s">
        <v>1567</v>
      </c>
      <c r="D440" s="7" t="s">
        <v>1488</v>
      </c>
      <c r="E440" s="7"/>
      <c r="F440" s="7"/>
    </row>
    <row r="441" spans="2:6" x14ac:dyDescent="0.25">
      <c r="B441" s="173" t="s">
        <v>1695</v>
      </c>
      <c r="C441" s="114" t="s">
        <v>1567</v>
      </c>
      <c r="D441" s="202" t="s">
        <v>1488</v>
      </c>
      <c r="E441" s="202"/>
      <c r="F441" s="202"/>
    </row>
    <row r="442" spans="2:6" x14ac:dyDescent="0.25">
      <c r="B442" s="172" t="s">
        <v>1696</v>
      </c>
      <c r="C442" s="27" t="s">
        <v>1567</v>
      </c>
      <c r="D442" s="7" t="s">
        <v>1488</v>
      </c>
      <c r="E442" s="7"/>
      <c r="F442" s="7"/>
    </row>
    <row r="443" spans="2:6" x14ac:dyDescent="0.25">
      <c r="B443" s="173" t="s">
        <v>1697</v>
      </c>
      <c r="C443" s="114" t="s">
        <v>1567</v>
      </c>
      <c r="D443" s="202" t="s">
        <v>1488</v>
      </c>
      <c r="E443" s="202"/>
      <c r="F443" s="202"/>
    </row>
    <row r="444" spans="2:6" x14ac:dyDescent="0.25">
      <c r="B444" s="172" t="s">
        <v>1698</v>
      </c>
      <c r="C444" s="27" t="s">
        <v>1567</v>
      </c>
      <c r="D444" s="7" t="s">
        <v>1488</v>
      </c>
      <c r="E444" s="7"/>
      <c r="F444" s="7"/>
    </row>
    <row r="445" spans="2:6" x14ac:dyDescent="0.25">
      <c r="B445" s="173" t="s">
        <v>1699</v>
      </c>
      <c r="C445" s="114" t="s">
        <v>1567</v>
      </c>
      <c r="D445" s="202" t="s">
        <v>1488</v>
      </c>
      <c r="E445" s="202"/>
      <c r="F445" s="202"/>
    </row>
    <row r="446" spans="2:6" x14ac:dyDescent="0.25">
      <c r="B446" s="172" t="s">
        <v>1700</v>
      </c>
      <c r="C446" s="27" t="s">
        <v>1567</v>
      </c>
      <c r="D446" s="7" t="s">
        <v>1488</v>
      </c>
      <c r="E446" s="7"/>
      <c r="F446" s="7"/>
    </row>
    <row r="447" spans="2:6" x14ac:dyDescent="0.25">
      <c r="B447" s="173" t="s">
        <v>1701</v>
      </c>
      <c r="C447" s="114" t="s">
        <v>1567</v>
      </c>
      <c r="D447" s="202" t="s">
        <v>1488</v>
      </c>
      <c r="E447" s="202"/>
      <c r="F447" s="202"/>
    </row>
    <row r="448" spans="2:6" x14ac:dyDescent="0.25">
      <c r="B448" s="172" t="s">
        <v>1702</v>
      </c>
      <c r="C448" s="27" t="s">
        <v>1567</v>
      </c>
      <c r="D448" s="7" t="s">
        <v>1488</v>
      </c>
      <c r="E448" s="7"/>
      <c r="F448" s="7"/>
    </row>
    <row r="449" spans="2:6" x14ac:dyDescent="0.25">
      <c r="B449" s="173" t="s">
        <v>1703</v>
      </c>
      <c r="C449" s="114" t="s">
        <v>1567</v>
      </c>
      <c r="D449" s="202" t="s">
        <v>1488</v>
      </c>
      <c r="E449" s="202"/>
      <c r="F449" s="202"/>
    </row>
    <row r="450" spans="2:6" x14ac:dyDescent="0.25">
      <c r="B450" s="172" t="s">
        <v>1704</v>
      </c>
      <c r="C450" s="27" t="s">
        <v>1567</v>
      </c>
      <c r="D450" s="7" t="s">
        <v>1488</v>
      </c>
      <c r="E450" s="7"/>
      <c r="F450" s="7"/>
    </row>
    <row r="451" spans="2:6" x14ac:dyDescent="0.25">
      <c r="B451" s="173" t="s">
        <v>1705</v>
      </c>
      <c r="C451" s="114" t="s">
        <v>1567</v>
      </c>
      <c r="D451" s="202" t="s">
        <v>1488</v>
      </c>
      <c r="E451" s="202"/>
      <c r="F451" s="202"/>
    </row>
    <row r="452" spans="2:6" x14ac:dyDescent="0.25">
      <c r="B452" s="172" t="s">
        <v>1706</v>
      </c>
      <c r="C452" s="27" t="s">
        <v>1567</v>
      </c>
      <c r="D452" s="7" t="s">
        <v>1488</v>
      </c>
      <c r="E452" s="7"/>
      <c r="F452" s="7"/>
    </row>
    <row r="453" spans="2:6" x14ac:dyDescent="0.25">
      <c r="B453" s="173" t="s">
        <v>1707</v>
      </c>
      <c r="C453" s="114" t="s">
        <v>1567</v>
      </c>
      <c r="D453" s="202" t="s">
        <v>1488</v>
      </c>
      <c r="E453" s="202"/>
      <c r="F453" s="202"/>
    </row>
    <row r="454" spans="2:6" x14ac:dyDescent="0.25">
      <c r="B454" s="172" t="s">
        <v>1708</v>
      </c>
      <c r="C454" s="27" t="s">
        <v>1567</v>
      </c>
      <c r="D454" s="7" t="s">
        <v>1488</v>
      </c>
      <c r="E454" s="7"/>
      <c r="F454" s="7"/>
    </row>
    <row r="455" spans="2:6" x14ac:dyDescent="0.25">
      <c r="B455" s="173" t="s">
        <v>1709</v>
      </c>
      <c r="C455" s="114" t="s">
        <v>1567</v>
      </c>
      <c r="D455" s="202" t="s">
        <v>1488</v>
      </c>
      <c r="E455" s="202"/>
      <c r="F455" s="202"/>
    </row>
    <row r="456" spans="2:6" x14ac:dyDescent="0.25">
      <c r="B456" s="172" t="s">
        <v>1710</v>
      </c>
      <c r="C456" s="27" t="s">
        <v>1567</v>
      </c>
      <c r="D456" s="7" t="s">
        <v>1488</v>
      </c>
      <c r="E456" s="7"/>
      <c r="F456" s="7"/>
    </row>
    <row r="457" spans="2:6" x14ac:dyDescent="0.25">
      <c r="B457" s="173" t="s">
        <v>1711</v>
      </c>
      <c r="C457" s="114" t="s">
        <v>1567</v>
      </c>
      <c r="D457" s="202" t="s">
        <v>1488</v>
      </c>
      <c r="E457" s="202"/>
      <c r="F457" s="202"/>
    </row>
    <row r="458" spans="2:6" x14ac:dyDescent="0.25">
      <c r="B458" s="172" t="s">
        <v>1712</v>
      </c>
      <c r="C458" s="27" t="s">
        <v>1666</v>
      </c>
      <c r="D458" s="7" t="s">
        <v>1237</v>
      </c>
      <c r="E458" s="7"/>
      <c r="F458" s="7"/>
    </row>
    <row r="459" spans="2:6" x14ac:dyDescent="0.25">
      <c r="B459" s="173" t="s">
        <v>1713</v>
      </c>
      <c r="C459" s="114" t="s">
        <v>1666</v>
      </c>
      <c r="D459" s="202" t="s">
        <v>1237</v>
      </c>
      <c r="E459" s="202"/>
      <c r="F459" s="202"/>
    </row>
    <row r="460" spans="2:6" x14ac:dyDescent="0.25">
      <c r="B460" s="172" t="s">
        <v>1714</v>
      </c>
      <c r="C460" s="27" t="s">
        <v>1666</v>
      </c>
      <c r="D460" s="7" t="s">
        <v>1237</v>
      </c>
      <c r="E460" s="7"/>
      <c r="F460" s="7"/>
    </row>
    <row r="461" spans="2:6" x14ac:dyDescent="0.25">
      <c r="B461" s="173" t="s">
        <v>1715</v>
      </c>
      <c r="C461" s="114" t="s">
        <v>1666</v>
      </c>
      <c r="D461" s="202" t="s">
        <v>1237</v>
      </c>
      <c r="E461" s="202"/>
      <c r="F461" s="202"/>
    </row>
    <row r="462" spans="2:6" x14ac:dyDescent="0.25">
      <c r="B462" s="172" t="s">
        <v>1716</v>
      </c>
      <c r="C462" s="27" t="s">
        <v>1666</v>
      </c>
      <c r="D462" s="7" t="s">
        <v>1237</v>
      </c>
      <c r="E462" s="7"/>
      <c r="F462" s="7"/>
    </row>
    <row r="463" spans="2:6" x14ac:dyDescent="0.25">
      <c r="B463" s="173" t="s">
        <v>1717</v>
      </c>
      <c r="C463" s="114" t="s">
        <v>1666</v>
      </c>
      <c r="D463" s="202" t="s">
        <v>1237</v>
      </c>
      <c r="E463" s="202"/>
      <c r="F463" s="202"/>
    </row>
    <row r="464" spans="2:6" x14ac:dyDescent="0.25">
      <c r="B464" s="172" t="s">
        <v>1718</v>
      </c>
      <c r="C464" s="27" t="s">
        <v>1666</v>
      </c>
      <c r="D464" s="7" t="s">
        <v>1237</v>
      </c>
      <c r="E464" s="7"/>
      <c r="F464" s="7"/>
    </row>
    <row r="465" spans="2:6" x14ac:dyDescent="0.25">
      <c r="B465" s="173" t="s">
        <v>1719</v>
      </c>
      <c r="C465" s="114" t="s">
        <v>1666</v>
      </c>
      <c r="D465" s="202" t="s">
        <v>1237</v>
      </c>
      <c r="E465" s="202"/>
      <c r="F465" s="202"/>
    </row>
    <row r="466" spans="2:6" x14ac:dyDescent="0.25">
      <c r="B466" s="172" t="s">
        <v>1720</v>
      </c>
      <c r="C466" s="27" t="s">
        <v>1666</v>
      </c>
      <c r="D466" s="7" t="s">
        <v>1237</v>
      </c>
      <c r="E466" s="7"/>
      <c r="F466" s="7"/>
    </row>
    <row r="467" spans="2:6" x14ac:dyDescent="0.25">
      <c r="B467" s="173" t="s">
        <v>1721</v>
      </c>
      <c r="C467" s="114" t="s">
        <v>1666</v>
      </c>
      <c r="D467" s="202" t="s">
        <v>1237</v>
      </c>
      <c r="E467" s="202"/>
      <c r="F467" s="202"/>
    </row>
    <row r="468" spans="2:6" x14ac:dyDescent="0.25">
      <c r="B468" s="172" t="s">
        <v>1722</v>
      </c>
      <c r="C468" s="27" t="s">
        <v>1666</v>
      </c>
      <c r="D468" s="7" t="s">
        <v>1237</v>
      </c>
      <c r="E468" s="7"/>
      <c r="F468" s="7"/>
    </row>
    <row r="469" spans="2:6" x14ac:dyDescent="0.25">
      <c r="B469" s="173" t="s">
        <v>1723</v>
      </c>
      <c r="C469" s="114" t="s">
        <v>1666</v>
      </c>
      <c r="D469" s="202" t="s">
        <v>1237</v>
      </c>
      <c r="E469" s="202"/>
      <c r="F469" s="202"/>
    </row>
    <row r="470" spans="2:6" x14ac:dyDescent="0.25">
      <c r="B470" s="172" t="s">
        <v>1724</v>
      </c>
      <c r="C470" s="27" t="s">
        <v>1666</v>
      </c>
      <c r="D470" s="7" t="s">
        <v>1237</v>
      </c>
      <c r="E470" s="7"/>
      <c r="F470" s="7"/>
    </row>
    <row r="471" spans="2:6" x14ac:dyDescent="0.25">
      <c r="B471" s="173" t="s">
        <v>1725</v>
      </c>
      <c r="C471" s="114" t="s">
        <v>1666</v>
      </c>
      <c r="D471" s="202" t="s">
        <v>1237</v>
      </c>
      <c r="E471" s="202"/>
      <c r="F471" s="202"/>
    </row>
    <row r="472" spans="2:6" x14ac:dyDescent="0.25">
      <c r="B472" s="172" t="s">
        <v>1726</v>
      </c>
      <c r="C472" s="27" t="s">
        <v>1666</v>
      </c>
      <c r="D472" s="7" t="s">
        <v>1237</v>
      </c>
      <c r="E472" s="7"/>
      <c r="F472" s="7"/>
    </row>
    <row r="473" spans="2:6" x14ac:dyDescent="0.25">
      <c r="B473" s="173" t="s">
        <v>1727</v>
      </c>
      <c r="C473" s="114" t="s">
        <v>1666</v>
      </c>
      <c r="D473" s="202" t="s">
        <v>1237</v>
      </c>
      <c r="E473" s="202"/>
      <c r="F473" s="202"/>
    </row>
    <row r="474" spans="2:6" x14ac:dyDescent="0.25">
      <c r="B474" s="172" t="s">
        <v>1728</v>
      </c>
      <c r="C474" s="27" t="s">
        <v>1666</v>
      </c>
      <c r="D474" s="7" t="s">
        <v>1237</v>
      </c>
      <c r="E474" s="7"/>
      <c r="F474" s="7"/>
    </row>
    <row r="475" spans="2:6" x14ac:dyDescent="0.25">
      <c r="B475" s="173" t="s">
        <v>1729</v>
      </c>
      <c r="C475" s="114" t="s">
        <v>1666</v>
      </c>
      <c r="D475" s="202" t="s">
        <v>1237</v>
      </c>
      <c r="E475" s="202"/>
      <c r="F475" s="202"/>
    </row>
    <row r="476" spans="2:6" x14ac:dyDescent="0.25">
      <c r="B476" s="172" t="s">
        <v>1730</v>
      </c>
      <c r="C476" s="27" t="s">
        <v>1666</v>
      </c>
      <c r="D476" s="7" t="s">
        <v>1237</v>
      </c>
      <c r="E476" s="7"/>
      <c r="F476" s="7"/>
    </row>
    <row r="477" spans="2:6" x14ac:dyDescent="0.25">
      <c r="B477" s="173" t="s">
        <v>1731</v>
      </c>
      <c r="C477" s="114" t="s">
        <v>1666</v>
      </c>
      <c r="D477" s="202" t="s">
        <v>1237</v>
      </c>
      <c r="E477" s="202"/>
      <c r="F477" s="202"/>
    </row>
    <row r="478" spans="2:6" x14ac:dyDescent="0.25">
      <c r="B478" s="172" t="s">
        <v>1732</v>
      </c>
      <c r="C478" s="27" t="s">
        <v>1666</v>
      </c>
      <c r="D478" s="7" t="s">
        <v>1237</v>
      </c>
      <c r="E478" s="7"/>
      <c r="F478" s="7"/>
    </row>
    <row r="479" spans="2:6" x14ac:dyDescent="0.25">
      <c r="B479" s="173" t="s">
        <v>1733</v>
      </c>
      <c r="C479" s="114" t="s">
        <v>1666</v>
      </c>
      <c r="D479" s="202" t="s">
        <v>1237</v>
      </c>
      <c r="E479" s="202"/>
      <c r="F479" s="202"/>
    </row>
    <row r="480" spans="2:6" x14ac:dyDescent="0.25">
      <c r="B480" s="172" t="s">
        <v>1734</v>
      </c>
      <c r="C480" s="27" t="s">
        <v>1666</v>
      </c>
      <c r="D480" s="7" t="s">
        <v>1237</v>
      </c>
      <c r="E480" s="7"/>
      <c r="F480" s="7"/>
    </row>
    <row r="481" spans="2:6" x14ac:dyDescent="0.25">
      <c r="B481" s="173" t="s">
        <v>1735</v>
      </c>
      <c r="C481" s="114" t="s">
        <v>1666</v>
      </c>
      <c r="D481" s="202" t="s">
        <v>1237</v>
      </c>
      <c r="E481" s="202"/>
      <c r="F481" s="202"/>
    </row>
    <row r="482" spans="2:6" x14ac:dyDescent="0.25">
      <c r="B482" s="172" t="s">
        <v>1736</v>
      </c>
      <c r="C482" s="27" t="s">
        <v>1666</v>
      </c>
      <c r="D482" s="7" t="s">
        <v>1237</v>
      </c>
      <c r="E482" s="7"/>
      <c r="F482" s="7"/>
    </row>
    <row r="483" spans="2:6" x14ac:dyDescent="0.25">
      <c r="B483" s="173" t="s">
        <v>1737</v>
      </c>
      <c r="C483" s="114" t="s">
        <v>1666</v>
      </c>
      <c r="D483" s="202" t="s">
        <v>1237</v>
      </c>
      <c r="E483" s="202"/>
      <c r="F483" s="202"/>
    </row>
    <row r="484" spans="2:6" x14ac:dyDescent="0.25">
      <c r="B484" s="172" t="s">
        <v>1738</v>
      </c>
      <c r="C484" s="27" t="s">
        <v>1666</v>
      </c>
      <c r="D484" s="7" t="s">
        <v>1237</v>
      </c>
      <c r="E484" s="7"/>
      <c r="F484" s="7"/>
    </row>
    <row r="485" spans="2:6" x14ac:dyDescent="0.25">
      <c r="B485" s="173" t="s">
        <v>1739</v>
      </c>
      <c r="C485" s="114" t="s">
        <v>1666</v>
      </c>
      <c r="D485" s="202" t="s">
        <v>1237</v>
      </c>
      <c r="E485" s="202"/>
      <c r="F485" s="202"/>
    </row>
    <row r="486" spans="2:6" x14ac:dyDescent="0.25">
      <c r="B486" s="172" t="s">
        <v>1740</v>
      </c>
      <c r="C486" s="27" t="s">
        <v>1666</v>
      </c>
      <c r="D486" s="7" t="s">
        <v>1237</v>
      </c>
      <c r="E486" s="7"/>
      <c r="F486" s="7"/>
    </row>
    <row r="487" spans="2:6" x14ac:dyDescent="0.25">
      <c r="B487" s="173" t="s">
        <v>1741</v>
      </c>
      <c r="C487" s="114" t="s">
        <v>1666</v>
      </c>
      <c r="D487" s="202" t="s">
        <v>1237</v>
      </c>
      <c r="E487" s="202"/>
      <c r="F487" s="202"/>
    </row>
    <row r="488" spans="2:6" x14ac:dyDescent="0.25">
      <c r="B488" s="172" t="s">
        <v>1742</v>
      </c>
      <c r="C488" s="27" t="s">
        <v>1666</v>
      </c>
      <c r="D488" s="7" t="s">
        <v>1237</v>
      </c>
      <c r="E488" s="7"/>
      <c r="F488" s="7"/>
    </row>
    <row r="489" spans="2:6" x14ac:dyDescent="0.25">
      <c r="B489" s="173" t="s">
        <v>1743</v>
      </c>
      <c r="C489" s="114" t="s">
        <v>1666</v>
      </c>
      <c r="D489" s="202" t="s">
        <v>1237</v>
      </c>
      <c r="E489" s="202"/>
      <c r="F489" s="202"/>
    </row>
    <row r="490" spans="2:6" x14ac:dyDescent="0.25">
      <c r="B490" s="172" t="s">
        <v>1744</v>
      </c>
      <c r="C490" s="27" t="s">
        <v>1666</v>
      </c>
      <c r="D490" s="7" t="s">
        <v>1237</v>
      </c>
      <c r="E490" s="7"/>
      <c r="F490" s="7"/>
    </row>
    <row r="491" spans="2:6" x14ac:dyDescent="0.25">
      <c r="B491" s="173" t="s">
        <v>1745</v>
      </c>
      <c r="C491" s="114" t="s">
        <v>1666</v>
      </c>
      <c r="D491" s="202" t="s">
        <v>1237</v>
      </c>
      <c r="E491" s="202"/>
      <c r="F491" s="202"/>
    </row>
    <row r="492" spans="2:6" x14ac:dyDescent="0.25">
      <c r="B492" s="172" t="s">
        <v>1746</v>
      </c>
      <c r="C492" s="27" t="s">
        <v>1666</v>
      </c>
      <c r="D492" s="7" t="s">
        <v>1237</v>
      </c>
      <c r="E492" s="7"/>
      <c r="F492" s="7"/>
    </row>
    <row r="493" spans="2:6" x14ac:dyDescent="0.25">
      <c r="B493" s="173" t="s">
        <v>1747</v>
      </c>
      <c r="C493" s="114" t="s">
        <v>1666</v>
      </c>
      <c r="D493" s="202" t="s">
        <v>1237</v>
      </c>
      <c r="E493" s="202"/>
      <c r="F493" s="202"/>
    </row>
    <row r="494" spans="2:6" x14ac:dyDescent="0.25">
      <c r="B494" s="172" t="s">
        <v>1748</v>
      </c>
      <c r="C494" s="27" t="s">
        <v>1666</v>
      </c>
      <c r="D494" s="7" t="s">
        <v>1237</v>
      </c>
      <c r="E494" s="7"/>
      <c r="F494" s="7"/>
    </row>
    <row r="495" spans="2:6" x14ac:dyDescent="0.25">
      <c r="B495" s="173" t="s">
        <v>1749</v>
      </c>
      <c r="C495" s="114" t="s">
        <v>1666</v>
      </c>
      <c r="D495" s="202" t="s">
        <v>1237</v>
      </c>
      <c r="E495" s="202"/>
      <c r="F495" s="202"/>
    </row>
    <row r="496" spans="2:6" x14ac:dyDescent="0.25">
      <c r="B496" s="172" t="s">
        <v>1750</v>
      </c>
      <c r="C496" s="27" t="s">
        <v>1666</v>
      </c>
      <c r="D496" s="7" t="s">
        <v>1237</v>
      </c>
      <c r="E496" s="7"/>
      <c r="F496" s="7"/>
    </row>
    <row r="497" spans="2:6" x14ac:dyDescent="0.25">
      <c r="B497" s="173" t="s">
        <v>1751</v>
      </c>
      <c r="C497" s="114" t="s">
        <v>1666</v>
      </c>
      <c r="D497" s="202" t="s">
        <v>1237</v>
      </c>
      <c r="E497" s="202"/>
      <c r="F497" s="202"/>
    </row>
    <row r="498" spans="2:6" x14ac:dyDescent="0.25">
      <c r="B498" s="172" t="s">
        <v>1752</v>
      </c>
      <c r="C498" s="27" t="s">
        <v>1666</v>
      </c>
      <c r="D498" s="7" t="s">
        <v>1237</v>
      </c>
      <c r="E498" s="7"/>
      <c r="F498" s="7"/>
    </row>
    <row r="499" spans="2:6" x14ac:dyDescent="0.25">
      <c r="B499" s="173" t="s">
        <v>1753</v>
      </c>
      <c r="C499" s="114" t="s">
        <v>1666</v>
      </c>
      <c r="D499" s="202" t="s">
        <v>1237</v>
      </c>
      <c r="E499" s="202"/>
      <c r="F499" s="202"/>
    </row>
    <row r="500" spans="2:6" x14ac:dyDescent="0.25">
      <c r="B500" s="172" t="s">
        <v>1754</v>
      </c>
      <c r="C500" s="27" t="s">
        <v>1666</v>
      </c>
      <c r="D500" s="7" t="s">
        <v>1237</v>
      </c>
      <c r="E500" s="7"/>
      <c r="F500" s="7"/>
    </row>
    <row r="501" spans="2:6" x14ac:dyDescent="0.25">
      <c r="B501" s="173" t="s">
        <v>1755</v>
      </c>
      <c r="C501" s="114" t="s">
        <v>1666</v>
      </c>
      <c r="D501" s="202" t="s">
        <v>1237</v>
      </c>
      <c r="E501" s="202"/>
      <c r="F501" s="202"/>
    </row>
    <row r="502" spans="2:6" x14ac:dyDescent="0.25">
      <c r="B502" s="172" t="s">
        <v>1756</v>
      </c>
      <c r="C502" s="27" t="s">
        <v>1666</v>
      </c>
      <c r="D502" s="7" t="s">
        <v>1237</v>
      </c>
      <c r="E502" s="7"/>
      <c r="F502" s="7"/>
    </row>
    <row r="503" spans="2:6" x14ac:dyDescent="0.25">
      <c r="B503" s="173" t="s">
        <v>1757</v>
      </c>
      <c r="C503" s="114" t="s">
        <v>1666</v>
      </c>
      <c r="D503" s="202" t="s">
        <v>1237</v>
      </c>
      <c r="E503" s="202"/>
      <c r="F503" s="202"/>
    </row>
    <row r="504" spans="2:6" x14ac:dyDescent="0.25">
      <c r="B504" s="172" t="s">
        <v>1758</v>
      </c>
      <c r="C504" s="27" t="s">
        <v>1666</v>
      </c>
      <c r="D504" s="7" t="s">
        <v>1237</v>
      </c>
      <c r="E504" s="7"/>
      <c r="F504" s="7"/>
    </row>
    <row r="505" spans="2:6" x14ac:dyDescent="0.25">
      <c r="B505" s="173" t="s">
        <v>1759</v>
      </c>
      <c r="C505" s="114" t="s">
        <v>1666</v>
      </c>
      <c r="D505" s="202" t="s">
        <v>1237</v>
      </c>
      <c r="E505" s="202"/>
      <c r="F505" s="202"/>
    </row>
    <row r="506" spans="2:6" x14ac:dyDescent="0.25">
      <c r="B506" s="172" t="s">
        <v>1760</v>
      </c>
      <c r="C506" s="27" t="s">
        <v>1666</v>
      </c>
      <c r="D506" s="7" t="s">
        <v>1237</v>
      </c>
      <c r="E506" s="7"/>
      <c r="F506" s="7"/>
    </row>
    <row r="507" spans="2:6" x14ac:dyDescent="0.25">
      <c r="B507" s="173" t="s">
        <v>1761</v>
      </c>
      <c r="C507" s="114" t="s">
        <v>1666</v>
      </c>
      <c r="D507" s="202" t="s">
        <v>1237</v>
      </c>
      <c r="E507" s="202"/>
      <c r="F507" s="202"/>
    </row>
    <row r="508" spans="2:6" x14ac:dyDescent="0.25">
      <c r="B508" s="172" t="s">
        <v>1762</v>
      </c>
      <c r="C508" s="27" t="s">
        <v>1666</v>
      </c>
      <c r="D508" s="7" t="s">
        <v>1237</v>
      </c>
      <c r="E508" s="7"/>
      <c r="F508" s="7"/>
    </row>
    <row r="509" spans="2:6" x14ac:dyDescent="0.25">
      <c r="B509" s="173" t="s">
        <v>1763</v>
      </c>
      <c r="C509" s="114" t="s">
        <v>1666</v>
      </c>
      <c r="D509" s="202" t="s">
        <v>1237</v>
      </c>
      <c r="E509" s="202"/>
      <c r="F509" s="202"/>
    </row>
    <row r="510" spans="2:6" x14ac:dyDescent="0.25">
      <c r="B510" s="172" t="s">
        <v>1764</v>
      </c>
      <c r="C510" s="27" t="s">
        <v>1765</v>
      </c>
      <c r="D510" s="7" t="s">
        <v>1766</v>
      </c>
      <c r="E510" s="7"/>
      <c r="F510" s="7"/>
    </row>
    <row r="511" spans="2:6" x14ac:dyDescent="0.25">
      <c r="B511" s="173" t="s">
        <v>1767</v>
      </c>
      <c r="C511" s="114" t="s">
        <v>1765</v>
      </c>
      <c r="D511" s="202" t="s">
        <v>1766</v>
      </c>
      <c r="E511" s="202"/>
      <c r="F511" s="202"/>
    </row>
    <row r="512" spans="2:6" x14ac:dyDescent="0.25">
      <c r="B512" s="172" t="s">
        <v>1768</v>
      </c>
      <c r="C512" s="27" t="s">
        <v>1765</v>
      </c>
      <c r="D512" s="7" t="s">
        <v>1766</v>
      </c>
      <c r="E512" s="7"/>
      <c r="F512" s="7"/>
    </row>
    <row r="513" spans="2:6" x14ac:dyDescent="0.25">
      <c r="B513" s="173" t="s">
        <v>1769</v>
      </c>
      <c r="C513" s="114" t="s">
        <v>1765</v>
      </c>
      <c r="D513" s="202" t="s">
        <v>1766</v>
      </c>
      <c r="E513" s="202"/>
      <c r="F513" s="202"/>
    </row>
    <row r="514" spans="2:6" x14ac:dyDescent="0.25">
      <c r="B514" s="172" t="s">
        <v>1770</v>
      </c>
      <c r="C514" s="27" t="s">
        <v>1765</v>
      </c>
      <c r="D514" s="7" t="s">
        <v>1766</v>
      </c>
      <c r="E514" s="7"/>
      <c r="F514" s="7"/>
    </row>
    <row r="515" spans="2:6" x14ac:dyDescent="0.25">
      <c r="B515" s="173" t="s">
        <v>1771</v>
      </c>
      <c r="C515" s="114" t="s">
        <v>1765</v>
      </c>
      <c r="D515" s="202" t="s">
        <v>1766</v>
      </c>
      <c r="E515" s="202"/>
      <c r="F515" s="202"/>
    </row>
    <row r="516" spans="2:6" x14ac:dyDescent="0.25">
      <c r="B516" s="172" t="s">
        <v>1772</v>
      </c>
      <c r="C516" s="27" t="s">
        <v>1765</v>
      </c>
      <c r="D516" s="7" t="s">
        <v>1766</v>
      </c>
      <c r="E516" s="7"/>
      <c r="F516" s="7"/>
    </row>
    <row r="517" spans="2:6" x14ac:dyDescent="0.25">
      <c r="B517" s="173" t="s">
        <v>1773</v>
      </c>
      <c r="C517" s="114" t="s">
        <v>1765</v>
      </c>
      <c r="D517" s="202" t="s">
        <v>1766</v>
      </c>
      <c r="E517" s="202"/>
      <c r="F517" s="202"/>
    </row>
    <row r="518" spans="2:6" x14ac:dyDescent="0.25">
      <c r="B518" s="172" t="s">
        <v>1774</v>
      </c>
      <c r="C518" s="27" t="s">
        <v>1765</v>
      </c>
      <c r="D518" s="7" t="s">
        <v>1766</v>
      </c>
      <c r="E518" s="7"/>
      <c r="F518" s="7"/>
    </row>
    <row r="519" spans="2:6" x14ac:dyDescent="0.25">
      <c r="B519" s="173" t="s">
        <v>1775</v>
      </c>
      <c r="C519" s="114" t="s">
        <v>1765</v>
      </c>
      <c r="D519" s="202" t="s">
        <v>1766</v>
      </c>
      <c r="E519" s="202"/>
      <c r="F519" s="202"/>
    </row>
    <row r="520" spans="2:6" x14ac:dyDescent="0.25">
      <c r="B520" s="172" t="s">
        <v>1776</v>
      </c>
      <c r="C520" s="27" t="s">
        <v>1567</v>
      </c>
      <c r="D520" s="7" t="s">
        <v>1488</v>
      </c>
      <c r="E520" s="7"/>
      <c r="F520" s="7"/>
    </row>
    <row r="521" spans="2:6" x14ac:dyDescent="0.25">
      <c r="B521" s="173" t="s">
        <v>1777</v>
      </c>
      <c r="C521" s="114" t="s">
        <v>1567</v>
      </c>
      <c r="D521" s="202" t="s">
        <v>1488</v>
      </c>
      <c r="E521" s="202"/>
      <c r="F521" s="202"/>
    </row>
    <row r="522" spans="2:6" x14ac:dyDescent="0.25">
      <c r="B522" s="172" t="s">
        <v>1778</v>
      </c>
      <c r="C522" s="27" t="s">
        <v>1567</v>
      </c>
      <c r="D522" s="7" t="s">
        <v>1488</v>
      </c>
      <c r="E522" s="7"/>
      <c r="F522" s="7"/>
    </row>
    <row r="523" spans="2:6" x14ac:dyDescent="0.25">
      <c r="B523" s="173" t="s">
        <v>1779</v>
      </c>
      <c r="C523" s="114" t="s">
        <v>1567</v>
      </c>
      <c r="D523" s="202" t="s">
        <v>1488</v>
      </c>
      <c r="E523" s="202"/>
      <c r="F523" s="202"/>
    </row>
    <row r="524" spans="2:6" x14ac:dyDescent="0.25">
      <c r="B524" s="172" t="s">
        <v>1780</v>
      </c>
      <c r="C524" s="27" t="s">
        <v>1567</v>
      </c>
      <c r="D524" s="7" t="s">
        <v>1488</v>
      </c>
      <c r="E524" s="7"/>
      <c r="F524" s="7"/>
    </row>
    <row r="525" spans="2:6" x14ac:dyDescent="0.25">
      <c r="B525" s="173" t="s">
        <v>1781</v>
      </c>
      <c r="C525" s="114" t="s">
        <v>1567</v>
      </c>
      <c r="D525" s="202" t="s">
        <v>1488</v>
      </c>
      <c r="E525" s="202"/>
      <c r="F525" s="202"/>
    </row>
    <row r="526" spans="2:6" x14ac:dyDescent="0.25">
      <c r="B526" s="172" t="s">
        <v>1782</v>
      </c>
      <c r="C526" s="27" t="s">
        <v>1567</v>
      </c>
      <c r="D526" s="7" t="s">
        <v>1488</v>
      </c>
      <c r="E526" s="7"/>
      <c r="F526" s="7"/>
    </row>
    <row r="527" spans="2:6" x14ac:dyDescent="0.25">
      <c r="B527" s="173" t="s">
        <v>1783</v>
      </c>
      <c r="C527" s="114" t="s">
        <v>1567</v>
      </c>
      <c r="D527" s="202" t="s">
        <v>1488</v>
      </c>
      <c r="E527" s="202"/>
      <c r="F527" s="202"/>
    </row>
    <row r="528" spans="2:6" x14ac:dyDescent="0.25">
      <c r="B528" s="172" t="s">
        <v>1784</v>
      </c>
      <c r="C528" s="27" t="s">
        <v>1567</v>
      </c>
      <c r="D528" s="7" t="s">
        <v>1488</v>
      </c>
      <c r="E528" s="7"/>
      <c r="F528" s="7"/>
    </row>
    <row r="529" spans="2:6" x14ac:dyDescent="0.25">
      <c r="B529" s="173" t="s">
        <v>1785</v>
      </c>
      <c r="C529" s="114" t="s">
        <v>1567</v>
      </c>
      <c r="D529" s="202" t="s">
        <v>1488</v>
      </c>
      <c r="E529" s="202"/>
      <c r="F529" s="202"/>
    </row>
    <row r="530" spans="2:6" x14ac:dyDescent="0.25">
      <c r="B530" s="172" t="s">
        <v>1786</v>
      </c>
      <c r="C530" s="27" t="s">
        <v>1567</v>
      </c>
      <c r="D530" s="7" t="s">
        <v>1488</v>
      </c>
      <c r="E530" s="7"/>
      <c r="F530" s="7"/>
    </row>
    <row r="531" spans="2:6" x14ac:dyDescent="0.25">
      <c r="B531" s="173" t="s">
        <v>1787</v>
      </c>
      <c r="C531" s="114" t="s">
        <v>1567</v>
      </c>
      <c r="D531" s="202" t="s">
        <v>1488</v>
      </c>
      <c r="E531" s="202"/>
      <c r="F531" s="202"/>
    </row>
    <row r="532" spans="2:6" x14ac:dyDescent="0.25">
      <c r="B532" s="172" t="s">
        <v>1788</v>
      </c>
      <c r="C532" s="27" t="s">
        <v>1567</v>
      </c>
      <c r="D532" s="7" t="s">
        <v>1488</v>
      </c>
      <c r="E532" s="7"/>
      <c r="F532" s="7"/>
    </row>
    <row r="533" spans="2:6" x14ac:dyDescent="0.25">
      <c r="B533" s="173" t="s">
        <v>1789</v>
      </c>
      <c r="C533" s="114" t="s">
        <v>1567</v>
      </c>
      <c r="D533" s="202" t="s">
        <v>1488</v>
      </c>
      <c r="E533" s="202"/>
      <c r="F533" s="202"/>
    </row>
    <row r="534" spans="2:6" x14ac:dyDescent="0.25">
      <c r="B534" s="172" t="s">
        <v>1790</v>
      </c>
      <c r="C534" s="27" t="s">
        <v>1567</v>
      </c>
      <c r="D534" s="7" t="s">
        <v>1488</v>
      </c>
      <c r="E534" s="7"/>
      <c r="F534" s="7"/>
    </row>
    <row r="535" spans="2:6" x14ac:dyDescent="0.25">
      <c r="B535" s="173" t="s">
        <v>1791</v>
      </c>
      <c r="C535" s="114" t="s">
        <v>1567</v>
      </c>
      <c r="D535" s="202" t="s">
        <v>1488</v>
      </c>
      <c r="E535" s="202"/>
      <c r="F535" s="202"/>
    </row>
    <row r="536" spans="2:6" x14ac:dyDescent="0.25">
      <c r="B536" s="172" t="s">
        <v>1792</v>
      </c>
      <c r="C536" s="27" t="s">
        <v>1567</v>
      </c>
      <c r="D536" s="7" t="s">
        <v>1488</v>
      </c>
      <c r="E536" s="7"/>
      <c r="F536" s="7"/>
    </row>
    <row r="537" spans="2:6" x14ac:dyDescent="0.25">
      <c r="B537" s="173" t="s">
        <v>1793</v>
      </c>
      <c r="C537" s="114" t="s">
        <v>1567</v>
      </c>
      <c r="D537" s="202" t="s">
        <v>1488</v>
      </c>
      <c r="E537" s="202"/>
      <c r="F537" s="202"/>
    </row>
    <row r="538" spans="2:6" x14ac:dyDescent="0.25">
      <c r="B538" s="172" t="s">
        <v>1794</v>
      </c>
      <c r="C538" s="27" t="s">
        <v>1567</v>
      </c>
      <c r="D538" s="7" t="s">
        <v>1488</v>
      </c>
      <c r="E538" s="7"/>
      <c r="F538" s="7"/>
    </row>
    <row r="539" spans="2:6" x14ac:dyDescent="0.25">
      <c r="B539" s="173" t="s">
        <v>1795</v>
      </c>
      <c r="C539" s="114" t="s">
        <v>1567</v>
      </c>
      <c r="D539" s="202" t="s">
        <v>1488</v>
      </c>
      <c r="E539" s="202"/>
      <c r="F539" s="202"/>
    </row>
    <row r="540" spans="2:6" x14ac:dyDescent="0.25">
      <c r="B540" s="172" t="s">
        <v>1796</v>
      </c>
      <c r="C540" s="27" t="s">
        <v>1567</v>
      </c>
      <c r="D540" s="7" t="s">
        <v>1488</v>
      </c>
      <c r="E540" s="7"/>
      <c r="F540" s="7"/>
    </row>
    <row r="541" spans="2:6" x14ac:dyDescent="0.25">
      <c r="B541" s="173" t="s">
        <v>1797</v>
      </c>
      <c r="C541" s="114" t="s">
        <v>1567</v>
      </c>
      <c r="D541" s="202" t="s">
        <v>1488</v>
      </c>
      <c r="E541" s="202"/>
      <c r="F541" s="202"/>
    </row>
    <row r="542" spans="2:6" x14ac:dyDescent="0.25">
      <c r="B542" s="172" t="s">
        <v>1798</v>
      </c>
      <c r="C542" s="27" t="s">
        <v>1567</v>
      </c>
      <c r="D542" s="7" t="s">
        <v>1488</v>
      </c>
      <c r="E542" s="7"/>
      <c r="F542" s="7"/>
    </row>
    <row r="543" spans="2:6" x14ac:dyDescent="0.25">
      <c r="B543" s="173" t="s">
        <v>1799</v>
      </c>
      <c r="C543" s="114" t="s">
        <v>1567</v>
      </c>
      <c r="D543" s="202" t="s">
        <v>1488</v>
      </c>
      <c r="E543" s="202"/>
      <c r="F543" s="202"/>
    </row>
    <row r="544" spans="2:6" x14ac:dyDescent="0.25">
      <c r="B544" s="172" t="s">
        <v>1800</v>
      </c>
      <c r="C544" s="27" t="s">
        <v>1567</v>
      </c>
      <c r="D544" s="7" t="s">
        <v>1488</v>
      </c>
      <c r="E544" s="7"/>
      <c r="F544" s="7"/>
    </row>
    <row r="545" spans="2:6" x14ac:dyDescent="0.25">
      <c r="B545" s="173" t="s">
        <v>1801</v>
      </c>
      <c r="C545" s="114" t="s">
        <v>1567</v>
      </c>
      <c r="D545" s="202" t="s">
        <v>1488</v>
      </c>
      <c r="E545" s="202"/>
      <c r="F545" s="202"/>
    </row>
    <row r="546" spans="2:6" x14ac:dyDescent="0.25">
      <c r="B546" s="172" t="s">
        <v>1802</v>
      </c>
      <c r="C546" s="27" t="s">
        <v>1567</v>
      </c>
      <c r="D546" s="7" t="s">
        <v>1488</v>
      </c>
      <c r="E546" s="7"/>
      <c r="F546" s="7"/>
    </row>
    <row r="547" spans="2:6" x14ac:dyDescent="0.25">
      <c r="B547" s="173" t="s">
        <v>1803</v>
      </c>
      <c r="C547" s="114" t="s">
        <v>1567</v>
      </c>
      <c r="D547" s="202" t="s">
        <v>1488</v>
      </c>
      <c r="E547" s="202"/>
      <c r="F547" s="202"/>
    </row>
    <row r="548" spans="2:6" x14ac:dyDescent="0.25">
      <c r="B548" s="172" t="s">
        <v>1804</v>
      </c>
      <c r="C548" s="27" t="s">
        <v>1567</v>
      </c>
      <c r="D548" s="7" t="s">
        <v>1488</v>
      </c>
      <c r="E548" s="7"/>
      <c r="F548" s="7"/>
    </row>
    <row r="549" spans="2:6" x14ac:dyDescent="0.25">
      <c r="B549" s="173" t="s">
        <v>1805</v>
      </c>
      <c r="C549" s="114" t="s">
        <v>1567</v>
      </c>
      <c r="D549" s="202" t="s">
        <v>1488</v>
      </c>
      <c r="E549" s="202"/>
      <c r="F549" s="202"/>
    </row>
    <row r="550" spans="2:6" x14ac:dyDescent="0.25">
      <c r="B550" s="172" t="s">
        <v>1806</v>
      </c>
      <c r="C550" s="27" t="s">
        <v>1567</v>
      </c>
      <c r="D550" s="7" t="s">
        <v>1488</v>
      </c>
      <c r="E550" s="7"/>
      <c r="F550" s="7"/>
    </row>
    <row r="551" spans="2:6" x14ac:dyDescent="0.25">
      <c r="B551" s="173" t="s">
        <v>1807</v>
      </c>
      <c r="C551" s="114" t="s">
        <v>1567</v>
      </c>
      <c r="D551" s="202" t="s">
        <v>1488</v>
      </c>
      <c r="E551" s="202"/>
      <c r="F551" s="202"/>
    </row>
    <row r="552" spans="2:6" x14ac:dyDescent="0.25">
      <c r="B552" s="172" t="s">
        <v>1808</v>
      </c>
      <c r="C552" s="27" t="s">
        <v>1567</v>
      </c>
      <c r="D552" s="7" t="s">
        <v>1488</v>
      </c>
      <c r="E552" s="7"/>
      <c r="F552" s="7"/>
    </row>
    <row r="553" spans="2:6" x14ac:dyDescent="0.25">
      <c r="B553" s="173" t="s">
        <v>1809</v>
      </c>
      <c r="C553" s="114" t="s">
        <v>1567</v>
      </c>
      <c r="D553" s="202" t="s">
        <v>1488</v>
      </c>
      <c r="E553" s="202"/>
      <c r="F553" s="202"/>
    </row>
    <row r="554" spans="2:6" x14ac:dyDescent="0.25">
      <c r="B554" s="172" t="s">
        <v>1810</v>
      </c>
      <c r="C554" s="27" t="s">
        <v>1567</v>
      </c>
      <c r="D554" s="7" t="s">
        <v>1488</v>
      </c>
      <c r="E554" s="7"/>
      <c r="F554" s="7"/>
    </row>
    <row r="555" spans="2:6" x14ac:dyDescent="0.25">
      <c r="B555" s="173" t="s">
        <v>1811</v>
      </c>
      <c r="C555" s="114" t="s">
        <v>1567</v>
      </c>
      <c r="D555" s="202" t="s">
        <v>1488</v>
      </c>
      <c r="E555" s="202"/>
      <c r="F555" s="202"/>
    </row>
    <row r="556" spans="2:6" x14ac:dyDescent="0.25">
      <c r="B556" s="172" t="s">
        <v>1812</v>
      </c>
      <c r="C556" s="27" t="s">
        <v>1567</v>
      </c>
      <c r="D556" s="7" t="s">
        <v>1488</v>
      </c>
      <c r="E556" s="7"/>
      <c r="F556" s="7"/>
    </row>
    <row r="557" spans="2:6" x14ac:dyDescent="0.25">
      <c r="B557" s="173" t="s">
        <v>1813</v>
      </c>
      <c r="C557" s="114" t="s">
        <v>1567</v>
      </c>
      <c r="D557" s="202" t="s">
        <v>1488</v>
      </c>
      <c r="E557" s="202"/>
      <c r="F557" s="202"/>
    </row>
    <row r="558" spans="2:6" x14ac:dyDescent="0.25">
      <c r="B558" s="172" t="s">
        <v>1814</v>
      </c>
      <c r="C558" s="27" t="s">
        <v>1567</v>
      </c>
      <c r="D558" s="7" t="s">
        <v>1488</v>
      </c>
      <c r="E558" s="7"/>
      <c r="F558" s="7"/>
    </row>
    <row r="559" spans="2:6" x14ac:dyDescent="0.25">
      <c r="B559" s="173" t="s">
        <v>1815</v>
      </c>
      <c r="C559" s="114" t="s">
        <v>1567</v>
      </c>
      <c r="D559" s="202" t="s">
        <v>1488</v>
      </c>
      <c r="E559" s="202"/>
      <c r="F559" s="202"/>
    </row>
    <row r="560" spans="2:6" x14ac:dyDescent="0.25">
      <c r="B560" s="172" t="s">
        <v>1816</v>
      </c>
      <c r="C560" s="27" t="s">
        <v>1567</v>
      </c>
      <c r="D560" s="7" t="s">
        <v>1488</v>
      </c>
      <c r="E560" s="7"/>
      <c r="F560" s="7"/>
    </row>
    <row r="561" spans="2:6" x14ac:dyDescent="0.25">
      <c r="B561" s="173" t="s">
        <v>1817</v>
      </c>
      <c r="C561" s="114" t="s">
        <v>1567</v>
      </c>
      <c r="D561" s="202" t="s">
        <v>1488</v>
      </c>
      <c r="E561" s="202"/>
      <c r="F561" s="202"/>
    </row>
    <row r="562" spans="2:6" x14ac:dyDescent="0.25">
      <c r="B562" s="172" t="s">
        <v>1818</v>
      </c>
      <c r="C562" s="27" t="s">
        <v>1567</v>
      </c>
      <c r="D562" s="7" t="s">
        <v>1488</v>
      </c>
      <c r="E562" s="7"/>
      <c r="F562" s="7"/>
    </row>
    <row r="563" spans="2:6" x14ac:dyDescent="0.25">
      <c r="B563" s="173" t="s">
        <v>1819</v>
      </c>
      <c r="C563" s="114" t="s">
        <v>1567</v>
      </c>
      <c r="D563" s="202" t="s">
        <v>1488</v>
      </c>
      <c r="E563" s="202"/>
      <c r="F563" s="202"/>
    </row>
    <row r="564" spans="2:6" x14ac:dyDescent="0.25">
      <c r="B564" s="172" t="s">
        <v>1820</v>
      </c>
      <c r="C564" s="27" t="s">
        <v>1567</v>
      </c>
      <c r="D564" s="7" t="s">
        <v>1488</v>
      </c>
      <c r="E564" s="7"/>
      <c r="F564" s="7"/>
    </row>
    <row r="565" spans="2:6" x14ac:dyDescent="0.25">
      <c r="B565" s="173" t="s">
        <v>1821</v>
      </c>
      <c r="C565" s="114" t="s">
        <v>1567</v>
      </c>
      <c r="D565" s="202" t="s">
        <v>1488</v>
      </c>
      <c r="E565" s="202"/>
      <c r="F565" s="202"/>
    </row>
    <row r="566" spans="2:6" x14ac:dyDescent="0.25">
      <c r="B566" s="172" t="s">
        <v>1822</v>
      </c>
      <c r="C566" s="27" t="s">
        <v>1567</v>
      </c>
      <c r="D566" s="7" t="s">
        <v>1488</v>
      </c>
      <c r="E566" s="7"/>
      <c r="F566" s="7"/>
    </row>
    <row r="567" spans="2:6" x14ac:dyDescent="0.25">
      <c r="B567" s="173" t="s">
        <v>1823</v>
      </c>
      <c r="C567" s="114" t="s">
        <v>1567</v>
      </c>
      <c r="D567" s="202" t="s">
        <v>1488</v>
      </c>
      <c r="E567" s="202"/>
      <c r="F567" s="202"/>
    </row>
    <row r="568" spans="2:6" x14ac:dyDescent="0.25">
      <c r="B568" s="172" t="s">
        <v>1824</v>
      </c>
      <c r="C568" s="27" t="s">
        <v>1567</v>
      </c>
      <c r="D568" s="7" t="s">
        <v>1488</v>
      </c>
      <c r="E568" s="7"/>
      <c r="F568" s="7"/>
    </row>
    <row r="569" spans="2:6" x14ac:dyDescent="0.25">
      <c r="B569" s="173" t="s">
        <v>1825</v>
      </c>
      <c r="C569" s="114" t="s">
        <v>1567</v>
      </c>
      <c r="D569" s="202" t="s">
        <v>1488</v>
      </c>
      <c r="E569" s="202"/>
      <c r="F569" s="202"/>
    </row>
    <row r="570" spans="2:6" x14ac:dyDescent="0.25">
      <c r="B570" s="172" t="s">
        <v>1826</v>
      </c>
      <c r="C570" s="27" t="s">
        <v>1567</v>
      </c>
      <c r="D570" s="7" t="s">
        <v>1488</v>
      </c>
      <c r="E570" s="7"/>
      <c r="F570" s="7"/>
    </row>
    <row r="571" spans="2:6" x14ac:dyDescent="0.25">
      <c r="B571" s="173" t="s">
        <v>1827</v>
      </c>
      <c r="C571" s="114" t="s">
        <v>1567</v>
      </c>
      <c r="D571" s="202" t="s">
        <v>1488</v>
      </c>
      <c r="E571" s="202"/>
      <c r="F571" s="202"/>
    </row>
    <row r="572" spans="2:6" x14ac:dyDescent="0.25">
      <c r="B572" s="172" t="s">
        <v>1828</v>
      </c>
      <c r="C572" s="27" t="s">
        <v>1567</v>
      </c>
      <c r="D572" s="7" t="s">
        <v>1488</v>
      </c>
      <c r="E572" s="7"/>
      <c r="F572" s="7"/>
    </row>
    <row r="573" spans="2:6" x14ac:dyDescent="0.25">
      <c r="B573" s="173" t="s">
        <v>1829</v>
      </c>
      <c r="C573" s="114" t="s">
        <v>1567</v>
      </c>
      <c r="D573" s="202" t="s">
        <v>1488</v>
      </c>
      <c r="E573" s="202"/>
      <c r="F573" s="202"/>
    </row>
    <row r="574" spans="2:6" x14ac:dyDescent="0.25">
      <c r="B574" s="172" t="s">
        <v>1830</v>
      </c>
      <c r="C574" s="27" t="s">
        <v>1831</v>
      </c>
      <c r="D574" s="7" t="s">
        <v>1832</v>
      </c>
      <c r="E574" s="7"/>
      <c r="F574" s="7"/>
    </row>
    <row r="575" spans="2:6" x14ac:dyDescent="0.25">
      <c r="B575" s="173" t="s">
        <v>1833</v>
      </c>
      <c r="C575" s="114" t="s">
        <v>1831</v>
      </c>
      <c r="D575" s="202" t="s">
        <v>1832</v>
      </c>
      <c r="E575" s="202"/>
      <c r="F575" s="202"/>
    </row>
    <row r="576" spans="2:6" x14ac:dyDescent="0.25">
      <c r="B576" s="172" t="s">
        <v>1834</v>
      </c>
      <c r="C576" s="27" t="s">
        <v>1831</v>
      </c>
      <c r="D576" s="7" t="s">
        <v>1832</v>
      </c>
      <c r="E576" s="7"/>
      <c r="F576" s="7"/>
    </row>
    <row r="577" spans="2:6" x14ac:dyDescent="0.25">
      <c r="B577" s="173" t="s">
        <v>1835</v>
      </c>
      <c r="C577" s="114" t="s">
        <v>1831</v>
      </c>
      <c r="D577" s="202" t="s">
        <v>1832</v>
      </c>
      <c r="E577" s="202"/>
      <c r="F577" s="202"/>
    </row>
    <row r="578" spans="2:6" x14ac:dyDescent="0.25">
      <c r="B578" s="172" t="s">
        <v>1836</v>
      </c>
      <c r="C578" s="27" t="s">
        <v>1831</v>
      </c>
      <c r="D578" s="7" t="s">
        <v>1832</v>
      </c>
      <c r="E578" s="7"/>
      <c r="F578" s="7"/>
    </row>
    <row r="579" spans="2:6" x14ac:dyDescent="0.25">
      <c r="B579" s="173" t="s">
        <v>1837</v>
      </c>
      <c r="C579" s="114" t="s">
        <v>1831</v>
      </c>
      <c r="D579" s="202" t="s">
        <v>1832</v>
      </c>
      <c r="E579" s="202"/>
      <c r="F579" s="202"/>
    </row>
    <row r="580" spans="2:6" x14ac:dyDescent="0.25">
      <c r="B580" s="172" t="s">
        <v>1838</v>
      </c>
      <c r="C580" s="27" t="s">
        <v>1831</v>
      </c>
      <c r="D580" s="7" t="s">
        <v>1832</v>
      </c>
      <c r="E580" s="7"/>
      <c r="F580" s="7"/>
    </row>
    <row r="581" spans="2:6" x14ac:dyDescent="0.25">
      <c r="B581" s="173" t="s">
        <v>1839</v>
      </c>
      <c r="C581" s="114" t="s">
        <v>1831</v>
      </c>
      <c r="D581" s="202" t="s">
        <v>1832</v>
      </c>
      <c r="E581" s="202"/>
      <c r="F581" s="202"/>
    </row>
    <row r="582" spans="2:6" x14ac:dyDescent="0.25">
      <c r="B582" s="172" t="s">
        <v>1840</v>
      </c>
      <c r="C582" s="27" t="s">
        <v>1831</v>
      </c>
      <c r="D582" s="7" t="s">
        <v>1832</v>
      </c>
      <c r="E582" s="7"/>
      <c r="F582" s="7"/>
    </row>
    <row r="583" spans="2:6" x14ac:dyDescent="0.25">
      <c r="B583" s="173" t="s">
        <v>1841</v>
      </c>
      <c r="C583" s="114" t="s">
        <v>1831</v>
      </c>
      <c r="D583" s="202" t="s">
        <v>1832</v>
      </c>
      <c r="E583" s="202"/>
      <c r="F583" s="202"/>
    </row>
    <row r="584" spans="2:6" x14ac:dyDescent="0.25">
      <c r="B584" s="172" t="s">
        <v>1842</v>
      </c>
      <c r="C584" s="27" t="s">
        <v>1831</v>
      </c>
      <c r="D584" s="7" t="s">
        <v>1832</v>
      </c>
      <c r="E584" s="7"/>
      <c r="F584" s="7"/>
    </row>
    <row r="585" spans="2:6" x14ac:dyDescent="0.25">
      <c r="B585" s="173" t="s">
        <v>1843</v>
      </c>
      <c r="C585" s="114" t="s">
        <v>1831</v>
      </c>
      <c r="D585" s="202" t="s">
        <v>1832</v>
      </c>
      <c r="E585" s="202"/>
      <c r="F585" s="202"/>
    </row>
    <row r="586" spans="2:6" x14ac:dyDescent="0.25">
      <c r="B586" s="172" t="s">
        <v>1844</v>
      </c>
      <c r="C586" s="27" t="s">
        <v>1831</v>
      </c>
      <c r="D586" s="7" t="s">
        <v>1832</v>
      </c>
      <c r="E586" s="7"/>
      <c r="F586" s="7"/>
    </row>
    <row r="587" spans="2:6" x14ac:dyDescent="0.25">
      <c r="B587" s="173" t="s">
        <v>1845</v>
      </c>
      <c r="C587" s="114" t="s">
        <v>1831</v>
      </c>
      <c r="D587" s="202" t="s">
        <v>1832</v>
      </c>
      <c r="E587" s="202"/>
      <c r="F587" s="202"/>
    </row>
    <row r="588" spans="2:6" x14ac:dyDescent="0.25">
      <c r="B588" s="172" t="s">
        <v>1846</v>
      </c>
      <c r="C588" s="27" t="s">
        <v>1831</v>
      </c>
      <c r="D588" s="7" t="s">
        <v>1832</v>
      </c>
      <c r="E588" s="7"/>
      <c r="F588" s="7"/>
    </row>
    <row r="589" spans="2:6" x14ac:dyDescent="0.25">
      <c r="B589" s="173" t="s">
        <v>1847</v>
      </c>
      <c r="C589" s="114" t="s">
        <v>1831</v>
      </c>
      <c r="D589" s="202" t="s">
        <v>1832</v>
      </c>
      <c r="E589" s="202"/>
      <c r="F589" s="202"/>
    </row>
    <row r="590" spans="2:6" x14ac:dyDescent="0.25">
      <c r="B590" s="172" t="s">
        <v>1848</v>
      </c>
      <c r="C590" s="27" t="s">
        <v>1831</v>
      </c>
      <c r="D590" s="7" t="s">
        <v>1832</v>
      </c>
      <c r="E590" s="7"/>
      <c r="F590" s="7"/>
    </row>
    <row r="591" spans="2:6" x14ac:dyDescent="0.25">
      <c r="B591" s="173" t="s">
        <v>1849</v>
      </c>
      <c r="C591" s="114" t="s">
        <v>1831</v>
      </c>
      <c r="D591" s="202" t="s">
        <v>1832</v>
      </c>
      <c r="E591" s="202"/>
      <c r="F591" s="202"/>
    </row>
    <row r="592" spans="2:6" x14ac:dyDescent="0.25">
      <c r="B592" s="172" t="s">
        <v>1850</v>
      </c>
      <c r="C592" s="27" t="s">
        <v>1831</v>
      </c>
      <c r="D592" s="7" t="s">
        <v>1832</v>
      </c>
      <c r="E592" s="7"/>
      <c r="F592" s="7"/>
    </row>
    <row r="593" spans="2:6" x14ac:dyDescent="0.25">
      <c r="B593" s="173" t="s">
        <v>1851</v>
      </c>
      <c r="C593" s="114" t="s">
        <v>1831</v>
      </c>
      <c r="D593" s="202" t="s">
        <v>1832</v>
      </c>
      <c r="E593" s="202"/>
      <c r="F593" s="202"/>
    </row>
    <row r="594" spans="2:6" x14ac:dyDescent="0.25">
      <c r="B594" s="172" t="s">
        <v>1852</v>
      </c>
      <c r="C594" s="27" t="s">
        <v>1831</v>
      </c>
      <c r="D594" s="7" t="s">
        <v>1832</v>
      </c>
      <c r="E594" s="7"/>
      <c r="F594" s="7"/>
    </row>
    <row r="595" spans="2:6" x14ac:dyDescent="0.25">
      <c r="B595" s="173" t="s">
        <v>1853</v>
      </c>
      <c r="C595" s="114" t="s">
        <v>1831</v>
      </c>
      <c r="D595" s="202" t="s">
        <v>1832</v>
      </c>
      <c r="E595" s="202"/>
      <c r="F595" s="202"/>
    </row>
    <row r="596" spans="2:6" x14ac:dyDescent="0.25">
      <c r="B596" s="172" t="s">
        <v>1854</v>
      </c>
      <c r="C596" s="27" t="s">
        <v>1831</v>
      </c>
      <c r="D596" s="7" t="s">
        <v>1832</v>
      </c>
      <c r="E596" s="7"/>
      <c r="F596" s="7"/>
    </row>
    <row r="597" spans="2:6" x14ac:dyDescent="0.25">
      <c r="B597" s="173" t="s">
        <v>1855</v>
      </c>
      <c r="C597" s="114" t="s">
        <v>1831</v>
      </c>
      <c r="D597" s="202" t="s">
        <v>1832</v>
      </c>
      <c r="E597" s="202"/>
      <c r="F597" s="202"/>
    </row>
    <row r="598" spans="2:6" x14ac:dyDescent="0.25">
      <c r="B598" s="172" t="s">
        <v>1856</v>
      </c>
      <c r="C598" s="27" t="s">
        <v>1831</v>
      </c>
      <c r="D598" s="7" t="s">
        <v>1832</v>
      </c>
      <c r="E598" s="7"/>
      <c r="F598" s="7"/>
    </row>
    <row r="599" spans="2:6" x14ac:dyDescent="0.25">
      <c r="B599" s="173" t="s">
        <v>1857</v>
      </c>
      <c r="C599" s="114" t="s">
        <v>1831</v>
      </c>
      <c r="D599" s="202" t="s">
        <v>1832</v>
      </c>
      <c r="E599" s="202"/>
      <c r="F599" s="202"/>
    </row>
    <row r="600" spans="2:6" x14ac:dyDescent="0.25">
      <c r="B600" s="172" t="s">
        <v>1858</v>
      </c>
      <c r="C600" s="27" t="s">
        <v>1831</v>
      </c>
      <c r="D600" s="7" t="s">
        <v>1832</v>
      </c>
      <c r="E600" s="7"/>
      <c r="F600" s="7"/>
    </row>
    <row r="601" spans="2:6" x14ac:dyDescent="0.25">
      <c r="B601" s="173" t="s">
        <v>1859</v>
      </c>
      <c r="C601" s="114" t="s">
        <v>1831</v>
      </c>
      <c r="D601" s="202" t="s">
        <v>1832</v>
      </c>
      <c r="E601" s="202"/>
      <c r="F601" s="202"/>
    </row>
    <row r="602" spans="2:6" x14ac:dyDescent="0.25">
      <c r="B602" s="172" t="s">
        <v>1860</v>
      </c>
      <c r="C602" s="27" t="s">
        <v>1831</v>
      </c>
      <c r="D602" s="7" t="s">
        <v>1832</v>
      </c>
      <c r="E602" s="7"/>
      <c r="F602" s="7"/>
    </row>
    <row r="603" spans="2:6" x14ac:dyDescent="0.25">
      <c r="B603" s="173" t="s">
        <v>1861</v>
      </c>
      <c r="C603" s="114" t="s">
        <v>1831</v>
      </c>
      <c r="D603" s="202" t="s">
        <v>1832</v>
      </c>
      <c r="E603" s="202"/>
      <c r="F603" s="202"/>
    </row>
    <row r="604" spans="2:6" x14ac:dyDescent="0.25">
      <c r="B604" s="172" t="s">
        <v>1862</v>
      </c>
      <c r="C604" s="27" t="s">
        <v>1831</v>
      </c>
      <c r="D604" s="7" t="s">
        <v>1832</v>
      </c>
      <c r="E604" s="7"/>
      <c r="F604" s="7"/>
    </row>
    <row r="605" spans="2:6" x14ac:dyDescent="0.25">
      <c r="B605" s="173" t="s">
        <v>1863</v>
      </c>
      <c r="C605" s="114" t="s">
        <v>1831</v>
      </c>
      <c r="D605" s="202" t="s">
        <v>1832</v>
      </c>
      <c r="E605" s="202"/>
      <c r="F605" s="202"/>
    </row>
    <row r="606" spans="2:6" x14ac:dyDescent="0.25">
      <c r="B606" s="172" t="s">
        <v>1864</v>
      </c>
      <c r="C606" s="27" t="s">
        <v>1563</v>
      </c>
      <c r="D606" s="7" t="s">
        <v>1256</v>
      </c>
      <c r="E606" s="7"/>
      <c r="F606" s="7"/>
    </row>
    <row r="607" spans="2:6" x14ac:dyDescent="0.25">
      <c r="B607" s="173" t="s">
        <v>1865</v>
      </c>
      <c r="C607" s="114" t="s">
        <v>1563</v>
      </c>
      <c r="D607" s="202" t="s">
        <v>1256</v>
      </c>
      <c r="E607" s="202"/>
      <c r="F607" s="202"/>
    </row>
    <row r="608" spans="2:6" x14ac:dyDescent="0.25">
      <c r="B608" s="172" t="s">
        <v>1866</v>
      </c>
      <c r="C608" s="27" t="s">
        <v>1563</v>
      </c>
      <c r="D608" s="7" t="s">
        <v>1256</v>
      </c>
      <c r="E608" s="7"/>
      <c r="F608" s="7"/>
    </row>
    <row r="609" spans="2:6" x14ac:dyDescent="0.25">
      <c r="B609" s="173" t="s">
        <v>1867</v>
      </c>
      <c r="C609" s="114" t="s">
        <v>1565</v>
      </c>
      <c r="D609" s="202" t="s">
        <v>1261</v>
      </c>
      <c r="E609" s="202"/>
      <c r="F609" s="202"/>
    </row>
    <row r="610" spans="2:6" x14ac:dyDescent="0.25">
      <c r="B610" s="172" t="s">
        <v>1868</v>
      </c>
      <c r="C610" s="27" t="s">
        <v>1565</v>
      </c>
      <c r="D610" s="7" t="s">
        <v>1261</v>
      </c>
      <c r="E610" s="7"/>
      <c r="F610" s="7"/>
    </row>
    <row r="611" spans="2:6" x14ac:dyDescent="0.25">
      <c r="B611" s="173" t="s">
        <v>1869</v>
      </c>
      <c r="C611" s="114" t="s">
        <v>1563</v>
      </c>
      <c r="D611" s="202" t="s">
        <v>1256</v>
      </c>
      <c r="E611" s="202"/>
      <c r="F611" s="202"/>
    </row>
    <row r="612" spans="2:6" x14ac:dyDescent="0.25">
      <c r="B612" s="172" t="s">
        <v>1870</v>
      </c>
      <c r="C612" s="27" t="s">
        <v>1560</v>
      </c>
      <c r="D612" s="7" t="s">
        <v>1249</v>
      </c>
      <c r="E612" s="7"/>
      <c r="F612" s="7"/>
    </row>
    <row r="613" spans="2:6" x14ac:dyDescent="0.25">
      <c r="B613" s="173" t="s">
        <v>1871</v>
      </c>
      <c r="C613" s="114" t="s">
        <v>1560</v>
      </c>
      <c r="D613" s="202" t="s">
        <v>1249</v>
      </c>
      <c r="E613" s="202"/>
      <c r="F613" s="202"/>
    </row>
    <row r="614" spans="2:6" x14ac:dyDescent="0.25">
      <c r="B614" s="172" t="s">
        <v>1872</v>
      </c>
      <c r="C614" s="27" t="s">
        <v>1553</v>
      </c>
      <c r="D614" s="7" t="s">
        <v>1488</v>
      </c>
      <c r="E614" s="7"/>
      <c r="F614" s="7"/>
    </row>
    <row r="615" spans="2:6" x14ac:dyDescent="0.25">
      <c r="B615" s="173" t="s">
        <v>1873</v>
      </c>
      <c r="C615" s="114" t="s">
        <v>1553</v>
      </c>
      <c r="D615" s="202" t="s">
        <v>1488</v>
      </c>
      <c r="E615" s="202"/>
      <c r="F615" s="202"/>
    </row>
    <row r="616" spans="2:6" x14ac:dyDescent="0.25">
      <c r="B616" s="172" t="s">
        <v>1874</v>
      </c>
      <c r="C616" s="27" t="s">
        <v>1553</v>
      </c>
      <c r="D616" s="7" t="s">
        <v>1488</v>
      </c>
      <c r="E616" s="7"/>
      <c r="F616" s="7"/>
    </row>
    <row r="617" spans="2:6" x14ac:dyDescent="0.25">
      <c r="B617" s="173" t="s">
        <v>1875</v>
      </c>
      <c r="C617" s="114" t="s">
        <v>1553</v>
      </c>
      <c r="D617" s="202" t="s">
        <v>1488</v>
      </c>
      <c r="E617" s="202"/>
      <c r="F617" s="202"/>
    </row>
    <row r="618" spans="2:6" x14ac:dyDescent="0.25">
      <c r="B618" s="172" t="s">
        <v>1876</v>
      </c>
      <c r="C618" s="27" t="s">
        <v>1553</v>
      </c>
      <c r="D618" s="7" t="s">
        <v>1488</v>
      </c>
      <c r="E618" s="7"/>
      <c r="F618" s="7"/>
    </row>
    <row r="619" spans="2:6" x14ac:dyDescent="0.25">
      <c r="B619" s="173" t="s">
        <v>1877</v>
      </c>
      <c r="C619" s="114" t="s">
        <v>1567</v>
      </c>
      <c r="D619" s="202" t="s">
        <v>1488</v>
      </c>
      <c r="E619" s="202"/>
      <c r="F619" s="202"/>
    </row>
    <row r="620" spans="2:6" x14ac:dyDescent="0.25">
      <c r="B620" s="172" t="s">
        <v>1878</v>
      </c>
      <c r="C620" s="27" t="s">
        <v>1567</v>
      </c>
      <c r="D620" s="7" t="s">
        <v>1488</v>
      </c>
      <c r="E620" s="7"/>
      <c r="F620" s="7"/>
    </row>
    <row r="621" spans="2:6" x14ac:dyDescent="0.25">
      <c r="B621" s="173" t="s">
        <v>1879</v>
      </c>
      <c r="C621" s="114" t="s">
        <v>1567</v>
      </c>
      <c r="D621" s="202" t="s">
        <v>1488</v>
      </c>
      <c r="E621" s="202"/>
      <c r="F621" s="202"/>
    </row>
    <row r="622" spans="2:6" x14ac:dyDescent="0.25">
      <c r="B622" s="172" t="s">
        <v>1880</v>
      </c>
      <c r="C622" s="27" t="s">
        <v>1567</v>
      </c>
      <c r="D622" s="7" t="s">
        <v>1488</v>
      </c>
      <c r="E622" s="7"/>
      <c r="F622" s="7"/>
    </row>
    <row r="623" spans="2:6" x14ac:dyDescent="0.25">
      <c r="B623" s="173" t="s">
        <v>1881</v>
      </c>
      <c r="C623" s="114" t="s">
        <v>1567</v>
      </c>
      <c r="D623" s="202" t="s">
        <v>1488</v>
      </c>
      <c r="E623" s="202"/>
      <c r="F623" s="202"/>
    </row>
    <row r="624" spans="2:6" x14ac:dyDescent="0.25">
      <c r="B624" s="172" t="s">
        <v>1882</v>
      </c>
      <c r="C624" s="27" t="s">
        <v>1567</v>
      </c>
      <c r="D624" s="7" t="s">
        <v>1488</v>
      </c>
      <c r="E624" s="7"/>
      <c r="F624" s="7"/>
    </row>
    <row r="625" spans="2:6" x14ac:dyDescent="0.25">
      <c r="B625" s="173" t="s">
        <v>1883</v>
      </c>
      <c r="C625" s="114" t="s">
        <v>1567</v>
      </c>
      <c r="D625" s="202" t="s">
        <v>1488</v>
      </c>
      <c r="E625" s="202"/>
      <c r="F625" s="202"/>
    </row>
    <row r="626" spans="2:6" x14ac:dyDescent="0.25">
      <c r="B626" s="172" t="s">
        <v>1884</v>
      </c>
      <c r="C626" s="27" t="s">
        <v>1567</v>
      </c>
      <c r="D626" s="7" t="s">
        <v>1488</v>
      </c>
      <c r="E626" s="7"/>
      <c r="F626" s="7"/>
    </row>
    <row r="627" spans="2:6" x14ac:dyDescent="0.25">
      <c r="B627" s="173" t="s">
        <v>1885</v>
      </c>
      <c r="C627" s="114" t="s">
        <v>1567</v>
      </c>
      <c r="D627" s="202" t="s">
        <v>1488</v>
      </c>
      <c r="E627" s="202"/>
      <c r="F627" s="202"/>
    </row>
    <row r="628" spans="2:6" x14ac:dyDescent="0.25">
      <c r="B628" s="172" t="s">
        <v>1886</v>
      </c>
      <c r="C628" s="27" t="s">
        <v>1567</v>
      </c>
      <c r="D628" s="7" t="s">
        <v>1488</v>
      </c>
      <c r="E628" s="7"/>
      <c r="F628" s="7"/>
    </row>
    <row r="629" spans="2:6" x14ac:dyDescent="0.25">
      <c r="B629" s="173" t="s">
        <v>1887</v>
      </c>
      <c r="C629" s="114" t="s">
        <v>1567</v>
      </c>
      <c r="D629" s="202" t="s">
        <v>1488</v>
      </c>
      <c r="E629" s="202"/>
      <c r="F629" s="202"/>
    </row>
    <row r="630" spans="2:6" x14ac:dyDescent="0.25">
      <c r="B630" s="172" t="s">
        <v>1888</v>
      </c>
      <c r="C630" s="27" t="s">
        <v>1567</v>
      </c>
      <c r="D630" s="7" t="s">
        <v>1488</v>
      </c>
      <c r="E630" s="7"/>
      <c r="F630" s="7"/>
    </row>
    <row r="631" spans="2:6" x14ac:dyDescent="0.25">
      <c r="B631" s="173" t="s">
        <v>1889</v>
      </c>
      <c r="C631" s="114" t="s">
        <v>1567</v>
      </c>
      <c r="D631" s="202" t="s">
        <v>1488</v>
      </c>
      <c r="E631" s="202"/>
      <c r="F631" s="202"/>
    </row>
    <row r="632" spans="2:6" x14ac:dyDescent="0.25">
      <c r="B632" s="172" t="s">
        <v>1890</v>
      </c>
      <c r="C632" s="27" t="s">
        <v>1567</v>
      </c>
      <c r="D632" s="7" t="s">
        <v>1488</v>
      </c>
      <c r="E632" s="7"/>
      <c r="F632" s="7"/>
    </row>
    <row r="633" spans="2:6" x14ac:dyDescent="0.25">
      <c r="B633" s="173" t="s">
        <v>1891</v>
      </c>
      <c r="C633" s="114" t="s">
        <v>1831</v>
      </c>
      <c r="D633" s="202" t="s">
        <v>1832</v>
      </c>
      <c r="E633" s="202"/>
      <c r="F633" s="202"/>
    </row>
    <row r="634" spans="2:6" x14ac:dyDescent="0.25">
      <c r="B634" s="172" t="s">
        <v>1892</v>
      </c>
      <c r="C634" s="27" t="s">
        <v>1831</v>
      </c>
      <c r="D634" s="7" t="s">
        <v>1832</v>
      </c>
      <c r="E634" s="7"/>
      <c r="F634" s="7"/>
    </row>
    <row r="635" spans="2:6" x14ac:dyDescent="0.25">
      <c r="B635" s="173" t="s">
        <v>1893</v>
      </c>
      <c r="C635" s="114" t="s">
        <v>1831</v>
      </c>
      <c r="D635" s="202" t="s">
        <v>1832</v>
      </c>
      <c r="E635" s="202"/>
      <c r="F635" s="202"/>
    </row>
    <row r="636" spans="2:6" x14ac:dyDescent="0.25">
      <c r="B636" s="172" t="s">
        <v>1894</v>
      </c>
      <c r="C636" s="27" t="s">
        <v>1831</v>
      </c>
      <c r="D636" s="7" t="s">
        <v>1832</v>
      </c>
      <c r="E636" s="7"/>
      <c r="F636" s="7"/>
    </row>
    <row r="637" spans="2:6" x14ac:dyDescent="0.25">
      <c r="B637" s="173" t="s">
        <v>1895</v>
      </c>
      <c r="C637" s="114" t="s">
        <v>1831</v>
      </c>
      <c r="D637" s="202" t="s">
        <v>1832</v>
      </c>
      <c r="E637" s="202"/>
      <c r="F637" s="202"/>
    </row>
    <row r="638" spans="2:6" x14ac:dyDescent="0.25">
      <c r="B638" s="172" t="s">
        <v>1896</v>
      </c>
      <c r="C638" s="27" t="s">
        <v>1831</v>
      </c>
      <c r="D638" s="7" t="s">
        <v>1832</v>
      </c>
      <c r="E638" s="7"/>
      <c r="F638" s="7"/>
    </row>
    <row r="639" spans="2:6" x14ac:dyDescent="0.25">
      <c r="B639" s="173" t="s">
        <v>1897</v>
      </c>
      <c r="C639" s="114" t="s">
        <v>1831</v>
      </c>
      <c r="D639" s="202" t="s">
        <v>1832</v>
      </c>
      <c r="E639" s="202"/>
      <c r="F639" s="202"/>
    </row>
    <row r="640" spans="2:6" x14ac:dyDescent="0.25">
      <c r="B640" s="172" t="s">
        <v>1898</v>
      </c>
      <c r="C640" s="27" t="s">
        <v>1831</v>
      </c>
      <c r="D640" s="7" t="s">
        <v>1832</v>
      </c>
      <c r="E640" s="7"/>
      <c r="F640" s="7"/>
    </row>
    <row r="641" spans="2:6" x14ac:dyDescent="0.25">
      <c r="B641" s="173" t="s">
        <v>1899</v>
      </c>
      <c r="C641" s="114" t="s">
        <v>1831</v>
      </c>
      <c r="D641" s="202" t="s">
        <v>1832</v>
      </c>
      <c r="E641" s="202"/>
      <c r="F641" s="202"/>
    </row>
    <row r="642" spans="2:6" x14ac:dyDescent="0.25">
      <c r="B642" s="172" t="s">
        <v>1900</v>
      </c>
      <c r="C642" s="27" t="s">
        <v>1831</v>
      </c>
      <c r="D642" s="7" t="s">
        <v>1832</v>
      </c>
      <c r="E642" s="7"/>
      <c r="F642" s="7"/>
    </row>
    <row r="643" spans="2:6" x14ac:dyDescent="0.25">
      <c r="B643" s="173" t="s">
        <v>1901</v>
      </c>
      <c r="C643" s="114" t="s">
        <v>1831</v>
      </c>
      <c r="D643" s="202" t="s">
        <v>1832</v>
      </c>
      <c r="E643" s="202"/>
      <c r="F643" s="202"/>
    </row>
    <row r="644" spans="2:6" x14ac:dyDescent="0.25">
      <c r="B644" s="172" t="s">
        <v>1902</v>
      </c>
      <c r="C644" s="27" t="s">
        <v>1831</v>
      </c>
      <c r="D644" s="7" t="s">
        <v>1832</v>
      </c>
      <c r="E644" s="7"/>
      <c r="F644" s="7"/>
    </row>
    <row r="645" spans="2:6" x14ac:dyDescent="0.25">
      <c r="B645" s="173" t="s">
        <v>1903</v>
      </c>
      <c r="C645" s="114" t="s">
        <v>1831</v>
      </c>
      <c r="D645" s="202" t="s">
        <v>1832</v>
      </c>
      <c r="E645" s="202"/>
      <c r="F645" s="202"/>
    </row>
    <row r="646" spans="2:6" x14ac:dyDescent="0.25">
      <c r="B646" s="172" t="s">
        <v>1904</v>
      </c>
      <c r="C646" s="27" t="s">
        <v>1831</v>
      </c>
      <c r="D646" s="7" t="s">
        <v>1832</v>
      </c>
      <c r="E646" s="7"/>
      <c r="F646" s="7"/>
    </row>
    <row r="647" spans="2:6" x14ac:dyDescent="0.25">
      <c r="B647" s="173" t="s">
        <v>1905</v>
      </c>
      <c r="C647" s="114" t="s">
        <v>1831</v>
      </c>
      <c r="D647" s="202" t="s">
        <v>1832</v>
      </c>
      <c r="E647" s="202"/>
      <c r="F647" s="202"/>
    </row>
    <row r="648" spans="2:6" x14ac:dyDescent="0.25">
      <c r="B648" s="172" t="s">
        <v>1906</v>
      </c>
      <c r="C648" s="27" t="s">
        <v>1831</v>
      </c>
      <c r="D648" s="7" t="s">
        <v>1832</v>
      </c>
      <c r="E648" s="7"/>
      <c r="F648" s="7"/>
    </row>
    <row r="649" spans="2:6" x14ac:dyDescent="0.25">
      <c r="B649" s="173" t="s">
        <v>1907</v>
      </c>
      <c r="C649" s="114" t="s">
        <v>1831</v>
      </c>
      <c r="D649" s="202" t="s">
        <v>1832</v>
      </c>
      <c r="E649" s="202"/>
      <c r="F649" s="202"/>
    </row>
    <row r="650" spans="2:6" x14ac:dyDescent="0.25">
      <c r="B650" s="172" t="s">
        <v>1908</v>
      </c>
      <c r="C650" s="27" t="s">
        <v>1909</v>
      </c>
      <c r="D650" s="7" t="s">
        <v>1832</v>
      </c>
      <c r="E650" s="7"/>
      <c r="F650" s="7"/>
    </row>
    <row r="651" spans="2:6" x14ac:dyDescent="0.25">
      <c r="B651" s="173" t="s">
        <v>1910</v>
      </c>
      <c r="C651" s="114" t="s">
        <v>1909</v>
      </c>
      <c r="D651" s="202" t="s">
        <v>1832</v>
      </c>
      <c r="E651" s="202"/>
      <c r="F651" s="202"/>
    </row>
    <row r="652" spans="2:6" x14ac:dyDescent="0.25">
      <c r="B652" s="172" t="s">
        <v>1911</v>
      </c>
      <c r="C652" s="27" t="s">
        <v>1909</v>
      </c>
      <c r="D652" s="7" t="s">
        <v>1832</v>
      </c>
      <c r="E652" s="7"/>
      <c r="F652" s="7"/>
    </row>
    <row r="653" spans="2:6" x14ac:dyDescent="0.25">
      <c r="B653" s="173" t="s">
        <v>1912</v>
      </c>
      <c r="C653" s="114" t="s">
        <v>1909</v>
      </c>
      <c r="D653" s="202" t="s">
        <v>1832</v>
      </c>
      <c r="E653" s="202"/>
      <c r="F653" s="202"/>
    </row>
    <row r="654" spans="2:6" x14ac:dyDescent="0.25">
      <c r="B654" s="172" t="s">
        <v>1913</v>
      </c>
      <c r="C654" s="27" t="s">
        <v>1909</v>
      </c>
      <c r="D654" s="7" t="s">
        <v>1832</v>
      </c>
      <c r="E654" s="7"/>
      <c r="F654" s="7"/>
    </row>
    <row r="655" spans="2:6" x14ac:dyDescent="0.25">
      <c r="B655" s="173" t="s">
        <v>1914</v>
      </c>
      <c r="C655" s="114" t="s">
        <v>1909</v>
      </c>
      <c r="D655" s="202" t="s">
        <v>1832</v>
      </c>
      <c r="E655" s="202"/>
      <c r="F655" s="202"/>
    </row>
    <row r="656" spans="2:6" x14ac:dyDescent="0.25">
      <c r="B656" s="172" t="s">
        <v>1915</v>
      </c>
      <c r="C656" s="27" t="s">
        <v>1909</v>
      </c>
      <c r="D656" s="7" t="s">
        <v>1832</v>
      </c>
      <c r="E656" s="7"/>
      <c r="F656" s="7"/>
    </row>
    <row r="657" spans="2:6" x14ac:dyDescent="0.25">
      <c r="B657" s="173" t="s">
        <v>1916</v>
      </c>
      <c r="C657" s="114" t="s">
        <v>1909</v>
      </c>
      <c r="D657" s="202" t="s">
        <v>1832</v>
      </c>
      <c r="E657" s="202"/>
      <c r="F657" s="202"/>
    </row>
    <row r="658" spans="2:6" x14ac:dyDescent="0.25">
      <c r="B658" s="172" t="s">
        <v>1917</v>
      </c>
      <c r="C658" s="27" t="s">
        <v>1909</v>
      </c>
      <c r="D658" s="7" t="s">
        <v>1832</v>
      </c>
      <c r="E658" s="7"/>
      <c r="F658" s="7"/>
    </row>
    <row r="659" spans="2:6" x14ac:dyDescent="0.25">
      <c r="B659" s="173" t="s">
        <v>1918</v>
      </c>
      <c r="C659" s="114" t="s">
        <v>1909</v>
      </c>
      <c r="D659" s="202" t="s">
        <v>1832</v>
      </c>
      <c r="E659" s="202"/>
      <c r="F659" s="202"/>
    </row>
    <row r="660" spans="2:6" x14ac:dyDescent="0.25">
      <c r="B660" s="172" t="s">
        <v>1919</v>
      </c>
      <c r="C660" s="27" t="s">
        <v>1909</v>
      </c>
      <c r="D660" s="7" t="s">
        <v>1832</v>
      </c>
      <c r="E660" s="7"/>
      <c r="F660" s="7"/>
    </row>
    <row r="661" spans="2:6" x14ac:dyDescent="0.25">
      <c r="B661" s="173" t="s">
        <v>1920</v>
      </c>
      <c r="C661" s="114" t="s">
        <v>1909</v>
      </c>
      <c r="D661" s="202" t="s">
        <v>1832</v>
      </c>
      <c r="E661" s="202"/>
      <c r="F661" s="202"/>
    </row>
    <row r="662" spans="2:6" x14ac:dyDescent="0.25">
      <c r="B662" s="172" t="s">
        <v>1921</v>
      </c>
      <c r="C662" s="27" t="s">
        <v>1909</v>
      </c>
      <c r="D662" s="7" t="s">
        <v>1832</v>
      </c>
      <c r="E662" s="7"/>
      <c r="F662" s="7"/>
    </row>
    <row r="663" spans="2:6" x14ac:dyDescent="0.25">
      <c r="B663" s="173" t="s">
        <v>1922</v>
      </c>
      <c r="C663" s="114" t="s">
        <v>1909</v>
      </c>
      <c r="D663" s="202" t="s">
        <v>1832</v>
      </c>
      <c r="E663" s="202"/>
      <c r="F663" s="202"/>
    </row>
    <row r="664" spans="2:6" x14ac:dyDescent="0.25">
      <c r="B664" s="172" t="s">
        <v>1923</v>
      </c>
      <c r="C664" s="27" t="s">
        <v>1909</v>
      </c>
      <c r="D664" s="7" t="s">
        <v>1832</v>
      </c>
      <c r="E664" s="7"/>
      <c r="F664" s="7"/>
    </row>
    <row r="665" spans="2:6" x14ac:dyDescent="0.25">
      <c r="B665" s="173" t="s">
        <v>1924</v>
      </c>
      <c r="C665" s="114" t="s">
        <v>1909</v>
      </c>
      <c r="D665" s="202" t="s">
        <v>1832</v>
      </c>
      <c r="E665" s="202"/>
      <c r="F665" s="202"/>
    </row>
    <row r="666" spans="2:6" x14ac:dyDescent="0.25">
      <c r="B666" s="172" t="s">
        <v>1925</v>
      </c>
      <c r="C666" s="27" t="s">
        <v>1909</v>
      </c>
      <c r="D666" s="7" t="s">
        <v>1832</v>
      </c>
      <c r="E666" s="7"/>
      <c r="F666" s="7"/>
    </row>
    <row r="667" spans="2:6" x14ac:dyDescent="0.25">
      <c r="B667" s="173" t="s">
        <v>1926</v>
      </c>
      <c r="C667" s="114" t="s">
        <v>1927</v>
      </c>
      <c r="D667" s="202" t="s">
        <v>1261</v>
      </c>
      <c r="E667" s="202"/>
      <c r="F667" s="202"/>
    </row>
    <row r="668" spans="2:6" x14ac:dyDescent="0.25">
      <c r="B668" s="172" t="s">
        <v>1928</v>
      </c>
      <c r="C668" s="27" t="s">
        <v>1927</v>
      </c>
      <c r="D668" s="7" t="s">
        <v>1261</v>
      </c>
      <c r="E668" s="7"/>
      <c r="F668" s="7"/>
    </row>
    <row r="669" spans="2:6" x14ac:dyDescent="0.25">
      <c r="B669" s="173" t="s">
        <v>1929</v>
      </c>
      <c r="C669" s="114" t="s">
        <v>1927</v>
      </c>
      <c r="D669" s="202" t="s">
        <v>1261</v>
      </c>
      <c r="E669" s="202"/>
      <c r="F669" s="202"/>
    </row>
    <row r="670" spans="2:6" x14ac:dyDescent="0.25">
      <c r="B670" s="172" t="s">
        <v>1930</v>
      </c>
      <c r="C670" s="27" t="s">
        <v>1927</v>
      </c>
      <c r="D670" s="7" t="s">
        <v>1261</v>
      </c>
      <c r="E670" s="7"/>
      <c r="F670" s="7"/>
    </row>
    <row r="671" spans="2:6" x14ac:dyDescent="0.25">
      <c r="B671" s="173" t="s">
        <v>1931</v>
      </c>
      <c r="C671" s="114" t="s">
        <v>1932</v>
      </c>
      <c r="D671" s="202" t="s">
        <v>1256</v>
      </c>
      <c r="E671" s="202"/>
      <c r="F671" s="202"/>
    </row>
    <row r="672" spans="2:6" x14ac:dyDescent="0.25">
      <c r="B672" s="172" t="s">
        <v>1933</v>
      </c>
      <c r="C672" s="27" t="s">
        <v>1927</v>
      </c>
      <c r="D672" s="7" t="s">
        <v>1261</v>
      </c>
      <c r="E672" s="7"/>
      <c r="F672" s="7"/>
    </row>
    <row r="673" spans="2:6" x14ac:dyDescent="0.25">
      <c r="B673" s="173" t="s">
        <v>1934</v>
      </c>
      <c r="C673" s="114" t="s">
        <v>1932</v>
      </c>
      <c r="D673" s="202" t="s">
        <v>1256</v>
      </c>
      <c r="E673" s="202"/>
      <c r="F673" s="202"/>
    </row>
    <row r="674" spans="2:6" x14ac:dyDescent="0.25">
      <c r="B674" s="172" t="s">
        <v>1935</v>
      </c>
      <c r="C674" s="27" t="s">
        <v>1927</v>
      </c>
      <c r="D674" s="7" t="s">
        <v>1261</v>
      </c>
      <c r="E674" s="7"/>
      <c r="F674" s="7"/>
    </row>
    <row r="675" spans="2:6" x14ac:dyDescent="0.25">
      <c r="B675" s="173" t="s">
        <v>1936</v>
      </c>
      <c r="C675" s="114" t="s">
        <v>1927</v>
      </c>
      <c r="D675" s="202" t="s">
        <v>1261</v>
      </c>
      <c r="E675" s="202"/>
      <c r="F675" s="202"/>
    </row>
    <row r="676" spans="2:6" x14ac:dyDescent="0.25">
      <c r="B676" s="172" t="s">
        <v>1937</v>
      </c>
      <c r="C676" s="27" t="s">
        <v>1938</v>
      </c>
      <c r="D676" s="7" t="s">
        <v>1488</v>
      </c>
      <c r="E676" s="7"/>
      <c r="F676" s="7"/>
    </row>
    <row r="677" spans="2:6" x14ac:dyDescent="0.25">
      <c r="B677" s="173" t="s">
        <v>1939</v>
      </c>
      <c r="C677" s="114" t="s">
        <v>1938</v>
      </c>
      <c r="D677" s="202" t="s">
        <v>1488</v>
      </c>
      <c r="E677" s="202"/>
      <c r="F677" s="202"/>
    </row>
    <row r="678" spans="2:6" x14ac:dyDescent="0.25">
      <c r="B678" s="172" t="s">
        <v>1940</v>
      </c>
      <c r="C678" s="27" t="s">
        <v>1938</v>
      </c>
      <c r="D678" s="7" t="s">
        <v>1488</v>
      </c>
      <c r="E678" s="7"/>
      <c r="F678" s="7"/>
    </row>
    <row r="679" spans="2:6" x14ac:dyDescent="0.25">
      <c r="B679" s="173" t="s">
        <v>1941</v>
      </c>
      <c r="C679" s="114" t="s">
        <v>1932</v>
      </c>
      <c r="D679" s="202" t="s">
        <v>1256</v>
      </c>
      <c r="E679" s="202"/>
      <c r="F679" s="202"/>
    </row>
    <row r="680" spans="2:6" x14ac:dyDescent="0.25">
      <c r="B680" s="172" t="s">
        <v>1942</v>
      </c>
      <c r="C680" s="27" t="s">
        <v>1932</v>
      </c>
      <c r="D680" s="7" t="s">
        <v>1256</v>
      </c>
      <c r="E680" s="7"/>
      <c r="F680" s="7"/>
    </row>
    <row r="681" spans="2:6" x14ac:dyDescent="0.25">
      <c r="B681" s="173" t="s">
        <v>1943</v>
      </c>
      <c r="C681" s="114" t="s">
        <v>1932</v>
      </c>
      <c r="D681" s="202" t="s">
        <v>1256</v>
      </c>
      <c r="E681" s="202"/>
      <c r="F681" s="202"/>
    </row>
    <row r="682" spans="2:6" x14ac:dyDescent="0.25">
      <c r="B682" s="172" t="s">
        <v>1944</v>
      </c>
      <c r="C682" s="27" t="s">
        <v>1938</v>
      </c>
      <c r="D682" s="7" t="s">
        <v>1488</v>
      </c>
      <c r="E682" s="7"/>
      <c r="F682" s="7"/>
    </row>
    <row r="683" spans="2:6" x14ac:dyDescent="0.25">
      <c r="B683" s="173" t="s">
        <v>1945</v>
      </c>
      <c r="C683" s="114" t="s">
        <v>1938</v>
      </c>
      <c r="D683" s="202" t="s">
        <v>1488</v>
      </c>
      <c r="E683" s="202"/>
      <c r="F683" s="202"/>
    </row>
    <row r="684" spans="2:6" x14ac:dyDescent="0.25">
      <c r="B684" s="172" t="s">
        <v>1946</v>
      </c>
      <c r="C684" s="27" t="s">
        <v>1938</v>
      </c>
      <c r="D684" s="7" t="s">
        <v>1488</v>
      </c>
      <c r="E684" s="7"/>
      <c r="F684" s="7"/>
    </row>
    <row r="685" spans="2:6" x14ac:dyDescent="0.25">
      <c r="B685" s="173" t="s">
        <v>1947</v>
      </c>
      <c r="C685" s="114" t="s">
        <v>1938</v>
      </c>
      <c r="D685" s="202" t="s">
        <v>1488</v>
      </c>
      <c r="E685" s="202"/>
      <c r="F685" s="202"/>
    </row>
    <row r="686" spans="2:6" x14ac:dyDescent="0.25">
      <c r="B686" s="172" t="s">
        <v>1948</v>
      </c>
      <c r="C686" s="27" t="s">
        <v>1909</v>
      </c>
      <c r="D686" s="7" t="s">
        <v>1832</v>
      </c>
      <c r="E686" s="7"/>
      <c r="F686" s="7"/>
    </row>
    <row r="687" spans="2:6" x14ac:dyDescent="0.25">
      <c r="B687" s="173" t="s">
        <v>1949</v>
      </c>
      <c r="C687" s="114" t="s">
        <v>1909</v>
      </c>
      <c r="D687" s="202" t="s">
        <v>1832</v>
      </c>
      <c r="E687" s="202"/>
      <c r="F687" s="202"/>
    </row>
    <row r="688" spans="2:6" x14ac:dyDescent="0.25">
      <c r="B688" s="172" t="s">
        <v>1950</v>
      </c>
      <c r="C688" s="27" t="s">
        <v>1909</v>
      </c>
      <c r="D688" s="7" t="s">
        <v>1832</v>
      </c>
      <c r="E688" s="7"/>
      <c r="F688" s="7"/>
    </row>
    <row r="689" spans="2:6" x14ac:dyDescent="0.25">
      <c r="B689" s="173" t="s">
        <v>1951</v>
      </c>
      <c r="C689" s="114" t="s">
        <v>1909</v>
      </c>
      <c r="D689" s="202" t="s">
        <v>1832</v>
      </c>
      <c r="E689" s="202"/>
      <c r="F689" s="202"/>
    </row>
    <row r="690" spans="2:6" x14ac:dyDescent="0.25">
      <c r="B690" s="172" t="s">
        <v>1952</v>
      </c>
      <c r="C690" s="27" t="s">
        <v>1909</v>
      </c>
      <c r="D690" s="7" t="s">
        <v>1832</v>
      </c>
      <c r="E690" s="7"/>
      <c r="F690" s="7"/>
    </row>
    <row r="691" spans="2:6" x14ac:dyDescent="0.25">
      <c r="B691" s="173" t="s">
        <v>1953</v>
      </c>
      <c r="C691" s="114" t="s">
        <v>1909</v>
      </c>
      <c r="D691" s="202" t="s">
        <v>1832</v>
      </c>
      <c r="E691" s="202"/>
      <c r="F691" s="202"/>
    </row>
    <row r="692" spans="2:6" x14ac:dyDescent="0.25">
      <c r="B692" s="172" t="s">
        <v>1954</v>
      </c>
      <c r="C692" s="27" t="s">
        <v>1909</v>
      </c>
      <c r="D692" s="7" t="s">
        <v>1832</v>
      </c>
      <c r="E692" s="7"/>
      <c r="F692" s="7"/>
    </row>
    <row r="693" spans="2:6" x14ac:dyDescent="0.25">
      <c r="B693" s="173" t="s">
        <v>1955</v>
      </c>
      <c r="C693" s="114" t="s">
        <v>1938</v>
      </c>
      <c r="D693" s="202" t="s">
        <v>1488</v>
      </c>
      <c r="E693" s="202"/>
      <c r="F693" s="202"/>
    </row>
    <row r="694" spans="2:6" x14ac:dyDescent="0.25">
      <c r="B694" s="172" t="s">
        <v>1956</v>
      </c>
      <c r="C694" s="27" t="s">
        <v>1938</v>
      </c>
      <c r="D694" s="7" t="s">
        <v>1488</v>
      </c>
      <c r="E694" s="7"/>
      <c r="F694" s="7"/>
    </row>
    <row r="695" spans="2:6" x14ac:dyDescent="0.25">
      <c r="B695" s="173" t="s">
        <v>1957</v>
      </c>
      <c r="C695" s="114" t="s">
        <v>1831</v>
      </c>
      <c r="D695" s="202" t="s">
        <v>1832</v>
      </c>
      <c r="E695" s="202"/>
      <c r="F695" s="202"/>
    </row>
    <row r="696" spans="2:6" x14ac:dyDescent="0.25">
      <c r="B696" s="172" t="s">
        <v>1958</v>
      </c>
      <c r="C696" s="27" t="s">
        <v>1831</v>
      </c>
      <c r="D696" s="7" t="s">
        <v>1832</v>
      </c>
      <c r="E696" s="7"/>
      <c r="F696" s="7"/>
    </row>
    <row r="697" spans="2:6" x14ac:dyDescent="0.25">
      <c r="B697" s="173" t="s">
        <v>1959</v>
      </c>
      <c r="C697" s="114" t="s">
        <v>1831</v>
      </c>
      <c r="D697" s="202" t="s">
        <v>1832</v>
      </c>
      <c r="E697" s="202"/>
      <c r="F697" s="202"/>
    </row>
    <row r="698" spans="2:6" x14ac:dyDescent="0.25">
      <c r="B698" s="172" t="s">
        <v>1960</v>
      </c>
      <c r="C698" s="27" t="s">
        <v>1831</v>
      </c>
      <c r="D698" s="7" t="s">
        <v>1832</v>
      </c>
      <c r="E698" s="7"/>
      <c r="F698" s="7"/>
    </row>
    <row r="699" spans="2:6" x14ac:dyDescent="0.25">
      <c r="B699" s="173" t="s">
        <v>1961</v>
      </c>
      <c r="C699" s="114" t="s">
        <v>1831</v>
      </c>
      <c r="D699" s="202" t="s">
        <v>1832</v>
      </c>
      <c r="E699" s="202"/>
      <c r="F699" s="202"/>
    </row>
    <row r="700" spans="2:6" x14ac:dyDescent="0.25">
      <c r="B700" s="172" t="s">
        <v>1962</v>
      </c>
      <c r="C700" s="27" t="s">
        <v>1831</v>
      </c>
      <c r="D700" s="7" t="s">
        <v>1832</v>
      </c>
      <c r="E700" s="7"/>
      <c r="F700" s="7"/>
    </row>
    <row r="701" spans="2:6" x14ac:dyDescent="0.25">
      <c r="B701" s="173" t="s">
        <v>1963</v>
      </c>
      <c r="C701" s="114" t="s">
        <v>1831</v>
      </c>
      <c r="D701" s="202" t="s">
        <v>1832</v>
      </c>
      <c r="E701" s="202"/>
      <c r="F701" s="202"/>
    </row>
    <row r="702" spans="2:6" x14ac:dyDescent="0.25">
      <c r="B702" s="172" t="s">
        <v>1964</v>
      </c>
      <c r="C702" s="27" t="s">
        <v>1831</v>
      </c>
      <c r="D702" s="7" t="s">
        <v>1832</v>
      </c>
      <c r="E702" s="7"/>
      <c r="F702" s="7"/>
    </row>
    <row r="703" spans="2:6" x14ac:dyDescent="0.25">
      <c r="B703" s="173" t="s">
        <v>1965</v>
      </c>
      <c r="C703" s="114" t="s">
        <v>1831</v>
      </c>
      <c r="D703" s="202" t="s">
        <v>1832</v>
      </c>
      <c r="E703" s="202"/>
      <c r="F703" s="202"/>
    </row>
    <row r="704" spans="2:6" x14ac:dyDescent="0.25">
      <c r="B704" s="172" t="s">
        <v>1966</v>
      </c>
      <c r="C704" s="27" t="s">
        <v>1831</v>
      </c>
      <c r="D704" s="7" t="s">
        <v>1832</v>
      </c>
      <c r="E704" s="7"/>
      <c r="F704" s="7"/>
    </row>
    <row r="705" spans="2:6" x14ac:dyDescent="0.25">
      <c r="B705" s="173" t="s">
        <v>1967</v>
      </c>
      <c r="C705" s="114" t="s">
        <v>1831</v>
      </c>
      <c r="D705" s="202" t="s">
        <v>1832</v>
      </c>
      <c r="E705" s="202"/>
      <c r="F705" s="202"/>
    </row>
    <row r="706" spans="2:6" x14ac:dyDescent="0.25">
      <c r="B706" s="172" t="s">
        <v>1968</v>
      </c>
      <c r="C706" s="27" t="s">
        <v>1969</v>
      </c>
      <c r="D706" s="7" t="s">
        <v>1488</v>
      </c>
      <c r="E706" s="7"/>
      <c r="F706" s="7"/>
    </row>
    <row r="707" spans="2:6" x14ac:dyDescent="0.25">
      <c r="B707" s="173" t="s">
        <v>1970</v>
      </c>
      <c r="C707" s="114" t="s">
        <v>1969</v>
      </c>
      <c r="D707" s="202" t="s">
        <v>1488</v>
      </c>
      <c r="E707" s="202"/>
      <c r="F707" s="202"/>
    </row>
    <row r="708" spans="2:6" x14ac:dyDescent="0.25">
      <c r="B708" s="172" t="s">
        <v>1971</v>
      </c>
      <c r="C708" s="27" t="s">
        <v>1969</v>
      </c>
      <c r="D708" s="7" t="s">
        <v>1488</v>
      </c>
      <c r="E708" s="7"/>
      <c r="F708" s="7"/>
    </row>
    <row r="709" spans="2:6" x14ac:dyDescent="0.25">
      <c r="B709" s="173" t="s">
        <v>1972</v>
      </c>
      <c r="C709" s="114" t="s">
        <v>1969</v>
      </c>
      <c r="D709" s="202" t="s">
        <v>1488</v>
      </c>
      <c r="E709" s="202"/>
      <c r="F709" s="202"/>
    </row>
    <row r="710" spans="2:6" x14ac:dyDescent="0.25">
      <c r="B710" s="172" t="s">
        <v>1973</v>
      </c>
      <c r="C710" s="27" t="s">
        <v>1969</v>
      </c>
      <c r="D710" s="7" t="s">
        <v>1488</v>
      </c>
      <c r="E710" s="7"/>
      <c r="F710" s="7"/>
    </row>
    <row r="711" spans="2:6" x14ac:dyDescent="0.25">
      <c r="B711" s="173" t="s">
        <v>1974</v>
      </c>
      <c r="C711" s="114" t="s">
        <v>1969</v>
      </c>
      <c r="D711" s="202" t="s">
        <v>1488</v>
      </c>
      <c r="E711" s="202"/>
      <c r="F711" s="202"/>
    </row>
    <row r="712" spans="2:6" x14ac:dyDescent="0.25">
      <c r="B712" s="172" t="s">
        <v>1975</v>
      </c>
      <c r="C712" s="27" t="s">
        <v>1969</v>
      </c>
      <c r="D712" s="7" t="s">
        <v>1488</v>
      </c>
      <c r="E712" s="7"/>
      <c r="F712" s="7"/>
    </row>
    <row r="713" spans="2:6" x14ac:dyDescent="0.25">
      <c r="B713" s="173" t="s">
        <v>1976</v>
      </c>
      <c r="C713" s="114" t="s">
        <v>1969</v>
      </c>
      <c r="D713" s="202" t="s">
        <v>1488</v>
      </c>
      <c r="E713" s="202"/>
      <c r="F713" s="202"/>
    </row>
    <row r="714" spans="2:6" x14ac:dyDescent="0.25">
      <c r="B714" s="172" t="s">
        <v>1977</v>
      </c>
      <c r="C714" s="27" t="s">
        <v>1969</v>
      </c>
      <c r="D714" s="7" t="s">
        <v>1488</v>
      </c>
      <c r="E714" s="7"/>
      <c r="F714" s="7"/>
    </row>
    <row r="715" spans="2:6" x14ac:dyDescent="0.25">
      <c r="B715" s="173" t="s">
        <v>1978</v>
      </c>
      <c r="C715" s="114" t="s">
        <v>1969</v>
      </c>
      <c r="D715" s="202" t="s">
        <v>1488</v>
      </c>
      <c r="E715" s="202"/>
      <c r="F715" s="202"/>
    </row>
    <row r="716" spans="2:6" x14ac:dyDescent="0.25">
      <c r="B716" s="172" t="s">
        <v>1979</v>
      </c>
      <c r="C716" s="27" t="s">
        <v>1765</v>
      </c>
      <c r="D716" s="7" t="s">
        <v>1766</v>
      </c>
      <c r="E716" s="7"/>
      <c r="F716" s="7"/>
    </row>
    <row r="717" spans="2:6" x14ac:dyDescent="0.25">
      <c r="B717" s="173" t="s">
        <v>1980</v>
      </c>
      <c r="C717" s="114" t="s">
        <v>1765</v>
      </c>
      <c r="D717" s="202" t="s">
        <v>1766</v>
      </c>
      <c r="E717" s="202"/>
      <c r="F717" s="202"/>
    </row>
    <row r="718" spans="2:6" x14ac:dyDescent="0.25">
      <c r="B718" s="172" t="s">
        <v>1981</v>
      </c>
      <c r="C718" s="27" t="s">
        <v>1765</v>
      </c>
      <c r="D718" s="7" t="s">
        <v>1766</v>
      </c>
      <c r="E718" s="7"/>
      <c r="F718" s="7"/>
    </row>
    <row r="719" spans="2:6" x14ac:dyDescent="0.25">
      <c r="B719" s="173" t="s">
        <v>1982</v>
      </c>
      <c r="C719" s="114" t="s">
        <v>1765</v>
      </c>
      <c r="D719" s="202" t="s">
        <v>1766</v>
      </c>
      <c r="E719" s="202"/>
      <c r="F719" s="202"/>
    </row>
    <row r="720" spans="2:6" x14ac:dyDescent="0.25">
      <c r="B720" s="172" t="s">
        <v>1983</v>
      </c>
      <c r="C720" s="27" t="s">
        <v>1765</v>
      </c>
      <c r="D720" s="7" t="s">
        <v>1766</v>
      </c>
      <c r="E720" s="7"/>
      <c r="F720" s="7"/>
    </row>
    <row r="721" spans="2:6" x14ac:dyDescent="0.25">
      <c r="B721" s="173" t="s">
        <v>1984</v>
      </c>
      <c r="C721" s="114" t="s">
        <v>1765</v>
      </c>
      <c r="D721" s="202" t="s">
        <v>1766</v>
      </c>
      <c r="E721" s="202"/>
      <c r="F721" s="202"/>
    </row>
    <row r="722" spans="2:6" x14ac:dyDescent="0.25">
      <c r="B722" s="172" t="s">
        <v>1985</v>
      </c>
      <c r="C722" s="27" t="s">
        <v>1765</v>
      </c>
      <c r="D722" s="7" t="s">
        <v>1766</v>
      </c>
      <c r="E722" s="7"/>
      <c r="F722" s="7"/>
    </row>
    <row r="723" spans="2:6" x14ac:dyDescent="0.25">
      <c r="B723" s="173" t="s">
        <v>1986</v>
      </c>
      <c r="C723" s="114" t="s">
        <v>1765</v>
      </c>
      <c r="D723" s="202" t="s">
        <v>1766</v>
      </c>
      <c r="E723" s="202"/>
      <c r="F723" s="202"/>
    </row>
    <row r="724" spans="2:6" x14ac:dyDescent="0.25">
      <c r="B724" s="172" t="s">
        <v>1987</v>
      </c>
      <c r="C724" s="27" t="s">
        <v>1765</v>
      </c>
      <c r="D724" s="7" t="s">
        <v>1766</v>
      </c>
      <c r="E724" s="7"/>
      <c r="F724" s="7"/>
    </row>
    <row r="725" spans="2:6" x14ac:dyDescent="0.25">
      <c r="B725" s="173" t="s">
        <v>1988</v>
      </c>
      <c r="C725" s="114" t="s">
        <v>1969</v>
      </c>
      <c r="D725" s="202" t="s">
        <v>1488</v>
      </c>
      <c r="E725" s="202"/>
      <c r="F725" s="202"/>
    </row>
    <row r="726" spans="2:6" x14ac:dyDescent="0.25">
      <c r="B726" s="172" t="s">
        <v>1989</v>
      </c>
      <c r="C726" s="27" t="s">
        <v>1969</v>
      </c>
      <c r="D726" s="7" t="s">
        <v>1488</v>
      </c>
      <c r="E726" s="7"/>
      <c r="F726" s="7"/>
    </row>
    <row r="727" spans="2:6" x14ac:dyDescent="0.25">
      <c r="B727" s="173" t="s">
        <v>1990</v>
      </c>
      <c r="C727" s="114" t="s">
        <v>1969</v>
      </c>
      <c r="D727" s="202" t="s">
        <v>1488</v>
      </c>
      <c r="E727" s="202"/>
      <c r="F727" s="202"/>
    </row>
    <row r="728" spans="2:6" x14ac:dyDescent="0.25">
      <c r="B728" s="172" t="s">
        <v>1991</v>
      </c>
      <c r="C728" s="27" t="s">
        <v>1969</v>
      </c>
      <c r="D728" s="7" t="s">
        <v>1488</v>
      </c>
      <c r="E728" s="7"/>
      <c r="F728" s="7"/>
    </row>
    <row r="729" spans="2:6" x14ac:dyDescent="0.25">
      <c r="B729" s="173" t="s">
        <v>1992</v>
      </c>
      <c r="C729" s="114" t="s">
        <v>1969</v>
      </c>
      <c r="D729" s="202" t="s">
        <v>1488</v>
      </c>
      <c r="E729" s="202"/>
      <c r="F729" s="202"/>
    </row>
    <row r="730" spans="2:6" x14ac:dyDescent="0.25">
      <c r="B730" s="172" t="s">
        <v>1993</v>
      </c>
      <c r="C730" s="27" t="s">
        <v>1969</v>
      </c>
      <c r="D730" s="7" t="s">
        <v>1488</v>
      </c>
      <c r="E730" s="7"/>
      <c r="F730" s="7"/>
    </row>
    <row r="731" spans="2:6" x14ac:dyDescent="0.25">
      <c r="B731" s="173" t="s">
        <v>1994</v>
      </c>
      <c r="C731" s="114" t="s">
        <v>1969</v>
      </c>
      <c r="D731" s="202" t="s">
        <v>1488</v>
      </c>
      <c r="E731" s="202"/>
      <c r="F731" s="202"/>
    </row>
    <row r="732" spans="2:6" x14ac:dyDescent="0.25">
      <c r="B732" s="172" t="s">
        <v>1995</v>
      </c>
      <c r="C732" s="27" t="s">
        <v>1969</v>
      </c>
      <c r="D732" s="7" t="s">
        <v>1488</v>
      </c>
      <c r="E732" s="7"/>
      <c r="F732" s="7"/>
    </row>
    <row r="733" spans="2:6" x14ac:dyDescent="0.25">
      <c r="B733" s="173" t="s">
        <v>1996</v>
      </c>
      <c r="C733" s="114" t="s">
        <v>1969</v>
      </c>
      <c r="D733" s="202" t="s">
        <v>1488</v>
      </c>
      <c r="E733" s="202"/>
      <c r="F733" s="202"/>
    </row>
    <row r="734" spans="2:6" x14ac:dyDescent="0.25">
      <c r="B734" s="172" t="s">
        <v>1997</v>
      </c>
      <c r="C734" s="27" t="s">
        <v>1969</v>
      </c>
      <c r="D734" s="7" t="s">
        <v>1488</v>
      </c>
      <c r="E734" s="7"/>
      <c r="F734" s="7"/>
    </row>
    <row r="735" spans="2:6" x14ac:dyDescent="0.25">
      <c r="B735" s="173" t="s">
        <v>1998</v>
      </c>
      <c r="C735" s="114" t="s">
        <v>1969</v>
      </c>
      <c r="D735" s="202" t="s">
        <v>1488</v>
      </c>
      <c r="E735" s="202"/>
      <c r="F735" s="202"/>
    </row>
    <row r="736" spans="2:6" x14ac:dyDescent="0.25">
      <c r="B736" s="172" t="s">
        <v>1999</v>
      </c>
      <c r="C736" s="27" t="s">
        <v>1969</v>
      </c>
      <c r="D736" s="7" t="s">
        <v>1488</v>
      </c>
      <c r="E736" s="7"/>
      <c r="F736" s="7"/>
    </row>
    <row r="737" spans="2:6" x14ac:dyDescent="0.25">
      <c r="B737" s="173" t="s">
        <v>2000</v>
      </c>
      <c r="C737" s="114" t="s">
        <v>1969</v>
      </c>
      <c r="D737" s="202" t="s">
        <v>1488</v>
      </c>
      <c r="E737" s="202"/>
      <c r="F737" s="202"/>
    </row>
    <row r="738" spans="2:6" x14ac:dyDescent="0.25">
      <c r="B738" s="172" t="s">
        <v>2001</v>
      </c>
      <c r="C738" s="27" t="s">
        <v>1969</v>
      </c>
      <c r="D738" s="7" t="s">
        <v>1488</v>
      </c>
      <c r="E738" s="7"/>
      <c r="F738" s="7"/>
    </row>
    <row r="739" spans="2:6" x14ac:dyDescent="0.25">
      <c r="B739" s="173" t="s">
        <v>2002</v>
      </c>
      <c r="C739" s="114" t="s">
        <v>1765</v>
      </c>
      <c r="D739" s="202" t="s">
        <v>1766</v>
      </c>
      <c r="E739" s="202"/>
      <c r="F739" s="202"/>
    </row>
    <row r="740" spans="2:6" x14ac:dyDescent="0.25">
      <c r="B740" s="172" t="s">
        <v>2002</v>
      </c>
      <c r="C740" s="27" t="s">
        <v>1969</v>
      </c>
      <c r="D740" s="7" t="s">
        <v>1488</v>
      </c>
      <c r="E740" s="7"/>
      <c r="F740" s="7"/>
    </row>
    <row r="741" spans="2:6" x14ac:dyDescent="0.25">
      <c r="B741" s="173" t="s">
        <v>2003</v>
      </c>
      <c r="C741" s="114" t="s">
        <v>1765</v>
      </c>
      <c r="D741" s="202" t="s">
        <v>1766</v>
      </c>
      <c r="E741" s="202"/>
      <c r="F741" s="202"/>
    </row>
    <row r="742" spans="2:6" x14ac:dyDescent="0.25">
      <c r="B742" s="172" t="s">
        <v>2004</v>
      </c>
      <c r="C742" s="27" t="s">
        <v>1765</v>
      </c>
      <c r="D742" s="7" t="s">
        <v>1766</v>
      </c>
      <c r="E742" s="7"/>
      <c r="F742" s="7"/>
    </row>
    <row r="743" spans="2:6" x14ac:dyDescent="0.25">
      <c r="B743" s="173" t="s">
        <v>2005</v>
      </c>
      <c r="C743" s="114" t="s">
        <v>1765</v>
      </c>
      <c r="D743" s="202" t="s">
        <v>1766</v>
      </c>
      <c r="E743" s="202"/>
      <c r="F743" s="202"/>
    </row>
    <row r="744" spans="2:6" x14ac:dyDescent="0.25">
      <c r="B744" s="172" t="s">
        <v>2006</v>
      </c>
      <c r="C744" s="27" t="s">
        <v>1765</v>
      </c>
      <c r="D744" s="7" t="s">
        <v>1766</v>
      </c>
      <c r="E744" s="7"/>
      <c r="F744" s="7"/>
    </row>
    <row r="745" spans="2:6" x14ac:dyDescent="0.25">
      <c r="B745" s="173" t="s">
        <v>2007</v>
      </c>
      <c r="C745" s="114" t="s">
        <v>1969</v>
      </c>
      <c r="D745" s="202" t="s">
        <v>1488</v>
      </c>
      <c r="E745" s="202"/>
      <c r="F745" s="202"/>
    </row>
    <row r="746" spans="2:6" x14ac:dyDescent="0.25">
      <c r="B746" s="172" t="s">
        <v>2008</v>
      </c>
      <c r="C746" s="27" t="s">
        <v>1969</v>
      </c>
      <c r="D746" s="7" t="s">
        <v>1488</v>
      </c>
      <c r="E746" s="7"/>
      <c r="F746" s="7"/>
    </row>
    <row r="747" spans="2:6" x14ac:dyDescent="0.25">
      <c r="B747" s="173" t="s">
        <v>2009</v>
      </c>
      <c r="C747" s="114" t="s">
        <v>1969</v>
      </c>
      <c r="D747" s="202" t="s">
        <v>1488</v>
      </c>
      <c r="E747" s="202"/>
      <c r="F747" s="202"/>
    </row>
    <row r="748" spans="2:6" x14ac:dyDescent="0.25">
      <c r="B748" s="172" t="s">
        <v>2010</v>
      </c>
      <c r="C748" s="27" t="s">
        <v>1969</v>
      </c>
      <c r="D748" s="7" t="s">
        <v>1488</v>
      </c>
      <c r="E748" s="7"/>
      <c r="F748" s="7"/>
    </row>
    <row r="749" spans="2:6" x14ac:dyDescent="0.25">
      <c r="B749" s="173" t="s">
        <v>2011</v>
      </c>
      <c r="C749" s="114" t="s">
        <v>1969</v>
      </c>
      <c r="D749" s="202" t="s">
        <v>1488</v>
      </c>
      <c r="E749" s="202"/>
      <c r="F749" s="202"/>
    </row>
    <row r="750" spans="2:6" x14ac:dyDescent="0.25">
      <c r="B750" s="172" t="s">
        <v>2012</v>
      </c>
      <c r="C750" s="27" t="s">
        <v>1969</v>
      </c>
      <c r="D750" s="7" t="s">
        <v>1488</v>
      </c>
      <c r="E750" s="7"/>
      <c r="F750" s="7"/>
    </row>
    <row r="751" spans="2:6" x14ac:dyDescent="0.25">
      <c r="B751" s="173" t="s">
        <v>2013</v>
      </c>
      <c r="C751" s="114" t="s">
        <v>1969</v>
      </c>
      <c r="D751" s="202" t="s">
        <v>1488</v>
      </c>
      <c r="E751" s="202"/>
      <c r="F751" s="202"/>
    </row>
    <row r="752" spans="2:6" x14ac:dyDescent="0.25">
      <c r="B752" s="172" t="s">
        <v>2014</v>
      </c>
      <c r="C752" s="27" t="s">
        <v>1969</v>
      </c>
      <c r="D752" s="7" t="s">
        <v>1488</v>
      </c>
      <c r="E752" s="7"/>
      <c r="F752" s="7"/>
    </row>
    <row r="753" spans="2:6" x14ac:dyDescent="0.25">
      <c r="B753" s="173" t="s">
        <v>2015</v>
      </c>
      <c r="C753" s="114" t="s">
        <v>1969</v>
      </c>
      <c r="D753" s="202" t="s">
        <v>1488</v>
      </c>
      <c r="E753" s="202"/>
      <c r="F753" s="202"/>
    </row>
    <row r="754" spans="2:6" x14ac:dyDescent="0.25">
      <c r="B754" s="172" t="s">
        <v>2016</v>
      </c>
      <c r="C754" s="27" t="s">
        <v>1969</v>
      </c>
      <c r="D754" s="7" t="s">
        <v>1488</v>
      </c>
      <c r="E754" s="7"/>
      <c r="F754" s="7"/>
    </row>
    <row r="755" spans="2:6" x14ac:dyDescent="0.25">
      <c r="B755" s="173" t="s">
        <v>2017</v>
      </c>
      <c r="C755" s="114" t="s">
        <v>1969</v>
      </c>
      <c r="D755" s="202" t="s">
        <v>1488</v>
      </c>
      <c r="E755" s="202"/>
      <c r="F755" s="202"/>
    </row>
    <row r="756" spans="2:6" x14ac:dyDescent="0.25">
      <c r="B756" s="172" t="s">
        <v>2018</v>
      </c>
      <c r="C756" s="27" t="s">
        <v>1969</v>
      </c>
      <c r="D756" s="7" t="s">
        <v>1488</v>
      </c>
      <c r="E756" s="7"/>
      <c r="F756" s="7"/>
    </row>
    <row r="757" spans="2:6" x14ac:dyDescent="0.25">
      <c r="B757" s="173" t="s">
        <v>2019</v>
      </c>
      <c r="C757" s="114" t="s">
        <v>1969</v>
      </c>
      <c r="D757" s="202" t="s">
        <v>1488</v>
      </c>
      <c r="E757" s="202"/>
      <c r="F757" s="202"/>
    </row>
    <row r="758" spans="2:6" x14ac:dyDescent="0.25">
      <c r="B758" s="172" t="s">
        <v>2020</v>
      </c>
      <c r="C758" s="27" t="s">
        <v>2021</v>
      </c>
      <c r="D758" s="7" t="s">
        <v>2022</v>
      </c>
      <c r="E758" s="7"/>
      <c r="F758" s="7"/>
    </row>
    <row r="759" spans="2:6" x14ac:dyDescent="0.25">
      <c r="B759" s="173" t="s">
        <v>2023</v>
      </c>
      <c r="C759" s="114" t="s">
        <v>2021</v>
      </c>
      <c r="D759" s="202" t="s">
        <v>2022</v>
      </c>
      <c r="E759" s="202"/>
      <c r="F759" s="202"/>
    </row>
    <row r="760" spans="2:6" x14ac:dyDescent="0.25">
      <c r="B760" s="172" t="s">
        <v>2024</v>
      </c>
      <c r="C760" s="27" t="s">
        <v>2021</v>
      </c>
      <c r="D760" s="7" t="s">
        <v>2022</v>
      </c>
      <c r="E760" s="7"/>
      <c r="F760" s="7"/>
    </row>
    <row r="761" spans="2:6" x14ac:dyDescent="0.25">
      <c r="B761" s="173" t="s">
        <v>2025</v>
      </c>
      <c r="C761" s="114" t="s">
        <v>2021</v>
      </c>
      <c r="D761" s="202" t="s">
        <v>2022</v>
      </c>
      <c r="E761" s="202"/>
      <c r="F761" s="202"/>
    </row>
    <row r="762" spans="2:6" x14ac:dyDescent="0.25">
      <c r="B762" s="172" t="s">
        <v>2026</v>
      </c>
      <c r="C762" s="27" t="s">
        <v>1765</v>
      </c>
      <c r="D762" s="7" t="s">
        <v>1766</v>
      </c>
      <c r="E762" s="7"/>
      <c r="F762" s="7"/>
    </row>
    <row r="763" spans="2:6" x14ac:dyDescent="0.25">
      <c r="B763" s="173" t="s">
        <v>2027</v>
      </c>
      <c r="C763" s="114" t="s">
        <v>1765</v>
      </c>
      <c r="D763" s="202" t="s">
        <v>1766</v>
      </c>
      <c r="E763" s="202"/>
      <c r="F763" s="202"/>
    </row>
    <row r="764" spans="2:6" x14ac:dyDescent="0.25">
      <c r="B764" s="172" t="s">
        <v>2028</v>
      </c>
      <c r="C764" s="27" t="s">
        <v>1765</v>
      </c>
      <c r="D764" s="7" t="s">
        <v>1766</v>
      </c>
      <c r="E764" s="7"/>
      <c r="F764" s="7"/>
    </row>
    <row r="765" spans="2:6" x14ac:dyDescent="0.25">
      <c r="B765" s="173" t="s">
        <v>2029</v>
      </c>
      <c r="C765" s="114" t="s">
        <v>1765</v>
      </c>
      <c r="D765" s="202" t="s">
        <v>1766</v>
      </c>
      <c r="E765" s="202"/>
      <c r="F765" s="202"/>
    </row>
    <row r="766" spans="2:6" x14ac:dyDescent="0.25">
      <c r="B766" s="172" t="s">
        <v>2030</v>
      </c>
      <c r="C766" s="27" t="s">
        <v>1765</v>
      </c>
      <c r="D766" s="7" t="s">
        <v>1766</v>
      </c>
      <c r="E766" s="7"/>
      <c r="F766" s="7"/>
    </row>
    <row r="767" spans="2:6" x14ac:dyDescent="0.25">
      <c r="B767" s="173" t="s">
        <v>2031</v>
      </c>
      <c r="C767" s="114" t="s">
        <v>1765</v>
      </c>
      <c r="D767" s="202" t="s">
        <v>1766</v>
      </c>
      <c r="E767" s="202"/>
      <c r="F767" s="202"/>
    </row>
    <row r="768" spans="2:6" x14ac:dyDescent="0.25">
      <c r="B768" s="172" t="s">
        <v>2032</v>
      </c>
      <c r="C768" s="27" t="s">
        <v>1765</v>
      </c>
      <c r="D768" s="7" t="s">
        <v>1766</v>
      </c>
      <c r="E768" s="7"/>
      <c r="F768" s="7"/>
    </row>
    <row r="769" spans="2:6" x14ac:dyDescent="0.25">
      <c r="B769" s="173" t="s">
        <v>2033</v>
      </c>
      <c r="C769" s="114" t="s">
        <v>1765</v>
      </c>
      <c r="D769" s="202" t="s">
        <v>1766</v>
      </c>
      <c r="E769" s="202"/>
      <c r="F769" s="202"/>
    </row>
    <row r="770" spans="2:6" x14ac:dyDescent="0.25">
      <c r="B770" s="172" t="s">
        <v>2034</v>
      </c>
      <c r="C770" s="27" t="s">
        <v>1765</v>
      </c>
      <c r="D770" s="7" t="s">
        <v>1766</v>
      </c>
      <c r="E770" s="7"/>
      <c r="F770" s="7"/>
    </row>
    <row r="771" spans="2:6" x14ac:dyDescent="0.25">
      <c r="B771" s="173" t="s">
        <v>2035</v>
      </c>
      <c r="C771" s="114" t="s">
        <v>1765</v>
      </c>
      <c r="D771" s="202" t="s">
        <v>1766</v>
      </c>
      <c r="E771" s="202"/>
      <c r="F771" s="202"/>
    </row>
    <row r="772" spans="2:6" x14ac:dyDescent="0.25">
      <c r="B772" s="172" t="s">
        <v>2036</v>
      </c>
      <c r="C772" s="27" t="s">
        <v>1765</v>
      </c>
      <c r="D772" s="7" t="s">
        <v>1766</v>
      </c>
      <c r="E772" s="7"/>
      <c r="F772" s="7"/>
    </row>
    <row r="773" spans="2:6" x14ac:dyDescent="0.25">
      <c r="B773" s="173" t="s">
        <v>2037</v>
      </c>
      <c r="C773" s="114" t="s">
        <v>1765</v>
      </c>
      <c r="D773" s="202" t="s">
        <v>1766</v>
      </c>
      <c r="E773" s="202"/>
      <c r="F773" s="202"/>
    </row>
    <row r="774" spans="2:6" x14ac:dyDescent="0.25">
      <c r="B774" s="172" t="s">
        <v>2038</v>
      </c>
      <c r="C774" s="27" t="s">
        <v>1765</v>
      </c>
      <c r="D774" s="7" t="s">
        <v>1766</v>
      </c>
      <c r="E774" s="7"/>
      <c r="F774" s="7"/>
    </row>
    <row r="775" spans="2:6" x14ac:dyDescent="0.25">
      <c r="B775" s="173" t="s">
        <v>2039</v>
      </c>
      <c r="C775" s="114" t="s">
        <v>1765</v>
      </c>
      <c r="D775" s="202" t="s">
        <v>1766</v>
      </c>
      <c r="E775" s="202"/>
      <c r="F775" s="202"/>
    </row>
    <row r="776" spans="2:6" x14ac:dyDescent="0.25">
      <c r="B776" s="172" t="s">
        <v>2040</v>
      </c>
      <c r="C776" s="27" t="s">
        <v>2041</v>
      </c>
      <c r="D776" s="7" t="s">
        <v>2042</v>
      </c>
      <c r="E776" s="7"/>
      <c r="F776" s="7"/>
    </row>
    <row r="777" spans="2:6" x14ac:dyDescent="0.25">
      <c r="B777" s="173" t="s">
        <v>2043</v>
      </c>
      <c r="C777" s="114" t="s">
        <v>2041</v>
      </c>
      <c r="D777" s="202" t="s">
        <v>2042</v>
      </c>
      <c r="E777" s="202"/>
      <c r="F777" s="202"/>
    </row>
    <row r="778" spans="2:6" x14ac:dyDescent="0.25">
      <c r="B778" s="172" t="s">
        <v>2044</v>
      </c>
      <c r="C778" s="27" t="s">
        <v>2041</v>
      </c>
      <c r="D778" s="7" t="s">
        <v>2042</v>
      </c>
      <c r="E778" s="7"/>
      <c r="F778" s="7"/>
    </row>
    <row r="779" spans="2:6" x14ac:dyDescent="0.25">
      <c r="B779" s="173" t="s">
        <v>2045</v>
      </c>
      <c r="C779" s="114" t="s">
        <v>2041</v>
      </c>
      <c r="D779" s="202" t="s">
        <v>2042</v>
      </c>
      <c r="E779" s="202"/>
      <c r="F779" s="202"/>
    </row>
    <row r="780" spans="2:6" x14ac:dyDescent="0.25">
      <c r="B780" s="172" t="s">
        <v>2046</v>
      </c>
      <c r="C780" s="27" t="s">
        <v>2041</v>
      </c>
      <c r="D780" s="7" t="s">
        <v>2042</v>
      </c>
      <c r="E780" s="7"/>
      <c r="F780" s="7"/>
    </row>
    <row r="781" spans="2:6" x14ac:dyDescent="0.25">
      <c r="B781" s="173" t="s">
        <v>2047</v>
      </c>
      <c r="C781" s="114" t="s">
        <v>2041</v>
      </c>
      <c r="D781" s="202" t="s">
        <v>2042</v>
      </c>
      <c r="E781" s="202"/>
      <c r="F781" s="202"/>
    </row>
    <row r="782" spans="2:6" x14ac:dyDescent="0.25">
      <c r="B782" s="172" t="s">
        <v>2048</v>
      </c>
      <c r="C782" s="27" t="s">
        <v>2041</v>
      </c>
      <c r="D782" s="7" t="s">
        <v>2042</v>
      </c>
      <c r="E782" s="7"/>
      <c r="F782" s="7"/>
    </row>
    <row r="783" spans="2:6" x14ac:dyDescent="0.25">
      <c r="B783" s="173" t="s">
        <v>2049</v>
      </c>
      <c r="C783" s="114" t="s">
        <v>2041</v>
      </c>
      <c r="D783" s="202" t="s">
        <v>2042</v>
      </c>
      <c r="E783" s="202"/>
      <c r="F783" s="202"/>
    </row>
    <row r="784" spans="2:6" x14ac:dyDescent="0.25">
      <c r="B784" s="172" t="s">
        <v>2050</v>
      </c>
      <c r="C784" s="27" t="s">
        <v>2041</v>
      </c>
      <c r="D784" s="7" t="s">
        <v>2042</v>
      </c>
      <c r="E784" s="7"/>
      <c r="F784" s="7"/>
    </row>
    <row r="785" spans="2:6" x14ac:dyDescent="0.25">
      <c r="B785" s="173" t="s">
        <v>2051</v>
      </c>
      <c r="C785" s="114" t="s">
        <v>1765</v>
      </c>
      <c r="D785" s="202" t="s">
        <v>1766</v>
      </c>
      <c r="E785" s="202"/>
      <c r="F785" s="202"/>
    </row>
    <row r="786" spans="2:6" x14ac:dyDescent="0.25">
      <c r="B786" s="172" t="s">
        <v>2052</v>
      </c>
      <c r="C786" s="27" t="s">
        <v>1765</v>
      </c>
      <c r="D786" s="7" t="s">
        <v>1766</v>
      </c>
      <c r="E786" s="7"/>
      <c r="F786" s="7"/>
    </row>
    <row r="787" spans="2:6" x14ac:dyDescent="0.25">
      <c r="B787" s="173" t="s">
        <v>2053</v>
      </c>
      <c r="C787" s="114" t="s">
        <v>1765</v>
      </c>
      <c r="D787" s="202" t="s">
        <v>1766</v>
      </c>
      <c r="E787" s="202"/>
      <c r="F787" s="202"/>
    </row>
    <row r="788" spans="2:6" x14ac:dyDescent="0.25">
      <c r="B788" s="172" t="s">
        <v>2054</v>
      </c>
      <c r="C788" s="27" t="s">
        <v>1765</v>
      </c>
      <c r="D788" s="7" t="s">
        <v>1766</v>
      </c>
      <c r="E788" s="7"/>
      <c r="F788" s="7"/>
    </row>
    <row r="789" spans="2:6" x14ac:dyDescent="0.25">
      <c r="B789" s="173" t="s">
        <v>2055</v>
      </c>
      <c r="C789" s="114" t="s">
        <v>2041</v>
      </c>
      <c r="D789" s="202" t="s">
        <v>2042</v>
      </c>
      <c r="E789" s="202"/>
      <c r="F789" s="202"/>
    </row>
    <row r="790" spans="2:6" x14ac:dyDescent="0.25">
      <c r="B790" s="172" t="s">
        <v>2056</v>
      </c>
      <c r="C790" s="27" t="s">
        <v>2041</v>
      </c>
      <c r="D790" s="7" t="s">
        <v>2042</v>
      </c>
      <c r="E790" s="7"/>
      <c r="F790" s="7"/>
    </row>
    <row r="791" spans="2:6" x14ac:dyDescent="0.25">
      <c r="B791" s="173" t="s">
        <v>2057</v>
      </c>
      <c r="C791" s="114" t="s">
        <v>2041</v>
      </c>
      <c r="D791" s="202" t="s">
        <v>2042</v>
      </c>
      <c r="E791" s="202"/>
      <c r="F791" s="202"/>
    </row>
    <row r="792" spans="2:6" x14ac:dyDescent="0.25">
      <c r="B792" s="172" t="s">
        <v>2058</v>
      </c>
      <c r="C792" s="27" t="s">
        <v>1765</v>
      </c>
      <c r="D792" s="7" t="s">
        <v>1766</v>
      </c>
      <c r="E792" s="7"/>
      <c r="F792" s="7"/>
    </row>
    <row r="793" spans="2:6" x14ac:dyDescent="0.25">
      <c r="B793" s="173" t="s">
        <v>2059</v>
      </c>
      <c r="C793" s="114" t="s">
        <v>1765</v>
      </c>
      <c r="D793" s="202" t="s">
        <v>1766</v>
      </c>
      <c r="E793" s="202"/>
      <c r="F793" s="202"/>
    </row>
    <row r="794" spans="2:6" x14ac:dyDescent="0.25">
      <c r="B794" s="172" t="s">
        <v>2060</v>
      </c>
      <c r="C794" s="27" t="s">
        <v>1765</v>
      </c>
      <c r="D794" s="7" t="s">
        <v>1766</v>
      </c>
      <c r="E794" s="7"/>
      <c r="F794" s="7"/>
    </row>
    <row r="795" spans="2:6" x14ac:dyDescent="0.25">
      <c r="B795" s="173" t="s">
        <v>2061</v>
      </c>
      <c r="C795" s="114" t="s">
        <v>1765</v>
      </c>
      <c r="D795" s="202" t="s">
        <v>1766</v>
      </c>
      <c r="E795" s="202"/>
      <c r="F795" s="202"/>
    </row>
    <row r="796" spans="2:6" x14ac:dyDescent="0.25">
      <c r="B796" s="172" t="s">
        <v>2062</v>
      </c>
      <c r="C796" s="27" t="s">
        <v>2041</v>
      </c>
      <c r="D796" s="7" t="s">
        <v>2042</v>
      </c>
      <c r="E796" s="7"/>
      <c r="F796" s="7"/>
    </row>
    <row r="797" spans="2:6" x14ac:dyDescent="0.25">
      <c r="B797" s="173" t="s">
        <v>2063</v>
      </c>
      <c r="C797" s="114" t="s">
        <v>1765</v>
      </c>
      <c r="D797" s="202" t="s">
        <v>1766</v>
      </c>
      <c r="E797" s="202"/>
      <c r="F797" s="202"/>
    </row>
    <row r="798" spans="2:6" x14ac:dyDescent="0.25">
      <c r="B798" s="172" t="s">
        <v>2064</v>
      </c>
      <c r="C798" s="27" t="s">
        <v>1765</v>
      </c>
      <c r="D798" s="7" t="s">
        <v>1766</v>
      </c>
      <c r="E798" s="7"/>
      <c r="F798" s="7"/>
    </row>
    <row r="799" spans="2:6" x14ac:dyDescent="0.25">
      <c r="B799" s="173" t="s">
        <v>2065</v>
      </c>
      <c r="C799" s="114" t="s">
        <v>2041</v>
      </c>
      <c r="D799" s="202" t="s">
        <v>2042</v>
      </c>
      <c r="E799" s="202"/>
      <c r="F799" s="202"/>
    </row>
    <row r="800" spans="2:6" x14ac:dyDescent="0.25">
      <c r="B800" s="172" t="s">
        <v>2066</v>
      </c>
      <c r="C800" s="27" t="s">
        <v>2041</v>
      </c>
      <c r="D800" s="7" t="s">
        <v>2042</v>
      </c>
      <c r="E800" s="7"/>
      <c r="F800" s="7"/>
    </row>
    <row r="801" spans="2:6" x14ac:dyDescent="0.25">
      <c r="B801" s="173" t="s">
        <v>2067</v>
      </c>
      <c r="C801" s="114" t="s">
        <v>1765</v>
      </c>
      <c r="D801" s="202" t="s">
        <v>1766</v>
      </c>
      <c r="E801" s="202"/>
      <c r="F801" s="202"/>
    </row>
    <row r="802" spans="2:6" x14ac:dyDescent="0.25">
      <c r="B802" s="172" t="s">
        <v>2068</v>
      </c>
      <c r="C802" s="27" t="s">
        <v>1765</v>
      </c>
      <c r="D802" s="7" t="s">
        <v>1766</v>
      </c>
      <c r="E802" s="7"/>
      <c r="F802" s="7"/>
    </row>
    <row r="803" spans="2:6" x14ac:dyDescent="0.25">
      <c r="B803" s="173" t="s">
        <v>2069</v>
      </c>
      <c r="C803" s="114" t="s">
        <v>1765</v>
      </c>
      <c r="D803" s="202" t="s">
        <v>1766</v>
      </c>
      <c r="E803" s="202"/>
      <c r="F803" s="202"/>
    </row>
    <row r="804" spans="2:6" x14ac:dyDescent="0.25">
      <c r="B804" s="172" t="s">
        <v>2070</v>
      </c>
      <c r="C804" s="27" t="s">
        <v>2041</v>
      </c>
      <c r="D804" s="7" t="s">
        <v>2042</v>
      </c>
      <c r="E804" s="7"/>
      <c r="F804" s="7"/>
    </row>
    <row r="805" spans="2:6" x14ac:dyDescent="0.25">
      <c r="B805" s="173" t="s">
        <v>2071</v>
      </c>
      <c r="C805" s="114" t="s">
        <v>2072</v>
      </c>
      <c r="D805" s="202" t="s">
        <v>2073</v>
      </c>
      <c r="E805" s="202"/>
      <c r="F805" s="202"/>
    </row>
    <row r="806" spans="2:6" x14ac:dyDescent="0.25">
      <c r="B806" s="172" t="s">
        <v>2074</v>
      </c>
      <c r="C806" s="27" t="s">
        <v>2072</v>
      </c>
      <c r="D806" s="7" t="s">
        <v>2073</v>
      </c>
      <c r="E806" s="7"/>
      <c r="F806" s="7"/>
    </row>
    <row r="807" spans="2:6" x14ac:dyDescent="0.25">
      <c r="B807" s="173" t="s">
        <v>2075</v>
      </c>
      <c r="C807" s="114" t="s">
        <v>2072</v>
      </c>
      <c r="D807" s="202" t="s">
        <v>2073</v>
      </c>
      <c r="E807" s="202"/>
      <c r="F807" s="202"/>
    </row>
    <row r="808" spans="2:6" x14ac:dyDescent="0.25">
      <c r="B808" s="172" t="s">
        <v>2076</v>
      </c>
      <c r="C808" s="27" t="s">
        <v>2072</v>
      </c>
      <c r="D808" s="7" t="s">
        <v>2073</v>
      </c>
      <c r="E808" s="7"/>
      <c r="F808" s="7"/>
    </row>
    <row r="809" spans="2:6" x14ac:dyDescent="0.25">
      <c r="B809" s="173" t="s">
        <v>2077</v>
      </c>
      <c r="C809" s="114" t="s">
        <v>2072</v>
      </c>
      <c r="D809" s="202" t="s">
        <v>2073</v>
      </c>
      <c r="E809" s="202"/>
      <c r="F809" s="202"/>
    </row>
    <row r="810" spans="2:6" x14ac:dyDescent="0.25">
      <c r="B810" s="172" t="s">
        <v>2078</v>
      </c>
      <c r="C810" s="27" t="s">
        <v>2072</v>
      </c>
      <c r="D810" s="7" t="s">
        <v>2073</v>
      </c>
      <c r="E810" s="7"/>
      <c r="F810" s="7"/>
    </row>
    <row r="811" spans="2:6" x14ac:dyDescent="0.25">
      <c r="B811" s="173" t="s">
        <v>2079</v>
      </c>
      <c r="C811" s="114" t="s">
        <v>2072</v>
      </c>
      <c r="D811" s="202" t="s">
        <v>2073</v>
      </c>
      <c r="E811" s="202"/>
      <c r="F811" s="202"/>
    </row>
    <row r="812" spans="2:6" x14ac:dyDescent="0.25">
      <c r="B812" s="172" t="s">
        <v>2080</v>
      </c>
      <c r="C812" s="27" t="s">
        <v>2072</v>
      </c>
      <c r="D812" s="7" t="s">
        <v>2073</v>
      </c>
      <c r="E812" s="7"/>
      <c r="F812" s="7"/>
    </row>
    <row r="813" spans="2:6" x14ac:dyDescent="0.25">
      <c r="B813" s="173" t="s">
        <v>2081</v>
      </c>
      <c r="C813" s="114" t="s">
        <v>2041</v>
      </c>
      <c r="D813" s="202" t="s">
        <v>2042</v>
      </c>
      <c r="E813" s="202"/>
      <c r="F813" s="202"/>
    </row>
    <row r="814" spans="2:6" x14ac:dyDescent="0.25">
      <c r="B814" s="172" t="s">
        <v>2082</v>
      </c>
      <c r="C814" s="27" t="s">
        <v>2041</v>
      </c>
      <c r="D814" s="7" t="s">
        <v>2042</v>
      </c>
      <c r="E814" s="7"/>
      <c r="F814" s="7"/>
    </row>
    <row r="815" spans="2:6" x14ac:dyDescent="0.25">
      <c r="B815" s="173" t="s">
        <v>2083</v>
      </c>
      <c r="C815" s="114" t="s">
        <v>2041</v>
      </c>
      <c r="D815" s="202" t="s">
        <v>2042</v>
      </c>
      <c r="E815" s="202"/>
      <c r="F815" s="202"/>
    </row>
    <row r="816" spans="2:6" x14ac:dyDescent="0.25">
      <c r="B816" s="172" t="s">
        <v>2084</v>
      </c>
      <c r="C816" s="27" t="s">
        <v>2072</v>
      </c>
      <c r="D816" s="7" t="s">
        <v>2073</v>
      </c>
      <c r="E816" s="7"/>
      <c r="F816" s="7"/>
    </row>
    <row r="817" spans="2:6" x14ac:dyDescent="0.25">
      <c r="B817" s="173" t="s">
        <v>2085</v>
      </c>
      <c r="C817" s="114" t="s">
        <v>2041</v>
      </c>
      <c r="D817" s="202" t="s">
        <v>2042</v>
      </c>
      <c r="E817" s="202"/>
      <c r="F817" s="202"/>
    </row>
    <row r="818" spans="2:6" x14ac:dyDescent="0.25">
      <c r="B818" s="172" t="s">
        <v>2086</v>
      </c>
      <c r="C818" s="27" t="s">
        <v>2041</v>
      </c>
      <c r="D818" s="7" t="s">
        <v>2042</v>
      </c>
      <c r="E818" s="7"/>
      <c r="F818" s="7"/>
    </row>
    <row r="819" spans="2:6" x14ac:dyDescent="0.25">
      <c r="B819" s="173" t="s">
        <v>2087</v>
      </c>
      <c r="C819" s="114" t="s">
        <v>2041</v>
      </c>
      <c r="D819" s="202" t="s">
        <v>2042</v>
      </c>
      <c r="E819" s="202"/>
      <c r="F819" s="202"/>
    </row>
    <row r="820" spans="2:6" x14ac:dyDescent="0.25">
      <c r="B820" s="172" t="s">
        <v>2088</v>
      </c>
      <c r="C820" s="27" t="s">
        <v>2041</v>
      </c>
      <c r="D820" s="7" t="s">
        <v>2042</v>
      </c>
      <c r="E820" s="7"/>
      <c r="F820" s="7"/>
    </row>
    <row r="821" spans="2:6" x14ac:dyDescent="0.25">
      <c r="B821" s="173" t="s">
        <v>2089</v>
      </c>
      <c r="C821" s="114" t="s">
        <v>2041</v>
      </c>
      <c r="D821" s="202" t="s">
        <v>2042</v>
      </c>
      <c r="E821" s="202"/>
      <c r="F821" s="202"/>
    </row>
    <row r="822" spans="2:6" x14ac:dyDescent="0.25">
      <c r="B822" s="172" t="s">
        <v>2090</v>
      </c>
      <c r="C822" s="27" t="s">
        <v>2041</v>
      </c>
      <c r="D822" s="7" t="s">
        <v>2042</v>
      </c>
      <c r="E822" s="7"/>
      <c r="F822" s="7"/>
    </row>
    <row r="823" spans="2:6" x14ac:dyDescent="0.25">
      <c r="B823" s="173" t="s">
        <v>2091</v>
      </c>
      <c r="C823" s="114" t="s">
        <v>2041</v>
      </c>
      <c r="D823" s="202" t="s">
        <v>2042</v>
      </c>
      <c r="E823" s="202"/>
      <c r="F823" s="202"/>
    </row>
    <row r="824" spans="2:6" x14ac:dyDescent="0.25">
      <c r="B824" s="172" t="s">
        <v>2092</v>
      </c>
      <c r="C824" s="27" t="s">
        <v>2041</v>
      </c>
      <c r="D824" s="7" t="s">
        <v>2042</v>
      </c>
      <c r="E824" s="7"/>
      <c r="F824" s="7"/>
    </row>
    <row r="825" spans="2:6" x14ac:dyDescent="0.25">
      <c r="B825" s="173" t="s">
        <v>2093</v>
      </c>
      <c r="C825" s="114" t="s">
        <v>2041</v>
      </c>
      <c r="D825" s="202" t="s">
        <v>2042</v>
      </c>
      <c r="E825" s="202"/>
      <c r="F825" s="202"/>
    </row>
    <row r="826" spans="2:6" x14ac:dyDescent="0.25">
      <c r="B826" s="172" t="s">
        <v>2094</v>
      </c>
      <c r="C826" s="27" t="s">
        <v>2021</v>
      </c>
      <c r="D826" s="7" t="s">
        <v>2022</v>
      </c>
      <c r="E826" s="7"/>
      <c r="F826" s="7"/>
    </row>
    <row r="827" spans="2:6" x14ac:dyDescent="0.25">
      <c r="B827" s="173" t="s">
        <v>2095</v>
      </c>
      <c r="C827" s="114" t="s">
        <v>2021</v>
      </c>
      <c r="D827" s="202" t="s">
        <v>2022</v>
      </c>
      <c r="E827" s="202"/>
      <c r="F827" s="202"/>
    </row>
    <row r="828" spans="2:6" x14ac:dyDescent="0.25">
      <c r="B828" s="172" t="s">
        <v>2096</v>
      </c>
      <c r="C828" s="27" t="s">
        <v>1765</v>
      </c>
      <c r="D828" s="7" t="s">
        <v>1766</v>
      </c>
      <c r="E828" s="7"/>
      <c r="F828" s="7"/>
    </row>
    <row r="829" spans="2:6" x14ac:dyDescent="0.25">
      <c r="B829" s="173" t="s">
        <v>2097</v>
      </c>
      <c r="C829" s="114" t="s">
        <v>1765</v>
      </c>
      <c r="D829" s="202" t="s">
        <v>1766</v>
      </c>
      <c r="E829" s="202"/>
      <c r="F829" s="202"/>
    </row>
    <row r="830" spans="2:6" x14ac:dyDescent="0.25">
      <c r="B830" s="172" t="s">
        <v>2098</v>
      </c>
      <c r="C830" s="27" t="s">
        <v>1765</v>
      </c>
      <c r="D830" s="7" t="s">
        <v>1766</v>
      </c>
      <c r="E830" s="7"/>
      <c r="F830" s="7"/>
    </row>
    <row r="831" spans="2:6" x14ac:dyDescent="0.25">
      <c r="B831" s="173" t="s">
        <v>2099</v>
      </c>
      <c r="C831" s="114" t="s">
        <v>1765</v>
      </c>
      <c r="D831" s="202" t="s">
        <v>1766</v>
      </c>
      <c r="E831" s="202"/>
      <c r="F831" s="202"/>
    </row>
    <row r="832" spans="2:6" x14ac:dyDescent="0.25">
      <c r="B832" s="172" t="s">
        <v>2100</v>
      </c>
      <c r="C832" s="27" t="s">
        <v>1765</v>
      </c>
      <c r="D832" s="7" t="s">
        <v>1766</v>
      </c>
      <c r="E832" s="7"/>
      <c r="F832" s="7"/>
    </row>
    <row r="833" spans="2:6" x14ac:dyDescent="0.25">
      <c r="B833" s="173" t="s">
        <v>2101</v>
      </c>
      <c r="C833" s="114" t="s">
        <v>1765</v>
      </c>
      <c r="D833" s="202" t="s">
        <v>1766</v>
      </c>
      <c r="E833" s="202"/>
      <c r="F833" s="202"/>
    </row>
    <row r="834" spans="2:6" x14ac:dyDescent="0.25">
      <c r="B834" s="172" t="s">
        <v>2102</v>
      </c>
      <c r="C834" s="27" t="s">
        <v>1765</v>
      </c>
      <c r="D834" s="7" t="s">
        <v>1766</v>
      </c>
      <c r="E834" s="7"/>
      <c r="F834" s="7"/>
    </row>
    <row r="835" spans="2:6" x14ac:dyDescent="0.25">
      <c r="B835" s="173" t="s">
        <v>2103</v>
      </c>
      <c r="C835" s="114" t="s">
        <v>1765</v>
      </c>
      <c r="D835" s="202" t="s">
        <v>1766</v>
      </c>
      <c r="E835" s="202"/>
      <c r="F835" s="202"/>
    </row>
    <row r="836" spans="2:6" x14ac:dyDescent="0.25">
      <c r="B836" s="172" t="s">
        <v>2104</v>
      </c>
      <c r="C836" s="27" t="s">
        <v>1765</v>
      </c>
      <c r="D836" s="7" t="s">
        <v>1766</v>
      </c>
      <c r="E836" s="7"/>
      <c r="F836" s="7"/>
    </row>
    <row r="837" spans="2:6" x14ac:dyDescent="0.25">
      <c r="B837" s="173" t="s">
        <v>2105</v>
      </c>
      <c r="C837" s="114" t="s">
        <v>1765</v>
      </c>
      <c r="D837" s="202" t="s">
        <v>1766</v>
      </c>
      <c r="E837" s="202"/>
      <c r="F837" s="202"/>
    </row>
    <row r="838" spans="2:6" x14ac:dyDescent="0.25">
      <c r="B838" s="172" t="s">
        <v>2106</v>
      </c>
      <c r="C838" s="27" t="s">
        <v>2072</v>
      </c>
      <c r="D838" s="7" t="s">
        <v>2073</v>
      </c>
      <c r="E838" s="7"/>
      <c r="F838" s="7"/>
    </row>
    <row r="839" spans="2:6" x14ac:dyDescent="0.25">
      <c r="B839" s="173" t="s">
        <v>2107</v>
      </c>
      <c r="C839" s="114" t="s">
        <v>2072</v>
      </c>
      <c r="D839" s="202" t="s">
        <v>2073</v>
      </c>
      <c r="E839" s="202"/>
      <c r="F839" s="202"/>
    </row>
    <row r="840" spans="2:6" x14ac:dyDescent="0.25">
      <c r="B840" s="172" t="s">
        <v>2108</v>
      </c>
      <c r="C840" s="27" t="s">
        <v>2072</v>
      </c>
      <c r="D840" s="7" t="s">
        <v>2073</v>
      </c>
      <c r="E840" s="7"/>
      <c r="F840" s="7"/>
    </row>
    <row r="841" spans="2:6" x14ac:dyDescent="0.25">
      <c r="B841" s="173" t="s">
        <v>2109</v>
      </c>
      <c r="C841" s="114" t="s">
        <v>2072</v>
      </c>
      <c r="D841" s="202" t="s">
        <v>2073</v>
      </c>
      <c r="E841" s="202"/>
      <c r="F841" s="202"/>
    </row>
    <row r="842" spans="2:6" x14ac:dyDescent="0.25">
      <c r="B842" s="172" t="s">
        <v>2110</v>
      </c>
      <c r="C842" s="27" t="s">
        <v>2072</v>
      </c>
      <c r="D842" s="7" t="s">
        <v>2073</v>
      </c>
      <c r="E842" s="7"/>
      <c r="F842" s="7"/>
    </row>
    <row r="843" spans="2:6" x14ac:dyDescent="0.25">
      <c r="B843" s="173" t="s">
        <v>2111</v>
      </c>
      <c r="C843" s="114" t="s">
        <v>2072</v>
      </c>
      <c r="D843" s="202" t="s">
        <v>2073</v>
      </c>
      <c r="E843" s="202"/>
      <c r="F843" s="202"/>
    </row>
    <row r="844" spans="2:6" x14ac:dyDescent="0.25">
      <c r="B844" s="172" t="s">
        <v>2112</v>
      </c>
      <c r="C844" s="27" t="s">
        <v>1765</v>
      </c>
      <c r="D844" s="7" t="s">
        <v>1766</v>
      </c>
      <c r="E844" s="7"/>
      <c r="F844" s="7"/>
    </row>
    <row r="845" spans="2:6" x14ac:dyDescent="0.25">
      <c r="B845" s="173" t="s">
        <v>2113</v>
      </c>
      <c r="C845" s="114" t="s">
        <v>1765</v>
      </c>
      <c r="D845" s="202" t="s">
        <v>1766</v>
      </c>
      <c r="E845" s="202"/>
      <c r="F845" s="202"/>
    </row>
    <row r="846" spans="2:6" x14ac:dyDescent="0.25">
      <c r="B846" s="172" t="s">
        <v>2114</v>
      </c>
      <c r="C846" s="27" t="s">
        <v>1765</v>
      </c>
      <c r="D846" s="7" t="s">
        <v>1766</v>
      </c>
      <c r="E846" s="7"/>
      <c r="F846" s="7"/>
    </row>
    <row r="847" spans="2:6" x14ac:dyDescent="0.25">
      <c r="B847" s="173" t="s">
        <v>2115</v>
      </c>
      <c r="C847" s="114" t="s">
        <v>1765</v>
      </c>
      <c r="D847" s="202" t="s">
        <v>1766</v>
      </c>
      <c r="E847" s="202"/>
      <c r="F847" s="202"/>
    </row>
    <row r="848" spans="2:6" x14ac:dyDescent="0.25">
      <c r="B848" s="172" t="s">
        <v>2116</v>
      </c>
      <c r="C848" s="27" t="s">
        <v>1765</v>
      </c>
      <c r="D848" s="7" t="s">
        <v>1766</v>
      </c>
      <c r="E848" s="7"/>
      <c r="F848" s="7"/>
    </row>
    <row r="849" spans="2:6" x14ac:dyDescent="0.25">
      <c r="B849" s="173" t="s">
        <v>2117</v>
      </c>
      <c r="C849" s="114" t="s">
        <v>1765</v>
      </c>
      <c r="D849" s="202" t="s">
        <v>1766</v>
      </c>
      <c r="E849" s="202"/>
      <c r="F849" s="202"/>
    </row>
    <row r="850" spans="2:6" x14ac:dyDescent="0.25">
      <c r="B850" s="172" t="s">
        <v>2118</v>
      </c>
      <c r="C850" s="27" t="s">
        <v>1765</v>
      </c>
      <c r="D850" s="7" t="s">
        <v>1766</v>
      </c>
      <c r="E850" s="7"/>
      <c r="F850" s="7"/>
    </row>
    <row r="851" spans="2:6" x14ac:dyDescent="0.25">
      <c r="B851" s="173" t="s">
        <v>2119</v>
      </c>
      <c r="C851" s="114" t="s">
        <v>1765</v>
      </c>
      <c r="D851" s="202" t="s">
        <v>1766</v>
      </c>
      <c r="E851" s="202"/>
      <c r="F851" s="202"/>
    </row>
    <row r="852" spans="2:6" x14ac:dyDescent="0.25">
      <c r="B852" s="172" t="s">
        <v>2120</v>
      </c>
      <c r="C852" s="27" t="s">
        <v>2021</v>
      </c>
      <c r="D852" s="7" t="s">
        <v>2022</v>
      </c>
      <c r="E852" s="7"/>
      <c r="F852" s="7"/>
    </row>
    <row r="853" spans="2:6" x14ac:dyDescent="0.25">
      <c r="B853" s="173" t="s">
        <v>2121</v>
      </c>
      <c r="C853" s="114" t="s">
        <v>2021</v>
      </c>
      <c r="D853" s="202" t="s">
        <v>2022</v>
      </c>
      <c r="E853" s="202"/>
      <c r="F853" s="202"/>
    </row>
    <row r="854" spans="2:6" x14ac:dyDescent="0.25">
      <c r="B854" s="172" t="s">
        <v>2122</v>
      </c>
      <c r="C854" s="27" t="s">
        <v>2021</v>
      </c>
      <c r="D854" s="7" t="s">
        <v>2022</v>
      </c>
      <c r="E854" s="7"/>
      <c r="F854" s="7"/>
    </row>
    <row r="855" spans="2:6" x14ac:dyDescent="0.25">
      <c r="B855" s="173" t="s">
        <v>2123</v>
      </c>
      <c r="C855" s="114" t="s">
        <v>2021</v>
      </c>
      <c r="D855" s="202" t="s">
        <v>2022</v>
      </c>
      <c r="E855" s="202"/>
      <c r="F855" s="202"/>
    </row>
    <row r="856" spans="2:6" x14ac:dyDescent="0.25">
      <c r="B856" s="172" t="s">
        <v>2124</v>
      </c>
      <c r="C856" s="27" t="s">
        <v>2021</v>
      </c>
      <c r="D856" s="7" t="s">
        <v>2022</v>
      </c>
      <c r="E856" s="7"/>
      <c r="F856" s="7"/>
    </row>
    <row r="858" spans="2:6" ht="18" customHeight="1" x14ac:dyDescent="0.25">
      <c r="B858" s="12" t="s">
        <v>2125</v>
      </c>
      <c r="C858" s="12"/>
      <c r="D858" s="12"/>
      <c r="E858" s="12"/>
      <c r="F858" s="12"/>
    </row>
    <row r="859" spans="2:6" ht="30" customHeight="1" x14ac:dyDescent="0.25">
      <c r="B859" s="22" t="s">
        <v>602</v>
      </c>
      <c r="C859" s="22" t="s">
        <v>2126</v>
      </c>
    </row>
    <row r="860" spans="2:6" x14ac:dyDescent="0.25">
      <c r="B860" s="20" t="s">
        <v>951</v>
      </c>
      <c r="C860" s="7" t="s">
        <v>1249</v>
      </c>
      <c r="D860" s="7"/>
      <c r="E860" s="7"/>
      <c r="F860" s="7"/>
    </row>
    <row r="861" spans="2:6" x14ac:dyDescent="0.25">
      <c r="B861" s="119" t="s">
        <v>955</v>
      </c>
      <c r="C861" s="202" t="s">
        <v>2022</v>
      </c>
      <c r="D861" s="202"/>
      <c r="E861" s="202"/>
      <c r="F861" s="202"/>
    </row>
    <row r="862" spans="2:6" x14ac:dyDescent="0.25">
      <c r="B862" s="20" t="s">
        <v>504</v>
      </c>
      <c r="C862" s="7" t="s">
        <v>1488</v>
      </c>
      <c r="D862" s="7"/>
      <c r="E862" s="7"/>
      <c r="F862" s="7"/>
    </row>
    <row r="863" spans="2:6" x14ac:dyDescent="0.25">
      <c r="B863" s="119" t="s">
        <v>962</v>
      </c>
      <c r="C863" s="202" t="s">
        <v>1488</v>
      </c>
      <c r="D863" s="202"/>
      <c r="E863" s="202"/>
      <c r="F863" s="202"/>
    </row>
    <row r="864" spans="2:6" x14ac:dyDescent="0.25">
      <c r="B864" s="20" t="s">
        <v>569</v>
      </c>
      <c r="C864" s="7" t="s">
        <v>1766</v>
      </c>
      <c r="D864" s="7"/>
      <c r="E864" s="7"/>
      <c r="F864" s="7"/>
    </row>
    <row r="865" spans="2:6" x14ac:dyDescent="0.25">
      <c r="B865" s="119" t="s">
        <v>969</v>
      </c>
      <c r="C865" s="202" t="s">
        <v>1832</v>
      </c>
      <c r="D865" s="202"/>
      <c r="E865" s="202"/>
      <c r="F865" s="202"/>
    </row>
    <row r="866" spans="2:6" x14ac:dyDescent="0.25">
      <c r="B866" s="20" t="s">
        <v>691</v>
      </c>
      <c r="C866" s="7" t="s">
        <v>1237</v>
      </c>
      <c r="D866" s="7"/>
      <c r="E866" s="7"/>
      <c r="F866" s="7"/>
    </row>
    <row r="867" spans="2:6" x14ac:dyDescent="0.25">
      <c r="B867" s="119" t="s">
        <v>976</v>
      </c>
      <c r="C867" s="202" t="s">
        <v>1249</v>
      </c>
      <c r="D867" s="202"/>
      <c r="E867" s="202"/>
      <c r="F867" s="202"/>
    </row>
    <row r="868" spans="2:6" x14ac:dyDescent="0.25">
      <c r="B868" s="20" t="s">
        <v>980</v>
      </c>
      <c r="C868" s="7" t="s">
        <v>1237</v>
      </c>
      <c r="D868" s="7"/>
      <c r="E868" s="7"/>
      <c r="F868" s="7"/>
    </row>
    <row r="869" spans="2:6" x14ac:dyDescent="0.25">
      <c r="B869" s="119" t="s">
        <v>171</v>
      </c>
      <c r="C869" s="202" t="s">
        <v>1249</v>
      </c>
      <c r="D869" s="202"/>
      <c r="E869" s="202"/>
      <c r="F869" s="202"/>
    </row>
    <row r="870" spans="2:6" x14ac:dyDescent="0.25">
      <c r="B870" s="20" t="s">
        <v>985</v>
      </c>
      <c r="C870" s="7" t="s">
        <v>1488</v>
      </c>
      <c r="D870" s="7"/>
      <c r="E870" s="7"/>
      <c r="F870" s="7"/>
    </row>
    <row r="871" spans="2:6" x14ac:dyDescent="0.25">
      <c r="B871" s="119" t="s">
        <v>988</v>
      </c>
      <c r="C871" s="202" t="s">
        <v>1249</v>
      </c>
      <c r="D871" s="202"/>
      <c r="E871" s="202"/>
      <c r="F871" s="202"/>
    </row>
    <row r="872" spans="2:6" x14ac:dyDescent="0.25">
      <c r="B872" s="20" t="s">
        <v>991</v>
      </c>
      <c r="C872" s="7" t="s">
        <v>1766</v>
      </c>
      <c r="D872" s="7"/>
      <c r="E872" s="7"/>
      <c r="F872" s="7"/>
    </row>
    <row r="873" spans="2:6" x14ac:dyDescent="0.25">
      <c r="B873" s="119" t="s">
        <v>994</v>
      </c>
      <c r="C873" s="202" t="s">
        <v>1488</v>
      </c>
      <c r="D873" s="202"/>
      <c r="E873" s="202"/>
      <c r="F873" s="202"/>
    </row>
    <row r="874" spans="2:6" x14ac:dyDescent="0.25">
      <c r="B874" s="20" t="s">
        <v>998</v>
      </c>
      <c r="C874" s="7" t="s">
        <v>1488</v>
      </c>
      <c r="D874" s="7"/>
      <c r="E874" s="7"/>
      <c r="F874" s="7"/>
    </row>
    <row r="875" spans="2:6" x14ac:dyDescent="0.25">
      <c r="B875" s="119" t="s">
        <v>1001</v>
      </c>
      <c r="C875" s="202" t="s">
        <v>1488</v>
      </c>
      <c r="D875" s="202"/>
      <c r="E875" s="202"/>
      <c r="F875" s="202"/>
    </row>
    <row r="876" spans="2:6" x14ac:dyDescent="0.25">
      <c r="B876" s="20" t="s">
        <v>1004</v>
      </c>
      <c r="C876" s="7" t="s">
        <v>1832</v>
      </c>
      <c r="D876" s="7"/>
      <c r="E876" s="7"/>
      <c r="F876" s="7"/>
    </row>
    <row r="877" spans="2:6" x14ac:dyDescent="0.25">
      <c r="B877" s="119" t="s">
        <v>1007</v>
      </c>
      <c r="C877" s="202" t="s">
        <v>1488</v>
      </c>
      <c r="D877" s="202"/>
      <c r="E877" s="202"/>
      <c r="F877" s="202"/>
    </row>
    <row r="878" spans="2:6" x14ac:dyDescent="0.25">
      <c r="B878" s="20" t="s">
        <v>1010</v>
      </c>
      <c r="C878" s="7" t="s">
        <v>1261</v>
      </c>
      <c r="D878" s="7"/>
      <c r="E878" s="7"/>
      <c r="F878" s="7"/>
    </row>
    <row r="879" spans="2:6" x14ac:dyDescent="0.25">
      <c r="B879" s="119" t="s">
        <v>1013</v>
      </c>
      <c r="C879" s="202" t="s">
        <v>1237</v>
      </c>
      <c r="D879" s="202"/>
      <c r="E879" s="202"/>
      <c r="F879" s="202"/>
    </row>
    <row r="880" spans="2:6" x14ac:dyDescent="0.25">
      <c r="B880" s="20" t="s">
        <v>1016</v>
      </c>
      <c r="C880" s="7" t="s">
        <v>1249</v>
      </c>
      <c r="D880" s="7"/>
      <c r="E880" s="7"/>
      <c r="F880" s="7"/>
    </row>
    <row r="881" spans="2:6" x14ac:dyDescent="0.25">
      <c r="B881" s="119" t="s">
        <v>1019</v>
      </c>
      <c r="C881" s="202" t="s">
        <v>1237</v>
      </c>
      <c r="D881" s="202"/>
      <c r="E881" s="202"/>
      <c r="F881" s="202"/>
    </row>
    <row r="882" spans="2:6" x14ac:dyDescent="0.25">
      <c r="B882" s="20" t="s">
        <v>1022</v>
      </c>
      <c r="C882" s="7" t="s">
        <v>1237</v>
      </c>
      <c r="D882" s="7"/>
      <c r="E882" s="7"/>
      <c r="F882" s="7"/>
    </row>
    <row r="883" spans="2:6" x14ac:dyDescent="0.25">
      <c r="B883" s="119" t="s">
        <v>1025</v>
      </c>
      <c r="C883" s="202" t="s">
        <v>1237</v>
      </c>
      <c r="D883" s="202"/>
      <c r="E883" s="202"/>
      <c r="F883" s="202"/>
    </row>
    <row r="884" spans="2:6" x14ac:dyDescent="0.25">
      <c r="B884" s="20" t="s">
        <v>1028</v>
      </c>
      <c r="C884" s="7" t="s">
        <v>1249</v>
      </c>
      <c r="D884" s="7"/>
      <c r="E884" s="7"/>
      <c r="F884" s="7"/>
    </row>
    <row r="885" spans="2:6" x14ac:dyDescent="0.25">
      <c r="B885" s="119" t="s">
        <v>1031</v>
      </c>
      <c r="C885" s="202" t="s">
        <v>1488</v>
      </c>
      <c r="D885" s="202"/>
      <c r="E885" s="202"/>
      <c r="F885" s="202"/>
    </row>
    <row r="886" spans="2:6" x14ac:dyDescent="0.25">
      <c r="B886" s="20" t="s">
        <v>1034</v>
      </c>
      <c r="C886" s="7" t="s">
        <v>1766</v>
      </c>
      <c r="D886" s="7"/>
      <c r="E886" s="7"/>
      <c r="F886" s="7"/>
    </row>
    <row r="887" spans="2:6" x14ac:dyDescent="0.25">
      <c r="B887" s="119" t="s">
        <v>1037</v>
      </c>
      <c r="C887" s="202" t="s">
        <v>1832</v>
      </c>
      <c r="D887" s="202"/>
      <c r="E887" s="202"/>
      <c r="F887" s="202"/>
    </row>
    <row r="888" spans="2:6" x14ac:dyDescent="0.25">
      <c r="B888" s="20" t="s">
        <v>535</v>
      </c>
      <c r="C888" s="7" t="s">
        <v>2022</v>
      </c>
      <c r="D888" s="7"/>
      <c r="E888" s="7"/>
      <c r="F888" s="7"/>
    </row>
    <row r="889" spans="2:6" x14ac:dyDescent="0.25">
      <c r="B889" s="119" t="s">
        <v>1042</v>
      </c>
      <c r="C889" s="202" t="s">
        <v>1237</v>
      </c>
      <c r="D889" s="202"/>
      <c r="E889" s="202"/>
      <c r="F889" s="202"/>
    </row>
    <row r="890" spans="2:6" x14ac:dyDescent="0.25">
      <c r="B890" s="20" t="s">
        <v>1045</v>
      </c>
      <c r="C890" s="7" t="s">
        <v>1249</v>
      </c>
      <c r="D890" s="7"/>
      <c r="E890" s="7"/>
      <c r="F890" s="7"/>
    </row>
    <row r="891" spans="2:6" x14ac:dyDescent="0.25">
      <c r="B891" s="119" t="s">
        <v>1048</v>
      </c>
      <c r="C891" s="202" t="s">
        <v>1488</v>
      </c>
      <c r="D891" s="202"/>
      <c r="E891" s="202"/>
      <c r="F891" s="202"/>
    </row>
    <row r="892" spans="2:6" x14ac:dyDescent="0.25">
      <c r="B892" s="20" t="s">
        <v>1051</v>
      </c>
      <c r="C892" s="7" t="s">
        <v>1237</v>
      </c>
      <c r="D892" s="7"/>
      <c r="E892" s="7"/>
      <c r="F892" s="7"/>
    </row>
    <row r="893" spans="2:6" x14ac:dyDescent="0.25">
      <c r="B893" s="119" t="s">
        <v>1054</v>
      </c>
      <c r="C893" s="202" t="s">
        <v>1249</v>
      </c>
      <c r="D893" s="202"/>
      <c r="E893" s="202"/>
      <c r="F893" s="202"/>
    </row>
    <row r="894" spans="2:6" x14ac:dyDescent="0.25">
      <c r="B894" s="20" t="s">
        <v>1057</v>
      </c>
      <c r="C894" s="7" t="s">
        <v>1237</v>
      </c>
      <c r="D894" s="7"/>
      <c r="E894" s="7"/>
      <c r="F894" s="7"/>
    </row>
    <row r="895" spans="2:6" x14ac:dyDescent="0.25">
      <c r="B895" s="119" t="s">
        <v>1060</v>
      </c>
      <c r="C895" s="202" t="s">
        <v>1488</v>
      </c>
      <c r="D895" s="202"/>
      <c r="E895" s="202"/>
      <c r="F895" s="202"/>
    </row>
    <row r="896" spans="2:6" x14ac:dyDescent="0.25">
      <c r="B896" s="20" t="s">
        <v>1063</v>
      </c>
      <c r="C896" s="7" t="s">
        <v>1832</v>
      </c>
      <c r="D896" s="7"/>
      <c r="E896" s="7"/>
      <c r="F896" s="7"/>
    </row>
    <row r="897" spans="2:6" x14ac:dyDescent="0.25">
      <c r="B897" s="119" t="s">
        <v>1066</v>
      </c>
      <c r="C897" s="202" t="s">
        <v>1766</v>
      </c>
      <c r="D897" s="202"/>
      <c r="E897" s="202"/>
      <c r="F897" s="202"/>
    </row>
    <row r="898" spans="2:6" x14ac:dyDescent="0.25">
      <c r="B898" s="20" t="s">
        <v>1070</v>
      </c>
      <c r="C898" s="7" t="s">
        <v>1237</v>
      </c>
      <c r="D898" s="7"/>
      <c r="E898" s="7"/>
      <c r="F898" s="7"/>
    </row>
    <row r="899" spans="2:6" x14ac:dyDescent="0.25">
      <c r="B899" s="119" t="s">
        <v>558</v>
      </c>
      <c r="C899" s="202" t="s">
        <v>1249</v>
      </c>
      <c r="D899" s="202"/>
      <c r="E899" s="202"/>
      <c r="F899" s="202"/>
    </row>
    <row r="900" spans="2:6" x14ac:dyDescent="0.25">
      <c r="B900" s="20" t="s">
        <v>1075</v>
      </c>
      <c r="C900" s="7" t="s">
        <v>1249</v>
      </c>
      <c r="D900" s="7"/>
      <c r="E900" s="7"/>
      <c r="F900" s="7"/>
    </row>
    <row r="901" spans="2:6" x14ac:dyDescent="0.25">
      <c r="B901" s="119" t="s">
        <v>1078</v>
      </c>
      <c r="C901" s="202" t="s">
        <v>1237</v>
      </c>
      <c r="D901" s="202"/>
      <c r="E901" s="202"/>
      <c r="F901" s="202"/>
    </row>
    <row r="902" spans="2:6" x14ac:dyDescent="0.25">
      <c r="B902" s="20" t="s">
        <v>1081</v>
      </c>
      <c r="C902" s="7" t="s">
        <v>1488</v>
      </c>
      <c r="D902" s="7"/>
      <c r="E902" s="7"/>
      <c r="F902" s="7"/>
    </row>
    <row r="903" spans="2:6" x14ac:dyDescent="0.25">
      <c r="B903" s="119" t="s">
        <v>692</v>
      </c>
      <c r="C903" s="202" t="s">
        <v>1832</v>
      </c>
      <c r="D903" s="202"/>
      <c r="E903" s="202"/>
      <c r="F903" s="202"/>
    </row>
    <row r="904" spans="2:6" x14ac:dyDescent="0.25">
      <c r="B904" s="20" t="s">
        <v>1086</v>
      </c>
      <c r="C904" s="7" t="s">
        <v>1488</v>
      </c>
      <c r="D904" s="7"/>
      <c r="E904" s="7"/>
      <c r="F904" s="7"/>
    </row>
    <row r="905" spans="2:6" x14ac:dyDescent="0.25">
      <c r="B905" s="119" t="s">
        <v>1089</v>
      </c>
      <c r="C905" s="202" t="s">
        <v>1237</v>
      </c>
      <c r="D905" s="202"/>
      <c r="E905" s="202"/>
      <c r="F905" s="202"/>
    </row>
    <row r="906" spans="2:6" x14ac:dyDescent="0.25">
      <c r="B906" s="20" t="s">
        <v>1092</v>
      </c>
      <c r="C906" s="7" t="s">
        <v>1249</v>
      </c>
      <c r="D906" s="7"/>
      <c r="E906" s="7"/>
      <c r="F906" s="7"/>
    </row>
    <row r="907" spans="2:6" x14ac:dyDescent="0.25">
      <c r="B907" s="119" t="s">
        <v>1095</v>
      </c>
      <c r="C907" s="202" t="s">
        <v>1766</v>
      </c>
      <c r="D907" s="202"/>
      <c r="E907" s="202"/>
      <c r="F907" s="202"/>
    </row>
    <row r="908" spans="2:6" x14ac:dyDescent="0.25">
      <c r="B908" s="20" t="s">
        <v>1098</v>
      </c>
      <c r="C908" s="7" t="s">
        <v>1237</v>
      </c>
      <c r="D908" s="7"/>
      <c r="E908" s="7"/>
      <c r="F908" s="7"/>
    </row>
    <row r="909" spans="2:6" x14ac:dyDescent="0.25">
      <c r="B909" s="119" t="s">
        <v>1101</v>
      </c>
      <c r="C909" s="202" t="s">
        <v>1237</v>
      </c>
      <c r="D909" s="202"/>
      <c r="E909" s="202"/>
      <c r="F909" s="202"/>
    </row>
    <row r="910" spans="2:6" x14ac:dyDescent="0.25">
      <c r="B910" s="20" t="s">
        <v>1104</v>
      </c>
      <c r="C910" s="7" t="s">
        <v>1488</v>
      </c>
      <c r="D910" s="7"/>
      <c r="E910" s="7"/>
      <c r="F910" s="7"/>
    </row>
    <row r="912" spans="2:6" x14ac:dyDescent="0.25">
      <c r="B912" s="15" t="s">
        <v>709</v>
      </c>
    </row>
    <row r="913" spans="2:6" ht="15" customHeight="1" x14ac:dyDescent="0.25">
      <c r="B913" s="203" t="s">
        <v>2127</v>
      </c>
      <c r="C913" s="203"/>
      <c r="D913" s="203"/>
      <c r="E913" s="203"/>
      <c r="F913" s="203"/>
    </row>
    <row r="914" spans="2:6" x14ac:dyDescent="0.25">
      <c r="B914" s="203"/>
      <c r="C914" s="203"/>
      <c r="D914" s="203"/>
      <c r="E914" s="203"/>
      <c r="F914" s="203"/>
    </row>
    <row r="915" spans="2:6" x14ac:dyDescent="0.25">
      <c r="B915" s="203"/>
      <c r="C915" s="203"/>
      <c r="D915" s="203"/>
      <c r="E915" s="203"/>
      <c r="F915" s="203"/>
    </row>
    <row r="916" spans="2:6" x14ac:dyDescent="0.25">
      <c r="B916" s="203"/>
      <c r="C916" s="203"/>
      <c r="D916" s="203"/>
      <c r="E916" s="203"/>
      <c r="F916" s="203"/>
    </row>
    <row r="917" spans="2:6" x14ac:dyDescent="0.25">
      <c r="B917" s="203"/>
      <c r="C917" s="203"/>
      <c r="D917" s="203"/>
      <c r="E917" s="203"/>
      <c r="F917" s="203"/>
    </row>
  </sheetData>
  <mergeCells count="907">
    <mergeCell ref="C905:F905"/>
    <mergeCell ref="C906:F906"/>
    <mergeCell ref="C907:F907"/>
    <mergeCell ref="C908:F908"/>
    <mergeCell ref="C909:F909"/>
    <mergeCell ref="C910:F910"/>
    <mergeCell ref="B913:F917"/>
    <mergeCell ref="C896:F896"/>
    <mergeCell ref="C897:F897"/>
    <mergeCell ref="C898:F898"/>
    <mergeCell ref="C899:F899"/>
    <mergeCell ref="C900:F900"/>
    <mergeCell ref="C901:F901"/>
    <mergeCell ref="C902:F902"/>
    <mergeCell ref="C903:F903"/>
    <mergeCell ref="C904:F904"/>
    <mergeCell ref="C887:F887"/>
    <mergeCell ref="C888:F888"/>
    <mergeCell ref="C889:F889"/>
    <mergeCell ref="C890:F890"/>
    <mergeCell ref="C891:F891"/>
    <mergeCell ref="C892:F892"/>
    <mergeCell ref="C893:F893"/>
    <mergeCell ref="C894:F894"/>
    <mergeCell ref="C895:F895"/>
    <mergeCell ref="C878:F878"/>
    <mergeCell ref="C879:F879"/>
    <mergeCell ref="C880:F880"/>
    <mergeCell ref="C881:F881"/>
    <mergeCell ref="C882:F882"/>
    <mergeCell ref="C883:F883"/>
    <mergeCell ref="C884:F884"/>
    <mergeCell ref="C885:F885"/>
    <mergeCell ref="C886:F886"/>
    <mergeCell ref="C869:F869"/>
    <mergeCell ref="C870:F870"/>
    <mergeCell ref="C871:F871"/>
    <mergeCell ref="C872:F872"/>
    <mergeCell ref="C873:F873"/>
    <mergeCell ref="C874:F874"/>
    <mergeCell ref="C875:F875"/>
    <mergeCell ref="C876:F876"/>
    <mergeCell ref="C877:F877"/>
    <mergeCell ref="C860:F860"/>
    <mergeCell ref="C861:F861"/>
    <mergeCell ref="C862:F862"/>
    <mergeCell ref="C863:F863"/>
    <mergeCell ref="C864:F864"/>
    <mergeCell ref="C865:F865"/>
    <mergeCell ref="C866:F866"/>
    <mergeCell ref="C867:F867"/>
    <mergeCell ref="C868:F868"/>
    <mergeCell ref="D849:F849"/>
    <mergeCell ref="D850:F850"/>
    <mergeCell ref="D851:F851"/>
    <mergeCell ref="D852:F852"/>
    <mergeCell ref="D853:F853"/>
    <mergeCell ref="D854:F854"/>
    <mergeCell ref="D855:F855"/>
    <mergeCell ref="D856:F856"/>
    <mergeCell ref="B858:F858"/>
    <mergeCell ref="D840:F840"/>
    <mergeCell ref="D841:F841"/>
    <mergeCell ref="D842:F842"/>
    <mergeCell ref="D843:F843"/>
    <mergeCell ref="D844:F844"/>
    <mergeCell ref="D845:F845"/>
    <mergeCell ref="D846:F846"/>
    <mergeCell ref="D847:F847"/>
    <mergeCell ref="D848:F848"/>
    <mergeCell ref="D831:F831"/>
    <mergeCell ref="D832:F832"/>
    <mergeCell ref="D833:F833"/>
    <mergeCell ref="D834:F834"/>
    <mergeCell ref="D835:F835"/>
    <mergeCell ref="D836:F836"/>
    <mergeCell ref="D837:F837"/>
    <mergeCell ref="D838:F838"/>
    <mergeCell ref="D839:F839"/>
    <mergeCell ref="D822:F822"/>
    <mergeCell ref="D823:F823"/>
    <mergeCell ref="D824:F824"/>
    <mergeCell ref="D825:F825"/>
    <mergeCell ref="D826:F826"/>
    <mergeCell ref="D827:F827"/>
    <mergeCell ref="D828:F828"/>
    <mergeCell ref="D829:F829"/>
    <mergeCell ref="D830:F830"/>
    <mergeCell ref="D813:F813"/>
    <mergeCell ref="D814:F814"/>
    <mergeCell ref="D815:F815"/>
    <mergeCell ref="D816:F816"/>
    <mergeCell ref="D817:F817"/>
    <mergeCell ref="D818:F818"/>
    <mergeCell ref="D819:F819"/>
    <mergeCell ref="D820:F820"/>
    <mergeCell ref="D821:F821"/>
    <mergeCell ref="D804:F804"/>
    <mergeCell ref="D805:F805"/>
    <mergeCell ref="D806:F806"/>
    <mergeCell ref="D807:F807"/>
    <mergeCell ref="D808:F808"/>
    <mergeCell ref="D809:F809"/>
    <mergeCell ref="D810:F810"/>
    <mergeCell ref="D811:F811"/>
    <mergeCell ref="D812:F812"/>
    <mergeCell ref="D795:F795"/>
    <mergeCell ref="D796:F796"/>
    <mergeCell ref="D797:F797"/>
    <mergeCell ref="D798:F798"/>
    <mergeCell ref="D799:F799"/>
    <mergeCell ref="D800:F800"/>
    <mergeCell ref="D801:F801"/>
    <mergeCell ref="D802:F802"/>
    <mergeCell ref="D803:F803"/>
    <mergeCell ref="D786:F786"/>
    <mergeCell ref="D787:F787"/>
    <mergeCell ref="D788:F788"/>
    <mergeCell ref="D789:F789"/>
    <mergeCell ref="D790:F790"/>
    <mergeCell ref="D791:F791"/>
    <mergeCell ref="D792:F792"/>
    <mergeCell ref="D793:F793"/>
    <mergeCell ref="D794:F794"/>
    <mergeCell ref="D777:F777"/>
    <mergeCell ref="D778:F778"/>
    <mergeCell ref="D779:F779"/>
    <mergeCell ref="D780:F780"/>
    <mergeCell ref="D781:F781"/>
    <mergeCell ref="D782:F782"/>
    <mergeCell ref="D783:F783"/>
    <mergeCell ref="D784:F784"/>
    <mergeCell ref="D785:F785"/>
    <mergeCell ref="D768:F768"/>
    <mergeCell ref="D769:F769"/>
    <mergeCell ref="D770:F770"/>
    <mergeCell ref="D771:F771"/>
    <mergeCell ref="D772:F772"/>
    <mergeCell ref="D773:F773"/>
    <mergeCell ref="D774:F774"/>
    <mergeCell ref="D775:F775"/>
    <mergeCell ref="D776:F776"/>
    <mergeCell ref="D759:F759"/>
    <mergeCell ref="D760:F760"/>
    <mergeCell ref="D761:F761"/>
    <mergeCell ref="D762:F762"/>
    <mergeCell ref="D763:F763"/>
    <mergeCell ref="D764:F764"/>
    <mergeCell ref="D765:F765"/>
    <mergeCell ref="D766:F766"/>
    <mergeCell ref="D767:F767"/>
    <mergeCell ref="D750:F750"/>
    <mergeCell ref="D751:F751"/>
    <mergeCell ref="D752:F752"/>
    <mergeCell ref="D753:F753"/>
    <mergeCell ref="D754:F754"/>
    <mergeCell ref="D755:F755"/>
    <mergeCell ref="D756:F756"/>
    <mergeCell ref="D757:F757"/>
    <mergeCell ref="D758:F758"/>
    <mergeCell ref="D741:F741"/>
    <mergeCell ref="D742:F742"/>
    <mergeCell ref="D743:F743"/>
    <mergeCell ref="D744:F744"/>
    <mergeCell ref="D745:F745"/>
    <mergeCell ref="D746:F746"/>
    <mergeCell ref="D747:F747"/>
    <mergeCell ref="D748:F748"/>
    <mergeCell ref="D749:F749"/>
    <mergeCell ref="D732:F732"/>
    <mergeCell ref="D733:F733"/>
    <mergeCell ref="D734:F734"/>
    <mergeCell ref="D735:F735"/>
    <mergeCell ref="D736:F736"/>
    <mergeCell ref="D737:F737"/>
    <mergeCell ref="D738:F738"/>
    <mergeCell ref="D739:F739"/>
    <mergeCell ref="D740:F740"/>
    <mergeCell ref="D723:F723"/>
    <mergeCell ref="D724:F724"/>
    <mergeCell ref="D725:F725"/>
    <mergeCell ref="D726:F726"/>
    <mergeCell ref="D727:F727"/>
    <mergeCell ref="D728:F728"/>
    <mergeCell ref="D729:F729"/>
    <mergeCell ref="D730:F730"/>
    <mergeCell ref="D731:F731"/>
    <mergeCell ref="D714:F714"/>
    <mergeCell ref="D715:F715"/>
    <mergeCell ref="D716:F716"/>
    <mergeCell ref="D717:F717"/>
    <mergeCell ref="D718:F718"/>
    <mergeCell ref="D719:F719"/>
    <mergeCell ref="D720:F720"/>
    <mergeCell ref="D721:F721"/>
    <mergeCell ref="D722:F722"/>
    <mergeCell ref="D705:F705"/>
    <mergeCell ref="D706:F706"/>
    <mergeCell ref="D707:F707"/>
    <mergeCell ref="D708:F708"/>
    <mergeCell ref="D709:F709"/>
    <mergeCell ref="D710:F710"/>
    <mergeCell ref="D711:F711"/>
    <mergeCell ref="D712:F712"/>
    <mergeCell ref="D713:F713"/>
    <mergeCell ref="D696:F696"/>
    <mergeCell ref="D697:F697"/>
    <mergeCell ref="D698:F698"/>
    <mergeCell ref="D699:F699"/>
    <mergeCell ref="D700:F700"/>
    <mergeCell ref="D701:F701"/>
    <mergeCell ref="D702:F702"/>
    <mergeCell ref="D703:F703"/>
    <mergeCell ref="D704:F704"/>
    <mergeCell ref="D687:F687"/>
    <mergeCell ref="D688:F688"/>
    <mergeCell ref="D689:F689"/>
    <mergeCell ref="D690:F690"/>
    <mergeCell ref="D691:F691"/>
    <mergeCell ref="D692:F692"/>
    <mergeCell ref="D693:F693"/>
    <mergeCell ref="D694:F694"/>
    <mergeCell ref="D695:F695"/>
    <mergeCell ref="D678:F678"/>
    <mergeCell ref="D679:F679"/>
    <mergeCell ref="D680:F680"/>
    <mergeCell ref="D681:F681"/>
    <mergeCell ref="D682:F682"/>
    <mergeCell ref="D683:F683"/>
    <mergeCell ref="D684:F684"/>
    <mergeCell ref="D685:F685"/>
    <mergeCell ref="D686:F686"/>
    <mergeCell ref="D669:F669"/>
    <mergeCell ref="D670:F670"/>
    <mergeCell ref="D671:F671"/>
    <mergeCell ref="D672:F672"/>
    <mergeCell ref="D673:F673"/>
    <mergeCell ref="D674:F674"/>
    <mergeCell ref="D675:F675"/>
    <mergeCell ref="D676:F676"/>
    <mergeCell ref="D677:F677"/>
    <mergeCell ref="D660:F660"/>
    <mergeCell ref="D661:F661"/>
    <mergeCell ref="D662:F662"/>
    <mergeCell ref="D663:F663"/>
    <mergeCell ref="D664:F664"/>
    <mergeCell ref="D665:F665"/>
    <mergeCell ref="D666:F666"/>
    <mergeCell ref="D667:F667"/>
    <mergeCell ref="D668:F668"/>
    <mergeCell ref="D651:F651"/>
    <mergeCell ref="D652:F652"/>
    <mergeCell ref="D653:F653"/>
    <mergeCell ref="D654:F654"/>
    <mergeCell ref="D655:F655"/>
    <mergeCell ref="D656:F656"/>
    <mergeCell ref="D657:F657"/>
    <mergeCell ref="D658:F658"/>
    <mergeCell ref="D659:F659"/>
    <mergeCell ref="D642:F642"/>
    <mergeCell ref="D643:F643"/>
    <mergeCell ref="D644:F644"/>
    <mergeCell ref="D645:F645"/>
    <mergeCell ref="D646:F646"/>
    <mergeCell ref="D647:F647"/>
    <mergeCell ref="D648:F648"/>
    <mergeCell ref="D649:F649"/>
    <mergeCell ref="D650:F650"/>
    <mergeCell ref="D633:F633"/>
    <mergeCell ref="D634:F634"/>
    <mergeCell ref="D635:F635"/>
    <mergeCell ref="D636:F636"/>
    <mergeCell ref="D637:F637"/>
    <mergeCell ref="D638:F638"/>
    <mergeCell ref="D639:F639"/>
    <mergeCell ref="D640:F640"/>
    <mergeCell ref="D641:F641"/>
    <mergeCell ref="D624:F624"/>
    <mergeCell ref="D625:F625"/>
    <mergeCell ref="D626:F626"/>
    <mergeCell ref="D627:F627"/>
    <mergeCell ref="D628:F628"/>
    <mergeCell ref="D629:F629"/>
    <mergeCell ref="D630:F630"/>
    <mergeCell ref="D631:F631"/>
    <mergeCell ref="D632:F632"/>
    <mergeCell ref="D615:F615"/>
    <mergeCell ref="D616:F616"/>
    <mergeCell ref="D617:F617"/>
    <mergeCell ref="D618:F618"/>
    <mergeCell ref="D619:F619"/>
    <mergeCell ref="D620:F620"/>
    <mergeCell ref="D621:F621"/>
    <mergeCell ref="D622:F622"/>
    <mergeCell ref="D623:F623"/>
    <mergeCell ref="D606:F606"/>
    <mergeCell ref="D607:F607"/>
    <mergeCell ref="D608:F608"/>
    <mergeCell ref="D609:F609"/>
    <mergeCell ref="D610:F610"/>
    <mergeCell ref="D611:F611"/>
    <mergeCell ref="D612:F612"/>
    <mergeCell ref="D613:F613"/>
    <mergeCell ref="D614:F614"/>
    <mergeCell ref="D597:F597"/>
    <mergeCell ref="D598:F598"/>
    <mergeCell ref="D599:F599"/>
    <mergeCell ref="D600:F600"/>
    <mergeCell ref="D601:F601"/>
    <mergeCell ref="D602:F602"/>
    <mergeCell ref="D603:F603"/>
    <mergeCell ref="D604:F604"/>
    <mergeCell ref="D605:F605"/>
    <mergeCell ref="D588:F588"/>
    <mergeCell ref="D589:F589"/>
    <mergeCell ref="D590:F590"/>
    <mergeCell ref="D591:F591"/>
    <mergeCell ref="D592:F592"/>
    <mergeCell ref="D593:F593"/>
    <mergeCell ref="D594:F594"/>
    <mergeCell ref="D595:F595"/>
    <mergeCell ref="D596:F596"/>
    <mergeCell ref="D579:F579"/>
    <mergeCell ref="D580:F580"/>
    <mergeCell ref="D581:F581"/>
    <mergeCell ref="D582:F582"/>
    <mergeCell ref="D583:F583"/>
    <mergeCell ref="D584:F584"/>
    <mergeCell ref="D585:F585"/>
    <mergeCell ref="D586:F586"/>
    <mergeCell ref="D587:F587"/>
    <mergeCell ref="D570:F570"/>
    <mergeCell ref="D571:F571"/>
    <mergeCell ref="D572:F572"/>
    <mergeCell ref="D573:F573"/>
    <mergeCell ref="D574:F574"/>
    <mergeCell ref="D575:F575"/>
    <mergeCell ref="D576:F576"/>
    <mergeCell ref="D577:F577"/>
    <mergeCell ref="D578:F578"/>
    <mergeCell ref="D561:F561"/>
    <mergeCell ref="D562:F562"/>
    <mergeCell ref="D563:F563"/>
    <mergeCell ref="D564:F564"/>
    <mergeCell ref="D565:F565"/>
    <mergeCell ref="D566:F566"/>
    <mergeCell ref="D567:F567"/>
    <mergeCell ref="D568:F568"/>
    <mergeCell ref="D569:F569"/>
    <mergeCell ref="D552:F552"/>
    <mergeCell ref="D553:F553"/>
    <mergeCell ref="D554:F554"/>
    <mergeCell ref="D555:F555"/>
    <mergeCell ref="D556:F556"/>
    <mergeCell ref="D557:F557"/>
    <mergeCell ref="D558:F558"/>
    <mergeCell ref="D559:F559"/>
    <mergeCell ref="D560:F560"/>
    <mergeCell ref="D543:F543"/>
    <mergeCell ref="D544:F544"/>
    <mergeCell ref="D545:F545"/>
    <mergeCell ref="D546:F546"/>
    <mergeCell ref="D547:F547"/>
    <mergeCell ref="D548:F548"/>
    <mergeCell ref="D549:F549"/>
    <mergeCell ref="D550:F550"/>
    <mergeCell ref="D551:F551"/>
    <mergeCell ref="D534:F534"/>
    <mergeCell ref="D535:F535"/>
    <mergeCell ref="D536:F536"/>
    <mergeCell ref="D537:F537"/>
    <mergeCell ref="D538:F538"/>
    <mergeCell ref="D539:F539"/>
    <mergeCell ref="D540:F540"/>
    <mergeCell ref="D541:F541"/>
    <mergeCell ref="D542:F542"/>
    <mergeCell ref="D525:F525"/>
    <mergeCell ref="D526:F526"/>
    <mergeCell ref="D527:F527"/>
    <mergeCell ref="D528:F528"/>
    <mergeCell ref="D529:F529"/>
    <mergeCell ref="D530:F530"/>
    <mergeCell ref="D531:F531"/>
    <mergeCell ref="D532:F532"/>
    <mergeCell ref="D533:F533"/>
    <mergeCell ref="D516:F516"/>
    <mergeCell ref="D517:F517"/>
    <mergeCell ref="D518:F518"/>
    <mergeCell ref="D519:F519"/>
    <mergeCell ref="D520:F520"/>
    <mergeCell ref="D521:F521"/>
    <mergeCell ref="D522:F522"/>
    <mergeCell ref="D523:F523"/>
    <mergeCell ref="D524:F524"/>
    <mergeCell ref="D507:F507"/>
    <mergeCell ref="D508:F508"/>
    <mergeCell ref="D509:F509"/>
    <mergeCell ref="D510:F510"/>
    <mergeCell ref="D511:F511"/>
    <mergeCell ref="D512:F512"/>
    <mergeCell ref="D513:F513"/>
    <mergeCell ref="D514:F514"/>
    <mergeCell ref="D515:F515"/>
    <mergeCell ref="D498:F498"/>
    <mergeCell ref="D499:F499"/>
    <mergeCell ref="D500:F500"/>
    <mergeCell ref="D501:F501"/>
    <mergeCell ref="D502:F502"/>
    <mergeCell ref="D503:F503"/>
    <mergeCell ref="D504:F504"/>
    <mergeCell ref="D505:F505"/>
    <mergeCell ref="D506:F506"/>
    <mergeCell ref="D489:F489"/>
    <mergeCell ref="D490:F490"/>
    <mergeCell ref="D491:F491"/>
    <mergeCell ref="D492:F492"/>
    <mergeCell ref="D493:F493"/>
    <mergeCell ref="D494:F494"/>
    <mergeCell ref="D495:F495"/>
    <mergeCell ref="D496:F496"/>
    <mergeCell ref="D497:F497"/>
    <mergeCell ref="D480:F480"/>
    <mergeCell ref="D481:F481"/>
    <mergeCell ref="D482:F482"/>
    <mergeCell ref="D483:F483"/>
    <mergeCell ref="D484:F484"/>
    <mergeCell ref="D485:F485"/>
    <mergeCell ref="D486:F486"/>
    <mergeCell ref="D487:F487"/>
    <mergeCell ref="D488:F488"/>
    <mergeCell ref="D471:F471"/>
    <mergeCell ref="D472:F472"/>
    <mergeCell ref="D473:F473"/>
    <mergeCell ref="D474:F474"/>
    <mergeCell ref="D475:F475"/>
    <mergeCell ref="D476:F476"/>
    <mergeCell ref="D477:F477"/>
    <mergeCell ref="D478:F478"/>
    <mergeCell ref="D479:F479"/>
    <mergeCell ref="D462:F462"/>
    <mergeCell ref="D463:F463"/>
    <mergeCell ref="D464:F464"/>
    <mergeCell ref="D465:F465"/>
    <mergeCell ref="D466:F466"/>
    <mergeCell ref="D467:F467"/>
    <mergeCell ref="D468:F468"/>
    <mergeCell ref="D469:F469"/>
    <mergeCell ref="D470:F470"/>
    <mergeCell ref="D453:F453"/>
    <mergeCell ref="D454:F454"/>
    <mergeCell ref="D455:F455"/>
    <mergeCell ref="D456:F456"/>
    <mergeCell ref="D457:F457"/>
    <mergeCell ref="D458:F458"/>
    <mergeCell ref="D459:F459"/>
    <mergeCell ref="D460:F460"/>
    <mergeCell ref="D461:F461"/>
    <mergeCell ref="D444:F444"/>
    <mergeCell ref="D445:F445"/>
    <mergeCell ref="D446:F446"/>
    <mergeCell ref="D447:F447"/>
    <mergeCell ref="D448:F448"/>
    <mergeCell ref="D449:F449"/>
    <mergeCell ref="D450:F450"/>
    <mergeCell ref="D451:F451"/>
    <mergeCell ref="D452:F452"/>
    <mergeCell ref="D435:F435"/>
    <mergeCell ref="D436:F436"/>
    <mergeCell ref="D437:F437"/>
    <mergeCell ref="D438:F438"/>
    <mergeCell ref="D439:F439"/>
    <mergeCell ref="D440:F440"/>
    <mergeCell ref="D441:F441"/>
    <mergeCell ref="D442:F442"/>
    <mergeCell ref="D443:F443"/>
    <mergeCell ref="D426:F426"/>
    <mergeCell ref="D427:F427"/>
    <mergeCell ref="D428:F428"/>
    <mergeCell ref="D429:F429"/>
    <mergeCell ref="D430:F430"/>
    <mergeCell ref="D431:F431"/>
    <mergeCell ref="D432:F432"/>
    <mergeCell ref="D433:F433"/>
    <mergeCell ref="D434:F434"/>
    <mergeCell ref="D417:F417"/>
    <mergeCell ref="D418:F418"/>
    <mergeCell ref="D419:F419"/>
    <mergeCell ref="D420:F420"/>
    <mergeCell ref="D421:F421"/>
    <mergeCell ref="D422:F422"/>
    <mergeCell ref="D423:F423"/>
    <mergeCell ref="D424:F424"/>
    <mergeCell ref="D425:F425"/>
    <mergeCell ref="D408:F408"/>
    <mergeCell ref="D409:F409"/>
    <mergeCell ref="D410:F410"/>
    <mergeCell ref="D411:F411"/>
    <mergeCell ref="D412:F412"/>
    <mergeCell ref="D413:F413"/>
    <mergeCell ref="D414:F414"/>
    <mergeCell ref="D415:F415"/>
    <mergeCell ref="D416:F416"/>
    <mergeCell ref="D399:F399"/>
    <mergeCell ref="D400:F400"/>
    <mergeCell ref="D401:F401"/>
    <mergeCell ref="D402:F402"/>
    <mergeCell ref="D403:F403"/>
    <mergeCell ref="D404:F404"/>
    <mergeCell ref="D405:F405"/>
    <mergeCell ref="D406:F406"/>
    <mergeCell ref="D407:F407"/>
    <mergeCell ref="D390:F390"/>
    <mergeCell ref="D391:F391"/>
    <mergeCell ref="D392:F392"/>
    <mergeCell ref="D393:F393"/>
    <mergeCell ref="D394:F394"/>
    <mergeCell ref="D395:F395"/>
    <mergeCell ref="D396:F396"/>
    <mergeCell ref="D397:F397"/>
    <mergeCell ref="D398:F398"/>
    <mergeCell ref="D381:F381"/>
    <mergeCell ref="D382:F382"/>
    <mergeCell ref="D383:F383"/>
    <mergeCell ref="D384:F384"/>
    <mergeCell ref="D385:F385"/>
    <mergeCell ref="D386:F386"/>
    <mergeCell ref="D387:F387"/>
    <mergeCell ref="D388:F388"/>
    <mergeCell ref="D389:F389"/>
    <mergeCell ref="D372:F372"/>
    <mergeCell ref="D373:F373"/>
    <mergeCell ref="D374:F374"/>
    <mergeCell ref="D375:F375"/>
    <mergeCell ref="D376:F376"/>
    <mergeCell ref="D377:F377"/>
    <mergeCell ref="D378:F378"/>
    <mergeCell ref="D379:F379"/>
    <mergeCell ref="D380:F380"/>
    <mergeCell ref="D363:F363"/>
    <mergeCell ref="D364:F364"/>
    <mergeCell ref="D365:F365"/>
    <mergeCell ref="D366:F366"/>
    <mergeCell ref="D367:F367"/>
    <mergeCell ref="D368:F368"/>
    <mergeCell ref="D369:F369"/>
    <mergeCell ref="D370:F370"/>
    <mergeCell ref="D371:F371"/>
    <mergeCell ref="D354:F354"/>
    <mergeCell ref="D355:F355"/>
    <mergeCell ref="D356:F356"/>
    <mergeCell ref="D357:F357"/>
    <mergeCell ref="D358:F358"/>
    <mergeCell ref="D359:F359"/>
    <mergeCell ref="D360:F360"/>
    <mergeCell ref="D361:F361"/>
    <mergeCell ref="D362:F362"/>
    <mergeCell ref="D345:F345"/>
    <mergeCell ref="D346:F346"/>
    <mergeCell ref="D347:F347"/>
    <mergeCell ref="D348:F348"/>
    <mergeCell ref="D349:F349"/>
    <mergeCell ref="D350:F350"/>
    <mergeCell ref="D351:F351"/>
    <mergeCell ref="D352:F352"/>
    <mergeCell ref="D353:F353"/>
    <mergeCell ref="D336:F336"/>
    <mergeCell ref="D337:F337"/>
    <mergeCell ref="D338:F338"/>
    <mergeCell ref="D339:F339"/>
    <mergeCell ref="D340:F340"/>
    <mergeCell ref="D341:F341"/>
    <mergeCell ref="D342:F342"/>
    <mergeCell ref="D343:F343"/>
    <mergeCell ref="D344:F344"/>
    <mergeCell ref="D327:F327"/>
    <mergeCell ref="D328:F328"/>
    <mergeCell ref="D329:F329"/>
    <mergeCell ref="D330:F330"/>
    <mergeCell ref="D331:F331"/>
    <mergeCell ref="D332:F332"/>
    <mergeCell ref="D333:F333"/>
    <mergeCell ref="D334:F334"/>
    <mergeCell ref="D335:F335"/>
    <mergeCell ref="D318:F318"/>
    <mergeCell ref="D319:F319"/>
    <mergeCell ref="D320:F320"/>
    <mergeCell ref="D321:F321"/>
    <mergeCell ref="D322:F322"/>
    <mergeCell ref="D323:F323"/>
    <mergeCell ref="D324:F324"/>
    <mergeCell ref="D325:F325"/>
    <mergeCell ref="D326:F326"/>
    <mergeCell ref="D309:F309"/>
    <mergeCell ref="D310:F310"/>
    <mergeCell ref="D311:F311"/>
    <mergeCell ref="D312:F312"/>
    <mergeCell ref="D313:F313"/>
    <mergeCell ref="D314:F314"/>
    <mergeCell ref="D315:F315"/>
    <mergeCell ref="D316:F316"/>
    <mergeCell ref="D317:F317"/>
    <mergeCell ref="D300:F300"/>
    <mergeCell ref="D301:F301"/>
    <mergeCell ref="D302:F302"/>
    <mergeCell ref="D303:F303"/>
    <mergeCell ref="D304:F304"/>
    <mergeCell ref="D305:F305"/>
    <mergeCell ref="D306:F306"/>
    <mergeCell ref="D307:F307"/>
    <mergeCell ref="D308:F308"/>
    <mergeCell ref="D291:F291"/>
    <mergeCell ref="D292:F292"/>
    <mergeCell ref="D293:F293"/>
    <mergeCell ref="D294:F294"/>
    <mergeCell ref="D295:F295"/>
    <mergeCell ref="D296:F296"/>
    <mergeCell ref="D297:F297"/>
    <mergeCell ref="D298:F298"/>
    <mergeCell ref="D299:F299"/>
    <mergeCell ref="D282:F282"/>
    <mergeCell ref="D283:F283"/>
    <mergeCell ref="D284:F284"/>
    <mergeCell ref="D285:F285"/>
    <mergeCell ref="D286:F286"/>
    <mergeCell ref="D287:F287"/>
    <mergeCell ref="D288:F288"/>
    <mergeCell ref="D289:F289"/>
    <mergeCell ref="D290:F290"/>
    <mergeCell ref="D273:F273"/>
    <mergeCell ref="D274:F274"/>
    <mergeCell ref="D275:F275"/>
    <mergeCell ref="D276:F276"/>
    <mergeCell ref="D277:F277"/>
    <mergeCell ref="D278:F278"/>
    <mergeCell ref="D279:F279"/>
    <mergeCell ref="D280:F280"/>
    <mergeCell ref="D281:F281"/>
    <mergeCell ref="D264:F264"/>
    <mergeCell ref="D265:F265"/>
    <mergeCell ref="D266:F266"/>
    <mergeCell ref="D267:F267"/>
    <mergeCell ref="D268:F268"/>
    <mergeCell ref="D269:F269"/>
    <mergeCell ref="D270:F270"/>
    <mergeCell ref="D271:F271"/>
    <mergeCell ref="D272:F272"/>
    <mergeCell ref="D255:F255"/>
    <mergeCell ref="D256:F256"/>
    <mergeCell ref="D257:F257"/>
    <mergeCell ref="D258:F258"/>
    <mergeCell ref="D259:F259"/>
    <mergeCell ref="D260:F260"/>
    <mergeCell ref="D261:F261"/>
    <mergeCell ref="D262:F262"/>
    <mergeCell ref="D263:F263"/>
    <mergeCell ref="D246:F246"/>
    <mergeCell ref="D247:F247"/>
    <mergeCell ref="D248:F248"/>
    <mergeCell ref="D249:F249"/>
    <mergeCell ref="D250:F250"/>
    <mergeCell ref="D251:F251"/>
    <mergeCell ref="D252:F252"/>
    <mergeCell ref="D253:F253"/>
    <mergeCell ref="D254:F254"/>
    <mergeCell ref="D237:F237"/>
    <mergeCell ref="D238:F238"/>
    <mergeCell ref="D239:F239"/>
    <mergeCell ref="D240:F240"/>
    <mergeCell ref="D241:F241"/>
    <mergeCell ref="D242:F242"/>
    <mergeCell ref="D243:F243"/>
    <mergeCell ref="D244:F244"/>
    <mergeCell ref="D245:F245"/>
    <mergeCell ref="D228:F228"/>
    <mergeCell ref="D229:F229"/>
    <mergeCell ref="D230:F230"/>
    <mergeCell ref="D231:F231"/>
    <mergeCell ref="D232:F232"/>
    <mergeCell ref="D233:F233"/>
    <mergeCell ref="D234:F234"/>
    <mergeCell ref="D235:F235"/>
    <mergeCell ref="D236:F236"/>
    <mergeCell ref="D219:F219"/>
    <mergeCell ref="D220:F220"/>
    <mergeCell ref="D221:F221"/>
    <mergeCell ref="D222:F222"/>
    <mergeCell ref="D223:F223"/>
    <mergeCell ref="D224:F224"/>
    <mergeCell ref="D225:F225"/>
    <mergeCell ref="D226:F226"/>
    <mergeCell ref="D227:F227"/>
    <mergeCell ref="D210:F210"/>
    <mergeCell ref="D211:F211"/>
    <mergeCell ref="D212:F212"/>
    <mergeCell ref="D213:F213"/>
    <mergeCell ref="D214:F214"/>
    <mergeCell ref="D215:F215"/>
    <mergeCell ref="D216:F216"/>
    <mergeCell ref="D217:F217"/>
    <mergeCell ref="D218:F218"/>
    <mergeCell ref="D201:F201"/>
    <mergeCell ref="D202:F202"/>
    <mergeCell ref="D203:F203"/>
    <mergeCell ref="D204:F204"/>
    <mergeCell ref="D205:F205"/>
    <mergeCell ref="D206:F206"/>
    <mergeCell ref="D207:F207"/>
    <mergeCell ref="D208:F208"/>
    <mergeCell ref="D209:F209"/>
    <mergeCell ref="D192:F192"/>
    <mergeCell ref="D193:F193"/>
    <mergeCell ref="D194:F194"/>
    <mergeCell ref="D195:F195"/>
    <mergeCell ref="D196:F196"/>
    <mergeCell ref="D197:F197"/>
    <mergeCell ref="D198:F198"/>
    <mergeCell ref="D199:F199"/>
    <mergeCell ref="D200:F200"/>
    <mergeCell ref="D183:F183"/>
    <mergeCell ref="D184:F184"/>
    <mergeCell ref="D185:F185"/>
    <mergeCell ref="D186:F186"/>
    <mergeCell ref="D187:F187"/>
    <mergeCell ref="D188:F188"/>
    <mergeCell ref="D189:F189"/>
    <mergeCell ref="D190:F190"/>
    <mergeCell ref="D191:F191"/>
    <mergeCell ref="D174:F174"/>
    <mergeCell ref="D175:F175"/>
    <mergeCell ref="D176:F176"/>
    <mergeCell ref="D177:F177"/>
    <mergeCell ref="D178:F178"/>
    <mergeCell ref="D179:F179"/>
    <mergeCell ref="D180:F180"/>
    <mergeCell ref="D181:F181"/>
    <mergeCell ref="D182:F182"/>
    <mergeCell ref="D165:F165"/>
    <mergeCell ref="D166:F166"/>
    <mergeCell ref="D167:F167"/>
    <mergeCell ref="D168:F168"/>
    <mergeCell ref="D169:F169"/>
    <mergeCell ref="D170:F170"/>
    <mergeCell ref="D171:F171"/>
    <mergeCell ref="D172:F172"/>
    <mergeCell ref="D173:F173"/>
    <mergeCell ref="D156:F156"/>
    <mergeCell ref="D157:F157"/>
    <mergeCell ref="D158:F158"/>
    <mergeCell ref="D159:F159"/>
    <mergeCell ref="D160:F160"/>
    <mergeCell ref="D161:F161"/>
    <mergeCell ref="D162:F162"/>
    <mergeCell ref="D163:F163"/>
    <mergeCell ref="D164:F164"/>
    <mergeCell ref="D147:F147"/>
    <mergeCell ref="D148:F148"/>
    <mergeCell ref="D149:F149"/>
    <mergeCell ref="D150:F150"/>
    <mergeCell ref="D151:F151"/>
    <mergeCell ref="D152:F152"/>
    <mergeCell ref="D153:F153"/>
    <mergeCell ref="D154:F154"/>
    <mergeCell ref="D155:F155"/>
    <mergeCell ref="D138:F138"/>
    <mergeCell ref="D139:F139"/>
    <mergeCell ref="D140:F140"/>
    <mergeCell ref="D141:F141"/>
    <mergeCell ref="D142:F142"/>
    <mergeCell ref="D143:F143"/>
    <mergeCell ref="D144:F144"/>
    <mergeCell ref="D145:F145"/>
    <mergeCell ref="D146:F146"/>
    <mergeCell ref="D129:F129"/>
    <mergeCell ref="D130:F130"/>
    <mergeCell ref="D131:F131"/>
    <mergeCell ref="D132:F132"/>
    <mergeCell ref="D133:F133"/>
    <mergeCell ref="D134:F134"/>
    <mergeCell ref="D135:F135"/>
    <mergeCell ref="D136:F136"/>
    <mergeCell ref="D137:F137"/>
    <mergeCell ref="D120:F120"/>
    <mergeCell ref="D121:F121"/>
    <mergeCell ref="D122:F122"/>
    <mergeCell ref="D123:F123"/>
    <mergeCell ref="D124:F124"/>
    <mergeCell ref="D125:F125"/>
    <mergeCell ref="D126:F126"/>
    <mergeCell ref="D127:F127"/>
    <mergeCell ref="D128:F128"/>
    <mergeCell ref="D111:F111"/>
    <mergeCell ref="D112:F112"/>
    <mergeCell ref="D113:F113"/>
    <mergeCell ref="D114:F114"/>
    <mergeCell ref="D115:F115"/>
    <mergeCell ref="D116:F116"/>
    <mergeCell ref="D117:F117"/>
    <mergeCell ref="D118:F118"/>
    <mergeCell ref="D119:F119"/>
    <mergeCell ref="D102:F102"/>
    <mergeCell ref="D103:F103"/>
    <mergeCell ref="D104:F104"/>
    <mergeCell ref="D105:F105"/>
    <mergeCell ref="D106:F106"/>
    <mergeCell ref="D107:F107"/>
    <mergeCell ref="D108:F108"/>
    <mergeCell ref="D109:F109"/>
    <mergeCell ref="D110:F110"/>
    <mergeCell ref="D93:F93"/>
    <mergeCell ref="D94:F94"/>
    <mergeCell ref="D95:F95"/>
    <mergeCell ref="D96:F96"/>
    <mergeCell ref="D97:F97"/>
    <mergeCell ref="D98:F98"/>
    <mergeCell ref="D99:F99"/>
    <mergeCell ref="D100:F100"/>
    <mergeCell ref="D101:F101"/>
    <mergeCell ref="D84:F84"/>
    <mergeCell ref="D85:F85"/>
    <mergeCell ref="D86:F86"/>
    <mergeCell ref="D87:F87"/>
    <mergeCell ref="D88:F88"/>
    <mergeCell ref="D89:F89"/>
    <mergeCell ref="D90:F90"/>
    <mergeCell ref="D91:F91"/>
    <mergeCell ref="D92:F92"/>
    <mergeCell ref="D75:F75"/>
    <mergeCell ref="D76:F76"/>
    <mergeCell ref="D77:F77"/>
    <mergeCell ref="D78:F78"/>
    <mergeCell ref="D79:F79"/>
    <mergeCell ref="D80:F80"/>
    <mergeCell ref="D81:F81"/>
    <mergeCell ref="D82:F82"/>
    <mergeCell ref="D83:F83"/>
    <mergeCell ref="D66:F66"/>
    <mergeCell ref="D67:F67"/>
    <mergeCell ref="D68:F68"/>
    <mergeCell ref="D69:F69"/>
    <mergeCell ref="D70:F70"/>
    <mergeCell ref="D71:F71"/>
    <mergeCell ref="D72:F72"/>
    <mergeCell ref="D73:F73"/>
    <mergeCell ref="D74:F74"/>
    <mergeCell ref="D57:F57"/>
    <mergeCell ref="D58:F58"/>
    <mergeCell ref="D59:F59"/>
    <mergeCell ref="D60:F60"/>
    <mergeCell ref="D61:F61"/>
    <mergeCell ref="D62:F62"/>
    <mergeCell ref="D63:F63"/>
    <mergeCell ref="D64:F64"/>
    <mergeCell ref="D65:F65"/>
    <mergeCell ref="D48:F48"/>
    <mergeCell ref="D49:F49"/>
    <mergeCell ref="D50:F50"/>
    <mergeCell ref="D51:F51"/>
    <mergeCell ref="D52:F52"/>
    <mergeCell ref="D53:F53"/>
    <mergeCell ref="D54:F54"/>
    <mergeCell ref="D55:F55"/>
    <mergeCell ref="D56:F56"/>
    <mergeCell ref="D39:F39"/>
    <mergeCell ref="D40:F40"/>
    <mergeCell ref="D41:F41"/>
    <mergeCell ref="D42:F42"/>
    <mergeCell ref="D43:F43"/>
    <mergeCell ref="D44:F44"/>
    <mergeCell ref="D45:F45"/>
    <mergeCell ref="D46:F46"/>
    <mergeCell ref="D47:F47"/>
    <mergeCell ref="D30:F30"/>
    <mergeCell ref="D31:F31"/>
    <mergeCell ref="D32:F32"/>
    <mergeCell ref="D33:F33"/>
    <mergeCell ref="D34:F34"/>
    <mergeCell ref="D35:F35"/>
    <mergeCell ref="D36:F36"/>
    <mergeCell ref="D37:F37"/>
    <mergeCell ref="D38:F38"/>
    <mergeCell ref="D21:F21"/>
    <mergeCell ref="D22:F22"/>
    <mergeCell ref="D23:F23"/>
    <mergeCell ref="D24:F24"/>
    <mergeCell ref="D25:F25"/>
    <mergeCell ref="D26:F26"/>
    <mergeCell ref="D27:F27"/>
    <mergeCell ref="D28:F28"/>
    <mergeCell ref="D29:F29"/>
    <mergeCell ref="D12:F12"/>
    <mergeCell ref="D13:F13"/>
    <mergeCell ref="D14:F14"/>
    <mergeCell ref="D15:F15"/>
    <mergeCell ref="D16:F16"/>
    <mergeCell ref="D17:F17"/>
    <mergeCell ref="D18:F18"/>
    <mergeCell ref="D19:F19"/>
    <mergeCell ref="D20:F20"/>
    <mergeCell ref="B1:F1"/>
    <mergeCell ref="B2:F2"/>
    <mergeCell ref="B4:F4"/>
    <mergeCell ref="D6:F6"/>
    <mergeCell ref="D7:F7"/>
    <mergeCell ref="D8:F8"/>
    <mergeCell ref="D9:F9"/>
    <mergeCell ref="D10:F10"/>
    <mergeCell ref="D11:F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I74"/>
  <sheetViews>
    <sheetView showGridLines="0" zoomScaleNormal="100" workbookViewId="0"/>
  </sheetViews>
  <sheetFormatPr defaultColWidth="8.7109375" defaultRowHeight="15" x14ac:dyDescent="0.25"/>
  <cols>
    <col min="1" max="1" width="2" customWidth="1"/>
    <col min="2" max="2" width="52" customWidth="1"/>
    <col min="3" max="3" width="60" customWidth="1"/>
    <col min="4" max="4" width="13" customWidth="1"/>
    <col min="5" max="5" width="30" customWidth="1"/>
    <col min="6" max="8" width="16" customWidth="1"/>
    <col min="9" max="9" width="62" customWidth="1"/>
  </cols>
  <sheetData>
    <row r="1" spans="2:9" ht="25.5" customHeight="1" x14ac:dyDescent="0.25">
      <c r="B1" s="14" t="s">
        <v>2128</v>
      </c>
      <c r="C1" s="14"/>
      <c r="D1" s="14"/>
      <c r="E1" s="14"/>
      <c r="F1" s="14"/>
      <c r="G1" s="14"/>
      <c r="H1" s="14"/>
      <c r="I1" s="14"/>
    </row>
    <row r="2" spans="2:9" ht="15" customHeight="1" x14ac:dyDescent="0.25">
      <c r="B2" s="13" t="s">
        <v>2129</v>
      </c>
      <c r="C2" s="13"/>
      <c r="D2" s="13"/>
      <c r="E2" s="13"/>
      <c r="F2" s="13"/>
      <c r="G2" s="13"/>
      <c r="H2" s="13"/>
      <c r="I2" s="13"/>
    </row>
    <row r="4" spans="2:9" ht="18" customHeight="1" x14ac:dyDescent="0.25">
      <c r="B4" s="12" t="s">
        <v>2130</v>
      </c>
      <c r="C4" s="12"/>
      <c r="D4" s="12"/>
      <c r="E4" s="12"/>
      <c r="F4" s="12"/>
      <c r="G4" s="12"/>
      <c r="H4" s="12"/>
      <c r="I4" s="12"/>
    </row>
    <row r="5" spans="2:9" ht="30" customHeight="1" x14ac:dyDescent="0.25">
      <c r="B5" s="22" t="s">
        <v>605</v>
      </c>
      <c r="C5" s="22" t="s">
        <v>80</v>
      </c>
      <c r="D5" s="22" t="s">
        <v>2131</v>
      </c>
      <c r="E5" s="22" t="s">
        <v>2132</v>
      </c>
      <c r="F5" s="22" t="s">
        <v>2133</v>
      </c>
    </row>
    <row r="6" spans="2:9" ht="39.75" customHeight="1" x14ac:dyDescent="0.25">
      <c r="B6" s="23" t="s">
        <v>1256</v>
      </c>
      <c r="C6" s="24" t="s">
        <v>2134</v>
      </c>
      <c r="D6" s="161">
        <v>3</v>
      </c>
      <c r="E6" s="24" t="s">
        <v>703</v>
      </c>
      <c r="F6" s="9" t="s">
        <v>2135</v>
      </c>
      <c r="G6" s="9"/>
      <c r="H6" s="9"/>
      <c r="I6" s="9"/>
    </row>
    <row r="7" spans="2:9" ht="39.75" customHeight="1" x14ac:dyDescent="0.25">
      <c r="B7" s="25" t="s">
        <v>1261</v>
      </c>
      <c r="C7" s="26" t="s">
        <v>2136</v>
      </c>
      <c r="D7" s="163">
        <v>2.1</v>
      </c>
      <c r="E7" s="26" t="s">
        <v>2137</v>
      </c>
      <c r="F7" s="8" t="s">
        <v>2138</v>
      </c>
      <c r="G7" s="8"/>
      <c r="H7" s="8"/>
      <c r="I7" s="8"/>
    </row>
    <row r="8" spans="2:9" ht="39.75" customHeight="1" x14ac:dyDescent="0.25">
      <c r="B8" s="23" t="s">
        <v>1249</v>
      </c>
      <c r="C8" s="24" t="s">
        <v>2139</v>
      </c>
      <c r="D8" s="161">
        <v>1.4</v>
      </c>
      <c r="E8" s="24" t="s">
        <v>2140</v>
      </c>
      <c r="F8" s="9" t="s">
        <v>2141</v>
      </c>
      <c r="G8" s="9"/>
      <c r="H8" s="9"/>
      <c r="I8" s="9"/>
    </row>
    <row r="9" spans="2:9" ht="39.75" customHeight="1" x14ac:dyDescent="0.25">
      <c r="B9" s="25" t="s">
        <v>2142</v>
      </c>
      <c r="C9" s="26" t="s">
        <v>2143</v>
      </c>
      <c r="D9" s="163">
        <v>0.85</v>
      </c>
      <c r="E9" s="26" t="s">
        <v>2144</v>
      </c>
      <c r="F9" s="8" t="s">
        <v>2145</v>
      </c>
      <c r="G9" s="8"/>
      <c r="H9" s="8"/>
      <c r="I9" s="8"/>
    </row>
    <row r="10" spans="2:9" ht="39.75" customHeight="1" x14ac:dyDescent="0.25">
      <c r="B10" s="23" t="s">
        <v>1832</v>
      </c>
      <c r="C10" s="24" t="s">
        <v>2146</v>
      </c>
      <c r="D10" s="161">
        <v>2.4</v>
      </c>
      <c r="E10" s="24" t="s">
        <v>2147</v>
      </c>
      <c r="F10" s="9" t="s">
        <v>2148</v>
      </c>
      <c r="G10" s="9"/>
      <c r="H10" s="9"/>
      <c r="I10" s="9"/>
    </row>
    <row r="11" spans="2:9" ht="39.75" customHeight="1" x14ac:dyDescent="0.25">
      <c r="B11" s="25" t="s">
        <v>1488</v>
      </c>
      <c r="C11" s="26" t="s">
        <v>2149</v>
      </c>
      <c r="D11" s="163">
        <v>1.5</v>
      </c>
      <c r="E11" s="26" t="s">
        <v>2150</v>
      </c>
      <c r="F11" s="8" t="s">
        <v>2151</v>
      </c>
      <c r="G11" s="8"/>
      <c r="H11" s="8"/>
      <c r="I11" s="8"/>
    </row>
    <row r="12" spans="2:9" ht="39.75" customHeight="1" x14ac:dyDescent="0.25">
      <c r="B12" s="23" t="s">
        <v>2042</v>
      </c>
      <c r="C12" s="24" t="s">
        <v>2152</v>
      </c>
      <c r="D12" s="161">
        <v>2.6</v>
      </c>
      <c r="E12" s="24" t="s">
        <v>2153</v>
      </c>
      <c r="F12" s="9" t="s">
        <v>2154</v>
      </c>
      <c r="G12" s="9"/>
      <c r="H12" s="9"/>
      <c r="I12" s="9"/>
    </row>
    <row r="13" spans="2:9" ht="39.75" customHeight="1" x14ac:dyDescent="0.25">
      <c r="B13" s="25" t="s">
        <v>1766</v>
      </c>
      <c r="C13" s="26" t="s">
        <v>2155</v>
      </c>
      <c r="D13" s="163">
        <v>1.3</v>
      </c>
      <c r="E13" s="26" t="s">
        <v>2144</v>
      </c>
      <c r="F13" s="8" t="s">
        <v>2156</v>
      </c>
      <c r="G13" s="8"/>
      <c r="H13" s="8"/>
      <c r="I13" s="8"/>
    </row>
    <row r="14" spans="2:9" ht="39.75" customHeight="1" x14ac:dyDescent="0.25">
      <c r="B14" s="23" t="s">
        <v>2073</v>
      </c>
      <c r="C14" s="24" t="s">
        <v>2157</v>
      </c>
      <c r="D14" s="161">
        <v>1.8</v>
      </c>
      <c r="E14" s="24" t="s">
        <v>2158</v>
      </c>
      <c r="F14" s="9" t="s">
        <v>2159</v>
      </c>
      <c r="G14" s="9"/>
      <c r="H14" s="9"/>
      <c r="I14" s="9"/>
    </row>
    <row r="15" spans="2:9" ht="39.75" customHeight="1" x14ac:dyDescent="0.25">
      <c r="B15" s="25" t="s">
        <v>2160</v>
      </c>
      <c r="C15" s="26" t="s">
        <v>2161</v>
      </c>
      <c r="D15" s="163">
        <v>2.8</v>
      </c>
      <c r="E15" s="26" t="s">
        <v>2162</v>
      </c>
      <c r="F15" s="8" t="s">
        <v>2163</v>
      </c>
      <c r="G15" s="8"/>
      <c r="H15" s="8"/>
      <c r="I15" s="8"/>
    </row>
    <row r="16" spans="2:9" ht="39.75" customHeight="1" x14ac:dyDescent="0.25">
      <c r="B16" s="23" t="s">
        <v>1237</v>
      </c>
      <c r="C16" s="24" t="s">
        <v>2164</v>
      </c>
      <c r="D16" s="161">
        <v>0.9</v>
      </c>
      <c r="E16" s="24" t="s">
        <v>2165</v>
      </c>
      <c r="F16" s="9" t="s">
        <v>2166</v>
      </c>
      <c r="G16" s="9"/>
      <c r="H16" s="9"/>
      <c r="I16" s="9"/>
    </row>
    <row r="17" spans="2:9" ht="39.75" customHeight="1" x14ac:dyDescent="0.25">
      <c r="B17" s="25" t="s">
        <v>2022</v>
      </c>
      <c r="C17" s="26" t="s">
        <v>2167</v>
      </c>
      <c r="D17" s="163">
        <v>0.45</v>
      </c>
      <c r="E17" s="26" t="s">
        <v>2165</v>
      </c>
      <c r="F17" s="8" t="s">
        <v>2145</v>
      </c>
      <c r="G17" s="8"/>
      <c r="H17" s="8"/>
      <c r="I17" s="8"/>
    </row>
    <row r="19" spans="2:9" ht="18" customHeight="1" x14ac:dyDescent="0.25">
      <c r="B19" s="12" t="s">
        <v>2168</v>
      </c>
      <c r="C19" s="12"/>
      <c r="D19" s="12"/>
      <c r="E19" s="12"/>
      <c r="F19" s="12"/>
      <c r="G19" s="12"/>
      <c r="H19" s="12"/>
      <c r="I19" s="12"/>
    </row>
    <row r="20" spans="2:9" ht="30" customHeight="1" x14ac:dyDescent="0.25">
      <c r="B20" s="22" t="s">
        <v>2169</v>
      </c>
      <c r="C20" s="22" t="s">
        <v>2170</v>
      </c>
      <c r="D20" s="22" t="s">
        <v>2171</v>
      </c>
    </row>
    <row r="21" spans="2:9" ht="15" customHeight="1" x14ac:dyDescent="0.25">
      <c r="B21" s="20" t="s">
        <v>548</v>
      </c>
      <c r="C21" s="161">
        <v>1</v>
      </c>
      <c r="D21" s="9" t="s">
        <v>2172</v>
      </c>
      <c r="E21" s="9"/>
      <c r="F21" s="9"/>
      <c r="G21" s="9"/>
      <c r="H21" s="9"/>
      <c r="I21" s="9"/>
    </row>
    <row r="22" spans="2:9" ht="15" customHeight="1" x14ac:dyDescent="0.25">
      <c r="B22" s="119" t="s">
        <v>529</v>
      </c>
      <c r="C22" s="163">
        <v>0.9</v>
      </c>
      <c r="D22" s="8" t="s">
        <v>2173</v>
      </c>
      <c r="E22" s="8"/>
      <c r="F22" s="8"/>
      <c r="G22" s="8"/>
      <c r="H22" s="8"/>
      <c r="I22" s="8"/>
    </row>
    <row r="23" spans="2:9" ht="15" customHeight="1" x14ac:dyDescent="0.25">
      <c r="B23" s="20" t="s">
        <v>218</v>
      </c>
      <c r="C23" s="161">
        <v>0.8</v>
      </c>
      <c r="D23" s="9" t="s">
        <v>2174</v>
      </c>
      <c r="E23" s="9"/>
      <c r="F23" s="9"/>
      <c r="G23" s="9"/>
      <c r="H23" s="9"/>
      <c r="I23" s="9"/>
    </row>
    <row r="24" spans="2:9" ht="15" customHeight="1" x14ac:dyDescent="0.25">
      <c r="B24" s="119" t="s">
        <v>703</v>
      </c>
      <c r="C24" s="163">
        <v>0.62</v>
      </c>
      <c r="D24" s="8" t="s">
        <v>2175</v>
      </c>
      <c r="E24" s="8"/>
      <c r="F24" s="8"/>
      <c r="G24" s="8"/>
      <c r="H24" s="8"/>
      <c r="I24" s="8"/>
    </row>
    <row r="25" spans="2:9" ht="15" customHeight="1" x14ac:dyDescent="0.25">
      <c r="B25" s="20" t="s">
        <v>2176</v>
      </c>
      <c r="C25" s="161">
        <v>0.45</v>
      </c>
      <c r="D25" s="9" t="s">
        <v>2177</v>
      </c>
      <c r="E25" s="9"/>
      <c r="F25" s="9"/>
      <c r="G25" s="9"/>
      <c r="H25" s="9"/>
      <c r="I25" s="9"/>
    </row>
    <row r="26" spans="2:9" ht="15" customHeight="1" x14ac:dyDescent="0.25">
      <c r="B26" s="119" t="s">
        <v>2178</v>
      </c>
      <c r="C26" s="163">
        <v>0.1</v>
      </c>
      <c r="D26" s="8" t="s">
        <v>2179</v>
      </c>
      <c r="E26" s="8"/>
      <c r="F26" s="8"/>
      <c r="G26" s="8"/>
      <c r="H26" s="8"/>
      <c r="I26" s="8"/>
    </row>
    <row r="28" spans="2:9" ht="18" customHeight="1" x14ac:dyDescent="0.25">
      <c r="B28" s="12" t="s">
        <v>2180</v>
      </c>
      <c r="C28" s="12"/>
      <c r="D28" s="12"/>
      <c r="E28" s="12"/>
      <c r="F28" s="12"/>
      <c r="G28" s="12"/>
      <c r="H28" s="12"/>
      <c r="I28" s="12"/>
    </row>
    <row r="29" spans="2:9" ht="30" customHeight="1" x14ac:dyDescent="0.25">
      <c r="B29" s="22" t="s">
        <v>2181</v>
      </c>
      <c r="C29" s="22" t="s">
        <v>2182</v>
      </c>
      <c r="D29" s="22" t="s">
        <v>2183</v>
      </c>
      <c r="E29" s="22" t="s">
        <v>2184</v>
      </c>
      <c r="F29" s="22" t="s">
        <v>2185</v>
      </c>
    </row>
    <row r="30" spans="2:9" ht="45.75" customHeight="1" x14ac:dyDescent="0.25">
      <c r="B30" s="23" t="s">
        <v>2186</v>
      </c>
      <c r="C30" s="9" t="s">
        <v>2187</v>
      </c>
      <c r="D30" s="9"/>
      <c r="E30" s="24" t="s">
        <v>2188</v>
      </c>
      <c r="F30" s="9" t="s">
        <v>2189</v>
      </c>
      <c r="G30" s="9"/>
      <c r="H30" s="9" t="s">
        <v>2190</v>
      </c>
      <c r="I30" s="9"/>
    </row>
    <row r="31" spans="2:9" ht="45.75" customHeight="1" x14ac:dyDescent="0.25">
      <c r="B31" s="25" t="s">
        <v>2191</v>
      </c>
      <c r="C31" s="8" t="s">
        <v>2192</v>
      </c>
      <c r="D31" s="8"/>
      <c r="E31" s="26" t="s">
        <v>2193</v>
      </c>
      <c r="F31" s="8" t="s">
        <v>2194</v>
      </c>
      <c r="G31" s="8"/>
      <c r="H31" s="8" t="s">
        <v>2195</v>
      </c>
      <c r="I31" s="8"/>
    </row>
    <row r="32" spans="2:9" ht="45.75" customHeight="1" x14ac:dyDescent="0.25">
      <c r="B32" s="23" t="s">
        <v>2196</v>
      </c>
      <c r="C32" s="9" t="s">
        <v>2197</v>
      </c>
      <c r="D32" s="9"/>
      <c r="E32" s="24" t="s">
        <v>2198</v>
      </c>
      <c r="F32" s="9" t="s">
        <v>2199</v>
      </c>
      <c r="G32" s="9"/>
      <c r="H32" s="9" t="s">
        <v>2200</v>
      </c>
      <c r="I32" s="9"/>
    </row>
    <row r="33" spans="2:9" ht="45.75" customHeight="1" x14ac:dyDescent="0.25">
      <c r="B33" s="25" t="s">
        <v>1211</v>
      </c>
      <c r="C33" s="8" t="s">
        <v>2201</v>
      </c>
      <c r="D33" s="8"/>
      <c r="E33" s="26" t="s">
        <v>2202</v>
      </c>
      <c r="F33" s="8" t="s">
        <v>2203</v>
      </c>
      <c r="G33" s="8"/>
      <c r="H33" s="8" t="s">
        <v>2204</v>
      </c>
      <c r="I33" s="8"/>
    </row>
    <row r="34" spans="2:9" ht="45.75" customHeight="1" x14ac:dyDescent="0.25">
      <c r="B34" s="23" t="s">
        <v>2205</v>
      </c>
      <c r="C34" s="9" t="s">
        <v>2206</v>
      </c>
      <c r="D34" s="9"/>
      <c r="E34" s="24" t="s">
        <v>2207</v>
      </c>
      <c r="F34" s="9" t="s">
        <v>2208</v>
      </c>
      <c r="G34" s="9"/>
      <c r="H34" s="9" t="s">
        <v>2209</v>
      </c>
      <c r="I34" s="9"/>
    </row>
    <row r="35" spans="2:9" ht="45.75" customHeight="1" x14ac:dyDescent="0.25">
      <c r="B35" s="25" t="s">
        <v>2210</v>
      </c>
      <c r="C35" s="8" t="s">
        <v>2211</v>
      </c>
      <c r="D35" s="8"/>
      <c r="E35" s="26" t="s">
        <v>2212</v>
      </c>
      <c r="F35" s="8" t="s">
        <v>2213</v>
      </c>
      <c r="G35" s="8"/>
      <c r="H35" s="8" t="s">
        <v>2214</v>
      </c>
      <c r="I35" s="8"/>
    </row>
    <row r="36" spans="2:9" ht="45.75" customHeight="1" x14ac:dyDescent="0.25">
      <c r="B36" s="23" t="s">
        <v>2215</v>
      </c>
      <c r="C36" s="9" t="s">
        <v>2216</v>
      </c>
      <c r="D36" s="9"/>
      <c r="E36" s="24" t="s">
        <v>2217</v>
      </c>
      <c r="F36" s="9" t="s">
        <v>2218</v>
      </c>
      <c r="G36" s="9"/>
      <c r="H36" s="9" t="s">
        <v>2219</v>
      </c>
      <c r="I36" s="9"/>
    </row>
    <row r="37" spans="2:9" ht="45.75" customHeight="1" x14ac:dyDescent="0.25">
      <c r="B37" s="25" t="s">
        <v>2220</v>
      </c>
      <c r="C37" s="8" t="s">
        <v>2221</v>
      </c>
      <c r="D37" s="8"/>
      <c r="E37" s="26" t="s">
        <v>2222</v>
      </c>
      <c r="F37" s="8" t="s">
        <v>2223</v>
      </c>
      <c r="G37" s="8"/>
      <c r="H37" s="8" t="s">
        <v>2224</v>
      </c>
      <c r="I37" s="8"/>
    </row>
    <row r="38" spans="2:9" ht="45.75" customHeight="1" x14ac:dyDescent="0.25">
      <c r="B38" s="23" t="s">
        <v>2225</v>
      </c>
      <c r="C38" s="9" t="s">
        <v>2226</v>
      </c>
      <c r="D38" s="9"/>
      <c r="E38" s="24" t="s">
        <v>2222</v>
      </c>
      <c r="F38" s="9" t="s">
        <v>2208</v>
      </c>
      <c r="G38" s="9"/>
      <c r="H38" s="9" t="s">
        <v>2227</v>
      </c>
      <c r="I38" s="9"/>
    </row>
    <row r="39" spans="2:9" ht="45.75" customHeight="1" x14ac:dyDescent="0.25">
      <c r="B39" s="25" t="s">
        <v>2228</v>
      </c>
      <c r="C39" s="8" t="s">
        <v>2229</v>
      </c>
      <c r="D39" s="8"/>
      <c r="E39" s="26" t="s">
        <v>2222</v>
      </c>
      <c r="F39" s="8" t="s">
        <v>2230</v>
      </c>
      <c r="G39" s="8"/>
      <c r="H39" s="8" t="s">
        <v>2231</v>
      </c>
      <c r="I39" s="8"/>
    </row>
    <row r="41" spans="2:9" ht="18" customHeight="1" x14ac:dyDescent="0.25">
      <c r="B41" s="12" t="s">
        <v>2232</v>
      </c>
      <c r="C41" s="12"/>
      <c r="D41" s="12"/>
      <c r="E41" s="12"/>
      <c r="F41" s="12"/>
      <c r="G41" s="12"/>
      <c r="H41" s="12"/>
      <c r="I41" s="12"/>
    </row>
    <row r="42" spans="2:9" ht="30" customHeight="1" x14ac:dyDescent="0.25">
      <c r="B42" s="22" t="s">
        <v>605</v>
      </c>
      <c r="C42" s="22" t="s">
        <v>2233</v>
      </c>
      <c r="D42" s="22" t="s">
        <v>2234</v>
      </c>
      <c r="E42" s="22" t="s">
        <v>2235</v>
      </c>
      <c r="F42" s="22" t="s">
        <v>2236</v>
      </c>
      <c r="G42" s="22" t="s">
        <v>667</v>
      </c>
      <c r="I42" s="22" t="s">
        <v>667</v>
      </c>
    </row>
    <row r="43" spans="2:9" x14ac:dyDescent="0.25">
      <c r="B43" s="24" t="s">
        <v>1256</v>
      </c>
      <c r="C43" s="204">
        <f>IFERROR(INDEX('Portfolio Summary'!$D$96:$D$107,MATCH($B43,'Portfolio Summary'!$B$96:$B$107,0)),0)</f>
        <v>425000</v>
      </c>
      <c r="D43" s="204"/>
      <c r="E43" s="174">
        <v>0.65</v>
      </c>
      <c r="F43" s="205">
        <f t="shared" ref="F43:F54" si="0">C43*E43</f>
        <v>276250</v>
      </c>
      <c r="G43" s="205"/>
      <c r="H43" s="175">
        <f t="shared" ref="H43:H54" si="1">IF($C$57=0,0,F43/$C$57)</f>
        <v>1.8416666666666668E-2</v>
      </c>
      <c r="I43" s="172" t="str">
        <f t="shared" ref="I43:I54" si="2">IF(C43=0,"No exposure",IF(H43&gt;1,"BREACH - STOP BINDING",IF(H43&gt;0.8,"WATCH","OK")))</f>
        <v>OK</v>
      </c>
    </row>
    <row r="44" spans="2:9" x14ac:dyDescent="0.25">
      <c r="B44" s="24" t="s">
        <v>1261</v>
      </c>
      <c r="C44" s="204">
        <f>IFERROR(INDEX('Portfolio Summary'!$D$96:$D$107,MATCH($B44,'Portfolio Summary'!$B$96:$B$107,0)),0)</f>
        <v>185000</v>
      </c>
      <c r="D44" s="204"/>
      <c r="E44" s="174">
        <v>0.4</v>
      </c>
      <c r="F44" s="205">
        <f t="shared" si="0"/>
        <v>74000</v>
      </c>
      <c r="G44" s="205"/>
      <c r="H44" s="175">
        <f t="shared" si="1"/>
        <v>4.933333333333333E-3</v>
      </c>
      <c r="I44" s="172" t="str">
        <f t="shared" si="2"/>
        <v>OK</v>
      </c>
    </row>
    <row r="45" spans="2:9" x14ac:dyDescent="0.25">
      <c r="B45" s="24" t="s">
        <v>1249</v>
      </c>
      <c r="C45" s="204">
        <f>IFERROR(INDEX('Portfolio Summary'!$D$96:$D$107,MATCH($B45,'Portfolio Summary'!$B$96:$B$107,0)),0)</f>
        <v>0</v>
      </c>
      <c r="D45" s="204"/>
      <c r="E45" s="174">
        <v>0.22</v>
      </c>
      <c r="F45" s="205">
        <f t="shared" si="0"/>
        <v>0</v>
      </c>
      <c r="G45" s="205"/>
      <c r="H45" s="175">
        <f t="shared" si="1"/>
        <v>0</v>
      </c>
      <c r="I45" s="172" t="str">
        <f t="shared" si="2"/>
        <v>No exposure</v>
      </c>
    </row>
    <row r="46" spans="2:9" x14ac:dyDescent="0.25">
      <c r="B46" s="24" t="s">
        <v>2142</v>
      </c>
      <c r="C46" s="204">
        <f>IFERROR(INDEX('Portfolio Summary'!$D$96:$D$107,MATCH($B46,'Portfolio Summary'!$B$96:$B$107,0)),0)</f>
        <v>0</v>
      </c>
      <c r="D46" s="204"/>
      <c r="E46" s="174">
        <v>0.1</v>
      </c>
      <c r="F46" s="205">
        <f t="shared" si="0"/>
        <v>0</v>
      </c>
      <c r="G46" s="205"/>
      <c r="H46" s="175">
        <f t="shared" si="1"/>
        <v>0</v>
      </c>
      <c r="I46" s="172" t="str">
        <f t="shared" si="2"/>
        <v>No exposure</v>
      </c>
    </row>
    <row r="47" spans="2:9" x14ac:dyDescent="0.25">
      <c r="B47" s="24" t="s">
        <v>1832</v>
      </c>
      <c r="C47" s="204">
        <f>IFERROR(INDEX('Portfolio Summary'!$D$96:$D$107,MATCH($B47,'Portfolio Summary'!$B$96:$B$107,0)),0)</f>
        <v>0</v>
      </c>
      <c r="D47" s="204"/>
      <c r="E47" s="174">
        <v>0.3</v>
      </c>
      <c r="F47" s="205">
        <f t="shared" si="0"/>
        <v>0</v>
      </c>
      <c r="G47" s="205"/>
      <c r="H47" s="175">
        <f t="shared" si="1"/>
        <v>0</v>
      </c>
      <c r="I47" s="172" t="str">
        <f t="shared" si="2"/>
        <v>No exposure</v>
      </c>
    </row>
    <row r="48" spans="2:9" x14ac:dyDescent="0.25">
      <c r="B48" s="24" t="s">
        <v>1488</v>
      </c>
      <c r="C48" s="204">
        <f>IFERROR(INDEX('Portfolio Summary'!$D$96:$D$107,MATCH($B48,'Portfolio Summary'!$B$96:$B$107,0)),0)</f>
        <v>5050000</v>
      </c>
      <c r="D48" s="204"/>
      <c r="E48" s="174">
        <v>0.18</v>
      </c>
      <c r="F48" s="205">
        <f t="shared" si="0"/>
        <v>909000</v>
      </c>
      <c r="G48" s="205"/>
      <c r="H48" s="175">
        <f t="shared" si="1"/>
        <v>6.0600000000000001E-2</v>
      </c>
      <c r="I48" s="172" t="str">
        <f t="shared" si="2"/>
        <v>OK</v>
      </c>
    </row>
    <row r="49" spans="2:9" x14ac:dyDescent="0.25">
      <c r="B49" s="24" t="s">
        <v>2042</v>
      </c>
      <c r="C49" s="204">
        <f>IFERROR(INDEX('Portfolio Summary'!$D$96:$D$107,MATCH($B49,'Portfolio Summary'!$B$96:$B$107,0)),0)</f>
        <v>2200000</v>
      </c>
      <c r="D49" s="204"/>
      <c r="E49" s="174">
        <v>0.55000000000000004</v>
      </c>
      <c r="F49" s="205">
        <f t="shared" si="0"/>
        <v>1210000</v>
      </c>
      <c r="G49" s="205"/>
      <c r="H49" s="175">
        <f t="shared" si="1"/>
        <v>8.0666666666666664E-2</v>
      </c>
      <c r="I49" s="172" t="str">
        <f t="shared" si="2"/>
        <v>OK</v>
      </c>
    </row>
    <row r="50" spans="2:9" x14ac:dyDescent="0.25">
      <c r="B50" s="24" t="s">
        <v>1766</v>
      </c>
      <c r="C50" s="204">
        <f>IFERROR(INDEX('Portfolio Summary'!$D$96:$D$107,MATCH($B50,'Portfolio Summary'!$B$96:$B$107,0)),0)</f>
        <v>0</v>
      </c>
      <c r="D50" s="204"/>
      <c r="E50" s="174">
        <v>0.2</v>
      </c>
      <c r="F50" s="205">
        <f t="shared" si="0"/>
        <v>0</v>
      </c>
      <c r="G50" s="205"/>
      <c r="H50" s="175">
        <f t="shared" si="1"/>
        <v>0</v>
      </c>
      <c r="I50" s="172" t="str">
        <f t="shared" si="2"/>
        <v>No exposure</v>
      </c>
    </row>
    <row r="51" spans="2:9" x14ac:dyDescent="0.25">
      <c r="B51" s="24" t="s">
        <v>2073</v>
      </c>
      <c r="C51" s="204">
        <f>IFERROR(INDEX('Portfolio Summary'!$D$96:$D$107,MATCH($B51,'Portfolio Summary'!$B$96:$B$107,0)),0)</f>
        <v>0</v>
      </c>
      <c r="D51" s="204"/>
      <c r="E51" s="174">
        <v>0.18</v>
      </c>
      <c r="F51" s="205">
        <f t="shared" si="0"/>
        <v>0</v>
      </c>
      <c r="G51" s="205"/>
      <c r="H51" s="175">
        <f t="shared" si="1"/>
        <v>0</v>
      </c>
      <c r="I51" s="172" t="str">
        <f t="shared" si="2"/>
        <v>No exposure</v>
      </c>
    </row>
    <row r="52" spans="2:9" x14ac:dyDescent="0.25">
      <c r="B52" s="24" t="s">
        <v>2160</v>
      </c>
      <c r="C52" s="204">
        <f>IFERROR(INDEX('Portfolio Summary'!$D$96:$D$107,MATCH($B52,'Portfolio Summary'!$B$96:$B$107,0)),0)</f>
        <v>0</v>
      </c>
      <c r="D52" s="204"/>
      <c r="E52" s="174">
        <v>0.7</v>
      </c>
      <c r="F52" s="205">
        <f t="shared" si="0"/>
        <v>0</v>
      </c>
      <c r="G52" s="205"/>
      <c r="H52" s="175">
        <f t="shared" si="1"/>
        <v>0</v>
      </c>
      <c r="I52" s="172" t="str">
        <f t="shared" si="2"/>
        <v>No exposure</v>
      </c>
    </row>
    <row r="53" spans="2:9" x14ac:dyDescent="0.25">
      <c r="B53" s="24" t="s">
        <v>1237</v>
      </c>
      <c r="C53" s="204">
        <f>IFERROR(INDEX('Portfolio Summary'!$D$96:$D$107,MATCH($B53,'Portfolio Summary'!$B$96:$B$107,0)),0)</f>
        <v>0</v>
      </c>
      <c r="D53" s="204"/>
      <c r="E53" s="174">
        <v>0.08</v>
      </c>
      <c r="F53" s="205">
        <f t="shared" si="0"/>
        <v>0</v>
      </c>
      <c r="G53" s="205"/>
      <c r="H53" s="175">
        <f t="shared" si="1"/>
        <v>0</v>
      </c>
      <c r="I53" s="172" t="str">
        <f t="shared" si="2"/>
        <v>No exposure</v>
      </c>
    </row>
    <row r="54" spans="2:9" x14ac:dyDescent="0.25">
      <c r="B54" s="24" t="s">
        <v>2022</v>
      </c>
      <c r="C54" s="204">
        <f>IFERROR(INDEX('Portfolio Summary'!$D$96:$D$107,MATCH($B54,'Portfolio Summary'!$B$96:$B$107,0)),0)</f>
        <v>280000</v>
      </c>
      <c r="D54" s="204"/>
      <c r="E54" s="174">
        <v>0.03</v>
      </c>
      <c r="F54" s="205">
        <f t="shared" si="0"/>
        <v>8400</v>
      </c>
      <c r="G54" s="205"/>
      <c r="H54" s="175">
        <f t="shared" si="1"/>
        <v>5.5999999999999995E-4</v>
      </c>
      <c r="I54" s="172" t="str">
        <f t="shared" si="2"/>
        <v>OK</v>
      </c>
    </row>
    <row r="55" spans="2:9" x14ac:dyDescent="0.25">
      <c r="B55" s="32" t="s">
        <v>2237</v>
      </c>
      <c r="F55" s="206">
        <f>MAX(F43:F54)</f>
        <v>1210000</v>
      </c>
      <c r="G55" s="206"/>
    </row>
    <row r="57" spans="2:9" x14ac:dyDescent="0.25">
      <c r="B57" s="15" t="s">
        <v>2238</v>
      </c>
      <c r="C57" s="207">
        <v>15000000</v>
      </c>
      <c r="D57" s="207"/>
      <c r="E57" s="127" t="s">
        <v>2239</v>
      </c>
    </row>
    <row r="58" spans="2:9" x14ac:dyDescent="0.25">
      <c r="B58" s="15" t="s">
        <v>2240</v>
      </c>
      <c r="C58" s="207">
        <v>10000000</v>
      </c>
      <c r="D58" s="207"/>
      <c r="E58" s="127" t="s">
        <v>2241</v>
      </c>
    </row>
    <row r="60" spans="2:9" ht="18" customHeight="1" x14ac:dyDescent="0.25">
      <c r="B60" s="208" t="s">
        <v>2242</v>
      </c>
      <c r="C60" s="208"/>
      <c r="D60" s="208"/>
      <c r="E60" s="208"/>
      <c r="F60" s="208"/>
      <c r="G60" s="208"/>
      <c r="H60" s="208"/>
      <c r="I60" s="208"/>
    </row>
    <row r="61" spans="2:9" ht="30" customHeight="1" x14ac:dyDescent="0.25">
      <c r="B61" s="10" t="s">
        <v>2243</v>
      </c>
      <c r="C61" s="10"/>
      <c r="D61" s="10"/>
      <c r="E61" s="10"/>
      <c r="F61" s="10"/>
      <c r="G61" s="10"/>
      <c r="H61" s="10"/>
      <c r="I61" s="10"/>
    </row>
    <row r="62" spans="2:9" ht="30" customHeight="1" x14ac:dyDescent="0.25">
      <c r="B62" s="209"/>
      <c r="C62" s="209"/>
      <c r="D62" s="209"/>
      <c r="E62" s="209"/>
      <c r="F62" s="209"/>
      <c r="G62" s="209"/>
      <c r="H62" s="209"/>
      <c r="I62" s="209"/>
    </row>
    <row r="63" spans="2:9" ht="30" customHeight="1" x14ac:dyDescent="0.25">
      <c r="B63" s="209"/>
      <c r="C63" s="209"/>
      <c r="D63" s="209"/>
      <c r="E63" s="209"/>
      <c r="F63" s="209"/>
      <c r="G63" s="209"/>
      <c r="H63" s="209"/>
      <c r="I63" s="209"/>
    </row>
    <row r="64" spans="2:9" ht="30" customHeight="1" x14ac:dyDescent="0.25">
      <c r="B64" s="210" t="s">
        <v>2244</v>
      </c>
      <c r="C64" s="210"/>
      <c r="D64" s="210"/>
      <c r="E64" s="210"/>
      <c r="F64" s="210"/>
      <c r="G64" s="210"/>
      <c r="H64" s="210"/>
      <c r="I64" s="210"/>
    </row>
    <row r="65" spans="2:9" ht="30" customHeight="1" x14ac:dyDescent="0.25">
      <c r="B65" s="210" t="s">
        <v>2245</v>
      </c>
      <c r="C65" s="210"/>
      <c r="D65" s="210"/>
      <c r="E65" s="210"/>
      <c r="F65" s="210"/>
      <c r="G65" s="210"/>
      <c r="H65" s="210"/>
      <c r="I65" s="210"/>
    </row>
    <row r="66" spans="2:9" ht="30" customHeight="1" x14ac:dyDescent="0.25">
      <c r="B66" s="210" t="s">
        <v>2246</v>
      </c>
      <c r="C66" s="210"/>
      <c r="D66" s="210"/>
      <c r="E66" s="210"/>
      <c r="F66" s="210"/>
      <c r="G66" s="210"/>
      <c r="H66" s="210"/>
      <c r="I66" s="210"/>
    </row>
    <row r="67" spans="2:9" ht="30" customHeight="1" x14ac:dyDescent="0.25">
      <c r="B67" s="210" t="s">
        <v>2247</v>
      </c>
      <c r="C67" s="210"/>
      <c r="D67" s="210"/>
      <c r="E67" s="210"/>
      <c r="F67" s="210"/>
      <c r="G67" s="210"/>
      <c r="H67" s="210"/>
      <c r="I67" s="210"/>
    </row>
    <row r="68" spans="2:9" ht="30" customHeight="1" x14ac:dyDescent="0.25">
      <c r="B68" s="210" t="s">
        <v>2248</v>
      </c>
      <c r="C68" s="210"/>
      <c r="D68" s="210"/>
      <c r="E68" s="210"/>
      <c r="F68" s="210"/>
      <c r="G68" s="210"/>
      <c r="H68" s="210"/>
      <c r="I68" s="210"/>
    </row>
    <row r="70" spans="2:9" x14ac:dyDescent="0.25">
      <c r="B70" s="15" t="s">
        <v>709</v>
      </c>
    </row>
    <row r="71" spans="2:9" ht="15" customHeight="1" x14ac:dyDescent="0.25">
      <c r="B71" s="10" t="s">
        <v>2249</v>
      </c>
      <c r="C71" s="10"/>
      <c r="D71" s="10"/>
      <c r="E71" s="10"/>
      <c r="F71" s="10"/>
      <c r="G71" s="10"/>
      <c r="H71" s="10"/>
      <c r="I71" s="10"/>
    </row>
    <row r="72" spans="2:9" x14ac:dyDescent="0.25">
      <c r="B72" s="10"/>
      <c r="C72" s="10"/>
      <c r="D72" s="10"/>
      <c r="E72" s="10"/>
      <c r="F72" s="10"/>
      <c r="G72" s="10"/>
      <c r="H72" s="10"/>
      <c r="I72" s="10"/>
    </row>
    <row r="73" spans="2:9" x14ac:dyDescent="0.25">
      <c r="B73" s="10"/>
      <c r="C73" s="10"/>
      <c r="D73" s="10"/>
      <c r="E73" s="10"/>
      <c r="F73" s="10"/>
      <c r="G73" s="10"/>
      <c r="H73" s="10"/>
      <c r="I73" s="10"/>
    </row>
    <row r="74" spans="2:9" x14ac:dyDescent="0.25">
      <c r="B74" s="10"/>
      <c r="C74" s="10"/>
      <c r="D74" s="10"/>
      <c r="E74" s="10"/>
      <c r="F74" s="10"/>
      <c r="G74" s="10"/>
      <c r="H74" s="10"/>
      <c r="I74" s="10"/>
    </row>
  </sheetData>
  <mergeCells count="91">
    <mergeCell ref="B68:I68"/>
    <mergeCell ref="B71:I74"/>
    <mergeCell ref="B63:I63"/>
    <mergeCell ref="B64:I64"/>
    <mergeCell ref="B65:I65"/>
    <mergeCell ref="B66:I66"/>
    <mergeCell ref="B67:I67"/>
    <mergeCell ref="C57:D57"/>
    <mergeCell ref="C58:D58"/>
    <mergeCell ref="B60:I60"/>
    <mergeCell ref="B61:I61"/>
    <mergeCell ref="B62:I62"/>
    <mergeCell ref="C53:D53"/>
    <mergeCell ref="F53:G53"/>
    <mergeCell ref="C54:D54"/>
    <mergeCell ref="F54:G54"/>
    <mergeCell ref="F55:G55"/>
    <mergeCell ref="C50:D50"/>
    <mergeCell ref="F50:G50"/>
    <mergeCell ref="C51:D51"/>
    <mergeCell ref="F51:G51"/>
    <mergeCell ref="C52:D52"/>
    <mergeCell ref="F52:G52"/>
    <mergeCell ref="C47:D47"/>
    <mergeCell ref="F47:G47"/>
    <mergeCell ref="C48:D48"/>
    <mergeCell ref="F48:G48"/>
    <mergeCell ref="C49:D49"/>
    <mergeCell ref="F49:G49"/>
    <mergeCell ref="C44:D44"/>
    <mergeCell ref="F44:G44"/>
    <mergeCell ref="C45:D45"/>
    <mergeCell ref="F45:G45"/>
    <mergeCell ref="C46:D46"/>
    <mergeCell ref="F46:G46"/>
    <mergeCell ref="C39:D39"/>
    <mergeCell ref="F39:G39"/>
    <mergeCell ref="H39:I39"/>
    <mergeCell ref="B41:I41"/>
    <mergeCell ref="C43:D43"/>
    <mergeCell ref="F43:G43"/>
    <mergeCell ref="C37:D37"/>
    <mergeCell ref="F37:G37"/>
    <mergeCell ref="H37:I37"/>
    <mergeCell ref="C38:D38"/>
    <mergeCell ref="F38:G38"/>
    <mergeCell ref="H38:I38"/>
    <mergeCell ref="C35:D35"/>
    <mergeCell ref="F35:G35"/>
    <mergeCell ref="H35:I35"/>
    <mergeCell ref="C36:D36"/>
    <mergeCell ref="F36:G36"/>
    <mergeCell ref="H36:I36"/>
    <mergeCell ref="C33:D33"/>
    <mergeCell ref="F33:G33"/>
    <mergeCell ref="H33:I33"/>
    <mergeCell ref="C34:D34"/>
    <mergeCell ref="F34:G34"/>
    <mergeCell ref="H34:I34"/>
    <mergeCell ref="C31:D31"/>
    <mergeCell ref="F31:G31"/>
    <mergeCell ref="H31:I31"/>
    <mergeCell ref="C32:D32"/>
    <mergeCell ref="F32:G32"/>
    <mergeCell ref="H32:I32"/>
    <mergeCell ref="D25:I25"/>
    <mergeCell ref="D26:I26"/>
    <mergeCell ref="B28:I28"/>
    <mergeCell ref="C30:D30"/>
    <mergeCell ref="F30:G30"/>
    <mergeCell ref="H30:I30"/>
    <mergeCell ref="B19:I19"/>
    <mergeCell ref="D21:I21"/>
    <mergeCell ref="D22:I22"/>
    <mergeCell ref="D23:I23"/>
    <mergeCell ref="D24:I24"/>
    <mergeCell ref="F13:I13"/>
    <mergeCell ref="F14:I14"/>
    <mergeCell ref="F15:I15"/>
    <mergeCell ref="F16:I16"/>
    <mergeCell ref="F17:I17"/>
    <mergeCell ref="F8:I8"/>
    <mergeCell ref="F9:I9"/>
    <mergeCell ref="F10:I10"/>
    <mergeCell ref="F11:I11"/>
    <mergeCell ref="F12:I12"/>
    <mergeCell ref="B1:I1"/>
    <mergeCell ref="B2:I2"/>
    <mergeCell ref="B4:I4"/>
    <mergeCell ref="F6:I6"/>
    <mergeCell ref="F7:I7"/>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J80"/>
  <sheetViews>
    <sheetView showGridLines="0" zoomScaleNormal="100" workbookViewId="0"/>
  </sheetViews>
  <sheetFormatPr defaultColWidth="8.7109375" defaultRowHeight="15" x14ac:dyDescent="0.25"/>
  <cols>
    <col min="1" max="1" width="2" customWidth="1"/>
    <col min="2" max="2" width="34" customWidth="1"/>
    <col min="3" max="9" width="15" customWidth="1"/>
    <col min="10" max="10" width="66" customWidth="1"/>
  </cols>
  <sheetData>
    <row r="1" spans="2:10" ht="25.5" customHeight="1" x14ac:dyDescent="0.25">
      <c r="B1" s="14" t="s">
        <v>2250</v>
      </c>
      <c r="C1" s="14"/>
      <c r="D1" s="14"/>
      <c r="E1" s="14"/>
      <c r="F1" s="14"/>
      <c r="G1" s="14"/>
      <c r="H1" s="14"/>
      <c r="I1" s="14"/>
      <c r="J1" s="14"/>
    </row>
    <row r="2" spans="2:10" ht="15" customHeight="1" x14ac:dyDescent="0.25">
      <c r="B2" s="13" t="s">
        <v>2251</v>
      </c>
      <c r="C2" s="13"/>
      <c r="D2" s="13"/>
      <c r="E2" s="13"/>
      <c r="F2" s="13"/>
      <c r="G2" s="13"/>
      <c r="H2" s="13"/>
      <c r="I2" s="13"/>
      <c r="J2" s="13"/>
    </row>
    <row r="4" spans="2:10" ht="18" customHeight="1" x14ac:dyDescent="0.25">
      <c r="B4" s="12" t="s">
        <v>2252</v>
      </c>
      <c r="C4" s="12"/>
      <c r="D4" s="12"/>
      <c r="E4" s="12"/>
      <c r="F4" s="12"/>
      <c r="G4" s="12"/>
      <c r="H4" s="12"/>
      <c r="I4" s="12"/>
      <c r="J4" s="12"/>
    </row>
    <row r="5" spans="2:10" ht="30" customHeight="1" x14ac:dyDescent="0.25">
      <c r="B5" s="22" t="s">
        <v>2253</v>
      </c>
      <c r="C5" s="22" t="s">
        <v>715</v>
      </c>
      <c r="D5" s="22" t="s">
        <v>716</v>
      </c>
      <c r="E5" s="22" t="s">
        <v>717</v>
      </c>
      <c r="F5" s="22" t="s">
        <v>718</v>
      </c>
      <c r="G5" s="22" t="s">
        <v>719</v>
      </c>
      <c r="H5" s="22" t="s">
        <v>720</v>
      </c>
      <c r="I5" s="22" t="s">
        <v>721</v>
      </c>
      <c r="J5" s="22" t="s">
        <v>2254</v>
      </c>
    </row>
    <row r="6" spans="2:10" ht="24" x14ac:dyDescent="0.25">
      <c r="B6" s="20" t="s">
        <v>2255</v>
      </c>
      <c r="C6" s="161">
        <v>1.1599999999999999</v>
      </c>
      <c r="D6" s="161">
        <v>1.1000000000000001</v>
      </c>
      <c r="E6" s="161">
        <v>1.07</v>
      </c>
      <c r="F6" s="161">
        <v>1.05</v>
      </c>
      <c r="G6" s="161">
        <v>1.03</v>
      </c>
      <c r="H6" s="161">
        <v>1.02</v>
      </c>
      <c r="I6" s="161">
        <v>1.01</v>
      </c>
      <c r="J6" s="177" t="s">
        <v>2256</v>
      </c>
    </row>
    <row r="7" spans="2:10" ht="24" x14ac:dyDescent="0.25">
      <c r="B7" s="119" t="s">
        <v>2257</v>
      </c>
      <c r="C7" s="163">
        <v>1</v>
      </c>
      <c r="D7" s="163">
        <v>1</v>
      </c>
      <c r="E7" s="163">
        <v>1</v>
      </c>
      <c r="F7" s="163">
        <v>1</v>
      </c>
      <c r="G7" s="163">
        <v>1</v>
      </c>
      <c r="H7" s="163">
        <v>1</v>
      </c>
      <c r="I7" s="163">
        <v>1</v>
      </c>
      <c r="J7" s="178" t="s">
        <v>2258</v>
      </c>
    </row>
    <row r="8" spans="2:10" x14ac:dyDescent="0.25">
      <c r="B8" s="20" t="s">
        <v>207</v>
      </c>
      <c r="C8" s="161">
        <v>0.9</v>
      </c>
      <c r="D8" s="161">
        <v>0.94</v>
      </c>
      <c r="E8" s="161">
        <v>0.96</v>
      </c>
      <c r="F8" s="161">
        <v>0.98</v>
      </c>
      <c r="G8" s="161">
        <v>0.99</v>
      </c>
      <c r="H8" s="161">
        <v>0.995</v>
      </c>
      <c r="I8" s="161">
        <v>1</v>
      </c>
      <c r="J8" s="177"/>
    </row>
    <row r="9" spans="2:10" x14ac:dyDescent="0.25">
      <c r="B9" s="119" t="s">
        <v>238</v>
      </c>
      <c r="C9" s="163">
        <v>0.82</v>
      </c>
      <c r="D9" s="163">
        <v>0.87</v>
      </c>
      <c r="E9" s="163">
        <v>0.9</v>
      </c>
      <c r="F9" s="163">
        <v>0.94</v>
      </c>
      <c r="G9" s="163">
        <v>0.97</v>
      </c>
      <c r="H9" s="163">
        <v>0.98</v>
      </c>
      <c r="I9" s="163">
        <v>0.99</v>
      </c>
      <c r="J9" s="178"/>
    </row>
    <row r="10" spans="2:10" x14ac:dyDescent="0.25">
      <c r="B10" s="20" t="s">
        <v>235</v>
      </c>
      <c r="C10" s="161">
        <v>0.7</v>
      </c>
      <c r="D10" s="161">
        <v>0.78</v>
      </c>
      <c r="E10" s="161">
        <v>0.82</v>
      </c>
      <c r="F10" s="161">
        <v>0.87</v>
      </c>
      <c r="G10" s="161">
        <v>0.92</v>
      </c>
      <c r="H10" s="161">
        <v>0.95</v>
      </c>
      <c r="I10" s="161">
        <v>0.97</v>
      </c>
      <c r="J10" s="177"/>
    </row>
    <row r="11" spans="2:10" x14ac:dyDescent="0.25">
      <c r="B11" s="119" t="s">
        <v>2259</v>
      </c>
      <c r="C11" s="163">
        <v>0.6</v>
      </c>
      <c r="D11" s="163">
        <v>0.7</v>
      </c>
      <c r="E11" s="163">
        <v>0.74</v>
      </c>
      <c r="F11" s="163">
        <v>0.8</v>
      </c>
      <c r="G11" s="163">
        <v>0.86</v>
      </c>
      <c r="H11" s="163">
        <v>0.91</v>
      </c>
      <c r="I11" s="163">
        <v>0.94</v>
      </c>
      <c r="J11" s="178"/>
    </row>
    <row r="12" spans="2:10" x14ac:dyDescent="0.25">
      <c r="B12" s="20" t="s">
        <v>244</v>
      </c>
      <c r="C12" s="161">
        <v>0.52</v>
      </c>
      <c r="D12" s="161">
        <v>0.62</v>
      </c>
      <c r="E12" s="161">
        <v>0.65</v>
      </c>
      <c r="F12" s="161">
        <v>0.71</v>
      </c>
      <c r="G12" s="161">
        <v>0.78</v>
      </c>
      <c r="H12" s="161">
        <v>0.85</v>
      </c>
      <c r="I12" s="161">
        <v>0.9</v>
      </c>
      <c r="J12" s="177"/>
    </row>
    <row r="13" spans="2:10" x14ac:dyDescent="0.25">
      <c r="B13" s="119" t="s">
        <v>517</v>
      </c>
      <c r="C13" s="163">
        <v>0.46</v>
      </c>
      <c r="D13" s="163">
        <v>0.55000000000000004</v>
      </c>
      <c r="E13" s="163">
        <v>0.56000000000000005</v>
      </c>
      <c r="F13" s="163">
        <v>0.61</v>
      </c>
      <c r="G13" s="163">
        <v>0.68</v>
      </c>
      <c r="H13" s="163">
        <v>0.76</v>
      </c>
      <c r="I13" s="163">
        <v>0.83</v>
      </c>
      <c r="J13" s="178"/>
    </row>
    <row r="14" spans="2:10" ht="24" x14ac:dyDescent="0.25">
      <c r="B14" s="20" t="s">
        <v>572</v>
      </c>
      <c r="C14" s="161">
        <v>0.93</v>
      </c>
      <c r="D14" s="161">
        <v>0.9</v>
      </c>
      <c r="E14" s="161">
        <v>0.87</v>
      </c>
      <c r="F14" s="161">
        <v>0.85</v>
      </c>
      <c r="G14" s="161">
        <v>0.83</v>
      </c>
      <c r="H14" s="161">
        <v>0.81</v>
      </c>
      <c r="I14" s="161">
        <v>0.79</v>
      </c>
      <c r="J14" s="177" t="s">
        <v>2260</v>
      </c>
    </row>
    <row r="15" spans="2:10" ht="24" x14ac:dyDescent="0.25">
      <c r="B15" s="119" t="s">
        <v>2140</v>
      </c>
      <c r="C15" s="163">
        <v>0.86</v>
      </c>
      <c r="D15" s="163">
        <v>0.82</v>
      </c>
      <c r="E15" s="163">
        <v>0.79</v>
      </c>
      <c r="F15" s="163">
        <v>0.77</v>
      </c>
      <c r="G15" s="163">
        <v>0.75</v>
      </c>
      <c r="H15" s="163">
        <v>0.73</v>
      </c>
      <c r="I15" s="163">
        <v>0.71</v>
      </c>
      <c r="J15" s="178" t="s">
        <v>2260</v>
      </c>
    </row>
    <row r="17" spans="2:10" ht="18" customHeight="1" x14ac:dyDescent="0.25">
      <c r="B17" s="12" t="s">
        <v>2261</v>
      </c>
      <c r="C17" s="12"/>
      <c r="D17" s="12"/>
      <c r="E17" s="12"/>
      <c r="F17" s="12"/>
      <c r="G17" s="12"/>
      <c r="H17" s="12"/>
      <c r="I17" s="12"/>
      <c r="J17" s="12"/>
    </row>
    <row r="18" spans="2:10" ht="30" customHeight="1" x14ac:dyDescent="0.25">
      <c r="B18" s="22" t="s">
        <v>2262</v>
      </c>
      <c r="C18" s="22" t="s">
        <v>2183</v>
      </c>
      <c r="D18" s="22" t="s">
        <v>2254</v>
      </c>
    </row>
    <row r="19" spans="2:10" ht="27.75" customHeight="1" x14ac:dyDescent="0.25">
      <c r="B19" s="23" t="s">
        <v>2263</v>
      </c>
      <c r="C19" s="9" t="s">
        <v>2264</v>
      </c>
      <c r="D19" s="9"/>
      <c r="E19" s="9"/>
      <c r="F19" s="9" t="s">
        <v>2265</v>
      </c>
      <c r="G19" s="9"/>
      <c r="H19" s="9"/>
      <c r="I19" s="9"/>
      <c r="J19" s="9"/>
    </row>
    <row r="20" spans="2:10" ht="27.75" customHeight="1" x14ac:dyDescent="0.25">
      <c r="B20" s="25" t="s">
        <v>2266</v>
      </c>
      <c r="C20" s="8" t="s">
        <v>2267</v>
      </c>
      <c r="D20" s="8"/>
      <c r="E20" s="8"/>
      <c r="F20" s="8" t="s">
        <v>2268</v>
      </c>
      <c r="G20" s="8"/>
      <c r="H20" s="8"/>
      <c r="I20" s="8"/>
      <c r="J20" s="8"/>
    </row>
    <row r="21" spans="2:10" ht="27.75" customHeight="1" x14ac:dyDescent="0.25">
      <c r="B21" s="23" t="s">
        <v>2269</v>
      </c>
      <c r="C21" s="9" t="s">
        <v>2270</v>
      </c>
      <c r="D21" s="9"/>
      <c r="E21" s="9"/>
      <c r="F21" s="9" t="s">
        <v>2271</v>
      </c>
      <c r="G21" s="9"/>
      <c r="H21" s="9"/>
      <c r="I21" s="9"/>
      <c r="J21" s="9"/>
    </row>
    <row r="22" spans="2:10" ht="27.75" customHeight="1" x14ac:dyDescent="0.25">
      <c r="B22" s="25" t="s">
        <v>2272</v>
      </c>
      <c r="C22" s="8" t="s">
        <v>2273</v>
      </c>
      <c r="D22" s="8"/>
      <c r="E22" s="8"/>
      <c r="F22" s="8" t="s">
        <v>2274</v>
      </c>
      <c r="G22" s="8"/>
      <c r="H22" s="8"/>
      <c r="I22" s="8"/>
      <c r="J22" s="8"/>
    </row>
    <row r="23" spans="2:10" ht="27.75" customHeight="1" x14ac:dyDescent="0.25">
      <c r="B23" s="23" t="s">
        <v>2275</v>
      </c>
      <c r="C23" s="9" t="s">
        <v>2276</v>
      </c>
      <c r="D23" s="9"/>
      <c r="E23" s="9"/>
      <c r="F23" s="9" t="s">
        <v>2277</v>
      </c>
      <c r="G23" s="9"/>
      <c r="H23" s="9"/>
      <c r="I23" s="9"/>
      <c r="J23" s="9"/>
    </row>
    <row r="24" spans="2:10" ht="27.75" customHeight="1" x14ac:dyDescent="0.25">
      <c r="B24" s="25" t="s">
        <v>2278</v>
      </c>
      <c r="C24" s="8" t="s">
        <v>2279</v>
      </c>
      <c r="D24" s="8"/>
      <c r="E24" s="8"/>
      <c r="F24" s="8" t="s">
        <v>2280</v>
      </c>
      <c r="G24" s="8"/>
      <c r="H24" s="8"/>
      <c r="I24" s="8"/>
      <c r="J24" s="8"/>
    </row>
    <row r="25" spans="2:10" ht="27.75" customHeight="1" x14ac:dyDescent="0.25">
      <c r="B25" s="23" t="s">
        <v>2186</v>
      </c>
      <c r="C25" s="9" t="s">
        <v>2281</v>
      </c>
      <c r="D25" s="9"/>
      <c r="E25" s="9"/>
      <c r="F25" s="9" t="s">
        <v>2282</v>
      </c>
      <c r="G25" s="9"/>
      <c r="H25" s="9"/>
      <c r="I25" s="9"/>
      <c r="J25" s="9"/>
    </row>
    <row r="26" spans="2:10" ht="27.75" customHeight="1" x14ac:dyDescent="0.25">
      <c r="B26" s="25" t="s">
        <v>1211</v>
      </c>
      <c r="C26" s="8" t="s">
        <v>2283</v>
      </c>
      <c r="D26" s="8"/>
      <c r="E26" s="8"/>
      <c r="F26" s="8" t="s">
        <v>2284</v>
      </c>
      <c r="G26" s="8"/>
      <c r="H26" s="8"/>
      <c r="I26" s="8"/>
      <c r="J26" s="8"/>
    </row>
    <row r="27" spans="2:10" ht="27.75" customHeight="1" x14ac:dyDescent="0.25">
      <c r="B27" s="23" t="s">
        <v>2285</v>
      </c>
      <c r="C27" s="9" t="s">
        <v>2137</v>
      </c>
      <c r="D27" s="9"/>
      <c r="E27" s="9"/>
      <c r="F27" s="9" t="s">
        <v>2286</v>
      </c>
      <c r="G27" s="9"/>
      <c r="H27" s="9"/>
      <c r="I27" s="9"/>
      <c r="J27" s="9"/>
    </row>
    <row r="28" spans="2:10" ht="27.75" customHeight="1" x14ac:dyDescent="0.25">
      <c r="B28" s="25" t="s">
        <v>2210</v>
      </c>
      <c r="C28" s="8" t="s">
        <v>2287</v>
      </c>
      <c r="D28" s="8"/>
      <c r="E28" s="8"/>
      <c r="F28" s="8" t="s">
        <v>2288</v>
      </c>
      <c r="G28" s="8"/>
      <c r="H28" s="8"/>
      <c r="I28" s="8"/>
      <c r="J28" s="8"/>
    </row>
    <row r="29" spans="2:10" ht="27.75" customHeight="1" x14ac:dyDescent="0.25">
      <c r="B29" s="23" t="s">
        <v>2215</v>
      </c>
      <c r="C29" s="9" t="s">
        <v>2289</v>
      </c>
      <c r="D29" s="9"/>
      <c r="E29" s="9"/>
      <c r="F29" s="9" t="s">
        <v>2290</v>
      </c>
      <c r="G29" s="9"/>
      <c r="H29" s="9"/>
      <c r="I29" s="9"/>
      <c r="J29" s="9"/>
    </row>
    <row r="30" spans="2:10" ht="27.75" customHeight="1" x14ac:dyDescent="0.25">
      <c r="B30" s="25" t="s">
        <v>2291</v>
      </c>
      <c r="C30" s="8" t="s">
        <v>2292</v>
      </c>
      <c r="D30" s="8"/>
      <c r="E30" s="8"/>
      <c r="F30" s="8" t="s">
        <v>2293</v>
      </c>
      <c r="G30" s="8"/>
      <c r="H30" s="8"/>
      <c r="I30" s="8"/>
      <c r="J30" s="8"/>
    </row>
    <row r="31" spans="2:10" ht="27.75" customHeight="1" x14ac:dyDescent="0.25">
      <c r="B31" s="23" t="s">
        <v>2294</v>
      </c>
      <c r="C31" s="9" t="s">
        <v>2295</v>
      </c>
      <c r="D31" s="9"/>
      <c r="E31" s="9"/>
      <c r="F31" s="9" t="s">
        <v>2296</v>
      </c>
      <c r="G31" s="9"/>
      <c r="H31" s="9"/>
      <c r="I31" s="9"/>
      <c r="J31" s="9"/>
    </row>
    <row r="32" spans="2:10" ht="27.75" customHeight="1" x14ac:dyDescent="0.25">
      <c r="B32" s="25" t="s">
        <v>2297</v>
      </c>
      <c r="C32" s="8" t="s">
        <v>2298</v>
      </c>
      <c r="D32" s="8"/>
      <c r="E32" s="8"/>
      <c r="F32" s="8" t="s">
        <v>2299</v>
      </c>
      <c r="G32" s="8"/>
      <c r="H32" s="8"/>
      <c r="I32" s="8"/>
      <c r="J32" s="8"/>
    </row>
    <row r="33" spans="2:10" ht="27.75" customHeight="1" x14ac:dyDescent="0.25">
      <c r="B33" s="23" t="s">
        <v>2300</v>
      </c>
      <c r="C33" s="9" t="s">
        <v>2301</v>
      </c>
      <c r="D33" s="9"/>
      <c r="E33" s="9"/>
      <c r="F33" s="9" t="s">
        <v>2302</v>
      </c>
      <c r="G33" s="9"/>
      <c r="H33" s="9"/>
      <c r="I33" s="9"/>
      <c r="J33" s="9"/>
    </row>
    <row r="35" spans="2:10" ht="18" customHeight="1" x14ac:dyDescent="0.25">
      <c r="B35" s="12" t="s">
        <v>2303</v>
      </c>
      <c r="C35" s="12"/>
      <c r="D35" s="12"/>
      <c r="E35" s="12"/>
      <c r="F35" s="12"/>
      <c r="G35" s="12"/>
      <c r="H35" s="12"/>
      <c r="I35" s="12"/>
      <c r="J35" s="12"/>
    </row>
    <row r="36" spans="2:10" ht="30" customHeight="1" x14ac:dyDescent="0.25">
      <c r="B36" s="210" t="s">
        <v>2304</v>
      </c>
      <c r="C36" s="210"/>
      <c r="D36" s="210"/>
      <c r="E36" s="210"/>
      <c r="F36" s="210"/>
      <c r="G36" s="210"/>
      <c r="H36" s="210"/>
      <c r="I36" s="210"/>
      <c r="J36" s="210"/>
    </row>
    <row r="37" spans="2:10" ht="30" customHeight="1" x14ac:dyDescent="0.25">
      <c r="B37" s="210" t="s">
        <v>2305</v>
      </c>
      <c r="C37" s="210"/>
      <c r="D37" s="210"/>
      <c r="E37" s="210"/>
      <c r="F37" s="210"/>
      <c r="G37" s="210"/>
      <c r="H37" s="210"/>
      <c r="I37" s="210"/>
      <c r="J37" s="210"/>
    </row>
    <row r="38" spans="2:10" ht="30" customHeight="1" x14ac:dyDescent="0.25">
      <c r="B38" s="210" t="s">
        <v>2306</v>
      </c>
      <c r="C38" s="210"/>
      <c r="D38" s="210"/>
      <c r="E38" s="210"/>
      <c r="F38" s="210"/>
      <c r="G38" s="210"/>
      <c r="H38" s="210"/>
      <c r="I38" s="210"/>
      <c r="J38" s="210"/>
    </row>
    <row r="39" spans="2:10" ht="30" customHeight="1" x14ac:dyDescent="0.25">
      <c r="B39" s="210" t="s">
        <v>2307</v>
      </c>
      <c r="C39" s="210"/>
      <c r="D39" s="210"/>
      <c r="E39" s="210"/>
      <c r="F39" s="210"/>
      <c r="G39" s="210"/>
      <c r="H39" s="210"/>
      <c r="I39" s="210"/>
      <c r="J39" s="210"/>
    </row>
    <row r="40" spans="2:10" ht="30" customHeight="1" x14ac:dyDescent="0.25">
      <c r="B40" s="210" t="s">
        <v>2308</v>
      </c>
      <c r="C40" s="210"/>
      <c r="D40" s="210"/>
      <c r="E40" s="210"/>
      <c r="F40" s="210"/>
      <c r="G40" s="210"/>
      <c r="H40" s="210"/>
      <c r="I40" s="210"/>
      <c r="J40" s="210"/>
    </row>
    <row r="41" spans="2:10" ht="30" customHeight="1" x14ac:dyDescent="0.25">
      <c r="B41" s="210" t="s">
        <v>2309</v>
      </c>
      <c r="C41" s="210"/>
      <c r="D41" s="210"/>
      <c r="E41" s="210"/>
      <c r="F41" s="210"/>
      <c r="G41" s="210"/>
      <c r="H41" s="210"/>
      <c r="I41" s="210"/>
      <c r="J41" s="210"/>
    </row>
    <row r="42" spans="2:10" ht="30" customHeight="1" x14ac:dyDescent="0.25">
      <c r="B42" s="210" t="s">
        <v>2310</v>
      </c>
      <c r="C42" s="210"/>
      <c r="D42" s="210"/>
      <c r="E42" s="210"/>
      <c r="F42" s="210"/>
      <c r="G42" s="210"/>
      <c r="H42" s="210"/>
      <c r="I42" s="210"/>
      <c r="J42" s="210"/>
    </row>
    <row r="43" spans="2:10" ht="30" customHeight="1" x14ac:dyDescent="0.25">
      <c r="B43" s="210" t="s">
        <v>2311</v>
      </c>
      <c r="C43" s="210"/>
      <c r="D43" s="210"/>
      <c r="E43" s="210"/>
      <c r="F43" s="210"/>
      <c r="G43" s="210"/>
      <c r="H43" s="210"/>
      <c r="I43" s="210"/>
      <c r="J43" s="210"/>
    </row>
    <row r="45" spans="2:10" ht="18" customHeight="1" x14ac:dyDescent="0.25">
      <c r="B45" s="12" t="s">
        <v>2312</v>
      </c>
      <c r="C45" s="12"/>
      <c r="D45" s="12"/>
      <c r="E45" s="12"/>
      <c r="F45" s="12"/>
      <c r="G45" s="12"/>
      <c r="H45" s="12"/>
      <c r="I45" s="12"/>
      <c r="J45" s="12"/>
    </row>
    <row r="46" spans="2:10" x14ac:dyDescent="0.25">
      <c r="B46" s="211" t="s">
        <v>2313</v>
      </c>
      <c r="C46" s="211"/>
      <c r="D46" s="211"/>
      <c r="E46" s="211"/>
      <c r="F46" s="211"/>
      <c r="G46" s="211"/>
      <c r="H46" s="211"/>
      <c r="I46" s="211"/>
      <c r="J46" s="211"/>
    </row>
    <row r="47" spans="2:10" ht="15.75" customHeight="1" x14ac:dyDescent="0.25">
      <c r="B47" s="22" t="s">
        <v>2314</v>
      </c>
      <c r="C47" s="22" t="s">
        <v>353</v>
      </c>
      <c r="D47" s="22" t="s">
        <v>2254</v>
      </c>
    </row>
    <row r="48" spans="2:10" ht="15" customHeight="1" x14ac:dyDescent="0.25">
      <c r="B48" s="27" t="s">
        <v>221</v>
      </c>
      <c r="C48" s="161">
        <v>1</v>
      </c>
      <c r="D48" s="212" t="s">
        <v>2315</v>
      </c>
      <c r="E48" s="212"/>
      <c r="F48" s="212"/>
      <c r="G48" s="212"/>
      <c r="H48" s="212"/>
      <c r="I48" s="212"/>
      <c r="J48" s="212"/>
    </row>
    <row r="49" spans="2:10" ht="15" customHeight="1" x14ac:dyDescent="0.25">
      <c r="B49" s="114" t="s">
        <v>2316</v>
      </c>
      <c r="C49" s="163">
        <v>1.0249999999999999</v>
      </c>
      <c r="D49" s="213" t="s">
        <v>2317</v>
      </c>
      <c r="E49" s="213"/>
      <c r="F49" s="213"/>
      <c r="G49" s="213"/>
      <c r="H49" s="213"/>
      <c r="I49" s="213"/>
      <c r="J49" s="213"/>
    </row>
    <row r="50" spans="2:10" ht="15" customHeight="1" x14ac:dyDescent="0.25">
      <c r="B50" s="27" t="s">
        <v>2318</v>
      </c>
      <c r="C50" s="161">
        <v>1.07</v>
      </c>
      <c r="D50" s="212" t="s">
        <v>2319</v>
      </c>
      <c r="E50" s="212"/>
      <c r="F50" s="212"/>
      <c r="G50" s="212"/>
      <c r="H50" s="212"/>
      <c r="I50" s="212"/>
      <c r="J50" s="212"/>
    </row>
    <row r="51" spans="2:10" ht="15" customHeight="1" x14ac:dyDescent="0.25">
      <c r="B51" s="114" t="s">
        <v>549</v>
      </c>
      <c r="C51" s="163">
        <v>0.97499999999999998</v>
      </c>
      <c r="D51" s="213" t="s">
        <v>2320</v>
      </c>
      <c r="E51" s="213"/>
      <c r="F51" s="213"/>
      <c r="G51" s="213"/>
      <c r="H51" s="213"/>
      <c r="I51" s="213"/>
      <c r="J51" s="213"/>
    </row>
    <row r="53" spans="2:10" x14ac:dyDescent="0.25">
      <c r="B53" s="211" t="s">
        <v>223</v>
      </c>
      <c r="C53" s="211"/>
      <c r="D53" s="211"/>
      <c r="E53" s="211"/>
      <c r="F53" s="211"/>
      <c r="G53" s="211"/>
      <c r="H53" s="211"/>
      <c r="I53" s="211"/>
      <c r="J53" s="211"/>
    </row>
    <row r="54" spans="2:10" ht="15.75" customHeight="1" x14ac:dyDescent="0.25">
      <c r="B54" s="22" t="s">
        <v>2314</v>
      </c>
      <c r="C54" s="22" t="s">
        <v>353</v>
      </c>
      <c r="D54" s="22" t="s">
        <v>2254</v>
      </c>
    </row>
    <row r="55" spans="2:10" ht="15" customHeight="1" x14ac:dyDescent="0.25">
      <c r="B55" s="27" t="s">
        <v>224</v>
      </c>
      <c r="C55" s="161">
        <v>1</v>
      </c>
      <c r="D55" s="212" t="s">
        <v>2315</v>
      </c>
      <c r="E55" s="212"/>
      <c r="F55" s="212"/>
      <c r="G55" s="212"/>
      <c r="H55" s="212"/>
      <c r="I55" s="212"/>
      <c r="J55" s="212"/>
    </row>
    <row r="56" spans="2:10" ht="15" customHeight="1" x14ac:dyDescent="0.25">
      <c r="B56" s="114" t="s">
        <v>574</v>
      </c>
      <c r="C56" s="163">
        <v>1.0149999999999999</v>
      </c>
      <c r="D56" s="213" t="s">
        <v>2321</v>
      </c>
      <c r="E56" s="213"/>
      <c r="F56" s="213"/>
      <c r="G56" s="213"/>
      <c r="H56" s="213"/>
      <c r="I56" s="213"/>
      <c r="J56" s="213"/>
    </row>
    <row r="57" spans="2:10" x14ac:dyDescent="0.25">
      <c r="B57" s="27" t="s">
        <v>226</v>
      </c>
      <c r="C57" s="161">
        <v>0.99199999999999999</v>
      </c>
      <c r="D57" s="212"/>
      <c r="E57" s="212"/>
      <c r="F57" s="212"/>
      <c r="G57" s="212"/>
      <c r="H57" s="212"/>
      <c r="I57" s="212"/>
      <c r="J57" s="212"/>
    </row>
    <row r="59" spans="2:10" x14ac:dyDescent="0.25">
      <c r="B59" s="211" t="s">
        <v>225</v>
      </c>
      <c r="C59" s="211"/>
      <c r="D59" s="211"/>
      <c r="E59" s="211"/>
      <c r="F59" s="211"/>
      <c r="G59" s="211"/>
      <c r="H59" s="211"/>
      <c r="I59" s="211"/>
      <c r="J59" s="211"/>
    </row>
    <row r="60" spans="2:10" ht="15.75" customHeight="1" x14ac:dyDescent="0.25">
      <c r="B60" s="22" t="s">
        <v>2314</v>
      </c>
      <c r="C60" s="22" t="s">
        <v>353</v>
      </c>
      <c r="D60" s="22" t="s">
        <v>2254</v>
      </c>
    </row>
    <row r="61" spans="2:10" ht="15" customHeight="1" x14ac:dyDescent="0.25">
      <c r="B61" s="27" t="s">
        <v>226</v>
      </c>
      <c r="C61" s="161">
        <v>1</v>
      </c>
      <c r="D61" s="212" t="s">
        <v>2315</v>
      </c>
      <c r="E61" s="212"/>
      <c r="F61" s="212"/>
      <c r="G61" s="212"/>
      <c r="H61" s="212"/>
      <c r="I61" s="212"/>
      <c r="J61" s="212"/>
    </row>
    <row r="62" spans="2:10" ht="15" customHeight="1" x14ac:dyDescent="0.25">
      <c r="B62" s="114" t="s">
        <v>550</v>
      </c>
      <c r="C62" s="163">
        <v>0.97499999999999998</v>
      </c>
      <c r="D62" s="213" t="s">
        <v>2322</v>
      </c>
      <c r="E62" s="213"/>
      <c r="F62" s="213"/>
      <c r="G62" s="213"/>
      <c r="H62" s="213"/>
      <c r="I62" s="213"/>
      <c r="J62" s="213"/>
    </row>
    <row r="63" spans="2:10" ht="15" customHeight="1" x14ac:dyDescent="0.25">
      <c r="B63" s="27" t="s">
        <v>2323</v>
      </c>
      <c r="C63" s="161">
        <v>1.02</v>
      </c>
      <c r="D63" s="212" t="s">
        <v>2324</v>
      </c>
      <c r="E63" s="212"/>
      <c r="F63" s="212"/>
      <c r="G63" s="212"/>
      <c r="H63" s="212"/>
      <c r="I63" s="212"/>
      <c r="J63" s="212"/>
    </row>
    <row r="65" spans="2:10" x14ac:dyDescent="0.25">
      <c r="B65" s="211" t="s">
        <v>227</v>
      </c>
      <c r="C65" s="211"/>
      <c r="D65" s="211"/>
      <c r="E65" s="211"/>
      <c r="F65" s="211"/>
      <c r="G65" s="211"/>
      <c r="H65" s="211"/>
      <c r="I65" s="211"/>
      <c r="J65" s="211"/>
    </row>
    <row r="66" spans="2:10" ht="15.75" customHeight="1" x14ac:dyDescent="0.25">
      <c r="B66" s="22" t="s">
        <v>2314</v>
      </c>
      <c r="C66" s="22" t="s">
        <v>353</v>
      </c>
      <c r="D66" s="22" t="s">
        <v>2254</v>
      </c>
    </row>
    <row r="67" spans="2:10" ht="15" customHeight="1" x14ac:dyDescent="0.25">
      <c r="B67" s="27" t="s">
        <v>228</v>
      </c>
      <c r="C67" s="161">
        <v>1</v>
      </c>
      <c r="D67" s="212" t="s">
        <v>2315</v>
      </c>
      <c r="E67" s="212"/>
      <c r="F67" s="212"/>
      <c r="G67" s="212"/>
      <c r="H67" s="212"/>
      <c r="I67" s="212"/>
      <c r="J67" s="212"/>
    </row>
    <row r="68" spans="2:10" ht="15" customHeight="1" x14ac:dyDescent="0.25">
      <c r="B68" s="114" t="s">
        <v>704</v>
      </c>
      <c r="C68" s="163">
        <v>0.95499999999999996</v>
      </c>
      <c r="D68" s="213" t="s">
        <v>2325</v>
      </c>
      <c r="E68" s="213"/>
      <c r="F68" s="213"/>
      <c r="G68" s="213"/>
      <c r="H68" s="213"/>
      <c r="I68" s="213"/>
      <c r="J68" s="213"/>
    </row>
    <row r="69" spans="2:10" ht="15" customHeight="1" x14ac:dyDescent="0.25">
      <c r="B69" s="27" t="s">
        <v>705</v>
      </c>
      <c r="C69" s="161">
        <v>0.92</v>
      </c>
      <c r="D69" s="212" t="s">
        <v>2325</v>
      </c>
      <c r="E69" s="212"/>
      <c r="F69" s="212"/>
      <c r="G69" s="212"/>
      <c r="H69" s="212"/>
      <c r="I69" s="212"/>
      <c r="J69" s="212"/>
    </row>
    <row r="71" spans="2:10" x14ac:dyDescent="0.25">
      <c r="B71" s="211" t="s">
        <v>229</v>
      </c>
      <c r="C71" s="211"/>
      <c r="D71" s="211"/>
      <c r="E71" s="211"/>
      <c r="F71" s="211"/>
      <c r="G71" s="211"/>
      <c r="H71" s="211"/>
      <c r="I71" s="211"/>
      <c r="J71" s="211"/>
    </row>
    <row r="72" spans="2:10" ht="15.75" customHeight="1" x14ac:dyDescent="0.25">
      <c r="B72" s="22" t="s">
        <v>2314</v>
      </c>
      <c r="C72" s="22" t="s">
        <v>353</v>
      </c>
      <c r="D72" s="22" t="s">
        <v>2254</v>
      </c>
    </row>
    <row r="73" spans="2:10" ht="15" customHeight="1" x14ac:dyDescent="0.25">
      <c r="B73" s="27" t="s">
        <v>230</v>
      </c>
      <c r="C73" s="161">
        <v>1</v>
      </c>
      <c r="D73" s="212" t="s">
        <v>2326</v>
      </c>
      <c r="E73" s="212"/>
      <c r="F73" s="212"/>
      <c r="G73" s="212"/>
      <c r="H73" s="212"/>
      <c r="I73" s="212"/>
      <c r="J73" s="212"/>
    </row>
    <row r="74" spans="2:10" ht="15" customHeight="1" x14ac:dyDescent="0.25">
      <c r="B74" s="114" t="s">
        <v>706</v>
      </c>
      <c r="C74" s="163">
        <v>1.02</v>
      </c>
      <c r="D74" s="213" t="s">
        <v>2327</v>
      </c>
      <c r="E74" s="213"/>
      <c r="F74" s="213"/>
      <c r="G74" s="213"/>
      <c r="H74" s="213"/>
      <c r="I74" s="213"/>
      <c r="J74" s="213"/>
    </row>
    <row r="76" spans="2:10" x14ac:dyDescent="0.25">
      <c r="B76" s="15" t="s">
        <v>709</v>
      </c>
    </row>
    <row r="77" spans="2:10" ht="15" customHeight="1" x14ac:dyDescent="0.25">
      <c r="B77" s="10" t="s">
        <v>2328</v>
      </c>
      <c r="C77" s="10"/>
      <c r="D77" s="10"/>
      <c r="E77" s="10"/>
      <c r="F77" s="10"/>
      <c r="G77" s="10"/>
      <c r="H77" s="10"/>
      <c r="I77" s="10"/>
      <c r="J77" s="10"/>
    </row>
    <row r="78" spans="2:10" x14ac:dyDescent="0.25">
      <c r="B78" s="10"/>
      <c r="C78" s="10"/>
      <c r="D78" s="10"/>
      <c r="E78" s="10"/>
      <c r="F78" s="10"/>
      <c r="G78" s="10"/>
      <c r="H78" s="10"/>
      <c r="I78" s="10"/>
      <c r="J78" s="10"/>
    </row>
    <row r="79" spans="2:10" x14ac:dyDescent="0.25">
      <c r="B79" s="10"/>
      <c r="C79" s="10"/>
      <c r="D79" s="10"/>
      <c r="E79" s="10"/>
      <c r="F79" s="10"/>
      <c r="G79" s="10"/>
      <c r="H79" s="10"/>
      <c r="I79" s="10"/>
      <c r="J79" s="10"/>
    </row>
    <row r="80" spans="2:10" x14ac:dyDescent="0.25">
      <c r="B80" s="10"/>
      <c r="C80" s="10"/>
      <c r="D80" s="10"/>
      <c r="E80" s="10"/>
      <c r="F80" s="10"/>
      <c r="G80" s="10"/>
      <c r="H80" s="10"/>
      <c r="I80" s="10"/>
      <c r="J80" s="10"/>
    </row>
  </sheetData>
  <mergeCells count="65">
    <mergeCell ref="D69:J69"/>
    <mergeCell ref="B71:J71"/>
    <mergeCell ref="D73:J73"/>
    <mergeCell ref="D74:J74"/>
    <mergeCell ref="B77:J80"/>
    <mergeCell ref="D62:J62"/>
    <mergeCell ref="D63:J63"/>
    <mergeCell ref="B65:J65"/>
    <mergeCell ref="D67:J67"/>
    <mergeCell ref="D68:J68"/>
    <mergeCell ref="D55:J55"/>
    <mergeCell ref="D56:J56"/>
    <mergeCell ref="D57:J57"/>
    <mergeCell ref="B59:J59"/>
    <mergeCell ref="D61:J61"/>
    <mergeCell ref="D48:J48"/>
    <mergeCell ref="D49:J49"/>
    <mergeCell ref="D50:J50"/>
    <mergeCell ref="D51:J51"/>
    <mergeCell ref="B53:J53"/>
    <mergeCell ref="B41:J41"/>
    <mergeCell ref="B42:J42"/>
    <mergeCell ref="B43:J43"/>
    <mergeCell ref="B45:J45"/>
    <mergeCell ref="B46:J46"/>
    <mergeCell ref="B36:J36"/>
    <mergeCell ref="B37:J37"/>
    <mergeCell ref="B38:J38"/>
    <mergeCell ref="B39:J39"/>
    <mergeCell ref="B40:J40"/>
    <mergeCell ref="C32:E32"/>
    <mergeCell ref="F32:J32"/>
    <mergeCell ref="C33:E33"/>
    <mergeCell ref="F33:J33"/>
    <mergeCell ref="B35:J35"/>
    <mergeCell ref="C29:E29"/>
    <mergeCell ref="F29:J29"/>
    <mergeCell ref="C30:E30"/>
    <mergeCell ref="F30:J30"/>
    <mergeCell ref="C31:E31"/>
    <mergeCell ref="F31:J31"/>
    <mergeCell ref="C26:E26"/>
    <mergeCell ref="F26:J26"/>
    <mergeCell ref="C27:E27"/>
    <mergeCell ref="F27:J27"/>
    <mergeCell ref="C28:E28"/>
    <mergeCell ref="F28:J28"/>
    <mergeCell ref="C23:E23"/>
    <mergeCell ref="F23:J23"/>
    <mergeCell ref="C24:E24"/>
    <mergeCell ref="F24:J24"/>
    <mergeCell ref="C25:E25"/>
    <mergeCell ref="F25:J25"/>
    <mergeCell ref="C20:E20"/>
    <mergeCell ref="F20:J20"/>
    <mergeCell ref="C21:E21"/>
    <mergeCell ref="F21:J21"/>
    <mergeCell ref="C22:E22"/>
    <mergeCell ref="F22:J22"/>
    <mergeCell ref="B1:J1"/>
    <mergeCell ref="B2:J2"/>
    <mergeCell ref="B4:J4"/>
    <mergeCell ref="B17:J17"/>
    <mergeCell ref="C19:E19"/>
    <mergeCell ref="F19:J19"/>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F89"/>
  <sheetViews>
    <sheetView showGridLines="0" zoomScaleNormal="100" workbookViewId="0"/>
  </sheetViews>
  <sheetFormatPr defaultColWidth="8.7109375" defaultRowHeight="15" x14ac:dyDescent="0.25"/>
  <cols>
    <col min="1" max="1" width="2" customWidth="1"/>
    <col min="2" max="2" width="46" customWidth="1"/>
    <col min="3" max="3" width="44" customWidth="1"/>
    <col min="4" max="4" width="13" customWidth="1"/>
    <col min="5" max="5" width="66" customWidth="1"/>
    <col min="6" max="6" width="20" customWidth="1"/>
  </cols>
  <sheetData>
    <row r="1" spans="2:6" ht="25.5" customHeight="1" x14ac:dyDescent="0.25">
      <c r="B1" s="14" t="s">
        <v>2329</v>
      </c>
      <c r="C1" s="14"/>
      <c r="D1" s="14"/>
      <c r="E1" s="14"/>
      <c r="F1" s="14"/>
    </row>
    <row r="2" spans="2:6" ht="15" customHeight="1" x14ac:dyDescent="0.25">
      <c r="B2" s="13" t="s">
        <v>2330</v>
      </c>
      <c r="C2" s="13"/>
      <c r="D2" s="13"/>
      <c r="E2" s="13"/>
      <c r="F2" s="13"/>
    </row>
    <row r="4" spans="2:6" ht="18" customHeight="1" x14ac:dyDescent="0.25">
      <c r="B4" s="12" t="s">
        <v>2331</v>
      </c>
      <c r="C4" s="12"/>
      <c r="D4" s="12"/>
      <c r="E4" s="12"/>
      <c r="F4" s="12"/>
    </row>
    <row r="5" spans="2:6" ht="30" customHeight="1" x14ac:dyDescent="0.25">
      <c r="B5" s="22" t="s">
        <v>176</v>
      </c>
      <c r="C5" s="22" t="s">
        <v>179</v>
      </c>
      <c r="D5" s="22" t="s">
        <v>353</v>
      </c>
      <c r="E5" s="22" t="s">
        <v>2171</v>
      </c>
    </row>
    <row r="6" spans="2:6" x14ac:dyDescent="0.25">
      <c r="B6" s="27" t="s">
        <v>177</v>
      </c>
      <c r="C6" s="20" t="s">
        <v>506</v>
      </c>
      <c r="D6" s="161">
        <v>0.85</v>
      </c>
      <c r="E6" s="27" t="s">
        <v>2332</v>
      </c>
    </row>
    <row r="7" spans="2:6" x14ac:dyDescent="0.25">
      <c r="B7" s="114" t="s">
        <v>177</v>
      </c>
      <c r="C7" s="119" t="s">
        <v>180</v>
      </c>
      <c r="D7" s="163">
        <v>1</v>
      </c>
      <c r="E7" s="114" t="s">
        <v>899</v>
      </c>
    </row>
    <row r="8" spans="2:6" x14ac:dyDescent="0.25">
      <c r="B8" s="27" t="s">
        <v>177</v>
      </c>
      <c r="C8" s="20" t="s">
        <v>695</v>
      </c>
      <c r="D8" s="161">
        <v>0.65</v>
      </c>
      <c r="E8" s="27" t="s">
        <v>2333</v>
      </c>
    </row>
    <row r="9" spans="2:6" x14ac:dyDescent="0.25">
      <c r="B9" s="114" t="s">
        <v>177</v>
      </c>
      <c r="C9" s="119" t="s">
        <v>526</v>
      </c>
      <c r="D9" s="163">
        <v>1.05</v>
      </c>
      <c r="E9" s="114" t="s">
        <v>2334</v>
      </c>
    </row>
    <row r="10" spans="2:6" x14ac:dyDescent="0.25">
      <c r="B10" s="27" t="s">
        <v>177</v>
      </c>
      <c r="C10" s="20" t="s">
        <v>2335</v>
      </c>
      <c r="D10" s="161">
        <v>1.2</v>
      </c>
      <c r="E10" s="27" t="s">
        <v>2336</v>
      </c>
    </row>
    <row r="11" spans="2:6" x14ac:dyDescent="0.25">
      <c r="B11" s="114" t="s">
        <v>177</v>
      </c>
      <c r="C11" s="119" t="s">
        <v>2337</v>
      </c>
      <c r="D11" s="163">
        <v>2.1</v>
      </c>
      <c r="E11" s="114" t="s">
        <v>2338</v>
      </c>
    </row>
    <row r="12" spans="2:6" x14ac:dyDescent="0.25">
      <c r="B12" s="27" t="s">
        <v>537</v>
      </c>
      <c r="C12" s="20" t="s">
        <v>696</v>
      </c>
      <c r="D12" s="161">
        <v>1.45</v>
      </c>
      <c r="E12" s="27" t="s">
        <v>2339</v>
      </c>
    </row>
    <row r="13" spans="2:6" x14ac:dyDescent="0.25">
      <c r="B13" s="114" t="s">
        <v>537</v>
      </c>
      <c r="C13" s="119" t="s">
        <v>538</v>
      </c>
      <c r="D13" s="163">
        <v>2.9</v>
      </c>
      <c r="E13" s="114" t="s">
        <v>2340</v>
      </c>
    </row>
    <row r="14" spans="2:6" x14ac:dyDescent="0.25">
      <c r="B14" s="27" t="s">
        <v>537</v>
      </c>
      <c r="C14" s="20" t="s">
        <v>2341</v>
      </c>
      <c r="D14" s="161">
        <v>2.2999999999999998</v>
      </c>
      <c r="E14" s="27" t="s">
        <v>2342</v>
      </c>
    </row>
    <row r="15" spans="2:6" x14ac:dyDescent="0.25">
      <c r="B15" s="114" t="s">
        <v>537</v>
      </c>
      <c r="C15" s="119" t="s">
        <v>2343</v>
      </c>
      <c r="D15" s="163">
        <v>1.55</v>
      </c>
      <c r="E15" s="114" t="s">
        <v>2344</v>
      </c>
    </row>
    <row r="16" spans="2:6" x14ac:dyDescent="0.25">
      <c r="B16" s="27" t="s">
        <v>537</v>
      </c>
      <c r="C16" s="20" t="s">
        <v>2345</v>
      </c>
      <c r="D16" s="161">
        <v>0.75</v>
      </c>
      <c r="E16" s="27" t="s">
        <v>2346</v>
      </c>
    </row>
    <row r="17" spans="2:6" x14ac:dyDescent="0.25">
      <c r="B17" s="114" t="s">
        <v>537</v>
      </c>
      <c r="C17" s="119" t="s">
        <v>2347</v>
      </c>
      <c r="D17" s="163">
        <v>1.1499999999999999</v>
      </c>
      <c r="E17" s="114" t="s">
        <v>2348</v>
      </c>
    </row>
    <row r="18" spans="2:6" x14ac:dyDescent="0.25">
      <c r="B18" s="27" t="s">
        <v>537</v>
      </c>
      <c r="C18" s="20" t="s">
        <v>2349</v>
      </c>
      <c r="D18" s="161">
        <v>1.3</v>
      </c>
      <c r="E18" s="27" t="s">
        <v>2350</v>
      </c>
    </row>
    <row r="19" spans="2:6" x14ac:dyDescent="0.25">
      <c r="B19" s="114" t="s">
        <v>537</v>
      </c>
      <c r="C19" s="119" t="s">
        <v>2351</v>
      </c>
      <c r="D19" s="163">
        <v>1.6</v>
      </c>
      <c r="E19" s="114" t="s">
        <v>2352</v>
      </c>
    </row>
    <row r="20" spans="2:6" x14ac:dyDescent="0.25">
      <c r="B20" s="27" t="s">
        <v>537</v>
      </c>
      <c r="C20" s="20" t="s">
        <v>2353</v>
      </c>
      <c r="D20" s="161">
        <v>3.4</v>
      </c>
      <c r="E20" s="27" t="s">
        <v>2354</v>
      </c>
    </row>
    <row r="22" spans="2:6" ht="18" customHeight="1" x14ac:dyDescent="0.25">
      <c r="B22" s="12" t="s">
        <v>2355</v>
      </c>
      <c r="C22" s="12"/>
      <c r="D22" s="12"/>
      <c r="E22" s="12"/>
      <c r="F22" s="12"/>
    </row>
    <row r="23" spans="2:6" ht="30" customHeight="1" x14ac:dyDescent="0.25">
      <c r="B23" s="22" t="s">
        <v>182</v>
      </c>
      <c r="C23" s="22" t="s">
        <v>353</v>
      </c>
      <c r="D23" s="22"/>
    </row>
    <row r="24" spans="2:6" x14ac:dyDescent="0.25">
      <c r="B24" s="20" t="s">
        <v>507</v>
      </c>
      <c r="C24" s="161">
        <v>0.75</v>
      </c>
      <c r="D24" s="214"/>
      <c r="E24" s="214"/>
      <c r="F24" s="214"/>
    </row>
    <row r="25" spans="2:6" x14ac:dyDescent="0.25">
      <c r="B25" s="119" t="s">
        <v>527</v>
      </c>
      <c r="C25" s="163">
        <v>0.85</v>
      </c>
      <c r="D25" s="215"/>
      <c r="E25" s="215"/>
      <c r="F25" s="215"/>
    </row>
    <row r="26" spans="2:6" x14ac:dyDescent="0.25">
      <c r="B26" s="20" t="s">
        <v>183</v>
      </c>
      <c r="C26" s="161">
        <v>1</v>
      </c>
      <c r="D26" s="214"/>
      <c r="E26" s="214"/>
      <c r="F26" s="214"/>
    </row>
    <row r="27" spans="2:6" x14ac:dyDescent="0.25">
      <c r="B27" s="119" t="s">
        <v>2356</v>
      </c>
      <c r="C27" s="163">
        <v>1.1499999999999999</v>
      </c>
      <c r="D27" s="215"/>
      <c r="E27" s="215"/>
      <c r="F27" s="215"/>
    </row>
    <row r="28" spans="2:6" x14ac:dyDescent="0.25">
      <c r="B28" s="20" t="s">
        <v>2357</v>
      </c>
      <c r="C28" s="161">
        <v>1.3</v>
      </c>
      <c r="D28" s="214"/>
      <c r="E28" s="214"/>
      <c r="F28" s="214"/>
    </row>
    <row r="29" spans="2:6" x14ac:dyDescent="0.25">
      <c r="B29" s="119" t="s">
        <v>2358</v>
      </c>
      <c r="C29" s="163">
        <v>1.55</v>
      </c>
      <c r="D29" s="215"/>
      <c r="E29" s="215"/>
      <c r="F29" s="215"/>
    </row>
    <row r="30" spans="2:6" x14ac:dyDescent="0.25">
      <c r="B30" s="20" t="s">
        <v>539</v>
      </c>
      <c r="C30" s="161">
        <v>1.85</v>
      </c>
      <c r="D30" s="214"/>
      <c r="E30" s="214"/>
      <c r="F30" s="214"/>
    </row>
    <row r="32" spans="2:6" ht="18" customHeight="1" x14ac:dyDescent="0.25">
      <c r="B32" s="12" t="s">
        <v>2359</v>
      </c>
      <c r="C32" s="12"/>
      <c r="D32" s="12"/>
      <c r="E32" s="12"/>
      <c r="F32" s="12"/>
    </row>
    <row r="33" spans="2:6" ht="30" customHeight="1" x14ac:dyDescent="0.25">
      <c r="B33" s="22" t="s">
        <v>2360</v>
      </c>
      <c r="C33" s="22" t="s">
        <v>353</v>
      </c>
      <c r="D33" s="22" t="s">
        <v>2171</v>
      </c>
    </row>
    <row r="34" spans="2:6" x14ac:dyDescent="0.25">
      <c r="B34" s="20" t="s">
        <v>508</v>
      </c>
      <c r="C34" s="161">
        <v>0.85</v>
      </c>
      <c r="D34" s="27" t="s">
        <v>2361</v>
      </c>
    </row>
    <row r="35" spans="2:6" x14ac:dyDescent="0.25">
      <c r="B35" s="119" t="s">
        <v>186</v>
      </c>
      <c r="C35" s="163">
        <v>0.9</v>
      </c>
      <c r="D35" s="114" t="s">
        <v>900</v>
      </c>
    </row>
    <row r="36" spans="2:6" x14ac:dyDescent="0.25">
      <c r="B36" s="20" t="s">
        <v>2362</v>
      </c>
      <c r="C36" s="161">
        <v>1</v>
      </c>
      <c r="D36" s="27" t="s">
        <v>899</v>
      </c>
    </row>
    <row r="37" spans="2:6" x14ac:dyDescent="0.25">
      <c r="B37" s="119" t="s">
        <v>540</v>
      </c>
      <c r="C37" s="163">
        <v>1.05</v>
      </c>
      <c r="D37" s="114" t="s">
        <v>2363</v>
      </c>
    </row>
    <row r="38" spans="2:6" x14ac:dyDescent="0.25">
      <c r="B38" s="20" t="s">
        <v>2364</v>
      </c>
      <c r="C38" s="161">
        <v>1.1499999999999999</v>
      </c>
      <c r="D38" s="27" t="s">
        <v>888</v>
      </c>
    </row>
    <row r="39" spans="2:6" x14ac:dyDescent="0.25">
      <c r="B39" s="119" t="s">
        <v>2365</v>
      </c>
      <c r="C39" s="163">
        <v>1.3</v>
      </c>
      <c r="D39" s="114" t="s">
        <v>887</v>
      </c>
    </row>
    <row r="40" spans="2:6" x14ac:dyDescent="0.25">
      <c r="B40" s="20" t="s">
        <v>2366</v>
      </c>
      <c r="C40" s="161">
        <v>1.6</v>
      </c>
      <c r="D40" s="27" t="s">
        <v>2367</v>
      </c>
    </row>
    <row r="42" spans="2:6" ht="18" customHeight="1" x14ac:dyDescent="0.25">
      <c r="B42" s="12" t="s">
        <v>2368</v>
      </c>
      <c r="C42" s="12"/>
      <c r="D42" s="12"/>
      <c r="E42" s="12"/>
      <c r="F42" s="12"/>
    </row>
    <row r="43" spans="2:6" ht="30" customHeight="1" x14ac:dyDescent="0.25">
      <c r="B43" s="22" t="s">
        <v>188</v>
      </c>
      <c r="C43" s="22" t="s">
        <v>353</v>
      </c>
      <c r="D43" s="22" t="s">
        <v>2171</v>
      </c>
    </row>
    <row r="44" spans="2:6" x14ac:dyDescent="0.25">
      <c r="B44" s="20" t="s">
        <v>509</v>
      </c>
      <c r="C44" s="161">
        <v>0.85</v>
      </c>
      <c r="D44" s="27" t="s">
        <v>2369</v>
      </c>
    </row>
    <row r="45" spans="2:6" x14ac:dyDescent="0.25">
      <c r="B45" s="119" t="s">
        <v>189</v>
      </c>
      <c r="C45" s="163">
        <v>0.9</v>
      </c>
      <c r="D45" s="114" t="s">
        <v>900</v>
      </c>
    </row>
    <row r="46" spans="2:6" x14ac:dyDescent="0.25">
      <c r="B46" s="20" t="s">
        <v>698</v>
      </c>
      <c r="C46" s="161">
        <v>0.95</v>
      </c>
      <c r="D46" s="27" t="s">
        <v>888</v>
      </c>
    </row>
    <row r="47" spans="2:6" x14ac:dyDescent="0.25">
      <c r="B47" s="119" t="s">
        <v>2370</v>
      </c>
      <c r="C47" s="163">
        <v>1</v>
      </c>
      <c r="D47" s="114" t="s">
        <v>899</v>
      </c>
    </row>
    <row r="48" spans="2:6" x14ac:dyDescent="0.25">
      <c r="B48" s="20" t="s">
        <v>2371</v>
      </c>
      <c r="C48" s="161">
        <v>1.05</v>
      </c>
      <c r="D48" s="27" t="s">
        <v>888</v>
      </c>
    </row>
    <row r="49" spans="2:6" x14ac:dyDescent="0.25">
      <c r="B49" s="119" t="s">
        <v>697</v>
      </c>
      <c r="C49" s="163">
        <v>1.1499999999999999</v>
      </c>
      <c r="D49" s="114" t="s">
        <v>2372</v>
      </c>
    </row>
    <row r="51" spans="2:6" ht="18" customHeight="1" x14ac:dyDescent="0.25">
      <c r="B51" s="12" t="s">
        <v>2373</v>
      </c>
      <c r="C51" s="12"/>
      <c r="D51" s="12"/>
      <c r="E51" s="12"/>
      <c r="F51" s="12"/>
    </row>
    <row r="52" spans="2:6" ht="30" customHeight="1" x14ac:dyDescent="0.25">
      <c r="B52" s="22" t="s">
        <v>2253</v>
      </c>
      <c r="C52" s="22" t="s">
        <v>2374</v>
      </c>
      <c r="D52" s="22"/>
    </row>
    <row r="53" spans="2:6" x14ac:dyDescent="0.25">
      <c r="B53" s="20" t="s">
        <v>2255</v>
      </c>
      <c r="C53" s="161">
        <v>1.1000000000000001</v>
      </c>
      <c r="D53" s="214"/>
      <c r="E53" s="214"/>
      <c r="F53" s="214"/>
    </row>
    <row r="54" spans="2:6" x14ac:dyDescent="0.25">
      <c r="B54" s="119" t="s">
        <v>2257</v>
      </c>
      <c r="C54" s="163">
        <v>1</v>
      </c>
      <c r="D54" s="215"/>
      <c r="E54" s="215"/>
      <c r="F54" s="215"/>
    </row>
    <row r="55" spans="2:6" x14ac:dyDescent="0.25">
      <c r="B55" s="20" t="s">
        <v>207</v>
      </c>
      <c r="C55" s="161">
        <v>0.94</v>
      </c>
      <c r="D55" s="214"/>
      <c r="E55" s="214"/>
      <c r="F55" s="214"/>
    </row>
    <row r="56" spans="2:6" x14ac:dyDescent="0.25">
      <c r="B56" s="119" t="s">
        <v>238</v>
      </c>
      <c r="C56" s="163">
        <v>0.87</v>
      </c>
      <c r="D56" s="215"/>
      <c r="E56" s="215"/>
      <c r="F56" s="215"/>
    </row>
    <row r="57" spans="2:6" x14ac:dyDescent="0.25">
      <c r="B57" s="20" t="s">
        <v>235</v>
      </c>
      <c r="C57" s="161">
        <v>0.78</v>
      </c>
      <c r="D57" s="214"/>
      <c r="E57" s="214"/>
      <c r="F57" s="214"/>
    </row>
    <row r="58" spans="2:6" x14ac:dyDescent="0.25">
      <c r="B58" s="119" t="s">
        <v>2259</v>
      </c>
      <c r="C58" s="163">
        <v>0.7</v>
      </c>
      <c r="D58" s="215"/>
      <c r="E58" s="215"/>
      <c r="F58" s="215"/>
    </row>
    <row r="59" spans="2:6" x14ac:dyDescent="0.25">
      <c r="B59" s="20" t="s">
        <v>244</v>
      </c>
      <c r="C59" s="161">
        <v>0.62</v>
      </c>
      <c r="D59" s="214"/>
      <c r="E59" s="214"/>
      <c r="F59" s="214"/>
    </row>
    <row r="61" spans="2:6" ht="18" customHeight="1" x14ac:dyDescent="0.25">
      <c r="B61" s="12" t="s">
        <v>2375</v>
      </c>
      <c r="C61" s="12"/>
      <c r="D61" s="12"/>
      <c r="E61" s="12"/>
      <c r="F61" s="12"/>
    </row>
    <row r="62" spans="2:6" ht="30" customHeight="1" x14ac:dyDescent="0.25">
      <c r="B62" s="22" t="s">
        <v>209</v>
      </c>
      <c r="C62" s="22" t="s">
        <v>353</v>
      </c>
      <c r="D62" s="22" t="s">
        <v>2171</v>
      </c>
    </row>
    <row r="63" spans="2:6" x14ac:dyDescent="0.25">
      <c r="B63" s="20" t="s">
        <v>210</v>
      </c>
      <c r="C63" s="161">
        <v>1</v>
      </c>
      <c r="D63" s="27" t="s">
        <v>2376</v>
      </c>
    </row>
    <row r="64" spans="2:6" x14ac:dyDescent="0.25">
      <c r="B64" s="119" t="s">
        <v>514</v>
      </c>
      <c r="C64" s="163">
        <v>1.06</v>
      </c>
      <c r="D64" s="114" t="s">
        <v>2377</v>
      </c>
    </row>
    <row r="65" spans="2:6" x14ac:dyDescent="0.25">
      <c r="B65" s="20" t="s">
        <v>546</v>
      </c>
      <c r="C65" s="161">
        <v>0.92</v>
      </c>
      <c r="D65" s="27" t="s">
        <v>2378</v>
      </c>
    </row>
    <row r="66" spans="2:6" x14ac:dyDescent="0.25">
      <c r="B66" s="119" t="s">
        <v>2379</v>
      </c>
      <c r="C66" s="163">
        <v>0.88</v>
      </c>
      <c r="D66" s="114" t="s">
        <v>2380</v>
      </c>
    </row>
    <row r="68" spans="2:6" ht="18" customHeight="1" x14ac:dyDescent="0.25">
      <c r="B68" s="12" t="s">
        <v>2381</v>
      </c>
      <c r="C68" s="12"/>
      <c r="D68" s="12"/>
      <c r="E68" s="12"/>
      <c r="F68" s="12"/>
    </row>
    <row r="69" spans="2:6" ht="30" customHeight="1" x14ac:dyDescent="0.25">
      <c r="B69" s="22" t="s">
        <v>2382</v>
      </c>
      <c r="C69" s="22" t="s">
        <v>353</v>
      </c>
      <c r="D69" s="22"/>
    </row>
    <row r="70" spans="2:6" x14ac:dyDescent="0.25">
      <c r="B70" s="20" t="s">
        <v>2383</v>
      </c>
      <c r="C70" s="161">
        <v>1</v>
      </c>
      <c r="D70" s="214"/>
      <c r="E70" s="214"/>
      <c r="F70" s="214"/>
    </row>
    <row r="71" spans="2:6" x14ac:dyDescent="0.25">
      <c r="B71" s="119" t="s">
        <v>204</v>
      </c>
      <c r="C71" s="163">
        <v>0.95</v>
      </c>
      <c r="D71" s="215"/>
      <c r="E71" s="215"/>
      <c r="F71" s="215"/>
    </row>
    <row r="72" spans="2:6" x14ac:dyDescent="0.25">
      <c r="B72" s="20" t="s">
        <v>571</v>
      </c>
      <c r="C72" s="161">
        <v>0.9</v>
      </c>
      <c r="D72" s="214"/>
      <c r="E72" s="214"/>
      <c r="F72" s="214"/>
    </row>
    <row r="73" spans="2:6" x14ac:dyDescent="0.25">
      <c r="B73" s="119" t="s">
        <v>545</v>
      </c>
      <c r="C73" s="163">
        <v>0.86</v>
      </c>
      <c r="D73" s="215"/>
      <c r="E73" s="215"/>
      <c r="F73" s="215"/>
    </row>
    <row r="74" spans="2:6" x14ac:dyDescent="0.25">
      <c r="B74" s="20" t="s">
        <v>513</v>
      </c>
      <c r="C74" s="161">
        <v>0.82</v>
      </c>
      <c r="D74" s="214"/>
      <c r="E74" s="214"/>
      <c r="F74" s="214"/>
    </row>
    <row r="75" spans="2:6" x14ac:dyDescent="0.25">
      <c r="B75" s="119" t="s">
        <v>701</v>
      </c>
      <c r="C75" s="163">
        <v>0.78</v>
      </c>
      <c r="D75" s="215"/>
      <c r="E75" s="215"/>
      <c r="F75" s="215"/>
    </row>
    <row r="77" spans="2:6" ht="18" customHeight="1" x14ac:dyDescent="0.25">
      <c r="B77" s="12" t="s">
        <v>2384</v>
      </c>
      <c r="C77" s="12"/>
      <c r="D77" s="12"/>
      <c r="E77" s="12"/>
      <c r="F77" s="12"/>
    </row>
    <row r="78" spans="2:6" ht="30" customHeight="1" x14ac:dyDescent="0.25">
      <c r="B78" s="22" t="s">
        <v>2385</v>
      </c>
      <c r="C78" s="22" t="s">
        <v>353</v>
      </c>
      <c r="D78" s="22"/>
    </row>
    <row r="79" spans="2:6" x14ac:dyDescent="0.25">
      <c r="B79" s="20" t="s">
        <v>2386</v>
      </c>
      <c r="C79" s="161">
        <v>1</v>
      </c>
      <c r="D79" s="214"/>
      <c r="E79" s="214"/>
      <c r="F79" s="214"/>
    </row>
    <row r="80" spans="2:6" x14ac:dyDescent="0.25">
      <c r="B80" s="119" t="s">
        <v>2387</v>
      </c>
      <c r="C80" s="163">
        <v>1.18</v>
      </c>
      <c r="D80" s="215"/>
      <c r="E80" s="215"/>
      <c r="F80" s="215"/>
    </row>
    <row r="81" spans="2:6" x14ac:dyDescent="0.25">
      <c r="B81" s="20" t="s">
        <v>212</v>
      </c>
      <c r="C81" s="161">
        <v>1.42</v>
      </c>
      <c r="D81" s="214"/>
      <c r="E81" s="214"/>
      <c r="F81" s="214"/>
    </row>
    <row r="82" spans="2:6" x14ac:dyDescent="0.25">
      <c r="B82" s="119" t="s">
        <v>528</v>
      </c>
      <c r="C82" s="163">
        <v>1.68</v>
      </c>
      <c r="D82" s="215"/>
      <c r="E82" s="215"/>
      <c r="F82" s="215"/>
    </row>
    <row r="83" spans="2:6" x14ac:dyDescent="0.25">
      <c r="B83" s="20" t="s">
        <v>515</v>
      </c>
      <c r="C83" s="161">
        <v>2.0499999999999998</v>
      </c>
      <c r="D83" s="214"/>
      <c r="E83" s="214"/>
      <c r="F83" s="214"/>
    </row>
    <row r="84" spans="2:6" x14ac:dyDescent="0.25">
      <c r="B84" s="119" t="s">
        <v>2388</v>
      </c>
      <c r="C84" s="163">
        <v>2.35</v>
      </c>
      <c r="D84" s="215"/>
      <c r="E84" s="215"/>
      <c r="F84" s="215"/>
    </row>
    <row r="86" spans="2:6" x14ac:dyDescent="0.25">
      <c r="B86" s="15" t="s">
        <v>709</v>
      </c>
    </row>
    <row r="87" spans="2:6" ht="15" customHeight="1" x14ac:dyDescent="0.25">
      <c r="B87" s="10" t="s">
        <v>2389</v>
      </c>
      <c r="C87" s="10"/>
      <c r="D87" s="10"/>
      <c r="E87" s="10"/>
      <c r="F87" s="10"/>
    </row>
    <row r="88" spans="2:6" x14ac:dyDescent="0.25">
      <c r="B88" s="10"/>
      <c r="C88" s="10"/>
      <c r="D88" s="10"/>
      <c r="E88" s="10"/>
      <c r="F88" s="10"/>
    </row>
    <row r="89" spans="2:6" x14ac:dyDescent="0.25">
      <c r="B89" s="10"/>
      <c r="C89" s="10"/>
      <c r="D89" s="10"/>
      <c r="E89" s="10"/>
      <c r="F89" s="10"/>
    </row>
  </sheetData>
  <mergeCells count="37">
    <mergeCell ref="D84:F84"/>
    <mergeCell ref="B87:F89"/>
    <mergeCell ref="D79:F79"/>
    <mergeCell ref="D80:F80"/>
    <mergeCell ref="D81:F81"/>
    <mergeCell ref="D82:F82"/>
    <mergeCell ref="D83:F83"/>
    <mergeCell ref="D72:F72"/>
    <mergeCell ref="D73:F73"/>
    <mergeCell ref="D74:F74"/>
    <mergeCell ref="D75:F75"/>
    <mergeCell ref="B77:F77"/>
    <mergeCell ref="D59:F59"/>
    <mergeCell ref="B61:F61"/>
    <mergeCell ref="B68:F68"/>
    <mergeCell ref="D70:F70"/>
    <mergeCell ref="D71:F71"/>
    <mergeCell ref="D54:F54"/>
    <mergeCell ref="D55:F55"/>
    <mergeCell ref="D56:F56"/>
    <mergeCell ref="D57:F57"/>
    <mergeCell ref="D58:F58"/>
    <mergeCell ref="D30:F30"/>
    <mergeCell ref="B32:F32"/>
    <mergeCell ref="B42:F42"/>
    <mergeCell ref="B51:F51"/>
    <mergeCell ref="D53:F53"/>
    <mergeCell ref="D25:F25"/>
    <mergeCell ref="D26:F26"/>
    <mergeCell ref="D27:F27"/>
    <mergeCell ref="D28:F28"/>
    <mergeCell ref="D29:F29"/>
    <mergeCell ref="B1:F1"/>
    <mergeCell ref="B2:F2"/>
    <mergeCell ref="B4:F4"/>
    <mergeCell ref="B22:F22"/>
    <mergeCell ref="D24:F24"/>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F44"/>
  <sheetViews>
    <sheetView showGridLines="0" zoomScaleNormal="100" workbookViewId="0"/>
  </sheetViews>
  <sheetFormatPr defaultColWidth="8.7109375" defaultRowHeight="15" x14ac:dyDescent="0.25"/>
  <cols>
    <col min="1" max="1" width="2" customWidth="1"/>
    <col min="2" max="2" width="9" customWidth="1"/>
    <col min="3" max="3" width="38" customWidth="1"/>
    <col min="4" max="4" width="30" customWidth="1"/>
    <col min="5" max="6" width="62" customWidth="1"/>
  </cols>
  <sheetData>
    <row r="1" spans="2:6" ht="25.5" customHeight="1" x14ac:dyDescent="0.25">
      <c r="B1" s="14" t="s">
        <v>2390</v>
      </c>
      <c r="C1" s="14"/>
      <c r="D1" s="14"/>
      <c r="E1" s="14"/>
      <c r="F1" s="14"/>
    </row>
    <row r="2" spans="2:6" ht="15" customHeight="1" x14ac:dyDescent="0.25">
      <c r="B2" s="13" t="s">
        <v>2391</v>
      </c>
      <c r="C2" s="13"/>
      <c r="D2" s="13"/>
      <c r="E2" s="13"/>
      <c r="F2" s="13"/>
    </row>
    <row r="4" spans="2:6" ht="18" customHeight="1" x14ac:dyDescent="0.25">
      <c r="B4" s="12" t="s">
        <v>2392</v>
      </c>
      <c r="C4" s="12"/>
      <c r="D4" s="12"/>
      <c r="E4" s="12"/>
      <c r="F4" s="12"/>
    </row>
    <row r="5" spans="2:6" ht="30" customHeight="1" x14ac:dyDescent="0.25">
      <c r="B5" s="22" t="s">
        <v>941</v>
      </c>
      <c r="C5" s="22" t="s">
        <v>2393</v>
      </c>
      <c r="D5" s="22" t="s">
        <v>2394</v>
      </c>
      <c r="E5" s="22" t="s">
        <v>2395</v>
      </c>
      <c r="F5" s="22" t="s">
        <v>2396</v>
      </c>
    </row>
    <row r="6" spans="2:6" ht="31.5" customHeight="1" x14ac:dyDescent="0.25">
      <c r="B6" s="56" t="s">
        <v>2397</v>
      </c>
      <c r="C6" s="20" t="s">
        <v>2398</v>
      </c>
      <c r="D6" s="179" t="s">
        <v>2399</v>
      </c>
      <c r="E6" s="24" t="s">
        <v>2400</v>
      </c>
      <c r="F6" s="24" t="s">
        <v>2401</v>
      </c>
    </row>
    <row r="7" spans="2:6" ht="31.5" customHeight="1" x14ac:dyDescent="0.25">
      <c r="B7" s="63" t="s">
        <v>2402</v>
      </c>
      <c r="C7" s="119" t="s">
        <v>2403</v>
      </c>
      <c r="D7" s="180" t="s">
        <v>2399</v>
      </c>
      <c r="E7" s="26" t="s">
        <v>2404</v>
      </c>
      <c r="F7" s="26" t="s">
        <v>2405</v>
      </c>
    </row>
    <row r="8" spans="2:6" ht="31.5" customHeight="1" x14ac:dyDescent="0.25">
      <c r="B8" s="56" t="s">
        <v>2406</v>
      </c>
      <c r="C8" s="20" t="s">
        <v>2407</v>
      </c>
      <c r="D8" s="179" t="s">
        <v>2408</v>
      </c>
      <c r="E8" s="24" t="s">
        <v>2409</v>
      </c>
      <c r="F8" s="24" t="s">
        <v>2410</v>
      </c>
    </row>
    <row r="9" spans="2:6" ht="31.5" customHeight="1" x14ac:dyDescent="0.25">
      <c r="B9" s="63" t="s">
        <v>2411</v>
      </c>
      <c r="C9" s="119" t="s">
        <v>2412</v>
      </c>
      <c r="D9" s="180" t="s">
        <v>2413</v>
      </c>
      <c r="E9" s="26" t="s">
        <v>2414</v>
      </c>
      <c r="F9" s="26" t="s">
        <v>2415</v>
      </c>
    </row>
    <row r="10" spans="2:6" ht="31.5" customHeight="1" x14ac:dyDescent="0.25">
      <c r="B10" s="56" t="s">
        <v>2416</v>
      </c>
      <c r="C10" s="20" t="s">
        <v>2417</v>
      </c>
      <c r="D10" s="179" t="s">
        <v>2418</v>
      </c>
      <c r="E10" s="24" t="s">
        <v>2419</v>
      </c>
      <c r="F10" s="24" t="s">
        <v>2420</v>
      </c>
    </row>
    <row r="11" spans="2:6" ht="31.5" customHeight="1" x14ac:dyDescent="0.25">
      <c r="B11" s="63" t="s">
        <v>2421</v>
      </c>
      <c r="C11" s="119" t="s">
        <v>2422</v>
      </c>
      <c r="D11" s="180" t="s">
        <v>2423</v>
      </c>
      <c r="E11" s="26" t="s">
        <v>2424</v>
      </c>
      <c r="F11" s="26" t="s">
        <v>2425</v>
      </c>
    </row>
    <row r="12" spans="2:6" ht="31.5" customHeight="1" x14ac:dyDescent="0.25">
      <c r="B12" s="56" t="s">
        <v>2426</v>
      </c>
      <c r="C12" s="20" t="s">
        <v>2427</v>
      </c>
      <c r="D12" s="179" t="s">
        <v>2428</v>
      </c>
      <c r="E12" s="24" t="s">
        <v>2429</v>
      </c>
      <c r="F12" s="24" t="s">
        <v>2430</v>
      </c>
    </row>
    <row r="13" spans="2:6" ht="31.5" customHeight="1" x14ac:dyDescent="0.25">
      <c r="B13" s="63" t="s">
        <v>2431</v>
      </c>
      <c r="C13" s="119" t="s">
        <v>2432</v>
      </c>
      <c r="D13" s="180" t="s">
        <v>2433</v>
      </c>
      <c r="E13" s="26" t="s">
        <v>2434</v>
      </c>
      <c r="F13" s="26" t="s">
        <v>2435</v>
      </c>
    </row>
    <row r="14" spans="2:6" ht="31.5" customHeight="1" x14ac:dyDescent="0.25">
      <c r="B14" s="56" t="s">
        <v>2436</v>
      </c>
      <c r="C14" s="20" t="s">
        <v>2437</v>
      </c>
      <c r="D14" s="179" t="s">
        <v>2438</v>
      </c>
      <c r="E14" s="24" t="s">
        <v>2439</v>
      </c>
      <c r="F14" s="24" t="s">
        <v>2440</v>
      </c>
    </row>
    <row r="15" spans="2:6" ht="31.5" customHeight="1" x14ac:dyDescent="0.25">
      <c r="B15" s="63" t="s">
        <v>2441</v>
      </c>
      <c r="C15" s="119" t="s">
        <v>2442</v>
      </c>
      <c r="D15" s="180" t="s">
        <v>2399</v>
      </c>
      <c r="E15" s="26" t="s">
        <v>2443</v>
      </c>
      <c r="F15" s="26" t="s">
        <v>2444</v>
      </c>
    </row>
    <row r="16" spans="2:6" ht="31.5" customHeight="1" x14ac:dyDescent="0.25">
      <c r="B16" s="56" t="s">
        <v>2445</v>
      </c>
      <c r="C16" s="20" t="s">
        <v>2446</v>
      </c>
      <c r="D16" s="179" t="s">
        <v>2447</v>
      </c>
      <c r="E16" s="24" t="s">
        <v>2448</v>
      </c>
      <c r="F16" s="24" t="s">
        <v>2449</v>
      </c>
    </row>
    <row r="17" spans="2:6" ht="31.5" customHeight="1" x14ac:dyDescent="0.25">
      <c r="B17" s="63" t="s">
        <v>2450</v>
      </c>
      <c r="C17" s="119" t="s">
        <v>2451</v>
      </c>
      <c r="D17" s="180" t="s">
        <v>2452</v>
      </c>
      <c r="E17" s="26" t="s">
        <v>2453</v>
      </c>
      <c r="F17" s="26" t="s">
        <v>2454</v>
      </c>
    </row>
    <row r="18" spans="2:6" ht="31.5" customHeight="1" x14ac:dyDescent="0.25">
      <c r="B18" s="56" t="s">
        <v>2455</v>
      </c>
      <c r="C18" s="20" t="s">
        <v>2456</v>
      </c>
      <c r="D18" s="179" t="s">
        <v>2457</v>
      </c>
      <c r="E18" s="24" t="s">
        <v>2458</v>
      </c>
      <c r="F18" s="24" t="s">
        <v>2459</v>
      </c>
    </row>
    <row r="19" spans="2:6" ht="31.5" customHeight="1" x14ac:dyDescent="0.25">
      <c r="B19" s="63" t="s">
        <v>2460</v>
      </c>
      <c r="C19" s="119" t="s">
        <v>2461</v>
      </c>
      <c r="D19" s="180" t="s">
        <v>2399</v>
      </c>
      <c r="E19" s="26" t="s">
        <v>2462</v>
      </c>
      <c r="F19" s="26" t="s">
        <v>2463</v>
      </c>
    </row>
    <row r="20" spans="2:6" ht="31.5" customHeight="1" x14ac:dyDescent="0.25">
      <c r="B20" s="56" t="s">
        <v>2464</v>
      </c>
      <c r="C20" s="20" t="s">
        <v>2465</v>
      </c>
      <c r="D20" s="179" t="s">
        <v>2466</v>
      </c>
      <c r="E20" s="24" t="s">
        <v>2467</v>
      </c>
      <c r="F20" s="24" t="s">
        <v>2327</v>
      </c>
    </row>
    <row r="21" spans="2:6" ht="31.5" customHeight="1" x14ac:dyDescent="0.25">
      <c r="B21" s="63" t="s">
        <v>2468</v>
      </c>
      <c r="C21" s="119" t="s">
        <v>2469</v>
      </c>
      <c r="D21" s="180" t="s">
        <v>2470</v>
      </c>
      <c r="E21" s="26" t="s">
        <v>2471</v>
      </c>
      <c r="F21" s="26"/>
    </row>
    <row r="22" spans="2:6" ht="31.5" customHeight="1" x14ac:dyDescent="0.25">
      <c r="B22" s="56" t="s">
        <v>2472</v>
      </c>
      <c r="C22" s="20" t="s">
        <v>2473</v>
      </c>
      <c r="D22" s="179" t="s">
        <v>2423</v>
      </c>
      <c r="E22" s="24" t="s">
        <v>2474</v>
      </c>
      <c r="F22" s="24" t="s">
        <v>2475</v>
      </c>
    </row>
    <row r="23" spans="2:6" ht="31.5" customHeight="1" x14ac:dyDescent="0.25">
      <c r="B23" s="63" t="s">
        <v>2476</v>
      </c>
      <c r="C23" s="119" t="s">
        <v>2477</v>
      </c>
      <c r="D23" s="180" t="s">
        <v>2478</v>
      </c>
      <c r="E23" s="26" t="s">
        <v>2479</v>
      </c>
      <c r="F23" s="26" t="s">
        <v>2480</v>
      </c>
    </row>
    <row r="24" spans="2:6" ht="31.5" customHeight="1" x14ac:dyDescent="0.25">
      <c r="B24" s="56" t="s">
        <v>2481</v>
      </c>
      <c r="C24" s="20" t="s">
        <v>2482</v>
      </c>
      <c r="D24" s="179" t="s">
        <v>2483</v>
      </c>
      <c r="E24" s="24" t="s">
        <v>2484</v>
      </c>
      <c r="F24" s="24" t="s">
        <v>2485</v>
      </c>
    </row>
    <row r="25" spans="2:6" ht="31.5" customHeight="1" x14ac:dyDescent="0.25">
      <c r="B25" s="63" t="s">
        <v>2486</v>
      </c>
      <c r="C25" s="119" t="s">
        <v>2487</v>
      </c>
      <c r="D25" s="180" t="s">
        <v>2488</v>
      </c>
      <c r="E25" s="26" t="s">
        <v>2489</v>
      </c>
      <c r="F25" s="26" t="s">
        <v>2490</v>
      </c>
    </row>
    <row r="26" spans="2:6" ht="31.5" customHeight="1" x14ac:dyDescent="0.25">
      <c r="B26" s="56" t="s">
        <v>2491</v>
      </c>
      <c r="C26" s="20" t="s">
        <v>2492</v>
      </c>
      <c r="D26" s="179" t="s">
        <v>2493</v>
      </c>
      <c r="E26" s="24" t="s">
        <v>2494</v>
      </c>
      <c r="F26" s="24" t="s">
        <v>2495</v>
      </c>
    </row>
    <row r="27" spans="2:6" ht="31.5" customHeight="1" x14ac:dyDescent="0.25">
      <c r="B27" s="63" t="s">
        <v>2496</v>
      </c>
      <c r="C27" s="119" t="s">
        <v>2497</v>
      </c>
      <c r="D27" s="180" t="s">
        <v>2498</v>
      </c>
      <c r="E27" s="26" t="s">
        <v>2499</v>
      </c>
      <c r="F27" s="26" t="s">
        <v>2500</v>
      </c>
    </row>
    <row r="28" spans="2:6" ht="31.5" customHeight="1" x14ac:dyDescent="0.25">
      <c r="B28" s="56" t="s">
        <v>2501</v>
      </c>
      <c r="C28" s="20" t="s">
        <v>2502</v>
      </c>
      <c r="D28" s="179" t="s">
        <v>2498</v>
      </c>
      <c r="E28" s="24" t="s">
        <v>2503</v>
      </c>
      <c r="F28" s="24" t="s">
        <v>2504</v>
      </c>
    </row>
    <row r="29" spans="2:6" ht="31.5" customHeight="1" x14ac:dyDescent="0.25">
      <c r="B29" s="63" t="s">
        <v>2505</v>
      </c>
      <c r="C29" s="119" t="s">
        <v>2506</v>
      </c>
      <c r="D29" s="180" t="s">
        <v>2507</v>
      </c>
      <c r="E29" s="26" t="s">
        <v>2508</v>
      </c>
      <c r="F29" s="26" t="s">
        <v>2509</v>
      </c>
    </row>
    <row r="30" spans="2:6" ht="31.5" customHeight="1" x14ac:dyDescent="0.25">
      <c r="B30" s="56" t="s">
        <v>2510</v>
      </c>
      <c r="C30" s="20" t="s">
        <v>2511</v>
      </c>
      <c r="D30" s="179" t="s">
        <v>2399</v>
      </c>
      <c r="E30" s="24" t="s">
        <v>2512</v>
      </c>
      <c r="F30" s="24" t="s">
        <v>2513</v>
      </c>
    </row>
    <row r="32" spans="2:6" ht="18" customHeight="1" x14ac:dyDescent="0.25">
      <c r="B32" s="12" t="s">
        <v>2514</v>
      </c>
      <c r="C32" s="12"/>
      <c r="D32" s="12"/>
      <c r="E32" s="12"/>
      <c r="F32" s="12"/>
    </row>
    <row r="33" spans="2:6" ht="30" customHeight="1" x14ac:dyDescent="0.25">
      <c r="B33" s="22" t="s">
        <v>2515</v>
      </c>
      <c r="C33" s="22" t="s">
        <v>2516</v>
      </c>
      <c r="D33" s="22" t="s">
        <v>2517</v>
      </c>
      <c r="E33" s="22" t="s">
        <v>2518</v>
      </c>
      <c r="F33" s="22" t="s">
        <v>2519</v>
      </c>
    </row>
    <row r="34" spans="2:6" ht="39.75" customHeight="1" x14ac:dyDescent="0.25">
      <c r="B34" s="23" t="s">
        <v>730</v>
      </c>
      <c r="C34" s="24" t="s">
        <v>2520</v>
      </c>
      <c r="D34" s="24" t="s">
        <v>2521</v>
      </c>
      <c r="E34" s="24" t="s">
        <v>2522</v>
      </c>
      <c r="F34" s="24" t="s">
        <v>2523</v>
      </c>
    </row>
    <row r="35" spans="2:6" ht="39.75" customHeight="1" x14ac:dyDescent="0.25">
      <c r="B35" s="25" t="s">
        <v>525</v>
      </c>
      <c r="C35" s="26" t="s">
        <v>2524</v>
      </c>
      <c r="D35" s="26" t="s">
        <v>2525</v>
      </c>
      <c r="E35" s="26" t="s">
        <v>2526</v>
      </c>
      <c r="F35" s="26" t="s">
        <v>2527</v>
      </c>
    </row>
    <row r="36" spans="2:6" ht="39.75" customHeight="1" x14ac:dyDescent="0.25">
      <c r="B36" s="23" t="s">
        <v>733</v>
      </c>
      <c r="C36" s="24" t="s">
        <v>2528</v>
      </c>
      <c r="D36" s="24" t="s">
        <v>2529</v>
      </c>
      <c r="E36" s="24" t="s">
        <v>2530</v>
      </c>
      <c r="F36" s="24" t="s">
        <v>2531</v>
      </c>
    </row>
    <row r="37" spans="2:6" ht="39.75" customHeight="1" x14ac:dyDescent="0.25">
      <c r="B37" s="25" t="s">
        <v>735</v>
      </c>
      <c r="C37" s="26" t="s">
        <v>2532</v>
      </c>
      <c r="D37" s="26" t="s">
        <v>2533</v>
      </c>
      <c r="E37" s="26" t="s">
        <v>2534</v>
      </c>
      <c r="F37" s="26" t="s">
        <v>2535</v>
      </c>
    </row>
    <row r="38" spans="2:6" ht="39.75" customHeight="1" x14ac:dyDescent="0.25">
      <c r="B38" s="23" t="s">
        <v>2536</v>
      </c>
      <c r="C38" s="24" t="s">
        <v>2537</v>
      </c>
      <c r="D38" s="24" t="s">
        <v>2538</v>
      </c>
      <c r="E38" s="24" t="s">
        <v>2539</v>
      </c>
      <c r="F38" s="24" t="s">
        <v>2540</v>
      </c>
    </row>
    <row r="39" spans="2:6" ht="39.75" customHeight="1" x14ac:dyDescent="0.25">
      <c r="B39" s="25" t="s">
        <v>568</v>
      </c>
      <c r="C39" s="26" t="s">
        <v>2537</v>
      </c>
      <c r="D39" s="26" t="s">
        <v>2541</v>
      </c>
      <c r="E39" s="26" t="s">
        <v>2542</v>
      </c>
      <c r="F39" s="26" t="s">
        <v>2543</v>
      </c>
    </row>
    <row r="41" spans="2:6" x14ac:dyDescent="0.25">
      <c r="B41" s="15" t="s">
        <v>2544</v>
      </c>
    </row>
    <row r="42" spans="2:6" ht="15" customHeight="1" x14ac:dyDescent="0.25">
      <c r="B42" s="10" t="s">
        <v>2545</v>
      </c>
      <c r="C42" s="10"/>
      <c r="D42" s="10"/>
      <c r="E42" s="10"/>
      <c r="F42" s="10"/>
    </row>
    <row r="43" spans="2:6" x14ac:dyDescent="0.25">
      <c r="B43" s="10"/>
      <c r="C43" s="10"/>
      <c r="D43" s="10"/>
      <c r="E43" s="10"/>
      <c r="F43" s="10"/>
    </row>
    <row r="44" spans="2:6" x14ac:dyDescent="0.25">
      <c r="B44" s="10"/>
      <c r="C44" s="10"/>
      <c r="D44" s="10"/>
      <c r="E44" s="10"/>
      <c r="F44" s="10"/>
    </row>
  </sheetData>
  <mergeCells count="5">
    <mergeCell ref="B1:F1"/>
    <mergeCell ref="B2:F2"/>
    <mergeCell ref="B4:F4"/>
    <mergeCell ref="B32:F32"/>
    <mergeCell ref="B42:F4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H114"/>
  <sheetViews>
    <sheetView showGridLines="0" zoomScaleNormal="100" workbookViewId="0"/>
  </sheetViews>
  <sheetFormatPr defaultColWidth="8.7109375" defaultRowHeight="15" x14ac:dyDescent="0.25"/>
  <cols>
    <col min="1" max="1" width="2" customWidth="1"/>
    <col min="2" max="2" width="40" customWidth="1"/>
    <col min="3" max="3" width="30" customWidth="1"/>
    <col min="4" max="4" width="26" customWidth="1"/>
    <col min="5" max="5" width="24" customWidth="1"/>
    <col min="6" max="6" width="70" customWidth="1"/>
    <col min="7" max="8" width="20" customWidth="1"/>
  </cols>
  <sheetData>
    <row r="1" spans="2:8" ht="25.5" customHeight="1" x14ac:dyDescent="0.25">
      <c r="B1" s="14" t="s">
        <v>2546</v>
      </c>
      <c r="C1" s="14"/>
      <c r="D1" s="14"/>
      <c r="E1" s="14"/>
      <c r="F1" s="14"/>
      <c r="G1" s="14"/>
      <c r="H1" s="14"/>
    </row>
    <row r="2" spans="2:8" ht="15" customHeight="1" x14ac:dyDescent="0.25">
      <c r="B2" s="13" t="s">
        <v>2547</v>
      </c>
      <c r="C2" s="13"/>
      <c r="D2" s="13"/>
      <c r="E2" s="13"/>
      <c r="F2" s="13"/>
      <c r="G2" s="13"/>
      <c r="H2" s="13"/>
    </row>
    <row r="4" spans="2:8" ht="18" customHeight="1" x14ac:dyDescent="0.25">
      <c r="B4" s="12" t="s">
        <v>2548</v>
      </c>
      <c r="C4" s="12"/>
      <c r="D4" s="12"/>
      <c r="E4" s="12"/>
      <c r="F4" s="12"/>
      <c r="G4" s="12"/>
      <c r="H4" s="12"/>
    </row>
    <row r="5" spans="2:8" ht="30" customHeight="1" x14ac:dyDescent="0.25">
      <c r="B5" s="22" t="s">
        <v>2549</v>
      </c>
      <c r="C5" s="22" t="s">
        <v>2550</v>
      </c>
      <c r="D5" s="22" t="s">
        <v>2551</v>
      </c>
      <c r="E5" s="22" t="s">
        <v>2552</v>
      </c>
      <c r="F5" s="22" t="s">
        <v>2254</v>
      </c>
    </row>
    <row r="6" spans="2:8" ht="37.5" customHeight="1" x14ac:dyDescent="0.25">
      <c r="B6" s="181" t="s">
        <v>2553</v>
      </c>
      <c r="C6" s="182" t="s">
        <v>2554</v>
      </c>
      <c r="D6" s="183" t="s">
        <v>2555</v>
      </c>
      <c r="E6" s="183" t="s">
        <v>2556</v>
      </c>
      <c r="F6" s="216" t="s">
        <v>2557</v>
      </c>
      <c r="G6" s="216"/>
      <c r="H6" s="216"/>
    </row>
    <row r="7" spans="2:8" ht="37.5" customHeight="1" x14ac:dyDescent="0.25">
      <c r="B7" s="25" t="s">
        <v>2558</v>
      </c>
      <c r="C7" s="184" t="s">
        <v>232</v>
      </c>
      <c r="D7" s="26" t="s">
        <v>2559</v>
      </c>
      <c r="E7" s="26" t="s">
        <v>2560</v>
      </c>
      <c r="F7" s="8" t="s">
        <v>2561</v>
      </c>
      <c r="G7" s="8"/>
      <c r="H7" s="8"/>
    </row>
    <row r="8" spans="2:8" ht="37.5" customHeight="1" x14ac:dyDescent="0.25">
      <c r="B8" s="23" t="s">
        <v>234</v>
      </c>
      <c r="C8" s="185" t="s">
        <v>235</v>
      </c>
      <c r="D8" s="24" t="s">
        <v>517</v>
      </c>
      <c r="E8" s="24" t="s">
        <v>2562</v>
      </c>
      <c r="F8" s="9" t="s">
        <v>2410</v>
      </c>
      <c r="G8" s="9"/>
      <c r="H8" s="9"/>
    </row>
    <row r="9" spans="2:8" ht="37.5" customHeight="1" x14ac:dyDescent="0.25">
      <c r="B9" s="25" t="s">
        <v>2563</v>
      </c>
      <c r="C9" s="184" t="s">
        <v>207</v>
      </c>
      <c r="D9" s="26" t="s">
        <v>235</v>
      </c>
      <c r="E9" s="26" t="s">
        <v>2564</v>
      </c>
      <c r="F9" s="8" t="s">
        <v>2565</v>
      </c>
      <c r="G9" s="8"/>
      <c r="H9" s="8"/>
    </row>
    <row r="10" spans="2:8" ht="37.5" customHeight="1" x14ac:dyDescent="0.25">
      <c r="B10" s="23" t="s">
        <v>2566</v>
      </c>
      <c r="C10" s="185" t="s">
        <v>2259</v>
      </c>
      <c r="D10" s="24" t="s">
        <v>517</v>
      </c>
      <c r="E10" s="24" t="s">
        <v>2567</v>
      </c>
      <c r="F10" s="9" t="s">
        <v>2568</v>
      </c>
      <c r="G10" s="9"/>
      <c r="H10" s="9"/>
    </row>
    <row r="11" spans="2:8" ht="37.5" customHeight="1" x14ac:dyDescent="0.25">
      <c r="B11" s="25" t="s">
        <v>237</v>
      </c>
      <c r="C11" s="184" t="s">
        <v>2569</v>
      </c>
      <c r="D11" s="26" t="s">
        <v>235</v>
      </c>
      <c r="E11" s="26" t="s">
        <v>2564</v>
      </c>
      <c r="F11" s="8" t="s">
        <v>2570</v>
      </c>
      <c r="G11" s="8"/>
      <c r="H11" s="8"/>
    </row>
    <row r="12" spans="2:8" ht="37.5" customHeight="1" x14ac:dyDescent="0.25">
      <c r="B12" s="23" t="s">
        <v>2571</v>
      </c>
      <c r="C12" s="185" t="s">
        <v>2572</v>
      </c>
      <c r="D12" s="24" t="s">
        <v>207</v>
      </c>
      <c r="E12" s="24" t="s">
        <v>2564</v>
      </c>
      <c r="F12" s="9" t="s">
        <v>2573</v>
      </c>
      <c r="G12" s="9"/>
      <c r="H12" s="9"/>
    </row>
    <row r="13" spans="2:8" ht="37.5" customHeight="1" x14ac:dyDescent="0.25">
      <c r="B13" s="25" t="s">
        <v>2574</v>
      </c>
      <c r="C13" s="184" t="s">
        <v>2575</v>
      </c>
      <c r="D13" s="26" t="s">
        <v>2555</v>
      </c>
      <c r="E13" s="26" t="s">
        <v>2576</v>
      </c>
      <c r="F13" s="8" t="s">
        <v>2577</v>
      </c>
      <c r="G13" s="8"/>
      <c r="H13" s="8"/>
    </row>
    <row r="14" spans="2:8" ht="37.5" customHeight="1" x14ac:dyDescent="0.25">
      <c r="B14" s="23" t="s">
        <v>2578</v>
      </c>
      <c r="C14" s="185" t="s">
        <v>518</v>
      </c>
      <c r="D14" s="24" t="s">
        <v>2579</v>
      </c>
      <c r="E14" s="24" t="s">
        <v>2580</v>
      </c>
      <c r="F14" s="9" t="s">
        <v>2581</v>
      </c>
      <c r="G14" s="9"/>
      <c r="H14" s="9"/>
    </row>
    <row r="15" spans="2:8" ht="37.5" customHeight="1" x14ac:dyDescent="0.25">
      <c r="B15" s="25" t="s">
        <v>2285</v>
      </c>
      <c r="C15" s="184" t="s">
        <v>2582</v>
      </c>
      <c r="D15" s="26" t="s">
        <v>2579</v>
      </c>
      <c r="E15" s="26" t="s">
        <v>2583</v>
      </c>
      <c r="F15" s="8" t="s">
        <v>2584</v>
      </c>
      <c r="G15" s="8"/>
      <c r="H15" s="8"/>
    </row>
    <row r="16" spans="2:8" ht="37.5" customHeight="1" x14ac:dyDescent="0.25">
      <c r="B16" s="23" t="s">
        <v>2585</v>
      </c>
      <c r="C16" s="185" t="s">
        <v>2586</v>
      </c>
      <c r="D16" s="24" t="s">
        <v>2579</v>
      </c>
      <c r="E16" s="24" t="s">
        <v>2583</v>
      </c>
      <c r="F16" s="9" t="s">
        <v>2587</v>
      </c>
      <c r="G16" s="9"/>
      <c r="H16" s="9"/>
    </row>
    <row r="17" spans="2:8" ht="37.5" customHeight="1" x14ac:dyDescent="0.25">
      <c r="B17" s="25" t="s">
        <v>2588</v>
      </c>
      <c r="C17" s="184" t="s">
        <v>2589</v>
      </c>
      <c r="D17" s="26" t="s">
        <v>2579</v>
      </c>
      <c r="E17" s="26" t="s">
        <v>2583</v>
      </c>
      <c r="F17" s="8" t="s">
        <v>2590</v>
      </c>
      <c r="G17" s="8"/>
      <c r="H17" s="8"/>
    </row>
    <row r="18" spans="2:8" ht="37.5" customHeight="1" x14ac:dyDescent="0.25">
      <c r="B18" s="23" t="s">
        <v>2591</v>
      </c>
      <c r="C18" s="185" t="s">
        <v>248</v>
      </c>
      <c r="D18" s="24" t="s">
        <v>2592</v>
      </c>
      <c r="E18" s="24" t="s">
        <v>2593</v>
      </c>
      <c r="F18" s="9" t="s">
        <v>2594</v>
      </c>
      <c r="G18" s="9"/>
      <c r="H18" s="9"/>
    </row>
    <row r="19" spans="2:8" ht="37.5" customHeight="1" x14ac:dyDescent="0.25">
      <c r="B19" s="25" t="s">
        <v>2595</v>
      </c>
      <c r="C19" s="184" t="s">
        <v>2596</v>
      </c>
      <c r="D19" s="26" t="s">
        <v>2597</v>
      </c>
      <c r="E19" s="26" t="s">
        <v>2564</v>
      </c>
      <c r="F19" s="8" t="s">
        <v>2598</v>
      </c>
      <c r="G19" s="8"/>
      <c r="H19" s="8"/>
    </row>
    <row r="20" spans="2:8" ht="37.5" customHeight="1" x14ac:dyDescent="0.25">
      <c r="B20" s="23" t="s">
        <v>2599</v>
      </c>
      <c r="C20" s="185" t="s">
        <v>2600</v>
      </c>
      <c r="D20" s="24" t="s">
        <v>2555</v>
      </c>
      <c r="E20" s="24" t="s">
        <v>2601</v>
      </c>
      <c r="F20" s="9" t="s">
        <v>2602</v>
      </c>
      <c r="G20" s="9"/>
      <c r="H20" s="9"/>
    </row>
    <row r="21" spans="2:8" ht="37.5" customHeight="1" x14ac:dyDescent="0.25">
      <c r="B21" s="25" t="s">
        <v>243</v>
      </c>
      <c r="C21" s="184" t="s">
        <v>2603</v>
      </c>
      <c r="D21" s="26" t="s">
        <v>2579</v>
      </c>
      <c r="E21" s="26" t="s">
        <v>2564</v>
      </c>
      <c r="F21" s="8" t="s">
        <v>2604</v>
      </c>
      <c r="G21" s="8"/>
      <c r="H21" s="8"/>
    </row>
    <row r="22" spans="2:8" ht="37.5" customHeight="1" x14ac:dyDescent="0.25">
      <c r="B22" s="23" t="s">
        <v>2605</v>
      </c>
      <c r="C22" s="185" t="s">
        <v>2606</v>
      </c>
      <c r="D22" s="24" t="s">
        <v>2555</v>
      </c>
      <c r="E22" s="24" t="s">
        <v>2564</v>
      </c>
      <c r="F22" s="9" t="s">
        <v>2607</v>
      </c>
      <c r="G22" s="9"/>
      <c r="H22" s="9"/>
    </row>
    <row r="23" spans="2:8" ht="37.5" customHeight="1" x14ac:dyDescent="0.25">
      <c r="B23" s="25" t="s">
        <v>2608</v>
      </c>
      <c r="C23" s="184" t="s">
        <v>2609</v>
      </c>
      <c r="D23" s="26" t="s">
        <v>235</v>
      </c>
      <c r="E23" s="26" t="s">
        <v>2610</v>
      </c>
      <c r="F23" s="8" t="s">
        <v>2611</v>
      </c>
      <c r="G23" s="8"/>
      <c r="H23" s="8"/>
    </row>
    <row r="24" spans="2:8" ht="37.5" customHeight="1" x14ac:dyDescent="0.25">
      <c r="B24" s="23" t="s">
        <v>2612</v>
      </c>
      <c r="C24" s="185" t="s">
        <v>2613</v>
      </c>
      <c r="D24" s="24" t="s">
        <v>2498</v>
      </c>
      <c r="E24" s="24" t="s">
        <v>2614</v>
      </c>
      <c r="F24" s="9" t="s">
        <v>2504</v>
      </c>
      <c r="G24" s="9"/>
      <c r="H24" s="9"/>
    </row>
    <row r="26" spans="2:8" ht="18" customHeight="1" x14ac:dyDescent="0.25">
      <c r="B26" s="12" t="s">
        <v>2615</v>
      </c>
      <c r="C26" s="12"/>
      <c r="D26" s="12"/>
      <c r="E26" s="12"/>
      <c r="F26" s="12"/>
      <c r="G26" s="12"/>
      <c r="H26" s="12"/>
    </row>
    <row r="27" spans="2:8" ht="30" customHeight="1" x14ac:dyDescent="0.25">
      <c r="B27" s="22" t="s">
        <v>2616</v>
      </c>
      <c r="C27" s="22" t="s">
        <v>2617</v>
      </c>
      <c r="D27" s="22" t="s">
        <v>2618</v>
      </c>
      <c r="E27" s="22" t="s">
        <v>2619</v>
      </c>
    </row>
    <row r="28" spans="2:8" ht="61.5" customHeight="1" x14ac:dyDescent="0.25">
      <c r="B28" s="23" t="s">
        <v>2620</v>
      </c>
      <c r="C28" s="9" t="s">
        <v>2621</v>
      </c>
      <c r="D28" s="9"/>
      <c r="E28" s="9" t="s">
        <v>2622</v>
      </c>
      <c r="F28" s="9"/>
      <c r="G28" s="9" t="s">
        <v>2623</v>
      </c>
      <c r="H28" s="9"/>
    </row>
    <row r="29" spans="2:8" ht="61.5" customHeight="1" x14ac:dyDescent="0.25">
      <c r="B29" s="25" t="s">
        <v>2624</v>
      </c>
      <c r="C29" s="8" t="s">
        <v>2625</v>
      </c>
      <c r="D29" s="8"/>
      <c r="E29" s="8" t="s">
        <v>2626</v>
      </c>
      <c r="F29" s="8"/>
      <c r="G29" s="8" t="s">
        <v>2627</v>
      </c>
      <c r="H29" s="8"/>
    </row>
    <row r="30" spans="2:8" ht="61.5" customHeight="1" x14ac:dyDescent="0.25">
      <c r="B30" s="23" t="s">
        <v>2628</v>
      </c>
      <c r="C30" s="9" t="s">
        <v>2629</v>
      </c>
      <c r="D30" s="9"/>
      <c r="E30" s="9" t="s">
        <v>2630</v>
      </c>
      <c r="F30" s="9"/>
      <c r="G30" s="9" t="s">
        <v>2631</v>
      </c>
      <c r="H30" s="9"/>
    </row>
    <row r="31" spans="2:8" ht="61.5" customHeight="1" x14ac:dyDescent="0.25">
      <c r="B31" s="25" t="s">
        <v>2632</v>
      </c>
      <c r="C31" s="8" t="s">
        <v>2633</v>
      </c>
      <c r="D31" s="8"/>
      <c r="E31" s="8" t="s">
        <v>2634</v>
      </c>
      <c r="F31" s="8"/>
      <c r="G31" s="8" t="s">
        <v>2635</v>
      </c>
      <c r="H31" s="8"/>
    </row>
    <row r="32" spans="2:8" ht="61.5" customHeight="1" x14ac:dyDescent="0.25">
      <c r="B32" s="23" t="s">
        <v>2636</v>
      </c>
      <c r="C32" s="9" t="s">
        <v>2637</v>
      </c>
      <c r="D32" s="9"/>
      <c r="E32" s="9" t="s">
        <v>2638</v>
      </c>
      <c r="F32" s="9"/>
      <c r="G32" s="9" t="s">
        <v>2639</v>
      </c>
      <c r="H32" s="9"/>
    </row>
    <row r="33" spans="2:8" ht="61.5" customHeight="1" x14ac:dyDescent="0.25">
      <c r="B33" s="25" t="s">
        <v>2640</v>
      </c>
      <c r="C33" s="8" t="s">
        <v>2641</v>
      </c>
      <c r="D33" s="8"/>
      <c r="E33" s="8" t="s">
        <v>2642</v>
      </c>
      <c r="F33" s="8"/>
      <c r="G33" s="8" t="s">
        <v>2643</v>
      </c>
      <c r="H33" s="8"/>
    </row>
    <row r="34" spans="2:8" ht="61.5" customHeight="1" x14ac:dyDescent="0.25">
      <c r="B34" s="23" t="s">
        <v>2644</v>
      </c>
      <c r="C34" s="9" t="s">
        <v>2645</v>
      </c>
      <c r="D34" s="9"/>
      <c r="E34" s="9" t="s">
        <v>2646</v>
      </c>
      <c r="F34" s="9"/>
      <c r="G34" s="9" t="s">
        <v>2647</v>
      </c>
      <c r="H34" s="9"/>
    </row>
    <row r="35" spans="2:8" ht="61.5" customHeight="1" x14ac:dyDescent="0.25">
      <c r="B35" s="25" t="s">
        <v>2648</v>
      </c>
      <c r="C35" s="8" t="s">
        <v>2649</v>
      </c>
      <c r="D35" s="8"/>
      <c r="E35" s="8" t="s">
        <v>2650</v>
      </c>
      <c r="F35" s="8"/>
      <c r="G35" s="8" t="s">
        <v>2651</v>
      </c>
      <c r="H35" s="8"/>
    </row>
    <row r="36" spans="2:8" ht="61.5" customHeight="1" x14ac:dyDescent="0.25">
      <c r="B36" s="23" t="s">
        <v>2652</v>
      </c>
      <c r="C36" s="9" t="s">
        <v>2653</v>
      </c>
      <c r="D36" s="9"/>
      <c r="E36" s="9" t="s">
        <v>2654</v>
      </c>
      <c r="F36" s="9"/>
      <c r="G36" s="9" t="s">
        <v>2655</v>
      </c>
      <c r="H36" s="9"/>
    </row>
    <row r="37" spans="2:8" ht="61.5" customHeight="1" x14ac:dyDescent="0.25">
      <c r="B37" s="25" t="s">
        <v>2656</v>
      </c>
      <c r="C37" s="8" t="s">
        <v>2657</v>
      </c>
      <c r="D37" s="8"/>
      <c r="E37" s="8" t="s">
        <v>2658</v>
      </c>
      <c r="F37" s="8"/>
      <c r="G37" s="8" t="s">
        <v>2659</v>
      </c>
      <c r="H37" s="8"/>
    </row>
    <row r="39" spans="2:8" ht="18" customHeight="1" x14ac:dyDescent="0.25">
      <c r="B39" s="12" t="s">
        <v>2660</v>
      </c>
      <c r="C39" s="12"/>
      <c r="D39" s="12"/>
      <c r="E39" s="12"/>
      <c r="F39" s="12"/>
      <c r="G39" s="12"/>
      <c r="H39" s="12"/>
    </row>
    <row r="40" spans="2:8" ht="39.75" customHeight="1" x14ac:dyDescent="0.25">
      <c r="B40" s="210" t="s">
        <v>2661</v>
      </c>
      <c r="C40" s="210"/>
      <c r="D40" s="210"/>
      <c r="E40" s="210"/>
      <c r="F40" s="210"/>
      <c r="G40" s="210"/>
      <c r="H40" s="210"/>
    </row>
    <row r="41" spans="2:8" ht="39.75" customHeight="1" x14ac:dyDescent="0.25">
      <c r="B41" s="210" t="s">
        <v>2662</v>
      </c>
      <c r="C41" s="210"/>
      <c r="D41" s="210"/>
      <c r="E41" s="210"/>
      <c r="F41" s="210"/>
      <c r="G41" s="210"/>
      <c r="H41" s="210"/>
    </row>
    <row r="42" spans="2:8" ht="39.75" customHeight="1" x14ac:dyDescent="0.25">
      <c r="B42" s="210" t="s">
        <v>2663</v>
      </c>
      <c r="C42" s="210"/>
      <c r="D42" s="210"/>
      <c r="E42" s="210"/>
      <c r="F42" s="210"/>
      <c r="G42" s="210"/>
      <c r="H42" s="210"/>
    </row>
    <row r="43" spans="2:8" ht="39.75" customHeight="1" x14ac:dyDescent="0.25">
      <c r="B43" s="210" t="s">
        <v>2664</v>
      </c>
      <c r="C43" s="210"/>
      <c r="D43" s="210"/>
      <c r="E43" s="210"/>
      <c r="F43" s="210"/>
      <c r="G43" s="210"/>
      <c r="H43" s="210"/>
    </row>
    <row r="44" spans="2:8" ht="39.75" customHeight="1" x14ac:dyDescent="0.25">
      <c r="B44" s="210" t="s">
        <v>2665</v>
      </c>
      <c r="C44" s="210"/>
      <c r="D44" s="210"/>
      <c r="E44" s="210"/>
      <c r="F44" s="210"/>
      <c r="G44" s="210"/>
      <c r="H44" s="210"/>
    </row>
    <row r="46" spans="2:8" ht="18" customHeight="1" x14ac:dyDescent="0.25">
      <c r="B46" s="12" t="s">
        <v>2666</v>
      </c>
      <c r="C46" s="12"/>
      <c r="D46" s="12"/>
      <c r="E46" s="12"/>
      <c r="F46" s="12"/>
      <c r="G46" s="12"/>
      <c r="H46" s="12"/>
    </row>
    <row r="47" spans="2:8" x14ac:dyDescent="0.25">
      <c r="B47" s="211" t="s">
        <v>2558</v>
      </c>
      <c r="C47" s="211"/>
      <c r="D47" s="211"/>
      <c r="E47" s="211"/>
      <c r="F47" s="211"/>
      <c r="G47" s="211"/>
      <c r="H47" s="211"/>
    </row>
    <row r="48" spans="2:8" ht="15.75" customHeight="1" x14ac:dyDescent="0.25">
      <c r="B48" s="22" t="s">
        <v>2314</v>
      </c>
      <c r="C48" s="22" t="s">
        <v>353</v>
      </c>
      <c r="D48" s="22" t="s">
        <v>2254</v>
      </c>
    </row>
    <row r="49" spans="2:8" x14ac:dyDescent="0.25">
      <c r="B49" s="27" t="s">
        <v>2667</v>
      </c>
      <c r="C49" s="161">
        <v>0.99</v>
      </c>
      <c r="D49" s="212"/>
      <c r="E49" s="212"/>
      <c r="F49" s="212"/>
      <c r="G49" s="212"/>
      <c r="H49" s="212"/>
    </row>
    <row r="50" spans="2:8" ht="15" customHeight="1" x14ac:dyDescent="0.25">
      <c r="B50" s="114" t="s">
        <v>232</v>
      </c>
      <c r="C50" s="163">
        <v>1</v>
      </c>
      <c r="D50" s="213" t="s">
        <v>2668</v>
      </c>
      <c r="E50" s="213"/>
      <c r="F50" s="213"/>
      <c r="G50" s="213"/>
      <c r="H50" s="213"/>
    </row>
    <row r="51" spans="2:8" x14ac:dyDescent="0.25">
      <c r="B51" s="27" t="s">
        <v>2559</v>
      </c>
      <c r="C51" s="161">
        <v>1.02</v>
      </c>
      <c r="D51" s="212"/>
      <c r="E51" s="212"/>
      <c r="F51" s="212"/>
      <c r="G51" s="212"/>
      <c r="H51" s="212"/>
    </row>
    <row r="52" spans="2:8" ht="15" customHeight="1" x14ac:dyDescent="0.25">
      <c r="B52" s="114" t="s">
        <v>2669</v>
      </c>
      <c r="C52" s="163">
        <v>1.04</v>
      </c>
      <c r="D52" s="213" t="s">
        <v>2670</v>
      </c>
      <c r="E52" s="213"/>
      <c r="F52" s="213"/>
      <c r="G52" s="213"/>
      <c r="H52" s="213"/>
    </row>
    <row r="54" spans="2:8" x14ac:dyDescent="0.25">
      <c r="B54" s="211" t="s">
        <v>234</v>
      </c>
      <c r="C54" s="211"/>
      <c r="D54" s="211"/>
      <c r="E54" s="211"/>
      <c r="F54" s="211"/>
      <c r="G54" s="211"/>
      <c r="H54" s="211"/>
    </row>
    <row r="55" spans="2:8" ht="15.75" customHeight="1" x14ac:dyDescent="0.25">
      <c r="B55" s="22" t="s">
        <v>2314</v>
      </c>
      <c r="C55" s="22" t="s">
        <v>353</v>
      </c>
      <c r="D55" s="22" t="s">
        <v>2254</v>
      </c>
    </row>
    <row r="56" spans="2:8" x14ac:dyDescent="0.25">
      <c r="B56" s="27" t="s">
        <v>551</v>
      </c>
      <c r="C56" s="161">
        <v>0.99</v>
      </c>
      <c r="D56" s="212"/>
      <c r="E56" s="212"/>
      <c r="F56" s="212"/>
      <c r="G56" s="212"/>
      <c r="H56" s="212"/>
    </row>
    <row r="57" spans="2:8" ht="15" customHeight="1" x14ac:dyDescent="0.25">
      <c r="B57" s="114" t="s">
        <v>235</v>
      </c>
      <c r="C57" s="163">
        <v>1</v>
      </c>
      <c r="D57" s="213" t="s">
        <v>2315</v>
      </c>
      <c r="E57" s="213"/>
      <c r="F57" s="213"/>
      <c r="G57" s="213"/>
      <c r="H57" s="213"/>
    </row>
    <row r="58" spans="2:8" x14ac:dyDescent="0.25">
      <c r="B58" s="27" t="s">
        <v>2259</v>
      </c>
      <c r="C58" s="161">
        <v>1.008</v>
      </c>
      <c r="D58" s="212"/>
      <c r="E58" s="212"/>
      <c r="F58" s="212"/>
      <c r="G58" s="212"/>
      <c r="H58" s="212"/>
    </row>
    <row r="59" spans="2:8" x14ac:dyDescent="0.25">
      <c r="B59" s="114" t="s">
        <v>244</v>
      </c>
      <c r="C59" s="163">
        <v>1.018</v>
      </c>
      <c r="D59" s="213"/>
      <c r="E59" s="213"/>
      <c r="F59" s="213"/>
      <c r="G59" s="213"/>
      <c r="H59" s="213"/>
    </row>
    <row r="60" spans="2:8" ht="15" customHeight="1" x14ac:dyDescent="0.25">
      <c r="B60" s="27" t="s">
        <v>517</v>
      </c>
      <c r="C60" s="161">
        <v>1.0349999999999999</v>
      </c>
      <c r="D60" s="212" t="s">
        <v>2671</v>
      </c>
      <c r="E60" s="212"/>
      <c r="F60" s="212"/>
      <c r="G60" s="212"/>
      <c r="H60" s="212"/>
    </row>
    <row r="62" spans="2:8" x14ac:dyDescent="0.25">
      <c r="B62" s="211" t="s">
        <v>236</v>
      </c>
      <c r="C62" s="211"/>
      <c r="D62" s="211"/>
      <c r="E62" s="211"/>
      <c r="F62" s="211"/>
      <c r="G62" s="211"/>
      <c r="H62" s="211"/>
    </row>
    <row r="63" spans="2:8" ht="15.75" customHeight="1" x14ac:dyDescent="0.25">
      <c r="B63" s="22" t="s">
        <v>2314</v>
      </c>
      <c r="C63" s="22" t="s">
        <v>353</v>
      </c>
      <c r="D63" s="22" t="s">
        <v>2254</v>
      </c>
    </row>
    <row r="64" spans="2:8" x14ac:dyDescent="0.25">
      <c r="B64" s="27" t="s">
        <v>551</v>
      </c>
      <c r="C64" s="161">
        <v>0.997</v>
      </c>
      <c r="D64" s="212"/>
      <c r="E64" s="212"/>
      <c r="F64" s="212"/>
      <c r="G64" s="212"/>
      <c r="H64" s="212"/>
    </row>
    <row r="65" spans="2:8" ht="15" customHeight="1" x14ac:dyDescent="0.25">
      <c r="B65" s="114" t="s">
        <v>207</v>
      </c>
      <c r="C65" s="163">
        <v>1</v>
      </c>
      <c r="D65" s="213" t="s">
        <v>2315</v>
      </c>
      <c r="E65" s="213"/>
      <c r="F65" s="213"/>
      <c r="G65" s="213"/>
      <c r="H65" s="213"/>
    </row>
    <row r="66" spans="2:8" x14ac:dyDescent="0.25">
      <c r="B66" s="27" t="s">
        <v>238</v>
      </c>
      <c r="C66" s="161">
        <v>1.004</v>
      </c>
      <c r="D66" s="212"/>
      <c r="E66" s="212"/>
      <c r="F66" s="212"/>
      <c r="G66" s="212"/>
      <c r="H66" s="212"/>
    </row>
    <row r="67" spans="2:8" x14ac:dyDescent="0.25">
      <c r="B67" s="114" t="s">
        <v>235</v>
      </c>
      <c r="C67" s="163">
        <v>1.01</v>
      </c>
      <c r="D67" s="213"/>
      <c r="E67" s="213"/>
      <c r="F67" s="213"/>
      <c r="G67" s="213"/>
      <c r="H67" s="213"/>
    </row>
    <row r="69" spans="2:8" x14ac:dyDescent="0.25">
      <c r="B69" s="211" t="s">
        <v>237</v>
      </c>
      <c r="C69" s="211"/>
      <c r="D69" s="211"/>
      <c r="E69" s="211"/>
      <c r="F69" s="211"/>
      <c r="G69" s="211"/>
      <c r="H69" s="211"/>
    </row>
    <row r="70" spans="2:8" ht="15.75" customHeight="1" x14ac:dyDescent="0.25">
      <c r="B70" s="22" t="s">
        <v>2314</v>
      </c>
      <c r="C70" s="22" t="s">
        <v>353</v>
      </c>
      <c r="D70" s="22" t="s">
        <v>2254</v>
      </c>
    </row>
    <row r="71" spans="2:8" ht="15" customHeight="1" x14ac:dyDescent="0.25">
      <c r="B71" s="27" t="s">
        <v>551</v>
      </c>
      <c r="C71" s="161">
        <v>0.98499999999999999</v>
      </c>
      <c r="D71" s="212" t="s">
        <v>2672</v>
      </c>
      <c r="E71" s="212"/>
      <c r="F71" s="212"/>
      <c r="G71" s="212"/>
      <c r="H71" s="212"/>
    </row>
    <row r="72" spans="2:8" ht="15" customHeight="1" x14ac:dyDescent="0.25">
      <c r="B72" s="114" t="s">
        <v>238</v>
      </c>
      <c r="C72" s="163">
        <v>1</v>
      </c>
      <c r="D72" s="213" t="s">
        <v>2315</v>
      </c>
      <c r="E72" s="213"/>
      <c r="F72" s="213"/>
      <c r="G72" s="213"/>
      <c r="H72" s="213"/>
    </row>
    <row r="73" spans="2:8" x14ac:dyDescent="0.25">
      <c r="B73" s="27" t="s">
        <v>235</v>
      </c>
      <c r="C73" s="161">
        <v>1.018</v>
      </c>
      <c r="D73" s="212"/>
      <c r="E73" s="212"/>
      <c r="F73" s="212"/>
      <c r="G73" s="212"/>
      <c r="H73" s="212"/>
    </row>
    <row r="74" spans="2:8" x14ac:dyDescent="0.25">
      <c r="B74" s="114" t="s">
        <v>2259</v>
      </c>
      <c r="C74" s="163">
        <v>1.0349999999999999</v>
      </c>
      <c r="D74" s="213"/>
      <c r="E74" s="213"/>
      <c r="F74" s="213"/>
      <c r="G74" s="213"/>
      <c r="H74" s="213"/>
    </row>
    <row r="76" spans="2:8" x14ac:dyDescent="0.25">
      <c r="B76" s="211" t="s">
        <v>239</v>
      </c>
      <c r="C76" s="211"/>
      <c r="D76" s="211"/>
      <c r="E76" s="211"/>
      <c r="F76" s="211"/>
      <c r="G76" s="211"/>
      <c r="H76" s="211"/>
    </row>
    <row r="77" spans="2:8" ht="15.75" customHeight="1" x14ac:dyDescent="0.25">
      <c r="B77" s="22" t="s">
        <v>2314</v>
      </c>
      <c r="C77" s="22" t="s">
        <v>353</v>
      </c>
      <c r="D77" s="22" t="s">
        <v>2254</v>
      </c>
    </row>
    <row r="78" spans="2:8" ht="15" customHeight="1" x14ac:dyDescent="0.25">
      <c r="B78" s="27" t="s">
        <v>240</v>
      </c>
      <c r="C78" s="161">
        <v>1</v>
      </c>
      <c r="D78" s="212" t="s">
        <v>2315</v>
      </c>
      <c r="E78" s="212"/>
      <c r="F78" s="212"/>
      <c r="G78" s="212"/>
      <c r="H78" s="212"/>
    </row>
    <row r="79" spans="2:8" x14ac:dyDescent="0.25">
      <c r="B79" s="114" t="s">
        <v>707</v>
      </c>
      <c r="C79" s="163">
        <v>1.0249999999999999</v>
      </c>
      <c r="D79" s="213"/>
      <c r="E79" s="213"/>
      <c r="F79" s="213"/>
      <c r="G79" s="213"/>
      <c r="H79" s="213"/>
    </row>
    <row r="80" spans="2:8" ht="15" customHeight="1" x14ac:dyDescent="0.25">
      <c r="B80" s="27" t="s">
        <v>2673</v>
      </c>
      <c r="C80" s="161">
        <v>1.06</v>
      </c>
      <c r="D80" s="212" t="s">
        <v>2674</v>
      </c>
      <c r="E80" s="212"/>
      <c r="F80" s="212"/>
      <c r="G80" s="212"/>
      <c r="H80" s="212"/>
    </row>
    <row r="82" spans="2:8" x14ac:dyDescent="0.25">
      <c r="B82" s="211" t="s">
        <v>241</v>
      </c>
      <c r="C82" s="211"/>
      <c r="D82" s="211"/>
      <c r="E82" s="211"/>
      <c r="F82" s="211"/>
      <c r="G82" s="211"/>
      <c r="H82" s="211"/>
    </row>
    <row r="83" spans="2:8" ht="15.75" customHeight="1" x14ac:dyDescent="0.25">
      <c r="B83" s="22" t="s">
        <v>2314</v>
      </c>
      <c r="C83" s="22" t="s">
        <v>353</v>
      </c>
      <c r="D83" s="22" t="s">
        <v>2254</v>
      </c>
    </row>
    <row r="84" spans="2:8" ht="15" customHeight="1" x14ac:dyDescent="0.25">
      <c r="B84" s="27" t="s">
        <v>242</v>
      </c>
      <c r="C84" s="161">
        <v>1</v>
      </c>
      <c r="D84" s="212" t="s">
        <v>2315</v>
      </c>
      <c r="E84" s="212"/>
      <c r="F84" s="212"/>
      <c r="G84" s="212"/>
      <c r="H84" s="212"/>
    </row>
    <row r="85" spans="2:8" ht="15" customHeight="1" x14ac:dyDescent="0.25">
      <c r="B85" s="114" t="s">
        <v>518</v>
      </c>
      <c r="C85" s="163">
        <v>1.1000000000000001</v>
      </c>
      <c r="D85" s="213" t="s">
        <v>2670</v>
      </c>
      <c r="E85" s="213"/>
      <c r="F85" s="213"/>
      <c r="G85" s="213"/>
      <c r="H85" s="213"/>
    </row>
    <row r="86" spans="2:8" ht="15" customHeight="1" x14ac:dyDescent="0.25">
      <c r="B86" s="27" t="s">
        <v>2675</v>
      </c>
      <c r="C86" s="161">
        <v>1.18</v>
      </c>
      <c r="D86" s="212" t="s">
        <v>2670</v>
      </c>
      <c r="E86" s="212"/>
      <c r="F86" s="212"/>
      <c r="G86" s="212"/>
      <c r="H86" s="212"/>
    </row>
    <row r="87" spans="2:8" ht="15" customHeight="1" x14ac:dyDescent="0.25">
      <c r="B87" s="114" t="s">
        <v>2676</v>
      </c>
      <c r="C87" s="163">
        <v>1.26</v>
      </c>
      <c r="D87" s="213" t="s">
        <v>2677</v>
      </c>
      <c r="E87" s="213"/>
      <c r="F87" s="213"/>
      <c r="G87" s="213"/>
      <c r="H87" s="213"/>
    </row>
    <row r="89" spans="2:8" x14ac:dyDescent="0.25">
      <c r="B89" s="211" t="s">
        <v>243</v>
      </c>
      <c r="C89" s="211"/>
      <c r="D89" s="211"/>
      <c r="E89" s="211"/>
      <c r="F89" s="211"/>
      <c r="G89" s="211"/>
      <c r="H89" s="211"/>
    </row>
    <row r="90" spans="2:8" ht="15.75" customHeight="1" x14ac:dyDescent="0.25">
      <c r="B90" s="22" t="s">
        <v>2314</v>
      </c>
      <c r="C90" s="22" t="s">
        <v>353</v>
      </c>
      <c r="D90" s="22" t="s">
        <v>2254</v>
      </c>
    </row>
    <row r="91" spans="2:8" x14ac:dyDescent="0.25">
      <c r="B91" s="27" t="s">
        <v>2259</v>
      </c>
      <c r="C91" s="161">
        <v>0.98499999999999999</v>
      </c>
      <c r="D91" s="212"/>
      <c r="E91" s="212"/>
      <c r="F91" s="212"/>
      <c r="G91" s="212"/>
      <c r="H91" s="212"/>
    </row>
    <row r="92" spans="2:8" ht="15" customHeight="1" x14ac:dyDescent="0.25">
      <c r="B92" s="114" t="s">
        <v>244</v>
      </c>
      <c r="C92" s="163">
        <v>1</v>
      </c>
      <c r="D92" s="213" t="s">
        <v>2315</v>
      </c>
      <c r="E92" s="213"/>
      <c r="F92" s="213"/>
      <c r="G92" s="213"/>
      <c r="H92" s="213"/>
    </row>
    <row r="93" spans="2:8" ht="15" customHeight="1" x14ac:dyDescent="0.25">
      <c r="B93" s="27" t="s">
        <v>517</v>
      </c>
      <c r="C93" s="161">
        <v>1.03</v>
      </c>
      <c r="D93" s="212" t="s">
        <v>2678</v>
      </c>
      <c r="E93" s="212"/>
      <c r="F93" s="212"/>
      <c r="G93" s="212"/>
      <c r="H93" s="212"/>
    </row>
    <row r="94" spans="2:8" ht="15" customHeight="1" x14ac:dyDescent="0.25">
      <c r="B94" s="114" t="s">
        <v>2679</v>
      </c>
      <c r="C94" s="163">
        <v>1.0649999999999999</v>
      </c>
      <c r="D94" s="213" t="s">
        <v>2680</v>
      </c>
      <c r="E94" s="213"/>
      <c r="F94" s="213"/>
      <c r="G94" s="213"/>
      <c r="H94" s="213"/>
    </row>
    <row r="96" spans="2:8" x14ac:dyDescent="0.25">
      <c r="B96" s="211" t="s">
        <v>245</v>
      </c>
      <c r="C96" s="211"/>
      <c r="D96" s="211"/>
      <c r="E96" s="211"/>
      <c r="F96" s="211"/>
      <c r="G96" s="211"/>
      <c r="H96" s="211"/>
    </row>
    <row r="97" spans="2:8" ht="15.75" customHeight="1" x14ac:dyDescent="0.25">
      <c r="B97" s="22" t="s">
        <v>2314</v>
      </c>
      <c r="C97" s="22" t="s">
        <v>353</v>
      </c>
      <c r="D97" s="22" t="s">
        <v>2254</v>
      </c>
    </row>
    <row r="98" spans="2:8" x14ac:dyDescent="0.25">
      <c r="B98" s="27" t="s">
        <v>551</v>
      </c>
      <c r="C98" s="161">
        <v>0.96</v>
      </c>
      <c r="D98" s="212"/>
      <c r="E98" s="212"/>
      <c r="F98" s="212"/>
      <c r="G98" s="212"/>
      <c r="H98" s="212"/>
    </row>
    <row r="99" spans="2:8" ht="15" customHeight="1" x14ac:dyDescent="0.25">
      <c r="B99" s="114" t="s">
        <v>246</v>
      </c>
      <c r="C99" s="163">
        <v>1</v>
      </c>
      <c r="D99" s="213" t="s">
        <v>2315</v>
      </c>
      <c r="E99" s="213"/>
      <c r="F99" s="213"/>
      <c r="G99" s="213"/>
      <c r="H99" s="213"/>
    </row>
    <row r="100" spans="2:8" x14ac:dyDescent="0.25">
      <c r="B100" s="27" t="s">
        <v>519</v>
      </c>
      <c r="C100" s="161">
        <v>1.0449999999999999</v>
      </c>
      <c r="D100" s="212"/>
      <c r="E100" s="212"/>
      <c r="F100" s="212"/>
      <c r="G100" s="212"/>
      <c r="H100" s="212"/>
    </row>
    <row r="101" spans="2:8" ht="15" customHeight="1" x14ac:dyDescent="0.25">
      <c r="B101" s="114" t="s">
        <v>2681</v>
      </c>
      <c r="C101" s="163">
        <v>1.07</v>
      </c>
      <c r="D101" s="213" t="s">
        <v>2670</v>
      </c>
      <c r="E101" s="213"/>
      <c r="F101" s="213"/>
      <c r="G101" s="213"/>
      <c r="H101" s="213"/>
    </row>
    <row r="103" spans="2:8" x14ac:dyDescent="0.25">
      <c r="B103" s="211" t="s">
        <v>247</v>
      </c>
      <c r="C103" s="211"/>
      <c r="D103" s="211"/>
      <c r="E103" s="211"/>
      <c r="F103" s="211"/>
      <c r="G103" s="211"/>
      <c r="H103" s="211"/>
    </row>
    <row r="104" spans="2:8" ht="15.75" customHeight="1" x14ac:dyDescent="0.25">
      <c r="B104" s="22" t="s">
        <v>2314</v>
      </c>
      <c r="C104" s="22" t="s">
        <v>353</v>
      </c>
      <c r="D104" s="22" t="s">
        <v>2254</v>
      </c>
    </row>
    <row r="105" spans="2:8" ht="15" customHeight="1" x14ac:dyDescent="0.25">
      <c r="B105" s="27" t="s">
        <v>708</v>
      </c>
      <c r="C105" s="161">
        <v>0.98</v>
      </c>
      <c r="D105" s="212" t="s">
        <v>2682</v>
      </c>
      <c r="E105" s="212"/>
      <c r="F105" s="212"/>
      <c r="G105" s="212"/>
      <c r="H105" s="212"/>
    </row>
    <row r="106" spans="2:8" ht="15" customHeight="1" x14ac:dyDescent="0.25">
      <c r="B106" s="114" t="s">
        <v>248</v>
      </c>
      <c r="C106" s="163">
        <v>1</v>
      </c>
      <c r="D106" s="213" t="s">
        <v>2683</v>
      </c>
      <c r="E106" s="213"/>
      <c r="F106" s="213"/>
      <c r="G106" s="213"/>
      <c r="H106" s="213"/>
    </row>
    <row r="107" spans="2:8" ht="15" customHeight="1" x14ac:dyDescent="0.25">
      <c r="B107" s="27" t="s">
        <v>520</v>
      </c>
      <c r="C107" s="161">
        <v>1.03</v>
      </c>
      <c r="D107" s="212" t="s">
        <v>2684</v>
      </c>
      <c r="E107" s="212"/>
      <c r="F107" s="212"/>
      <c r="G107" s="212"/>
      <c r="H107" s="212"/>
    </row>
    <row r="108" spans="2:8" ht="15" customHeight="1" x14ac:dyDescent="0.25">
      <c r="B108" s="114" t="s">
        <v>2685</v>
      </c>
      <c r="C108" s="163">
        <v>1.0549999999999999</v>
      </c>
      <c r="D108" s="213" t="s">
        <v>2684</v>
      </c>
      <c r="E108" s="213"/>
      <c r="F108" s="213"/>
      <c r="G108" s="213"/>
      <c r="H108" s="213"/>
    </row>
    <row r="109" spans="2:8" ht="15" customHeight="1" x14ac:dyDescent="0.25">
      <c r="B109" s="27" t="s">
        <v>2686</v>
      </c>
      <c r="C109" s="161">
        <v>1.0900000000000001</v>
      </c>
      <c r="D109" s="212" t="s">
        <v>2687</v>
      </c>
      <c r="E109" s="212"/>
      <c r="F109" s="212"/>
      <c r="G109" s="212"/>
      <c r="H109" s="212"/>
    </row>
    <row r="111" spans="2:8" x14ac:dyDescent="0.25">
      <c r="B111" s="15" t="s">
        <v>709</v>
      </c>
    </row>
    <row r="112" spans="2:8" ht="15" customHeight="1" x14ac:dyDescent="0.25">
      <c r="B112" s="10" t="s">
        <v>2688</v>
      </c>
      <c r="C112" s="10"/>
      <c r="D112" s="10"/>
      <c r="E112" s="10"/>
      <c r="F112" s="10"/>
      <c r="G112" s="10"/>
      <c r="H112" s="10"/>
    </row>
    <row r="113" spans="2:8" x14ac:dyDescent="0.25">
      <c r="B113" s="10"/>
      <c r="C113" s="10"/>
      <c r="D113" s="10"/>
      <c r="E113" s="10"/>
      <c r="F113" s="10"/>
      <c r="G113" s="10"/>
      <c r="H113" s="10"/>
    </row>
    <row r="114" spans="2:8" x14ac:dyDescent="0.25">
      <c r="B114" s="10"/>
      <c r="C114" s="10"/>
      <c r="D114" s="10"/>
      <c r="E114" s="10"/>
      <c r="F114" s="10"/>
      <c r="G114" s="10"/>
      <c r="H114" s="10"/>
    </row>
  </sheetData>
  <mergeCells count="107">
    <mergeCell ref="D105:H105"/>
    <mergeCell ref="D106:H106"/>
    <mergeCell ref="D107:H107"/>
    <mergeCell ref="D108:H108"/>
    <mergeCell ref="D109:H109"/>
    <mergeCell ref="B112:H114"/>
    <mergeCell ref="D92:H92"/>
    <mergeCell ref="D93:H93"/>
    <mergeCell ref="D94:H94"/>
    <mergeCell ref="B96:H96"/>
    <mergeCell ref="D98:H98"/>
    <mergeCell ref="D99:H99"/>
    <mergeCell ref="D100:H100"/>
    <mergeCell ref="D101:H101"/>
    <mergeCell ref="B103:H103"/>
    <mergeCell ref="D79:H79"/>
    <mergeCell ref="D80:H80"/>
    <mergeCell ref="B82:H82"/>
    <mergeCell ref="D84:H84"/>
    <mergeCell ref="D85:H85"/>
    <mergeCell ref="D86:H86"/>
    <mergeCell ref="D87:H87"/>
    <mergeCell ref="B89:H89"/>
    <mergeCell ref="D91:H91"/>
    <mergeCell ref="D66:H66"/>
    <mergeCell ref="D67:H67"/>
    <mergeCell ref="B69:H69"/>
    <mergeCell ref="D71:H71"/>
    <mergeCell ref="D72:H72"/>
    <mergeCell ref="D73:H73"/>
    <mergeCell ref="D74:H74"/>
    <mergeCell ref="B76:H76"/>
    <mergeCell ref="D78:H78"/>
    <mergeCell ref="B54:H54"/>
    <mergeCell ref="D56:H56"/>
    <mergeCell ref="D57:H57"/>
    <mergeCell ref="D58:H58"/>
    <mergeCell ref="D59:H59"/>
    <mergeCell ref="D60:H60"/>
    <mergeCell ref="B62:H62"/>
    <mergeCell ref="D64:H64"/>
    <mergeCell ref="D65:H65"/>
    <mergeCell ref="B42:H42"/>
    <mergeCell ref="B43:H43"/>
    <mergeCell ref="B44:H44"/>
    <mergeCell ref="B46:H46"/>
    <mergeCell ref="B47:H47"/>
    <mergeCell ref="D49:H49"/>
    <mergeCell ref="D50:H50"/>
    <mergeCell ref="D51:H51"/>
    <mergeCell ref="D52:H52"/>
    <mergeCell ref="C36:D36"/>
    <mergeCell ref="E36:F36"/>
    <mergeCell ref="G36:H36"/>
    <mergeCell ref="C37:D37"/>
    <mergeCell ref="E37:F37"/>
    <mergeCell ref="G37:H37"/>
    <mergeCell ref="B39:H39"/>
    <mergeCell ref="B40:H40"/>
    <mergeCell ref="B41:H41"/>
    <mergeCell ref="C33:D33"/>
    <mergeCell ref="E33:F33"/>
    <mergeCell ref="G33:H33"/>
    <mergeCell ref="C34:D34"/>
    <mergeCell ref="E34:F34"/>
    <mergeCell ref="G34:H34"/>
    <mergeCell ref="C35:D35"/>
    <mergeCell ref="E35:F35"/>
    <mergeCell ref="G35:H35"/>
    <mergeCell ref="C30:D30"/>
    <mergeCell ref="E30:F30"/>
    <mergeCell ref="G30:H30"/>
    <mergeCell ref="C31:D31"/>
    <mergeCell ref="E31:F31"/>
    <mergeCell ref="G31:H31"/>
    <mergeCell ref="C32:D32"/>
    <mergeCell ref="E32:F32"/>
    <mergeCell ref="G32:H32"/>
    <mergeCell ref="F21:H21"/>
    <mergeCell ref="F22:H22"/>
    <mergeCell ref="F23:H23"/>
    <mergeCell ref="F24:H24"/>
    <mergeCell ref="B26:H26"/>
    <mergeCell ref="C28:D28"/>
    <mergeCell ref="E28:F28"/>
    <mergeCell ref="G28:H28"/>
    <mergeCell ref="C29:D29"/>
    <mergeCell ref="E29:F29"/>
    <mergeCell ref="G29:H29"/>
    <mergeCell ref="F12:H12"/>
    <mergeCell ref="F13:H13"/>
    <mergeCell ref="F14:H14"/>
    <mergeCell ref="F15:H15"/>
    <mergeCell ref="F16:H16"/>
    <mergeCell ref="F17:H17"/>
    <mergeCell ref="F18:H18"/>
    <mergeCell ref="F19:H19"/>
    <mergeCell ref="F20:H20"/>
    <mergeCell ref="B1:H1"/>
    <mergeCell ref="B2:H2"/>
    <mergeCell ref="B4:H4"/>
    <mergeCell ref="F6:H6"/>
    <mergeCell ref="F7:H7"/>
    <mergeCell ref="F8:H8"/>
    <mergeCell ref="F9:H9"/>
    <mergeCell ref="F10:H10"/>
    <mergeCell ref="F11:H1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65"/>
  <sheetViews>
    <sheetView showGridLines="0" zoomScaleNormal="100" workbookViewId="0"/>
  </sheetViews>
  <sheetFormatPr defaultColWidth="8.7109375" defaultRowHeight="15" x14ac:dyDescent="0.25"/>
  <cols>
    <col min="1" max="1" width="2" customWidth="1"/>
    <col min="2" max="2" width="46" customWidth="1"/>
    <col min="3" max="9" width="16" customWidth="1"/>
    <col min="10" max="10" width="60" customWidth="1"/>
  </cols>
  <sheetData>
    <row r="1" spans="2:10" ht="25.5" customHeight="1" x14ac:dyDescent="0.25">
      <c r="B1" s="14" t="s">
        <v>2689</v>
      </c>
      <c r="C1" s="14"/>
      <c r="D1" s="14"/>
      <c r="E1" s="14"/>
      <c r="F1" s="14"/>
      <c r="G1" s="14"/>
      <c r="H1" s="14"/>
      <c r="I1" s="14"/>
      <c r="J1" s="14"/>
    </row>
    <row r="2" spans="2:10" ht="15" customHeight="1" x14ac:dyDescent="0.25">
      <c r="B2" s="13" t="s">
        <v>2690</v>
      </c>
      <c r="C2" s="13"/>
      <c r="D2" s="13"/>
      <c r="E2" s="13"/>
      <c r="F2" s="13"/>
      <c r="G2" s="13"/>
      <c r="H2" s="13"/>
      <c r="I2" s="13"/>
      <c r="J2" s="13"/>
    </row>
    <row r="4" spans="2:10" ht="18" customHeight="1" x14ac:dyDescent="0.25">
      <c r="B4" s="12" t="s">
        <v>2691</v>
      </c>
      <c r="C4" s="12"/>
      <c r="D4" s="12"/>
      <c r="E4" s="12"/>
      <c r="F4" s="12"/>
      <c r="G4" s="12"/>
      <c r="H4" s="12"/>
      <c r="I4" s="12"/>
      <c r="J4" s="12"/>
    </row>
    <row r="5" spans="2:10" x14ac:dyDescent="0.25">
      <c r="B5" s="125" t="s">
        <v>2692</v>
      </c>
      <c r="C5" s="174">
        <v>0.08</v>
      </c>
      <c r="J5" s="127" t="s">
        <v>2693</v>
      </c>
    </row>
    <row r="6" spans="2:10" x14ac:dyDescent="0.25">
      <c r="B6" s="125" t="s">
        <v>2694</v>
      </c>
      <c r="C6" s="174">
        <v>0.05</v>
      </c>
      <c r="J6" s="127" t="s">
        <v>2695</v>
      </c>
    </row>
    <row r="7" spans="2:10" x14ac:dyDescent="0.25">
      <c r="B7" s="125" t="s">
        <v>370</v>
      </c>
      <c r="C7" s="174">
        <v>7.4999999999999997E-2</v>
      </c>
      <c r="J7" s="127" t="s">
        <v>2696</v>
      </c>
    </row>
    <row r="8" spans="2:10" x14ac:dyDescent="0.25">
      <c r="B8" s="125" t="s">
        <v>2697</v>
      </c>
      <c r="C8" s="174">
        <v>0.1</v>
      </c>
      <c r="J8" s="127" t="s">
        <v>2698</v>
      </c>
    </row>
    <row r="9" spans="2:10" x14ac:dyDescent="0.25">
      <c r="B9" s="125" t="s">
        <v>2699</v>
      </c>
      <c r="C9" s="174">
        <v>0.05</v>
      </c>
      <c r="J9" s="127" t="s">
        <v>2700</v>
      </c>
    </row>
    <row r="10" spans="2:10" x14ac:dyDescent="0.25">
      <c r="B10" s="125" t="s">
        <v>2701</v>
      </c>
      <c r="C10" s="174">
        <v>0.02</v>
      </c>
      <c r="J10" s="127" t="s">
        <v>2702</v>
      </c>
    </row>
    <row r="11" spans="2:10" x14ac:dyDescent="0.25">
      <c r="B11" s="125" t="s">
        <v>2703</v>
      </c>
      <c r="C11" s="186">
        <f>'Commission Structure'!C5</f>
        <v>0.27500000000000002</v>
      </c>
      <c r="J11" s="127" t="s">
        <v>2704</v>
      </c>
    </row>
    <row r="12" spans="2:10" x14ac:dyDescent="0.25">
      <c r="B12" s="15" t="s">
        <v>2705</v>
      </c>
      <c r="C12" s="187">
        <f>SUM(C8:C11)</f>
        <v>0.44500000000000006</v>
      </c>
      <c r="J12" s="127" t="s">
        <v>2706</v>
      </c>
    </row>
    <row r="13" spans="2:10" x14ac:dyDescent="0.25">
      <c r="B13" s="188" t="s">
        <v>2707</v>
      </c>
      <c r="C13" s="75">
        <f>1-C12</f>
        <v>0.55499999999999994</v>
      </c>
      <c r="J13" s="127" t="s">
        <v>2708</v>
      </c>
    </row>
    <row r="14" spans="2:10" x14ac:dyDescent="0.25">
      <c r="B14" s="125" t="s">
        <v>2709</v>
      </c>
      <c r="C14" s="176">
        <v>350</v>
      </c>
      <c r="J14" s="127" t="s">
        <v>2710</v>
      </c>
    </row>
    <row r="15" spans="2:10" x14ac:dyDescent="0.25">
      <c r="B15" s="125" t="s">
        <v>2711</v>
      </c>
      <c r="C15" s="176">
        <v>250</v>
      </c>
      <c r="J15" s="127" t="s">
        <v>2712</v>
      </c>
    </row>
    <row r="16" spans="2:10" x14ac:dyDescent="0.25">
      <c r="B16" s="125" t="s">
        <v>2713</v>
      </c>
      <c r="C16" s="176">
        <v>2000000</v>
      </c>
      <c r="J16" s="127" t="s">
        <v>2714</v>
      </c>
    </row>
    <row r="17" spans="2:10" x14ac:dyDescent="0.25">
      <c r="B17" s="125" t="s">
        <v>2715</v>
      </c>
      <c r="C17" s="160">
        <v>5</v>
      </c>
      <c r="J17" s="127" t="s">
        <v>2716</v>
      </c>
    </row>
    <row r="18" spans="2:10" x14ac:dyDescent="0.25">
      <c r="B18" s="125" t="s">
        <v>2717</v>
      </c>
      <c r="C18" s="176">
        <v>100000</v>
      </c>
      <c r="J18" s="127" t="s">
        <v>2718</v>
      </c>
    </row>
    <row r="19" spans="2:10" x14ac:dyDescent="0.25">
      <c r="B19" s="15" t="s">
        <v>2719</v>
      </c>
      <c r="C19" s="189">
        <v>-0.15</v>
      </c>
      <c r="J19" s="190" t="s">
        <v>2720</v>
      </c>
    </row>
    <row r="20" spans="2:10" x14ac:dyDescent="0.25">
      <c r="B20" s="125" t="s">
        <v>2721</v>
      </c>
      <c r="C20" s="189">
        <v>0.25</v>
      </c>
      <c r="J20" s="127" t="s">
        <v>2722</v>
      </c>
    </row>
    <row r="21" spans="2:10" ht="18" customHeight="1" x14ac:dyDescent="0.25">
      <c r="B21" s="12" t="s">
        <v>2723</v>
      </c>
      <c r="C21" s="12"/>
      <c r="D21" s="12"/>
      <c r="E21" s="12"/>
      <c r="F21" s="12"/>
      <c r="G21" s="12"/>
      <c r="H21" s="12"/>
      <c r="I21" s="12"/>
      <c r="J21" s="12"/>
    </row>
    <row r="22" spans="2:10" x14ac:dyDescent="0.25">
      <c r="B22" s="125" t="s">
        <v>2724</v>
      </c>
      <c r="C22" s="160">
        <v>1</v>
      </c>
      <c r="J22" s="127" t="s">
        <v>2725</v>
      </c>
    </row>
    <row r="23" spans="2:10" x14ac:dyDescent="0.25">
      <c r="B23" s="125" t="s">
        <v>2726</v>
      </c>
      <c r="C23" s="176">
        <v>500</v>
      </c>
      <c r="J23" s="127" t="s">
        <v>2727</v>
      </c>
    </row>
    <row r="24" spans="2:10" x14ac:dyDescent="0.25">
      <c r="B24" s="125" t="s">
        <v>2728</v>
      </c>
      <c r="C24" s="174">
        <v>0.05</v>
      </c>
      <c r="J24" s="127" t="s">
        <v>2729</v>
      </c>
    </row>
    <row r="27" spans="2:10" x14ac:dyDescent="0.25">
      <c r="B27" s="15" t="s">
        <v>266</v>
      </c>
      <c r="C27" s="110" t="s">
        <v>715</v>
      </c>
      <c r="D27" s="110" t="s">
        <v>716</v>
      </c>
      <c r="E27" s="110" t="s">
        <v>717</v>
      </c>
      <c r="F27" s="110" t="s">
        <v>718</v>
      </c>
      <c r="G27" s="110" t="s">
        <v>719</v>
      </c>
      <c r="H27" s="110" t="s">
        <v>720</v>
      </c>
      <c r="I27" s="110" t="s">
        <v>721</v>
      </c>
    </row>
    <row r="28" spans="2:10" x14ac:dyDescent="0.25">
      <c r="B28" s="125" t="s">
        <v>2730</v>
      </c>
      <c r="C28" s="176">
        <v>175000</v>
      </c>
      <c r="D28" s="176">
        <v>375000</v>
      </c>
      <c r="E28" s="176">
        <v>750000</v>
      </c>
      <c r="F28" s="176">
        <v>1500000</v>
      </c>
      <c r="G28" s="176">
        <v>3500000</v>
      </c>
      <c r="H28" s="176">
        <v>7500000</v>
      </c>
      <c r="I28" s="176">
        <v>15000000</v>
      </c>
    </row>
    <row r="30" spans="2:10" ht="18" customHeight="1" x14ac:dyDescent="0.25">
      <c r="B30" s="12" t="s">
        <v>2731</v>
      </c>
      <c r="C30" s="12"/>
      <c r="D30" s="12"/>
      <c r="E30" s="12"/>
      <c r="F30" s="12"/>
      <c r="G30" s="12"/>
      <c r="H30" s="12"/>
      <c r="I30" s="12"/>
      <c r="J30" s="12"/>
    </row>
    <row r="31" spans="2:10" ht="30" customHeight="1" x14ac:dyDescent="0.25">
      <c r="B31" s="22" t="s">
        <v>714</v>
      </c>
      <c r="C31" s="22" t="s">
        <v>715</v>
      </c>
      <c r="D31" s="22" t="s">
        <v>716</v>
      </c>
      <c r="E31" s="22" t="s">
        <v>717</v>
      </c>
      <c r="F31" s="22" t="s">
        <v>718</v>
      </c>
      <c r="G31" s="22" t="s">
        <v>719</v>
      </c>
      <c r="H31" s="22" t="s">
        <v>720</v>
      </c>
      <c r="I31" s="22" t="s">
        <v>721</v>
      </c>
    </row>
    <row r="32" spans="2:10" x14ac:dyDescent="0.25">
      <c r="B32" s="27" t="s">
        <v>723</v>
      </c>
      <c r="C32" s="112">
        <f>(((C$28/100*'Base Rates'!C5*$C$22)+$C$23)*(1+$C$5)*(1+$C$6)+(C$28/100*'Base Rates'!C5*$C$22*$C$24))*(1+$C$7)/$C$13</f>
        <v>4790.5099099099107</v>
      </c>
      <c r="D32" s="112">
        <f>(((D$28/100*'Base Rates'!D5*$C$22)+$C$23)*(1+$C$5)*(1+$C$6)+(D$28/100*'Base Rates'!D5*$C$22*$C$24))*(1+$C$7)/$C$13</f>
        <v>7548.2432432432452</v>
      </c>
      <c r="E32" s="112">
        <f>(((E$28/100*'Base Rates'!E5*$C$22)+$C$23)*(1+$C$5)*(1+$C$6)+(E$28/100*'Base Rates'!E5*$C$22*$C$24))*(1+$C$7)/$C$13</f>
        <v>12278.243243243243</v>
      </c>
      <c r="F32" s="112">
        <f>(((F$28/100*'Base Rates'!F5*$C$22)+$C$23)*(1+$C$5)*(1+$C$6)+(F$28/100*'Base Rates'!F5*$C$22*$C$24))*(1+$C$7)/$C$13</f>
        <v>20018.243243243247</v>
      </c>
      <c r="G32" s="112">
        <f>(((G$28/100*'Base Rates'!G5*$C$22)+$C$23)*(1+$C$5)*(1+$C$6)+(G$28/100*'Base Rates'!G5*$C$22*$C$24))*(1+$C$7)/$C$13</f>
        <v>39626.243243243247</v>
      </c>
      <c r="H32" s="112">
        <f>(((H$28/100*'Base Rates'!H5*$C$22)+$C$23)*(1+$C$5)*(1+$C$6)+(H$28/100*'Base Rates'!H5*$C$22*$C$24))*(1+$C$7)/$C$13</f>
        <v>73338.243243243254</v>
      </c>
      <c r="I32" s="112">
        <f>(((I$28/100*'Base Rates'!I5*$C$22)+$C$23)*(1+$C$5)*(1+$C$6)+(I$28/100*'Base Rates'!I5*$C$22*$C$24))*(1+$C$7)/$C$13</f>
        <v>131818.24324324325</v>
      </c>
    </row>
    <row r="33" spans="2:10" x14ac:dyDescent="0.25">
      <c r="B33" s="114" t="s">
        <v>557</v>
      </c>
      <c r="C33" s="116">
        <f>(((C$28/100*'Base Rates'!C6*$C$22)+$C$23)*(1+$C$5)*(1+$C$6)+(C$28/100*'Base Rates'!C6*$C$22*$C$24))*(1+$C$7)/$C$13</f>
        <v>5833.9765765765778</v>
      </c>
      <c r="D33" s="116">
        <f>(((D$28/100*'Base Rates'!D6*$C$22)+$C$23)*(1+$C$5)*(1+$C$6)+(D$28/100*'Base Rates'!D6*$C$22*$C$24))*(1+$C$7)/$C$13</f>
        <v>9268.2432432432452</v>
      </c>
      <c r="E33" s="116">
        <f>(((E$28/100*'Base Rates'!E6*$C$22)+$C$23)*(1+$C$5)*(1+$C$6)+(E$28/100*'Base Rates'!E6*$C$22*$C$24))*(1+$C$7)/$C$13</f>
        <v>15202.243243243247</v>
      </c>
      <c r="F33" s="116">
        <f>(((F$28/100*'Base Rates'!F6*$C$22)+$C$23)*(1+$C$5)*(1+$C$6)+(F$28/100*'Base Rates'!F6*$C$22*$C$24))*(1+$C$7)/$C$13</f>
        <v>25178.243243243243</v>
      </c>
      <c r="G33" s="116">
        <f>(((G$28/100*'Base Rates'!G6*$C$22)+$C$23)*(1+$C$5)*(1+$C$6)+(G$28/100*'Base Rates'!G6*$C$22*$C$24))*(1+$C$7)/$C$13</f>
        <v>47652.909909909911</v>
      </c>
      <c r="H33" s="116">
        <f>(((H$28/100*'Base Rates'!H6*$C$22)+$C$23)*(1+$C$5)*(1+$C$6)+(H$28/100*'Base Rates'!H6*$C$22*$C$24))*(1+$C$7)/$C$13</f>
        <v>87098.243243243254</v>
      </c>
      <c r="I33" s="116">
        <f>(((I$28/100*'Base Rates'!I6*$C$22)+$C$23)*(1+$C$5)*(1+$C$6)+(I$28/100*'Base Rates'!I6*$C$22*$C$24))*(1+$C$7)/$C$13</f>
        <v>145578.24324324325</v>
      </c>
    </row>
    <row r="34" spans="2:10" x14ac:dyDescent="0.25">
      <c r="B34" s="27" t="s">
        <v>166</v>
      </c>
      <c r="C34" s="112">
        <f>(((C$28/100*'Base Rates'!C7*$C$22)+$C$23)*(1+$C$5)*(1+$C$6)+(C$28/100*'Base Rates'!C7*$C$22*$C$24))*(1+$C$7)/$C$13</f>
        <v>6797.1765765765776</v>
      </c>
      <c r="D34" s="112">
        <f>(((D$28/100*'Base Rates'!D7*$C$22)+$C$23)*(1+$C$5)*(1+$C$6)+(D$28/100*'Base Rates'!D7*$C$22*$C$24))*(1+$C$7)/$C$13</f>
        <v>10988.243243243243</v>
      </c>
      <c r="E34" s="112">
        <f>(((E$28/100*'Base Rates'!E7*$C$22)+$C$23)*(1+$C$5)*(1+$C$6)+(E$28/100*'Base Rates'!E7*$C$22*$C$24))*(1+$C$7)/$C$13</f>
        <v>17438.243243243247</v>
      </c>
      <c r="F34" s="112">
        <f>(((F$28/100*'Base Rates'!F7*$C$22)+$C$23)*(1+$C$5)*(1+$C$6)+(F$28/100*'Base Rates'!F7*$C$22*$C$24))*(1+$C$7)/$C$13</f>
        <v>28618.243243243247</v>
      </c>
      <c r="G34" s="112">
        <f>(((G$28/100*'Base Rates'!G7*$C$22)+$C$23)*(1+$C$5)*(1+$C$6)+(G$28/100*'Base Rates'!G7*$C$22*$C$24))*(1+$C$7)/$C$13</f>
        <v>53271.576576576583</v>
      </c>
      <c r="H34" s="112">
        <f>(((H$28/100*'Base Rates'!H7*$C$22)+$C$23)*(1+$C$5)*(1+$C$6)+(H$28/100*'Base Rates'!H7*$C$22*$C$24))*(1+$C$7)/$C$13</f>
        <v>95698.24324324324</v>
      </c>
      <c r="I34" s="112">
        <f>(((I$28/100*'Base Rates'!I7*$C$22)+$C$23)*(1+$C$5)*(1+$C$6)+(I$28/100*'Base Rates'!I7*$C$22*$C$24))*(1+$C$7)/$C$13</f>
        <v>155898.24324324325</v>
      </c>
    </row>
    <row r="35" spans="2:10" x14ac:dyDescent="0.25">
      <c r="B35" s="114" t="s">
        <v>503</v>
      </c>
      <c r="C35" s="116">
        <f>(((C$28/100*'Base Rates'!C8*$C$22)+$C$23)*(1+$C$5)*(1+$C$6)+(C$28/100*'Base Rates'!C8*$C$22*$C$24))*(1+$C$7)/$C$13</f>
        <v>8121.5765765765764</v>
      </c>
      <c r="D35" s="116">
        <f>(((D$28/100*'Base Rates'!D8*$C$22)+$C$23)*(1+$C$5)*(1+$C$6)+(D$28/100*'Base Rates'!D8*$C$22*$C$24))*(1+$C$7)/$C$13</f>
        <v>13568.243243243245</v>
      </c>
      <c r="E35" s="116">
        <f>(((E$28/100*'Base Rates'!E8*$C$22)+$C$23)*(1+$C$5)*(1+$C$6)+(E$28/100*'Base Rates'!E8*$C$22*$C$24))*(1+$C$7)/$C$13</f>
        <v>21738.243243243247</v>
      </c>
      <c r="F35" s="116">
        <f>(((F$28/100*'Base Rates'!F8*$C$22)+$C$23)*(1+$C$5)*(1+$C$6)+(F$28/100*'Base Rates'!F8*$C$22*$C$24))*(1+$C$7)/$C$13</f>
        <v>35498.24324324324</v>
      </c>
      <c r="G35" s="116">
        <f>(((G$28/100*'Base Rates'!G8*$C$22)+$C$23)*(1+$C$5)*(1+$C$6)+(G$28/100*'Base Rates'!G8*$C$22*$C$24))*(1+$C$7)/$C$13</f>
        <v>66916.909909909926</v>
      </c>
      <c r="H35" s="116">
        <f>(((H$28/100*'Base Rates'!H8*$C$22)+$C$23)*(1+$C$5)*(1+$C$6)+(H$28/100*'Base Rates'!H8*$C$22*$C$24))*(1+$C$7)/$C$13</f>
        <v>118058.24324324328</v>
      </c>
      <c r="I35" s="116">
        <f>(((I$28/100*'Base Rates'!I8*$C$22)+$C$23)*(1+$C$5)*(1+$C$6)+(I$28/100*'Base Rates'!I8*$C$22*$C$24))*(1+$C$7)/$C$13</f>
        <v>190298.24324324325</v>
      </c>
    </row>
    <row r="36" spans="2:10" x14ac:dyDescent="0.25">
      <c r="B36" s="27" t="s">
        <v>728</v>
      </c>
      <c r="C36" s="112">
        <f>(((C$28/100*'Base Rates'!C9*$C$22)+$C$23)*(1+$C$5)*(1+$C$6)+(C$28/100*'Base Rates'!C9*$C$22*$C$24))*(1+$C$7)/$C$13</f>
        <v>7720.2432432432452</v>
      </c>
      <c r="D36" s="112">
        <f>(((D$28/100*'Base Rates'!D9*$C$22)+$C$23)*(1+$C$5)*(1+$C$6)+(D$28/100*'Base Rates'!D9*$C$22*$C$24))*(1+$C$7)/$C$13</f>
        <v>12708.243243243245</v>
      </c>
      <c r="E36" s="112">
        <f>(((E$28/100*'Base Rates'!E9*$C$22)+$C$23)*(1+$C$5)*(1+$C$6)+(E$28/100*'Base Rates'!E9*$C$22*$C$24))*(1+$C$7)/$C$13</f>
        <v>20018.243243243247</v>
      </c>
      <c r="F36" s="112">
        <f>(((F$28/100*'Base Rates'!F9*$C$22)+$C$23)*(1+$C$5)*(1+$C$6)+(F$28/100*'Base Rates'!F9*$C$22*$C$24))*(1+$C$7)/$C$13</f>
        <v>32746.243243243254</v>
      </c>
      <c r="G36" s="112">
        <f>(((G$28/100*'Base Rates'!G9*$C$22)+$C$23)*(1+$C$5)*(1+$C$6)+(G$28/100*'Base Rates'!G9*$C$22*$C$24))*(1+$C$7)/$C$13</f>
        <v>63706.243243243254</v>
      </c>
      <c r="H36" s="112">
        <f>(((H$28/100*'Base Rates'!H9*$C$22)+$C$23)*(1+$C$5)*(1+$C$6)+(H$28/100*'Base Rates'!H9*$C$22*$C$24))*(1+$C$7)/$C$13</f>
        <v>111178.24324324325</v>
      </c>
      <c r="I36" s="112">
        <f>(((I$28/100*'Base Rates'!I9*$C$22)+$C$23)*(1+$C$5)*(1+$C$6)+(I$28/100*'Base Rates'!I9*$C$22*$C$24))*(1+$C$7)/$C$13</f>
        <v>179978.24324324325</v>
      </c>
    </row>
    <row r="37" spans="2:10" x14ac:dyDescent="0.25">
      <c r="B37" s="114" t="s">
        <v>730</v>
      </c>
      <c r="C37" s="116">
        <f>(((C$28/100*'Base Rates'!C10*$C$22)+$C$23)*(1+$C$5)*(1+$C$6)+(C$28/100*'Base Rates'!C10*$C$22*$C$24))*(1+$C$7)/$C$13</f>
        <v>3104.9099099099103</v>
      </c>
      <c r="D37" s="116">
        <f>(((D$28/100*'Base Rates'!D10*$C$22)+$C$23)*(1+$C$5)*(1+$C$6)+(D$28/100*'Base Rates'!D10*$C$22*$C$24))*(1+$C$7)/$C$13</f>
        <v>4710.2432432432433</v>
      </c>
      <c r="E37" s="116">
        <f>(((E$28/100*'Base Rates'!E10*$C$22)+$C$23)*(1+$C$5)*(1+$C$6)+(E$28/100*'Base Rates'!E10*$C$22*$C$24))*(1+$C$7)/$C$13</f>
        <v>7634.2432432432443</v>
      </c>
      <c r="F37" s="116">
        <f>(((F$28/100*'Base Rates'!F10*$C$22)+$C$23)*(1+$C$5)*(1+$C$6)+(F$28/100*'Base Rates'!F10*$C$22*$C$24))*(1+$C$7)/$C$13</f>
        <v>12794.243243243245</v>
      </c>
      <c r="G37" s="116">
        <f>(((G$28/100*'Base Rates'!G10*$C$22)+$C$23)*(1+$C$5)*(1+$C$6)+(G$28/100*'Base Rates'!G10*$C$22*$C$24))*(1+$C$7)/$C$13</f>
        <v>25178.243243243243</v>
      </c>
      <c r="H37" s="116">
        <f>(((H$28/100*'Base Rates'!H10*$C$22)+$C$23)*(1+$C$5)*(1+$C$6)+(H$28/100*'Base Rates'!H10*$C$22*$C$24))*(1+$C$7)/$C$13</f>
        <v>47538.243243243247</v>
      </c>
      <c r="I37" s="116">
        <f>(((I$28/100*'Base Rates'!I10*$C$22)+$C$23)*(1+$C$5)*(1+$C$6)+(I$28/100*'Base Rates'!I10*$C$22*$C$24))*(1+$C$7)/$C$13</f>
        <v>83658.243243243254</v>
      </c>
    </row>
    <row r="38" spans="2:10" x14ac:dyDescent="0.25">
      <c r="B38" s="27" t="s">
        <v>525</v>
      </c>
      <c r="C38" s="112">
        <f>(((C$28/100*'Base Rates'!C11*$C$22)+$C$23)*(1+$C$5)*(1+$C$6)+(C$28/100*'Base Rates'!C11*$C$22*$C$24))*(1+$C$7)/$C$13</f>
        <v>3385.8432432432437</v>
      </c>
      <c r="D38" s="112">
        <f>(((D$28/100*'Base Rates'!D11*$C$22)+$C$23)*(1+$C$5)*(1+$C$6)+(D$28/100*'Base Rates'!D11*$C$22*$C$24))*(1+$C$7)/$C$13</f>
        <v>5226.2432432432443</v>
      </c>
      <c r="E38" s="112">
        <f>(((E$28/100*'Base Rates'!E11*$C$22)+$C$23)*(1+$C$5)*(1+$C$6)+(E$28/100*'Base Rates'!E11*$C$22*$C$24))*(1+$C$7)/$C$13</f>
        <v>8494.2432432432452</v>
      </c>
      <c r="F38" s="112">
        <f>(((F$28/100*'Base Rates'!F11*$C$22)+$C$23)*(1+$C$5)*(1+$C$6)+(F$28/100*'Base Rates'!F11*$C$22*$C$24))*(1+$C$7)/$C$13</f>
        <v>14170.243243243243</v>
      </c>
      <c r="G38" s="112">
        <f>(((G$28/100*'Base Rates'!G11*$C$22)+$C$23)*(1+$C$5)*(1+$C$6)+(G$28/100*'Base Rates'!G11*$C$22*$C$24))*(1+$C$7)/$C$13</f>
        <v>27586.243243243247</v>
      </c>
      <c r="H38" s="112">
        <f>(((H$28/100*'Base Rates'!H11*$C$22)+$C$23)*(1+$C$5)*(1+$C$6)+(H$28/100*'Base Rates'!H11*$C$22*$C$24))*(1+$C$7)/$C$13</f>
        <v>50978.243243243247</v>
      </c>
      <c r="I38" s="112">
        <f>(((I$28/100*'Base Rates'!I11*$C$22)+$C$23)*(1+$C$5)*(1+$C$6)+(I$28/100*'Base Rates'!I11*$C$22*$C$24))*(1+$C$7)/$C$13</f>
        <v>90538.243243243254</v>
      </c>
    </row>
    <row r="39" spans="2:10" x14ac:dyDescent="0.25">
      <c r="B39" s="114" t="s">
        <v>733</v>
      </c>
      <c r="C39" s="116">
        <f>(((C$28/100*'Base Rates'!C12*$C$22)+$C$23)*(1+$C$5)*(1+$C$6)+(C$28/100*'Base Rates'!C12*$C$22*$C$24))*(1+$C$7)/$C$13</f>
        <v>4068.1099099099101</v>
      </c>
      <c r="D39" s="116">
        <f>(((D$28/100*'Base Rates'!D12*$C$22)+$C$23)*(1+$C$5)*(1+$C$6)+(D$28/100*'Base Rates'!D12*$C$22*$C$24))*(1+$C$7)/$C$13</f>
        <v>6430.2432432432433</v>
      </c>
      <c r="E39" s="116">
        <f>(((E$28/100*'Base Rates'!E12*$C$22)+$C$23)*(1+$C$5)*(1+$C$6)+(E$28/100*'Base Rates'!E12*$C$22*$C$24))*(1+$C$7)/$C$13</f>
        <v>10558.243243243243</v>
      </c>
      <c r="F39" s="116">
        <f>(((F$28/100*'Base Rates'!F12*$C$22)+$C$23)*(1+$C$5)*(1+$C$6)+(F$28/100*'Base Rates'!F12*$C$22*$C$24))*(1+$C$7)/$C$13</f>
        <v>17610.243243243247</v>
      </c>
      <c r="G39" s="116">
        <f>(((G$28/100*'Base Rates'!G12*$C$22)+$C$23)*(1+$C$5)*(1+$C$6)+(G$28/100*'Base Rates'!G12*$C$22*$C$24))*(1+$C$7)/$C$13</f>
        <v>34810.24324324324</v>
      </c>
      <c r="H39" s="116">
        <f>(((H$28/100*'Base Rates'!H12*$C$22)+$C$23)*(1+$C$5)*(1+$C$6)+(H$28/100*'Base Rates'!H12*$C$22*$C$24))*(1+$C$7)/$C$13</f>
        <v>63018.243243243247</v>
      </c>
      <c r="I39" s="116">
        <f>(((I$28/100*'Base Rates'!I12*$C$22)+$C$23)*(1+$C$5)*(1+$C$6)+(I$28/100*'Base Rates'!I12*$C$22*$C$24))*(1+$C$7)/$C$13</f>
        <v>111178.24324324325</v>
      </c>
    </row>
    <row r="40" spans="2:10" x14ac:dyDescent="0.25">
      <c r="B40" s="27" t="s">
        <v>735</v>
      </c>
      <c r="C40" s="112">
        <f>(((C$28/100*'Base Rates'!C13*$C$22)+$C$23)*(1+$C$5)*(1+$C$6)+(C$28/100*'Base Rates'!C13*$C$22*$C$24))*(1+$C$7)/$C$13</f>
        <v>4549.7099099099105</v>
      </c>
      <c r="D40" s="112">
        <f>(((D$28/100*'Base Rates'!D13*$C$22)+$C$23)*(1+$C$5)*(1+$C$6)+(D$28/100*'Base Rates'!D13*$C$22*$C$24))*(1+$C$7)/$C$13</f>
        <v>7290.2432432432443</v>
      </c>
      <c r="E40" s="112">
        <f>(((E$28/100*'Base Rates'!E13*$C$22)+$C$23)*(1+$C$5)*(1+$C$6)+(E$28/100*'Base Rates'!E13*$C$22*$C$24))*(1+$C$7)/$C$13</f>
        <v>11934.243243243245</v>
      </c>
      <c r="F40" s="112">
        <f>(((F$28/100*'Base Rates'!F13*$C$22)+$C$23)*(1+$C$5)*(1+$C$6)+(F$28/100*'Base Rates'!F13*$C$22*$C$24))*(1+$C$7)/$C$13</f>
        <v>20018.243243243247</v>
      </c>
      <c r="G40" s="112">
        <f>(((G$28/100*'Base Rates'!G13*$C$22)+$C$23)*(1+$C$5)*(1+$C$6)+(G$28/100*'Base Rates'!G13*$C$22*$C$24))*(1+$C$7)/$C$13</f>
        <v>38823.576576576583</v>
      </c>
      <c r="H40" s="112">
        <f>(((H$28/100*'Base Rates'!H13*$C$22)+$C$23)*(1+$C$5)*(1+$C$6)+(H$28/100*'Base Rates'!H13*$C$22*$C$24))*(1+$C$7)/$C$13</f>
        <v>71618.243243243254</v>
      </c>
      <c r="I40" s="112">
        <f>(((I$28/100*'Base Rates'!I13*$C$22)+$C$23)*(1+$C$5)*(1+$C$6)+(I$28/100*'Base Rates'!I13*$C$22*$C$24))*(1+$C$7)/$C$13</f>
        <v>121498.24324324327</v>
      </c>
    </row>
    <row r="41" spans="2:10" x14ac:dyDescent="0.25">
      <c r="B41" s="114" t="s">
        <v>737</v>
      </c>
      <c r="C41" s="116">
        <f>(((C$28/100*'Base Rates'!C14*$C$22)+$C$23)*(1+$C$5)*(1+$C$6)+(C$28/100*'Base Rates'!C14*$C$22*$C$24))*(1+$C$7)/$C$13</f>
        <v>5111.5765765765764</v>
      </c>
      <c r="D41" s="116">
        <f>(((D$28/100*'Base Rates'!D14*$C$22)+$C$23)*(1+$C$5)*(1+$C$6)+(D$28/100*'Base Rates'!D14*$C$22*$C$24))*(1+$C$7)/$C$13</f>
        <v>8408.2432432432452</v>
      </c>
      <c r="E41" s="116">
        <f>(((E$28/100*'Base Rates'!E14*$C$22)+$C$23)*(1+$C$5)*(1+$C$6)+(E$28/100*'Base Rates'!E14*$C$22*$C$24))*(1+$C$7)/$C$13</f>
        <v>13998.243243243243</v>
      </c>
      <c r="F41" s="116">
        <f>(((F$28/100*'Base Rates'!F14*$C$22)+$C$23)*(1+$C$5)*(1+$C$6)+(F$28/100*'Base Rates'!F14*$C$22*$C$24))*(1+$C$7)/$C$13</f>
        <v>23458.243243243243</v>
      </c>
      <c r="G41" s="116">
        <f>(((G$28/100*'Base Rates'!G14*$C$22)+$C$23)*(1+$C$5)*(1+$C$6)+(G$28/100*'Base Rates'!G14*$C$22*$C$24))*(1+$C$7)/$C$13</f>
        <v>46047.57657657659</v>
      </c>
      <c r="H41" s="116">
        <f>(((H$28/100*'Base Rates'!H14*$C$22)+$C$23)*(1+$C$5)*(1+$C$6)+(H$28/100*'Base Rates'!H14*$C$22*$C$24))*(1+$C$7)/$C$13</f>
        <v>83658.243243243254</v>
      </c>
      <c r="I41" s="116">
        <f>(((I$28/100*'Base Rates'!I14*$C$22)+$C$23)*(1+$C$5)*(1+$C$6)+(I$28/100*'Base Rates'!I14*$C$22*$C$24))*(1+$C$7)/$C$13</f>
        <v>145578.24324324325</v>
      </c>
    </row>
    <row r="42" spans="2:10" x14ac:dyDescent="0.25">
      <c r="B42" s="27" t="s">
        <v>568</v>
      </c>
      <c r="C42" s="112">
        <f>(((C$28/100*'Base Rates'!C15*$C$22)+$C$23)*(1+$C$5)*(1+$C$6)+(C$28/100*'Base Rates'!C15*$C$22*$C$24))*(1+$C$7)/$C$13</f>
        <v>5312.2432432432433</v>
      </c>
      <c r="D42" s="112">
        <f>(((D$28/100*'Base Rates'!D15*$C$22)+$C$23)*(1+$C$5)*(1+$C$6)+(D$28/100*'Base Rates'!D15*$C$22*$C$24))*(1+$C$7)/$C$13</f>
        <v>8666.2432432432433</v>
      </c>
      <c r="E42" s="112">
        <f>(((E$28/100*'Base Rates'!E15*$C$22)+$C$23)*(1+$C$5)*(1+$C$6)+(E$28/100*'Base Rates'!E15*$C$22*$C$24))*(1+$C$7)/$C$13</f>
        <v>14514.243243243245</v>
      </c>
      <c r="F42" s="112">
        <f>(((F$28/100*'Base Rates'!F15*$C$22)+$C$23)*(1+$C$5)*(1+$C$6)+(F$28/100*'Base Rates'!F15*$C$22*$C$24))*(1+$C$7)/$C$13</f>
        <v>24490.243243243247</v>
      </c>
      <c r="G42" s="112">
        <f>(((G$28/100*'Base Rates'!G15*$C$22)+$C$23)*(1+$C$5)*(1+$C$6)+(G$28/100*'Base Rates'!G15*$C$22*$C$24))*(1+$C$7)/$C$13</f>
        <v>47652.909909909911</v>
      </c>
      <c r="H42" s="112">
        <f>(((H$28/100*'Base Rates'!H15*$C$22)+$C$23)*(1+$C$5)*(1+$C$6)+(H$28/100*'Base Rates'!H15*$C$22*$C$24))*(1+$C$7)/$C$13</f>
        <v>87098.243243243254</v>
      </c>
      <c r="I42" s="112">
        <f>(((I$28/100*'Base Rates'!I15*$C$22)+$C$23)*(1+$C$5)*(1+$C$6)+(I$28/100*'Base Rates'!I15*$C$22*$C$24))*(1+$C$7)/$C$13</f>
        <v>149018.24324324325</v>
      </c>
    </row>
    <row r="43" spans="2:10" x14ac:dyDescent="0.25">
      <c r="B43" s="114" t="s">
        <v>740</v>
      </c>
      <c r="C43" s="116">
        <f>(((C$28/100*'Base Rates'!C16*$C$22)+$C$23)*(1+$C$5)*(1+$C$6)+(C$28/100*'Base Rates'!C16*$C$22*$C$24))*(1+$C$7)/$C$13</f>
        <v>7439.3099099099109</v>
      </c>
      <c r="D43" s="116">
        <f>(((D$28/100*'Base Rates'!D16*$C$22)+$C$23)*(1+$C$5)*(1+$C$6)+(D$28/100*'Base Rates'!D16*$C$22*$C$24))*(1+$C$7)/$C$13</f>
        <v>12278.243243243243</v>
      </c>
      <c r="E43" s="116">
        <f>(((E$28/100*'Base Rates'!E16*$C$22)+$C$23)*(1+$C$5)*(1+$C$6)+(E$28/100*'Base Rates'!E16*$C$22*$C$24))*(1+$C$7)/$C$13</f>
        <v>20018.243243243247</v>
      </c>
      <c r="F43" s="116">
        <f>(((F$28/100*'Base Rates'!F16*$C$22)+$C$23)*(1+$C$5)*(1+$C$6)+(F$28/100*'Base Rates'!F16*$C$22*$C$24))*(1+$C$7)/$C$13</f>
        <v>33778.243243243254</v>
      </c>
      <c r="G43" s="116">
        <f>(((G$28/100*'Base Rates'!G16*$C$22)+$C$23)*(1+$C$5)*(1+$C$6)+(G$28/100*'Base Rates'!G16*$C$22*$C$24))*(1+$C$7)/$C$13</f>
        <v>65311.576576576575</v>
      </c>
      <c r="H43" s="116">
        <f>(((H$28/100*'Base Rates'!H16*$C$22)+$C$23)*(1+$C$5)*(1+$C$6)+(H$28/100*'Base Rates'!H16*$C$22*$C$24))*(1+$C$7)/$C$13</f>
        <v>114618.24324324325</v>
      </c>
      <c r="I43" s="116">
        <f>(((I$28/100*'Base Rates'!I16*$C$22)+$C$23)*(1+$C$5)*(1+$C$6)+(I$28/100*'Base Rates'!I16*$C$22*$C$24))*(1+$C$7)/$C$13</f>
        <v>190298.24324324325</v>
      </c>
    </row>
    <row r="46" spans="2:10" ht="18" customHeight="1" x14ac:dyDescent="0.25">
      <c r="B46" s="12" t="s">
        <v>2732</v>
      </c>
      <c r="C46" s="12"/>
      <c r="D46" s="12"/>
      <c r="E46" s="12"/>
      <c r="F46" s="12"/>
      <c r="G46" s="12"/>
      <c r="H46" s="12"/>
      <c r="I46" s="12"/>
      <c r="J46" s="12"/>
    </row>
    <row r="47" spans="2:10" ht="30" customHeight="1" x14ac:dyDescent="0.25">
      <c r="B47" s="22" t="s">
        <v>714</v>
      </c>
      <c r="C47" s="22" t="s">
        <v>715</v>
      </c>
      <c r="D47" s="22" t="s">
        <v>716</v>
      </c>
      <c r="E47" s="22" t="s">
        <v>717</v>
      </c>
      <c r="F47" s="22" t="s">
        <v>718</v>
      </c>
      <c r="G47" s="22" t="s">
        <v>719</v>
      </c>
      <c r="H47" s="22" t="s">
        <v>720</v>
      </c>
      <c r="I47" s="22" t="s">
        <v>721</v>
      </c>
    </row>
    <row r="48" spans="2:10" x14ac:dyDescent="0.25">
      <c r="B48" s="27" t="s">
        <v>723</v>
      </c>
      <c r="C48" s="113">
        <f t="shared" ref="C48:I59" si="0">C32/C$28*100</f>
        <v>2.737434234234235</v>
      </c>
      <c r="D48" s="113">
        <f t="shared" si="0"/>
        <v>2.0128648648648655</v>
      </c>
      <c r="E48" s="113">
        <f t="shared" si="0"/>
        <v>1.6370990990990992</v>
      </c>
      <c r="F48" s="113">
        <f t="shared" si="0"/>
        <v>1.3345495495495499</v>
      </c>
      <c r="G48" s="113">
        <f t="shared" si="0"/>
        <v>1.1321783783783785</v>
      </c>
      <c r="H48" s="113">
        <f t="shared" si="0"/>
        <v>0.97784324324324334</v>
      </c>
      <c r="I48" s="113">
        <f t="shared" si="0"/>
        <v>0.87878828828828837</v>
      </c>
    </row>
    <row r="49" spans="2:10" x14ac:dyDescent="0.25">
      <c r="B49" s="114" t="s">
        <v>557</v>
      </c>
      <c r="C49" s="117">
        <f t="shared" si="0"/>
        <v>3.3337009009009018</v>
      </c>
      <c r="D49" s="117">
        <f t="shared" si="0"/>
        <v>2.4715315315315323</v>
      </c>
      <c r="E49" s="117">
        <f t="shared" si="0"/>
        <v>2.026965765765766</v>
      </c>
      <c r="F49" s="117">
        <f t="shared" si="0"/>
        <v>1.6785495495495497</v>
      </c>
      <c r="G49" s="117">
        <f t="shared" si="0"/>
        <v>1.3615117117117117</v>
      </c>
      <c r="H49" s="117">
        <f t="shared" si="0"/>
        <v>1.16130990990991</v>
      </c>
      <c r="I49" s="117">
        <f t="shared" si="0"/>
        <v>0.97052162162162181</v>
      </c>
    </row>
    <row r="50" spans="2:10" x14ac:dyDescent="0.25">
      <c r="B50" s="27" t="s">
        <v>166</v>
      </c>
      <c r="C50" s="113">
        <f t="shared" si="0"/>
        <v>3.884100900900902</v>
      </c>
      <c r="D50" s="113">
        <f t="shared" si="0"/>
        <v>2.9301981981981982</v>
      </c>
      <c r="E50" s="113">
        <f t="shared" si="0"/>
        <v>2.3250990990990998</v>
      </c>
      <c r="F50" s="113">
        <f t="shared" si="0"/>
        <v>1.9078828828828831</v>
      </c>
      <c r="G50" s="113">
        <f t="shared" si="0"/>
        <v>1.5220450450450453</v>
      </c>
      <c r="H50" s="113">
        <f t="shared" si="0"/>
        <v>1.2759765765765767</v>
      </c>
      <c r="I50" s="113">
        <f t="shared" si="0"/>
        <v>1.0393216216216217</v>
      </c>
    </row>
    <row r="51" spans="2:10" x14ac:dyDescent="0.25">
      <c r="B51" s="114" t="s">
        <v>503</v>
      </c>
      <c r="C51" s="117">
        <f t="shared" si="0"/>
        <v>4.6409009009009008</v>
      </c>
      <c r="D51" s="117">
        <f t="shared" si="0"/>
        <v>3.6181981981981983</v>
      </c>
      <c r="E51" s="117">
        <f t="shared" si="0"/>
        <v>2.8984324324324331</v>
      </c>
      <c r="F51" s="117">
        <f t="shared" si="0"/>
        <v>2.3665495495495494</v>
      </c>
      <c r="G51" s="117">
        <f t="shared" si="0"/>
        <v>1.9119117117117124</v>
      </c>
      <c r="H51" s="117">
        <f t="shared" si="0"/>
        <v>1.5741099099099105</v>
      </c>
      <c r="I51" s="117">
        <f t="shared" si="0"/>
        <v>1.2686549549549551</v>
      </c>
    </row>
    <row r="52" spans="2:10" x14ac:dyDescent="0.25">
      <c r="B52" s="27" t="s">
        <v>728</v>
      </c>
      <c r="C52" s="113">
        <f t="shared" si="0"/>
        <v>4.4115675675675687</v>
      </c>
      <c r="D52" s="113">
        <f t="shared" si="0"/>
        <v>3.3888648648648658</v>
      </c>
      <c r="E52" s="113">
        <f t="shared" si="0"/>
        <v>2.6690990990990997</v>
      </c>
      <c r="F52" s="113">
        <f t="shared" si="0"/>
        <v>2.1830828828828834</v>
      </c>
      <c r="G52" s="113">
        <f t="shared" si="0"/>
        <v>1.8201783783783787</v>
      </c>
      <c r="H52" s="113">
        <f t="shared" si="0"/>
        <v>1.4823765765765768</v>
      </c>
      <c r="I52" s="113">
        <f t="shared" si="0"/>
        <v>1.1998549549549551</v>
      </c>
    </row>
    <row r="53" spans="2:10" x14ac:dyDescent="0.25">
      <c r="B53" s="114" t="s">
        <v>730</v>
      </c>
      <c r="C53" s="117">
        <f t="shared" si="0"/>
        <v>1.7742342342342343</v>
      </c>
      <c r="D53" s="117">
        <f t="shared" si="0"/>
        <v>1.2560648648648649</v>
      </c>
      <c r="E53" s="117">
        <f t="shared" si="0"/>
        <v>1.0178990990990993</v>
      </c>
      <c r="F53" s="117">
        <f t="shared" si="0"/>
        <v>0.85294954954954971</v>
      </c>
      <c r="G53" s="117">
        <f t="shared" si="0"/>
        <v>0.71937837837837837</v>
      </c>
      <c r="H53" s="117">
        <f t="shared" si="0"/>
        <v>0.63384324324324337</v>
      </c>
      <c r="I53" s="117">
        <f t="shared" si="0"/>
        <v>0.55772162162162175</v>
      </c>
    </row>
    <row r="54" spans="2:10" x14ac:dyDescent="0.25">
      <c r="B54" s="27" t="s">
        <v>525</v>
      </c>
      <c r="C54" s="113">
        <f t="shared" si="0"/>
        <v>1.9347675675675677</v>
      </c>
      <c r="D54" s="113">
        <f t="shared" si="0"/>
        <v>1.3936648648648651</v>
      </c>
      <c r="E54" s="113">
        <f t="shared" si="0"/>
        <v>1.132565765765766</v>
      </c>
      <c r="F54" s="113">
        <f t="shared" si="0"/>
        <v>0.94468288288288293</v>
      </c>
      <c r="G54" s="113">
        <f t="shared" si="0"/>
        <v>0.78817837837837845</v>
      </c>
      <c r="H54" s="113">
        <f t="shared" si="0"/>
        <v>0.67970990990990998</v>
      </c>
      <c r="I54" s="113">
        <f t="shared" si="0"/>
        <v>0.60358828828828837</v>
      </c>
    </row>
    <row r="55" spans="2:10" x14ac:dyDescent="0.25">
      <c r="B55" s="114" t="s">
        <v>733</v>
      </c>
      <c r="C55" s="117">
        <f t="shared" si="0"/>
        <v>2.3246342342342343</v>
      </c>
      <c r="D55" s="117">
        <f t="shared" si="0"/>
        <v>1.7147315315315315</v>
      </c>
      <c r="E55" s="117">
        <f t="shared" si="0"/>
        <v>1.4077657657657658</v>
      </c>
      <c r="F55" s="117">
        <f t="shared" si="0"/>
        <v>1.1740162162162164</v>
      </c>
      <c r="G55" s="117">
        <f t="shared" si="0"/>
        <v>0.99457837837837826</v>
      </c>
      <c r="H55" s="117">
        <f t="shared" si="0"/>
        <v>0.84024324324324329</v>
      </c>
      <c r="I55" s="117">
        <f t="shared" si="0"/>
        <v>0.74118828828828842</v>
      </c>
    </row>
    <row r="56" spans="2:10" x14ac:dyDescent="0.25">
      <c r="B56" s="27" t="s">
        <v>735</v>
      </c>
      <c r="C56" s="113">
        <f t="shared" si="0"/>
        <v>2.5998342342342347</v>
      </c>
      <c r="D56" s="113">
        <f t="shared" si="0"/>
        <v>1.9440648648648651</v>
      </c>
      <c r="E56" s="113">
        <f t="shared" si="0"/>
        <v>1.5912324324324327</v>
      </c>
      <c r="F56" s="113">
        <f t="shared" si="0"/>
        <v>1.3345495495495499</v>
      </c>
      <c r="G56" s="113">
        <f t="shared" si="0"/>
        <v>1.1092450450450451</v>
      </c>
      <c r="H56" s="113">
        <f t="shared" si="0"/>
        <v>0.95490990990991009</v>
      </c>
      <c r="I56" s="113">
        <f t="shared" si="0"/>
        <v>0.80998828828828839</v>
      </c>
    </row>
    <row r="57" spans="2:10" x14ac:dyDescent="0.25">
      <c r="B57" s="114" t="s">
        <v>737</v>
      </c>
      <c r="C57" s="117">
        <f t="shared" si="0"/>
        <v>2.9209009009009006</v>
      </c>
      <c r="D57" s="117">
        <f t="shared" si="0"/>
        <v>2.2421981981981984</v>
      </c>
      <c r="E57" s="117">
        <f t="shared" si="0"/>
        <v>1.8664324324324324</v>
      </c>
      <c r="F57" s="117">
        <f t="shared" si="0"/>
        <v>1.5638828828828828</v>
      </c>
      <c r="G57" s="117">
        <f t="shared" si="0"/>
        <v>1.3156450450450454</v>
      </c>
      <c r="H57" s="117">
        <f t="shared" si="0"/>
        <v>1.1154432432432435</v>
      </c>
      <c r="I57" s="117">
        <f t="shared" si="0"/>
        <v>0.97052162162162181</v>
      </c>
    </row>
    <row r="58" spans="2:10" x14ac:dyDescent="0.25">
      <c r="B58" s="27" t="s">
        <v>568</v>
      </c>
      <c r="C58" s="113">
        <f t="shared" si="0"/>
        <v>3.0355675675675675</v>
      </c>
      <c r="D58" s="113">
        <f t="shared" si="0"/>
        <v>2.3109981981981984</v>
      </c>
      <c r="E58" s="113">
        <f t="shared" si="0"/>
        <v>1.9352324324324328</v>
      </c>
      <c r="F58" s="113">
        <f t="shared" si="0"/>
        <v>1.632682882882883</v>
      </c>
      <c r="G58" s="113">
        <f t="shared" si="0"/>
        <v>1.3615117117117117</v>
      </c>
      <c r="H58" s="113">
        <f t="shared" si="0"/>
        <v>1.16130990990991</v>
      </c>
      <c r="I58" s="113">
        <f t="shared" si="0"/>
        <v>0.99345495495495506</v>
      </c>
    </row>
    <row r="59" spans="2:10" x14ac:dyDescent="0.25">
      <c r="B59" s="114" t="s">
        <v>740</v>
      </c>
      <c r="C59" s="117">
        <f t="shared" si="0"/>
        <v>4.2510342342342344</v>
      </c>
      <c r="D59" s="117">
        <f t="shared" si="0"/>
        <v>3.2741981981981985</v>
      </c>
      <c r="E59" s="117">
        <f t="shared" si="0"/>
        <v>2.6690990990990997</v>
      </c>
      <c r="F59" s="117">
        <f t="shared" si="0"/>
        <v>2.2518828828828839</v>
      </c>
      <c r="G59" s="117">
        <f t="shared" si="0"/>
        <v>1.866045045045045</v>
      </c>
      <c r="H59" s="117">
        <f t="shared" si="0"/>
        <v>1.5282432432432433</v>
      </c>
      <c r="I59" s="117">
        <f t="shared" si="0"/>
        <v>1.2686549549549551</v>
      </c>
    </row>
    <row r="62" spans="2:10" x14ac:dyDescent="0.25">
      <c r="B62" s="15" t="s">
        <v>709</v>
      </c>
    </row>
    <row r="63" spans="2:10" ht="15" customHeight="1" x14ac:dyDescent="0.25">
      <c r="B63" s="10" t="s">
        <v>2733</v>
      </c>
      <c r="C63" s="10"/>
      <c r="D63" s="10"/>
      <c r="E63" s="10"/>
      <c r="F63" s="10"/>
      <c r="G63" s="10"/>
      <c r="H63" s="10"/>
      <c r="I63" s="10"/>
      <c r="J63" s="10"/>
    </row>
    <row r="64" spans="2:10" x14ac:dyDescent="0.25">
      <c r="B64" s="10"/>
      <c r="C64" s="10"/>
      <c r="D64" s="10"/>
      <c r="E64" s="10"/>
      <c r="F64" s="10"/>
      <c r="G64" s="10"/>
      <c r="H64" s="10"/>
      <c r="I64" s="10"/>
      <c r="J64" s="10"/>
    </row>
    <row r="65" spans="2:10" x14ac:dyDescent="0.25">
      <c r="B65" s="10"/>
      <c r="C65" s="10"/>
      <c r="D65" s="10"/>
      <c r="E65" s="10"/>
      <c r="F65" s="10"/>
      <c r="G65" s="10"/>
      <c r="H65" s="10"/>
      <c r="I65" s="10"/>
      <c r="J65" s="10"/>
    </row>
  </sheetData>
  <mergeCells count="7">
    <mergeCell ref="B46:J46"/>
    <mergeCell ref="B63:J65"/>
    <mergeCell ref="B1:J1"/>
    <mergeCell ref="B2:J2"/>
    <mergeCell ref="B4:J4"/>
    <mergeCell ref="B21:J21"/>
    <mergeCell ref="B30:J30"/>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53"/>
  <sheetViews>
    <sheetView showGridLines="0" zoomScaleNormal="100" workbookViewId="0"/>
  </sheetViews>
  <sheetFormatPr defaultColWidth="8.7109375" defaultRowHeight="15" x14ac:dyDescent="0.25"/>
  <cols>
    <col min="1" max="1" width="2" customWidth="1"/>
    <col min="2" max="2" width="46" customWidth="1"/>
    <col min="3" max="3" width="18" customWidth="1"/>
    <col min="4" max="4" width="14" customWidth="1"/>
    <col min="5" max="5" width="76" customWidth="1"/>
    <col min="6" max="7" width="14" customWidth="1"/>
  </cols>
  <sheetData>
    <row r="1" spans="2:7" ht="25.5" customHeight="1" x14ac:dyDescent="0.25">
      <c r="B1" s="14" t="s">
        <v>2734</v>
      </c>
      <c r="C1" s="14"/>
      <c r="D1" s="14"/>
      <c r="E1" s="14"/>
      <c r="F1" s="14"/>
      <c r="G1" s="14"/>
    </row>
    <row r="2" spans="2:7" ht="15" customHeight="1" x14ac:dyDescent="0.25">
      <c r="B2" s="13" t="s">
        <v>2735</v>
      </c>
      <c r="C2" s="13"/>
      <c r="D2" s="13"/>
      <c r="E2" s="13"/>
      <c r="F2" s="13"/>
      <c r="G2" s="13"/>
    </row>
    <row r="4" spans="2:7" ht="18" customHeight="1" x14ac:dyDescent="0.25">
      <c r="B4" s="12" t="s">
        <v>2736</v>
      </c>
      <c r="C4" s="12"/>
      <c r="D4" s="12"/>
      <c r="E4" s="12"/>
      <c r="F4" s="12"/>
      <c r="G4" s="12"/>
    </row>
    <row r="5" spans="2:7" x14ac:dyDescent="0.25">
      <c r="B5" s="15" t="s">
        <v>2737</v>
      </c>
      <c r="C5" s="174">
        <v>0.27500000000000002</v>
      </c>
      <c r="E5" s="127" t="s">
        <v>2738</v>
      </c>
    </row>
    <row r="6" spans="2:7" x14ac:dyDescent="0.25">
      <c r="B6" s="125" t="s">
        <v>2739</v>
      </c>
      <c r="C6" s="174">
        <v>0.125</v>
      </c>
      <c r="E6" s="127" t="s">
        <v>2740</v>
      </c>
    </row>
    <row r="7" spans="2:7" x14ac:dyDescent="0.25">
      <c r="B7" s="125" t="s">
        <v>2741</v>
      </c>
      <c r="C7" s="174">
        <v>0.05</v>
      </c>
      <c r="E7" s="127" t="s">
        <v>2742</v>
      </c>
    </row>
    <row r="8" spans="2:7" x14ac:dyDescent="0.25">
      <c r="B8" s="188" t="s">
        <v>345</v>
      </c>
      <c r="C8" s="86">
        <f>C5-C6-C7</f>
        <v>0.10000000000000002</v>
      </c>
      <c r="E8" s="127" t="s">
        <v>2743</v>
      </c>
    </row>
    <row r="9" spans="2:7" x14ac:dyDescent="0.25">
      <c r="B9" s="15" t="s">
        <v>2744</v>
      </c>
      <c r="C9" s="187">
        <f>1-C5</f>
        <v>0.72499999999999998</v>
      </c>
      <c r="E9" s="127" t="s">
        <v>2745</v>
      </c>
    </row>
    <row r="11" spans="2:7" ht="18" customHeight="1" x14ac:dyDescent="0.25">
      <c r="B11" s="12" t="s">
        <v>2746</v>
      </c>
      <c r="C11" s="12"/>
      <c r="D11" s="12"/>
      <c r="E11" s="12"/>
      <c r="F11" s="12"/>
      <c r="G11" s="12"/>
    </row>
    <row r="12" spans="2:7" x14ac:dyDescent="0.25">
      <c r="B12" s="125" t="s">
        <v>2747</v>
      </c>
      <c r="C12" s="174">
        <v>0.15</v>
      </c>
      <c r="E12" s="127" t="s">
        <v>2748</v>
      </c>
    </row>
    <row r="13" spans="2:7" x14ac:dyDescent="0.25">
      <c r="B13" s="125" t="s">
        <v>2749</v>
      </c>
      <c r="C13" s="174">
        <v>0.6</v>
      </c>
      <c r="E13" s="127" t="s">
        <v>2750</v>
      </c>
    </row>
    <row r="14" spans="2:7" x14ac:dyDescent="0.25">
      <c r="B14" s="125" t="s">
        <v>2751</v>
      </c>
      <c r="C14" s="174">
        <v>0.05</v>
      </c>
      <c r="E14" s="127" t="s">
        <v>2752</v>
      </c>
    </row>
    <row r="15" spans="2:7" x14ac:dyDescent="0.25">
      <c r="B15" s="125" t="s">
        <v>2753</v>
      </c>
      <c r="C15" s="191">
        <v>3</v>
      </c>
      <c r="E15" s="127" t="s">
        <v>2754</v>
      </c>
    </row>
    <row r="17" spans="2:7" ht="18" customHeight="1" x14ac:dyDescent="0.25">
      <c r="B17" s="12" t="s">
        <v>2755</v>
      </c>
      <c r="C17" s="12"/>
      <c r="D17" s="12"/>
      <c r="E17" s="12"/>
      <c r="F17" s="12"/>
      <c r="G17" s="12"/>
    </row>
    <row r="18" spans="2:7" x14ac:dyDescent="0.25">
      <c r="B18" s="125" t="s">
        <v>335</v>
      </c>
      <c r="C18" s="31">
        <f>'Technical Premium'!C14</f>
        <v>350</v>
      </c>
      <c r="E18" s="127" t="s">
        <v>2756</v>
      </c>
    </row>
    <row r="19" spans="2:7" x14ac:dyDescent="0.25">
      <c r="B19" s="125" t="s">
        <v>2711</v>
      </c>
      <c r="C19" s="31">
        <f>'Technical Premium'!C15</f>
        <v>250</v>
      </c>
      <c r="E19" s="127" t="s">
        <v>2757</v>
      </c>
    </row>
    <row r="20" spans="2:7" x14ac:dyDescent="0.25">
      <c r="B20" s="125" t="s">
        <v>949</v>
      </c>
      <c r="C20" s="192" t="s">
        <v>2758</v>
      </c>
      <c r="E20" s="127" t="s">
        <v>2759</v>
      </c>
    </row>
    <row r="21" spans="2:7" x14ac:dyDescent="0.25">
      <c r="B21" s="125" t="s">
        <v>2760</v>
      </c>
      <c r="C21" s="193">
        <v>1.8E-3</v>
      </c>
      <c r="E21" s="127" t="s">
        <v>2761</v>
      </c>
    </row>
    <row r="23" spans="2:7" ht="18" customHeight="1" x14ac:dyDescent="0.25">
      <c r="B23" s="12" t="s">
        <v>2762</v>
      </c>
      <c r="C23" s="12"/>
      <c r="D23" s="12"/>
      <c r="E23" s="12"/>
      <c r="F23" s="12"/>
      <c r="G23" s="12"/>
    </row>
    <row r="24" spans="2:7" x14ac:dyDescent="0.25">
      <c r="B24" s="125" t="s">
        <v>2763</v>
      </c>
      <c r="C24" s="176">
        <v>10000000</v>
      </c>
    </row>
    <row r="25" spans="2:7" x14ac:dyDescent="0.25">
      <c r="B25" s="125" t="s">
        <v>2764</v>
      </c>
      <c r="C25" s="176">
        <v>9500</v>
      </c>
    </row>
    <row r="26" spans="2:7" x14ac:dyDescent="0.25">
      <c r="B26" s="125" t="s">
        <v>2765</v>
      </c>
      <c r="C26" s="107">
        <f>C24/C25</f>
        <v>1052.6315789473683</v>
      </c>
    </row>
    <row r="27" spans="2:7" x14ac:dyDescent="0.25">
      <c r="B27" s="125" t="s">
        <v>2766</v>
      </c>
      <c r="C27" s="174">
        <v>0.55000000000000004</v>
      </c>
    </row>
    <row r="29" spans="2:7" ht="30" customHeight="1" x14ac:dyDescent="0.25">
      <c r="B29" s="22" t="s">
        <v>2767</v>
      </c>
      <c r="C29" s="22" t="s">
        <v>363</v>
      </c>
      <c r="D29" s="22" t="s">
        <v>613</v>
      </c>
      <c r="E29" s="22" t="s">
        <v>2254</v>
      </c>
    </row>
    <row r="30" spans="2:7" x14ac:dyDescent="0.25">
      <c r="B30" s="36" t="s">
        <v>2768</v>
      </c>
      <c r="C30" s="194">
        <f>C24</f>
        <v>10000000</v>
      </c>
      <c r="D30" s="175">
        <f t="shared" ref="D30:D45" si="0">C30/$C$24</f>
        <v>1</v>
      </c>
      <c r="E30" s="127" t="s">
        <v>2769</v>
      </c>
    </row>
    <row r="31" spans="2:7" x14ac:dyDescent="0.25">
      <c r="B31" s="36" t="s">
        <v>2770</v>
      </c>
      <c r="C31" s="194">
        <f>C24*C5</f>
        <v>2750000</v>
      </c>
      <c r="D31" s="175">
        <f t="shared" si="0"/>
        <v>0.27500000000000002</v>
      </c>
      <c r="E31" s="127" t="s">
        <v>2771</v>
      </c>
    </row>
    <row r="32" spans="2:7" x14ac:dyDescent="0.25">
      <c r="B32" s="36" t="s">
        <v>2772</v>
      </c>
      <c r="C32" s="194">
        <f>-C24*C6</f>
        <v>-1250000</v>
      </c>
      <c r="D32" s="175">
        <f t="shared" si="0"/>
        <v>-0.125</v>
      </c>
      <c r="E32" s="127" t="s">
        <v>2773</v>
      </c>
    </row>
    <row r="33" spans="2:5" x14ac:dyDescent="0.25">
      <c r="B33" s="36" t="s">
        <v>2774</v>
      </c>
      <c r="C33" s="194">
        <f>-C24*C7</f>
        <v>-500000</v>
      </c>
      <c r="D33" s="175">
        <f t="shared" si="0"/>
        <v>-0.05</v>
      </c>
      <c r="E33" s="127" t="s">
        <v>2775</v>
      </c>
    </row>
    <row r="34" spans="2:5" x14ac:dyDescent="0.25">
      <c r="B34" s="32" t="s">
        <v>2776</v>
      </c>
      <c r="C34" s="195">
        <f>C31+C32+C33</f>
        <v>1000000</v>
      </c>
      <c r="D34" s="86">
        <f t="shared" si="0"/>
        <v>0.1</v>
      </c>
      <c r="E34" s="127" t="s">
        <v>2777</v>
      </c>
    </row>
    <row r="35" spans="2:5" x14ac:dyDescent="0.25">
      <c r="B35" s="36" t="s">
        <v>2778</v>
      </c>
      <c r="C35" s="194">
        <f>C26*(C18+C19*0.25)</f>
        <v>434210.52631578944</v>
      </c>
      <c r="D35" s="175">
        <f t="shared" si="0"/>
        <v>4.3421052631578944E-2</v>
      </c>
      <c r="E35" s="127" t="s">
        <v>2779</v>
      </c>
    </row>
    <row r="36" spans="2:5" x14ac:dyDescent="0.25">
      <c r="B36" s="36" t="s">
        <v>2780</v>
      </c>
      <c r="C36" s="194">
        <f>MAX(0,(1-C27-C14)*C12*C24*(1-C5))</f>
        <v>434999.99999999988</v>
      </c>
      <c r="D36" s="175">
        <f t="shared" si="0"/>
        <v>4.349999999999999E-2</v>
      </c>
      <c r="E36" s="127" t="s">
        <v>2781</v>
      </c>
    </row>
    <row r="37" spans="2:5" x14ac:dyDescent="0.25">
      <c r="B37" s="32" t="s">
        <v>2782</v>
      </c>
      <c r="C37" s="195">
        <f>C34+C35+C36</f>
        <v>1869210.5263157892</v>
      </c>
      <c r="D37" s="86">
        <f t="shared" si="0"/>
        <v>0.18692105263157893</v>
      </c>
      <c r="E37" s="127"/>
    </row>
    <row r="38" spans="2:5" x14ac:dyDescent="0.25">
      <c r="B38" s="36" t="s">
        <v>2783</v>
      </c>
      <c r="C38" s="194">
        <f>-C24*0.045</f>
        <v>-450000</v>
      </c>
      <c r="D38" s="175">
        <f t="shared" si="0"/>
        <v>-4.4999999999999998E-2</v>
      </c>
      <c r="E38" s="127" t="s">
        <v>2784</v>
      </c>
    </row>
    <row r="39" spans="2:5" x14ac:dyDescent="0.25">
      <c r="B39" s="36" t="s">
        <v>2785</v>
      </c>
      <c r="C39" s="194">
        <f>-C24*0.012</f>
        <v>-120000</v>
      </c>
      <c r="D39" s="175">
        <f t="shared" si="0"/>
        <v>-1.2E-2</v>
      </c>
      <c r="E39" s="127" t="s">
        <v>2786</v>
      </c>
    </row>
    <row r="40" spans="2:5" x14ac:dyDescent="0.25">
      <c r="B40" s="36" t="s">
        <v>2787</v>
      </c>
      <c r="C40" s="194">
        <f>-C24*0.01</f>
        <v>-100000</v>
      </c>
      <c r="D40" s="175">
        <f t="shared" si="0"/>
        <v>-0.01</v>
      </c>
      <c r="E40" s="127" t="s">
        <v>2788</v>
      </c>
    </row>
    <row r="41" spans="2:5" x14ac:dyDescent="0.25">
      <c r="B41" s="36" t="s">
        <v>2789</v>
      </c>
      <c r="C41" s="194">
        <f>-C24*0.004</f>
        <v>-40000</v>
      </c>
      <c r="D41" s="175">
        <f t="shared" si="0"/>
        <v>-4.0000000000000001E-3</v>
      </c>
      <c r="E41" s="127" t="s">
        <v>2790</v>
      </c>
    </row>
    <row r="42" spans="2:5" x14ac:dyDescent="0.25">
      <c r="B42" s="36" t="s">
        <v>2791</v>
      </c>
      <c r="C42" s="194">
        <f>-C24*0.006</f>
        <v>-60000</v>
      </c>
      <c r="D42" s="175">
        <f t="shared" si="0"/>
        <v>-6.0000000000000001E-3</v>
      </c>
      <c r="E42" s="127" t="s">
        <v>2792</v>
      </c>
    </row>
    <row r="43" spans="2:5" x14ac:dyDescent="0.25">
      <c r="B43" s="36" t="s">
        <v>2793</v>
      </c>
      <c r="C43" s="194">
        <f>-C24*0.012</f>
        <v>-120000</v>
      </c>
      <c r="D43" s="175">
        <f t="shared" si="0"/>
        <v>-1.2E-2</v>
      </c>
      <c r="E43" s="127"/>
    </row>
    <row r="44" spans="2:5" x14ac:dyDescent="0.25">
      <c r="B44" s="32" t="s">
        <v>2794</v>
      </c>
      <c r="C44" s="195">
        <f>SUM(C38:C43)</f>
        <v>-890000</v>
      </c>
      <c r="D44" s="86">
        <f t="shared" si="0"/>
        <v>-8.8999999999999996E-2</v>
      </c>
      <c r="E44" s="127"/>
    </row>
    <row r="45" spans="2:5" x14ac:dyDescent="0.25">
      <c r="B45" s="32" t="s">
        <v>2795</v>
      </c>
      <c r="C45" s="195">
        <f>C37+C44</f>
        <v>979210.5263157892</v>
      </c>
      <c r="D45" s="86">
        <f t="shared" si="0"/>
        <v>9.7921052631578923E-2</v>
      </c>
      <c r="E45" s="127"/>
    </row>
    <row r="46" spans="2:5" x14ac:dyDescent="0.25">
      <c r="B46" s="15" t="s">
        <v>2796</v>
      </c>
      <c r="C46" s="196">
        <f>IF(C37=0,0,C45/C37)</f>
        <v>0.52386315641278325</v>
      </c>
    </row>
    <row r="49" spans="2:7" x14ac:dyDescent="0.25">
      <c r="B49" s="15" t="s">
        <v>709</v>
      </c>
    </row>
    <row r="50" spans="2:7" ht="15" customHeight="1" x14ac:dyDescent="0.25">
      <c r="B50" s="10" t="s">
        <v>2797</v>
      </c>
      <c r="C50" s="10"/>
      <c r="D50" s="10"/>
      <c r="E50" s="10"/>
      <c r="F50" s="10"/>
      <c r="G50" s="10"/>
    </row>
    <row r="51" spans="2:7" x14ac:dyDescent="0.25">
      <c r="B51" s="10"/>
      <c r="C51" s="10"/>
      <c r="D51" s="10"/>
      <c r="E51" s="10"/>
      <c r="F51" s="10"/>
      <c r="G51" s="10"/>
    </row>
    <row r="52" spans="2:7" x14ac:dyDescent="0.25">
      <c r="B52" s="10"/>
      <c r="C52" s="10"/>
      <c r="D52" s="10"/>
      <c r="E52" s="10"/>
      <c r="F52" s="10"/>
      <c r="G52" s="10"/>
    </row>
    <row r="53" spans="2:7" x14ac:dyDescent="0.25">
      <c r="B53" s="10"/>
      <c r="C53" s="10"/>
      <c r="D53" s="10"/>
      <c r="E53" s="10"/>
      <c r="F53" s="10"/>
      <c r="G53" s="10"/>
    </row>
  </sheetData>
  <mergeCells count="7">
    <mergeCell ref="B23:G23"/>
    <mergeCell ref="B50:G53"/>
    <mergeCell ref="B1:G1"/>
    <mergeCell ref="B2:G2"/>
    <mergeCell ref="B4:G4"/>
    <mergeCell ref="B11:G11"/>
    <mergeCell ref="B17:G17"/>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N45"/>
  <sheetViews>
    <sheetView showGridLines="0" zoomScaleNormal="100" workbookViewId="0"/>
  </sheetViews>
  <sheetFormatPr defaultColWidth="8.7109375" defaultRowHeight="15" x14ac:dyDescent="0.25"/>
  <cols>
    <col min="1" max="1" width="2" customWidth="1"/>
    <col min="2" max="2" width="12" customWidth="1"/>
    <col min="3" max="3" width="30" customWidth="1"/>
    <col min="4" max="4" width="14" customWidth="1"/>
    <col min="5" max="5" width="40" customWidth="1"/>
    <col min="6" max="7" width="13" customWidth="1"/>
    <col min="8" max="8" width="26" customWidth="1"/>
    <col min="9" max="11" width="13" customWidth="1"/>
    <col min="12" max="12" width="12" customWidth="1"/>
    <col min="13" max="13" width="56" customWidth="1"/>
  </cols>
  <sheetData>
    <row r="1" spans="2:14" ht="25.5" customHeight="1" x14ac:dyDescent="0.25">
      <c r="B1" s="14" t="s">
        <v>2798</v>
      </c>
      <c r="C1" s="14"/>
      <c r="D1" s="14"/>
      <c r="E1" s="14"/>
      <c r="F1" s="14"/>
      <c r="G1" s="14"/>
      <c r="H1" s="14"/>
      <c r="I1" s="14"/>
      <c r="J1" s="14"/>
      <c r="K1" s="14"/>
      <c r="L1" s="14"/>
      <c r="M1" s="14"/>
      <c r="N1" s="14"/>
    </row>
    <row r="2" spans="2:14" ht="15" customHeight="1" x14ac:dyDescent="0.25">
      <c r="B2" s="13" t="s">
        <v>2799</v>
      </c>
      <c r="C2" s="13"/>
      <c r="D2" s="13"/>
      <c r="E2" s="13"/>
      <c r="F2" s="13"/>
      <c r="G2" s="13"/>
      <c r="H2" s="13"/>
      <c r="I2" s="13"/>
      <c r="J2" s="13"/>
      <c r="K2" s="13"/>
      <c r="L2" s="13"/>
      <c r="M2" s="13"/>
      <c r="N2" s="13"/>
    </row>
    <row r="5" spans="2:14" ht="30" customHeight="1" x14ac:dyDescent="0.25">
      <c r="B5" s="22" t="s">
        <v>2800</v>
      </c>
      <c r="C5" s="22" t="s">
        <v>2801</v>
      </c>
      <c r="D5" s="22" t="s">
        <v>636</v>
      </c>
      <c r="E5" s="22" t="s">
        <v>2802</v>
      </c>
      <c r="F5" s="22" t="s">
        <v>2803</v>
      </c>
      <c r="G5" s="22" t="s">
        <v>2804</v>
      </c>
      <c r="H5" s="22" t="s">
        <v>2805</v>
      </c>
      <c r="I5" s="22" t="s">
        <v>2806</v>
      </c>
      <c r="J5" s="22" t="s">
        <v>2807</v>
      </c>
      <c r="K5" s="22" t="s">
        <v>2808</v>
      </c>
      <c r="L5" s="22" t="s">
        <v>2809</v>
      </c>
      <c r="M5" s="22" t="s">
        <v>493</v>
      </c>
    </row>
    <row r="6" spans="2:14" ht="30" customHeight="1" x14ac:dyDescent="0.25">
      <c r="B6" s="172" t="s">
        <v>2810</v>
      </c>
      <c r="C6" s="27" t="s">
        <v>2811</v>
      </c>
      <c r="D6" s="56" t="s">
        <v>2812</v>
      </c>
      <c r="E6" s="24" t="s">
        <v>2813</v>
      </c>
      <c r="F6" s="197">
        <v>45</v>
      </c>
      <c r="G6" s="165">
        <v>0.3</v>
      </c>
      <c r="H6" s="24" t="s">
        <v>2814</v>
      </c>
      <c r="I6" s="165">
        <v>0.28000000000000003</v>
      </c>
      <c r="J6" s="165">
        <v>0.15</v>
      </c>
      <c r="K6" s="165">
        <v>0.62</v>
      </c>
      <c r="L6" s="133">
        <v>5000</v>
      </c>
      <c r="M6" s="24" t="s">
        <v>2815</v>
      </c>
    </row>
    <row r="7" spans="2:14" ht="30" customHeight="1" x14ac:dyDescent="0.25">
      <c r="B7" s="173" t="s">
        <v>2816</v>
      </c>
      <c r="C7" s="114" t="s">
        <v>2817</v>
      </c>
      <c r="D7" s="63" t="s">
        <v>2812</v>
      </c>
      <c r="E7" s="26" t="s">
        <v>2818</v>
      </c>
      <c r="F7" s="198">
        <v>40</v>
      </c>
      <c r="G7" s="166">
        <v>0.25</v>
      </c>
      <c r="H7" s="26" t="s">
        <v>2814</v>
      </c>
      <c r="I7" s="166">
        <v>0.27500000000000002</v>
      </c>
      <c r="J7" s="166">
        <v>0.15</v>
      </c>
      <c r="K7" s="166">
        <v>0.6</v>
      </c>
      <c r="L7" s="135">
        <v>5000</v>
      </c>
      <c r="M7" s="26" t="s">
        <v>2819</v>
      </c>
    </row>
    <row r="8" spans="2:14" ht="30" customHeight="1" x14ac:dyDescent="0.25">
      <c r="B8" s="172" t="s">
        <v>2820</v>
      </c>
      <c r="C8" s="27" t="s">
        <v>2821</v>
      </c>
      <c r="D8" s="56" t="s">
        <v>2822</v>
      </c>
      <c r="E8" s="24" t="s">
        <v>2823</v>
      </c>
      <c r="F8" s="197">
        <v>35</v>
      </c>
      <c r="G8" s="165">
        <v>0.2</v>
      </c>
      <c r="H8" s="24" t="s">
        <v>2814</v>
      </c>
      <c r="I8" s="165">
        <v>0.27</v>
      </c>
      <c r="J8" s="165">
        <v>0.125</v>
      </c>
      <c r="K8" s="165">
        <v>0.62</v>
      </c>
      <c r="L8" s="133">
        <v>7500</v>
      </c>
      <c r="M8" s="24" t="s">
        <v>2824</v>
      </c>
    </row>
    <row r="9" spans="2:14" ht="30" customHeight="1" x14ac:dyDescent="0.25">
      <c r="B9" s="173" t="s">
        <v>2825</v>
      </c>
      <c r="C9" s="114" t="s">
        <v>2826</v>
      </c>
      <c r="D9" s="63" t="s">
        <v>2827</v>
      </c>
      <c r="E9" s="26" t="s">
        <v>2828</v>
      </c>
      <c r="F9" s="198">
        <v>30</v>
      </c>
      <c r="G9" s="166">
        <v>0.15</v>
      </c>
      <c r="H9" s="26" t="s">
        <v>2814</v>
      </c>
      <c r="I9" s="166">
        <v>0.27500000000000002</v>
      </c>
      <c r="J9" s="166">
        <v>0.125</v>
      </c>
      <c r="K9" s="166">
        <v>0.62</v>
      </c>
      <c r="L9" s="135">
        <v>5000</v>
      </c>
      <c r="M9" s="26" t="s">
        <v>2829</v>
      </c>
    </row>
    <row r="10" spans="2:14" ht="30" customHeight="1" x14ac:dyDescent="0.25">
      <c r="B10" s="172" t="s">
        <v>2830</v>
      </c>
      <c r="C10" s="27" t="s">
        <v>2831</v>
      </c>
      <c r="D10" s="56" t="s">
        <v>2827</v>
      </c>
      <c r="E10" s="24" t="s">
        <v>2832</v>
      </c>
      <c r="F10" s="197">
        <v>30</v>
      </c>
      <c r="G10" s="165">
        <v>0.125</v>
      </c>
      <c r="H10" s="24" t="s">
        <v>2814</v>
      </c>
      <c r="I10" s="165">
        <v>0.27</v>
      </c>
      <c r="J10" s="165">
        <v>0.125</v>
      </c>
      <c r="K10" s="165">
        <v>0.6</v>
      </c>
      <c r="L10" s="133">
        <v>7500</v>
      </c>
      <c r="M10" s="24" t="s">
        <v>2833</v>
      </c>
    </row>
    <row r="11" spans="2:14" ht="30" customHeight="1" x14ac:dyDescent="0.25">
      <c r="B11" s="173" t="s">
        <v>2834</v>
      </c>
      <c r="C11" s="114" t="s">
        <v>2835</v>
      </c>
      <c r="D11" s="63" t="s">
        <v>2827</v>
      </c>
      <c r="E11" s="26" t="s">
        <v>2836</v>
      </c>
      <c r="F11" s="198">
        <v>30</v>
      </c>
      <c r="G11" s="166">
        <v>0.125</v>
      </c>
      <c r="H11" s="26" t="s">
        <v>2814</v>
      </c>
      <c r="I11" s="166">
        <v>0.26500000000000001</v>
      </c>
      <c r="J11" s="166">
        <v>0.1</v>
      </c>
      <c r="K11" s="166">
        <v>0.6</v>
      </c>
      <c r="L11" s="135">
        <v>7500</v>
      </c>
      <c r="M11" s="26" t="s">
        <v>2837</v>
      </c>
    </row>
    <row r="12" spans="2:14" ht="30" customHeight="1" x14ac:dyDescent="0.25">
      <c r="B12" s="172" t="s">
        <v>2838</v>
      </c>
      <c r="C12" s="27" t="s">
        <v>2839</v>
      </c>
      <c r="D12" s="56" t="s">
        <v>2840</v>
      </c>
      <c r="E12" s="24" t="s">
        <v>2841</v>
      </c>
      <c r="F12" s="197">
        <v>25</v>
      </c>
      <c r="G12" s="165">
        <v>0.1</v>
      </c>
      <c r="H12" s="24" t="s">
        <v>2842</v>
      </c>
      <c r="I12" s="165">
        <v>0.28499999999999998</v>
      </c>
      <c r="J12" s="165">
        <v>0.15</v>
      </c>
      <c r="K12" s="165">
        <v>0.63</v>
      </c>
      <c r="L12" s="133">
        <v>5000</v>
      </c>
      <c r="M12" s="24" t="s">
        <v>2843</v>
      </c>
    </row>
    <row r="13" spans="2:14" ht="30" customHeight="1" x14ac:dyDescent="0.25">
      <c r="B13" s="173" t="s">
        <v>2844</v>
      </c>
      <c r="C13" s="114" t="s">
        <v>2845</v>
      </c>
      <c r="D13" s="63" t="s">
        <v>2827</v>
      </c>
      <c r="E13" s="26" t="s">
        <v>2846</v>
      </c>
      <c r="F13" s="198">
        <v>25</v>
      </c>
      <c r="G13" s="166">
        <v>0.1</v>
      </c>
      <c r="H13" s="26" t="s">
        <v>2814</v>
      </c>
      <c r="I13" s="166">
        <v>0.27</v>
      </c>
      <c r="J13" s="166">
        <v>0.125</v>
      </c>
      <c r="K13" s="166">
        <v>0.6</v>
      </c>
      <c r="L13" s="135">
        <v>7500</v>
      </c>
      <c r="M13" s="26" t="s">
        <v>2847</v>
      </c>
    </row>
    <row r="14" spans="2:14" ht="30" customHeight="1" x14ac:dyDescent="0.25">
      <c r="B14" s="172" t="s">
        <v>2848</v>
      </c>
      <c r="C14" s="27" t="s">
        <v>2849</v>
      </c>
      <c r="D14" s="56" t="s">
        <v>2827</v>
      </c>
      <c r="E14" s="24" t="s">
        <v>2850</v>
      </c>
      <c r="F14" s="197">
        <v>35</v>
      </c>
      <c r="G14" s="165">
        <v>0.125</v>
      </c>
      <c r="H14" s="24" t="s">
        <v>2814</v>
      </c>
      <c r="I14" s="165">
        <v>0.26500000000000001</v>
      </c>
      <c r="J14" s="165">
        <v>0.1</v>
      </c>
      <c r="K14" s="165">
        <v>0.57999999999999996</v>
      </c>
      <c r="L14" s="133">
        <v>10000</v>
      </c>
      <c r="M14" s="24" t="s">
        <v>2851</v>
      </c>
    </row>
    <row r="15" spans="2:14" ht="30" customHeight="1" x14ac:dyDescent="0.25">
      <c r="B15" s="173" t="s">
        <v>2852</v>
      </c>
      <c r="C15" s="114" t="s">
        <v>2853</v>
      </c>
      <c r="D15" s="63" t="s">
        <v>2827</v>
      </c>
      <c r="E15" s="26" t="s">
        <v>2854</v>
      </c>
      <c r="F15" s="198">
        <v>30</v>
      </c>
      <c r="G15" s="166">
        <v>0.125</v>
      </c>
      <c r="H15" s="26" t="s">
        <v>2814</v>
      </c>
      <c r="I15" s="166">
        <v>0.27</v>
      </c>
      <c r="J15" s="166">
        <v>0.125</v>
      </c>
      <c r="K15" s="166">
        <v>0.6</v>
      </c>
      <c r="L15" s="135">
        <v>7500</v>
      </c>
      <c r="M15" s="26" t="s">
        <v>2855</v>
      </c>
    </row>
    <row r="16" spans="2:14" x14ac:dyDescent="0.25">
      <c r="B16" s="188" t="s">
        <v>2856</v>
      </c>
      <c r="E16" s="199" t="s">
        <v>2857</v>
      </c>
      <c r="F16" s="200">
        <f>SUM(F6:F15)</f>
        <v>325</v>
      </c>
      <c r="G16" s="86">
        <f>SUM(G6:G15)</f>
        <v>1.6</v>
      </c>
      <c r="I16" s="86">
        <f>SUMPRODUCT($G$6:$G$15,I6:I15)/SUM($G$6:$G$15)</f>
        <v>0.27328124999999998</v>
      </c>
    </row>
    <row r="17" spans="2:14" x14ac:dyDescent="0.25">
      <c r="F17" s="127" t="s">
        <v>2858</v>
      </c>
    </row>
    <row r="19" spans="2:14" ht="18" customHeight="1" x14ac:dyDescent="0.25">
      <c r="B19" s="12" t="s">
        <v>2859</v>
      </c>
      <c r="C19" s="12"/>
      <c r="D19" s="12"/>
      <c r="E19" s="12"/>
      <c r="F19" s="12"/>
      <c r="G19" s="12"/>
      <c r="H19" s="12"/>
      <c r="I19" s="12"/>
      <c r="J19" s="12"/>
      <c r="K19" s="12"/>
      <c r="L19" s="12"/>
      <c r="M19" s="12"/>
      <c r="N19" s="12"/>
    </row>
    <row r="20" spans="2:14" ht="30" customHeight="1" x14ac:dyDescent="0.25">
      <c r="B20" s="22" t="s">
        <v>2800</v>
      </c>
      <c r="C20" s="22" t="s">
        <v>2801</v>
      </c>
      <c r="D20" s="22" t="s">
        <v>2860</v>
      </c>
    </row>
    <row r="21" spans="2:14" x14ac:dyDescent="0.25">
      <c r="B21" s="172" t="s">
        <v>1696</v>
      </c>
      <c r="C21" s="27" t="s">
        <v>2861</v>
      </c>
      <c r="D21" s="7" t="s">
        <v>2862</v>
      </c>
      <c r="E21" s="7"/>
      <c r="F21" s="7"/>
    </row>
    <row r="22" spans="2:14" x14ac:dyDescent="0.25">
      <c r="B22" s="172" t="s">
        <v>1785</v>
      </c>
      <c r="C22" s="27" t="s">
        <v>2863</v>
      </c>
      <c r="D22" s="7" t="s">
        <v>2864</v>
      </c>
      <c r="E22" s="7"/>
      <c r="F22" s="7"/>
    </row>
    <row r="23" spans="2:14" x14ac:dyDescent="0.25">
      <c r="B23" s="172" t="s">
        <v>2865</v>
      </c>
      <c r="C23" s="27" t="s">
        <v>2866</v>
      </c>
      <c r="D23" s="7" t="s">
        <v>2867</v>
      </c>
      <c r="E23" s="7"/>
      <c r="F23" s="7"/>
    </row>
    <row r="24" spans="2:14" x14ac:dyDescent="0.25">
      <c r="B24" s="172" t="s">
        <v>1582</v>
      </c>
      <c r="C24" s="27" t="s">
        <v>2868</v>
      </c>
      <c r="D24" s="7" t="s">
        <v>2869</v>
      </c>
      <c r="E24" s="7"/>
      <c r="F24" s="7"/>
    </row>
    <row r="25" spans="2:14" x14ac:dyDescent="0.25">
      <c r="B25" s="172" t="s">
        <v>1643</v>
      </c>
      <c r="C25" s="27" t="s">
        <v>2870</v>
      </c>
      <c r="D25" s="7" t="s">
        <v>2871</v>
      </c>
      <c r="E25" s="7"/>
      <c r="F25" s="7"/>
    </row>
    <row r="26" spans="2:14" x14ac:dyDescent="0.25">
      <c r="B26" s="172" t="s">
        <v>2872</v>
      </c>
      <c r="C26" s="27" t="s">
        <v>2873</v>
      </c>
      <c r="D26" s="7" t="s">
        <v>2874</v>
      </c>
      <c r="E26" s="7"/>
      <c r="F26" s="7"/>
    </row>
    <row r="29" spans="2:14" ht="18" customHeight="1" x14ac:dyDescent="0.25">
      <c r="B29" s="12" t="s">
        <v>2875</v>
      </c>
      <c r="C29" s="12"/>
      <c r="D29" s="12"/>
      <c r="E29" s="12"/>
      <c r="F29" s="12"/>
      <c r="G29" s="12"/>
      <c r="H29" s="12"/>
      <c r="I29" s="12"/>
      <c r="J29" s="12"/>
      <c r="K29" s="12"/>
      <c r="L29" s="12"/>
      <c r="M29" s="12"/>
      <c r="N29" s="12"/>
    </row>
    <row r="31" spans="2:14" ht="27.75" customHeight="1" x14ac:dyDescent="0.25">
      <c r="B31" s="210" t="s">
        <v>2876</v>
      </c>
      <c r="C31" s="210"/>
      <c r="D31" s="210"/>
      <c r="E31" s="210"/>
      <c r="F31" s="210"/>
      <c r="G31" s="210"/>
      <c r="H31" s="210"/>
      <c r="I31" s="210"/>
      <c r="J31" s="210"/>
      <c r="K31" s="210"/>
      <c r="L31" s="210"/>
      <c r="M31" s="210"/>
    </row>
    <row r="32" spans="2:14" ht="27.75" customHeight="1" x14ac:dyDescent="0.25">
      <c r="B32" s="210" t="s">
        <v>2877</v>
      </c>
      <c r="C32" s="210"/>
      <c r="D32" s="210"/>
      <c r="E32" s="210"/>
      <c r="F32" s="210"/>
      <c r="G32" s="210"/>
      <c r="H32" s="210"/>
      <c r="I32" s="210"/>
      <c r="J32" s="210"/>
      <c r="K32" s="210"/>
      <c r="L32" s="210"/>
      <c r="M32" s="210"/>
    </row>
    <row r="33" spans="2:13" ht="27.75" customHeight="1" x14ac:dyDescent="0.25">
      <c r="B33" s="210" t="s">
        <v>2878</v>
      </c>
      <c r="C33" s="210"/>
      <c r="D33" s="210"/>
      <c r="E33" s="210"/>
      <c r="F33" s="210"/>
      <c r="G33" s="210"/>
      <c r="H33" s="210"/>
      <c r="I33" s="210"/>
      <c r="J33" s="210"/>
      <c r="K33" s="210"/>
      <c r="L33" s="210"/>
      <c r="M33" s="210"/>
    </row>
    <row r="34" spans="2:13" ht="27.75" customHeight="1" x14ac:dyDescent="0.25">
      <c r="B34" s="210" t="s">
        <v>2879</v>
      </c>
      <c r="C34" s="210"/>
      <c r="D34" s="210"/>
      <c r="E34" s="210"/>
      <c r="F34" s="210"/>
      <c r="G34" s="210"/>
      <c r="H34" s="210"/>
      <c r="I34" s="210"/>
      <c r="J34" s="210"/>
      <c r="K34" s="210"/>
      <c r="L34" s="210"/>
      <c r="M34" s="210"/>
    </row>
    <row r="35" spans="2:13" ht="27.75" customHeight="1" x14ac:dyDescent="0.25">
      <c r="B35" s="210" t="s">
        <v>2880</v>
      </c>
      <c r="C35" s="210"/>
      <c r="D35" s="210"/>
      <c r="E35" s="210"/>
      <c r="F35" s="210"/>
      <c r="G35" s="210"/>
      <c r="H35" s="210"/>
      <c r="I35" s="210"/>
      <c r="J35" s="210"/>
      <c r="K35" s="210"/>
      <c r="L35" s="210"/>
      <c r="M35" s="210"/>
    </row>
    <row r="36" spans="2:13" ht="27.75" customHeight="1" x14ac:dyDescent="0.25">
      <c r="B36" s="210" t="s">
        <v>2881</v>
      </c>
      <c r="C36" s="210"/>
      <c r="D36" s="210"/>
      <c r="E36" s="210"/>
      <c r="F36" s="210"/>
      <c r="G36" s="210"/>
      <c r="H36" s="210"/>
      <c r="I36" s="210"/>
      <c r="J36" s="210"/>
      <c r="K36" s="210"/>
      <c r="L36" s="210"/>
      <c r="M36" s="210"/>
    </row>
    <row r="37" spans="2:13" ht="27.75" customHeight="1" x14ac:dyDescent="0.25">
      <c r="B37" s="210" t="s">
        <v>2882</v>
      </c>
      <c r="C37" s="210"/>
      <c r="D37" s="210"/>
      <c r="E37" s="210"/>
      <c r="F37" s="210"/>
      <c r="G37" s="210"/>
      <c r="H37" s="210"/>
      <c r="I37" s="210"/>
      <c r="J37" s="210"/>
      <c r="K37" s="210"/>
      <c r="L37" s="210"/>
      <c r="M37" s="210"/>
    </row>
    <row r="38" spans="2:13" ht="27.75" customHeight="1" x14ac:dyDescent="0.25">
      <c r="B38" s="210" t="s">
        <v>2883</v>
      </c>
      <c r="C38" s="210"/>
      <c r="D38" s="210"/>
      <c r="E38" s="210"/>
      <c r="F38" s="210"/>
      <c r="G38" s="210"/>
      <c r="H38" s="210"/>
      <c r="I38" s="210"/>
      <c r="J38" s="210"/>
      <c r="K38" s="210"/>
      <c r="L38" s="210"/>
      <c r="M38" s="210"/>
    </row>
    <row r="39" spans="2:13" ht="27.75" customHeight="1" x14ac:dyDescent="0.25">
      <c r="B39" s="210" t="s">
        <v>2884</v>
      </c>
      <c r="C39" s="210"/>
      <c r="D39" s="210"/>
      <c r="E39" s="210"/>
      <c r="F39" s="210"/>
      <c r="G39" s="210"/>
      <c r="H39" s="210"/>
      <c r="I39" s="210"/>
      <c r="J39" s="210"/>
      <c r="K39" s="210"/>
      <c r="L39" s="210"/>
      <c r="M39" s="210"/>
    </row>
    <row r="41" spans="2:13" x14ac:dyDescent="0.25">
      <c r="B41" s="15" t="s">
        <v>709</v>
      </c>
    </row>
    <row r="42" spans="2:13" ht="15" customHeight="1" x14ac:dyDescent="0.25">
      <c r="B42" s="203" t="s">
        <v>2885</v>
      </c>
      <c r="C42" s="203"/>
      <c r="D42" s="203"/>
      <c r="E42" s="203"/>
      <c r="F42" s="203"/>
      <c r="G42" s="203"/>
      <c r="H42" s="203"/>
      <c r="I42" s="203"/>
      <c r="J42" s="203"/>
      <c r="K42" s="203"/>
      <c r="L42" s="203"/>
      <c r="M42" s="203"/>
    </row>
    <row r="43" spans="2:13" x14ac:dyDescent="0.25">
      <c r="B43" s="203"/>
      <c r="C43" s="203"/>
      <c r="D43" s="203"/>
      <c r="E43" s="203"/>
      <c r="F43" s="203"/>
      <c r="G43" s="203"/>
      <c r="H43" s="203"/>
      <c r="I43" s="203"/>
      <c r="J43" s="203"/>
      <c r="K43" s="203"/>
      <c r="L43" s="203"/>
      <c r="M43" s="203"/>
    </row>
    <row r="44" spans="2:13" x14ac:dyDescent="0.25">
      <c r="B44" s="203"/>
      <c r="C44" s="203"/>
      <c r="D44" s="203"/>
      <c r="E44" s="203"/>
      <c r="F44" s="203"/>
      <c r="G44" s="203"/>
      <c r="H44" s="203"/>
      <c r="I44" s="203"/>
      <c r="J44" s="203"/>
      <c r="K44" s="203"/>
      <c r="L44" s="203"/>
      <c r="M44" s="203"/>
    </row>
    <row r="45" spans="2:13" x14ac:dyDescent="0.25">
      <c r="B45" s="203"/>
      <c r="C45" s="203"/>
      <c r="D45" s="203"/>
      <c r="E45" s="203"/>
      <c r="F45" s="203"/>
      <c r="G45" s="203"/>
      <c r="H45" s="203"/>
      <c r="I45" s="203"/>
      <c r="J45" s="203"/>
      <c r="K45" s="203"/>
      <c r="L45" s="203"/>
      <c r="M45" s="203"/>
    </row>
  </sheetData>
  <mergeCells count="20">
    <mergeCell ref="B36:M36"/>
    <mergeCell ref="B37:M37"/>
    <mergeCell ref="B38:M38"/>
    <mergeCell ref="B39:M39"/>
    <mergeCell ref="B42:M45"/>
    <mergeCell ref="B31:M31"/>
    <mergeCell ref="B32:M32"/>
    <mergeCell ref="B33:M33"/>
    <mergeCell ref="B34:M34"/>
    <mergeCell ref="B35:M35"/>
    <mergeCell ref="D23:F23"/>
    <mergeCell ref="D24:F24"/>
    <mergeCell ref="D25:F25"/>
    <mergeCell ref="D26:F26"/>
    <mergeCell ref="B29:N29"/>
    <mergeCell ref="B1:N1"/>
    <mergeCell ref="B2:N2"/>
    <mergeCell ref="B19:N19"/>
    <mergeCell ref="D21:F21"/>
    <mergeCell ref="D22:F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README</vt:lpstr>
      <vt:lpstr>Rate Definitions</vt:lpstr>
      <vt:lpstr>Rating Engine</vt:lpstr>
      <vt:lpstr>Premium Breakout</vt:lpstr>
      <vt:lpstr>Portfolio Register</vt:lpstr>
      <vt:lpstr>Portfolio Summary</vt:lpstr>
      <vt:lpstr>Referral Log</vt:lpstr>
      <vt:lpstr>Scenario Tests</vt:lpstr>
      <vt:lpstr>Base Rates</vt:lpstr>
      <vt:lpstr>Make Factors</vt:lpstr>
      <vt:lpstr>Driver Factors</vt:lpstr>
      <vt:lpstr>Claims History</vt:lpstr>
      <vt:lpstr>Territory Factors</vt:lpstr>
      <vt:lpstr>City Accident Ratings</vt:lpstr>
      <vt:lpstr>Cat Zone by ZIP</vt:lpstr>
      <vt:lpstr>Natural Catastrophe</vt:lpstr>
      <vt:lpstr>Deductibles</vt:lpstr>
      <vt:lpstr>Usage and Coverage</vt:lpstr>
      <vt:lpstr>Endorsements</vt:lpstr>
      <vt:lpstr>Sublimits and Parts</vt:lpstr>
      <vt:lpstr>Technical Premium</vt:lpstr>
      <vt:lpstr>Commission Structure</vt:lpstr>
      <vt:lpstr>Lloyds Markets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Joshua Broedel</cp:lastModifiedBy>
  <cp:revision>1</cp:revision>
  <dcterms:created xsi:type="dcterms:W3CDTF">2026-08-21T21:23:45Z</dcterms:created>
  <dcterms:modified xsi:type="dcterms:W3CDTF">2026-08-28T20:31:59Z</dcterms:modified>
  <dc:language>en-US</dc:language>
</cp:coreProperties>
</file>