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<sst xmlns="http://schemas.openxmlformats.org/spreadsheetml/2006/main" count="5752" uniqueCount="2886">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</sst>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inlineStr">
        <is>
          <t xml:space="preserve">CANON-202603-005559 - Horace Merriweather</t>
        </is>
      </c>
      <c r="D5" s="38" t="s">
        <v>154</v>
      </c>
    </row>
    <row r="6" spans="2:4" x14ac:dyDescent="0.25">
      <c r="B6" s="36" t="s">
        <v>155</v>
      </c>
      <c r="C6" s="39">
        <v>46106</v>
      </c>
      <c r="D6" s="38" t="s">
        <v>156</v>
      </c>
    </row>
    <row r="7" spans="2:4" x14ac:dyDescent="0.25">
      <c r="B7" s="36" t="s">
        <v>157</v>
      </c>
      <c r="C7" s="37">
        <v>1999</v>
      </c>
      <c r="D7" s="38" t="s">
        <v>158</v>
      </c>
    </row>
    <row r="8" spans="2:4" x14ac:dyDescent="0.25">
      <c r="B8" s="36" t="s">
        <v>159</v>
      </c>
      <c r="C8" s="37" t="inlineStr">
        <is>
          <t xml:space="preserve">Other / Bespoke</t>
        </is>
      </c>
      <c r="D8" s="38" t="s">
        <v>161</v>
      </c>
    </row>
    <row r="9" spans="2:4" x14ac:dyDescent="0.25">
      <c r="B9" s="36" t="s">
        <v>162</v>
      </c>
      <c r="C9" s="37" t="inlineStr">
        <is>
          <t xml:space="preserve">M8 Competition</t>
        </is>
      </c>
      <c r="D9" s="38" t="s">
        <v>164</v>
      </c>
    </row>
    <row r="10" spans="2:4" x14ac:dyDescent="0.25">
      <c r="B10" s="36" t="s">
        <v>165</v>
      </c>
      <c r="C10" s="37" t="inlineStr">
        <is>
          <t xml:space="preserve">02 - Sports / GT</t>
        </is>
      </c>
      <c r="D10" s="38" t="s">
        <v>167</v>
      </c>
    </row>
    <row r="11" spans="2:4" ht="24" x14ac:dyDescent="0.25">
      <c r="B11" s="36" t="s">
        <v>168</v>
      </c>
      <c r="C11" s="40">
        <v>465000</v>
      </c>
      <c r="D11" s="38" t="s">
        <v>169</v>
      </c>
    </row>
    <row r="12" spans="2:4" x14ac:dyDescent="0.25">
      <c r="B12" s="36" t="s">
        <v>170</v>
      </c>
      <c r="C12" s="37" t="inlineStr">
        <is>
          <t xml:space="preserve">New York</t>
        </is>
      </c>
      <c r="D12" s="38" t="s">
        <v>172</v>
      </c>
    </row>
    <row r="13" spans="2:4" x14ac:dyDescent="0.25">
      <c r="B13" s="36" t="s">
        <v>173</v>
      </c>
      <c r="C13" s="37" t="inlineStr">
        <is>
          <t xml:space="preserve">10022</t>
        </is>
      </c>
      <c r="D13" s="41" t="s">
        <v>175</v>
      </c>
    </row>
    <row r="14" spans="2:4" x14ac:dyDescent="0.25">
      <c r="B14" s="36" t="s">
        <v>176</v>
      </c>
      <c r="C14" s="37" t="s">
        <v>177</v>
      </c>
      <c r="D14" s="38" t="s">
        <v>178</v>
      </c>
    </row>
    <row r="15" spans="2:4" x14ac:dyDescent="0.25">
      <c r="B15" s="36" t="s">
        <v>179</v>
      </c>
      <c r="C15" s="37" t="inlineStr">
        <is>
          <t xml:space="preserve">Personal - regular use</t>
        </is>
      </c>
      <c r="D15" s="38" t="s">
        <v>181</v>
      </c>
    </row>
    <row r="16" spans="2:4" x14ac:dyDescent="0.25">
      <c r="B16" s="36" t="s">
        <v>182</v>
      </c>
      <c r="C16" s="37" t="inlineStr">
        <is>
          <t xml:space="preserve">2,500 - 5,000</t>
        </is>
      </c>
      <c r="D16" s="38" t="s">
        <v>184</v>
      </c>
    </row>
    <row r="17" spans="2:4" ht="26.25" x14ac:dyDescent="0.25">
      <c r="B17" s="36" t="s">
        <v>185</v>
      </c>
      <c r="C17" s="37" t="s">
        <v>186</v>
      </c>
      <c r="D17" s="38" t="s">
        <v>187</v>
      </c>
    </row>
    <row r="18" spans="2:4" x14ac:dyDescent="0.25">
      <c r="B18" s="36" t="s">
        <v>188</v>
      </c>
      <c r="C18" s="37" t="s">
        <v>189</v>
      </c>
      <c r="D18" s="38" t="s">
        <v>190</v>
      </c>
    </row>
    <row r="19" spans="2:4" x14ac:dyDescent="0.25">
      <c r="B19" s="36" t="s">
        <v>191</v>
      </c>
      <c r="C19" s="37" t="s">
        <v>192</v>
      </c>
      <c r="D19" s="38" t="s">
        <v>193</v>
      </c>
    </row>
    <row r="20" spans="2:4" x14ac:dyDescent="0.25">
      <c r="B20" s="36" t="s">
        <v>194</v>
      </c>
      <c r="C20" s="37" t="s">
        <v>195</v>
      </c>
      <c r="D20" s="38" t="s">
        <v>196</v>
      </c>
    </row>
    <row r="21" spans="2:4" x14ac:dyDescent="0.25">
      <c r="B21" s="36" t="s">
        <v>197</v>
      </c>
      <c r="C21" s="37" t="s">
        <v>198</v>
      </c>
      <c r="D21" s="38" t="s">
        <v>199</v>
      </c>
    </row>
    <row r="22" spans="2:4" x14ac:dyDescent="0.25">
      <c r="B22" s="36" t="s">
        <v>200</v>
      </c>
      <c r="C22" s="37" t="inlineStr">
        <is>
          <t xml:space="preserve">No at-fault claims - 5 yrs</t>
        </is>
      </c>
      <c r="D22" s="38" t="s">
        <v>202</v>
      </c>
    </row>
    <row r="23" spans="2:4" x14ac:dyDescent="0.25">
      <c r="B23" s="36" t="s">
        <v>203</v>
      </c>
      <c r="C23" s="37" t="s">
        <v>204</v>
      </c>
      <c r="D23" s="38" t="s">
        <v>205</v>
      </c>
    </row>
    <row r="24" spans="2:4" x14ac:dyDescent="0.25">
      <c r="B24" s="36" t="s">
        <v>206</v>
      </c>
      <c r="C24" s="37" t="inlineStr">
        <is>
          <t xml:space="preserve">$1,000</t>
        </is>
      </c>
      <c r="D24" s="38" t="s">
        <v>208</v>
      </c>
    </row>
    <row r="25" spans="2:4" x14ac:dyDescent="0.25">
      <c r="B25" s="36" t="s">
        <v>209</v>
      </c>
      <c r="C25" s="37" t="inlineStr">
        <is>
          <t xml:space="preserve">Agreed Value</t>
        </is>
      </c>
      <c r="D25" s="38" t="s">
        <v>205</v>
      </c>
    </row>
    <row r="26" spans="2:4" x14ac:dyDescent="0.25">
      <c r="B26" s="36" t="s">
        <v>211</v>
      </c>
      <c r="C26" s="37" t="inlineStr">
        <is>
          <t xml:space="preserve">$1,000,000 CSL</t>
        </is>
      </c>
      <c r="D26" s="38" t="s">
        <v>213</v>
      </c>
    </row>
    <row r="27" spans="2:4" x14ac:dyDescent="0.25">
      <c r="B27" s="36" t="s">
        <v>214</v>
      </c>
      <c r="C27" s="37" t="inlineStr">
        <is>
          <t xml:space="preserve">New York City metro, NY</t>
        </is>
      </c>
      <c r="D27" s="38" t="s">
        <v>216</v>
      </c>
    </row>
    <row r="28" spans="2:4" x14ac:dyDescent="0.25">
      <c r="B28" s="36" t="s">
        <v>217</v>
      </c>
      <c r="C28" s="37" t="inlineStr">
        <is>
          <t xml:space="preserve">2% of agreed value, minimum $10,000</t>
        </is>
      </c>
      <c r="D28" s="38" t="s">
        <v>219</v>
      </c>
    </row>
    <row r="29" spans="2:4" x14ac:dyDescent="0.25">
      <c r="B29" s="42" t="s">
        <v>220</v>
      </c>
      <c r="C29" s="37" t="s">
        <v>221</v>
      </c>
      <c r="D29" s="38" t="s">
        <v>222</v>
      </c>
    </row>
    <row r="30" spans="2:4" x14ac:dyDescent="0.25">
      <c r="B30" s="36" t="s">
        <v>223</v>
      </c>
      <c r="C30" s="37" t="s">
        <v>224</v>
      </c>
      <c r="D30" s="38" t="inlineStr">
        <is>
          <t xml:space="preserve">Risk inputs populated from demo submission; premium computed by this rater's own engine.</t>
        </is>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c>
      <c r="D48" s="38" t="s">
        <v>256</v>
      </c>
    </row>
    <row r="49" spans="2:4" x14ac:dyDescent="0.25">
      <c r="B49" s="36" t="s">
        <v>257</v>
      </c>
      <c r="C49" s="44" t="str">
        <f>IF(C43&lt;&gt;"","Manual underwriter override",IF(ISNUMBER(MATCH(C47,'Cat Zone by ZIP'!$B$6:$B$856,0)),"ZIP-3 prefix "&amp;C47&amp;" mapped","State default for "&amp;C12))</f>
      </c>
      <c r="D49" s="38" t="s">
        <v>258</v>
      </c>
    </row>
    <row r="50" spans="2:4" ht="39" x14ac:dyDescent="0.25">
      <c r="B50" s="36" t="s">
        <v>259</v>
      </c>
      <c r="C50" s="44" t="str">
        <f>INDEX('Natural Catastrophe'!$C$6:$C$17,MATCH(C48,'Natural Catastrophe'!$B$6:$B$17,0))</f>
      </c>
      <c r="D50" s="38" t="s">
        <v>260</v>
      </c>
    </row>
    <row r="51" spans="2:4" ht="24" x14ac:dyDescent="0.25">
      <c r="B51" s="36" t="s">
        <v>261</v>
      </c>
      <c r="C51" s="46">
        <f>INDEX('Natural Catastrophe'!$D$6:$D$17,MATCH(C48,'Natural Catastrophe'!$B$6:$B$17,0))</f>
      </c>
      <c r="D51" s="38" t="s">
        <v>262</v>
      </c>
    </row>
    <row r="52" spans="2:4" x14ac:dyDescent="0.25">
      <c r="B52" s="36" t="s">
        <v>263</v>
      </c>
      <c r="C52" s="46">
        <f>INDEX('Natural Catastrophe'!$C$21:$C$26,MATCH(C28,'Natural Catastrophe'!$B$21:$B$26,0))</f>
      </c>
      <c r="D52" s="38" t="s">
        <v>264</v>
      </c>
    </row>
    <row r="54" spans="2:4" ht="18" customHeight="1" x14ac:dyDescent="0.25">
      <c r="B54" s="12" t="s">
        <v>265</v>
      </c>
      <c r="C54" s="12"/>
      <c r="D54" s="12"/>
    </row>
    <row r="55" spans="2:4" x14ac:dyDescent="0.25">
      <c r="B55" s="36" t="s">
        <v>266</v>
      </c>
      <c r="C55" s="44" t="str">
        <f>INDEX('Base Rates'!$C$4:$I$4,MATCH(MAX(C11,'Technical Premium'!$C$18),'Base Rates'!$C$3:$I$3,1))</f>
      </c>
      <c r="D55" s="38" t="s">
        <v>267</v>
      </c>
    </row>
    <row r="56" spans="2:4" x14ac:dyDescent="0.25">
      <c r="B56" s="36" t="s">
        <v>268</v>
      </c>
      <c r="C56" s="47">
        <f>INDEX('Base Rates'!$C$5:$I$16,MATCH(C10,'Base Rates'!$B$5:$B$16,0),MATCH(MAX(C11,'Technical Premium'!$C$18),'Base Rates'!$C$3:$I$3,1))</f>
      </c>
      <c r="D56" s="38" t="s">
        <v>269</v>
      </c>
    </row>
    <row r="57" spans="2:4" x14ac:dyDescent="0.25">
      <c r="B57" s="36" t="s">
        <v>270</v>
      </c>
      <c r="C57" s="48">
        <f>C11/100*C56</f>
      </c>
      <c r="D57" s="38" t="s">
        <v>271</v>
      </c>
    </row>
    <row r="58" spans="2:4" x14ac:dyDescent="0.25">
      <c r="B58" s="36" t="s">
        <v>272</v>
      </c>
      <c r="C58" s="46">
        <f>INDEX('Make Factors'!$G$5:$G$69,MATCH(C8,'Make Factors'!$B$5:$B$69,0))</f>
      </c>
    </row>
    <row r="59" spans="2:4" x14ac:dyDescent="0.25">
      <c r="B59" s="36" t="s">
        <v>273</v>
      </c>
      <c r="C59" s="46">
        <f>INDEX('Driver Factors'!$C$6:$C$15,MATCH(C19,'Driver Factors'!$B$6:$B$15,0))</f>
      </c>
    </row>
    <row r="60" spans="2:4" x14ac:dyDescent="0.25">
      <c r="B60" s="36" t="s">
        <v>274</v>
      </c>
      <c r="C60" s="46">
        <f>INDEX('Driver Factors'!$C$19:$C$24,MATCH(C20,'Driver Factors'!$B$19:$B$24,0))</f>
      </c>
    </row>
    <row r="61" spans="2:4" x14ac:dyDescent="0.25">
      <c r="B61" s="36" t="s">
        <v>275</v>
      </c>
      <c r="C61" s="46">
        <f>INDEX('Driver Factors'!$C$28:$C$36,MATCH(C21,'Driver Factors'!$B$28:$B$36,0))</f>
      </c>
    </row>
    <row r="62" spans="2:4" x14ac:dyDescent="0.25">
      <c r="B62" s="36" t="s">
        <v>276</v>
      </c>
      <c r="C62" s="46">
        <f>INDEX('Claims History'!$C$6:$C$15,MATCH(C22,'Claims History'!$B$6:$B$15,0))</f>
      </c>
    </row>
    <row r="63" spans="2:4" x14ac:dyDescent="0.25">
      <c r="B63" s="36" t="s">
        <v>277</v>
      </c>
      <c r="C63" s="46">
        <f>INDEX('Territory Factors'!$E$6:$E$56,MATCH(C12,'Territory Factors'!$B$6:$B$56,0))</f>
      </c>
    </row>
    <row r="64" spans="2:4" x14ac:dyDescent="0.25">
      <c r="B64" s="36" t="s">
        <v>278</v>
      </c>
      <c r="C64" s="46">
        <f>INDEX('City Accident Ratings'!$G$6:$G$54,MATCH(C27,'City Accident Ratings'!$B$6:$B$54,0))</f>
      </c>
    </row>
    <row r="65" spans="2:3" x14ac:dyDescent="0.25">
      <c r="B65" s="36" t="s">
        <v>279</v>
      </c>
      <c r="C65" s="46">
        <f>INDEX('Usage and Coverage'!$D$6:$D$20,MATCH(C15,'Usage and Coverage'!$C$6:$C$20,0))</f>
      </c>
    </row>
    <row r="66" spans="2:3" x14ac:dyDescent="0.25">
      <c r="B66" s="36" t="s">
        <v>280</v>
      </c>
      <c r="C66" s="46">
        <f>INDEX('Usage and Coverage'!$C$24:$C$30,MATCH(C16,'Usage and Coverage'!$B$24:$B$30,0))</f>
      </c>
    </row>
    <row r="67" spans="2:3" x14ac:dyDescent="0.25">
      <c r="B67" s="36" t="s">
        <v>281</v>
      </c>
      <c r="C67" s="46">
        <f>INDEX('Usage and Coverage'!$C$34:$C$40,MATCH(C17,'Usage and Coverage'!$B$34:$B$40,0))</f>
      </c>
    </row>
    <row r="68" spans="2:3" x14ac:dyDescent="0.25">
      <c r="B68" s="36" t="s">
        <v>282</v>
      </c>
      <c r="C68" s="46">
        <f>INDEX('Usage and Coverage'!$C$44:$C$49,MATCH(C18,'Usage and Coverage'!$B$44:$B$49,0))</f>
      </c>
    </row>
    <row r="69" spans="2:3" x14ac:dyDescent="0.25">
      <c r="B69" s="36" t="s">
        <v>283</v>
      </c>
      <c r="C69" s="46">
        <f>INDEX(Deductibles!$C$6:$I$15,MATCH(C24,Deductibles!$B$6:$B$15,0),MATCH(MAX(C11,'Technical Premium'!$C$18),'Base Rates'!$C$3:$I$3,1))</f>
      </c>
    </row>
    <row r="70" spans="2:3" x14ac:dyDescent="0.25">
      <c r="B70" s="36" t="s">
        <v>284</v>
      </c>
      <c r="C70" s="46">
        <f>INDEX('Usage and Coverage'!$C$63:$C$66,MATCH(C25,'Usage and Coverage'!$B$63:$B$66,0))</f>
      </c>
    </row>
    <row r="71" spans="2:3" x14ac:dyDescent="0.25">
      <c r="B71" s="36" t="s">
        <v>285</v>
      </c>
      <c r="C71" s="46">
        <f>INDEX('Usage and Coverage'!$C$70:$C$75,MATCH(C23,'Usage and Coverage'!$B$70:$B$75,0))</f>
      </c>
    </row>
    <row r="72" spans="2:3" x14ac:dyDescent="0.25">
      <c r="B72" s="36" t="s">
        <v>286</v>
      </c>
      <c r="C72" s="46">
        <f>INDEX(Deductibles!$C$48:$C$51,MATCH(C29,Deductibles!$B$48:$B$51,0))</f>
      </c>
    </row>
    <row r="73" spans="2:3" x14ac:dyDescent="0.25">
      <c r="B73" s="36" t="s">
        <v>287</v>
      </c>
      <c r="C73" s="46">
        <f>INDEX(Deductibles!$C$55:$C$57,MATCH(C30,Deductibles!$B$55:$B$57,0))</f>
      </c>
    </row>
    <row r="74" spans="2:3" x14ac:dyDescent="0.25">
      <c r="B74" s="36" t="s">
        <v>288</v>
      </c>
      <c r="C74" s="46">
        <f>INDEX(Deductibles!$C$61:$C$63,MATCH(C31,Deductibles!$B$61:$B$63,0))</f>
      </c>
    </row>
    <row r="75" spans="2:3" x14ac:dyDescent="0.25">
      <c r="B75" s="36" t="s">
        <v>289</v>
      </c>
      <c r="C75" s="46">
        <f>INDEX(Deductibles!$C$67:$C$69,MATCH(C32,Deductibles!$B$67:$B$69,0))</f>
      </c>
    </row>
    <row r="76" spans="2:3" x14ac:dyDescent="0.25">
      <c r="B76" s="36" t="s">
        <v>290</v>
      </c>
      <c r="C76" s="46">
        <f>INDEX(Deductibles!$C$73:$C$74,MATCH(C33,Deductibles!$B$73:$B$74,0))</f>
      </c>
    </row>
    <row r="77" spans="2:3" x14ac:dyDescent="0.25">
      <c r="B77" s="36" t="s">
        <v>291</v>
      </c>
      <c r="C77" s="46">
        <f>INDEX('Sublimits and Parts'!$C$49:$C$52,MATCH(C34,'Sublimits and Parts'!$B$49:$B$52,0))</f>
      </c>
    </row>
    <row r="78" spans="2:3" x14ac:dyDescent="0.25">
      <c r="B78" s="36" t="s">
        <v>292</v>
      </c>
      <c r="C78" s="46">
        <f>INDEX('Sublimits and Parts'!$C$56:$C$60,MATCH(C35,'Sublimits and Parts'!$B$56:$B$60,0))</f>
      </c>
    </row>
    <row r="79" spans="2:3" x14ac:dyDescent="0.25">
      <c r="B79" s="36" t="s">
        <v>293</v>
      </c>
      <c r="C79" s="46">
        <f>INDEX('Sublimits and Parts'!$C$64:$C$67,MATCH(C36,'Sublimits and Parts'!$B$64:$B$67,0))</f>
      </c>
    </row>
    <row r="80" spans="2:3" x14ac:dyDescent="0.25">
      <c r="B80" s="36" t="s">
        <v>294</v>
      </c>
      <c r="C80" s="46">
        <f>INDEX('Sublimits and Parts'!$C$71:$C$74,MATCH(C37,'Sublimits and Parts'!$B$71:$B$74,0))</f>
      </c>
    </row>
    <row r="81" spans="2:4" x14ac:dyDescent="0.25">
      <c r="B81" s="36" t="s">
        <v>295</v>
      </c>
      <c r="C81" s="46">
        <f>INDEX('Sublimits and Parts'!$C$78:$C$80,MATCH(C38,'Sublimits and Parts'!$B$78:$B$80,0))</f>
      </c>
    </row>
    <row r="82" spans="2:4" x14ac:dyDescent="0.25">
      <c r="B82" s="36" t="s">
        <v>296</v>
      </c>
      <c r="C82" s="46">
        <f>INDEX('Sublimits and Parts'!$C$84:$C$87,MATCH(C39,'Sublimits and Parts'!$B$84:$B$87,0))</f>
      </c>
    </row>
    <row r="83" spans="2:4" x14ac:dyDescent="0.25">
      <c r="B83" s="36" t="s">
        <v>297</v>
      </c>
      <c r="C83" s="46">
        <f>INDEX('Sublimits and Parts'!$C$91:$C$94,MATCH(C40,'Sublimits and Parts'!$B$91:$B$94,0))</f>
      </c>
    </row>
    <row r="84" spans="2:4" x14ac:dyDescent="0.25">
      <c r="B84" s="36" t="s">
        <v>298</v>
      </c>
      <c r="C84" s="46">
        <f>INDEX('Sublimits and Parts'!$C$98:$C$101,MATCH(C41,'Sublimits and Parts'!$B$98:$B$101,0))</f>
      </c>
    </row>
    <row r="85" spans="2:4" x14ac:dyDescent="0.25">
      <c r="B85" s="36" t="s">
        <v>299</v>
      </c>
      <c r="C85" s="46">
        <f>INDEX('Sublimits and Parts'!$C$105:$C$109,MATCH(C42,'Sublimits and Parts'!$B$105:$B$109,0))</f>
      </c>
    </row>
    <row r="86" spans="2:4" x14ac:dyDescent="0.25">
      <c r="B86" s="32" t="s">
        <v>300</v>
      </c>
      <c r="C86" s="49">
        <f>PRODUCT(C58:C71)</f>
      </c>
      <c r="D86" s="38" t="s">
        <v>301</v>
      </c>
    </row>
    <row r="87" spans="2:4" x14ac:dyDescent="0.25">
      <c r="B87" s="32" t="s">
        <v>302</v>
      </c>
      <c r="C87" s="49">
        <f>PRODUCT(C72:C85)</f>
      </c>
      <c r="D87" s="38" t="s">
        <v>303</v>
      </c>
    </row>
    <row r="88" spans="2:4" x14ac:dyDescent="0.25">
      <c r="B88" s="32" t="s">
        <v>304</v>
      </c>
      <c r="C88" s="49">
        <f>MIN(C86*C87,'Technical Premium'!$C$17)</f>
      </c>
      <c r="D88" s="38" t="s">
        <v>305</v>
      </c>
    </row>
    <row r="90" spans="2:4" ht="18" customHeight="1" x14ac:dyDescent="0.25">
      <c r="B90" s="12" t="s">
        <v>306</v>
      </c>
      <c r="C90" s="12"/>
      <c r="D90" s="12"/>
    </row>
    <row r="91" spans="2:4" x14ac:dyDescent="0.25">
      <c r="B91" s="36" t="s">
        <v>307</v>
      </c>
      <c r="C91" s="48">
        <f>C57*C88</f>
      </c>
      <c r="D91" s="38" t="s">
        <v>308</v>
      </c>
    </row>
    <row r="92" spans="2:4" x14ac:dyDescent="0.25">
      <c r="B92" s="36" t="s">
        <v>309</v>
      </c>
      <c r="C92" s="48">
        <f>INDEX('Territory Factors'!$F$6:$F$56,MATCH(C12,'Territory Factors'!$B$6:$B$56,0))</f>
      </c>
    </row>
    <row r="93" spans="2:4" x14ac:dyDescent="0.25">
      <c r="B93" s="36" t="s">
        <v>310</v>
      </c>
      <c r="C93" s="46">
        <f>INDEX('Usage and Coverage'!$C$79:$C$84,MATCH(C26,'Usage and Coverage'!$B$79:$B$84,0))</f>
      </c>
    </row>
    <row r="94" spans="2:4" x14ac:dyDescent="0.25">
      <c r="B94" s="36" t="s">
        <v>311</v>
      </c>
      <c r="C94" s="48">
        <f>C92*C93*MIN(C65*C59*C61*C62*C66*C64,'Technical Premium'!$C$17)</f>
      </c>
      <c r="D94" s="38" t="s">
        <v>312</v>
      </c>
    </row>
    <row r="95" spans="2:4" x14ac:dyDescent="0.25">
      <c r="B95" s="36" t="s">
        <v>313</v>
      </c>
      <c r="C95" s="48">
        <f>C91+C94</f>
      </c>
    </row>
    <row r="96" spans="2:4" x14ac:dyDescent="0.25">
      <c r="B96" s="36" t="s">
        <v>314</v>
      </c>
      <c r="C96" s="48">
        <f>C95*'Technical Premium'!$C$5</f>
      </c>
    </row>
    <row r="97" spans="2:4" x14ac:dyDescent="0.25">
      <c r="B97" s="36" t="s">
        <v>315</v>
      </c>
      <c r="C97" s="48">
        <f>C95+C96</f>
      </c>
    </row>
    <row r="98" spans="2:4" x14ac:dyDescent="0.25">
      <c r="B98" s="36" t="s">
        <v>316</v>
      </c>
      <c r="C98" s="48">
        <f>C97*'Technical Premium'!$C$6</f>
      </c>
    </row>
    <row r="99" spans="2:4" x14ac:dyDescent="0.25">
      <c r="B99" s="36" t="s">
        <v>317</v>
      </c>
      <c r="C99" s="50">
        <f>INDEX('Territory Factors'!$G$6:$G$56,MATCH(C12,'Territory Factors'!$B$6:$B$56,0))</f>
      </c>
      <c r="D99" s="38" t="s">
        <v>318</v>
      </c>
    </row>
    <row r="100" spans="2:4" x14ac:dyDescent="0.25">
      <c r="B100" s="36" t="s">
        <v>319</v>
      </c>
      <c r="C100" s="48">
        <f>C91*C99*C51*C52</f>
      </c>
      <c r="D100" s="38" t="s">
        <v>320</v>
      </c>
    </row>
    <row r="101" spans="2:4" x14ac:dyDescent="0.25">
      <c r="B101" s="36" t="s">
        <v>321</v>
      </c>
      <c r="C101" s="48">
        <f>C97+C98+C100</f>
      </c>
    </row>
    <row r="102" spans="2:4" x14ac:dyDescent="0.25">
      <c r="B102" s="36" t="s">
        <v>322</v>
      </c>
      <c r="C102" s="48">
        <f>C101*'Technical Premium'!$C$7</f>
      </c>
    </row>
    <row r="103" spans="2:4" x14ac:dyDescent="0.25">
      <c r="B103" s="32" t="s">
        <v>323</v>
      </c>
      <c r="C103" s="51">
        <f>C101+C102</f>
      </c>
      <c r="D103" s="38" t="s">
        <v>324</v>
      </c>
    </row>
    <row r="104" spans="2:4" x14ac:dyDescent="0.25">
      <c r="B104" s="36" t="s">
        <v>109</v>
      </c>
      <c r="C104" s="46">
        <f>'Technical Premium'!$C$13</f>
      </c>
      <c r="D104" s="38" t="s">
        <v>325</v>
      </c>
    </row>
    <row r="105" spans="2:4" ht="15.75" x14ac:dyDescent="0.25">
      <c r="B105" s="32" t="s">
        <v>112</v>
      </c>
      <c r="C105" s="52">
        <f>C103/C104</f>
      </c>
      <c r="D105" s="38" t="s">
        <v>326</v>
      </c>
    </row>
    <row r="106" spans="2:4" ht="15.75" x14ac:dyDescent="0.25">
      <c r="B106" s="32" t="s">
        <v>327</v>
      </c>
      <c r="C106" s="53">
        <f>C105/C11*100</f>
      </c>
      <c r="D106" s="38" t="s">
        <v>328</v>
      </c>
    </row>
    <row r="107" spans="2:4" x14ac:dyDescent="0.25">
      <c r="B107" s="36" t="s">
        <v>118</v>
      </c>
      <c r="C107" s="48">
        <f>C105*C44</f>
      </c>
    </row>
    <row r="108" spans="2:4" ht="15.75" x14ac:dyDescent="0.25">
      <c r="B108" s="32" t="s">
        <v>329</v>
      </c>
      <c r="C108" s="52">
        <f>C105+C107</f>
      </c>
      <c r="D108" s="38" t="s">
        <v>330</v>
      </c>
    </row>
    <row r="109" spans="2:4" x14ac:dyDescent="0.25">
      <c r="B109" s="36" t="s">
        <v>331</v>
      </c>
      <c r="C109" s="54">
        <f>C108/C11*100</f>
      </c>
      <c r="D109" s="38" t="s">
        <v>332</v>
      </c>
    </row>
    <row r="110" spans="2:4" x14ac:dyDescent="0.25">
      <c r="B110" s="36" t="s">
        <v>333</v>
      </c>
      <c r="C110" s="55">
        <f>C109/C106</f>
      </c>
      <c r="D110" s="38" t="s">
        <v>334</v>
      </c>
    </row>
    <row r="111" spans="2:4" x14ac:dyDescent="0.25">
      <c r="B111" s="36" t="s">
        <v>335</v>
      </c>
      <c r="C111" s="48">
        <f>'Technical Premium'!$C$14</f>
      </c>
    </row>
    <row r="112" spans="2:4" x14ac:dyDescent="0.25">
      <c r="B112" s="36" t="s">
        <v>336</v>
      </c>
      <c r="C112" s="48">
        <f>IF(C11&gt;=1000000,'Technical Premium'!$C$15,0)</f>
      </c>
    </row>
    <row r="113" spans="2:4" x14ac:dyDescent="0.25">
      <c r="B113" s="36" t="s">
        <v>337</v>
      </c>
      <c r="C113" s="48">
        <f>(C108+C111+C112)*(INDEX('Territory Factors'!$K$6:$K$56,MATCH(C12,'Territory Factors'!$B$6:$B$56,0))+'Commission Structure'!$C$21)</f>
      </c>
      <c r="D113" s="38" t="s">
        <v>338</v>
      </c>
    </row>
    <row r="114" spans="2:4" ht="15.75" x14ac:dyDescent="0.25">
      <c r="B114" s="32" t="s">
        <v>339</v>
      </c>
      <c r="C114" s="52">
        <f>C108+C111+C112+C113</f>
      </c>
      <c r="D114" s="38" t="s">
        <v>340</v>
      </c>
    </row>
    <row r="116" spans="2:4" ht="18" customHeight="1" x14ac:dyDescent="0.25">
      <c r="B116" s="12" t="s">
        <v>341</v>
      </c>
      <c r="C116" s="12"/>
      <c r="D116" s="12"/>
    </row>
    <row r="117" spans="2:4" x14ac:dyDescent="0.25">
      <c r="B117" s="36" t="s">
        <v>342</v>
      </c>
      <c r="C117" s="48">
        <f>C108*'Commission Structure'!$C$5</f>
      </c>
    </row>
    <row r="118" spans="2:4" x14ac:dyDescent="0.25">
      <c r="B118" s="36" t="s">
        <v>343</v>
      </c>
      <c r="C118" s="48">
        <f>C108*'Commission Structure'!$C$6</f>
      </c>
    </row>
    <row r="119" spans="2:4" x14ac:dyDescent="0.25">
      <c r="B119" s="36" t="s">
        <v>344</v>
      </c>
      <c r="C119" s="48">
        <f>C108*'Commission Structure'!$C$7</f>
      </c>
    </row>
    <row r="120" spans="2:4" x14ac:dyDescent="0.25">
      <c r="B120" s="32" t="s">
        <v>345</v>
      </c>
      <c r="C120" s="51">
        <f>C117-C118-C119</f>
      </c>
    </row>
    <row r="121" spans="2:4" x14ac:dyDescent="0.25">
      <c r="B121" s="36" t="s">
        <v>346</v>
      </c>
      <c r="C121" s="48">
        <f>C108-C117</f>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1.1499999999999999</v>
      </c>
      <c r="E6" s="57">
        <v>1</v>
      </c>
      <c r="F6" s="31">
        <f>'Rating Engine'!C57</f>
        <v>4887.5</v>
      </c>
      <c r="G6" s="58"/>
      <c r="H6" s="59" t="str">
        <f>'Rating Engine'!C10&amp;"  |  "&amp;'Rating Engine'!C55</f>
        <v>03 - Supercar  |  $250k - $500k</v>
      </c>
    </row>
    <row r="7" spans="2:8" x14ac:dyDescent="0.25">
      <c r="B7" s="56">
        <v>1</v>
      </c>
      <c r="C7" s="21" t="str">
        <f>'Rating Engine'!B58</f>
        <v>Make / model factor</v>
      </c>
      <c r="D7" s="60">
        <f>'Rating Engine'!C58</f>
        <v>1.087</v>
      </c>
      <c r="E7" s="61">
        <f t="shared" ref="E7:E34" si="0">E6*D7</f>
        <v>1.087</v>
      </c>
      <c r="F7" s="62">
        <f t="shared" ref="F7:F34" si="1">$F$6*E7</f>
        <v>5312.7124999999996</v>
      </c>
      <c r="G7" s="62">
        <f t="shared" ref="G7:G34" si="2">F7-F6</f>
        <v>425.21249999999964</v>
      </c>
      <c r="H7" s="59" t="str">
        <f>'Rating Engine'!C8</f>
        <v>Ferrari</v>
      </c>
    </row>
    <row r="8" spans="2:8" x14ac:dyDescent="0.25">
      <c r="B8" s="63">
        <v>2</v>
      </c>
      <c r="C8" s="64" t="str">
        <f>'Rating Engine'!B59</f>
        <v>Driver age factor</v>
      </c>
      <c r="D8" s="65">
        <f>'Rating Engine'!C59</f>
        <v>1</v>
      </c>
      <c r="E8" s="66">
        <f t="shared" si="0"/>
        <v>1.087</v>
      </c>
      <c r="F8" s="67">
        <f t="shared" si="1"/>
        <v>5312.7124999999996</v>
      </c>
      <c r="G8" s="67">
        <f t="shared" si="2"/>
        <v>0</v>
      </c>
      <c r="H8" s="68" t="str">
        <f>'Rating Engine'!C19</f>
        <v>45 - 54</v>
      </c>
    </row>
    <row r="9" spans="2:8" x14ac:dyDescent="0.25">
      <c r="B9" s="56">
        <v>3</v>
      </c>
      <c r="C9" s="21" t="str">
        <f>'Rating Engine'!B60</f>
        <v>Experience factor</v>
      </c>
      <c r="D9" s="60">
        <f>'Rating Engine'!C60</f>
        <v>1</v>
      </c>
      <c r="E9" s="61">
        <f t="shared" si="0"/>
        <v>1.087</v>
      </c>
      <c r="F9" s="62">
        <f t="shared" si="1"/>
        <v>5312.7124999999996</v>
      </c>
      <c r="G9" s="62">
        <f t="shared" si="2"/>
        <v>0</v>
      </c>
      <c r="H9" s="59" t="str">
        <f>'Rating Engine'!C20</f>
        <v>5 - 10 years</v>
      </c>
    </row>
    <row r="10" spans="2:8" x14ac:dyDescent="0.25">
      <c r="B10" s="63">
        <v>4</v>
      </c>
      <c r="C10" s="64" t="str">
        <f>'Rating Engine'!B61</f>
        <v>MVR factor</v>
      </c>
      <c r="D10" s="65">
        <f>'Rating Engine'!C61</f>
        <v>1</v>
      </c>
      <c r="E10" s="66">
        <f t="shared" si="0"/>
        <v>1.087</v>
      </c>
      <c r="F10" s="67">
        <f t="shared" si="1"/>
        <v>5312.7124999999996</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0.97829999999999995</v>
      </c>
      <c r="F11" s="62">
        <f t="shared" si="1"/>
        <v>4781.4412499999999</v>
      </c>
      <c r="G11" s="62">
        <f t="shared" si="2"/>
        <v>-531.27124999999978</v>
      </c>
      <c r="H11" s="59" t="str">
        <f>'Rating Engine'!C22</f>
        <v>No at-fault claims - 5 yrs</v>
      </c>
    </row>
    <row r="12" spans="2:8" x14ac:dyDescent="0.25">
      <c r="B12" s="63">
        <v>6</v>
      </c>
      <c r="C12" s="64" t="str">
        <f>'Rating Engine'!B63</f>
        <v>State territory factor</v>
      </c>
      <c r="D12" s="65">
        <f>'Rating Engine'!C63</f>
        <v>1.45</v>
      </c>
      <c r="E12" s="66">
        <f t="shared" si="0"/>
        <v>1.4185349999999999</v>
      </c>
      <c r="F12" s="67">
        <f t="shared" si="1"/>
        <v>6933.0898124999994</v>
      </c>
      <c r="G12" s="67">
        <f t="shared" si="2"/>
        <v>2151.6485624999996</v>
      </c>
      <c r="H12" s="68" t="str">
        <f>'Rating Engine'!C12</f>
        <v>Florida</v>
      </c>
    </row>
    <row r="13" spans="2:8" x14ac:dyDescent="0.25">
      <c r="B13" s="56">
        <v>7</v>
      </c>
      <c r="C13" s="21" t="str">
        <f>'Rating Engine'!B64</f>
        <v>City / metro accident factor</v>
      </c>
      <c r="D13" s="60">
        <f>'Rating Engine'!C64</f>
        <v>1.395</v>
      </c>
      <c r="E13" s="61">
        <f t="shared" si="0"/>
        <v>1.9788563249999997</v>
      </c>
      <c r="F13" s="62">
        <f t="shared" si="1"/>
        <v>9671.6602884374988</v>
      </c>
      <c r="G13" s="62">
        <f t="shared" si="2"/>
        <v>2738.5704759374994</v>
      </c>
      <c r="H13" s="59" t="str">
        <f>'Rating Engine'!C27</f>
        <v>Miami - Fort Lauderdale, FL</v>
      </c>
    </row>
    <row r="14" spans="2:8" x14ac:dyDescent="0.25">
      <c r="B14" s="63">
        <v>8</v>
      </c>
      <c r="C14" s="64" t="str">
        <f>'Rating Engine'!B65</f>
        <v>Usage factor</v>
      </c>
      <c r="D14" s="65">
        <f>'Rating Engine'!C65</f>
        <v>1</v>
      </c>
      <c r="E14" s="66">
        <f t="shared" si="0"/>
        <v>1.9788563249999997</v>
      </c>
      <c r="F14" s="67">
        <f t="shared" si="1"/>
        <v>9671.6602884374988</v>
      </c>
      <c r="G14" s="67">
        <f t="shared" si="2"/>
        <v>0</v>
      </c>
      <c r="H14" s="68" t="str">
        <f>'Rating Engine'!C15</f>
        <v>Personal - regular use</v>
      </c>
    </row>
    <row r="15" spans="2:8" x14ac:dyDescent="0.25">
      <c r="B15" s="56">
        <v>9</v>
      </c>
      <c r="C15" s="21" t="str">
        <f>'Rating Engine'!B66</f>
        <v>Mileage factor</v>
      </c>
      <c r="D15" s="60">
        <f>'Rating Engine'!C66</f>
        <v>1</v>
      </c>
      <c r="E15" s="61">
        <f t="shared" si="0"/>
        <v>1.9788563249999997</v>
      </c>
      <c r="F15" s="62">
        <f t="shared" si="1"/>
        <v>9671.6602884374988</v>
      </c>
      <c r="G15" s="62">
        <f t="shared" si="2"/>
        <v>0</v>
      </c>
      <c r="H15" s="59" t="str">
        <f>'Rating Engine'!C16</f>
        <v>2,500 - 5,000</v>
      </c>
    </row>
    <row r="16" spans="2:8" x14ac:dyDescent="0.25">
      <c r="B16" s="63">
        <v>10</v>
      </c>
      <c r="C16" s="64" t="str">
        <f>'Rating Engine'!B67</f>
        <v>Storage factor</v>
      </c>
      <c r="D16" s="65">
        <f>'Rating Engine'!C67</f>
        <v>0.9</v>
      </c>
      <c r="E16" s="66">
        <f t="shared" si="0"/>
        <v>1.7809706924999997</v>
      </c>
      <c r="F16" s="67">
        <f t="shared" si="1"/>
        <v>8704.4942595937482</v>
      </c>
      <c r="G16" s="67">
        <f t="shared" si="2"/>
        <v>-967.16602884375061</v>
      </c>
      <c r="H16" s="68" t="str">
        <f>'Rating Engine'!C17</f>
        <v>Locked private garage w/ monitored alarm</v>
      </c>
    </row>
    <row r="17" spans="2:8" x14ac:dyDescent="0.25">
      <c r="B17" s="56">
        <v>11</v>
      </c>
      <c r="C17" s="21" t="str">
        <f>'Rating Engine'!B68</f>
        <v>Security factor</v>
      </c>
      <c r="D17" s="60">
        <f>'Rating Engine'!C68</f>
        <v>0.9</v>
      </c>
      <c r="E17" s="61">
        <f t="shared" si="0"/>
        <v>1.6028736232499998</v>
      </c>
      <c r="F17" s="62">
        <f t="shared" si="1"/>
        <v>7834.0448336343743</v>
      </c>
      <c r="G17" s="62">
        <f t="shared" si="2"/>
        <v>-870.44942595937391</v>
      </c>
      <c r="H17" s="59" t="str">
        <f>'Rating Engine'!C18</f>
        <v>GPS tracker w/ recovery service</v>
      </c>
    </row>
    <row r="18" spans="2:8" x14ac:dyDescent="0.25">
      <c r="B18" s="63">
        <v>12</v>
      </c>
      <c r="C18" s="64" t="str">
        <f>'Rating Engine'!B69</f>
        <v>PD deductible factor (value-banded)</v>
      </c>
      <c r="D18" s="65">
        <f>'Rating Engine'!C69</f>
        <v>0.94</v>
      </c>
      <c r="E18" s="66">
        <f t="shared" si="0"/>
        <v>1.5067012058549998</v>
      </c>
      <c r="F18" s="67">
        <f t="shared" si="1"/>
        <v>7364.0021436163115</v>
      </c>
      <c r="G18" s="67">
        <f t="shared" si="2"/>
        <v>-470.04269001806279</v>
      </c>
      <c r="H18" s="68" t="str">
        <f>'Rating Engine'!C24</f>
        <v>$5,000</v>
      </c>
    </row>
    <row r="19" spans="2:8" x14ac:dyDescent="0.25">
      <c r="B19" s="56">
        <v>13</v>
      </c>
      <c r="C19" s="21" t="str">
        <f>'Rating Engine'!B70</f>
        <v>Valuation basis factor</v>
      </c>
      <c r="D19" s="60">
        <f>'Rating Engine'!C70</f>
        <v>1</v>
      </c>
      <c r="E19" s="61">
        <f t="shared" si="0"/>
        <v>1.5067012058549998</v>
      </c>
      <c r="F19" s="62">
        <f t="shared" si="1"/>
        <v>7364.0021436163115</v>
      </c>
      <c r="G19" s="62">
        <f t="shared" si="2"/>
        <v>0</v>
      </c>
      <c r="H19" s="59" t="str">
        <f>'Rating Engine'!C25</f>
        <v>Agreed Value</v>
      </c>
    </row>
    <row r="20" spans="2:8" x14ac:dyDescent="0.25">
      <c r="B20" s="63">
        <v>14</v>
      </c>
      <c r="C20" s="64" t="str">
        <f>'Rating Engine'!B71</f>
        <v>Collection size credit</v>
      </c>
      <c r="D20" s="65">
        <f>'Rating Engine'!C71</f>
        <v>0.95</v>
      </c>
      <c r="E20" s="66">
        <f t="shared" si="0"/>
        <v>1.4313661455622497</v>
      </c>
      <c r="F20" s="67">
        <f t="shared" si="1"/>
        <v>6995.8020364354952</v>
      </c>
      <c r="G20" s="67">
        <f t="shared" si="2"/>
        <v>-368.2001071808163</v>
      </c>
      <c r="H20" s="68" t="str">
        <f>'Rating Engine'!C23</f>
        <v>2 - 3 vehicles</v>
      </c>
    </row>
    <row r="21" spans="2:8" x14ac:dyDescent="0.25">
      <c r="B21" s="69">
        <v>15</v>
      </c>
      <c r="C21" s="70" t="str">
        <f>'Rating Engine'!B72</f>
        <v>Comprehensive deductible factor</v>
      </c>
      <c r="D21" s="71">
        <f>'Rating Engine'!C72</f>
        <v>1</v>
      </c>
      <c r="E21" s="72">
        <f t="shared" si="0"/>
        <v>1.4313661455622497</v>
      </c>
      <c r="F21" s="73">
        <f t="shared" si="1"/>
        <v>6995.8020364354952</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1.4313661455622497</v>
      </c>
      <c r="F22" s="67">
        <f t="shared" si="1"/>
        <v>6995.8020364354952</v>
      </c>
      <c r="G22" s="67">
        <f t="shared" si="2"/>
        <v>0</v>
      </c>
      <c r="H22" s="68" t="str">
        <f>'Rating Engine'!C30</f>
        <v>$500 flat, OEM glass</v>
      </c>
    </row>
    <row r="23" spans="2:8" x14ac:dyDescent="0.25">
      <c r="B23" s="56">
        <v>17</v>
      </c>
      <c r="C23" s="21" t="str">
        <f>'Rating Engine'!B74</f>
        <v>Theft deductible factor</v>
      </c>
      <c r="D23" s="60">
        <f>'Rating Engine'!C74</f>
        <v>1</v>
      </c>
      <c r="E23" s="61">
        <f t="shared" si="0"/>
        <v>1.4313661455622497</v>
      </c>
      <c r="F23" s="62">
        <f t="shared" si="1"/>
        <v>6995.8020364354952</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1.4313661455622497</v>
      </c>
      <c r="F24" s="67">
        <f t="shared" si="1"/>
        <v>6995.8020364354952</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1.4313661455622497</v>
      </c>
      <c r="F25" s="62">
        <f t="shared" si="1"/>
        <v>6995.8020364354952</v>
      </c>
      <c r="G25" s="62">
        <f t="shared" si="2"/>
        <v>0</v>
      </c>
      <c r="H25" s="59" t="str">
        <f>'Rating Engine'!C33</f>
        <v>Not purchased</v>
      </c>
    </row>
    <row r="26" spans="2:8" x14ac:dyDescent="0.25">
      <c r="B26" s="63">
        <v>20</v>
      </c>
      <c r="C26" s="64" t="str">
        <f>'Rating Engine'!B77</f>
        <v>Newly acquired vehicle factor</v>
      </c>
      <c r="D26" s="65">
        <f>'Rating Engine'!C77</f>
        <v>1</v>
      </c>
      <c r="E26" s="66">
        <f t="shared" si="0"/>
        <v>1.4313661455622497</v>
      </c>
      <c r="F26" s="67">
        <f t="shared" si="1"/>
        <v>6995.8020364354952</v>
      </c>
      <c r="G26" s="67">
        <f t="shared" si="2"/>
        <v>0</v>
      </c>
      <c r="H26" s="68" t="str">
        <f>'Rating Engine'!C34</f>
        <v>$500,000 / 30 days</v>
      </c>
    </row>
    <row r="27" spans="2:8" x14ac:dyDescent="0.25">
      <c r="B27" s="56">
        <v>21</v>
      </c>
      <c r="C27" s="21" t="str">
        <f>'Rating Engine'!B78</f>
        <v>Spare parts factor</v>
      </c>
      <c r="D27" s="60">
        <f>'Rating Engine'!C78</f>
        <v>1</v>
      </c>
      <c r="E27" s="61">
        <f t="shared" si="0"/>
        <v>1.4313661455622497</v>
      </c>
      <c r="F27" s="62">
        <f t="shared" si="1"/>
        <v>6995.8020364354952</v>
      </c>
      <c r="G27" s="62">
        <f t="shared" si="2"/>
        <v>0</v>
      </c>
      <c r="H27" s="59" t="str">
        <f>'Rating Engine'!C35</f>
        <v>$25,000</v>
      </c>
    </row>
    <row r="28" spans="2:8" x14ac:dyDescent="0.25">
      <c r="B28" s="63">
        <v>22</v>
      </c>
      <c r="C28" s="64" t="str">
        <f>'Rating Engine'!B79</f>
        <v>Personal effects factor</v>
      </c>
      <c r="D28" s="65">
        <f>'Rating Engine'!C79</f>
        <v>1</v>
      </c>
      <c r="E28" s="66">
        <f t="shared" si="0"/>
        <v>1.4313661455622497</v>
      </c>
      <c r="F28" s="67">
        <f t="shared" si="1"/>
        <v>6995.8020364354952</v>
      </c>
      <c r="G28" s="67">
        <f t="shared" si="2"/>
        <v>0</v>
      </c>
      <c r="H28" s="68" t="str">
        <f>'Rating Engine'!C36</f>
        <v>$5,000</v>
      </c>
    </row>
    <row r="29" spans="2:8" x14ac:dyDescent="0.25">
      <c r="B29" s="56">
        <v>23</v>
      </c>
      <c r="C29" s="21" t="str">
        <f>'Rating Engine'!B80</f>
        <v>Loss of use factor</v>
      </c>
      <c r="D29" s="60">
        <f>'Rating Engine'!C80</f>
        <v>1</v>
      </c>
      <c r="E29" s="61">
        <f t="shared" si="0"/>
        <v>1.4313661455622497</v>
      </c>
      <c r="F29" s="62">
        <f t="shared" si="1"/>
        <v>6995.8020364354952</v>
      </c>
      <c r="G29" s="62">
        <f t="shared" si="2"/>
        <v>0</v>
      </c>
      <c r="H29" s="59" t="str">
        <f>'Rating Engine'!C37</f>
        <v>$10,000</v>
      </c>
    </row>
    <row r="30" spans="2:8" x14ac:dyDescent="0.25">
      <c r="B30" s="63">
        <v>24</v>
      </c>
      <c r="C30" s="64" t="str">
        <f>'Rating Engine'!B81</f>
        <v>Transit factor</v>
      </c>
      <c r="D30" s="65">
        <f>'Rating Engine'!C81</f>
        <v>1</v>
      </c>
      <c r="E30" s="66">
        <f t="shared" si="0"/>
        <v>1.4313661455622497</v>
      </c>
      <c r="F30" s="67">
        <f t="shared" si="1"/>
        <v>6995.8020364354952</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1.4313661455622497</v>
      </c>
      <c r="F31" s="62">
        <f t="shared" si="1"/>
        <v>6995.8020364354952</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1.4313661455622497</v>
      </c>
      <c r="F32" s="67">
        <f t="shared" si="1"/>
        <v>6995.8020364354952</v>
      </c>
      <c r="G32" s="67">
        <f t="shared" si="2"/>
        <v>0</v>
      </c>
      <c r="H32" s="68" t="str">
        <f>'Rating Engine'!C40</f>
        <v>$100,000</v>
      </c>
    </row>
    <row r="33" spans="2:8" x14ac:dyDescent="0.25">
      <c r="B33" s="56">
        <v>27</v>
      </c>
      <c r="C33" s="21" t="str">
        <f>'Rating Engine'!B84</f>
        <v>Diminution in value factor</v>
      </c>
      <c r="D33" s="60">
        <f>'Rating Engine'!C84</f>
        <v>1</v>
      </c>
      <c r="E33" s="61">
        <f t="shared" si="0"/>
        <v>1.4313661455622497</v>
      </c>
      <c r="F33" s="62">
        <f t="shared" si="1"/>
        <v>6995.8020364354952</v>
      </c>
      <c r="G33" s="62">
        <f t="shared" si="2"/>
        <v>0</v>
      </c>
      <c r="H33" s="59" t="str">
        <f>'Rating Engine'!C41</f>
        <v>10% of agreed value</v>
      </c>
    </row>
    <row r="34" spans="2:8" x14ac:dyDescent="0.25">
      <c r="B34" s="63">
        <v>28</v>
      </c>
      <c r="C34" s="64" t="str">
        <f>'Rating Engine'!B85</f>
        <v>Per-location aggregate factor</v>
      </c>
      <c r="D34" s="65">
        <f>'Rating Engine'!C85</f>
        <v>1</v>
      </c>
      <c r="E34" s="66">
        <f t="shared" si="0"/>
        <v>1.4313661455622497</v>
      </c>
      <c r="F34" s="67">
        <f t="shared" si="1"/>
        <v>6995.8020364354952</v>
      </c>
      <c r="G34" s="67">
        <f t="shared" si="2"/>
        <v>0</v>
      </c>
      <c r="H34" s="68" t="str">
        <f>'Rating Engine'!C42</f>
        <v>$10,000,000</v>
      </c>
    </row>
    <row r="35" spans="2:8" x14ac:dyDescent="0.25">
      <c r="C35" s="32" t="s">
        <v>360</v>
      </c>
      <c r="E35" s="75">
        <f>E34</f>
        <v>1.4313661455622497</v>
      </c>
      <c r="F35" s="76">
        <f>F34</f>
        <v>6995.8020364354952</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6995.8020364354952</v>
      </c>
      <c r="F39" s="62">
        <f>E39</f>
        <v>6995.8020364354952</v>
      </c>
      <c r="G39" s="78">
        <f>E39/'Rating Engine'!C105</f>
        <v>0.27918917612970273</v>
      </c>
      <c r="H39" s="79">
        <f>E39/'Rating Engine'!C11*100</f>
        <v>1.6460710673965873</v>
      </c>
    </row>
    <row r="40" spans="2:8" x14ac:dyDescent="0.25">
      <c r="C40" s="80" t="s">
        <v>311</v>
      </c>
      <c r="D40" s="81"/>
      <c r="E40" s="82">
        <f>'Rating Engine'!C94</f>
        <v>1747.1538</v>
      </c>
      <c r="F40" s="67">
        <f t="shared" ref="F40:F45" si="3">F39+E40</f>
        <v>8742.9558364354962</v>
      </c>
      <c r="G40" s="83">
        <f>E40/'Rating Engine'!C105</f>
        <v>6.9725590783357355E-2</v>
      </c>
      <c r="H40" s="84">
        <f>E40/'Rating Engine'!C11*100</f>
        <v>0.41109501176470592</v>
      </c>
    </row>
    <row r="41" spans="2:8" x14ac:dyDescent="0.25">
      <c r="C41" s="36" t="s">
        <v>368</v>
      </c>
      <c r="E41" s="31">
        <f>'Rating Engine'!C96</f>
        <v>699.43646691483968</v>
      </c>
      <c r="F41" s="62">
        <f t="shared" si="3"/>
        <v>9442.3923033503361</v>
      </c>
      <c r="G41" s="78">
        <f>E41/'Rating Engine'!C105</f>
        <v>2.7913181353044811E-2</v>
      </c>
      <c r="H41" s="79">
        <f>E41/'Rating Engine'!C11*100</f>
        <v>0.16457328633290347</v>
      </c>
    </row>
    <row r="42" spans="2:8" x14ac:dyDescent="0.25">
      <c r="C42" s="80" t="s">
        <v>369</v>
      </c>
      <c r="D42" s="81"/>
      <c r="E42" s="82">
        <f>'Rating Engine'!C98</f>
        <v>472.11961516751683</v>
      </c>
      <c r="F42" s="67">
        <f t="shared" si="3"/>
        <v>9914.5119185178537</v>
      </c>
      <c r="G42" s="83">
        <f>E42/'Rating Engine'!C105</f>
        <v>1.8841397413305247E-2</v>
      </c>
      <c r="H42" s="84">
        <f>E42/'Rating Engine'!C11*100</f>
        <v>0.11108696827470985</v>
      </c>
    </row>
    <row r="43" spans="2:8" x14ac:dyDescent="0.25">
      <c r="C43" s="36" t="s">
        <v>99</v>
      </c>
      <c r="E43" s="31">
        <f>'Rating Engine'!C100</f>
        <v>3022.186479740134</v>
      </c>
      <c r="F43" s="62">
        <f t="shared" si="3"/>
        <v>12936.698398257988</v>
      </c>
      <c r="G43" s="78">
        <f>E43/'Rating Engine'!C105</f>
        <v>0.12060972408803158</v>
      </c>
      <c r="H43" s="79">
        <f>E43/'Rating Engine'!C11*100</f>
        <v>0.7111027011153257</v>
      </c>
    </row>
    <row r="44" spans="2:8" x14ac:dyDescent="0.25">
      <c r="C44" s="80" t="s">
        <v>370</v>
      </c>
      <c r="D44" s="81"/>
      <c r="E44" s="82">
        <f>'Rating Engine'!C102</f>
        <v>970.25237986934906</v>
      </c>
      <c r="F44" s="67">
        <f t="shared" si="3"/>
        <v>13906.950778127337</v>
      </c>
      <c r="G44" s="83">
        <f>E44/'Rating Engine'!C105</f>
        <v>3.8720930232558133E-2</v>
      </c>
      <c r="H44" s="84">
        <f>E44/'Rating Engine'!C11*100</f>
        <v>0.22829467761631742</v>
      </c>
    </row>
    <row r="45" spans="2:8" x14ac:dyDescent="0.25">
      <c r="C45" s="36" t="s">
        <v>371</v>
      </c>
      <c r="E45" s="31">
        <f>'Rating Engine'!C105-'Rating Engine'!C103</f>
        <v>11150.618191471471</v>
      </c>
      <c r="F45" s="62">
        <f t="shared" si="3"/>
        <v>25057.568969598808</v>
      </c>
      <c r="G45" s="78">
        <f>E45/'Rating Engine'!C105</f>
        <v>0.44500000000000006</v>
      </c>
      <c r="H45" s="79">
        <f>E45/'Rating Engine'!C11*100</f>
        <v>2.6236748685815225</v>
      </c>
    </row>
    <row r="46" spans="2:8" x14ac:dyDescent="0.25">
      <c r="C46" s="32" t="s">
        <v>112</v>
      </c>
      <c r="D46" s="85"/>
      <c r="E46" s="85"/>
      <c r="F46" s="76">
        <f>F45</f>
        <v>25057.568969598808</v>
      </c>
      <c r="G46" s="86">
        <f>SUM(G39:G45)</f>
        <v>1</v>
      </c>
      <c r="H46" s="87">
        <f>'Rating Engine'!C106</f>
        <v>5.8958985810820721</v>
      </c>
    </row>
    <row r="47" spans="2:8" x14ac:dyDescent="0.25">
      <c r="C47" s="36" t="s">
        <v>118</v>
      </c>
      <c r="F47" s="31">
        <f>'Rating Engine'!C107</f>
        <v>0</v>
      </c>
    </row>
    <row r="48" spans="2:8" x14ac:dyDescent="0.25">
      <c r="C48" s="32" t="s">
        <v>372</v>
      </c>
      <c r="F48" s="76">
        <f>'Rating Engine'!C108</f>
        <v>25057.568969598808</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1300.8675312434591</v>
      </c>
    </row>
    <row r="52" spans="2:8" x14ac:dyDescent="0.25">
      <c r="C52" s="32" t="s">
        <v>339</v>
      </c>
      <c r="F52" s="76">
        <f>'Rating Engine'!C114</f>
        <v>26708.436500842268</v>
      </c>
    </row>
    <row r="54" spans="2:8" ht="18" customHeight="1" x14ac:dyDescent="0.25">
      <c r="B54" s="12" t="s">
        <v>373</v>
      </c>
      <c r="C54" s="12"/>
      <c r="D54" s="12"/>
      <c r="E54" s="12"/>
      <c r="F54" s="12"/>
      <c r="G54" s="12"/>
      <c r="H54" s="12"/>
    </row>
    <row r="55" spans="2:8" x14ac:dyDescent="0.25">
      <c r="C55" s="36" t="s">
        <v>374</v>
      </c>
      <c r="E55" s="58">
        <f>'Rating Engine'!C11/100*'Rating Engine'!C56</f>
        <v>4887.5</v>
      </c>
    </row>
    <row r="56" spans="2:8" x14ac:dyDescent="0.25">
      <c r="C56" s="80" t="s">
        <v>375</v>
      </c>
      <c r="D56" s="81"/>
      <c r="E56" s="88">
        <f>E55*'Rating Engine'!C86</f>
        <v>6995.8020364354952</v>
      </c>
    </row>
    <row r="57" spans="2:8" x14ac:dyDescent="0.25">
      <c r="C57" s="36" t="s">
        <v>376</v>
      </c>
      <c r="E57" s="58">
        <f>E56*'Rating Engine'!C87</f>
        <v>6995.8020364354952</v>
      </c>
    </row>
    <row r="58" spans="2:8" x14ac:dyDescent="0.25">
      <c r="C58" s="80" t="s">
        <v>377</v>
      </c>
      <c r="D58" s="81"/>
      <c r="E58" s="88">
        <f>E57+'Rating Engine'!C92*'Rating Engine'!C93*MIN('Rating Engine'!C65*'Rating Engine'!C59*'Rating Engine'!C61*'Rating Engine'!C62*'Rating Engine'!C66*'Rating Engine'!C64,'Technical Premium'!C17)</f>
        <v>8742.9558364354962</v>
      </c>
    </row>
    <row r="59" spans="2:8" x14ac:dyDescent="0.25">
      <c r="C59" s="36" t="s">
        <v>378</v>
      </c>
      <c r="E59" s="58">
        <f>E58*(1+'Technical Premium'!C5)</f>
        <v>9442.3923033503361</v>
      </c>
    </row>
    <row r="60" spans="2:8" x14ac:dyDescent="0.25">
      <c r="C60" s="80" t="s">
        <v>379</v>
      </c>
      <c r="D60" s="81"/>
      <c r="E60" s="88">
        <f>E59*(1+'Technical Premium'!C6)</f>
        <v>9914.5119185178537</v>
      </c>
    </row>
    <row r="61" spans="2:8" x14ac:dyDescent="0.25">
      <c r="C61" s="36" t="s">
        <v>380</v>
      </c>
      <c r="E61" s="58">
        <f>E60+'Rating Engine'!C91*'Rating Engine'!C99*'Rating Engine'!C51*'Rating Engine'!C52</f>
        <v>12936.698398257988</v>
      </c>
    </row>
    <row r="62" spans="2:8" x14ac:dyDescent="0.25">
      <c r="C62" s="80" t="s">
        <v>381</v>
      </c>
      <c r="D62" s="81"/>
      <c r="E62" s="88">
        <f>E61*(1+'Technical Premium'!C7)</f>
        <v>13906.950778127337</v>
      </c>
    </row>
    <row r="63" spans="2:8" x14ac:dyDescent="0.25">
      <c r="C63" s="32" t="s">
        <v>382</v>
      </c>
      <c r="E63" s="76">
        <f>E62/'Technical Premium'!C13</f>
        <v>25057.568969598808</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s">
        <v>494</v>
      </c>
      <c r="B5" s="92" t="s">
        <v>495</v>
      </c>
      <c r="C5" s="93">
        <v>46082</v>
      </c>
      <c r="D5" s="93">
        <v>46631</v>
      </c>
      <c r="E5" s="94">
        <v>2024</v>
      </c>
      <c r="F5" s="92" t="s">
        <v>160</v>
      </c>
      <c r="G5" s="92" t="s">
        <v>163</v>
      </c>
      <c r="H5" s="92" t="s">
        <v>496</v>
      </c>
      <c r="I5" s="92" t="s">
        <v>166</v>
      </c>
      <c r="J5" s="95">
        <v>425000</v>
      </c>
      <c r="K5" s="92" t="s">
        <v>171</v>
      </c>
      <c r="L5" s="92" t="s">
        <v>497</v>
      </c>
      <c r="M5" s="92" t="s">
        <v>177</v>
      </c>
      <c r="N5" s="92" t="s">
        <v>180</v>
      </c>
      <c r="O5" s="92" t="s">
        <v>183</v>
      </c>
      <c r="P5" s="92" t="s">
        <v>186</v>
      </c>
      <c r="Q5" s="92" t="s">
        <v>189</v>
      </c>
      <c r="R5" s="92" t="s">
        <v>192</v>
      </c>
      <c r="S5" s="92" t="s">
        <v>195</v>
      </c>
      <c r="T5" s="92" t="s">
        <v>198</v>
      </c>
      <c r="U5" s="92" t="s">
        <v>201</v>
      </c>
      <c r="V5" s="92" t="s">
        <v>204</v>
      </c>
      <c r="W5" s="92" t="s">
        <v>207</v>
      </c>
      <c r="X5" s="92" t="s">
        <v>210</v>
      </c>
      <c r="Y5" s="92" t="s">
        <v>212</v>
      </c>
      <c r="Z5" s="92" t="s">
        <v>215</v>
      </c>
      <c r="AA5" s="92" t="s">
        <v>218</v>
      </c>
      <c r="AB5" s="92"/>
      <c r="AC5" s="92"/>
      <c r="AD5" s="92"/>
      <c r="AE5" s="92"/>
      <c r="AF5" s="92"/>
      <c r="AG5" s="92"/>
      <c r="AH5" s="92"/>
      <c r="AI5" s="92"/>
      <c r="AJ5" s="92"/>
      <c r="AK5" s="92"/>
      <c r="AL5" s="92"/>
      <c r="AM5" s="92"/>
      <c r="AN5" s="92"/>
      <c r="AO5" s="92"/>
      <c r="AP5" s="92"/>
      <c r="AQ5" s="96">
        <v>0</v>
      </c>
      <c r="AR5" s="97" t="str">
        <f t="shared" ref="AR5:AR68" si="0">IF($A5="","",IFERROR(LEFT(TEXT(VALUE($L5),"00000"),3),"---"))</f>
        <v>331</v>
      </c>
      <c r="AS5" s="97" t="str">
        <f>IF($A5="","",IF($AP5&lt;&gt;"",$AP5,IFERROR(INDEX('Cat Zone by ZIP'!$D$6:$D$856,MATCH($AR5,'Cat Zone by ZIP'!$B$6:$B$856,0)),IFERROR(INDEX('Cat Zone by ZIP'!$C$860:$C$910,MATCH($K5,'Cat Zone by ZIP'!$B$860:$B$910,0)),"NOT FOUND"))))</f>
        <v>Tier 1 - Coastal wind / surge (0-1 mile, FEMA V or Coastal A)</v>
      </c>
      <c r="AT5" s="97" t="str">
        <f>IF($A5="","",IF($AP5&lt;&gt;"","Override",IF(ISNUMBER(MATCH($AR5,'Cat Zone by ZIP'!$B$6:$B$856,0)),"ZIP-3","State default")))</f>
        <v>ZIP-3</v>
      </c>
      <c r="AU5" s="98">
        <f>IF($A5="","",IFERROR(INDEX('Natural Catastrophe'!$D$6:$D$17,MATCH($AS5,'Natural Catastrophe'!$B$6:$B$17,0)),"?"))</f>
        <v>3</v>
      </c>
      <c r="AV5" s="98">
        <f>IF($A5="","",IFERROR(INDEX('Natural Catastrophe'!$C$21:$C$26,MATCH($AA5,'Natural Catastrophe'!$B$21:$B$26,0)),"?"))</f>
        <v>0.8</v>
      </c>
      <c r="AW5" s="97" t="str">
        <f>IF($A5="","",IFERROR(INDEX('Base Rates'!$C$4:$I$4,MATCH(MAX($J5,'Technical Premium'!$C$18),'Base Rates'!$C$3:$I$3,1)),"?"))</f>
        <v>$250k - $500k</v>
      </c>
      <c r="AX5" s="99">
        <f>IF($A5="","",IFERROR(INDEX('Base Rates'!$C$5:$I$16,MATCH($I5,'Base Rates'!$B$5:$B$16,0),MATCH(MAX($J5,'Technical Premium'!$C$18),'Base Rates'!$C$3:$I$3,1)),"?"))</f>
        <v>1.1499999999999999</v>
      </c>
      <c r="AY5" s="100">
        <f t="shared" ref="AY5:AY68" si="1">IF(ISNUMBER($AX5),$J5/100*$AX5,"")</f>
        <v>4887.5</v>
      </c>
      <c r="AZ5" s="98">
        <f>IF($A5="","",IFERROR(INDEX('Make Factors'!$G$5:$G$69,MATCH($F5,'Make Factors'!$B$5:$B$69,0)),"?"))</f>
        <v>1.087</v>
      </c>
      <c r="BA5" s="98">
        <f>IF($A5="","",IFERROR(INDEX('Driver Factors'!$C$6:$C$15,MATCH($R5,'Driver Factors'!$B$6:$B$15,0)),"?"))</f>
        <v>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1.45</v>
      </c>
      <c r="BF5" s="98">
        <f>IF($A5="","",IFERROR(INDEX('City Accident Ratings'!$G$6:$G$54,MATCH($Z5,'City Accident Ratings'!$B$6:$B$54,0)),"?"))</f>
        <v>1.395</v>
      </c>
      <c r="BG5" s="98">
        <f>IF($A5="","",IFERROR(INDEX('Usage and Coverage'!$D$6:$D$20,MATCH($N5,'Usage and Coverage'!$C$6:$C$20,0)),"?"))</f>
        <v>1</v>
      </c>
      <c r="BH5" s="98">
        <f>IF($A5="","",IFERROR(INDEX('Usage and Coverage'!$C$24:$C$30,MATCH($O5,'Usage and Coverage'!$B$24:$B$30,0)),"?"))</f>
        <v>1</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0.94</v>
      </c>
      <c r="BL5" s="98">
        <f>IF($A5="","",IFERROR(INDEX('Usage and Coverage'!$C$63:$C$66,MATCH($X5,'Usage and Coverage'!$B$63:$B$66,0)),"?"))</f>
        <v>1</v>
      </c>
      <c r="BM5" s="98">
        <f>IF($A5="","",IFERROR(INDEX('Usage and Coverage'!$C$70:$C$75,MATCH($V5,'Usage and Coverage'!$B$70:$B$75,0)),"?"))</f>
        <v>0.95</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1.4313661455622497</v>
      </c>
      <c r="CC5" s="98">
        <f t="shared" ref="CC5:CC68" si="3">IF($A5="","",IF(SUMPRODUCT(--ISTEXT($BN5:$CA5))&gt;0,"?",PRODUCT($BN5:$CA5)))</f>
        <v>1</v>
      </c>
      <c r="CD5" s="101">
        <f>IF($A5="","",IF(OR($CB5="?",$CC5="?"),"?",MIN($CB5*$CC5,'Technical Premium'!$C$17)))</f>
        <v>1.4313661455622497</v>
      </c>
      <c r="CE5" s="100">
        <f t="shared" ref="CE5:CE68" si="4">IF(ISNUMBER($CD5),$AY5*$CD5,"")</f>
        <v>6995.8020364354952</v>
      </c>
      <c r="CF5" s="100">
        <f>IF($A5="","",IFERROR(INDEX('Territory Factors'!$F$6:$F$56,MATCH($K5,'Territory Factors'!$B$6:$B$56,0)),"?"))</f>
        <v>980</v>
      </c>
      <c r="CG5" s="98">
        <f>IF($A5="","",IFERROR(INDEX('Usage and Coverage'!$C$79:$C$84,MATCH($Y5,'Usage and Coverage'!$B$79:$B$84,0)),"?"))</f>
        <v>1.42</v>
      </c>
      <c r="CH5" s="100">
        <f>IFERROR(IF(ISNUMBER($CD5),$CF5*$CG5*MIN($BG5*$BA5*$BC5*$BD5*$BH5*$BF5,'Technical Premium'!$C$17),""),"")</f>
        <v>1747.1538</v>
      </c>
      <c r="CI5" s="100">
        <f t="shared" ref="CI5:CI68" si="5">IFERROR($CE5+$CH5,"")</f>
        <v>8742.9558364354962</v>
      </c>
      <c r="CJ5" s="100">
        <f>IFERROR($CI5*(1+'Technical Premium'!$C$5)*(1+'Technical Premium'!$C$6),"")</f>
        <v>9914.5119185178537</v>
      </c>
      <c r="CK5" s="100">
        <f>IFERROR($CE5*INDEX('Territory Factors'!$G$6:$G$56,MATCH($K5,'Territory Factors'!$B$6:$B$56,0))*$AU5*$AV5,"")</f>
        <v>3022.186479740134</v>
      </c>
      <c r="CL5" s="100">
        <f>IFERROR(($CJ5+$CK5)*(1+'Technical Premium'!$C$7),"")</f>
        <v>13906.950778127337</v>
      </c>
      <c r="CM5" s="102">
        <f>IFERROR($CL5/'Technical Premium'!$C$13,"")</f>
        <v>25057.568969598808</v>
      </c>
      <c r="CN5" s="103">
        <f t="shared" ref="CN5:CN68" si="6">IFERROR($CM5/$J5*100,"")</f>
        <v>5.8958985810820721</v>
      </c>
      <c r="CO5" s="102">
        <f t="shared" ref="CO5:CO68" si="7">IFERROR($CM5*(1+N($AQ5)),"")</f>
        <v>25057.568969598808</v>
      </c>
      <c r="CP5" s="103">
        <f t="shared" ref="CP5:CP68" si="8">IFERROR($CO5/$J5*100,"")</f>
        <v>5.8958985810820721</v>
      </c>
      <c r="CQ5" s="104">
        <f t="shared" ref="CQ5:CQ68" si="9">IFERROR($CP5/$CN5,"")</f>
        <v>1</v>
      </c>
      <c r="CR5" s="100">
        <f>IF(ISNUMBER($CM5),'Technical Premium'!$C$14+IF($J5&gt;=1000000,'Technical Premium'!$C$15,0),"")</f>
        <v>350</v>
      </c>
      <c r="CS5" s="100">
        <f>IFERROR(($CO5+$CR5)*(INDEX('Territory Factors'!$K$6:$K$56,MATCH($K5,'Territory Factors'!$B$6:$B$56,0))+'Commission Structure'!$C$21),"")</f>
        <v>1300.8675312434591</v>
      </c>
      <c r="CT5" s="102">
        <f t="shared" ref="CT5:CT68" si="10">IFERROR($CO5+$CR5+$CS5,"")</f>
        <v>26708.436500842268</v>
      </c>
      <c r="CU5" s="100">
        <f>IFERROR($CO5*('Commission Structure'!$C$6+'Commission Structure'!$C$7),"")</f>
        <v>4385.0745696797912</v>
      </c>
      <c r="CV5" s="100">
        <f>IFERROR($CO5*'Commission Structure'!$C$5-$CU5,"")</f>
        <v>2505.7568969598815</v>
      </c>
      <c r="CW5" s="100">
        <f>IFERROR($CO5*(1-'Commission Structure'!$C$5),"")</f>
        <v>18166.737502959135</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s">
        <v>498</v>
      </c>
      <c r="B6" s="92" t="s">
        <v>499</v>
      </c>
      <c r="C6" s="93">
        <v>46113</v>
      </c>
      <c r="D6" s="93">
        <v>46631</v>
      </c>
      <c r="E6" s="94">
        <v>2021</v>
      </c>
      <c r="F6" s="92" t="s">
        <v>500</v>
      </c>
      <c r="G6" s="92" t="s">
        <v>501</v>
      </c>
      <c r="H6" s="92" t="s">
        <v>502</v>
      </c>
      <c r="I6" s="92" t="s">
        <v>503</v>
      </c>
      <c r="J6" s="95">
        <v>3600000</v>
      </c>
      <c r="K6" s="92" t="s">
        <v>504</v>
      </c>
      <c r="L6" s="92" t="s">
        <v>505</v>
      </c>
      <c r="M6" s="92" t="s">
        <v>177</v>
      </c>
      <c r="N6" s="92" t="s">
        <v>506</v>
      </c>
      <c r="O6" s="92" t="s">
        <v>507</v>
      </c>
      <c r="P6" s="92" t="s">
        <v>508</v>
      </c>
      <c r="Q6" s="92" t="s">
        <v>509</v>
      </c>
      <c r="R6" s="92" t="s">
        <v>510</v>
      </c>
      <c r="S6" s="92" t="s">
        <v>511</v>
      </c>
      <c r="T6" s="92" t="s">
        <v>198</v>
      </c>
      <c r="U6" s="92" t="s">
        <v>512</v>
      </c>
      <c r="V6" s="92" t="s">
        <v>513</v>
      </c>
      <c r="W6" s="92" t="s">
        <v>244</v>
      </c>
      <c r="X6" s="92" t="s">
        <v>514</v>
      </c>
      <c r="Y6" s="92" t="s">
        <v>515</v>
      </c>
      <c r="Z6" s="92" t="s">
        <v>516</v>
      </c>
      <c r="AA6" s="92" t="s">
        <v>218</v>
      </c>
      <c r="AB6" s="92"/>
      <c r="AC6" s="92"/>
      <c r="AD6" s="92"/>
      <c r="AE6" s="92"/>
      <c r="AF6" s="92"/>
      <c r="AG6" s="92"/>
      <c r="AH6" s="92" t="s">
        <v>517</v>
      </c>
      <c r="AI6" s="92"/>
      <c r="AJ6" s="92"/>
      <c r="AK6" s="92"/>
      <c r="AL6" s="92" t="s">
        <v>518</v>
      </c>
      <c r="AM6" s="92"/>
      <c r="AN6" s="92" t="s">
        <v>519</v>
      </c>
      <c r="AO6" s="92" t="s">
        <v>520</v>
      </c>
      <c r="AP6" s="92"/>
      <c r="AQ6" s="96">
        <v>0</v>
      </c>
      <c r="AR6" s="97" t="str">
        <f t="shared" si="0"/>
        <v>852</v>
      </c>
      <c r="AS6" s="97" t="str">
        <f>IF($A6="","",IF($AP6&lt;&gt;"",$AP6,IFERROR(INDEX('Cat Zone by ZIP'!$D$6:$D$856,MATCH($AR6,'Cat Zone by ZIP'!$B$6:$B$856,0)),IFERROR(INDEX('Cat Zone by ZIP'!$C$860:$C$910,MATCH($K6,'Cat Zone by ZIP'!$B$860:$B$910,0)),"NOT FOUND"))))</f>
        <v>Severe convective - hail / tornado (moderate)</v>
      </c>
      <c r="AT6" s="97" t="str">
        <f>IF($A6="","",IF($AP6&lt;&gt;"","Override",IF(ISNUMBER(MATCH($AR6,'Cat Zone by ZIP'!$B$6:$B$856,0)),"ZIP-3","State default")))</f>
        <v>ZIP-3</v>
      </c>
      <c r="AU6" s="98">
        <f>IF($A6="","",IFERROR(INDEX('Natural Catastrophe'!$D$6:$D$17,MATCH($AS6,'Natural Catastrophe'!$B$6:$B$17,0)),"?"))</f>
        <v>1.5</v>
      </c>
      <c r="AV6" s="98">
        <f>IF($A6="","",IFERROR(INDEX('Natural Catastrophe'!$C$21:$C$26,MATCH($AA6,'Natural Catastrophe'!$B$21:$B$26,0)),"?"))</f>
        <v>0.8</v>
      </c>
      <c r="AW6" s="97" t="str">
        <f>IF($A6="","",IFERROR(INDEX('Base Rates'!$C$4:$I$4,MATCH(MAX($J6,'Technical Premium'!$C$18),'Base Rates'!$C$3:$I$3,1)),"?"))</f>
        <v>$2.0M - $5.0M</v>
      </c>
      <c r="AX6" s="99">
        <f>IF($A6="","",IFERROR(INDEX('Base Rates'!$C$5:$I$16,MATCH($I6,'Base Rates'!$B$5:$B$16,0),MATCH(MAX($J6,'Technical Premium'!$C$18),'Base Rates'!$C$3:$I$3,1)),"?"))</f>
        <v>0.82</v>
      </c>
      <c r="AY6" s="100">
        <f t="shared" si="1"/>
        <v>29520</v>
      </c>
      <c r="AZ6" s="98">
        <f>IF($A6="","",IFERROR(INDEX('Make Factors'!$G$5:$G$69,MATCH($F6,'Make Factors'!$B$5:$B$69,0)),"?"))</f>
        <v>1.607</v>
      </c>
      <c r="BA6" s="98">
        <f>IF($A6="","",IFERROR(INDEX('Driver Factors'!$C$6:$C$15,MATCH($R6,'Driver Factors'!$B$6:$B$15,0)),"?"))</f>
        <v>1</v>
      </c>
      <c r="BB6" s="98">
        <f>IF($A6="","",IFERROR(INDEX('Driver Factors'!$C$19:$C$24,MATCH($S6,'Driver Factors'!$B$19:$B$24,0)),"?"))</f>
        <v>0.95</v>
      </c>
      <c r="BC6" s="98">
        <f>IF($A6="","",IFERROR(INDEX('Driver Factors'!$C$28:$C$36,MATCH($T6,'Driver Factors'!$B$28:$B$36,0)),"?"))</f>
        <v>1</v>
      </c>
      <c r="BD6" s="98">
        <f>IF($A6="","",IFERROR(INDEX('Claims History'!$C$6:$C$15,MATCH($U6,'Claims History'!$B$6:$B$15,0)),"?"))</f>
        <v>0.85</v>
      </c>
      <c r="BE6" s="98">
        <f>IF($A6="","",IFERROR(INDEX('Territory Factors'!$E$6:$E$56,MATCH($K6,'Territory Factors'!$B$6:$B$56,0)),"?"))</f>
        <v>1.1000000000000001</v>
      </c>
      <c r="BF6" s="98">
        <f>IF($A6="","",IFERROR(INDEX('City Accident Ratings'!$G$6:$G$54,MATCH($Z6,'City Accident Ratings'!$B$6:$B$54,0)),"?"))</f>
        <v>1.18</v>
      </c>
      <c r="BG6" s="98">
        <f>IF($A6="","",IFERROR(INDEX('Usage and Coverage'!$D$6:$D$20,MATCH($N6,'Usage and Coverage'!$C$6:$C$20,0)),"?"))</f>
        <v>0.85</v>
      </c>
      <c r="BH6" s="98">
        <f>IF($A6="","",IFERROR(INDEX('Usage and Coverage'!$C$24:$C$30,MATCH($O6,'Usage and Coverage'!$B$24:$B$30,0)),"?"))</f>
        <v>0.75</v>
      </c>
      <c r="BI6" s="98">
        <f>IF($A6="","",IFERROR(INDEX('Usage and Coverage'!$C$34:$C$40,MATCH($P6,'Usage and Coverage'!$B$34:$B$40,0)),"?"))</f>
        <v>0.85</v>
      </c>
      <c r="BJ6" s="98">
        <f>IF($A6="","",IFERROR(INDEX('Usage and Coverage'!$C$44:$C$49,MATCH($Q6,'Usage and Coverage'!$B$44:$B$49,0)),"?"))</f>
        <v>0.85</v>
      </c>
      <c r="BK6" s="98">
        <f>IF($A6="","",IFERROR(INDEX(Deductibles!$C$6:$I$15,MATCH($W6,Deductibles!$B$6:$B$15,0),MATCH(MAX($J6,'Technical Premium'!$C$18),'Base Rates'!$C$3:$I$3,1)),"?"))</f>
        <v>0.78</v>
      </c>
      <c r="BL6" s="98">
        <f>IF($A6="","",IFERROR(INDEX('Usage and Coverage'!$C$63:$C$66,MATCH($X6,'Usage and Coverage'!$B$63:$B$66,0)),"?"))</f>
        <v>1.06</v>
      </c>
      <c r="BM6" s="98">
        <f>IF($A6="","",IFERROR(INDEX('Usage and Coverage'!$C$70:$C$75,MATCH($V6,'Usage and Coverage'!$B$70:$B$75,0)),"?"))</f>
        <v>0.82</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1.0349999999999999</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1.1000000000000001</v>
      </c>
      <c r="BY6" s="97">
        <f>IF($A6="","",IF($AM6="",1,IFERROR(INDEX('Sublimits and Parts'!$C$91:$C$94,MATCH($AM6,'Sublimits and Parts'!$B$91:$B$94,0)),"?")))</f>
        <v>1</v>
      </c>
      <c r="BZ6" s="98">
        <f>IF($A6="","",IF($AN6="",1,IFERROR(INDEX('Sublimits and Parts'!$C$98:$C$101,MATCH($AN6,'Sublimits and Parts'!$B$98:$B$101,0)),"?")))</f>
        <v>1.0449999999999999</v>
      </c>
      <c r="CA6" s="98">
        <f>IF($A6="","",IF($AO6="",1,IFERROR(INDEX('Sublimits and Parts'!$C$105:$C$109,MATCH($AO6,'Sublimits and Parts'!$B$105:$B$109,0)),"?")))</f>
        <v>1.03</v>
      </c>
      <c r="CB6" s="98">
        <f t="shared" si="2"/>
        <v>0.52597543456047924</v>
      </c>
      <c r="CC6" s="98">
        <f t="shared" si="3"/>
        <v>1.2254244750000001</v>
      </c>
      <c r="CD6" s="101">
        <f>IF($A6="","",IF(OR($CB6="?",$CC6="?"),"?",MIN($CB6*$CC6,'Technical Premium'!$C$17)))</f>
        <v>0.64454317075917211</v>
      </c>
      <c r="CE6" s="100">
        <f t="shared" si="4"/>
        <v>19026.914400810761</v>
      </c>
      <c r="CF6" s="100">
        <f>IF($A6="","",IFERROR(INDEX('Territory Factors'!$F$6:$F$56,MATCH($K6,'Territory Factors'!$B$6:$B$56,0)),"?"))</f>
        <v>520</v>
      </c>
      <c r="CG6" s="98">
        <f>IF($A6="","",IFERROR(INDEX('Usage and Coverage'!$C$79:$C$84,MATCH($Y6,'Usage and Coverage'!$B$79:$B$84,0)),"?"))</f>
        <v>2.0499999999999998</v>
      </c>
      <c r="CH6" s="100">
        <f>IFERROR(IF(ISNUMBER($CD6),$CF6*$CG6*MIN($BG6*$BA6*$BC6*$BD6*$BH6*$BF6,'Technical Premium'!$C$17),""),"")</f>
        <v>681.61372499999982</v>
      </c>
      <c r="CI6" s="100">
        <f t="shared" si="5"/>
        <v>19708.528125810761</v>
      </c>
      <c r="CJ6" s="100">
        <f>IFERROR($CI6*(1+'Technical Premium'!$C$5)*(1+'Technical Premium'!$C$6),"")</f>
        <v>22349.470894669405</v>
      </c>
      <c r="CK6" s="100">
        <f>IFERROR($CE6*INDEX('Territory Factors'!$G$6:$G$56,MATCH($K6,'Territory Factors'!$B$6:$B$56,0))*$AU6*$AV6,"")</f>
        <v>1027.4533776437811</v>
      </c>
      <c r="CL6" s="100">
        <f>IFERROR(($CJ6+$CK6)*(1+'Technical Premium'!$C$7),"")</f>
        <v>25130.193592736676</v>
      </c>
      <c r="CM6" s="102">
        <f>IFERROR($CL6/'Technical Premium'!$C$13,"")</f>
        <v>45279.628095021042</v>
      </c>
      <c r="CN6" s="103">
        <f t="shared" si="6"/>
        <v>1.257767447083918</v>
      </c>
      <c r="CO6" s="102">
        <f t="shared" si="7"/>
        <v>45279.628095021042</v>
      </c>
      <c r="CP6" s="103">
        <f t="shared" si="8"/>
        <v>1.257767447083918</v>
      </c>
      <c r="CQ6" s="104">
        <f t="shared" si="9"/>
        <v>1</v>
      </c>
      <c r="CR6" s="100">
        <f>IF(ISNUMBER($CM6),'Technical Premium'!$C$14+IF($J6&gt;=1000000,'Technical Premium'!$C$15,0),"")</f>
        <v>600</v>
      </c>
      <c r="CS6" s="100">
        <f>IFERROR(($CO6+$CR6)*(INDEX('Territory Factors'!$K$6:$K$56,MATCH($K6,'Territory Factors'!$B$6:$B$56,0))+'Commission Structure'!$C$21),"")</f>
        <v>1458.9721734216691</v>
      </c>
      <c r="CT6" s="102">
        <f t="shared" si="10"/>
        <v>47338.600268442708</v>
      </c>
      <c r="CU6" s="100">
        <f>IFERROR($CO6*('Commission Structure'!$C$6+'Commission Structure'!$C$7),"")</f>
        <v>7923.934916628682</v>
      </c>
      <c r="CV6" s="100">
        <f>IFERROR($CO6*'Commission Structure'!$C$5-$CU6,"")</f>
        <v>4527.9628095021062</v>
      </c>
      <c r="CW6" s="100">
        <f>IFERROR($CO6*(1-'Commission Structure'!$C$5),"")</f>
        <v>32827.730368890254</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REFER</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NO - AWAITING APPROVAL</v>
      </c>
      <c r="DH6" s="97">
        <f>IF($A6="","",IF(OR($CX6="REFER",$CX6="DECLINE"),COUNTIF($CX$5:$CX6,"REFER")+COUNTIF($CX$5:$CX6,"DECLINE"),""))</f>
        <v>1</v>
      </c>
      <c r="DI6" s="92"/>
    </row>
    <row r="7" spans="1:113" x14ac:dyDescent="0.25">
      <c r="A7" s="92" t="s">
        <v>521</v>
      </c>
      <c r="B7" s="92" t="s">
        <v>499</v>
      </c>
      <c r="C7" s="93">
        <v>46143</v>
      </c>
      <c r="D7" s="93">
        <v>46631</v>
      </c>
      <c r="E7" s="94">
        <v>1965</v>
      </c>
      <c r="F7" s="92" t="s">
        <v>522</v>
      </c>
      <c r="G7" s="92" t="s">
        <v>523</v>
      </c>
      <c r="H7" s="92" t="s">
        <v>524</v>
      </c>
      <c r="I7" s="92" t="s">
        <v>525</v>
      </c>
      <c r="J7" s="95">
        <v>1450000</v>
      </c>
      <c r="K7" s="92" t="s">
        <v>504</v>
      </c>
      <c r="L7" s="92" t="s">
        <v>505</v>
      </c>
      <c r="M7" s="92" t="s">
        <v>177</v>
      </c>
      <c r="N7" s="92" t="s">
        <v>526</v>
      </c>
      <c r="O7" s="92" t="s">
        <v>527</v>
      </c>
      <c r="P7" s="92" t="s">
        <v>508</v>
      </c>
      <c r="Q7" s="92" t="s">
        <v>189</v>
      </c>
      <c r="R7" s="92" t="s">
        <v>510</v>
      </c>
      <c r="S7" s="92" t="s">
        <v>511</v>
      </c>
      <c r="T7" s="92" t="s">
        <v>198</v>
      </c>
      <c r="U7" s="92" t="s">
        <v>512</v>
      </c>
      <c r="V7" s="92" t="s">
        <v>513</v>
      </c>
      <c r="W7" s="92" t="s">
        <v>235</v>
      </c>
      <c r="X7" s="92" t="s">
        <v>514</v>
      </c>
      <c r="Y7" s="92" t="s">
        <v>528</v>
      </c>
      <c r="Z7" s="92" t="s">
        <v>516</v>
      </c>
      <c r="AA7" s="92" t="s">
        <v>529</v>
      </c>
      <c r="AB7" s="92"/>
      <c r="AC7" s="92"/>
      <c r="AD7" s="92"/>
      <c r="AE7" s="92"/>
      <c r="AF7" s="92"/>
      <c r="AG7" s="92"/>
      <c r="AH7" s="92"/>
      <c r="AI7" s="92"/>
      <c r="AJ7" s="92"/>
      <c r="AK7" s="92"/>
      <c r="AL7" s="92"/>
      <c r="AM7" s="92"/>
      <c r="AN7" s="92"/>
      <c r="AO7" s="92"/>
      <c r="AP7" s="92"/>
      <c r="AQ7" s="96">
        <v>-0.08</v>
      </c>
      <c r="AR7" s="97" t="str">
        <f t="shared" si="0"/>
        <v>852</v>
      </c>
      <c r="AS7" s="97" t="str">
        <f>IF($A7="","",IF($AP7&lt;&gt;"",$AP7,IFERROR(INDEX('Cat Zone by ZIP'!$D$6:$D$856,MATCH($AR7,'Cat Zone by ZIP'!$B$6:$B$856,0)),IFERROR(INDEX('Cat Zone by ZIP'!$C$860:$C$910,MATCH($K7,'Cat Zone by ZIP'!$B$860:$B$910,0)),"NOT FOUND"))))</f>
        <v>Severe convective - hail / tornado (moderate)</v>
      </c>
      <c r="AT7" s="97" t="str">
        <f>IF($A7="","",IF($AP7&lt;&gt;"","Override",IF(ISNUMBER(MATCH($AR7,'Cat Zone by ZIP'!$B$6:$B$856,0)),"ZIP-3","State default")))</f>
        <v>ZIP-3</v>
      </c>
      <c r="AU7" s="98">
        <f>IF($A7="","",IFERROR(INDEX('Natural Catastrophe'!$D$6:$D$17,MATCH($AS7,'Natural Catastrophe'!$B$6:$B$17,0)),"?"))</f>
        <v>1.5</v>
      </c>
      <c r="AV7" s="98">
        <f>IF($A7="","",IFERROR(INDEX('Natural Catastrophe'!$C$21:$C$26,MATCH($AA7,'Natural Catastrophe'!$B$21:$B$26,0)),"?"))</f>
        <v>0.9</v>
      </c>
      <c r="AW7" s="97" t="str">
        <f>IF($A7="","",IFERROR(INDEX('Base Rates'!$C$4:$I$4,MATCH(MAX($J7,'Technical Premium'!$C$18),'Base Rates'!$C$3:$I$3,1)),"?"))</f>
        <v>$1.0M - $2.0M</v>
      </c>
      <c r="AX7" s="99">
        <f>IF($A7="","",IFERROR(INDEX('Base Rates'!$C$5:$I$16,MATCH($I7,'Base Rates'!$B$5:$B$16,0),MATCH(MAX($J7,'Technical Premium'!$C$18),'Base Rates'!$C$3:$I$3,1)),"?"))</f>
        <v>0.38</v>
      </c>
      <c r="AY7" s="100">
        <f t="shared" si="1"/>
        <v>5510</v>
      </c>
      <c r="AZ7" s="98">
        <f>IF($A7="","",IFERROR(INDEX('Make Factors'!$G$5:$G$69,MATCH($F7,'Make Factors'!$B$5:$B$69,0)),"?"))</f>
        <v>1.1870000000000001</v>
      </c>
      <c r="BA7" s="98">
        <f>IF($A7="","",IFERROR(INDEX('Driver Factors'!$C$6:$C$15,MATCH($R7,'Driver Factors'!$B$6:$B$15,0)),"?"))</f>
        <v>1</v>
      </c>
      <c r="BB7" s="98">
        <f>IF($A7="","",IFERROR(INDEX('Driver Factors'!$C$19:$C$24,MATCH($S7,'Driver Factors'!$B$19:$B$24,0)),"?"))</f>
        <v>0.95</v>
      </c>
      <c r="BC7" s="98">
        <f>IF($A7="","",IFERROR(INDEX('Driver Factors'!$C$28:$C$36,MATCH($T7,'Driver Factors'!$B$28:$B$36,0)),"?"))</f>
        <v>1</v>
      </c>
      <c r="BD7" s="98">
        <f>IF($A7="","",IFERROR(INDEX('Claims History'!$C$6:$C$15,MATCH($U7,'Claims History'!$B$6:$B$15,0)),"?"))</f>
        <v>0.85</v>
      </c>
      <c r="BE7" s="98">
        <f>IF($A7="","",IFERROR(INDEX('Territory Factors'!$E$6:$E$56,MATCH($K7,'Territory Factors'!$B$6:$B$56,0)),"?"))</f>
        <v>1.1000000000000001</v>
      </c>
      <c r="BF7" s="98">
        <f>IF($A7="","",IFERROR(INDEX('City Accident Ratings'!$G$6:$G$54,MATCH($Z7,'City Accident Ratings'!$B$6:$B$54,0)),"?"))</f>
        <v>1.18</v>
      </c>
      <c r="BG7" s="98">
        <f>IF($A7="","",IFERROR(INDEX('Usage and Coverage'!$D$6:$D$20,MATCH($N7,'Usage and Coverage'!$C$6:$C$20,0)),"?"))</f>
        <v>1.05</v>
      </c>
      <c r="BH7" s="98">
        <f>IF($A7="","",IFERROR(INDEX('Usage and Coverage'!$C$24:$C$30,MATCH($O7,'Usage and Coverage'!$B$24:$B$30,0)),"?"))</f>
        <v>0.85</v>
      </c>
      <c r="BI7" s="98">
        <f>IF($A7="","",IFERROR(INDEX('Usage and Coverage'!$C$34:$C$40,MATCH($P7,'Usage and Coverage'!$B$34:$B$40,0)),"?"))</f>
        <v>0.85</v>
      </c>
      <c r="BJ7" s="98">
        <f>IF($A7="","",IFERROR(INDEX('Usage and Coverage'!$C$44:$C$49,MATCH($Q7,'Usage and Coverage'!$B$44:$B$49,0)),"?"))</f>
        <v>0.9</v>
      </c>
      <c r="BK7" s="98">
        <f>IF($A7="","",IFERROR(INDEX(Deductibles!$C$6:$I$15,MATCH($W7,Deductibles!$B$6:$B$15,0),MATCH(MAX($J7,'Technical Premium'!$C$18),'Base Rates'!$C$3:$I$3,1)),"?"))</f>
        <v>0.87</v>
      </c>
      <c r="BL7" s="98">
        <f>IF($A7="","",IFERROR(INDEX('Usage and Coverage'!$C$63:$C$66,MATCH($X7,'Usage and Coverage'!$B$63:$B$66,0)),"?"))</f>
        <v>1.06</v>
      </c>
      <c r="BM7" s="98">
        <f>IF($A7="","",IFERROR(INDEX('Usage and Coverage'!$C$70:$C$75,MATCH($V7,'Usage and Coverage'!$B$70:$B$75,0)),"?"))</f>
        <v>0.82</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0.64235716488335748</v>
      </c>
      <c r="CC7" s="98">
        <f t="shared" si="3"/>
        <v>1</v>
      </c>
      <c r="CD7" s="101">
        <f>IF($A7="","",IF(OR($CB7="?",$CC7="?"),"?",MIN($CB7*$CC7,'Technical Premium'!$C$17)))</f>
        <v>0.64235716488335748</v>
      </c>
      <c r="CE7" s="100">
        <f t="shared" si="4"/>
        <v>3539.3879785072995</v>
      </c>
      <c r="CF7" s="100">
        <f>IF($A7="","",IFERROR(INDEX('Territory Factors'!$F$6:$F$56,MATCH($K7,'Territory Factors'!$B$6:$B$56,0)),"?"))</f>
        <v>520</v>
      </c>
      <c r="CG7" s="98">
        <f>IF($A7="","",IFERROR(INDEX('Usage and Coverage'!$C$79:$C$84,MATCH($Y7,'Usage and Coverage'!$B$79:$B$84,0)),"?"))</f>
        <v>1.68</v>
      </c>
      <c r="CH7" s="100">
        <f>IFERROR(IF(ISNUMBER($CD7),$CF7*$CG7*MIN($BG7*$BA7*$BC7*$BD7*$BH7*$BF7,'Technical Premium'!$C$17),""),"")</f>
        <v>782.027064</v>
      </c>
      <c r="CI7" s="100">
        <f t="shared" si="5"/>
        <v>4321.4150425072994</v>
      </c>
      <c r="CJ7" s="100">
        <f>IFERROR($CI7*(1+'Technical Premium'!$C$5)*(1+'Technical Premium'!$C$6),"")</f>
        <v>4900.4846582032778</v>
      </c>
      <c r="CK7" s="100">
        <f>IFERROR($CE7*INDEX('Territory Factors'!$G$6:$G$56,MATCH($K7,'Territory Factors'!$B$6:$B$56,0))*$AU7*$AV7,"")</f>
        <v>215.01781969431843</v>
      </c>
      <c r="CL7" s="100">
        <f>IFERROR(($CJ7+$CK7)*(1+'Technical Premium'!$C$7),"")</f>
        <v>5499.1651637399164</v>
      </c>
      <c r="CM7" s="102">
        <f>IFERROR($CL7/'Technical Premium'!$C$13,"")</f>
        <v>9908.4057004322822</v>
      </c>
      <c r="CN7" s="103">
        <f t="shared" si="6"/>
        <v>0.68333832416774365</v>
      </c>
      <c r="CO7" s="102">
        <f t="shared" si="7"/>
        <v>9115.7332443976993</v>
      </c>
      <c r="CP7" s="103">
        <f t="shared" si="8"/>
        <v>0.62867125823432413</v>
      </c>
      <c r="CQ7" s="104">
        <f t="shared" si="9"/>
        <v>0.91999999999999993</v>
      </c>
      <c r="CR7" s="100">
        <f>IF(ISNUMBER($CM7),'Technical Premium'!$C$14+IF($J7&gt;=1000000,'Technical Premium'!$C$15,0),"")</f>
        <v>600</v>
      </c>
      <c r="CS7" s="100">
        <f>IFERROR(($CO7+$CR7)*(INDEX('Territory Factors'!$K$6:$K$56,MATCH($K7,'Territory Factors'!$B$6:$B$56,0))+'Commission Structure'!$C$21),"")</f>
        <v>308.96031717184684</v>
      </c>
      <c r="CT7" s="102">
        <f t="shared" si="10"/>
        <v>10024.693561569546</v>
      </c>
      <c r="CU7" s="100">
        <f>IFERROR($CO7*('Commission Structure'!$C$6+'Commission Structure'!$C$7),"")</f>
        <v>1595.2533177695973</v>
      </c>
      <c r="CV7" s="100">
        <f>IFERROR($CO7*'Commission Structure'!$C$5-$CU7,"")</f>
        <v>911.5733244397702</v>
      </c>
      <c r="CW7" s="100">
        <f>IFERROR($CO7*(1-'Commission Structure'!$C$5),"")</f>
        <v>6608.9066021883318</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-8.0000000000000071E-2</v>
      </c>
      <c r="CZ7" s="97" t="str">
        <f>IF($CY7="","",IF($CY7&lt;'Technical Premium'!$C$19,"BEYOND AUTHORITY",IF($CY7&gt;0.005,"Above technical",IF($CY7&lt;-0.005,"BELOW technical","At technical"))))</f>
        <v>BELOW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s">
        <v>530</v>
      </c>
      <c r="B8" s="92" t="s">
        <v>531</v>
      </c>
      <c r="C8" s="93">
        <v>46174</v>
      </c>
      <c r="D8" s="93">
        <v>46631</v>
      </c>
      <c r="E8" s="94">
        <v>2023</v>
      </c>
      <c r="F8" s="92" t="s">
        <v>532</v>
      </c>
      <c r="G8" s="92" t="s">
        <v>533</v>
      </c>
      <c r="H8" s="92" t="s">
        <v>534</v>
      </c>
      <c r="I8" s="92" t="s">
        <v>166</v>
      </c>
      <c r="J8" s="95">
        <v>280000</v>
      </c>
      <c r="K8" s="92" t="s">
        <v>535</v>
      </c>
      <c r="L8" s="92" t="s">
        <v>536</v>
      </c>
      <c r="M8" s="92" t="s">
        <v>537</v>
      </c>
      <c r="N8" s="92" t="s">
        <v>538</v>
      </c>
      <c r="O8" s="92" t="s">
        <v>539</v>
      </c>
      <c r="P8" s="92" t="s">
        <v>540</v>
      </c>
      <c r="Q8" s="92" t="s">
        <v>509</v>
      </c>
      <c r="R8" s="92" t="s">
        <v>541</v>
      </c>
      <c r="S8" s="92" t="s">
        <v>542</v>
      </c>
      <c r="T8" s="92" t="s">
        <v>543</v>
      </c>
      <c r="U8" s="92" t="s">
        <v>544</v>
      </c>
      <c r="V8" s="92" t="s">
        <v>545</v>
      </c>
      <c r="W8" s="92" t="s">
        <v>238</v>
      </c>
      <c r="X8" s="92" t="s">
        <v>546</v>
      </c>
      <c r="Y8" s="92" t="s">
        <v>528</v>
      </c>
      <c r="Z8" s="92" t="s">
        <v>547</v>
      </c>
      <c r="AA8" s="92" t="s">
        <v>548</v>
      </c>
      <c r="AB8" s="92" t="s">
        <v>549</v>
      </c>
      <c r="AC8" s="92"/>
      <c r="AD8" s="92" t="s">
        <v>550</v>
      </c>
      <c r="AE8" s="92"/>
      <c r="AF8" s="92"/>
      <c r="AG8" s="92"/>
      <c r="AH8" s="92"/>
      <c r="AI8" s="92" t="s">
        <v>551</v>
      </c>
      <c r="AJ8" s="92" t="s">
        <v>551</v>
      </c>
      <c r="AK8" s="92"/>
      <c r="AL8" s="92"/>
      <c r="AM8" s="92"/>
      <c r="AN8" s="92" t="s">
        <v>551</v>
      </c>
      <c r="AO8" s="92"/>
      <c r="AP8" s="92"/>
      <c r="AQ8" s="96">
        <v>0.1</v>
      </c>
      <c r="AR8" s="97" t="str">
        <f t="shared" si="0"/>
        <v>891</v>
      </c>
      <c r="AS8" s="97" t="str">
        <f>IF($A8="","",IF($AP8&lt;&gt;"",$AP8,IFERROR(INDEX('Cat Zone by ZIP'!$D$6:$D$856,MATCH($AR8,'Cat Zone by ZIP'!$B$6:$B$856,0)),IFERROR(INDEX('Cat Zone by ZIP'!$C$860:$C$910,MATCH($K8,'Cat Zone by ZIP'!$B$860:$B$910,0)),"NOT FOUND"))))</f>
        <v>Low hazard - inland benign</v>
      </c>
      <c r="AT8" s="97" t="str">
        <f>IF($A8="","",IF($AP8&lt;&gt;"","Override",IF(ISNUMBER(MATCH($AR8,'Cat Zone by ZIP'!$B$6:$B$856,0)),"ZIP-3","State default")))</f>
        <v>ZIP-3</v>
      </c>
      <c r="AU8" s="98">
        <f>IF($A8="","",IFERROR(INDEX('Natural Catastrophe'!$D$6:$D$17,MATCH($AS8,'Natural Catastrophe'!$B$6:$B$17,0)),"?"))</f>
        <v>0.45</v>
      </c>
      <c r="AV8" s="98">
        <f>IF($A8="","",IFERROR(INDEX('Natural Catastrophe'!$C$21:$C$26,MATCH($AA8,'Natural Catastrophe'!$B$21:$B$26,0)),"?"))</f>
        <v>1</v>
      </c>
      <c r="AW8" s="97" t="str">
        <f>IF($A8="","",IFERROR(INDEX('Base Rates'!$C$4:$I$4,MATCH(MAX($J8,'Technical Premium'!$C$18),'Base Rates'!$C$3:$I$3,1)),"?"))</f>
        <v>$250k - $500k</v>
      </c>
      <c r="AX8" s="99">
        <f>IF($A8="","",IFERROR(INDEX('Base Rates'!$C$5:$I$16,MATCH($I8,'Base Rates'!$B$5:$B$16,0),MATCH(MAX($J8,'Technical Premium'!$C$18),'Base Rates'!$C$3:$I$3,1)),"?"))</f>
        <v>1.1499999999999999</v>
      </c>
      <c r="AY8" s="100">
        <f t="shared" si="1"/>
        <v>3219.9999999999995</v>
      </c>
      <c r="AZ8" s="98">
        <f>IF($A8="","",IFERROR(INDEX('Make Factors'!$G$5:$G$69,MATCH($F8,'Make Factors'!$B$5:$B$69,0)),"?"))</f>
        <v>1.127</v>
      </c>
      <c r="BA8" s="98">
        <f>IF($A8="","",IFERROR(INDEX('Driver Factors'!$C$6:$C$15,MATCH($R8,'Driver Factors'!$B$6:$B$15,0)),"?"))</f>
        <v>1.35</v>
      </c>
      <c r="BB8" s="98">
        <f>IF($A8="","",IFERROR(INDEX('Driver Factors'!$C$19:$C$24,MATCH($S8,'Driver Factors'!$B$19:$B$24,0)),"?"))</f>
        <v>1.05</v>
      </c>
      <c r="BC8" s="98">
        <f>IF($A8="","",IFERROR(INDEX('Driver Factors'!$C$28:$C$36,MATCH($T8,'Driver Factors'!$B$28:$B$36,0)),"?"))</f>
        <v>1.1499999999999999</v>
      </c>
      <c r="BD8" s="98">
        <f>IF($A8="","",IFERROR(INDEX('Claims History'!$C$6:$C$15,MATCH($U8,'Claims History'!$B$6:$B$15,0)),"?"))</f>
        <v>1.1000000000000001</v>
      </c>
      <c r="BE8" s="98">
        <f>IF($A8="","",IFERROR(INDEX('Territory Factors'!$E$6:$E$56,MATCH($K8,'Territory Factors'!$B$6:$B$56,0)),"?"))</f>
        <v>1.1499999999999999</v>
      </c>
      <c r="BF8" s="98">
        <f>IF($A8="","",IFERROR(INDEX('City Accident Ratings'!$G$6:$G$54,MATCH($Z8,'City Accident Ratings'!$B$6:$B$54,0)),"?"))</f>
        <v>1.2250000000000001</v>
      </c>
      <c r="BG8" s="98">
        <f>IF($A8="","",IFERROR(INDEX('Usage and Coverage'!$D$6:$D$20,MATCH($N8,'Usage and Coverage'!$C$6:$C$20,0)),"?"))</f>
        <v>2.9</v>
      </c>
      <c r="BH8" s="98">
        <f>IF($A8="","",IFERROR(INDEX('Usage and Coverage'!$C$24:$C$30,MATCH($O8,'Usage and Coverage'!$B$24:$B$30,0)),"?"))</f>
        <v>1.85</v>
      </c>
      <c r="BI8" s="98">
        <f>IF($A8="","",IFERROR(INDEX('Usage and Coverage'!$C$34:$C$40,MATCH($P8,'Usage and Coverage'!$B$34:$B$40,0)),"?"))</f>
        <v>1.05</v>
      </c>
      <c r="BJ8" s="98">
        <f>IF($A8="","",IFERROR(INDEX('Usage and Coverage'!$C$44:$C$49,MATCH($Q8,'Usage and Coverage'!$B$44:$B$49,0)),"?"))</f>
        <v>0.85</v>
      </c>
      <c r="BK8" s="98">
        <f>IF($A8="","",IFERROR(INDEX(Deductibles!$C$6:$I$15,MATCH($W8,Deductibles!$B$6:$B$15,0),MATCH(MAX($J8,'Technical Premium'!$C$18),'Base Rates'!$C$3:$I$3,1)),"?"))</f>
        <v>0.87</v>
      </c>
      <c r="BL8" s="98">
        <f>IF($A8="","",IFERROR(INDEX('Usage and Coverage'!$C$63:$C$66,MATCH($X8,'Usage and Coverage'!$B$63:$B$66,0)),"?"))</f>
        <v>0.92</v>
      </c>
      <c r="BM8" s="98">
        <f>IF($A8="","",IFERROR(INDEX('Usage and Coverage'!$C$70:$C$75,MATCH($V8,'Usage and Coverage'!$B$70:$B$75,0)),"?"))</f>
        <v>0.86</v>
      </c>
      <c r="BN8" s="98">
        <f>IF($A8="","",IF($AB8="",1,IFERROR(INDEX(Deductibles!$C$48:$C$51,MATCH($AB8,Deductibles!$B$48:$B$51,0)),"?")))</f>
        <v>0.97499999999999998</v>
      </c>
      <c r="BO8" s="97">
        <f>IF($A8="","",IF($AC8="",1,IFERROR(INDEX(Deductibles!$C$55:$C$57,MATCH($AC8,Deductibles!$B$55:$B$57,0)),"?")))</f>
        <v>1</v>
      </c>
      <c r="BP8" s="98">
        <f>IF($A8="","",IF($AD8="",1,IFERROR(INDEX(Deductibles!$C$61:$C$63,MATCH($AD8,Deductibles!$B$61:$B$63,0)),"?")))</f>
        <v>0.97499999999999998</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0.98499999999999999</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9.3832852819536914</v>
      </c>
      <c r="CC8" s="98">
        <f t="shared" si="3"/>
        <v>0.89621426699999995</v>
      </c>
      <c r="CD8" s="101">
        <f>IF($A8="","",IF(OR($CB8="?",$CC8="?"),"?",MIN($CB8*$CC8,'Technical Premium'!$C$17)))</f>
        <v>5</v>
      </c>
      <c r="CE8" s="100">
        <f t="shared" si="4"/>
        <v>16099.999999999998</v>
      </c>
      <c r="CF8" s="100">
        <f>IF($A8="","",IFERROR(INDEX('Territory Factors'!$F$6:$F$56,MATCH($K8,'Territory Factors'!$B$6:$B$56,0)),"?"))</f>
        <v>560</v>
      </c>
      <c r="CG8" s="98">
        <f>IF($A8="","",IFERROR(INDEX('Usage and Coverage'!$C$79:$C$84,MATCH($Y8,'Usage and Coverage'!$B$79:$B$84,0)),"?"))</f>
        <v>1.68</v>
      </c>
      <c r="CH8" s="100">
        <f>IFERROR(IF(ISNUMBER($CD8),$CF8*$CG8*MIN($BG8*$BA8*$BC8*$BD8*$BH8*$BF8,'Technical Premium'!$C$17),""),"")</f>
        <v>4704</v>
      </c>
      <c r="CI8" s="100">
        <f t="shared" si="5"/>
        <v>20804</v>
      </c>
      <c r="CJ8" s="100">
        <f>IFERROR($CI8*(1+'Technical Premium'!$C$5)*(1+'Technical Premium'!$C$6),"")</f>
        <v>23591.736000000001</v>
      </c>
      <c r="CK8" s="100">
        <f>IFERROR($CE8*INDEX('Territory Factors'!$G$6:$G$56,MATCH($K8,'Territory Factors'!$B$6:$B$56,0))*$AU8*$AV8,"")</f>
        <v>253.57500000000002</v>
      </c>
      <c r="CL8" s="100">
        <f>IFERROR(($CJ8+$CK8)*(1+'Technical Premium'!$C$7),"")</f>
        <v>25633.709325</v>
      </c>
      <c r="CM8" s="102">
        <f>IFERROR($CL8/'Technical Premium'!$C$13,"")</f>
        <v>46186.86364864865</v>
      </c>
      <c r="CN8" s="103">
        <f t="shared" si="6"/>
        <v>16.495308445945948</v>
      </c>
      <c r="CO8" s="102">
        <f t="shared" si="7"/>
        <v>50805.550013513523</v>
      </c>
      <c r="CP8" s="103">
        <f t="shared" si="8"/>
        <v>18.144839290540542</v>
      </c>
      <c r="CQ8" s="104">
        <f t="shared" si="9"/>
        <v>1.0999999999999999</v>
      </c>
      <c r="CR8" s="100">
        <f>IF(ISNUMBER($CM8),'Technical Premium'!$C$14+IF($J8&gt;=1000000,'Technical Premium'!$C$15,0),"")</f>
        <v>350</v>
      </c>
      <c r="CS8" s="100">
        <f>IFERROR(($CO8+$CR8)*(INDEX('Territory Factors'!$K$6:$K$56,MATCH($K8,'Territory Factors'!$B$6:$B$56,0))+'Commission Structure'!$C$21),"")</f>
        <v>1882.524240497298</v>
      </c>
      <c r="CT8" s="102">
        <f t="shared" si="10"/>
        <v>53038.074254010819</v>
      </c>
      <c r="CU8" s="100">
        <f>IFERROR($CO8*('Commission Structure'!$C$6+'Commission Structure'!$C$7),"")</f>
        <v>8890.971252364865</v>
      </c>
      <c r="CV8" s="100">
        <f>IFERROR($CO8*'Commission Structure'!$C$5-$CU8,"")</f>
        <v>5080.5550013513548</v>
      </c>
      <c r="CW8" s="100">
        <f>IFERROR($CO8*(1-'Commission Structure'!$C$5),"")</f>
        <v>36834.023759797303</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REFER</v>
      </c>
      <c r="CY8" s="106">
        <f t="shared" si="11"/>
        <v>0.10000000000000009</v>
      </c>
      <c r="CZ8" s="97" t="str">
        <f>IF($CY8="","",IF($CY8&lt;'Technical Premium'!$C$19,"BEYOND AUTHORITY",IF($CY8&gt;0.005,"Above technical",IF($CY8&lt;-0.005,"BELOW technical","At technical"))))</f>
        <v>Above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NO - AWAITING APPROVAL</v>
      </c>
      <c r="DH8" s="97">
        <f>IF($A8="","",IF(OR($CX8="REFER",$CX8="DECLINE"),COUNTIF($CX$5:$CX8,"REFER")+COUNTIF($CX$5:$CX8,"DECLINE"),""))</f>
        <v>2</v>
      </c>
      <c r="DI8" s="92"/>
    </row>
    <row r="9" spans="1:113" x14ac:dyDescent="0.25">
      <c r="A9" s="92" t="s">
        <v>552</v>
      </c>
      <c r="B9" s="92" t="s">
        <v>553</v>
      </c>
      <c r="C9" s="93">
        <v>46204</v>
      </c>
      <c r="D9" s="93">
        <v>46631</v>
      </c>
      <c r="E9" s="94">
        <v>2017</v>
      </c>
      <c r="F9" s="92" t="s">
        <v>554</v>
      </c>
      <c r="G9" s="92" t="s">
        <v>555</v>
      </c>
      <c r="H9" s="92" t="s">
        <v>556</v>
      </c>
      <c r="I9" s="92" t="s">
        <v>557</v>
      </c>
      <c r="J9" s="95">
        <v>185000</v>
      </c>
      <c r="K9" s="92" t="s">
        <v>558</v>
      </c>
      <c r="L9" s="92" t="s">
        <v>559</v>
      </c>
      <c r="M9" s="92" t="s">
        <v>177</v>
      </c>
      <c r="N9" s="92" t="s">
        <v>506</v>
      </c>
      <c r="O9" s="92" t="s">
        <v>527</v>
      </c>
      <c r="P9" s="92" t="s">
        <v>186</v>
      </c>
      <c r="Q9" s="92" t="s">
        <v>189</v>
      </c>
      <c r="R9" s="92" t="s">
        <v>560</v>
      </c>
      <c r="S9" s="92" t="s">
        <v>561</v>
      </c>
      <c r="T9" s="92" t="s">
        <v>198</v>
      </c>
      <c r="U9" s="92" t="s">
        <v>201</v>
      </c>
      <c r="V9" s="92" t="s">
        <v>204</v>
      </c>
      <c r="W9" s="92" t="s">
        <v>207</v>
      </c>
      <c r="X9" s="92" t="s">
        <v>210</v>
      </c>
      <c r="Y9" s="92" t="s">
        <v>212</v>
      </c>
      <c r="Z9" s="92" t="s">
        <v>562</v>
      </c>
      <c r="AA9" s="92" t="s">
        <v>548</v>
      </c>
      <c r="AB9" s="92"/>
      <c r="AC9" s="92"/>
      <c r="AD9" s="92"/>
      <c r="AE9" s="92"/>
      <c r="AF9" s="92"/>
      <c r="AG9" s="92"/>
      <c r="AH9" s="92"/>
      <c r="AI9" s="92"/>
      <c r="AJ9" s="92"/>
      <c r="AK9" s="92"/>
      <c r="AL9" s="92"/>
      <c r="AM9" s="92"/>
      <c r="AN9" s="92"/>
      <c r="AO9" s="92"/>
      <c r="AP9" s="92"/>
      <c r="AQ9" s="96">
        <v>-0.12</v>
      </c>
      <c r="AR9" s="97" t="str">
        <f t="shared" si="0"/>
        <v>029</v>
      </c>
      <c r="AS9" s="97" t="str">
        <f>IF($A9="","",IF($AP9&lt;&gt;"",$AP9,IFERROR(INDEX('Cat Zone by ZIP'!$D$6:$D$856,MATCH($AR9,'Cat Zone by ZIP'!$B$6:$B$856,0)),IFERROR(INDEX('Cat Zone by ZIP'!$C$860:$C$910,MATCH($K9,'Cat Zone by ZIP'!$B$860:$B$910,0)),"NOT FOUND"))))</f>
        <v>Tier 2 - Coastal wind (1-25 miles)</v>
      </c>
      <c r="AT9" s="97" t="str">
        <f>IF($A9="","",IF($AP9&lt;&gt;"","Override",IF(ISNUMBER(MATCH($AR9,'Cat Zone by ZIP'!$B$6:$B$856,0)),"ZIP-3","State default")))</f>
        <v>ZIP-3</v>
      </c>
      <c r="AU9" s="98">
        <f>IF($A9="","",IFERROR(INDEX('Natural Catastrophe'!$D$6:$D$17,MATCH($AS9,'Natural Catastrophe'!$B$6:$B$17,0)),"?"))</f>
        <v>2.1</v>
      </c>
      <c r="AV9" s="98">
        <f>IF($A9="","",IFERROR(INDEX('Natural Catastrophe'!$C$21:$C$26,MATCH($AA9,'Natural Catastrophe'!$B$21:$B$26,0)),"?"))</f>
        <v>1</v>
      </c>
      <c r="AW9" s="97" t="str">
        <f>IF($A9="","",IFERROR(INDEX('Base Rates'!$C$4:$I$4,MATCH(MAX($J9,'Technical Premium'!$C$18),'Base Rates'!$C$3:$I$3,1)),"?"))</f>
        <v>$100k - $250k</v>
      </c>
      <c r="AX9" s="99">
        <f>IF($A9="","",IFERROR(INDEX('Base Rates'!$C$5:$I$16,MATCH($I9,'Base Rates'!$B$5:$B$16,0),MATCH(MAX($J9,'Technical Premium'!$C$18),'Base Rates'!$C$3:$I$3,1)),"?"))</f>
        <v>1.18</v>
      </c>
      <c r="AY9" s="100">
        <f t="shared" si="1"/>
        <v>2183</v>
      </c>
      <c r="AZ9" s="98">
        <f>IF($A9="","",IFERROR(INDEX('Make Factors'!$G$5:$G$69,MATCH($F9,'Make Factors'!$B$5:$B$69,0)),"?"))</f>
        <v>0.80500000000000005</v>
      </c>
      <c r="BA9" s="98">
        <f>IF($A9="","",IFERROR(INDEX('Driver Factors'!$C$6:$C$15,MATCH($R9,'Driver Factors'!$B$6:$B$15,0)),"?"))</f>
        <v>1.1000000000000001</v>
      </c>
      <c r="BB9" s="98">
        <f>IF($A9="","",IFERROR(INDEX('Driver Factors'!$C$19:$C$24,MATCH($S9,'Driver Factors'!$B$19:$B$24,0)),"?"))</f>
        <v>0.9</v>
      </c>
      <c r="BC9" s="98">
        <f>IF($A9="","",IFERROR(INDEX('Driver Factors'!$C$28:$C$36,MATCH($T9,'Driver Factors'!$B$28:$B$36,0)),"?"))</f>
        <v>1</v>
      </c>
      <c r="BD9" s="98">
        <f>IF($A9="","",IFERROR(INDEX('Claims History'!$C$6:$C$15,MATCH($U9,'Claims History'!$B$6:$B$15,0)),"?"))</f>
        <v>0.9</v>
      </c>
      <c r="BE9" s="98">
        <f>IF($A9="","",IFERROR(INDEX('Territory Factors'!$E$6:$E$56,MATCH($K9,'Territory Factors'!$B$6:$B$56,0)),"?"))</f>
        <v>1.1499999999999999</v>
      </c>
      <c r="BF9" s="98">
        <f>IF($A9="","",IFERROR(INDEX('City Accident Ratings'!$G$6:$G$54,MATCH($Z9,'City Accident Ratings'!$B$6:$B$54,0)),"?"))</f>
        <v>1</v>
      </c>
      <c r="BG9" s="98">
        <f>IF($A9="","",IFERROR(INDEX('Usage and Coverage'!$D$6:$D$20,MATCH($N9,'Usage and Coverage'!$C$6:$C$20,0)),"?"))</f>
        <v>0.85</v>
      </c>
      <c r="BH9" s="98">
        <f>IF($A9="","",IFERROR(INDEX('Usage and Coverage'!$C$24:$C$30,MATCH($O9,'Usage and Coverage'!$B$24:$B$30,0)),"?"))</f>
        <v>0.85</v>
      </c>
      <c r="BI9" s="98">
        <f>IF($A9="","",IFERROR(INDEX('Usage and Coverage'!$C$34:$C$40,MATCH($P9,'Usage and Coverage'!$B$34:$B$40,0)),"?"))</f>
        <v>0.9</v>
      </c>
      <c r="BJ9" s="98">
        <f>IF($A9="","",IFERROR(INDEX('Usage and Coverage'!$C$44:$C$49,MATCH($Q9,'Usage and Coverage'!$B$44:$B$49,0)),"?"))</f>
        <v>0.9</v>
      </c>
      <c r="BK9" s="98">
        <f>IF($A9="","",IFERROR(INDEX(Deductibles!$C$6:$I$15,MATCH($W9,Deductibles!$B$6:$B$15,0),MATCH(MAX($J9,'Technical Premium'!$C$18),'Base Rates'!$C$3:$I$3,1)),"?"))</f>
        <v>0.9</v>
      </c>
      <c r="BL9" s="98">
        <f>IF($A9="","",IFERROR(INDEX('Usage and Coverage'!$C$63:$C$66,MATCH($X9,'Usage and Coverage'!$B$63:$B$66,0)),"?"))</f>
        <v>1</v>
      </c>
      <c r="BM9" s="98">
        <f>IF($A9="","",IFERROR(INDEX('Usage and Coverage'!$C$70:$C$75,MATCH($V9,'Usage and Coverage'!$B$70:$B$75,0)),"?"))</f>
        <v>0.95</v>
      </c>
      <c r="BN9" s="97">
        <f>IF($A9="","",IF($AB9="",1,IFERROR(INDEX(Deductibles!$C$48:$C$51,MATCH($AB9,Deductibles!$B$48:$B$51,0)),"?")))</f>
        <v>1</v>
      </c>
      <c r="BO9" s="97">
        <f>IF($A9="","",IF($AC9="",1,IFERROR(INDEX(Deductibles!$C$55:$C$57,MATCH($AC9,Deductibles!$B$55:$B$57,0)),"?")))</f>
        <v>1</v>
      </c>
      <c r="BP9" s="97">
        <f>IF($A9="","",IF($AD9="",1,IFERROR(INDEX(Deductibles!$C$61:$C$63,MATCH($AD9,Deductibles!$B$61:$B$63,0)),"?")))</f>
        <v>1</v>
      </c>
      <c r="BQ9" s="97">
        <f>IF($A9="","",IF($AE9="",1,IFERROR(INDEX(Deductibles!$C$67:$C$69,MATCH($AE9,Deductibles!$B$67:$B$69,0)),"?")))</f>
        <v>1</v>
      </c>
      <c r="BR9" s="97">
        <f>IF($A9="","",IF($AF9="",1,IFERROR(INDEX(Deductibles!$C$73:$C$74,MATCH($AF9,Deductibles!$B$73:$B$74,0)),"?")))</f>
        <v>1</v>
      </c>
      <c r="BS9" s="97">
        <f>IF($A9="","",IF($AG9="",1,IFERROR(INDEX('Sublimits and Parts'!$C$49:$C$52,MATCH($AG9,'Sublimits and Parts'!$B$49:$B$52,0)),"?")))</f>
        <v>1</v>
      </c>
      <c r="BT9" s="97">
        <f>IF($A9="","",IF($AH9="",1,IFERROR(INDEX('Sublimits and Parts'!$C$56:$C$60,MATCH($AH9,'Sublimits and Parts'!$B$56:$B$60,0)),"?")))</f>
        <v>1</v>
      </c>
      <c r="BU9" s="97">
        <f>IF($A9="","",IF($AI9="",1,IFERROR(INDEX('Sublimits and Parts'!$C$64:$C$67,MATCH($AI9,'Sublimits and Parts'!$B$64:$B$67,0)),"?")))</f>
        <v>1</v>
      </c>
      <c r="BV9" s="97">
        <f>IF($A9="","",IF($AJ9="",1,IFERROR(INDEX('Sublimits and Parts'!$C$71:$C$74,MATCH($AJ9,'Sublimits and Parts'!$B$71:$B$74,0)),"?")))</f>
        <v>1</v>
      </c>
      <c r="BW9" s="97">
        <f>IF($A9="","",IF($AK9="",1,IFERROR(INDEX('Sublimits and Parts'!$C$78:$C$80,MATCH($AK9,'Sublimits and Parts'!$B$78:$B$80,0)),"?")))</f>
        <v>1</v>
      </c>
      <c r="BX9" s="97">
        <f>IF($A9="","",IF($AL9="",1,IFERROR(INDEX('Sublimits and Parts'!$C$84:$C$87,MATCH($AL9,'Sublimits and Parts'!$B$84:$B$87,0)),"?")))</f>
        <v>1</v>
      </c>
      <c r="BY9" s="97">
        <f>IF($A9="","",IF($AM9="",1,IFERROR(INDEX('Sublimits and Parts'!$C$91:$C$94,MATCH($AM9,'Sublimits and Parts'!$B$91:$B$94,0)),"?")))</f>
        <v>1</v>
      </c>
      <c r="BZ9" s="97">
        <f>IF($A9="","",IF($AN9="",1,IFERROR(INDEX('Sublimits and Parts'!$C$98:$C$101,MATCH($AN9,'Sublimits and Parts'!$B$98:$B$101,0)),"?")))</f>
        <v>1</v>
      </c>
      <c r="CA9" s="97">
        <f>IF($A9="","",IF($AO9="",1,IFERROR(INDEX('Sublimits and Parts'!$C$105:$C$109,MATCH($AO9,'Sublimits and Parts'!$B$105:$B$109,0)),"?")))</f>
        <v>1</v>
      </c>
      <c r="CB9" s="98">
        <f t="shared" si="2"/>
        <v>0.41272465178896878</v>
      </c>
      <c r="CC9" s="98">
        <f t="shared" si="3"/>
        <v>1</v>
      </c>
      <c r="CD9" s="101">
        <f>IF($A9="","",IF(OR($CB9="?",$CC9="?"),"?",MIN($CB9*$CC9,'Technical Premium'!$C$17)))</f>
        <v>0.41272465178896878</v>
      </c>
      <c r="CE9" s="100">
        <f t="shared" si="4"/>
        <v>900.97791485531889</v>
      </c>
      <c r="CF9" s="100">
        <f>IF($A9="","",IFERROR(INDEX('Territory Factors'!$F$6:$F$56,MATCH($K9,'Territory Factors'!$B$6:$B$56,0)),"?"))</f>
        <v>600</v>
      </c>
      <c r="CG9" s="98">
        <f>IF($A9="","",IFERROR(INDEX('Usage and Coverage'!$C$79:$C$84,MATCH($Y9,'Usage and Coverage'!$B$79:$B$84,0)),"?"))</f>
        <v>1.42</v>
      </c>
      <c r="CH9" s="100">
        <f>IFERROR(IF(ISNUMBER($CD9),$CF9*$CG9*MIN($BG9*$BA9*$BC9*$BD9*$BH9*$BF9,'Technical Premium'!$C$17),""),"")</f>
        <v>609.41430000000003</v>
      </c>
      <c r="CI9" s="100">
        <f t="shared" si="5"/>
        <v>1510.3922148553188</v>
      </c>
      <c r="CJ9" s="100">
        <f>IFERROR($CI9*(1+'Technical Premium'!$C$5)*(1+'Technical Premium'!$C$6),"")</f>
        <v>1712.7847716459319</v>
      </c>
      <c r="CK9" s="100">
        <f>IFERROR($CE9*INDEX('Territory Factors'!$G$6:$G$56,MATCH($K9,'Territory Factors'!$B$6:$B$56,0))*$AU9*$AV9,"")</f>
        <v>85.14241295382763</v>
      </c>
      <c r="CL9" s="100">
        <f>IFERROR(($CJ9+$CK9)*(1+'Technical Premium'!$C$7),"")</f>
        <v>1932.7717234447414</v>
      </c>
      <c r="CM9" s="102">
        <f>IFERROR($CL9/'Technical Premium'!$C$13,"")</f>
        <v>3482.471573774309</v>
      </c>
      <c r="CN9" s="103">
        <f t="shared" si="6"/>
        <v>1.882417066905032</v>
      </c>
      <c r="CO9" s="102">
        <f t="shared" si="7"/>
        <v>3064.5749849213921</v>
      </c>
      <c r="CP9" s="103">
        <f t="shared" si="8"/>
        <v>1.6565270188764283</v>
      </c>
      <c r="CQ9" s="104">
        <f t="shared" si="9"/>
        <v>0.88000000000000012</v>
      </c>
      <c r="CR9" s="100">
        <f>IF(ISNUMBER($CM9),'Technical Premium'!$C$14+IF($J9&gt;=1000000,'Technical Premium'!$C$15,0),"")</f>
        <v>350</v>
      </c>
      <c r="CS9" s="100">
        <f>IFERROR(($CO9+$CR9)*(INDEX('Territory Factors'!$K$6:$K$56,MATCH($K9,'Territory Factors'!$B$6:$B$56,0))+'Commission Structure'!$C$21),"")</f>
        <v>142.72923436971419</v>
      </c>
      <c r="CT9" s="102">
        <f t="shared" si="10"/>
        <v>3557.3042192911062</v>
      </c>
      <c r="CU9" s="100">
        <f>IFERROR($CO9*('Commission Structure'!$C$6+'Commission Structure'!$C$7),"")</f>
        <v>536.30062236124354</v>
      </c>
      <c r="CV9" s="100">
        <f>IFERROR($CO9*'Commission Structure'!$C$5-$CU9,"")</f>
        <v>306.45749849213939</v>
      </c>
      <c r="CW9" s="100">
        <f>IFERROR($CO9*(1-'Commission Structure'!$C$5),"")</f>
        <v>2221.8168640680092</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6">
        <f t="shared" si="11"/>
        <v>-0.12</v>
      </c>
      <c r="CZ9" s="97" t="str">
        <f>IF($CY9="","",IF($CY9&lt;'Technical Premium'!$C$19,"BEYOND AUTHORITY",IF($CY9&gt;0.005,"Above technical",IF($CY9&lt;-0.005,"BELOW technical","At technical"))))</f>
        <v>BELOW technical</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t="s">
        <v>563</v>
      </c>
      <c r="B10" s="92" t="s">
        <v>564</v>
      </c>
      <c r="C10" s="93">
        <v>46235</v>
      </c>
      <c r="D10" s="93">
        <v>46631</v>
      </c>
      <c r="E10" s="94">
        <v>2022</v>
      </c>
      <c r="F10" s="92" t="s">
        <v>565</v>
      </c>
      <c r="G10" s="92" t="s">
        <v>566</v>
      </c>
      <c r="H10" s="92" t="s">
        <v>567</v>
      </c>
      <c r="I10" s="92" t="s">
        <v>568</v>
      </c>
      <c r="J10" s="95">
        <v>2200000</v>
      </c>
      <c r="K10" s="92" t="s">
        <v>569</v>
      </c>
      <c r="L10" s="92" t="s">
        <v>570</v>
      </c>
      <c r="M10" s="92" t="s">
        <v>177</v>
      </c>
      <c r="N10" s="92" t="s">
        <v>526</v>
      </c>
      <c r="O10" s="92" t="s">
        <v>183</v>
      </c>
      <c r="P10" s="92" t="s">
        <v>186</v>
      </c>
      <c r="Q10" s="92" t="s">
        <v>189</v>
      </c>
      <c r="R10" s="92" t="s">
        <v>560</v>
      </c>
      <c r="S10" s="92" t="s">
        <v>561</v>
      </c>
      <c r="T10" s="92" t="s">
        <v>543</v>
      </c>
      <c r="U10" s="92" t="s">
        <v>201</v>
      </c>
      <c r="V10" s="92" t="s">
        <v>571</v>
      </c>
      <c r="W10" s="92" t="s">
        <v>572</v>
      </c>
      <c r="X10" s="92" t="s">
        <v>514</v>
      </c>
      <c r="Y10" s="92" t="s">
        <v>528</v>
      </c>
      <c r="Z10" s="92" t="s">
        <v>573</v>
      </c>
      <c r="AA10" s="92" t="s">
        <v>218</v>
      </c>
      <c r="AB10" s="92"/>
      <c r="AC10" s="92" t="s">
        <v>574</v>
      </c>
      <c r="AD10" s="92"/>
      <c r="AE10" s="92"/>
      <c r="AF10" s="92"/>
      <c r="AG10" s="92"/>
      <c r="AH10" s="92" t="s">
        <v>244</v>
      </c>
      <c r="AI10" s="92"/>
      <c r="AJ10" s="92"/>
      <c r="AK10" s="92"/>
      <c r="AL10" s="92"/>
      <c r="AM10" s="92" t="s">
        <v>517</v>
      </c>
      <c r="AN10" s="92" t="s">
        <v>519</v>
      </c>
      <c r="AO10" s="92"/>
      <c r="AP10" s="92"/>
      <c r="AQ10" s="96">
        <v>0.05</v>
      </c>
      <c r="AR10" s="97" t="str">
        <f t="shared" si="0"/>
        <v>913</v>
      </c>
      <c r="AS10" s="97" t="str">
        <f>IF($A10="","",IF($AP10&lt;&gt;"",$AP10,IFERROR(INDEX('Cat Zone by ZIP'!$D$6:$D$856,MATCH($AR10,'Cat Zone by ZIP'!$B$6:$B$856,0)),IFERROR(INDEX('Cat Zone by ZIP'!$C$860:$C$910,MATCH($K10,'Cat Zone by ZIP'!$B$860:$B$910,0)),"NOT FOUND"))))</f>
        <v>Wildfire - WUI high hazard</v>
      </c>
      <c r="AT10" s="97" t="str">
        <f>IF($A10="","",IF($AP10&lt;&gt;"","Override",IF(ISNUMBER(MATCH($AR10,'Cat Zone by ZIP'!$B$6:$B$856,0)),"ZIP-3","State default")))</f>
        <v>ZIP-3</v>
      </c>
      <c r="AU10" s="98">
        <f>IF($A10="","",IFERROR(INDEX('Natural Catastrophe'!$D$6:$D$17,MATCH($AS10,'Natural Catastrophe'!$B$6:$B$17,0)),"?"))</f>
        <v>2.6</v>
      </c>
      <c r="AV10" s="98">
        <f>IF($A10="","",IFERROR(INDEX('Natural Catastrophe'!$C$21:$C$26,MATCH($AA10,'Natural Catastrophe'!$B$21:$B$26,0)),"?"))</f>
        <v>0.8</v>
      </c>
      <c r="AW10" s="97" t="str">
        <f>IF($A10="","",IFERROR(INDEX('Base Rates'!$C$4:$I$4,MATCH(MAX($J10,'Technical Premium'!$C$18),'Base Rates'!$C$3:$I$3,1)),"?"))</f>
        <v>$2.0M - $5.0M</v>
      </c>
      <c r="AX10" s="99">
        <f>IF($A10="","",IFERROR(INDEX('Base Rates'!$C$5:$I$16,MATCH($I10,'Base Rates'!$B$5:$B$16,0),MATCH(MAX($J10,'Technical Premium'!$C$18),'Base Rates'!$C$3:$I$3,1)),"?"))</f>
        <v>0.57999999999999996</v>
      </c>
      <c r="AY10" s="100">
        <f t="shared" si="1"/>
        <v>12760</v>
      </c>
      <c r="AZ10" s="98">
        <f>IF($A10="","",IFERROR(INDEX('Make Factors'!$G$5:$G$69,MATCH($F10,'Make Factors'!$B$5:$B$69,0)),"?"))</f>
        <v>1.6539999999999999</v>
      </c>
      <c r="BA10" s="98">
        <f>IF($A10="","",IFERROR(INDEX('Driver Factors'!$C$6:$C$15,MATCH($R10,'Driver Factors'!$B$6:$B$15,0)),"?"))</f>
        <v>1.1000000000000001</v>
      </c>
      <c r="BB10" s="98">
        <f>IF($A10="","",IFERROR(INDEX('Driver Factors'!$C$19:$C$24,MATCH($S10,'Driver Factors'!$B$19:$B$24,0)),"?"))</f>
        <v>0.9</v>
      </c>
      <c r="BC10" s="98">
        <f>IF($A10="","",IFERROR(INDEX('Driver Factors'!$C$28:$C$36,MATCH($T10,'Driver Factors'!$B$28:$B$36,0)),"?"))</f>
        <v>1.1499999999999999</v>
      </c>
      <c r="BD10" s="98">
        <f>IF($A10="","",IFERROR(INDEX('Claims History'!$C$6:$C$15,MATCH($U10,'Claims History'!$B$6:$B$15,0)),"?"))</f>
        <v>0.9</v>
      </c>
      <c r="BE10" s="98">
        <f>IF($A10="","",IFERROR(INDEX('Territory Factors'!$E$6:$E$56,MATCH($K10,'Territory Factors'!$B$6:$B$56,0)),"?"))</f>
        <v>1.35</v>
      </c>
      <c r="BF10" s="98">
        <f>IF($A10="","",IFERROR(INDEX('City Accident Ratings'!$G$6:$G$54,MATCH($Z10,'City Accident Ratings'!$B$6:$B$54,0)),"?"))</f>
        <v>1.35</v>
      </c>
      <c r="BG10" s="98">
        <f>IF($A10="","",IFERROR(INDEX('Usage and Coverage'!$D$6:$D$20,MATCH($N10,'Usage and Coverage'!$C$6:$C$20,0)),"?"))</f>
        <v>1.05</v>
      </c>
      <c r="BH10" s="98">
        <f>IF($A10="","",IFERROR(INDEX('Usage and Coverage'!$C$24:$C$30,MATCH($O10,'Usage and Coverage'!$B$24:$B$30,0)),"?"))</f>
        <v>1</v>
      </c>
      <c r="BI10" s="98">
        <f>IF($A10="","",IFERROR(INDEX('Usage and Coverage'!$C$34:$C$40,MATCH($P10,'Usage and Coverage'!$B$34:$B$40,0)),"?"))</f>
        <v>0.9</v>
      </c>
      <c r="BJ10" s="98">
        <f>IF($A10="","",IFERROR(INDEX('Usage and Coverage'!$C$44:$C$49,MATCH($Q10,'Usage and Coverage'!$B$44:$B$49,0)),"?"))</f>
        <v>0.9</v>
      </c>
      <c r="BK10" s="98">
        <f>IF($A10="","",IFERROR(INDEX(Deductibles!$C$6:$I$15,MATCH($W10,Deductibles!$B$6:$B$15,0),MATCH(MAX($J10,'Technical Premium'!$C$18),'Base Rates'!$C$3:$I$3,1)),"?"))</f>
        <v>0.83</v>
      </c>
      <c r="BL10" s="98">
        <f>IF($A10="","",IFERROR(INDEX('Usage and Coverage'!$C$63:$C$66,MATCH($X10,'Usage and Coverage'!$B$63:$B$66,0)),"?"))</f>
        <v>1.06</v>
      </c>
      <c r="BM10" s="98">
        <f>IF($A10="","",IFERROR(INDEX('Usage and Coverage'!$C$70:$C$75,MATCH($V10,'Usage and Coverage'!$B$70:$B$75,0)),"?"))</f>
        <v>0.9</v>
      </c>
      <c r="BN10" s="97">
        <f>IF($A10="","",IF($AB10="",1,IFERROR(INDEX(Deductibles!$C$48:$C$51,MATCH($AB10,Deductibles!$B$48:$B$51,0)),"?")))</f>
        <v>1</v>
      </c>
      <c r="BO10" s="98">
        <f>IF($A10="","",IF($AC10="",1,IFERROR(INDEX(Deductibles!$C$55:$C$57,MATCH($AC10,Deductibles!$B$55:$B$57,0)),"?")))</f>
        <v>1.0149999999999999</v>
      </c>
      <c r="BP10" s="97">
        <f>IF($A10="","",IF($AD10="",1,IFERROR(INDEX(Deductibles!$C$61:$C$63,MATCH($AD10,Deductibles!$B$61:$B$63,0)),"?")))</f>
        <v>1</v>
      </c>
      <c r="BQ10" s="97">
        <f>IF($A10="","",IF($AE10="",1,IFERROR(INDEX(Deductibles!$C$67:$C$69,MATCH($AE10,Deductibles!$B$67:$B$69,0)),"?")))</f>
        <v>1</v>
      </c>
      <c r="BR10" s="97">
        <f>IF($A10="","",IF($AF10="",1,IFERROR(INDEX(Deductibles!$C$73:$C$74,MATCH($AF10,Deductibles!$B$73:$B$74,0)),"?")))</f>
        <v>1</v>
      </c>
      <c r="BS10" s="97">
        <f>IF($A10="","",IF($AG10="",1,IFERROR(INDEX('Sublimits and Parts'!$C$49:$C$52,MATCH($AG10,'Sublimits and Parts'!$B$49:$B$52,0)),"?")))</f>
        <v>1</v>
      </c>
      <c r="BT10" s="98">
        <f>IF($A10="","",IF($AH10="",1,IFERROR(INDEX('Sublimits and Parts'!$C$56:$C$60,MATCH($AH10,'Sublimits and Parts'!$B$56:$B$60,0)),"?")))</f>
        <v>1.018</v>
      </c>
      <c r="BU10" s="97">
        <f>IF($A10="","",IF($AI10="",1,IFERROR(INDEX('Sublimits and Parts'!$C$64:$C$67,MATCH($AI10,'Sublimits and Parts'!$B$64:$B$67,0)),"?")))</f>
        <v>1</v>
      </c>
      <c r="BV10" s="97">
        <f>IF($A10="","",IF($AJ10="",1,IFERROR(INDEX('Sublimits and Parts'!$C$71:$C$74,MATCH($AJ10,'Sublimits and Parts'!$B$71:$B$74,0)),"?")))</f>
        <v>1</v>
      </c>
      <c r="BW10" s="97">
        <f>IF($A10="","",IF($AK10="",1,IFERROR(INDEX('Sublimits and Parts'!$C$78:$C$80,MATCH($AK10,'Sublimits and Parts'!$B$78:$B$80,0)),"?")))</f>
        <v>1</v>
      </c>
      <c r="BX10" s="97">
        <f>IF($A10="","",IF($AL10="",1,IFERROR(INDEX('Sublimits and Parts'!$C$84:$C$87,MATCH($AL10,'Sublimits and Parts'!$B$84:$B$87,0)),"?")))</f>
        <v>1</v>
      </c>
      <c r="BY10" s="98">
        <f>IF($A10="","",IF($AM10="",1,IFERROR(INDEX('Sublimits and Parts'!$C$91:$C$94,MATCH($AM10,'Sublimits and Parts'!$B$91:$B$94,0)),"?")))</f>
        <v>1.03</v>
      </c>
      <c r="BZ10" s="98">
        <f>IF($A10="","",IF($AN10="",1,IFERROR(INDEX('Sublimits and Parts'!$C$98:$C$101,MATCH($AN10,'Sublimits and Parts'!$B$98:$B$101,0)),"?")))</f>
        <v>1.0449999999999999</v>
      </c>
      <c r="CA10" s="97">
        <f>IF($A10="","",IF($AO10="",1,IFERROR(INDEX('Sublimits and Parts'!$C$105:$C$109,MATCH($AO10,'Sublimits and Parts'!$B$105:$B$109,0)),"?")))</f>
        <v>1</v>
      </c>
      <c r="CB10" s="98">
        <f t="shared" si="2"/>
        <v>2.0800768070430005</v>
      </c>
      <c r="CC10" s="98">
        <f t="shared" si="3"/>
        <v>1.1121601644999997</v>
      </c>
      <c r="CD10" s="101">
        <f>IF($A10="","",IF(OR($CB10="?",$CC10="?"),"?",MIN($CB10*$CC10,'Technical Premium'!$C$17)))</f>
        <v>2.3133785638935773</v>
      </c>
      <c r="CE10" s="100">
        <f t="shared" si="4"/>
        <v>29518.710475282045</v>
      </c>
      <c r="CF10" s="100">
        <f>IF($A10="","",IFERROR(INDEX('Territory Factors'!$F$6:$F$56,MATCH($K10,'Territory Factors'!$B$6:$B$56,0)),"?"))</f>
        <v>760</v>
      </c>
      <c r="CG10" s="98">
        <f>IF($A10="","",IFERROR(INDEX('Usage and Coverage'!$C$79:$C$84,MATCH($Y10,'Usage and Coverage'!$B$79:$B$84,0)),"?"))</f>
        <v>1.68</v>
      </c>
      <c r="CH10" s="100">
        <f>IFERROR(IF(ISNUMBER($CD10),$CF10*$CG10*MIN($BG10*$BA10*$BC10*$BD10*$BH10*$BF10,'Technical Premium'!$C$17),""),"")</f>
        <v>2060.5301640000002</v>
      </c>
      <c r="CI10" s="100">
        <f t="shared" si="5"/>
        <v>31579.240639282045</v>
      </c>
      <c r="CJ10" s="100">
        <f>IFERROR($CI10*(1+'Technical Premium'!$C$5)*(1+'Technical Premium'!$C$6),"")</f>
        <v>35810.858884945847</v>
      </c>
      <c r="CK10" s="100">
        <f>IFERROR($CE10*INDEX('Territory Factors'!$G$6:$G$56,MATCH($K10,'Territory Factors'!$B$6:$B$56,0))*$AU10*$AV10,"")</f>
        <v>3683.9350673151989</v>
      </c>
      <c r="CL10" s="100">
        <f>IFERROR(($CJ10+$CK10)*(1+'Technical Premium'!$C$7),"")</f>
        <v>42456.903498680622</v>
      </c>
      <c r="CM10" s="102">
        <f>IFERROR($CL10/'Technical Premium'!$C$13,"")</f>
        <v>76498.925222847975</v>
      </c>
      <c r="CN10" s="103">
        <f t="shared" si="6"/>
        <v>3.4772238737658165</v>
      </c>
      <c r="CO10" s="102">
        <f t="shared" si="7"/>
        <v>80323.87148399037</v>
      </c>
      <c r="CP10" s="103">
        <f t="shared" si="8"/>
        <v>3.6510850674541082</v>
      </c>
      <c r="CQ10" s="104">
        <f t="shared" si="9"/>
        <v>1.0500000000000003</v>
      </c>
      <c r="CR10" s="100">
        <f>IF(ISNUMBER($CM10),'Technical Premium'!$C$14+IF($J10&gt;=1000000,'Technical Premium'!$C$15,0),"")</f>
        <v>600</v>
      </c>
      <c r="CS10" s="100">
        <f>IFERROR(($CO10+$CR10)*(INDEX('Territory Factors'!$K$6:$K$56,MATCH($K10,'Territory Factors'!$B$6:$B$56,0))+'Commission Structure'!$C$21),"")</f>
        <v>2573.3791131908938</v>
      </c>
      <c r="CT10" s="102">
        <f t="shared" si="10"/>
        <v>83497.250597181264</v>
      </c>
      <c r="CU10" s="100">
        <f>IFERROR($CO10*('Commission Structure'!$C$6+'Commission Structure'!$C$7),"")</f>
        <v>14056.677509698315</v>
      </c>
      <c r="CV10" s="100">
        <f>IFERROR($CO10*'Commission Structure'!$C$5-$CU10,"")</f>
        <v>8032.387148399037</v>
      </c>
      <c r="CW10" s="100">
        <f>IFERROR($CO10*(1-'Commission Structure'!$C$5),"")</f>
        <v>58234.806825893014</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REFER</v>
      </c>
      <c r="CY10" s="106">
        <f t="shared" si="11"/>
        <v>5.0000000000000044E-2</v>
      </c>
      <c r="CZ10" s="97" t="str">
        <f>IF($CY10="","",IF($CY10&lt;'Technical Premium'!$C$19,"BEYOND AUTHORITY",IF($CY10&gt;0.005,"Above technical",IF($CY10&lt;-0.005,"BELOW technical","At technical"))))</f>
        <v>Above technical</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NO - AWAITING APPROVAL</v>
      </c>
      <c r="DH10" s="97">
        <f>IF($A10="","",IF(OR($CX10="REFER",$CX10="DECLINE"),COUNTIF($CX$5:$CX10,"REFER")+COUNTIF($CX$5:$CX10,"DECLINE"),""))</f>
        <v>3</v>
      </c>
      <c r="DI10" s="92"/>
    </row>
    <row r="11" spans="1:113" x14ac:dyDescent="0.25">
      <c r="A11" s="92"/>
      <c r="B11" s="92"/>
      <c r="C11" s="93"/>
      <c r="D11" s="93"/>
      <c r="E11" s="94"/>
      <c r="F11" s="92"/>
      <c r="G11" s="92"/>
      <c r="H11" s="92"/>
      <c r="I11" s="92"/>
      <c r="J11" s="95"/>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6"/>
      <c r="AR11" s="97" t="str">
        <f t="shared" si="0"/>
        <v/>
      </c>
      <c r="AS11" s="97" t="str">
        <f>IF($A11="","",IF($AP11&lt;&gt;"",$AP11,IFERROR(INDEX('Cat Zone by ZIP'!$D$6:$D$856,MATCH($AR11,'Cat Zone by ZIP'!$B$6:$B$856,0)),IFERROR(INDEX('Cat Zone by ZIP'!$C$860:$C$910,MATCH($K11,'Cat Zone by ZIP'!$B$860:$B$910,0)),"NOT FOUND"))))</f>
        <v/>
      </c>
      <c r="AT11" s="97" t="str">
        <f>IF($A11="","",IF($AP11&lt;&gt;"","Override",IF(ISNUMBER(MATCH($AR11,'Cat Zone by ZIP'!$B$6:$B$856,0)),"ZIP-3","State default")))</f>
        <v/>
      </c>
      <c r="AU11" s="98" t="str">
        <f>IF($A11="","",IFERROR(INDEX('Natural Catastrophe'!$D$6:$D$17,MATCH($AS11,'Natural Catastrophe'!$B$6:$B$17,0)),"?"))</f>
        <v/>
      </c>
      <c r="AV11" s="98" t="str">
        <f>IF($A11="","",IFERROR(INDEX('Natural Catastrophe'!$C$21:$C$26,MATCH($AA11,'Natural Catastrophe'!$B$21:$B$26,0)),"?"))</f>
        <v/>
      </c>
      <c r="AW11" s="97" t="str">
        <f>IF($A11="","",IFERROR(INDEX('Base Rates'!$C$4:$I$4,MATCH(MAX($J11,'Technical Premium'!$C$18),'Base Rates'!$C$3:$I$3,1)),"?"))</f>
        <v/>
      </c>
      <c r="AX11" s="99" t="str">
        <f>IF($A11="","",IFERROR(INDEX('Base Rates'!$C$5:$I$16,MATCH($I11,'Base Rates'!$B$5:$B$16,0),MATCH(MAX($J11,'Technical Premium'!$C$18),'Base Rates'!$C$3:$I$3,1)),"?"))</f>
        <v/>
      </c>
      <c r="AY11" s="100" t="str">
        <f t="shared" si="1"/>
        <v/>
      </c>
      <c r="AZ11" s="97" t="str">
        <f>IF($A11="","",IFERROR(INDEX('Make Factors'!$G$5:$G$69,MATCH($F11,'Make Factors'!$B$5:$B$69,0)),"?"))</f>
        <v/>
      </c>
      <c r="BA11" s="97" t="str">
        <f>IF($A11="","",IFERROR(INDEX('Driver Factors'!$C$6:$C$15,MATCH($R11,'Driver Factors'!$B$6:$B$15,0)),"?"))</f>
        <v/>
      </c>
      <c r="BB11" s="97" t="str">
        <f>IF($A11="","",IFERROR(INDEX('Driver Factors'!$C$19:$C$24,MATCH($S11,'Driver Factors'!$B$19:$B$24,0)),"?"))</f>
        <v/>
      </c>
      <c r="BC11" s="97" t="str">
        <f>IF($A11="","",IFERROR(INDEX('Driver Factors'!$C$28:$C$36,MATCH($T11,'Driver Factors'!$B$28:$B$36,0)),"?"))</f>
        <v/>
      </c>
      <c r="BD11" s="97" t="str">
        <f>IF($A11="","",IFERROR(INDEX('Claims History'!$C$6:$C$15,MATCH($U11,'Claims History'!$B$6:$B$15,0)),"?"))</f>
        <v/>
      </c>
      <c r="BE11" s="97" t="str">
        <f>IF($A11="","",IFERROR(INDEX('Territory Factors'!$E$6:$E$56,MATCH($K11,'Territory Factors'!$B$6:$B$56,0)),"?"))</f>
        <v/>
      </c>
      <c r="BF11" s="97" t="str">
        <f>IF($A11="","",IFERROR(INDEX('City Accident Ratings'!$G$6:$G$54,MATCH($Z11,'City Accident Ratings'!$B$6:$B$54,0)),"?"))</f>
        <v/>
      </c>
      <c r="BG11" s="97" t="str">
        <f>IF($A11="","",IFERROR(INDEX('Usage and Coverage'!$D$6:$D$20,MATCH($N11,'Usage and Coverage'!$C$6:$C$20,0)),"?"))</f>
        <v/>
      </c>
      <c r="BH11" s="97" t="str">
        <f>IF($A11="","",IFERROR(INDEX('Usage and Coverage'!$C$24:$C$30,MATCH($O11,'Usage and Coverage'!$B$24:$B$30,0)),"?"))</f>
        <v/>
      </c>
      <c r="BI11" s="97" t="str">
        <f>IF($A11="","",IFERROR(INDEX('Usage and Coverage'!$C$34:$C$40,MATCH($P11,'Usage and Coverage'!$B$34:$B$40,0)),"?"))</f>
        <v/>
      </c>
      <c r="BJ11" s="97" t="str">
        <f>IF($A11="","",IFERROR(INDEX('Usage and Coverage'!$C$44:$C$49,MATCH($Q11,'Usage and Coverage'!$B$44:$B$49,0)),"?"))</f>
        <v/>
      </c>
      <c r="BK11" s="97" t="str">
        <f>IF($A11="","",IFERROR(INDEX(Deductibles!$C$6:$I$15,MATCH($W11,Deductibles!$B$6:$B$15,0),MATCH(MAX($J11,'Technical Premium'!$C$18),'Base Rates'!$C$3:$I$3,1)),"?"))</f>
        <v/>
      </c>
      <c r="BL11" s="97" t="str">
        <f>IF($A11="","",IFERROR(INDEX('Usage and Coverage'!$C$63:$C$66,MATCH($X11,'Usage and Coverage'!$B$63:$B$66,0)),"?"))</f>
        <v/>
      </c>
      <c r="BM11" s="97" t="str">
        <f>IF($A11="","",IFERROR(INDEX('Usage and Coverage'!$C$70:$C$75,MATCH($V11,'Usage and Coverage'!$B$70:$B$75,0)),"?"))</f>
        <v/>
      </c>
      <c r="BN11" s="97" t="str">
        <f>IF($A11="","",IF($AB11="",1,IFERROR(INDEX(Deductibles!$C$48:$C$51,MATCH($AB11,Deductibles!$B$48:$B$51,0)),"?")))</f>
        <v/>
      </c>
      <c r="BO11" s="97" t="str">
        <f>IF($A11="","",IF($AC11="",1,IFERROR(INDEX(Deductibles!$C$55:$C$57,MATCH($AC11,Deductibles!$B$55:$B$57,0)),"?")))</f>
        <v/>
      </c>
      <c r="BP11" s="97" t="str">
        <f>IF($A11="","",IF($AD11="",1,IFERROR(INDEX(Deductibles!$C$61:$C$63,MATCH($AD11,Deductibles!$B$61:$B$63,0)),"?")))</f>
        <v/>
      </c>
      <c r="BQ11" s="97" t="str">
        <f>IF($A11="","",IF($AE11="",1,IFERROR(INDEX(Deductibles!$C$67:$C$69,MATCH($AE11,Deductibles!$B$67:$B$69,0)),"?")))</f>
        <v/>
      </c>
      <c r="BR11" s="97" t="str">
        <f>IF($A11="","",IF($AF11="",1,IFERROR(INDEX(Deductibles!$C$73:$C$74,MATCH($AF11,Deductibles!$B$73:$B$74,0)),"?")))</f>
        <v/>
      </c>
      <c r="BS11" s="97" t="str">
        <f>IF($A11="","",IF($AG11="",1,IFERROR(INDEX('Sublimits and Parts'!$C$49:$C$52,MATCH($AG11,'Sublimits and Parts'!$B$49:$B$52,0)),"?")))</f>
        <v/>
      </c>
      <c r="BT11" s="97" t="str">
        <f>IF($A11="","",IF($AH11="",1,IFERROR(INDEX('Sublimits and Parts'!$C$56:$C$60,MATCH($AH11,'Sublimits and Parts'!$B$56:$B$60,0)),"?")))</f>
        <v/>
      </c>
      <c r="BU11" s="97" t="str">
        <f>IF($A11="","",IF($AI11="",1,IFERROR(INDEX('Sublimits and Parts'!$C$64:$C$67,MATCH($AI11,'Sublimits and Parts'!$B$64:$B$67,0)),"?")))</f>
        <v/>
      </c>
      <c r="BV11" s="97" t="str">
        <f>IF($A11="","",IF($AJ11="",1,IFERROR(INDEX('Sublimits and Parts'!$C$71:$C$74,MATCH($AJ11,'Sublimits and Parts'!$B$71:$B$74,0)),"?")))</f>
        <v/>
      </c>
      <c r="BW11" s="97" t="str">
        <f>IF($A11="","",IF($AK11="",1,IFERROR(INDEX('Sublimits and Parts'!$C$78:$C$80,MATCH($AK11,'Sublimits and Parts'!$B$78:$B$80,0)),"?")))</f>
        <v/>
      </c>
      <c r="BX11" s="97" t="str">
        <f>IF($A11="","",IF($AL11="",1,IFERROR(INDEX('Sublimits and Parts'!$C$84:$C$87,MATCH($AL11,'Sublimits and Parts'!$B$84:$B$87,0)),"?")))</f>
        <v/>
      </c>
      <c r="BY11" s="97" t="str">
        <f>IF($A11="","",IF($AM11="",1,IFERROR(INDEX('Sublimits and Parts'!$C$91:$C$94,MATCH($AM11,'Sublimits and Parts'!$B$91:$B$94,0)),"?")))</f>
        <v/>
      </c>
      <c r="BZ11" s="97" t="str">
        <f>IF($A11="","",IF($AN11="",1,IFERROR(INDEX('Sublimits and Parts'!$C$98:$C$101,MATCH($AN11,'Sublimits and Parts'!$B$98:$B$101,0)),"?")))</f>
        <v/>
      </c>
      <c r="CA11" s="97" t="str">
        <f>IF($A11="","",IF($AO11="",1,IFERROR(INDEX('Sublimits and Parts'!$C$105:$C$109,MATCH($AO11,'Sublimits and Parts'!$B$105:$B$109,0)),"?")))</f>
        <v/>
      </c>
      <c r="CB11" s="98" t="str">
        <f t="shared" si="2"/>
        <v/>
      </c>
      <c r="CC11" s="98" t="str">
        <f t="shared" si="3"/>
        <v/>
      </c>
      <c r="CD11" s="101" t="str">
        <f>IF($A11="","",IF(OR($CB11="?",$CC11="?"),"?",MIN($CB11*$CC11,'Technical Premium'!$C$17)))</f>
        <v/>
      </c>
      <c r="CE11" s="100" t="str">
        <f t="shared" si="4"/>
        <v/>
      </c>
      <c r="CF11" s="100" t="str">
        <f>IF($A11="","",IFERROR(INDEX('Territory Factors'!$F$6:$F$56,MATCH($K11,'Territory Factors'!$B$6:$B$56,0)),"?"))</f>
        <v/>
      </c>
      <c r="CG11" s="98" t="str">
        <f>IF($A11="","",IFERROR(INDEX('Usage and Coverage'!$C$79:$C$84,MATCH($Y11,'Usage and Coverage'!$B$79:$B$84,0)),"?"))</f>
        <v/>
      </c>
      <c r="CH11" s="100" t="str">
        <f>IFERROR(IF(ISNUMBER($CD11),$CF11*$CG11*MIN($BG11*$BA11*$BC11*$BD11*$BH11*$BF11,'Technical Premium'!$C$17),""),"")</f>
        <v/>
      </c>
      <c r="CI11" s="100" t="str">
        <f t="shared" si="5"/>
        <v/>
      </c>
      <c r="CJ11" s="100" t="str">
        <f>IFERROR($CI11*(1+'Technical Premium'!$C$5)*(1+'Technical Premium'!$C$6),"")</f>
        <v/>
      </c>
      <c r="CK11" s="100" t="str">
        <f>IFERROR($CE11*INDEX('Territory Factors'!$G$6:$G$56,MATCH($K11,'Territory Factors'!$B$6:$B$56,0))*$AU11*$AV11,"")</f>
        <v/>
      </c>
      <c r="CL11" s="100" t="str">
        <f>IFERROR(($CJ11+$CK11)*(1+'Technical Premium'!$C$7),"")</f>
        <v/>
      </c>
      <c r="CM11" s="102" t="str">
        <f>IFERROR($CL11/'Technical Premium'!$C$13,"")</f>
        <v/>
      </c>
      <c r="CN11" s="103" t="str">
        <f t="shared" si="6"/>
        <v/>
      </c>
      <c r="CO11" s="102" t="str">
        <f t="shared" si="7"/>
        <v/>
      </c>
      <c r="CP11" s="103" t="str">
        <f t="shared" si="8"/>
        <v/>
      </c>
      <c r="CQ11" s="104" t="str">
        <f t="shared" si="9"/>
        <v/>
      </c>
      <c r="CR11" s="100" t="str">
        <f>IF(ISNUMBER($CM11),'Technical Premium'!$C$14+IF($J11&gt;=1000000,'Technical Premium'!$C$15,0),"")</f>
        <v/>
      </c>
      <c r="CS11" s="100" t="str">
        <f>IFERROR(($CO11+$CR11)*(INDEX('Territory Factors'!$K$6:$K$56,MATCH($K11,'Territory Factors'!$B$6:$B$56,0))+'Commission Structure'!$C$21),"")</f>
        <v/>
      </c>
      <c r="CT11" s="102" t="str">
        <f t="shared" si="10"/>
        <v/>
      </c>
      <c r="CU11" s="100" t="str">
        <f>IFERROR($CO11*('Commission Structure'!$C$6+'Commission Structure'!$C$7),"")</f>
        <v/>
      </c>
      <c r="CV11" s="100" t="str">
        <f>IFERROR($CO11*'Commission Structure'!$C$5-$CU11,"")</f>
        <v/>
      </c>
      <c r="CW11" s="100" t="str">
        <f>IFERROR($CO11*(1-'Commission Structure'!$C$5),"")</f>
        <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6" t="str">
        <f t="shared" si="11"/>
        <v/>
      </c>
      <c r="CZ11" s="97" t="str">
        <f>IF($CY11="","",IF($CY11&lt;'Technical Premium'!$C$19,"BEYOND AUTHORITY",IF($CY11&gt;0.005,"Above technical",IF($CY11&lt;-0.005,"BELOW technical","At technical"))))</f>
        <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
      </c>
      <c r="DH11" s="97" t="str">
        <f>IF($A11="","",IF(OR($CX11="REFER",$CX11="DECLINE"),COUNTIF($CX$5:$CX11,"REFER")+COUNTIF($CX$5:$CX11,"DECLINE"),""))</f>
        <v/>
      </c>
      <c r="DI11" s="92"/>
    </row>
    <row r="12" spans="1:113" x14ac:dyDescent="0.25">
      <c r="A12" s="92"/>
      <c r="B12" s="92"/>
      <c r="C12" s="93"/>
      <c r="D12" s="93"/>
      <c r="E12" s="94"/>
      <c r="F12" s="92"/>
      <c r="G12" s="92"/>
      <c r="H12" s="92"/>
      <c r="I12" s="92"/>
      <c r="J12" s="95"/>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6"/>
      <c r="AR12" s="97" t="str">
        <f t="shared" si="0"/>
        <v/>
      </c>
      <c r="AS12" s="97" t="str">
        <f>IF($A12="","",IF($AP12&lt;&gt;"",$AP12,IFERROR(INDEX('Cat Zone by ZIP'!$D$6:$D$856,MATCH($AR12,'Cat Zone by ZIP'!$B$6:$B$856,0)),IFERROR(INDEX('Cat Zone by ZIP'!$C$860:$C$910,MATCH($K12,'Cat Zone by ZIP'!$B$860:$B$910,0)),"NOT FOUND"))))</f>
        <v/>
      </c>
      <c r="AT12" s="97" t="str">
        <f>IF($A12="","",IF($AP12&lt;&gt;"","Override",IF(ISNUMBER(MATCH($AR12,'Cat Zone by ZIP'!$B$6:$B$856,0)),"ZIP-3","State default")))</f>
        <v/>
      </c>
      <c r="AU12" s="98" t="str">
        <f>IF($A12="","",IFERROR(INDEX('Natural Catastrophe'!$D$6:$D$17,MATCH($AS12,'Natural Catastrophe'!$B$6:$B$17,0)),"?"))</f>
        <v/>
      </c>
      <c r="AV12" s="98" t="str">
        <f>IF($A12="","",IFERROR(INDEX('Natural Catastrophe'!$C$21:$C$26,MATCH($AA12,'Natural Catastrophe'!$B$21:$B$26,0)),"?"))</f>
        <v/>
      </c>
      <c r="AW12" s="97" t="str">
        <f>IF($A12="","",IFERROR(INDEX('Base Rates'!$C$4:$I$4,MATCH(MAX($J12,'Technical Premium'!$C$18),'Base Rates'!$C$3:$I$3,1)),"?"))</f>
        <v/>
      </c>
      <c r="AX12" s="99" t="str">
        <f>IF($A12="","",IFERROR(INDEX('Base Rates'!$C$5:$I$16,MATCH($I12,'Base Rates'!$B$5:$B$16,0),MATCH(MAX($J12,'Technical Premium'!$C$18),'Base Rates'!$C$3:$I$3,1)),"?"))</f>
        <v/>
      </c>
      <c r="AY12" s="100" t="str">
        <f t="shared" si="1"/>
        <v/>
      </c>
      <c r="AZ12" s="97" t="str">
        <f>IF($A12="","",IFERROR(INDEX('Make Factors'!$G$5:$G$69,MATCH($F12,'Make Factors'!$B$5:$B$69,0)),"?"))</f>
        <v/>
      </c>
      <c r="BA12" s="97" t="str">
        <f>IF($A12="","",IFERROR(INDEX('Driver Factors'!$C$6:$C$15,MATCH($R12,'Driver Factors'!$B$6:$B$15,0)),"?"))</f>
        <v/>
      </c>
      <c r="BB12" s="97" t="str">
        <f>IF($A12="","",IFERROR(INDEX('Driver Factors'!$C$19:$C$24,MATCH($S12,'Driver Factors'!$B$19:$B$24,0)),"?"))</f>
        <v/>
      </c>
      <c r="BC12" s="97" t="str">
        <f>IF($A12="","",IFERROR(INDEX('Driver Factors'!$C$28:$C$36,MATCH($T12,'Driver Factors'!$B$28:$B$36,0)),"?"))</f>
        <v/>
      </c>
      <c r="BD12" s="97" t="str">
        <f>IF($A12="","",IFERROR(INDEX('Claims History'!$C$6:$C$15,MATCH($U12,'Claims History'!$B$6:$B$15,0)),"?"))</f>
        <v/>
      </c>
      <c r="BE12" s="97" t="str">
        <f>IF($A12="","",IFERROR(INDEX('Territory Factors'!$E$6:$E$56,MATCH($K12,'Territory Factors'!$B$6:$B$56,0)),"?"))</f>
        <v/>
      </c>
      <c r="BF12" s="97" t="str">
        <f>IF($A12="","",IFERROR(INDEX('City Accident Ratings'!$G$6:$G$54,MATCH($Z12,'City Accident Ratings'!$B$6:$B$54,0)),"?"))</f>
        <v/>
      </c>
      <c r="BG12" s="97" t="str">
        <f>IF($A12="","",IFERROR(INDEX('Usage and Coverage'!$D$6:$D$20,MATCH($N12,'Usage and Coverage'!$C$6:$C$20,0)),"?"))</f>
        <v/>
      </c>
      <c r="BH12" s="97" t="str">
        <f>IF($A12="","",IFERROR(INDEX('Usage and Coverage'!$C$24:$C$30,MATCH($O12,'Usage and Coverage'!$B$24:$B$30,0)),"?"))</f>
        <v/>
      </c>
      <c r="BI12" s="97" t="str">
        <f>IF($A12="","",IFERROR(INDEX('Usage and Coverage'!$C$34:$C$40,MATCH($P12,'Usage and Coverage'!$B$34:$B$40,0)),"?"))</f>
        <v/>
      </c>
      <c r="BJ12" s="97" t="str">
        <f>IF($A12="","",IFERROR(INDEX('Usage and Coverage'!$C$44:$C$49,MATCH($Q12,'Usage and Coverage'!$B$44:$B$49,0)),"?"))</f>
        <v/>
      </c>
      <c r="BK12" s="97" t="str">
        <f>IF($A12="","",IFERROR(INDEX(Deductibles!$C$6:$I$15,MATCH($W12,Deductibles!$B$6:$B$15,0),MATCH(MAX($J12,'Technical Premium'!$C$18),'Base Rates'!$C$3:$I$3,1)),"?"))</f>
        <v/>
      </c>
      <c r="BL12" s="97" t="str">
        <f>IF($A12="","",IFERROR(INDEX('Usage and Coverage'!$C$63:$C$66,MATCH($X12,'Usage and Coverage'!$B$63:$B$66,0)),"?"))</f>
        <v/>
      </c>
      <c r="BM12" s="97" t="str">
        <f>IF($A12="","",IFERROR(INDEX('Usage and Coverage'!$C$70:$C$75,MATCH($V12,'Usage and Coverage'!$B$70:$B$75,0)),"?"))</f>
        <v/>
      </c>
      <c r="BN12" s="97" t="str">
        <f>IF($A12="","",IF($AB12="",1,IFERROR(INDEX(Deductibles!$C$48:$C$51,MATCH($AB12,Deductibles!$B$48:$B$51,0)),"?")))</f>
        <v/>
      </c>
      <c r="BO12" s="97" t="str">
        <f>IF($A12="","",IF($AC12="",1,IFERROR(INDEX(Deductibles!$C$55:$C$57,MATCH($AC12,Deductibles!$B$55:$B$57,0)),"?")))</f>
        <v/>
      </c>
      <c r="BP12" s="97" t="str">
        <f>IF($A12="","",IF($AD12="",1,IFERROR(INDEX(Deductibles!$C$61:$C$63,MATCH($AD12,Deductibles!$B$61:$B$63,0)),"?")))</f>
        <v/>
      </c>
      <c r="BQ12" s="97" t="str">
        <f>IF($A12="","",IF($AE12="",1,IFERROR(INDEX(Deductibles!$C$67:$C$69,MATCH($AE12,Deductibles!$B$67:$B$69,0)),"?")))</f>
        <v/>
      </c>
      <c r="BR12" s="97" t="str">
        <f>IF($A12="","",IF($AF12="",1,IFERROR(INDEX(Deductibles!$C$73:$C$74,MATCH($AF12,Deductibles!$B$73:$B$74,0)),"?")))</f>
        <v/>
      </c>
      <c r="BS12" s="97" t="str">
        <f>IF($A12="","",IF($AG12="",1,IFERROR(INDEX('Sublimits and Parts'!$C$49:$C$52,MATCH($AG12,'Sublimits and Parts'!$B$49:$B$52,0)),"?")))</f>
        <v/>
      </c>
      <c r="BT12" s="97" t="str">
        <f>IF($A12="","",IF($AH12="",1,IFERROR(INDEX('Sublimits and Parts'!$C$56:$C$60,MATCH($AH12,'Sublimits and Parts'!$B$56:$B$60,0)),"?")))</f>
        <v/>
      </c>
      <c r="BU12" s="97" t="str">
        <f>IF($A12="","",IF($AI12="",1,IFERROR(INDEX('Sublimits and Parts'!$C$64:$C$67,MATCH($AI12,'Sublimits and Parts'!$B$64:$B$67,0)),"?")))</f>
        <v/>
      </c>
      <c r="BV12" s="97" t="str">
        <f>IF($A12="","",IF($AJ12="",1,IFERROR(INDEX('Sublimits and Parts'!$C$71:$C$74,MATCH($AJ12,'Sublimits and Parts'!$B$71:$B$74,0)),"?")))</f>
        <v/>
      </c>
      <c r="BW12" s="97" t="str">
        <f>IF($A12="","",IF($AK12="",1,IFERROR(INDEX('Sublimits and Parts'!$C$78:$C$80,MATCH($AK12,'Sublimits and Parts'!$B$78:$B$80,0)),"?")))</f>
        <v/>
      </c>
      <c r="BX12" s="97" t="str">
        <f>IF($A12="","",IF($AL12="",1,IFERROR(INDEX('Sublimits and Parts'!$C$84:$C$87,MATCH($AL12,'Sublimits and Parts'!$B$84:$B$87,0)),"?")))</f>
        <v/>
      </c>
      <c r="BY12" s="97" t="str">
        <f>IF($A12="","",IF($AM12="",1,IFERROR(INDEX('Sublimits and Parts'!$C$91:$C$94,MATCH($AM12,'Sublimits and Parts'!$B$91:$B$94,0)),"?")))</f>
        <v/>
      </c>
      <c r="BZ12" s="97" t="str">
        <f>IF($A12="","",IF($AN12="",1,IFERROR(INDEX('Sublimits and Parts'!$C$98:$C$101,MATCH($AN12,'Sublimits and Parts'!$B$98:$B$101,0)),"?")))</f>
        <v/>
      </c>
      <c r="CA12" s="97" t="str">
        <f>IF($A12="","",IF($AO12="",1,IFERROR(INDEX('Sublimits and Parts'!$C$105:$C$109,MATCH($AO12,'Sublimits and Parts'!$B$105:$B$109,0)),"?")))</f>
        <v/>
      </c>
      <c r="CB12" s="98" t="str">
        <f t="shared" si="2"/>
        <v/>
      </c>
      <c r="CC12" s="98" t="str">
        <f t="shared" si="3"/>
        <v/>
      </c>
      <c r="CD12" s="101" t="str">
        <f>IF($A12="","",IF(OR($CB12="?",$CC12="?"),"?",MIN($CB12*$CC12,'Technical Premium'!$C$17)))</f>
        <v/>
      </c>
      <c r="CE12" s="100" t="str">
        <f t="shared" si="4"/>
        <v/>
      </c>
      <c r="CF12" s="100" t="str">
        <f>IF($A12="","",IFERROR(INDEX('Territory Factors'!$F$6:$F$56,MATCH($K12,'Territory Factors'!$B$6:$B$56,0)),"?"))</f>
        <v/>
      </c>
      <c r="CG12" s="98" t="str">
        <f>IF($A12="","",IFERROR(INDEX('Usage and Coverage'!$C$79:$C$84,MATCH($Y12,'Usage and Coverage'!$B$79:$B$84,0)),"?"))</f>
        <v/>
      </c>
      <c r="CH12" s="100" t="str">
        <f>IFERROR(IF(ISNUMBER($CD12),$CF12*$CG12*MIN($BG12*$BA12*$BC12*$BD12*$BH12*$BF12,'Technical Premium'!$C$17),""),"")</f>
        <v/>
      </c>
      <c r="CI12" s="100" t="str">
        <f t="shared" si="5"/>
        <v/>
      </c>
      <c r="CJ12" s="100" t="str">
        <f>IFERROR($CI12*(1+'Technical Premium'!$C$5)*(1+'Technical Premium'!$C$6),"")</f>
        <v/>
      </c>
      <c r="CK12" s="100" t="str">
        <f>IFERROR($CE12*INDEX('Territory Factors'!$G$6:$G$56,MATCH($K12,'Territory Factors'!$B$6:$B$56,0))*$AU12*$AV12,"")</f>
        <v/>
      </c>
      <c r="CL12" s="100" t="str">
        <f>IFERROR(($CJ12+$CK12)*(1+'Technical Premium'!$C$7),"")</f>
        <v/>
      </c>
      <c r="CM12" s="102" t="str">
        <f>IFERROR($CL12/'Technical Premium'!$C$13,"")</f>
        <v/>
      </c>
      <c r="CN12" s="103" t="str">
        <f t="shared" si="6"/>
        <v/>
      </c>
      <c r="CO12" s="102" t="str">
        <f t="shared" si="7"/>
        <v/>
      </c>
      <c r="CP12" s="103" t="str">
        <f t="shared" si="8"/>
        <v/>
      </c>
      <c r="CQ12" s="104" t="str">
        <f t="shared" si="9"/>
        <v/>
      </c>
      <c r="CR12" s="100" t="str">
        <f>IF(ISNUMBER($CM12),'Technical Premium'!$C$14+IF($J12&gt;=1000000,'Technical Premium'!$C$15,0),"")</f>
        <v/>
      </c>
      <c r="CS12" s="100" t="str">
        <f>IFERROR(($CO12+$CR12)*(INDEX('Territory Factors'!$K$6:$K$56,MATCH($K12,'Territory Factors'!$B$6:$B$56,0))+'Commission Structure'!$C$21),"")</f>
        <v/>
      </c>
      <c r="CT12" s="102" t="str">
        <f t="shared" si="10"/>
        <v/>
      </c>
      <c r="CU12" s="100" t="str">
        <f>IFERROR($CO12*('Commission Structure'!$C$6+'Commission Structure'!$C$7),"")</f>
        <v/>
      </c>
      <c r="CV12" s="100" t="str">
        <f>IFERROR($CO12*'Commission Structure'!$C$5-$CU12,"")</f>
        <v/>
      </c>
      <c r="CW12" s="100" t="str">
        <f>IFERROR($CO12*(1-'Commission Structure'!$C$5),"")</f>
        <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6" t="str">
        <f t="shared" si="11"/>
        <v/>
      </c>
      <c r="CZ12" s="97" t="str">
        <f>IF($CY12="","",IF($CY12&lt;'Technical Premium'!$C$19,"BEYOND AUTHORITY",IF($CY12&gt;0.005,"Above technical",IF($CY12&lt;-0.005,"BELOW technical","At technical"))))</f>
        <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
      </c>
      <c r="DH12" s="97" t="str">
        <f>IF($A12="","",IF(OR($CX12="REFER",$CX12="DECLINE"),COUNTIF($CX$5:$CX12,"REFER")+COUNTIF($CX$5:$CX12,"DECLINE"),""))</f>
        <v/>
      </c>
      <c r="DI12" s="92"/>
    </row>
    <row r="13" spans="1:113" x14ac:dyDescent="0.25">
      <c r="A13" s="92"/>
      <c r="B13" s="92"/>
      <c r="C13" s="93"/>
      <c r="D13" s="93"/>
      <c r="E13" s="94"/>
      <c r="F13" s="92"/>
      <c r="G13" s="92"/>
      <c r="H13" s="92"/>
      <c r="I13" s="92"/>
      <c r="J13" s="95"/>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6"/>
      <c r="AR13" s="97" t="str">
        <f t="shared" si="0"/>
        <v/>
      </c>
      <c r="AS13" s="97" t="str">
        <f>IF($A13="","",IF($AP13&lt;&gt;"",$AP13,IFERROR(INDEX('Cat Zone by ZIP'!$D$6:$D$856,MATCH($AR13,'Cat Zone by ZIP'!$B$6:$B$856,0)),IFERROR(INDEX('Cat Zone by ZIP'!$C$860:$C$910,MATCH($K13,'Cat Zone by ZIP'!$B$860:$B$910,0)),"NOT FOUND"))))</f>
        <v/>
      </c>
      <c r="AT13" s="97" t="str">
        <f>IF($A13="","",IF($AP13&lt;&gt;"","Override",IF(ISNUMBER(MATCH($AR13,'Cat Zone by ZIP'!$B$6:$B$856,0)),"ZIP-3","State default")))</f>
        <v/>
      </c>
      <c r="AU13" s="98" t="str">
        <f>IF($A13="","",IFERROR(INDEX('Natural Catastrophe'!$D$6:$D$17,MATCH($AS13,'Natural Catastrophe'!$B$6:$B$17,0)),"?"))</f>
        <v/>
      </c>
      <c r="AV13" s="98" t="str">
        <f>IF($A13="","",IFERROR(INDEX('Natural Catastrophe'!$C$21:$C$26,MATCH($AA13,'Natural Catastrophe'!$B$21:$B$26,0)),"?"))</f>
        <v/>
      </c>
      <c r="AW13" s="97" t="str">
        <f>IF($A13="","",IFERROR(INDEX('Base Rates'!$C$4:$I$4,MATCH(MAX($J13,'Technical Premium'!$C$18),'Base Rates'!$C$3:$I$3,1)),"?"))</f>
        <v/>
      </c>
      <c r="AX13" s="99" t="str">
        <f>IF($A13="","",IFERROR(INDEX('Base Rates'!$C$5:$I$16,MATCH($I13,'Base Rates'!$B$5:$B$16,0),MATCH(MAX($J13,'Technical Premium'!$C$18),'Base Rates'!$C$3:$I$3,1)),"?"))</f>
        <v/>
      </c>
      <c r="AY13" s="100" t="str">
        <f t="shared" si="1"/>
        <v/>
      </c>
      <c r="AZ13" s="97" t="str">
        <f>IF($A13="","",IFERROR(INDEX('Make Factors'!$G$5:$G$69,MATCH($F13,'Make Factors'!$B$5:$B$69,0)),"?"))</f>
        <v/>
      </c>
      <c r="BA13" s="97" t="str">
        <f>IF($A13="","",IFERROR(INDEX('Driver Factors'!$C$6:$C$15,MATCH($R13,'Driver Factors'!$B$6:$B$15,0)),"?"))</f>
        <v/>
      </c>
      <c r="BB13" s="97" t="str">
        <f>IF($A13="","",IFERROR(INDEX('Driver Factors'!$C$19:$C$24,MATCH($S13,'Driver Factors'!$B$19:$B$24,0)),"?"))</f>
        <v/>
      </c>
      <c r="BC13" s="97" t="str">
        <f>IF($A13="","",IFERROR(INDEX('Driver Factors'!$C$28:$C$36,MATCH($T13,'Driver Factors'!$B$28:$B$36,0)),"?"))</f>
        <v/>
      </c>
      <c r="BD13" s="97" t="str">
        <f>IF($A13="","",IFERROR(INDEX('Claims History'!$C$6:$C$15,MATCH($U13,'Claims History'!$B$6:$B$15,0)),"?"))</f>
        <v/>
      </c>
      <c r="BE13" s="97" t="str">
        <f>IF($A13="","",IFERROR(INDEX('Territory Factors'!$E$6:$E$56,MATCH($K13,'Territory Factors'!$B$6:$B$56,0)),"?"))</f>
        <v/>
      </c>
      <c r="BF13" s="97" t="str">
        <f>IF($A13="","",IFERROR(INDEX('City Accident Ratings'!$G$6:$G$54,MATCH($Z13,'City Accident Ratings'!$B$6:$B$54,0)),"?"))</f>
        <v/>
      </c>
      <c r="BG13" s="97" t="str">
        <f>IF($A13="","",IFERROR(INDEX('Usage and Coverage'!$D$6:$D$20,MATCH($N13,'Usage and Coverage'!$C$6:$C$20,0)),"?"))</f>
        <v/>
      </c>
      <c r="BH13" s="97" t="str">
        <f>IF($A13="","",IFERROR(INDEX('Usage and Coverage'!$C$24:$C$30,MATCH($O13,'Usage and Coverage'!$B$24:$B$30,0)),"?"))</f>
        <v/>
      </c>
      <c r="BI13" s="97" t="str">
        <f>IF($A13="","",IFERROR(INDEX('Usage and Coverage'!$C$34:$C$40,MATCH($P13,'Usage and Coverage'!$B$34:$B$40,0)),"?"))</f>
        <v/>
      </c>
      <c r="BJ13" s="97" t="str">
        <f>IF($A13="","",IFERROR(INDEX('Usage and Coverage'!$C$44:$C$49,MATCH($Q13,'Usage and Coverage'!$B$44:$B$49,0)),"?"))</f>
        <v/>
      </c>
      <c r="BK13" s="97" t="str">
        <f>IF($A13="","",IFERROR(INDEX(Deductibles!$C$6:$I$15,MATCH($W13,Deductibles!$B$6:$B$15,0),MATCH(MAX($J13,'Technical Premium'!$C$18),'Base Rates'!$C$3:$I$3,1)),"?"))</f>
        <v/>
      </c>
      <c r="BL13" s="97" t="str">
        <f>IF($A13="","",IFERROR(INDEX('Usage and Coverage'!$C$63:$C$66,MATCH($X13,'Usage and Coverage'!$B$63:$B$66,0)),"?"))</f>
        <v/>
      </c>
      <c r="BM13" s="97" t="str">
        <f>IF($A13="","",IFERROR(INDEX('Usage and Coverage'!$C$70:$C$75,MATCH($V13,'Usage and Coverage'!$B$70:$B$75,0)),"?"))</f>
        <v/>
      </c>
      <c r="BN13" s="97" t="str">
        <f>IF($A13="","",IF($AB13="",1,IFERROR(INDEX(Deductibles!$C$48:$C$51,MATCH($AB13,Deductibles!$B$48:$B$51,0)),"?")))</f>
        <v/>
      </c>
      <c r="BO13" s="97" t="str">
        <f>IF($A13="","",IF($AC13="",1,IFERROR(INDEX(Deductibles!$C$55:$C$57,MATCH($AC13,Deductibles!$B$55:$B$57,0)),"?")))</f>
        <v/>
      </c>
      <c r="BP13" s="97" t="str">
        <f>IF($A13="","",IF($AD13="",1,IFERROR(INDEX(Deductibles!$C$61:$C$63,MATCH($AD13,Deductibles!$B$61:$B$63,0)),"?")))</f>
        <v/>
      </c>
      <c r="BQ13" s="97" t="str">
        <f>IF($A13="","",IF($AE13="",1,IFERROR(INDEX(Deductibles!$C$67:$C$69,MATCH($AE13,Deductibles!$B$67:$B$69,0)),"?")))</f>
        <v/>
      </c>
      <c r="BR13" s="97" t="str">
        <f>IF($A13="","",IF($AF13="",1,IFERROR(INDEX(Deductibles!$C$73:$C$74,MATCH($AF13,Deductibles!$B$73:$B$74,0)),"?")))</f>
        <v/>
      </c>
      <c r="BS13" s="97" t="str">
        <f>IF($A13="","",IF($AG13="",1,IFERROR(INDEX('Sublimits and Parts'!$C$49:$C$52,MATCH($AG13,'Sublimits and Parts'!$B$49:$B$52,0)),"?")))</f>
        <v/>
      </c>
      <c r="BT13" s="97" t="str">
        <f>IF($A13="","",IF($AH13="",1,IFERROR(INDEX('Sublimits and Parts'!$C$56:$C$60,MATCH($AH13,'Sublimits and Parts'!$B$56:$B$60,0)),"?")))</f>
        <v/>
      </c>
      <c r="BU13" s="97" t="str">
        <f>IF($A13="","",IF($AI13="",1,IFERROR(INDEX('Sublimits and Parts'!$C$64:$C$67,MATCH($AI13,'Sublimits and Parts'!$B$64:$B$67,0)),"?")))</f>
        <v/>
      </c>
      <c r="BV13" s="97" t="str">
        <f>IF($A13="","",IF($AJ13="",1,IFERROR(INDEX('Sublimits and Parts'!$C$71:$C$74,MATCH($AJ13,'Sublimits and Parts'!$B$71:$B$74,0)),"?")))</f>
        <v/>
      </c>
      <c r="BW13" s="97" t="str">
        <f>IF($A13="","",IF($AK13="",1,IFERROR(INDEX('Sublimits and Parts'!$C$78:$C$80,MATCH($AK13,'Sublimits and Parts'!$B$78:$B$80,0)),"?")))</f>
        <v/>
      </c>
      <c r="BX13" s="97" t="str">
        <f>IF($A13="","",IF($AL13="",1,IFERROR(INDEX('Sublimits and Parts'!$C$84:$C$87,MATCH($AL13,'Sublimits and Parts'!$B$84:$B$87,0)),"?")))</f>
        <v/>
      </c>
      <c r="BY13" s="97" t="str">
        <f>IF($A13="","",IF($AM13="",1,IFERROR(INDEX('Sublimits and Parts'!$C$91:$C$94,MATCH($AM13,'Sublimits and Parts'!$B$91:$B$94,0)),"?")))</f>
        <v/>
      </c>
      <c r="BZ13" s="97" t="str">
        <f>IF($A13="","",IF($AN13="",1,IFERROR(INDEX('Sublimits and Parts'!$C$98:$C$101,MATCH($AN13,'Sublimits and Parts'!$B$98:$B$101,0)),"?")))</f>
        <v/>
      </c>
      <c r="CA13" s="97" t="str">
        <f>IF($A13="","",IF($AO13="",1,IFERROR(INDEX('Sublimits and Parts'!$C$105:$C$109,MATCH($AO13,'Sublimits and Parts'!$B$105:$B$109,0)),"?")))</f>
        <v/>
      </c>
      <c r="CB13" s="98" t="str">
        <f t="shared" si="2"/>
        <v/>
      </c>
      <c r="CC13" s="98" t="str">
        <f t="shared" si="3"/>
        <v/>
      </c>
      <c r="CD13" s="101" t="str">
        <f>IF($A13="","",IF(OR($CB13="?",$CC13="?"),"?",MIN($CB13*$CC13,'Technical Premium'!$C$17)))</f>
        <v/>
      </c>
      <c r="CE13" s="100" t="str">
        <f t="shared" si="4"/>
        <v/>
      </c>
      <c r="CF13" s="100" t="str">
        <f>IF($A13="","",IFERROR(INDEX('Territory Factors'!$F$6:$F$56,MATCH($K13,'Territory Factors'!$B$6:$B$56,0)),"?"))</f>
        <v/>
      </c>
      <c r="CG13" s="98" t="str">
        <f>IF($A13="","",IFERROR(INDEX('Usage and Coverage'!$C$79:$C$84,MATCH($Y13,'Usage and Coverage'!$B$79:$B$84,0)),"?"))</f>
        <v/>
      </c>
      <c r="CH13" s="100" t="str">
        <f>IFERROR(IF(ISNUMBER($CD13),$CF13*$CG13*MIN($BG13*$BA13*$BC13*$BD13*$BH13*$BF13,'Technical Premium'!$C$17),""),"")</f>
        <v/>
      </c>
      <c r="CI13" s="100" t="str">
        <f t="shared" si="5"/>
        <v/>
      </c>
      <c r="CJ13" s="100" t="str">
        <f>IFERROR($CI13*(1+'Technical Premium'!$C$5)*(1+'Technical Premium'!$C$6),"")</f>
        <v/>
      </c>
      <c r="CK13" s="100" t="str">
        <f>IFERROR($CE13*INDEX('Territory Factors'!$G$6:$G$56,MATCH($K13,'Territory Factors'!$B$6:$B$56,0))*$AU13*$AV13,"")</f>
        <v/>
      </c>
      <c r="CL13" s="100" t="str">
        <f>IFERROR(($CJ13+$CK13)*(1+'Technical Premium'!$C$7),"")</f>
        <v/>
      </c>
      <c r="CM13" s="102" t="str">
        <f>IFERROR($CL13/'Technical Premium'!$C$13,"")</f>
        <v/>
      </c>
      <c r="CN13" s="103" t="str">
        <f t="shared" si="6"/>
        <v/>
      </c>
      <c r="CO13" s="102" t="str">
        <f t="shared" si="7"/>
        <v/>
      </c>
      <c r="CP13" s="103" t="str">
        <f t="shared" si="8"/>
        <v/>
      </c>
      <c r="CQ13" s="104" t="str">
        <f t="shared" si="9"/>
        <v/>
      </c>
      <c r="CR13" s="100" t="str">
        <f>IF(ISNUMBER($CM13),'Technical Premium'!$C$14+IF($J13&gt;=1000000,'Technical Premium'!$C$15,0),"")</f>
        <v/>
      </c>
      <c r="CS13" s="100" t="str">
        <f>IFERROR(($CO13+$CR13)*(INDEX('Territory Factors'!$K$6:$K$56,MATCH($K13,'Territory Factors'!$B$6:$B$56,0))+'Commission Structure'!$C$21),"")</f>
        <v/>
      </c>
      <c r="CT13" s="102" t="str">
        <f t="shared" si="10"/>
        <v/>
      </c>
      <c r="CU13" s="100" t="str">
        <f>IFERROR($CO13*('Commission Structure'!$C$6+'Commission Structure'!$C$7),"")</f>
        <v/>
      </c>
      <c r="CV13" s="100" t="str">
        <f>IFERROR($CO13*'Commission Structure'!$C$5-$CU13,"")</f>
        <v/>
      </c>
      <c r="CW13" s="100" t="str">
        <f>IFERROR($CO13*(1-'Commission Structure'!$C$5),"")</f>
        <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6" t="str">
        <f t="shared" si="11"/>
        <v/>
      </c>
      <c r="CZ13" s="97" t="str">
        <f>IF($CY13="","",IF($CY13&lt;'Technical Premium'!$C$19,"BEYOND AUTHORITY",IF($CY13&gt;0.005,"Above technical",IF($CY13&lt;-0.005,"BELOW technical","At technical"))))</f>
        <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
      </c>
      <c r="DH13" s="97" t="str">
        <f>IF($A13="","",IF(OR($CX13="REFER",$CX13="DECLINE"),COUNTIF($CX$5:$CX13,"REFER")+COUNTIF($CX$5:$CX13,"DECLINE"),""))</f>
        <v/>
      </c>
      <c r="DI13" s="92"/>
    </row>
    <row r="14" spans="1:113" x14ac:dyDescent="0.25">
      <c r="A14" s="92"/>
      <c r="B14" s="92"/>
      <c r="C14" s="93"/>
      <c r="D14" s="93"/>
      <c r="E14" s="94"/>
      <c r="F14" s="92"/>
      <c r="G14" s="92"/>
      <c r="H14" s="92"/>
      <c r="I14" s="92"/>
      <c r="J14" s="95"/>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6"/>
      <c r="AR14" s="97" t="str">
        <f t="shared" si="0"/>
        <v/>
      </c>
      <c r="AS14" s="97" t="str">
        <f>IF($A14="","",IF($AP14&lt;&gt;"",$AP14,IFERROR(INDEX('Cat Zone by ZIP'!$D$6:$D$856,MATCH($AR14,'Cat Zone by ZIP'!$B$6:$B$856,0)),IFERROR(INDEX('Cat Zone by ZIP'!$C$860:$C$910,MATCH($K14,'Cat Zone by ZIP'!$B$860:$B$910,0)),"NOT FOUND"))))</f>
        <v/>
      </c>
      <c r="AT14" s="97" t="str">
        <f>IF($A14="","",IF($AP14&lt;&gt;"","Override",IF(ISNUMBER(MATCH($AR14,'Cat Zone by ZIP'!$B$6:$B$856,0)),"ZIP-3","State default")))</f>
        <v/>
      </c>
      <c r="AU14" s="98" t="str">
        <f>IF($A14="","",IFERROR(INDEX('Natural Catastrophe'!$D$6:$D$17,MATCH($AS14,'Natural Catastrophe'!$B$6:$B$17,0)),"?"))</f>
        <v/>
      </c>
      <c r="AV14" s="98" t="str">
        <f>IF($A14="","",IFERROR(INDEX('Natural Catastrophe'!$C$21:$C$26,MATCH($AA14,'Natural Catastrophe'!$B$21:$B$26,0)),"?"))</f>
        <v/>
      </c>
      <c r="AW14" s="97" t="str">
        <f>IF($A14="","",IFERROR(INDEX('Base Rates'!$C$4:$I$4,MATCH(MAX($J14,'Technical Premium'!$C$18),'Base Rates'!$C$3:$I$3,1)),"?"))</f>
        <v/>
      </c>
      <c r="AX14" s="99" t="str">
        <f>IF($A14="","",IFERROR(INDEX('Base Rates'!$C$5:$I$16,MATCH($I14,'Base Rates'!$B$5:$B$16,0),MATCH(MAX($J14,'Technical Premium'!$C$18),'Base Rates'!$C$3:$I$3,1)),"?"))</f>
        <v/>
      </c>
      <c r="AY14" s="100" t="str">
        <f t="shared" si="1"/>
        <v/>
      </c>
      <c r="AZ14" s="97" t="str">
        <f>IF($A14="","",IFERROR(INDEX('Make Factors'!$G$5:$G$69,MATCH($F14,'Make Factors'!$B$5:$B$69,0)),"?"))</f>
        <v/>
      </c>
      <c r="BA14" s="97" t="str">
        <f>IF($A14="","",IFERROR(INDEX('Driver Factors'!$C$6:$C$15,MATCH($R14,'Driver Factors'!$B$6:$B$15,0)),"?"))</f>
        <v/>
      </c>
      <c r="BB14" s="97" t="str">
        <f>IF($A14="","",IFERROR(INDEX('Driver Factors'!$C$19:$C$24,MATCH($S14,'Driver Factors'!$B$19:$B$24,0)),"?"))</f>
        <v/>
      </c>
      <c r="BC14" s="97" t="str">
        <f>IF($A14="","",IFERROR(INDEX('Driver Factors'!$C$28:$C$36,MATCH($T14,'Driver Factors'!$B$28:$B$36,0)),"?"))</f>
        <v/>
      </c>
      <c r="BD14" s="97" t="str">
        <f>IF($A14="","",IFERROR(INDEX('Claims History'!$C$6:$C$15,MATCH($U14,'Claims History'!$B$6:$B$15,0)),"?"))</f>
        <v/>
      </c>
      <c r="BE14" s="97" t="str">
        <f>IF($A14="","",IFERROR(INDEX('Territory Factors'!$E$6:$E$56,MATCH($K14,'Territory Factors'!$B$6:$B$56,0)),"?"))</f>
        <v/>
      </c>
      <c r="BF14" s="97" t="str">
        <f>IF($A14="","",IFERROR(INDEX('City Accident Ratings'!$G$6:$G$54,MATCH($Z14,'City Accident Ratings'!$B$6:$B$54,0)),"?"))</f>
        <v/>
      </c>
      <c r="BG14" s="97" t="str">
        <f>IF($A14="","",IFERROR(INDEX('Usage and Coverage'!$D$6:$D$20,MATCH($N14,'Usage and Coverage'!$C$6:$C$20,0)),"?"))</f>
        <v/>
      </c>
      <c r="BH14" s="97" t="str">
        <f>IF($A14="","",IFERROR(INDEX('Usage and Coverage'!$C$24:$C$30,MATCH($O14,'Usage and Coverage'!$B$24:$B$30,0)),"?"))</f>
        <v/>
      </c>
      <c r="BI14" s="97" t="str">
        <f>IF($A14="","",IFERROR(INDEX('Usage and Coverage'!$C$34:$C$40,MATCH($P14,'Usage and Coverage'!$B$34:$B$40,0)),"?"))</f>
        <v/>
      </c>
      <c r="BJ14" s="97" t="str">
        <f>IF($A14="","",IFERROR(INDEX('Usage and Coverage'!$C$44:$C$49,MATCH($Q14,'Usage and Coverage'!$B$44:$B$49,0)),"?"))</f>
        <v/>
      </c>
      <c r="BK14" s="97" t="str">
        <f>IF($A14="","",IFERROR(INDEX(Deductibles!$C$6:$I$15,MATCH($W14,Deductibles!$B$6:$B$15,0),MATCH(MAX($J14,'Technical Premium'!$C$18),'Base Rates'!$C$3:$I$3,1)),"?"))</f>
        <v/>
      </c>
      <c r="BL14" s="97" t="str">
        <f>IF($A14="","",IFERROR(INDEX('Usage and Coverage'!$C$63:$C$66,MATCH($X14,'Usage and Coverage'!$B$63:$B$66,0)),"?"))</f>
        <v/>
      </c>
      <c r="BM14" s="97" t="str">
        <f>IF($A14="","",IFERROR(INDEX('Usage and Coverage'!$C$70:$C$75,MATCH($V14,'Usage and Coverage'!$B$70:$B$75,0)),"?"))</f>
        <v/>
      </c>
      <c r="BN14" s="97" t="str">
        <f>IF($A14="","",IF($AB14="",1,IFERROR(INDEX(Deductibles!$C$48:$C$51,MATCH($AB14,Deductibles!$B$48:$B$51,0)),"?")))</f>
        <v/>
      </c>
      <c r="BO14" s="97" t="str">
        <f>IF($A14="","",IF($AC14="",1,IFERROR(INDEX(Deductibles!$C$55:$C$57,MATCH($AC14,Deductibles!$B$55:$B$57,0)),"?")))</f>
        <v/>
      </c>
      <c r="BP14" s="97" t="str">
        <f>IF($A14="","",IF($AD14="",1,IFERROR(INDEX(Deductibles!$C$61:$C$63,MATCH($AD14,Deductibles!$B$61:$B$63,0)),"?")))</f>
        <v/>
      </c>
      <c r="BQ14" s="97" t="str">
        <f>IF($A14="","",IF($AE14="",1,IFERROR(INDEX(Deductibles!$C$67:$C$69,MATCH($AE14,Deductibles!$B$67:$B$69,0)),"?")))</f>
        <v/>
      </c>
      <c r="BR14" s="97" t="str">
        <f>IF($A14="","",IF($AF14="",1,IFERROR(INDEX(Deductibles!$C$73:$C$74,MATCH($AF14,Deductibles!$B$73:$B$74,0)),"?")))</f>
        <v/>
      </c>
      <c r="BS14" s="97" t="str">
        <f>IF($A14="","",IF($AG14="",1,IFERROR(INDEX('Sublimits and Parts'!$C$49:$C$52,MATCH($AG14,'Sublimits and Parts'!$B$49:$B$52,0)),"?")))</f>
        <v/>
      </c>
      <c r="BT14" s="97" t="str">
        <f>IF($A14="","",IF($AH14="",1,IFERROR(INDEX('Sublimits and Parts'!$C$56:$C$60,MATCH($AH14,'Sublimits and Parts'!$B$56:$B$60,0)),"?")))</f>
        <v/>
      </c>
      <c r="BU14" s="97" t="str">
        <f>IF($A14="","",IF($AI14="",1,IFERROR(INDEX('Sublimits and Parts'!$C$64:$C$67,MATCH($AI14,'Sublimits and Parts'!$B$64:$B$67,0)),"?")))</f>
        <v/>
      </c>
      <c r="BV14" s="97" t="str">
        <f>IF($A14="","",IF($AJ14="",1,IFERROR(INDEX('Sublimits and Parts'!$C$71:$C$74,MATCH($AJ14,'Sublimits and Parts'!$B$71:$B$74,0)),"?")))</f>
        <v/>
      </c>
      <c r="BW14" s="97" t="str">
        <f>IF($A14="","",IF($AK14="",1,IFERROR(INDEX('Sublimits and Parts'!$C$78:$C$80,MATCH($AK14,'Sublimits and Parts'!$B$78:$B$80,0)),"?")))</f>
        <v/>
      </c>
      <c r="BX14" s="97" t="str">
        <f>IF($A14="","",IF($AL14="",1,IFERROR(INDEX('Sublimits and Parts'!$C$84:$C$87,MATCH($AL14,'Sublimits and Parts'!$B$84:$B$87,0)),"?")))</f>
        <v/>
      </c>
      <c r="BY14" s="97" t="str">
        <f>IF($A14="","",IF($AM14="",1,IFERROR(INDEX('Sublimits and Parts'!$C$91:$C$94,MATCH($AM14,'Sublimits and Parts'!$B$91:$B$94,0)),"?")))</f>
        <v/>
      </c>
      <c r="BZ14" s="97" t="str">
        <f>IF($A14="","",IF($AN14="",1,IFERROR(INDEX('Sublimits and Parts'!$C$98:$C$101,MATCH($AN14,'Sublimits and Parts'!$B$98:$B$101,0)),"?")))</f>
        <v/>
      </c>
      <c r="CA14" s="97" t="str">
        <f>IF($A14="","",IF($AO14="",1,IFERROR(INDEX('Sublimits and Parts'!$C$105:$C$109,MATCH($AO14,'Sublimits and Parts'!$B$105:$B$109,0)),"?")))</f>
        <v/>
      </c>
      <c r="CB14" s="98" t="str">
        <f t="shared" si="2"/>
        <v/>
      </c>
      <c r="CC14" s="98" t="str">
        <f t="shared" si="3"/>
        <v/>
      </c>
      <c r="CD14" s="101" t="str">
        <f>IF($A14="","",IF(OR($CB14="?",$CC14="?"),"?",MIN($CB14*$CC14,'Technical Premium'!$C$17)))</f>
        <v/>
      </c>
      <c r="CE14" s="100" t="str">
        <f t="shared" si="4"/>
        <v/>
      </c>
      <c r="CF14" s="100" t="str">
        <f>IF($A14="","",IFERROR(INDEX('Territory Factors'!$F$6:$F$56,MATCH($K14,'Territory Factors'!$B$6:$B$56,0)),"?"))</f>
        <v/>
      </c>
      <c r="CG14" s="98" t="str">
        <f>IF($A14="","",IFERROR(INDEX('Usage and Coverage'!$C$79:$C$84,MATCH($Y14,'Usage and Coverage'!$B$79:$B$84,0)),"?"))</f>
        <v/>
      </c>
      <c r="CH14" s="100" t="str">
        <f>IFERROR(IF(ISNUMBER($CD14),$CF14*$CG14*MIN($BG14*$BA14*$BC14*$BD14*$BH14*$BF14,'Technical Premium'!$C$17),""),"")</f>
        <v/>
      </c>
      <c r="CI14" s="100" t="str">
        <f t="shared" si="5"/>
        <v/>
      </c>
      <c r="CJ14" s="100" t="str">
        <f>IFERROR($CI14*(1+'Technical Premium'!$C$5)*(1+'Technical Premium'!$C$6),"")</f>
        <v/>
      </c>
      <c r="CK14" s="100" t="str">
        <f>IFERROR($CE14*INDEX('Territory Factors'!$G$6:$G$56,MATCH($K14,'Territory Factors'!$B$6:$B$56,0))*$AU14*$AV14,"")</f>
        <v/>
      </c>
      <c r="CL14" s="100" t="str">
        <f>IFERROR(($CJ14+$CK14)*(1+'Technical Premium'!$C$7),"")</f>
        <v/>
      </c>
      <c r="CM14" s="102" t="str">
        <f>IFERROR($CL14/'Technical Premium'!$C$13,"")</f>
        <v/>
      </c>
      <c r="CN14" s="103" t="str">
        <f t="shared" si="6"/>
        <v/>
      </c>
      <c r="CO14" s="102" t="str">
        <f t="shared" si="7"/>
        <v/>
      </c>
      <c r="CP14" s="103" t="str">
        <f t="shared" si="8"/>
        <v/>
      </c>
      <c r="CQ14" s="104" t="str">
        <f t="shared" si="9"/>
        <v/>
      </c>
      <c r="CR14" s="100" t="str">
        <f>IF(ISNUMBER($CM14),'Technical Premium'!$C$14+IF($J14&gt;=1000000,'Technical Premium'!$C$15,0),"")</f>
        <v/>
      </c>
      <c r="CS14" s="100" t="str">
        <f>IFERROR(($CO14+$CR14)*(INDEX('Territory Factors'!$K$6:$K$56,MATCH($K14,'Territory Factors'!$B$6:$B$56,0))+'Commission Structure'!$C$21),"")</f>
        <v/>
      </c>
      <c r="CT14" s="102" t="str">
        <f t="shared" si="10"/>
        <v/>
      </c>
      <c r="CU14" s="100" t="str">
        <f>IFERROR($CO14*('Commission Structure'!$C$6+'Commission Structure'!$C$7),"")</f>
        <v/>
      </c>
      <c r="CV14" s="100" t="str">
        <f>IFERROR($CO14*'Commission Structure'!$C$5-$CU14,"")</f>
        <v/>
      </c>
      <c r="CW14" s="100" t="str">
        <f>IFERROR($CO14*(1-'Commission Structure'!$C$5),"")</f>
        <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6" t="str">
        <f t="shared" si="11"/>
        <v/>
      </c>
      <c r="CZ14" s="97" t="str">
        <f>IF($CY14="","",IF($CY14&lt;'Technical Premium'!$C$19,"BEYOND AUTHORITY",IF($CY14&gt;0.005,"Above technical",IF($CY14&lt;-0.005,"BELOW technical","At technical"))))</f>
        <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
      </c>
      <c r="DH14" s="97" t="str">
        <f>IF($A14="","",IF(OR($CX14="REFER",$CX14="DECLINE"),COUNTIF($CX$5:$CX14,"REFER")+COUNTIF($CX$5:$CX14,"DECLINE"),""))</f>
        <v/>
      </c>
      <c r="DI14" s="92"/>
    </row>
    <row r="15" spans="1:113" x14ac:dyDescent="0.25">
      <c r="A15" s="92"/>
      <c r="B15" s="92"/>
      <c r="C15" s="93"/>
      <c r="D15" s="93"/>
      <c r="E15" s="94"/>
      <c r="F15" s="92"/>
      <c r="G15" s="92"/>
      <c r="H15" s="92"/>
      <c r="I15" s="92"/>
      <c r="J15" s="95"/>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6"/>
      <c r="AR15" s="97" t="str">
        <f t="shared" si="0"/>
        <v/>
      </c>
      <c r="AS15" s="97" t="str">
        <f>IF($A15="","",IF($AP15&lt;&gt;"",$AP15,IFERROR(INDEX('Cat Zone by ZIP'!$D$6:$D$856,MATCH($AR15,'Cat Zone by ZIP'!$B$6:$B$856,0)),IFERROR(INDEX('Cat Zone by ZIP'!$C$860:$C$910,MATCH($K15,'Cat Zone by ZIP'!$B$860:$B$910,0)),"NOT FOUND"))))</f>
        <v/>
      </c>
      <c r="AT15" s="97" t="str">
        <f>IF($A15="","",IF($AP15&lt;&gt;"","Override",IF(ISNUMBER(MATCH($AR15,'Cat Zone by ZIP'!$B$6:$B$856,0)),"ZIP-3","State default")))</f>
        <v/>
      </c>
      <c r="AU15" s="98" t="str">
        <f>IF($A15="","",IFERROR(INDEX('Natural Catastrophe'!$D$6:$D$17,MATCH($AS15,'Natural Catastrophe'!$B$6:$B$17,0)),"?"))</f>
        <v/>
      </c>
      <c r="AV15" s="98" t="str">
        <f>IF($A15="","",IFERROR(INDEX('Natural Catastrophe'!$C$21:$C$26,MATCH($AA15,'Natural Catastrophe'!$B$21:$B$26,0)),"?"))</f>
        <v/>
      </c>
      <c r="AW15" s="97" t="str">
        <f>IF($A15="","",IFERROR(INDEX('Base Rates'!$C$4:$I$4,MATCH(MAX($J15,'Technical Premium'!$C$18),'Base Rates'!$C$3:$I$3,1)),"?"))</f>
        <v/>
      </c>
      <c r="AX15" s="99" t="str">
        <f>IF($A15="","",IFERROR(INDEX('Base Rates'!$C$5:$I$16,MATCH($I15,'Base Rates'!$B$5:$B$16,0),MATCH(MAX($J15,'Technical Premium'!$C$18),'Base Rates'!$C$3:$I$3,1)),"?"))</f>
        <v/>
      </c>
      <c r="AY15" s="100" t="str">
        <f t="shared" si="1"/>
        <v/>
      </c>
      <c r="AZ15" s="97" t="str">
        <f>IF($A15="","",IFERROR(INDEX('Make Factors'!$G$5:$G$69,MATCH($F15,'Make Factors'!$B$5:$B$69,0)),"?"))</f>
        <v/>
      </c>
      <c r="BA15" s="97" t="str">
        <f>IF($A15="","",IFERROR(INDEX('Driver Factors'!$C$6:$C$15,MATCH($R15,'Driver Factors'!$B$6:$B$15,0)),"?"))</f>
        <v/>
      </c>
      <c r="BB15" s="97" t="str">
        <f>IF($A15="","",IFERROR(INDEX('Driver Factors'!$C$19:$C$24,MATCH($S15,'Driver Factors'!$B$19:$B$24,0)),"?"))</f>
        <v/>
      </c>
      <c r="BC15" s="97" t="str">
        <f>IF($A15="","",IFERROR(INDEX('Driver Factors'!$C$28:$C$36,MATCH($T15,'Driver Factors'!$B$28:$B$36,0)),"?"))</f>
        <v/>
      </c>
      <c r="BD15" s="97" t="str">
        <f>IF($A15="","",IFERROR(INDEX('Claims History'!$C$6:$C$15,MATCH($U15,'Claims History'!$B$6:$B$15,0)),"?"))</f>
        <v/>
      </c>
      <c r="BE15" s="97" t="str">
        <f>IF($A15="","",IFERROR(INDEX('Territory Factors'!$E$6:$E$56,MATCH($K15,'Territory Factors'!$B$6:$B$56,0)),"?"))</f>
        <v/>
      </c>
      <c r="BF15" s="97" t="str">
        <f>IF($A15="","",IFERROR(INDEX('City Accident Ratings'!$G$6:$G$54,MATCH($Z15,'City Accident Ratings'!$B$6:$B$54,0)),"?"))</f>
        <v/>
      </c>
      <c r="BG15" s="97" t="str">
        <f>IF($A15="","",IFERROR(INDEX('Usage and Coverage'!$D$6:$D$20,MATCH($N15,'Usage and Coverage'!$C$6:$C$20,0)),"?"))</f>
        <v/>
      </c>
      <c r="BH15" s="97" t="str">
        <f>IF($A15="","",IFERROR(INDEX('Usage and Coverage'!$C$24:$C$30,MATCH($O15,'Usage and Coverage'!$B$24:$B$30,0)),"?"))</f>
        <v/>
      </c>
      <c r="BI15" s="97" t="str">
        <f>IF($A15="","",IFERROR(INDEX('Usage and Coverage'!$C$34:$C$40,MATCH($P15,'Usage and Coverage'!$B$34:$B$40,0)),"?"))</f>
        <v/>
      </c>
      <c r="BJ15" s="97" t="str">
        <f>IF($A15="","",IFERROR(INDEX('Usage and Coverage'!$C$44:$C$49,MATCH($Q15,'Usage and Coverage'!$B$44:$B$49,0)),"?"))</f>
        <v/>
      </c>
      <c r="BK15" s="97" t="str">
        <f>IF($A15="","",IFERROR(INDEX(Deductibles!$C$6:$I$15,MATCH($W15,Deductibles!$B$6:$B$15,0),MATCH(MAX($J15,'Technical Premium'!$C$18),'Base Rates'!$C$3:$I$3,1)),"?"))</f>
        <v/>
      </c>
      <c r="BL15" s="97" t="str">
        <f>IF($A15="","",IFERROR(INDEX('Usage and Coverage'!$C$63:$C$66,MATCH($X15,'Usage and Coverage'!$B$63:$B$66,0)),"?"))</f>
        <v/>
      </c>
      <c r="BM15" s="97" t="str">
        <f>IF($A15="","",IFERROR(INDEX('Usage and Coverage'!$C$70:$C$75,MATCH($V15,'Usage and Coverage'!$B$70:$B$75,0)),"?"))</f>
        <v/>
      </c>
      <c r="BN15" s="97" t="str">
        <f>IF($A15="","",IF($AB15="",1,IFERROR(INDEX(Deductibles!$C$48:$C$51,MATCH($AB15,Deductibles!$B$48:$B$51,0)),"?")))</f>
        <v/>
      </c>
      <c r="BO15" s="97" t="str">
        <f>IF($A15="","",IF($AC15="",1,IFERROR(INDEX(Deductibles!$C$55:$C$57,MATCH($AC15,Deductibles!$B$55:$B$57,0)),"?")))</f>
        <v/>
      </c>
      <c r="BP15" s="97" t="str">
        <f>IF($A15="","",IF($AD15="",1,IFERROR(INDEX(Deductibles!$C$61:$C$63,MATCH($AD15,Deductibles!$B$61:$B$63,0)),"?")))</f>
        <v/>
      </c>
      <c r="BQ15" s="97" t="str">
        <f>IF($A15="","",IF($AE15="",1,IFERROR(INDEX(Deductibles!$C$67:$C$69,MATCH($AE15,Deductibles!$B$67:$B$69,0)),"?")))</f>
        <v/>
      </c>
      <c r="BR15" s="97" t="str">
        <f>IF($A15="","",IF($AF15="",1,IFERROR(INDEX(Deductibles!$C$73:$C$74,MATCH($AF15,Deductibles!$B$73:$B$74,0)),"?")))</f>
        <v/>
      </c>
      <c r="BS15" s="97" t="str">
        <f>IF($A15="","",IF($AG15="",1,IFERROR(INDEX('Sublimits and Parts'!$C$49:$C$52,MATCH($AG15,'Sublimits and Parts'!$B$49:$B$52,0)),"?")))</f>
        <v/>
      </c>
      <c r="BT15" s="97" t="str">
        <f>IF($A15="","",IF($AH15="",1,IFERROR(INDEX('Sublimits and Parts'!$C$56:$C$60,MATCH($AH15,'Sublimits and Parts'!$B$56:$B$60,0)),"?")))</f>
        <v/>
      </c>
      <c r="BU15" s="97" t="str">
        <f>IF($A15="","",IF($AI15="",1,IFERROR(INDEX('Sublimits and Parts'!$C$64:$C$67,MATCH($AI15,'Sublimits and Parts'!$B$64:$B$67,0)),"?")))</f>
        <v/>
      </c>
      <c r="BV15" s="97" t="str">
        <f>IF($A15="","",IF($AJ15="",1,IFERROR(INDEX('Sublimits and Parts'!$C$71:$C$74,MATCH($AJ15,'Sublimits and Parts'!$B$71:$B$74,0)),"?")))</f>
        <v/>
      </c>
      <c r="BW15" s="97" t="str">
        <f>IF($A15="","",IF($AK15="",1,IFERROR(INDEX('Sublimits and Parts'!$C$78:$C$80,MATCH($AK15,'Sublimits and Parts'!$B$78:$B$80,0)),"?")))</f>
        <v/>
      </c>
      <c r="BX15" s="97" t="str">
        <f>IF($A15="","",IF($AL15="",1,IFERROR(INDEX('Sublimits and Parts'!$C$84:$C$87,MATCH($AL15,'Sublimits and Parts'!$B$84:$B$87,0)),"?")))</f>
        <v/>
      </c>
      <c r="BY15" s="97" t="str">
        <f>IF($A15="","",IF($AM15="",1,IFERROR(INDEX('Sublimits and Parts'!$C$91:$C$94,MATCH($AM15,'Sublimits and Parts'!$B$91:$B$94,0)),"?")))</f>
        <v/>
      </c>
      <c r="BZ15" s="97" t="str">
        <f>IF($A15="","",IF($AN15="",1,IFERROR(INDEX('Sublimits and Parts'!$C$98:$C$101,MATCH($AN15,'Sublimits and Parts'!$B$98:$B$101,0)),"?")))</f>
        <v/>
      </c>
      <c r="CA15" s="97" t="str">
        <f>IF($A15="","",IF($AO15="",1,IFERROR(INDEX('Sublimits and Parts'!$C$105:$C$109,MATCH($AO15,'Sublimits and Parts'!$B$105:$B$109,0)),"?")))</f>
        <v/>
      </c>
      <c r="CB15" s="98" t="str">
        <f t="shared" si="2"/>
        <v/>
      </c>
      <c r="CC15" s="98" t="str">
        <f t="shared" si="3"/>
        <v/>
      </c>
      <c r="CD15" s="101" t="str">
        <f>IF($A15="","",IF(OR($CB15="?",$CC15="?"),"?",MIN($CB15*$CC15,'Technical Premium'!$C$17)))</f>
        <v/>
      </c>
      <c r="CE15" s="100" t="str">
        <f t="shared" si="4"/>
        <v/>
      </c>
      <c r="CF15" s="100" t="str">
        <f>IF($A15="","",IFERROR(INDEX('Territory Factors'!$F$6:$F$56,MATCH($K15,'Territory Factors'!$B$6:$B$56,0)),"?"))</f>
        <v/>
      </c>
      <c r="CG15" s="98" t="str">
        <f>IF($A15="","",IFERROR(INDEX('Usage and Coverage'!$C$79:$C$84,MATCH($Y15,'Usage and Coverage'!$B$79:$B$84,0)),"?"))</f>
        <v/>
      </c>
      <c r="CH15" s="100" t="str">
        <f>IFERROR(IF(ISNUMBER($CD15),$CF15*$CG15*MIN($BG15*$BA15*$BC15*$BD15*$BH15*$BF15,'Technical Premium'!$C$17),""),"")</f>
        <v/>
      </c>
      <c r="CI15" s="100" t="str">
        <f t="shared" si="5"/>
        <v/>
      </c>
      <c r="CJ15" s="100" t="str">
        <f>IFERROR($CI15*(1+'Technical Premium'!$C$5)*(1+'Technical Premium'!$C$6),"")</f>
        <v/>
      </c>
      <c r="CK15" s="100" t="str">
        <f>IFERROR($CE15*INDEX('Territory Factors'!$G$6:$G$56,MATCH($K15,'Territory Factors'!$B$6:$B$56,0))*$AU15*$AV15,"")</f>
        <v/>
      </c>
      <c r="CL15" s="100" t="str">
        <f>IFERROR(($CJ15+$CK15)*(1+'Technical Premium'!$C$7),"")</f>
        <v/>
      </c>
      <c r="CM15" s="102" t="str">
        <f>IFERROR($CL15/'Technical Premium'!$C$13,"")</f>
        <v/>
      </c>
      <c r="CN15" s="103" t="str">
        <f t="shared" si="6"/>
        <v/>
      </c>
      <c r="CO15" s="102" t="str">
        <f t="shared" si="7"/>
        <v/>
      </c>
      <c r="CP15" s="103" t="str">
        <f t="shared" si="8"/>
        <v/>
      </c>
      <c r="CQ15" s="104" t="str">
        <f t="shared" si="9"/>
        <v/>
      </c>
      <c r="CR15" s="100" t="str">
        <f>IF(ISNUMBER($CM15),'Technical Premium'!$C$14+IF($J15&gt;=1000000,'Technical Premium'!$C$15,0),"")</f>
        <v/>
      </c>
      <c r="CS15" s="100" t="str">
        <f>IFERROR(($CO15+$CR15)*(INDEX('Territory Factors'!$K$6:$K$56,MATCH($K15,'Territory Factors'!$B$6:$B$56,0))+'Commission Structure'!$C$21),"")</f>
        <v/>
      </c>
      <c r="CT15" s="102" t="str">
        <f t="shared" si="10"/>
        <v/>
      </c>
      <c r="CU15" s="100" t="str">
        <f>IFERROR($CO15*('Commission Structure'!$C$6+'Commission Structure'!$C$7),"")</f>
        <v/>
      </c>
      <c r="CV15" s="100" t="str">
        <f>IFERROR($CO15*'Commission Structure'!$C$5-$CU15,"")</f>
        <v/>
      </c>
      <c r="CW15" s="100" t="str">
        <f>IFERROR($CO15*(1-'Commission Structure'!$C$5),"")</f>
        <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6" t="str">
        <f t="shared" si="11"/>
        <v/>
      </c>
      <c r="CZ15" s="97" t="str">
        <f>IF($CY15="","",IF($CY15&lt;'Technical Premium'!$C$19,"BEYOND AUTHORITY",IF($CY15&gt;0.005,"Above technical",IF($CY15&lt;-0.005,"BELOW technical","At technical"))))</f>
        <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
      </c>
      <c r="DH15" s="97" t="str">
        <f>IF($A15="","",IF(OR($CX15="REFER",$CX15="DECLINE"),COUNTIF($CX$5:$CX15,"REFER")+COUNTIF($CX$5:$CX15,"DECLINE"),""))</f>
        <v/>
      </c>
      <c r="DI15" s="92"/>
    </row>
    <row r="16" spans="1:113" x14ac:dyDescent="0.25">
      <c r="A16" s="92"/>
      <c r="B16" s="92"/>
      <c r="C16" s="93"/>
      <c r="D16" s="93"/>
      <c r="E16" s="94"/>
      <c r="F16" s="92"/>
      <c r="G16" s="92"/>
      <c r="H16" s="92"/>
      <c r="I16" s="92"/>
      <c r="J16" s="95"/>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6"/>
      <c r="AR16" s="97" t="str">
        <f t="shared" si="0"/>
        <v/>
      </c>
      <c r="AS16" s="97" t="str">
        <f>IF($A16="","",IF($AP16&lt;&gt;"",$AP16,IFERROR(INDEX('Cat Zone by ZIP'!$D$6:$D$856,MATCH($AR16,'Cat Zone by ZIP'!$B$6:$B$856,0)),IFERROR(INDEX('Cat Zone by ZIP'!$C$860:$C$910,MATCH($K16,'Cat Zone by ZIP'!$B$860:$B$910,0)),"NOT FOUND"))))</f>
        <v/>
      </c>
      <c r="AT16" s="97" t="str">
        <f>IF($A16="","",IF($AP16&lt;&gt;"","Override",IF(ISNUMBER(MATCH($AR16,'Cat Zone by ZIP'!$B$6:$B$856,0)),"ZIP-3","State default")))</f>
        <v/>
      </c>
      <c r="AU16" s="98" t="str">
        <f>IF($A16="","",IFERROR(INDEX('Natural Catastrophe'!$D$6:$D$17,MATCH($AS16,'Natural Catastrophe'!$B$6:$B$17,0)),"?"))</f>
        <v/>
      </c>
      <c r="AV16" s="98" t="str">
        <f>IF($A16="","",IFERROR(INDEX('Natural Catastrophe'!$C$21:$C$26,MATCH($AA16,'Natural Catastrophe'!$B$21:$B$26,0)),"?"))</f>
        <v/>
      </c>
      <c r="AW16" s="97" t="str">
        <f>IF($A16="","",IFERROR(INDEX('Base Rates'!$C$4:$I$4,MATCH(MAX($J16,'Technical Premium'!$C$18),'Base Rates'!$C$3:$I$3,1)),"?"))</f>
        <v/>
      </c>
      <c r="AX16" s="99" t="str">
        <f>IF($A16="","",IFERROR(INDEX('Base Rates'!$C$5:$I$16,MATCH($I16,'Base Rates'!$B$5:$B$16,0),MATCH(MAX($J16,'Technical Premium'!$C$18),'Base Rates'!$C$3:$I$3,1)),"?"))</f>
        <v/>
      </c>
      <c r="AY16" s="100" t="str">
        <f t="shared" si="1"/>
        <v/>
      </c>
      <c r="AZ16" s="97" t="str">
        <f>IF($A16="","",IFERROR(INDEX('Make Factors'!$G$5:$G$69,MATCH($F16,'Make Factors'!$B$5:$B$69,0)),"?"))</f>
        <v/>
      </c>
      <c r="BA16" s="97" t="str">
        <f>IF($A16="","",IFERROR(INDEX('Driver Factors'!$C$6:$C$15,MATCH($R16,'Driver Factors'!$B$6:$B$15,0)),"?"))</f>
        <v/>
      </c>
      <c r="BB16" s="97" t="str">
        <f>IF($A16="","",IFERROR(INDEX('Driver Factors'!$C$19:$C$24,MATCH($S16,'Driver Factors'!$B$19:$B$24,0)),"?"))</f>
        <v/>
      </c>
      <c r="BC16" s="97" t="str">
        <f>IF($A16="","",IFERROR(INDEX('Driver Factors'!$C$28:$C$36,MATCH($T16,'Driver Factors'!$B$28:$B$36,0)),"?"))</f>
        <v/>
      </c>
      <c r="BD16" s="97" t="str">
        <f>IF($A16="","",IFERROR(INDEX('Claims History'!$C$6:$C$15,MATCH($U16,'Claims History'!$B$6:$B$15,0)),"?"))</f>
        <v/>
      </c>
      <c r="BE16" s="97" t="str">
        <f>IF($A16="","",IFERROR(INDEX('Territory Factors'!$E$6:$E$56,MATCH($K16,'Territory Factors'!$B$6:$B$56,0)),"?"))</f>
        <v/>
      </c>
      <c r="BF16" s="97" t="str">
        <f>IF($A16="","",IFERROR(INDEX('City Accident Ratings'!$G$6:$G$54,MATCH($Z16,'City Accident Ratings'!$B$6:$B$54,0)),"?"))</f>
        <v/>
      </c>
      <c r="BG16" s="97" t="str">
        <f>IF($A16="","",IFERROR(INDEX('Usage and Coverage'!$D$6:$D$20,MATCH($N16,'Usage and Coverage'!$C$6:$C$20,0)),"?"))</f>
        <v/>
      </c>
      <c r="BH16" s="97" t="str">
        <f>IF($A16="","",IFERROR(INDEX('Usage and Coverage'!$C$24:$C$30,MATCH($O16,'Usage and Coverage'!$B$24:$B$30,0)),"?"))</f>
        <v/>
      </c>
      <c r="BI16" s="97" t="str">
        <f>IF($A16="","",IFERROR(INDEX('Usage and Coverage'!$C$34:$C$40,MATCH($P16,'Usage and Coverage'!$B$34:$B$40,0)),"?"))</f>
        <v/>
      </c>
      <c r="BJ16" s="97" t="str">
        <f>IF($A16="","",IFERROR(INDEX('Usage and Coverage'!$C$44:$C$49,MATCH($Q16,'Usage and Coverage'!$B$44:$B$49,0)),"?"))</f>
        <v/>
      </c>
      <c r="BK16" s="97" t="str">
        <f>IF($A16="","",IFERROR(INDEX(Deductibles!$C$6:$I$15,MATCH($W16,Deductibles!$B$6:$B$15,0),MATCH(MAX($J16,'Technical Premium'!$C$18),'Base Rates'!$C$3:$I$3,1)),"?"))</f>
        <v/>
      </c>
      <c r="BL16" s="97" t="str">
        <f>IF($A16="","",IFERROR(INDEX('Usage and Coverage'!$C$63:$C$66,MATCH($X16,'Usage and Coverage'!$B$63:$B$66,0)),"?"))</f>
        <v/>
      </c>
      <c r="BM16" s="97" t="str">
        <f>IF($A16="","",IFERROR(INDEX('Usage and Coverage'!$C$70:$C$75,MATCH($V16,'Usage and Coverage'!$B$70:$B$75,0)),"?"))</f>
        <v/>
      </c>
      <c r="BN16" s="97" t="str">
        <f>IF($A16="","",IF($AB16="",1,IFERROR(INDEX(Deductibles!$C$48:$C$51,MATCH($AB16,Deductibles!$B$48:$B$51,0)),"?")))</f>
        <v/>
      </c>
      <c r="BO16" s="97" t="str">
        <f>IF($A16="","",IF($AC16="",1,IFERROR(INDEX(Deductibles!$C$55:$C$57,MATCH($AC16,Deductibles!$B$55:$B$57,0)),"?")))</f>
        <v/>
      </c>
      <c r="BP16" s="97" t="str">
        <f>IF($A16="","",IF($AD16="",1,IFERROR(INDEX(Deductibles!$C$61:$C$63,MATCH($AD16,Deductibles!$B$61:$B$63,0)),"?")))</f>
        <v/>
      </c>
      <c r="BQ16" s="97" t="str">
        <f>IF($A16="","",IF($AE16="",1,IFERROR(INDEX(Deductibles!$C$67:$C$69,MATCH($AE16,Deductibles!$B$67:$B$69,0)),"?")))</f>
        <v/>
      </c>
      <c r="BR16" s="97" t="str">
        <f>IF($A16="","",IF($AF16="",1,IFERROR(INDEX(Deductibles!$C$73:$C$74,MATCH($AF16,Deductibles!$B$73:$B$74,0)),"?")))</f>
        <v/>
      </c>
      <c r="BS16" s="97" t="str">
        <f>IF($A16="","",IF($AG16="",1,IFERROR(INDEX('Sublimits and Parts'!$C$49:$C$52,MATCH($AG16,'Sublimits and Parts'!$B$49:$B$52,0)),"?")))</f>
        <v/>
      </c>
      <c r="BT16" s="97" t="str">
        <f>IF($A16="","",IF($AH16="",1,IFERROR(INDEX('Sublimits and Parts'!$C$56:$C$60,MATCH($AH16,'Sublimits and Parts'!$B$56:$B$60,0)),"?")))</f>
        <v/>
      </c>
      <c r="BU16" s="97" t="str">
        <f>IF($A16="","",IF($AI16="",1,IFERROR(INDEX('Sublimits and Parts'!$C$64:$C$67,MATCH($AI16,'Sublimits and Parts'!$B$64:$B$67,0)),"?")))</f>
        <v/>
      </c>
      <c r="BV16" s="97" t="str">
        <f>IF($A16="","",IF($AJ16="",1,IFERROR(INDEX('Sublimits and Parts'!$C$71:$C$74,MATCH($AJ16,'Sublimits and Parts'!$B$71:$B$74,0)),"?")))</f>
        <v/>
      </c>
      <c r="BW16" s="97" t="str">
        <f>IF($A16="","",IF($AK16="",1,IFERROR(INDEX('Sublimits and Parts'!$C$78:$C$80,MATCH($AK16,'Sublimits and Parts'!$B$78:$B$80,0)),"?")))</f>
        <v/>
      </c>
      <c r="BX16" s="97" t="str">
        <f>IF($A16="","",IF($AL16="",1,IFERROR(INDEX('Sublimits and Parts'!$C$84:$C$87,MATCH($AL16,'Sublimits and Parts'!$B$84:$B$87,0)),"?")))</f>
        <v/>
      </c>
      <c r="BY16" s="97" t="str">
        <f>IF($A16="","",IF($AM16="",1,IFERROR(INDEX('Sublimits and Parts'!$C$91:$C$94,MATCH($AM16,'Sublimits and Parts'!$B$91:$B$94,0)),"?")))</f>
        <v/>
      </c>
      <c r="BZ16" s="97" t="str">
        <f>IF($A16="","",IF($AN16="",1,IFERROR(INDEX('Sublimits and Parts'!$C$98:$C$101,MATCH($AN16,'Sublimits and Parts'!$B$98:$B$101,0)),"?")))</f>
        <v/>
      </c>
      <c r="CA16" s="97" t="str">
        <f>IF($A16="","",IF($AO16="",1,IFERROR(INDEX('Sublimits and Parts'!$C$105:$C$109,MATCH($AO16,'Sublimits and Parts'!$B$105:$B$109,0)),"?")))</f>
        <v/>
      </c>
      <c r="CB16" s="98" t="str">
        <f t="shared" si="2"/>
        <v/>
      </c>
      <c r="CC16" s="98" t="str">
        <f t="shared" si="3"/>
        <v/>
      </c>
      <c r="CD16" s="101" t="str">
        <f>IF($A16="","",IF(OR($CB16="?",$CC16="?"),"?",MIN($CB16*$CC16,'Technical Premium'!$C$17)))</f>
        <v/>
      </c>
      <c r="CE16" s="100" t="str">
        <f t="shared" si="4"/>
        <v/>
      </c>
      <c r="CF16" s="100" t="str">
        <f>IF($A16="","",IFERROR(INDEX('Territory Factors'!$F$6:$F$56,MATCH($K16,'Territory Factors'!$B$6:$B$56,0)),"?"))</f>
        <v/>
      </c>
      <c r="CG16" s="98" t="str">
        <f>IF($A16="","",IFERROR(INDEX('Usage and Coverage'!$C$79:$C$84,MATCH($Y16,'Usage and Coverage'!$B$79:$B$84,0)),"?"))</f>
        <v/>
      </c>
      <c r="CH16" s="100" t="str">
        <f>IFERROR(IF(ISNUMBER($CD16),$CF16*$CG16*MIN($BG16*$BA16*$BC16*$BD16*$BH16*$BF16,'Technical Premium'!$C$17),""),"")</f>
        <v/>
      </c>
      <c r="CI16" s="100" t="str">
        <f t="shared" si="5"/>
        <v/>
      </c>
      <c r="CJ16" s="100" t="str">
        <f>IFERROR($CI16*(1+'Technical Premium'!$C$5)*(1+'Technical Premium'!$C$6),"")</f>
        <v/>
      </c>
      <c r="CK16" s="100" t="str">
        <f>IFERROR($CE16*INDEX('Territory Factors'!$G$6:$G$56,MATCH($K16,'Territory Factors'!$B$6:$B$56,0))*$AU16*$AV16,"")</f>
        <v/>
      </c>
      <c r="CL16" s="100" t="str">
        <f>IFERROR(($CJ16+$CK16)*(1+'Technical Premium'!$C$7),"")</f>
        <v/>
      </c>
      <c r="CM16" s="102" t="str">
        <f>IFERROR($CL16/'Technical Premium'!$C$13,"")</f>
        <v/>
      </c>
      <c r="CN16" s="103" t="str">
        <f t="shared" si="6"/>
        <v/>
      </c>
      <c r="CO16" s="102" t="str">
        <f t="shared" si="7"/>
        <v/>
      </c>
      <c r="CP16" s="103" t="str">
        <f t="shared" si="8"/>
        <v/>
      </c>
      <c r="CQ16" s="104" t="str">
        <f t="shared" si="9"/>
        <v/>
      </c>
      <c r="CR16" s="100" t="str">
        <f>IF(ISNUMBER($CM16),'Technical Premium'!$C$14+IF($J16&gt;=1000000,'Technical Premium'!$C$15,0),"")</f>
        <v/>
      </c>
      <c r="CS16" s="100" t="str">
        <f>IFERROR(($CO16+$CR16)*(INDEX('Territory Factors'!$K$6:$K$56,MATCH($K16,'Territory Factors'!$B$6:$B$56,0))+'Commission Structure'!$C$21),"")</f>
        <v/>
      </c>
      <c r="CT16" s="102" t="str">
        <f t="shared" si="10"/>
        <v/>
      </c>
      <c r="CU16" s="100" t="str">
        <f>IFERROR($CO16*('Commission Structure'!$C$6+'Commission Structure'!$C$7),"")</f>
        <v/>
      </c>
      <c r="CV16" s="100" t="str">
        <f>IFERROR($CO16*'Commission Structure'!$C$5-$CU16,"")</f>
        <v/>
      </c>
      <c r="CW16" s="100" t="str">
        <f>IFERROR($CO16*(1-'Commission Structure'!$C$5),"")</f>
        <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6" t="str">
        <f t="shared" si="11"/>
        <v/>
      </c>
      <c r="CZ16" s="97" t="str">
        <f>IF($CY16="","",IF($CY16&lt;'Technical Premium'!$C$19,"BEYOND AUTHORITY",IF($CY16&gt;0.005,"Above technical",IF($CY16&lt;-0.005,"BELOW technical","At technical"))))</f>
        <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
      </c>
      <c r="DH16" s="97" t="str">
        <f>IF($A16="","",IF(OR($CX16="REFER",$CX16="DECLINE"),COUNTIF($CX$5:$CX16,"REFER")+COUNTIF($CX$5:$CX16,"DECLINE"),""))</f>
        <v/>
      </c>
      <c r="DI16" s="92"/>
    </row>
    <row r="17" spans="1:113" x14ac:dyDescent="0.25">
      <c r="A17" s="92"/>
      <c r="B17" s="92"/>
      <c r="C17" s="93"/>
      <c r="D17" s="93"/>
      <c r="E17" s="94"/>
      <c r="F17" s="92"/>
      <c r="G17" s="92"/>
      <c r="H17" s="92"/>
      <c r="I17" s="92"/>
      <c r="J17" s="95"/>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6"/>
      <c r="AR17" s="97" t="str">
        <f t="shared" si="0"/>
        <v/>
      </c>
      <c r="AS17" s="97" t="str">
        <f>IF($A17="","",IF($AP17&lt;&gt;"",$AP17,IFERROR(INDEX('Cat Zone by ZIP'!$D$6:$D$856,MATCH($AR17,'Cat Zone by ZIP'!$B$6:$B$856,0)),IFERROR(INDEX('Cat Zone by ZIP'!$C$860:$C$910,MATCH($K17,'Cat Zone by ZIP'!$B$860:$B$910,0)),"NOT FOUND"))))</f>
        <v/>
      </c>
      <c r="AT17" s="97" t="str">
        <f>IF($A17="","",IF($AP17&lt;&gt;"","Override",IF(ISNUMBER(MATCH($AR17,'Cat Zone by ZIP'!$B$6:$B$856,0)),"ZIP-3","State default")))</f>
        <v/>
      </c>
      <c r="AU17" s="98" t="str">
        <f>IF($A17="","",IFERROR(INDEX('Natural Catastrophe'!$D$6:$D$17,MATCH($AS17,'Natural Catastrophe'!$B$6:$B$17,0)),"?"))</f>
        <v/>
      </c>
      <c r="AV17" s="98" t="str">
        <f>IF($A17="","",IFERROR(INDEX('Natural Catastrophe'!$C$21:$C$26,MATCH($AA17,'Natural Catastrophe'!$B$21:$B$26,0)),"?"))</f>
        <v/>
      </c>
      <c r="AW17" s="97" t="str">
        <f>IF($A17="","",IFERROR(INDEX('Base Rates'!$C$4:$I$4,MATCH(MAX($J17,'Technical Premium'!$C$18),'Base Rates'!$C$3:$I$3,1)),"?"))</f>
        <v/>
      </c>
      <c r="AX17" s="99" t="str">
        <f>IF($A17="","",IFERROR(INDEX('Base Rates'!$C$5:$I$16,MATCH($I17,'Base Rates'!$B$5:$B$16,0),MATCH(MAX($J17,'Technical Premium'!$C$18),'Base Rates'!$C$3:$I$3,1)),"?"))</f>
        <v/>
      </c>
      <c r="AY17" s="100" t="str">
        <f t="shared" si="1"/>
        <v/>
      </c>
      <c r="AZ17" s="97" t="str">
        <f>IF($A17="","",IFERROR(INDEX('Make Factors'!$G$5:$G$69,MATCH($F17,'Make Factors'!$B$5:$B$69,0)),"?"))</f>
        <v/>
      </c>
      <c r="BA17" s="97" t="str">
        <f>IF($A17="","",IFERROR(INDEX('Driver Factors'!$C$6:$C$15,MATCH($R17,'Driver Factors'!$B$6:$B$15,0)),"?"))</f>
        <v/>
      </c>
      <c r="BB17" s="97" t="str">
        <f>IF($A17="","",IFERROR(INDEX('Driver Factors'!$C$19:$C$24,MATCH($S17,'Driver Factors'!$B$19:$B$24,0)),"?"))</f>
        <v/>
      </c>
      <c r="BC17" s="97" t="str">
        <f>IF($A17="","",IFERROR(INDEX('Driver Factors'!$C$28:$C$36,MATCH($T17,'Driver Factors'!$B$28:$B$36,0)),"?"))</f>
        <v/>
      </c>
      <c r="BD17" s="97" t="str">
        <f>IF($A17="","",IFERROR(INDEX('Claims History'!$C$6:$C$15,MATCH($U17,'Claims History'!$B$6:$B$15,0)),"?"))</f>
        <v/>
      </c>
      <c r="BE17" s="97" t="str">
        <f>IF($A17="","",IFERROR(INDEX('Territory Factors'!$E$6:$E$56,MATCH($K17,'Territory Factors'!$B$6:$B$56,0)),"?"))</f>
        <v/>
      </c>
      <c r="BF17" s="97" t="str">
        <f>IF($A17="","",IFERROR(INDEX('City Accident Ratings'!$G$6:$G$54,MATCH($Z17,'City Accident Ratings'!$B$6:$B$54,0)),"?"))</f>
        <v/>
      </c>
      <c r="BG17" s="97" t="str">
        <f>IF($A17="","",IFERROR(INDEX('Usage and Coverage'!$D$6:$D$20,MATCH($N17,'Usage and Coverage'!$C$6:$C$20,0)),"?"))</f>
        <v/>
      </c>
      <c r="BH17" s="97" t="str">
        <f>IF($A17="","",IFERROR(INDEX('Usage and Coverage'!$C$24:$C$30,MATCH($O17,'Usage and Coverage'!$B$24:$B$30,0)),"?"))</f>
        <v/>
      </c>
      <c r="BI17" s="97" t="str">
        <f>IF($A17="","",IFERROR(INDEX('Usage and Coverage'!$C$34:$C$40,MATCH($P17,'Usage and Coverage'!$B$34:$B$40,0)),"?"))</f>
        <v/>
      </c>
      <c r="BJ17" s="97" t="str">
        <f>IF($A17="","",IFERROR(INDEX('Usage and Coverage'!$C$44:$C$49,MATCH($Q17,'Usage and Coverage'!$B$44:$B$49,0)),"?"))</f>
        <v/>
      </c>
      <c r="BK17" s="97" t="str">
        <f>IF($A17="","",IFERROR(INDEX(Deductibles!$C$6:$I$15,MATCH($W17,Deductibles!$B$6:$B$15,0),MATCH(MAX($J17,'Technical Premium'!$C$18),'Base Rates'!$C$3:$I$3,1)),"?"))</f>
        <v/>
      </c>
      <c r="BL17" s="97" t="str">
        <f>IF($A17="","",IFERROR(INDEX('Usage and Coverage'!$C$63:$C$66,MATCH($X17,'Usage and Coverage'!$B$63:$B$66,0)),"?"))</f>
        <v/>
      </c>
      <c r="BM17" s="97" t="str">
        <f>IF($A17="","",IFERROR(INDEX('Usage and Coverage'!$C$70:$C$75,MATCH($V17,'Usage and Coverage'!$B$70:$B$75,0)),"?"))</f>
        <v/>
      </c>
      <c r="BN17" s="97" t="str">
        <f>IF($A17="","",IF($AB17="",1,IFERROR(INDEX(Deductibles!$C$48:$C$51,MATCH($AB17,Deductibles!$B$48:$B$51,0)),"?")))</f>
        <v/>
      </c>
      <c r="BO17" s="97" t="str">
        <f>IF($A17="","",IF($AC17="",1,IFERROR(INDEX(Deductibles!$C$55:$C$57,MATCH($AC17,Deductibles!$B$55:$B$57,0)),"?")))</f>
        <v/>
      </c>
      <c r="BP17" s="97" t="str">
        <f>IF($A17="","",IF($AD17="",1,IFERROR(INDEX(Deductibles!$C$61:$C$63,MATCH($AD17,Deductibles!$B$61:$B$63,0)),"?")))</f>
        <v/>
      </c>
      <c r="BQ17" s="97" t="str">
        <f>IF($A17="","",IF($AE17="",1,IFERROR(INDEX(Deductibles!$C$67:$C$69,MATCH($AE17,Deductibles!$B$67:$B$69,0)),"?")))</f>
        <v/>
      </c>
      <c r="BR17" s="97" t="str">
        <f>IF($A17="","",IF($AF17="",1,IFERROR(INDEX(Deductibles!$C$73:$C$74,MATCH($AF17,Deductibles!$B$73:$B$74,0)),"?")))</f>
        <v/>
      </c>
      <c r="BS17" s="97" t="str">
        <f>IF($A17="","",IF($AG17="",1,IFERROR(INDEX('Sublimits and Parts'!$C$49:$C$52,MATCH($AG17,'Sublimits and Parts'!$B$49:$B$52,0)),"?")))</f>
        <v/>
      </c>
      <c r="BT17" s="97" t="str">
        <f>IF($A17="","",IF($AH17="",1,IFERROR(INDEX('Sublimits and Parts'!$C$56:$C$60,MATCH($AH17,'Sublimits and Parts'!$B$56:$B$60,0)),"?")))</f>
        <v/>
      </c>
      <c r="BU17" s="97" t="str">
        <f>IF($A17="","",IF($AI17="",1,IFERROR(INDEX('Sublimits and Parts'!$C$64:$C$67,MATCH($AI17,'Sublimits and Parts'!$B$64:$B$67,0)),"?")))</f>
        <v/>
      </c>
      <c r="BV17" s="97" t="str">
        <f>IF($A17="","",IF($AJ17="",1,IFERROR(INDEX('Sublimits and Parts'!$C$71:$C$74,MATCH($AJ17,'Sublimits and Parts'!$B$71:$B$74,0)),"?")))</f>
        <v/>
      </c>
      <c r="BW17" s="97" t="str">
        <f>IF($A17="","",IF($AK17="",1,IFERROR(INDEX('Sublimits and Parts'!$C$78:$C$80,MATCH($AK17,'Sublimits and Parts'!$B$78:$B$80,0)),"?")))</f>
        <v/>
      </c>
      <c r="BX17" s="97" t="str">
        <f>IF($A17="","",IF($AL17="",1,IFERROR(INDEX('Sublimits and Parts'!$C$84:$C$87,MATCH($AL17,'Sublimits and Parts'!$B$84:$B$87,0)),"?")))</f>
        <v/>
      </c>
      <c r="BY17" s="97" t="str">
        <f>IF($A17="","",IF($AM17="",1,IFERROR(INDEX('Sublimits and Parts'!$C$91:$C$94,MATCH($AM17,'Sublimits and Parts'!$B$91:$B$94,0)),"?")))</f>
        <v/>
      </c>
      <c r="BZ17" s="97" t="str">
        <f>IF($A17="","",IF($AN17="",1,IFERROR(INDEX('Sublimits and Parts'!$C$98:$C$101,MATCH($AN17,'Sublimits and Parts'!$B$98:$B$101,0)),"?")))</f>
        <v/>
      </c>
      <c r="CA17" s="97" t="str">
        <f>IF($A17="","",IF($AO17="",1,IFERROR(INDEX('Sublimits and Parts'!$C$105:$C$109,MATCH($AO17,'Sublimits and Parts'!$B$105:$B$109,0)),"?")))</f>
        <v/>
      </c>
      <c r="CB17" s="98" t="str">
        <f t="shared" si="2"/>
        <v/>
      </c>
      <c r="CC17" s="98" t="str">
        <f t="shared" si="3"/>
        <v/>
      </c>
      <c r="CD17" s="101" t="str">
        <f>IF($A17="","",IF(OR($CB17="?",$CC17="?"),"?",MIN($CB17*$CC17,'Technical Premium'!$C$17)))</f>
        <v/>
      </c>
      <c r="CE17" s="100" t="str">
        <f t="shared" si="4"/>
        <v/>
      </c>
      <c r="CF17" s="100" t="str">
        <f>IF($A17="","",IFERROR(INDEX('Territory Factors'!$F$6:$F$56,MATCH($K17,'Territory Factors'!$B$6:$B$56,0)),"?"))</f>
        <v/>
      </c>
      <c r="CG17" s="98" t="str">
        <f>IF($A17="","",IFERROR(INDEX('Usage and Coverage'!$C$79:$C$84,MATCH($Y17,'Usage and Coverage'!$B$79:$B$84,0)),"?"))</f>
        <v/>
      </c>
      <c r="CH17" s="100" t="str">
        <f>IFERROR(IF(ISNUMBER($CD17),$CF17*$CG17*MIN($BG17*$BA17*$BC17*$BD17*$BH17*$BF17,'Technical Premium'!$C$17),""),"")</f>
        <v/>
      </c>
      <c r="CI17" s="100" t="str">
        <f t="shared" si="5"/>
        <v/>
      </c>
      <c r="CJ17" s="100" t="str">
        <f>IFERROR($CI17*(1+'Technical Premium'!$C$5)*(1+'Technical Premium'!$C$6),"")</f>
        <v/>
      </c>
      <c r="CK17" s="100" t="str">
        <f>IFERROR($CE17*INDEX('Territory Factors'!$G$6:$G$56,MATCH($K17,'Territory Factors'!$B$6:$B$56,0))*$AU17*$AV17,"")</f>
        <v/>
      </c>
      <c r="CL17" s="100" t="str">
        <f>IFERROR(($CJ17+$CK17)*(1+'Technical Premium'!$C$7),"")</f>
        <v/>
      </c>
      <c r="CM17" s="102" t="str">
        <f>IFERROR($CL17/'Technical Premium'!$C$13,"")</f>
        <v/>
      </c>
      <c r="CN17" s="103" t="str">
        <f t="shared" si="6"/>
        <v/>
      </c>
      <c r="CO17" s="102" t="str">
        <f t="shared" si="7"/>
        <v/>
      </c>
      <c r="CP17" s="103" t="str">
        <f t="shared" si="8"/>
        <v/>
      </c>
      <c r="CQ17" s="104" t="str">
        <f t="shared" si="9"/>
        <v/>
      </c>
      <c r="CR17" s="100" t="str">
        <f>IF(ISNUMBER($CM17),'Technical Premium'!$C$14+IF($J17&gt;=1000000,'Technical Premium'!$C$15,0),"")</f>
        <v/>
      </c>
      <c r="CS17" s="100" t="str">
        <f>IFERROR(($CO17+$CR17)*(INDEX('Territory Factors'!$K$6:$K$56,MATCH($K17,'Territory Factors'!$B$6:$B$56,0))+'Commission Structure'!$C$21),"")</f>
        <v/>
      </c>
      <c r="CT17" s="102" t="str">
        <f t="shared" si="10"/>
        <v/>
      </c>
      <c r="CU17" s="100" t="str">
        <f>IFERROR($CO17*('Commission Structure'!$C$6+'Commission Structure'!$C$7),"")</f>
        <v/>
      </c>
      <c r="CV17" s="100" t="str">
        <f>IFERROR($CO17*'Commission Structure'!$C$5-$CU17,"")</f>
        <v/>
      </c>
      <c r="CW17" s="100" t="str">
        <f>IFERROR($CO17*(1-'Commission Structure'!$C$5),"")</f>
        <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6" t="str">
        <f t="shared" si="11"/>
        <v/>
      </c>
      <c r="CZ17" s="97" t="str">
        <f>IF($CY17="","",IF($CY17&lt;'Technical Premium'!$C$19,"BEYOND AUTHORITY",IF($CY17&gt;0.005,"Above technical",IF($CY17&lt;-0.005,"BELOW technical","At technical"))))</f>
        <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
      </c>
      <c r="DH17" s="97" t="str">
        <f>IF($A17="","",IF(OR($CX17="REFER",$CX17="DECLINE"),COUNTIF($CX$5:$CX17,"REFER")+COUNTIF($CX$5:$CX17,"DECLINE"),""))</f>
        <v/>
      </c>
      <c r="DI17" s="92"/>
    </row>
    <row r="18" spans="1:113" x14ac:dyDescent="0.25">
      <c r="A18" s="92"/>
      <c r="B18" s="92"/>
      <c r="C18" s="93"/>
      <c r="D18" s="93"/>
      <c r="E18" s="94"/>
      <c r="F18" s="92"/>
      <c r="G18" s="92"/>
      <c r="H18" s="92"/>
      <c r="I18" s="92"/>
      <c r="J18" s="95"/>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6"/>
      <c r="AR18" s="97" t="str">
        <f t="shared" si="0"/>
        <v/>
      </c>
      <c r="AS18" s="97" t="str">
        <f>IF($A18="","",IF($AP18&lt;&gt;"",$AP18,IFERROR(INDEX('Cat Zone by ZIP'!$D$6:$D$856,MATCH($AR18,'Cat Zone by ZIP'!$B$6:$B$856,0)),IFERROR(INDEX('Cat Zone by ZIP'!$C$860:$C$910,MATCH($K18,'Cat Zone by ZIP'!$B$860:$B$910,0)),"NOT FOUND"))))</f>
        <v/>
      </c>
      <c r="AT18" s="97" t="str">
        <f>IF($A18="","",IF($AP18&lt;&gt;"","Override",IF(ISNUMBER(MATCH($AR18,'Cat Zone by ZIP'!$B$6:$B$856,0)),"ZIP-3","State default")))</f>
        <v/>
      </c>
      <c r="AU18" s="98" t="str">
        <f>IF($A18="","",IFERROR(INDEX('Natural Catastrophe'!$D$6:$D$17,MATCH($AS18,'Natural Catastrophe'!$B$6:$B$17,0)),"?"))</f>
        <v/>
      </c>
      <c r="AV18" s="98" t="str">
        <f>IF($A18="","",IFERROR(INDEX('Natural Catastrophe'!$C$21:$C$26,MATCH($AA18,'Natural Catastrophe'!$B$21:$B$26,0)),"?"))</f>
        <v/>
      </c>
      <c r="AW18" s="97" t="str">
        <f>IF($A18="","",IFERROR(INDEX('Base Rates'!$C$4:$I$4,MATCH(MAX($J18,'Technical Premium'!$C$18),'Base Rates'!$C$3:$I$3,1)),"?"))</f>
        <v/>
      </c>
      <c r="AX18" s="99" t="str">
        <f>IF($A18="","",IFERROR(INDEX('Base Rates'!$C$5:$I$16,MATCH($I18,'Base Rates'!$B$5:$B$16,0),MATCH(MAX($J18,'Technical Premium'!$C$18),'Base Rates'!$C$3:$I$3,1)),"?"))</f>
        <v/>
      </c>
      <c r="AY18" s="100" t="str">
        <f t="shared" si="1"/>
        <v/>
      </c>
      <c r="AZ18" s="97" t="str">
        <f>IF($A18="","",IFERROR(INDEX('Make Factors'!$G$5:$G$69,MATCH($F18,'Make Factors'!$B$5:$B$69,0)),"?"))</f>
        <v/>
      </c>
      <c r="BA18" s="97" t="str">
        <f>IF($A18="","",IFERROR(INDEX('Driver Factors'!$C$6:$C$15,MATCH($R18,'Driver Factors'!$B$6:$B$15,0)),"?"))</f>
        <v/>
      </c>
      <c r="BB18" s="97" t="str">
        <f>IF($A18="","",IFERROR(INDEX('Driver Factors'!$C$19:$C$24,MATCH($S18,'Driver Factors'!$B$19:$B$24,0)),"?"))</f>
        <v/>
      </c>
      <c r="BC18" s="97" t="str">
        <f>IF($A18="","",IFERROR(INDEX('Driver Factors'!$C$28:$C$36,MATCH($T18,'Driver Factors'!$B$28:$B$36,0)),"?"))</f>
        <v/>
      </c>
      <c r="BD18" s="97" t="str">
        <f>IF($A18="","",IFERROR(INDEX('Claims History'!$C$6:$C$15,MATCH($U18,'Claims History'!$B$6:$B$15,0)),"?"))</f>
        <v/>
      </c>
      <c r="BE18" s="97" t="str">
        <f>IF($A18="","",IFERROR(INDEX('Territory Factors'!$E$6:$E$56,MATCH($K18,'Territory Factors'!$B$6:$B$56,0)),"?"))</f>
        <v/>
      </c>
      <c r="BF18" s="97" t="str">
        <f>IF($A18="","",IFERROR(INDEX('City Accident Ratings'!$G$6:$G$54,MATCH($Z18,'City Accident Ratings'!$B$6:$B$54,0)),"?"))</f>
        <v/>
      </c>
      <c r="BG18" s="97" t="str">
        <f>IF($A18="","",IFERROR(INDEX('Usage and Coverage'!$D$6:$D$20,MATCH($N18,'Usage and Coverage'!$C$6:$C$20,0)),"?"))</f>
        <v/>
      </c>
      <c r="BH18" s="97" t="str">
        <f>IF($A18="","",IFERROR(INDEX('Usage and Coverage'!$C$24:$C$30,MATCH($O18,'Usage and Coverage'!$B$24:$B$30,0)),"?"))</f>
        <v/>
      </c>
      <c r="BI18" s="97" t="str">
        <f>IF($A18="","",IFERROR(INDEX('Usage and Coverage'!$C$34:$C$40,MATCH($P18,'Usage and Coverage'!$B$34:$B$40,0)),"?"))</f>
        <v/>
      </c>
      <c r="BJ18" s="97" t="str">
        <f>IF($A18="","",IFERROR(INDEX('Usage and Coverage'!$C$44:$C$49,MATCH($Q18,'Usage and Coverage'!$B$44:$B$49,0)),"?"))</f>
        <v/>
      </c>
      <c r="BK18" s="97" t="str">
        <f>IF($A18="","",IFERROR(INDEX(Deductibles!$C$6:$I$15,MATCH($W18,Deductibles!$B$6:$B$15,0),MATCH(MAX($J18,'Technical Premium'!$C$18),'Base Rates'!$C$3:$I$3,1)),"?"))</f>
        <v/>
      </c>
      <c r="BL18" s="97" t="str">
        <f>IF($A18="","",IFERROR(INDEX('Usage and Coverage'!$C$63:$C$66,MATCH($X18,'Usage and Coverage'!$B$63:$B$66,0)),"?"))</f>
        <v/>
      </c>
      <c r="BM18" s="97" t="str">
        <f>IF($A18="","",IFERROR(INDEX('Usage and Coverage'!$C$70:$C$75,MATCH($V18,'Usage and Coverage'!$B$70:$B$75,0)),"?"))</f>
        <v/>
      </c>
      <c r="BN18" s="97" t="str">
        <f>IF($A18="","",IF($AB18="",1,IFERROR(INDEX(Deductibles!$C$48:$C$51,MATCH($AB18,Deductibles!$B$48:$B$51,0)),"?")))</f>
        <v/>
      </c>
      <c r="BO18" s="97" t="str">
        <f>IF($A18="","",IF($AC18="",1,IFERROR(INDEX(Deductibles!$C$55:$C$57,MATCH($AC18,Deductibles!$B$55:$B$57,0)),"?")))</f>
        <v/>
      </c>
      <c r="BP18" s="97" t="str">
        <f>IF($A18="","",IF($AD18="",1,IFERROR(INDEX(Deductibles!$C$61:$C$63,MATCH($AD18,Deductibles!$B$61:$B$63,0)),"?")))</f>
        <v/>
      </c>
      <c r="BQ18" s="97" t="str">
        <f>IF($A18="","",IF($AE18="",1,IFERROR(INDEX(Deductibles!$C$67:$C$69,MATCH($AE18,Deductibles!$B$67:$B$69,0)),"?")))</f>
        <v/>
      </c>
      <c r="BR18" s="97" t="str">
        <f>IF($A18="","",IF($AF18="",1,IFERROR(INDEX(Deductibles!$C$73:$C$74,MATCH($AF18,Deductibles!$B$73:$B$74,0)),"?")))</f>
        <v/>
      </c>
      <c r="BS18" s="97" t="str">
        <f>IF($A18="","",IF($AG18="",1,IFERROR(INDEX('Sublimits and Parts'!$C$49:$C$52,MATCH($AG18,'Sublimits and Parts'!$B$49:$B$52,0)),"?")))</f>
        <v/>
      </c>
      <c r="BT18" s="97" t="str">
        <f>IF($A18="","",IF($AH18="",1,IFERROR(INDEX('Sublimits and Parts'!$C$56:$C$60,MATCH($AH18,'Sublimits and Parts'!$B$56:$B$60,0)),"?")))</f>
        <v/>
      </c>
      <c r="BU18" s="97" t="str">
        <f>IF($A18="","",IF($AI18="",1,IFERROR(INDEX('Sublimits and Parts'!$C$64:$C$67,MATCH($AI18,'Sublimits and Parts'!$B$64:$B$67,0)),"?")))</f>
        <v/>
      </c>
      <c r="BV18" s="97" t="str">
        <f>IF($A18="","",IF($AJ18="",1,IFERROR(INDEX('Sublimits and Parts'!$C$71:$C$74,MATCH($AJ18,'Sublimits and Parts'!$B$71:$B$74,0)),"?")))</f>
        <v/>
      </c>
      <c r="BW18" s="97" t="str">
        <f>IF($A18="","",IF($AK18="",1,IFERROR(INDEX('Sublimits and Parts'!$C$78:$C$80,MATCH($AK18,'Sublimits and Parts'!$B$78:$B$80,0)),"?")))</f>
        <v/>
      </c>
      <c r="BX18" s="97" t="str">
        <f>IF($A18="","",IF($AL18="",1,IFERROR(INDEX('Sublimits and Parts'!$C$84:$C$87,MATCH($AL18,'Sublimits and Parts'!$B$84:$B$87,0)),"?")))</f>
        <v/>
      </c>
      <c r="BY18" s="97" t="str">
        <f>IF($A18="","",IF($AM18="",1,IFERROR(INDEX('Sublimits and Parts'!$C$91:$C$94,MATCH($AM18,'Sublimits and Parts'!$B$91:$B$94,0)),"?")))</f>
        <v/>
      </c>
      <c r="BZ18" s="97" t="str">
        <f>IF($A18="","",IF($AN18="",1,IFERROR(INDEX('Sublimits and Parts'!$C$98:$C$101,MATCH($AN18,'Sublimits and Parts'!$B$98:$B$101,0)),"?")))</f>
        <v/>
      </c>
      <c r="CA18" s="97" t="str">
        <f>IF($A18="","",IF($AO18="",1,IFERROR(INDEX('Sublimits and Parts'!$C$105:$C$109,MATCH($AO18,'Sublimits and Parts'!$B$105:$B$109,0)),"?")))</f>
        <v/>
      </c>
      <c r="CB18" s="98" t="str">
        <f t="shared" si="2"/>
        <v/>
      </c>
      <c r="CC18" s="98" t="str">
        <f t="shared" si="3"/>
        <v/>
      </c>
      <c r="CD18" s="101" t="str">
        <f>IF($A18="","",IF(OR($CB18="?",$CC18="?"),"?",MIN($CB18*$CC18,'Technical Premium'!$C$17)))</f>
        <v/>
      </c>
      <c r="CE18" s="100" t="str">
        <f t="shared" si="4"/>
        <v/>
      </c>
      <c r="CF18" s="100" t="str">
        <f>IF($A18="","",IFERROR(INDEX('Territory Factors'!$F$6:$F$56,MATCH($K18,'Territory Factors'!$B$6:$B$56,0)),"?"))</f>
        <v/>
      </c>
      <c r="CG18" s="98" t="str">
        <f>IF($A18="","",IFERROR(INDEX('Usage and Coverage'!$C$79:$C$84,MATCH($Y18,'Usage and Coverage'!$B$79:$B$84,0)),"?"))</f>
        <v/>
      </c>
      <c r="CH18" s="100" t="str">
        <f>IFERROR(IF(ISNUMBER($CD18),$CF18*$CG18*MIN($BG18*$BA18*$BC18*$BD18*$BH18*$BF18,'Technical Premium'!$C$17),""),"")</f>
        <v/>
      </c>
      <c r="CI18" s="100" t="str">
        <f t="shared" si="5"/>
        <v/>
      </c>
      <c r="CJ18" s="100" t="str">
        <f>IFERROR($CI18*(1+'Technical Premium'!$C$5)*(1+'Technical Premium'!$C$6),"")</f>
        <v/>
      </c>
      <c r="CK18" s="100" t="str">
        <f>IFERROR($CE18*INDEX('Territory Factors'!$G$6:$G$56,MATCH($K18,'Territory Factors'!$B$6:$B$56,0))*$AU18*$AV18,"")</f>
        <v/>
      </c>
      <c r="CL18" s="100" t="str">
        <f>IFERROR(($CJ18+$CK18)*(1+'Technical Premium'!$C$7),"")</f>
        <v/>
      </c>
      <c r="CM18" s="102" t="str">
        <f>IFERROR($CL18/'Technical Premium'!$C$13,"")</f>
        <v/>
      </c>
      <c r="CN18" s="103" t="str">
        <f t="shared" si="6"/>
        <v/>
      </c>
      <c r="CO18" s="102" t="str">
        <f t="shared" si="7"/>
        <v/>
      </c>
      <c r="CP18" s="103" t="str">
        <f t="shared" si="8"/>
        <v/>
      </c>
      <c r="CQ18" s="104" t="str">
        <f t="shared" si="9"/>
        <v/>
      </c>
      <c r="CR18" s="100" t="str">
        <f>IF(ISNUMBER($CM18),'Technical Premium'!$C$14+IF($J18&gt;=1000000,'Technical Premium'!$C$15,0),"")</f>
        <v/>
      </c>
      <c r="CS18" s="100" t="str">
        <f>IFERROR(($CO18+$CR18)*(INDEX('Territory Factors'!$K$6:$K$56,MATCH($K18,'Territory Factors'!$B$6:$B$56,0))+'Commission Structure'!$C$21),"")</f>
        <v/>
      </c>
      <c r="CT18" s="102" t="str">
        <f t="shared" si="10"/>
        <v/>
      </c>
      <c r="CU18" s="100" t="str">
        <f>IFERROR($CO18*('Commission Structure'!$C$6+'Commission Structure'!$C$7),"")</f>
        <v/>
      </c>
      <c r="CV18" s="100" t="str">
        <f>IFERROR($CO18*'Commission Structure'!$C$5-$CU18,"")</f>
        <v/>
      </c>
      <c r="CW18" s="100" t="str">
        <f>IFERROR($CO18*(1-'Commission Structure'!$C$5),"")</f>
        <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6" t="str">
        <f t="shared" si="11"/>
        <v/>
      </c>
      <c r="CZ18" s="97" t="str">
        <f>IF($CY18="","",IF($CY18&lt;'Technical Premium'!$C$19,"BEYOND AUTHORITY",IF($CY18&gt;0.005,"Above technical",IF($CY18&lt;-0.005,"BELOW technical","At technical"))))</f>
        <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
      </c>
      <c r="DH18" s="97" t="str">
        <f>IF($A18="","",IF(OR($CX18="REFER",$CX18="DECLINE"),COUNTIF($CX$5:$CX18,"REFER")+COUNTIF($CX$5:$CX18,"DECLINE"),""))</f>
        <v/>
      </c>
      <c r="DI18" s="92"/>
    </row>
    <row r="19" spans="1:113" x14ac:dyDescent="0.25">
      <c r="A19" s="92"/>
      <c r="B19" s="92"/>
      <c r="C19" s="93"/>
      <c r="D19" s="93"/>
      <c r="E19" s="94"/>
      <c r="F19" s="92"/>
      <c r="G19" s="92"/>
      <c r="H19" s="92"/>
      <c r="I19" s="92"/>
      <c r="J19" s="95"/>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6"/>
      <c r="AR19" s="97" t="str">
        <f t="shared" si="0"/>
        <v/>
      </c>
      <c r="AS19" s="97" t="str">
        <f>IF($A19="","",IF($AP19&lt;&gt;"",$AP19,IFERROR(INDEX('Cat Zone by ZIP'!$D$6:$D$856,MATCH($AR19,'Cat Zone by ZIP'!$B$6:$B$856,0)),IFERROR(INDEX('Cat Zone by ZIP'!$C$860:$C$910,MATCH($K19,'Cat Zone by ZIP'!$B$860:$B$910,0)),"NOT FOUND"))))</f>
        <v/>
      </c>
      <c r="AT19" s="97" t="str">
        <f>IF($A19="","",IF($AP19&lt;&gt;"","Override",IF(ISNUMBER(MATCH($AR19,'Cat Zone by ZIP'!$B$6:$B$856,0)),"ZIP-3","State default")))</f>
        <v/>
      </c>
      <c r="AU19" s="98" t="str">
        <f>IF($A19="","",IFERROR(INDEX('Natural Catastrophe'!$D$6:$D$17,MATCH($AS19,'Natural Catastrophe'!$B$6:$B$17,0)),"?"))</f>
        <v/>
      </c>
      <c r="AV19" s="98" t="str">
        <f>IF($A19="","",IFERROR(INDEX('Natural Catastrophe'!$C$21:$C$26,MATCH($AA19,'Natural Catastrophe'!$B$21:$B$26,0)),"?"))</f>
        <v/>
      </c>
      <c r="AW19" s="97" t="str">
        <f>IF($A19="","",IFERROR(INDEX('Base Rates'!$C$4:$I$4,MATCH(MAX($J19,'Technical Premium'!$C$18),'Base Rates'!$C$3:$I$3,1)),"?"))</f>
        <v/>
      </c>
      <c r="AX19" s="99" t="str">
        <f>IF($A19="","",IFERROR(INDEX('Base Rates'!$C$5:$I$16,MATCH($I19,'Base Rates'!$B$5:$B$16,0),MATCH(MAX($J19,'Technical Premium'!$C$18),'Base Rates'!$C$3:$I$3,1)),"?"))</f>
        <v/>
      </c>
      <c r="AY19" s="100" t="str">
        <f t="shared" si="1"/>
        <v/>
      </c>
      <c r="AZ19" s="97" t="str">
        <f>IF($A19="","",IFERROR(INDEX('Make Factors'!$G$5:$G$69,MATCH($F19,'Make Factors'!$B$5:$B$69,0)),"?"))</f>
        <v/>
      </c>
      <c r="BA19" s="97" t="str">
        <f>IF($A19="","",IFERROR(INDEX('Driver Factors'!$C$6:$C$15,MATCH($R19,'Driver Factors'!$B$6:$B$15,0)),"?"))</f>
        <v/>
      </c>
      <c r="BB19" s="97" t="str">
        <f>IF($A19="","",IFERROR(INDEX('Driver Factors'!$C$19:$C$24,MATCH($S19,'Driver Factors'!$B$19:$B$24,0)),"?"))</f>
        <v/>
      </c>
      <c r="BC19" s="97" t="str">
        <f>IF($A19="","",IFERROR(INDEX('Driver Factors'!$C$28:$C$36,MATCH($T19,'Driver Factors'!$B$28:$B$36,0)),"?"))</f>
        <v/>
      </c>
      <c r="BD19" s="97" t="str">
        <f>IF($A19="","",IFERROR(INDEX('Claims History'!$C$6:$C$15,MATCH($U19,'Claims History'!$B$6:$B$15,0)),"?"))</f>
        <v/>
      </c>
      <c r="BE19" s="97" t="str">
        <f>IF($A19="","",IFERROR(INDEX('Territory Factors'!$E$6:$E$56,MATCH($K19,'Territory Factors'!$B$6:$B$56,0)),"?"))</f>
        <v/>
      </c>
      <c r="BF19" s="97" t="str">
        <f>IF($A19="","",IFERROR(INDEX('City Accident Ratings'!$G$6:$G$54,MATCH($Z19,'City Accident Ratings'!$B$6:$B$54,0)),"?"))</f>
        <v/>
      </c>
      <c r="BG19" s="97" t="str">
        <f>IF($A19="","",IFERROR(INDEX('Usage and Coverage'!$D$6:$D$20,MATCH($N19,'Usage and Coverage'!$C$6:$C$20,0)),"?"))</f>
        <v/>
      </c>
      <c r="BH19" s="97" t="str">
        <f>IF($A19="","",IFERROR(INDEX('Usage and Coverage'!$C$24:$C$30,MATCH($O19,'Usage and Coverage'!$B$24:$B$30,0)),"?"))</f>
        <v/>
      </c>
      <c r="BI19" s="97" t="str">
        <f>IF($A19="","",IFERROR(INDEX('Usage and Coverage'!$C$34:$C$40,MATCH($P19,'Usage and Coverage'!$B$34:$B$40,0)),"?"))</f>
        <v/>
      </c>
      <c r="BJ19" s="97" t="str">
        <f>IF($A19="","",IFERROR(INDEX('Usage and Coverage'!$C$44:$C$49,MATCH($Q19,'Usage and Coverage'!$B$44:$B$49,0)),"?"))</f>
        <v/>
      </c>
      <c r="BK19" s="97" t="str">
        <f>IF($A19="","",IFERROR(INDEX(Deductibles!$C$6:$I$15,MATCH($W19,Deductibles!$B$6:$B$15,0),MATCH(MAX($J19,'Technical Premium'!$C$18),'Base Rates'!$C$3:$I$3,1)),"?"))</f>
        <v/>
      </c>
      <c r="BL19" s="97" t="str">
        <f>IF($A19="","",IFERROR(INDEX('Usage and Coverage'!$C$63:$C$66,MATCH($X19,'Usage and Coverage'!$B$63:$B$66,0)),"?"))</f>
        <v/>
      </c>
      <c r="BM19" s="97" t="str">
        <f>IF($A19="","",IFERROR(INDEX('Usage and Coverage'!$C$70:$C$75,MATCH($V19,'Usage and Coverage'!$B$70:$B$75,0)),"?"))</f>
        <v/>
      </c>
      <c r="BN19" s="97" t="str">
        <f>IF($A19="","",IF($AB19="",1,IFERROR(INDEX(Deductibles!$C$48:$C$51,MATCH($AB19,Deductibles!$B$48:$B$51,0)),"?")))</f>
        <v/>
      </c>
      <c r="BO19" s="97" t="str">
        <f>IF($A19="","",IF($AC19="",1,IFERROR(INDEX(Deductibles!$C$55:$C$57,MATCH($AC19,Deductibles!$B$55:$B$57,0)),"?")))</f>
        <v/>
      </c>
      <c r="BP19" s="97" t="str">
        <f>IF($A19="","",IF($AD19="",1,IFERROR(INDEX(Deductibles!$C$61:$C$63,MATCH($AD19,Deductibles!$B$61:$B$63,0)),"?")))</f>
        <v/>
      </c>
      <c r="BQ19" s="97" t="str">
        <f>IF($A19="","",IF($AE19="",1,IFERROR(INDEX(Deductibles!$C$67:$C$69,MATCH($AE19,Deductibles!$B$67:$B$69,0)),"?")))</f>
        <v/>
      </c>
      <c r="BR19" s="97" t="str">
        <f>IF($A19="","",IF($AF19="",1,IFERROR(INDEX(Deductibles!$C$73:$C$74,MATCH($AF19,Deductibles!$B$73:$B$74,0)),"?")))</f>
        <v/>
      </c>
      <c r="BS19" s="97" t="str">
        <f>IF($A19="","",IF($AG19="",1,IFERROR(INDEX('Sublimits and Parts'!$C$49:$C$52,MATCH($AG19,'Sublimits and Parts'!$B$49:$B$52,0)),"?")))</f>
        <v/>
      </c>
      <c r="BT19" s="97" t="str">
        <f>IF($A19="","",IF($AH19="",1,IFERROR(INDEX('Sublimits and Parts'!$C$56:$C$60,MATCH($AH19,'Sublimits and Parts'!$B$56:$B$60,0)),"?")))</f>
        <v/>
      </c>
      <c r="BU19" s="97" t="str">
        <f>IF($A19="","",IF($AI19="",1,IFERROR(INDEX('Sublimits and Parts'!$C$64:$C$67,MATCH($AI19,'Sublimits and Parts'!$B$64:$B$67,0)),"?")))</f>
        <v/>
      </c>
      <c r="BV19" s="97" t="str">
        <f>IF($A19="","",IF($AJ19="",1,IFERROR(INDEX('Sublimits and Parts'!$C$71:$C$74,MATCH($AJ19,'Sublimits and Parts'!$B$71:$B$74,0)),"?")))</f>
        <v/>
      </c>
      <c r="BW19" s="97" t="str">
        <f>IF($A19="","",IF($AK19="",1,IFERROR(INDEX('Sublimits and Parts'!$C$78:$C$80,MATCH($AK19,'Sublimits and Parts'!$B$78:$B$80,0)),"?")))</f>
        <v/>
      </c>
      <c r="BX19" s="97" t="str">
        <f>IF($A19="","",IF($AL19="",1,IFERROR(INDEX('Sublimits and Parts'!$C$84:$C$87,MATCH($AL19,'Sublimits and Parts'!$B$84:$B$87,0)),"?")))</f>
        <v/>
      </c>
      <c r="BY19" s="97" t="str">
        <f>IF($A19="","",IF($AM19="",1,IFERROR(INDEX('Sublimits and Parts'!$C$91:$C$94,MATCH($AM19,'Sublimits and Parts'!$B$91:$B$94,0)),"?")))</f>
        <v/>
      </c>
      <c r="BZ19" s="97" t="str">
        <f>IF($A19="","",IF($AN19="",1,IFERROR(INDEX('Sublimits and Parts'!$C$98:$C$101,MATCH($AN19,'Sublimits and Parts'!$B$98:$B$101,0)),"?")))</f>
        <v/>
      </c>
      <c r="CA19" s="97" t="str">
        <f>IF($A19="","",IF($AO19="",1,IFERROR(INDEX('Sublimits and Parts'!$C$105:$C$109,MATCH($AO19,'Sublimits and Parts'!$B$105:$B$109,0)),"?")))</f>
        <v/>
      </c>
      <c r="CB19" s="98" t="str">
        <f t="shared" si="2"/>
        <v/>
      </c>
      <c r="CC19" s="98" t="str">
        <f t="shared" si="3"/>
        <v/>
      </c>
      <c r="CD19" s="101" t="str">
        <f>IF($A19="","",IF(OR($CB19="?",$CC19="?"),"?",MIN($CB19*$CC19,'Technical Premium'!$C$17)))</f>
        <v/>
      </c>
      <c r="CE19" s="100" t="str">
        <f t="shared" si="4"/>
        <v/>
      </c>
      <c r="CF19" s="100" t="str">
        <f>IF($A19="","",IFERROR(INDEX('Territory Factors'!$F$6:$F$56,MATCH($K19,'Territory Factors'!$B$6:$B$56,0)),"?"))</f>
        <v/>
      </c>
      <c r="CG19" s="98" t="str">
        <f>IF($A19="","",IFERROR(INDEX('Usage and Coverage'!$C$79:$C$84,MATCH($Y19,'Usage and Coverage'!$B$79:$B$84,0)),"?"))</f>
        <v/>
      </c>
      <c r="CH19" s="100" t="str">
        <f>IFERROR(IF(ISNUMBER($CD19),$CF19*$CG19*MIN($BG19*$BA19*$BC19*$BD19*$BH19*$BF19,'Technical Premium'!$C$17),""),"")</f>
        <v/>
      </c>
      <c r="CI19" s="100" t="str">
        <f t="shared" si="5"/>
        <v/>
      </c>
      <c r="CJ19" s="100" t="str">
        <f>IFERROR($CI19*(1+'Technical Premium'!$C$5)*(1+'Technical Premium'!$C$6),"")</f>
        <v/>
      </c>
      <c r="CK19" s="100" t="str">
        <f>IFERROR($CE19*INDEX('Territory Factors'!$G$6:$G$56,MATCH($K19,'Territory Factors'!$B$6:$B$56,0))*$AU19*$AV19,"")</f>
        <v/>
      </c>
      <c r="CL19" s="100" t="str">
        <f>IFERROR(($CJ19+$CK19)*(1+'Technical Premium'!$C$7),"")</f>
        <v/>
      </c>
      <c r="CM19" s="102" t="str">
        <f>IFERROR($CL19/'Technical Premium'!$C$13,"")</f>
        <v/>
      </c>
      <c r="CN19" s="103" t="str">
        <f t="shared" si="6"/>
        <v/>
      </c>
      <c r="CO19" s="102" t="str">
        <f t="shared" si="7"/>
        <v/>
      </c>
      <c r="CP19" s="103" t="str">
        <f t="shared" si="8"/>
        <v/>
      </c>
      <c r="CQ19" s="104" t="str">
        <f t="shared" si="9"/>
        <v/>
      </c>
      <c r="CR19" s="100" t="str">
        <f>IF(ISNUMBER($CM19),'Technical Premium'!$C$14+IF($J19&gt;=1000000,'Technical Premium'!$C$15,0),"")</f>
        <v/>
      </c>
      <c r="CS19" s="100" t="str">
        <f>IFERROR(($CO19+$CR19)*(INDEX('Territory Factors'!$K$6:$K$56,MATCH($K19,'Territory Factors'!$B$6:$B$56,0))+'Commission Structure'!$C$21),"")</f>
        <v/>
      </c>
      <c r="CT19" s="102" t="str">
        <f t="shared" si="10"/>
        <v/>
      </c>
      <c r="CU19" s="100" t="str">
        <f>IFERROR($CO19*('Commission Structure'!$C$6+'Commission Structure'!$C$7),"")</f>
        <v/>
      </c>
      <c r="CV19" s="100" t="str">
        <f>IFERROR($CO19*'Commission Structure'!$C$5-$CU19,"")</f>
        <v/>
      </c>
      <c r="CW19" s="100" t="str">
        <f>IFERROR($CO19*(1-'Commission Structure'!$C$5),"")</f>
        <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6" t="str">
        <f t="shared" si="11"/>
        <v/>
      </c>
      <c r="CZ19" s="97" t="str">
        <f>IF($CY19="","",IF($CY19&lt;'Technical Premium'!$C$19,"BEYOND AUTHORITY",IF($CY19&gt;0.005,"Above technical",IF($CY19&lt;-0.005,"BELOW technical","At technical"))))</f>
        <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
      </c>
      <c r="DH19" s="97" t="str">
        <f>IF($A19="","",IF(OR($CX19="REFER",$CX19="DECLINE"),COUNTIF($CX$5:$CX19,"REFER")+COUNTIF($CX$5:$CX19,"DECLINE"),""))</f>
        <v/>
      </c>
      <c r="DI19" s="92"/>
    </row>
    <row r="20" spans="1:113" x14ac:dyDescent="0.25">
      <c r="A20" s="92"/>
      <c r="B20" s="92"/>
      <c r="C20" s="93"/>
      <c r="D20" s="93"/>
      <c r="E20" s="94"/>
      <c r="F20" s="92"/>
      <c r="G20" s="92"/>
      <c r="H20" s="92"/>
      <c r="I20" s="92"/>
      <c r="J20" s="95"/>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6"/>
      <c r="AR20" s="97" t="str">
        <f t="shared" si="0"/>
        <v/>
      </c>
      <c r="AS20" s="97" t="str">
        <f>IF($A20="","",IF($AP20&lt;&gt;"",$AP20,IFERROR(INDEX('Cat Zone by ZIP'!$D$6:$D$856,MATCH($AR20,'Cat Zone by ZIP'!$B$6:$B$856,0)),IFERROR(INDEX('Cat Zone by ZIP'!$C$860:$C$910,MATCH($K20,'Cat Zone by ZIP'!$B$860:$B$910,0)),"NOT FOUND"))))</f>
        <v/>
      </c>
      <c r="AT20" s="97" t="str">
        <f>IF($A20="","",IF($AP20&lt;&gt;"","Override",IF(ISNUMBER(MATCH($AR20,'Cat Zone by ZIP'!$B$6:$B$856,0)),"ZIP-3","State default")))</f>
        <v/>
      </c>
      <c r="AU20" s="98" t="str">
        <f>IF($A20="","",IFERROR(INDEX('Natural Catastrophe'!$D$6:$D$17,MATCH($AS20,'Natural Catastrophe'!$B$6:$B$17,0)),"?"))</f>
        <v/>
      </c>
      <c r="AV20" s="98" t="str">
        <f>IF($A20="","",IFERROR(INDEX('Natural Catastrophe'!$C$21:$C$26,MATCH($AA20,'Natural Catastrophe'!$B$21:$B$26,0)),"?"))</f>
        <v/>
      </c>
      <c r="AW20" s="97" t="str">
        <f>IF($A20="","",IFERROR(INDEX('Base Rates'!$C$4:$I$4,MATCH(MAX($J20,'Technical Premium'!$C$18),'Base Rates'!$C$3:$I$3,1)),"?"))</f>
        <v/>
      </c>
      <c r="AX20" s="99" t="str">
        <f>IF($A20="","",IFERROR(INDEX('Base Rates'!$C$5:$I$16,MATCH($I20,'Base Rates'!$B$5:$B$16,0),MATCH(MAX($J20,'Technical Premium'!$C$18),'Base Rates'!$C$3:$I$3,1)),"?"))</f>
        <v/>
      </c>
      <c r="AY20" s="100" t="str">
        <f t="shared" si="1"/>
        <v/>
      </c>
      <c r="AZ20" s="97" t="str">
        <f>IF($A20="","",IFERROR(INDEX('Make Factors'!$G$5:$G$69,MATCH($F20,'Make Factors'!$B$5:$B$69,0)),"?"))</f>
        <v/>
      </c>
      <c r="BA20" s="97" t="str">
        <f>IF($A20="","",IFERROR(INDEX('Driver Factors'!$C$6:$C$15,MATCH($R20,'Driver Factors'!$B$6:$B$15,0)),"?"))</f>
        <v/>
      </c>
      <c r="BB20" s="97" t="str">
        <f>IF($A20="","",IFERROR(INDEX('Driver Factors'!$C$19:$C$24,MATCH($S20,'Driver Factors'!$B$19:$B$24,0)),"?"))</f>
        <v/>
      </c>
      <c r="BC20" s="97" t="str">
        <f>IF($A20="","",IFERROR(INDEX('Driver Factors'!$C$28:$C$36,MATCH($T20,'Driver Factors'!$B$28:$B$36,0)),"?"))</f>
        <v/>
      </c>
      <c r="BD20" s="97" t="str">
        <f>IF($A20="","",IFERROR(INDEX('Claims History'!$C$6:$C$15,MATCH($U20,'Claims History'!$B$6:$B$15,0)),"?"))</f>
        <v/>
      </c>
      <c r="BE20" s="97" t="str">
        <f>IF($A20="","",IFERROR(INDEX('Territory Factors'!$E$6:$E$56,MATCH($K20,'Territory Factors'!$B$6:$B$56,0)),"?"))</f>
        <v/>
      </c>
      <c r="BF20" s="97" t="str">
        <f>IF($A20="","",IFERROR(INDEX('City Accident Ratings'!$G$6:$G$54,MATCH($Z20,'City Accident Ratings'!$B$6:$B$54,0)),"?"))</f>
        <v/>
      </c>
      <c r="BG20" s="97" t="str">
        <f>IF($A20="","",IFERROR(INDEX('Usage and Coverage'!$D$6:$D$20,MATCH($N20,'Usage and Coverage'!$C$6:$C$20,0)),"?"))</f>
        <v/>
      </c>
      <c r="BH20" s="97" t="str">
        <f>IF($A20="","",IFERROR(INDEX('Usage and Coverage'!$C$24:$C$30,MATCH($O20,'Usage and Coverage'!$B$24:$B$30,0)),"?"))</f>
        <v/>
      </c>
      <c r="BI20" s="97" t="str">
        <f>IF($A20="","",IFERROR(INDEX('Usage and Coverage'!$C$34:$C$40,MATCH($P20,'Usage and Coverage'!$B$34:$B$40,0)),"?"))</f>
        <v/>
      </c>
      <c r="BJ20" s="97" t="str">
        <f>IF($A20="","",IFERROR(INDEX('Usage and Coverage'!$C$44:$C$49,MATCH($Q20,'Usage and Coverage'!$B$44:$B$49,0)),"?"))</f>
        <v/>
      </c>
      <c r="BK20" s="97" t="str">
        <f>IF($A20="","",IFERROR(INDEX(Deductibles!$C$6:$I$15,MATCH($W20,Deductibles!$B$6:$B$15,0),MATCH(MAX($J20,'Technical Premium'!$C$18),'Base Rates'!$C$3:$I$3,1)),"?"))</f>
        <v/>
      </c>
      <c r="BL20" s="97" t="str">
        <f>IF($A20="","",IFERROR(INDEX('Usage and Coverage'!$C$63:$C$66,MATCH($X20,'Usage and Coverage'!$B$63:$B$66,0)),"?"))</f>
        <v/>
      </c>
      <c r="BM20" s="97" t="str">
        <f>IF($A20="","",IFERROR(INDEX('Usage and Coverage'!$C$70:$C$75,MATCH($V20,'Usage and Coverage'!$B$70:$B$75,0)),"?"))</f>
        <v/>
      </c>
      <c r="BN20" s="97" t="str">
        <f>IF($A20="","",IF($AB20="",1,IFERROR(INDEX(Deductibles!$C$48:$C$51,MATCH($AB20,Deductibles!$B$48:$B$51,0)),"?")))</f>
        <v/>
      </c>
      <c r="BO20" s="97" t="str">
        <f>IF($A20="","",IF($AC20="",1,IFERROR(INDEX(Deductibles!$C$55:$C$57,MATCH($AC20,Deductibles!$B$55:$B$57,0)),"?")))</f>
        <v/>
      </c>
      <c r="BP20" s="97" t="str">
        <f>IF($A20="","",IF($AD20="",1,IFERROR(INDEX(Deductibles!$C$61:$C$63,MATCH($AD20,Deductibles!$B$61:$B$63,0)),"?")))</f>
        <v/>
      </c>
      <c r="BQ20" s="97" t="str">
        <f>IF($A20="","",IF($AE20="",1,IFERROR(INDEX(Deductibles!$C$67:$C$69,MATCH($AE20,Deductibles!$B$67:$B$69,0)),"?")))</f>
        <v/>
      </c>
      <c r="BR20" s="97" t="str">
        <f>IF($A20="","",IF($AF20="",1,IFERROR(INDEX(Deductibles!$C$73:$C$74,MATCH($AF20,Deductibles!$B$73:$B$74,0)),"?")))</f>
        <v/>
      </c>
      <c r="BS20" s="97" t="str">
        <f>IF($A20="","",IF($AG20="",1,IFERROR(INDEX('Sublimits and Parts'!$C$49:$C$52,MATCH($AG20,'Sublimits and Parts'!$B$49:$B$52,0)),"?")))</f>
        <v/>
      </c>
      <c r="BT20" s="97" t="str">
        <f>IF($A20="","",IF($AH20="",1,IFERROR(INDEX('Sublimits and Parts'!$C$56:$C$60,MATCH($AH20,'Sublimits and Parts'!$B$56:$B$60,0)),"?")))</f>
        <v/>
      </c>
      <c r="BU20" s="97" t="str">
        <f>IF($A20="","",IF($AI20="",1,IFERROR(INDEX('Sublimits and Parts'!$C$64:$C$67,MATCH($AI20,'Sublimits and Parts'!$B$64:$B$67,0)),"?")))</f>
        <v/>
      </c>
      <c r="BV20" s="97" t="str">
        <f>IF($A20="","",IF($AJ20="",1,IFERROR(INDEX('Sublimits and Parts'!$C$71:$C$74,MATCH($AJ20,'Sublimits and Parts'!$B$71:$B$74,0)),"?")))</f>
        <v/>
      </c>
      <c r="BW20" s="97" t="str">
        <f>IF($A20="","",IF($AK20="",1,IFERROR(INDEX('Sublimits and Parts'!$C$78:$C$80,MATCH($AK20,'Sublimits and Parts'!$B$78:$B$80,0)),"?")))</f>
        <v/>
      </c>
      <c r="BX20" s="97" t="str">
        <f>IF($A20="","",IF($AL20="",1,IFERROR(INDEX('Sublimits and Parts'!$C$84:$C$87,MATCH($AL20,'Sublimits and Parts'!$B$84:$B$87,0)),"?")))</f>
        <v/>
      </c>
      <c r="BY20" s="97" t="str">
        <f>IF($A20="","",IF($AM20="",1,IFERROR(INDEX('Sublimits and Parts'!$C$91:$C$94,MATCH($AM20,'Sublimits and Parts'!$B$91:$B$94,0)),"?")))</f>
        <v/>
      </c>
      <c r="BZ20" s="97" t="str">
        <f>IF($A20="","",IF($AN20="",1,IFERROR(INDEX('Sublimits and Parts'!$C$98:$C$101,MATCH($AN20,'Sublimits and Parts'!$B$98:$B$101,0)),"?")))</f>
        <v/>
      </c>
      <c r="CA20" s="97" t="str">
        <f>IF($A20="","",IF($AO20="",1,IFERROR(INDEX('Sublimits and Parts'!$C$105:$C$109,MATCH($AO20,'Sublimits and Parts'!$B$105:$B$109,0)),"?")))</f>
        <v/>
      </c>
      <c r="CB20" s="98" t="str">
        <f t="shared" si="2"/>
        <v/>
      </c>
      <c r="CC20" s="98" t="str">
        <f t="shared" si="3"/>
        <v/>
      </c>
      <c r="CD20" s="101" t="str">
        <f>IF($A20="","",IF(OR($CB20="?",$CC20="?"),"?",MIN($CB20*$CC20,'Technical Premium'!$C$17)))</f>
        <v/>
      </c>
      <c r="CE20" s="100" t="str">
        <f t="shared" si="4"/>
        <v/>
      </c>
      <c r="CF20" s="100" t="str">
        <f>IF($A20="","",IFERROR(INDEX('Territory Factors'!$F$6:$F$56,MATCH($K20,'Territory Factors'!$B$6:$B$56,0)),"?"))</f>
        <v/>
      </c>
      <c r="CG20" s="98" t="str">
        <f>IF($A20="","",IFERROR(INDEX('Usage and Coverage'!$C$79:$C$84,MATCH($Y20,'Usage and Coverage'!$B$79:$B$84,0)),"?"))</f>
        <v/>
      </c>
      <c r="CH20" s="100" t="str">
        <f>IFERROR(IF(ISNUMBER($CD20),$CF20*$CG20*MIN($BG20*$BA20*$BC20*$BD20*$BH20*$BF20,'Technical Premium'!$C$17),""),"")</f>
        <v/>
      </c>
      <c r="CI20" s="100" t="str">
        <f t="shared" si="5"/>
        <v/>
      </c>
      <c r="CJ20" s="100" t="str">
        <f>IFERROR($CI20*(1+'Technical Premium'!$C$5)*(1+'Technical Premium'!$C$6),"")</f>
        <v/>
      </c>
      <c r="CK20" s="100" t="str">
        <f>IFERROR($CE20*INDEX('Territory Factors'!$G$6:$G$56,MATCH($K20,'Territory Factors'!$B$6:$B$56,0))*$AU20*$AV20,"")</f>
        <v/>
      </c>
      <c r="CL20" s="100" t="str">
        <f>IFERROR(($CJ20+$CK20)*(1+'Technical Premium'!$C$7),"")</f>
        <v/>
      </c>
      <c r="CM20" s="102" t="str">
        <f>IFERROR($CL20/'Technical Premium'!$C$13,"")</f>
        <v/>
      </c>
      <c r="CN20" s="103" t="str">
        <f t="shared" si="6"/>
        <v/>
      </c>
      <c r="CO20" s="102" t="str">
        <f t="shared" si="7"/>
        <v/>
      </c>
      <c r="CP20" s="103" t="str">
        <f t="shared" si="8"/>
        <v/>
      </c>
      <c r="CQ20" s="104" t="str">
        <f t="shared" si="9"/>
        <v/>
      </c>
      <c r="CR20" s="100" t="str">
        <f>IF(ISNUMBER($CM20),'Technical Premium'!$C$14+IF($J20&gt;=1000000,'Technical Premium'!$C$15,0),"")</f>
        <v/>
      </c>
      <c r="CS20" s="100" t="str">
        <f>IFERROR(($CO20+$CR20)*(INDEX('Territory Factors'!$K$6:$K$56,MATCH($K20,'Territory Factors'!$B$6:$B$56,0))+'Commission Structure'!$C$21),"")</f>
        <v/>
      </c>
      <c r="CT20" s="102" t="str">
        <f t="shared" si="10"/>
        <v/>
      </c>
      <c r="CU20" s="100" t="str">
        <f>IFERROR($CO20*('Commission Structure'!$C$6+'Commission Structure'!$C$7),"")</f>
        <v/>
      </c>
      <c r="CV20" s="100" t="str">
        <f>IFERROR($CO20*'Commission Structure'!$C$5-$CU20,"")</f>
        <v/>
      </c>
      <c r="CW20" s="100" t="str">
        <f>IFERROR($CO20*(1-'Commission Structure'!$C$5),"")</f>
        <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6" t="str">
        <f t="shared" si="11"/>
        <v/>
      </c>
      <c r="CZ20" s="97" t="str">
        <f>IF($CY20="","",IF($CY20&lt;'Technical Premium'!$C$19,"BEYOND AUTHORITY",IF($CY20&gt;0.005,"Above technical",IF($CY20&lt;-0.005,"BELOW technical","At technical"))))</f>
        <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
      </c>
      <c r="DH20" s="97" t="str">
        <f>IF($A20="","",IF(OR($CX20="REFER",$CX20="DECLINE"),COUNTIF($CX$5:$CX20,"REFER")+COUNTIF($CX$5:$CX20,"DECLINE"),""))</f>
        <v/>
      </c>
      <c r="DI20" s="92"/>
    </row>
    <row r="21" spans="1:113" x14ac:dyDescent="0.25">
      <c r="A21" s="92"/>
      <c r="B21" s="92"/>
      <c r="C21" s="93"/>
      <c r="D21" s="93"/>
      <c r="E21" s="94"/>
      <c r="F21" s="92"/>
      <c r="G21" s="92"/>
      <c r="H21" s="92"/>
      <c r="I21" s="92"/>
      <c r="J21" s="95"/>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6"/>
      <c r="AR21" s="97" t="str">
        <f t="shared" si="0"/>
        <v/>
      </c>
      <c r="AS21" s="97" t="str">
        <f>IF($A21="","",IF($AP21&lt;&gt;"",$AP21,IFERROR(INDEX('Cat Zone by ZIP'!$D$6:$D$856,MATCH($AR21,'Cat Zone by ZIP'!$B$6:$B$856,0)),IFERROR(INDEX('Cat Zone by ZIP'!$C$860:$C$910,MATCH($K21,'Cat Zone by ZIP'!$B$860:$B$910,0)),"NOT FOUND"))))</f>
        <v/>
      </c>
      <c r="AT21" s="97" t="str">
        <f>IF($A21="","",IF($AP21&lt;&gt;"","Override",IF(ISNUMBER(MATCH($AR21,'Cat Zone by ZIP'!$B$6:$B$856,0)),"ZIP-3","State default")))</f>
        <v/>
      </c>
      <c r="AU21" s="98" t="str">
        <f>IF($A21="","",IFERROR(INDEX('Natural Catastrophe'!$D$6:$D$17,MATCH($AS21,'Natural Catastrophe'!$B$6:$B$17,0)),"?"))</f>
        <v/>
      </c>
      <c r="AV21" s="98" t="str">
        <f>IF($A21="","",IFERROR(INDEX('Natural Catastrophe'!$C$21:$C$26,MATCH($AA21,'Natural Catastrophe'!$B$21:$B$26,0)),"?"))</f>
        <v/>
      </c>
      <c r="AW21" s="97" t="str">
        <f>IF($A21="","",IFERROR(INDEX('Base Rates'!$C$4:$I$4,MATCH(MAX($J21,'Technical Premium'!$C$18),'Base Rates'!$C$3:$I$3,1)),"?"))</f>
        <v/>
      </c>
      <c r="AX21" s="99" t="str">
        <f>IF($A21="","",IFERROR(INDEX('Base Rates'!$C$5:$I$16,MATCH($I21,'Base Rates'!$B$5:$B$16,0),MATCH(MAX($J21,'Technical Premium'!$C$18),'Base Rates'!$C$3:$I$3,1)),"?"))</f>
        <v/>
      </c>
      <c r="AY21" s="100" t="str">
        <f t="shared" si="1"/>
        <v/>
      </c>
      <c r="AZ21" s="97" t="str">
        <f>IF($A21="","",IFERROR(INDEX('Make Factors'!$G$5:$G$69,MATCH($F21,'Make Factors'!$B$5:$B$69,0)),"?"))</f>
        <v/>
      </c>
      <c r="BA21" s="97" t="str">
        <f>IF($A21="","",IFERROR(INDEX('Driver Factors'!$C$6:$C$15,MATCH($R21,'Driver Factors'!$B$6:$B$15,0)),"?"))</f>
        <v/>
      </c>
      <c r="BB21" s="97" t="str">
        <f>IF($A21="","",IFERROR(INDEX('Driver Factors'!$C$19:$C$24,MATCH($S21,'Driver Factors'!$B$19:$B$24,0)),"?"))</f>
        <v/>
      </c>
      <c r="BC21" s="97" t="str">
        <f>IF($A21="","",IFERROR(INDEX('Driver Factors'!$C$28:$C$36,MATCH($T21,'Driver Factors'!$B$28:$B$36,0)),"?"))</f>
        <v/>
      </c>
      <c r="BD21" s="97" t="str">
        <f>IF($A21="","",IFERROR(INDEX('Claims History'!$C$6:$C$15,MATCH($U21,'Claims History'!$B$6:$B$15,0)),"?"))</f>
        <v/>
      </c>
      <c r="BE21" s="97" t="str">
        <f>IF($A21="","",IFERROR(INDEX('Territory Factors'!$E$6:$E$56,MATCH($K21,'Territory Factors'!$B$6:$B$56,0)),"?"))</f>
        <v/>
      </c>
      <c r="BF21" s="97" t="str">
        <f>IF($A21="","",IFERROR(INDEX('City Accident Ratings'!$G$6:$G$54,MATCH($Z21,'City Accident Ratings'!$B$6:$B$54,0)),"?"))</f>
        <v/>
      </c>
      <c r="BG21" s="97" t="str">
        <f>IF($A21="","",IFERROR(INDEX('Usage and Coverage'!$D$6:$D$20,MATCH($N21,'Usage and Coverage'!$C$6:$C$20,0)),"?"))</f>
        <v/>
      </c>
      <c r="BH21" s="97" t="str">
        <f>IF($A21="","",IFERROR(INDEX('Usage and Coverage'!$C$24:$C$30,MATCH($O21,'Usage and Coverage'!$B$24:$B$30,0)),"?"))</f>
        <v/>
      </c>
      <c r="BI21" s="97" t="str">
        <f>IF($A21="","",IFERROR(INDEX('Usage and Coverage'!$C$34:$C$40,MATCH($P21,'Usage and Coverage'!$B$34:$B$40,0)),"?"))</f>
        <v/>
      </c>
      <c r="BJ21" s="97" t="str">
        <f>IF($A21="","",IFERROR(INDEX('Usage and Coverage'!$C$44:$C$49,MATCH($Q21,'Usage and Coverage'!$B$44:$B$49,0)),"?"))</f>
        <v/>
      </c>
      <c r="BK21" s="97" t="str">
        <f>IF($A21="","",IFERROR(INDEX(Deductibles!$C$6:$I$15,MATCH($W21,Deductibles!$B$6:$B$15,0),MATCH(MAX($J21,'Technical Premium'!$C$18),'Base Rates'!$C$3:$I$3,1)),"?"))</f>
        <v/>
      </c>
      <c r="BL21" s="97" t="str">
        <f>IF($A21="","",IFERROR(INDEX('Usage and Coverage'!$C$63:$C$66,MATCH($X21,'Usage and Coverage'!$B$63:$B$66,0)),"?"))</f>
        <v/>
      </c>
      <c r="BM21" s="97" t="str">
        <f>IF($A21="","",IFERROR(INDEX('Usage and Coverage'!$C$70:$C$75,MATCH($V21,'Usage and Coverage'!$B$70:$B$75,0)),"?"))</f>
        <v/>
      </c>
      <c r="BN21" s="97" t="str">
        <f>IF($A21="","",IF($AB21="",1,IFERROR(INDEX(Deductibles!$C$48:$C$51,MATCH($AB21,Deductibles!$B$48:$B$51,0)),"?")))</f>
        <v/>
      </c>
      <c r="BO21" s="97" t="str">
        <f>IF($A21="","",IF($AC21="",1,IFERROR(INDEX(Deductibles!$C$55:$C$57,MATCH($AC21,Deductibles!$B$55:$B$57,0)),"?")))</f>
        <v/>
      </c>
      <c r="BP21" s="97" t="str">
        <f>IF($A21="","",IF($AD21="",1,IFERROR(INDEX(Deductibles!$C$61:$C$63,MATCH($AD21,Deductibles!$B$61:$B$63,0)),"?")))</f>
        <v/>
      </c>
      <c r="BQ21" s="97" t="str">
        <f>IF($A21="","",IF($AE21="",1,IFERROR(INDEX(Deductibles!$C$67:$C$69,MATCH($AE21,Deductibles!$B$67:$B$69,0)),"?")))</f>
        <v/>
      </c>
      <c r="BR21" s="97" t="str">
        <f>IF($A21="","",IF($AF21="",1,IFERROR(INDEX(Deductibles!$C$73:$C$74,MATCH($AF21,Deductibles!$B$73:$B$74,0)),"?")))</f>
        <v/>
      </c>
      <c r="BS21" s="97" t="str">
        <f>IF($A21="","",IF($AG21="",1,IFERROR(INDEX('Sublimits and Parts'!$C$49:$C$52,MATCH($AG21,'Sublimits and Parts'!$B$49:$B$52,0)),"?")))</f>
        <v/>
      </c>
      <c r="BT21" s="97" t="str">
        <f>IF($A21="","",IF($AH21="",1,IFERROR(INDEX('Sublimits and Parts'!$C$56:$C$60,MATCH($AH21,'Sublimits and Parts'!$B$56:$B$60,0)),"?")))</f>
        <v/>
      </c>
      <c r="BU21" s="97" t="str">
        <f>IF($A21="","",IF($AI21="",1,IFERROR(INDEX('Sublimits and Parts'!$C$64:$C$67,MATCH($AI21,'Sublimits and Parts'!$B$64:$B$67,0)),"?")))</f>
        <v/>
      </c>
      <c r="BV21" s="97" t="str">
        <f>IF($A21="","",IF($AJ21="",1,IFERROR(INDEX('Sublimits and Parts'!$C$71:$C$74,MATCH($AJ21,'Sublimits and Parts'!$B$71:$B$74,0)),"?")))</f>
        <v/>
      </c>
      <c r="BW21" s="97" t="str">
        <f>IF($A21="","",IF($AK21="",1,IFERROR(INDEX('Sublimits and Parts'!$C$78:$C$80,MATCH($AK21,'Sublimits and Parts'!$B$78:$B$80,0)),"?")))</f>
        <v/>
      </c>
      <c r="BX21" s="97" t="str">
        <f>IF($A21="","",IF($AL21="",1,IFERROR(INDEX('Sublimits and Parts'!$C$84:$C$87,MATCH($AL21,'Sublimits and Parts'!$B$84:$B$87,0)),"?")))</f>
        <v/>
      </c>
      <c r="BY21" s="97" t="str">
        <f>IF($A21="","",IF($AM21="",1,IFERROR(INDEX('Sublimits and Parts'!$C$91:$C$94,MATCH($AM21,'Sublimits and Parts'!$B$91:$B$94,0)),"?")))</f>
        <v/>
      </c>
      <c r="BZ21" s="97" t="str">
        <f>IF($A21="","",IF($AN21="",1,IFERROR(INDEX('Sublimits and Parts'!$C$98:$C$101,MATCH($AN21,'Sublimits and Parts'!$B$98:$B$101,0)),"?")))</f>
        <v/>
      </c>
      <c r="CA21" s="97" t="str">
        <f>IF($A21="","",IF($AO21="",1,IFERROR(INDEX('Sublimits and Parts'!$C$105:$C$109,MATCH($AO21,'Sublimits and Parts'!$B$105:$B$109,0)),"?")))</f>
        <v/>
      </c>
      <c r="CB21" s="98" t="str">
        <f t="shared" si="2"/>
        <v/>
      </c>
      <c r="CC21" s="98" t="str">
        <f t="shared" si="3"/>
        <v/>
      </c>
      <c r="CD21" s="101" t="str">
        <f>IF($A21="","",IF(OR($CB21="?",$CC21="?"),"?",MIN($CB21*$CC21,'Technical Premium'!$C$17)))</f>
        <v/>
      </c>
      <c r="CE21" s="100" t="str">
        <f t="shared" si="4"/>
        <v/>
      </c>
      <c r="CF21" s="100" t="str">
        <f>IF($A21="","",IFERROR(INDEX('Territory Factors'!$F$6:$F$56,MATCH($K21,'Territory Factors'!$B$6:$B$56,0)),"?"))</f>
        <v/>
      </c>
      <c r="CG21" s="98" t="str">
        <f>IF($A21="","",IFERROR(INDEX('Usage and Coverage'!$C$79:$C$84,MATCH($Y21,'Usage and Coverage'!$B$79:$B$84,0)),"?"))</f>
        <v/>
      </c>
      <c r="CH21" s="100" t="str">
        <f>IFERROR(IF(ISNUMBER($CD21),$CF21*$CG21*MIN($BG21*$BA21*$BC21*$BD21*$BH21*$BF21,'Technical Premium'!$C$17),""),"")</f>
        <v/>
      </c>
      <c r="CI21" s="100" t="str">
        <f t="shared" si="5"/>
        <v/>
      </c>
      <c r="CJ21" s="100" t="str">
        <f>IFERROR($CI21*(1+'Technical Premium'!$C$5)*(1+'Technical Premium'!$C$6),"")</f>
        <v/>
      </c>
      <c r="CK21" s="100" t="str">
        <f>IFERROR($CE21*INDEX('Territory Factors'!$G$6:$G$56,MATCH($K21,'Territory Factors'!$B$6:$B$56,0))*$AU21*$AV21,"")</f>
        <v/>
      </c>
      <c r="CL21" s="100" t="str">
        <f>IFERROR(($CJ21+$CK21)*(1+'Technical Premium'!$C$7),"")</f>
        <v/>
      </c>
      <c r="CM21" s="102" t="str">
        <f>IFERROR($CL21/'Technical Premium'!$C$13,"")</f>
        <v/>
      </c>
      <c r="CN21" s="103" t="str">
        <f t="shared" si="6"/>
        <v/>
      </c>
      <c r="CO21" s="102" t="str">
        <f t="shared" si="7"/>
        <v/>
      </c>
      <c r="CP21" s="103" t="str">
        <f t="shared" si="8"/>
        <v/>
      </c>
      <c r="CQ21" s="104" t="str">
        <f t="shared" si="9"/>
        <v/>
      </c>
      <c r="CR21" s="100" t="str">
        <f>IF(ISNUMBER($CM21),'Technical Premium'!$C$14+IF($J21&gt;=1000000,'Technical Premium'!$C$15,0),"")</f>
        <v/>
      </c>
      <c r="CS21" s="100" t="str">
        <f>IFERROR(($CO21+$CR21)*(INDEX('Territory Factors'!$K$6:$K$56,MATCH($K21,'Territory Factors'!$B$6:$B$56,0))+'Commission Structure'!$C$21),"")</f>
        <v/>
      </c>
      <c r="CT21" s="102" t="str">
        <f t="shared" si="10"/>
        <v/>
      </c>
      <c r="CU21" s="100" t="str">
        <f>IFERROR($CO21*('Commission Structure'!$C$6+'Commission Structure'!$C$7),"")</f>
        <v/>
      </c>
      <c r="CV21" s="100" t="str">
        <f>IFERROR($CO21*'Commission Structure'!$C$5-$CU21,"")</f>
        <v/>
      </c>
      <c r="CW21" s="100" t="str">
        <f>IFERROR($CO21*(1-'Commission Structure'!$C$5),"")</f>
        <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6" t="str">
        <f t="shared" si="11"/>
        <v/>
      </c>
      <c r="CZ21" s="97" t="str">
        <f>IF($CY21="","",IF($CY21&lt;'Technical Premium'!$C$19,"BEYOND AUTHORITY",IF($CY21&gt;0.005,"Above technical",IF($CY21&lt;-0.005,"BELOW technical","At technical"))))</f>
        <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6</v>
      </c>
    </row>
    <row r="6" spans="2:8" x14ac:dyDescent="0.25">
      <c r="B6" s="36" t="s">
        <v>579</v>
      </c>
      <c r="C6" s="58">
        <f>SUM('Portfolio Register'!$J$5:$J$304)</f>
        <v>8140000</v>
      </c>
    </row>
    <row r="7" spans="2:8" x14ac:dyDescent="0.25">
      <c r="B7" s="32" t="s">
        <v>580</v>
      </c>
      <c r="C7" s="76">
        <f>SUM('Portfolio Register'!$CM$5:$CM$304)</f>
        <v>206413.86321032306</v>
      </c>
    </row>
    <row r="8" spans="2:8" x14ac:dyDescent="0.25">
      <c r="B8" s="32" t="s">
        <v>581</v>
      </c>
      <c r="C8" s="76">
        <f>SUM('Portfolio Register'!$CO$5:$CO$304)</f>
        <v>213646.92679144282</v>
      </c>
    </row>
    <row r="9" spans="2:8" x14ac:dyDescent="0.25">
      <c r="B9" s="36" t="s">
        <v>582</v>
      </c>
      <c r="C9" s="58">
        <f>SUM('Portfolio Register'!$CR$5:$CR$304)+SUM('Portfolio Register'!$CS$5:$CS$304)</f>
        <v>10517.43260989488</v>
      </c>
    </row>
    <row r="10" spans="2:8" x14ac:dyDescent="0.25">
      <c r="B10" s="36" t="s">
        <v>583</v>
      </c>
      <c r="C10" s="58">
        <f>SUM('Portfolio Register'!$CT$5:$CT$304)</f>
        <v>224164.35940133772</v>
      </c>
    </row>
    <row r="11" spans="2:8" x14ac:dyDescent="0.25">
      <c r="B11" s="36" t="s">
        <v>584</v>
      </c>
      <c r="C11" s="58">
        <f>SUM('Portfolio Register'!$CU$5:$CU$304)</f>
        <v>37388.212188502497</v>
      </c>
    </row>
    <row r="12" spans="2:8" x14ac:dyDescent="0.25">
      <c r="B12" s="32" t="s">
        <v>585</v>
      </c>
      <c r="C12" s="76">
        <f>SUM('Portfolio Register'!$CV$5:$CV$304)</f>
        <v>21364.692679144289</v>
      </c>
    </row>
    <row r="13" spans="2:8" x14ac:dyDescent="0.25">
      <c r="B13" s="36" t="s">
        <v>346</v>
      </c>
      <c r="C13" s="58">
        <f>SUM('Portfolio Register'!$CW$5:$CW$304)</f>
        <v>154894.02192379604</v>
      </c>
    </row>
    <row r="14" spans="2:8" x14ac:dyDescent="0.25">
      <c r="B14" s="36" t="s">
        <v>586</v>
      </c>
      <c r="C14" s="108">
        <f>IFERROR(SUM('Portfolio Register'!$CM$5:$CM$304)/SUM('Portfolio Register'!$J$5:$J$304)*100,0)</f>
        <v>2.5357968453356641</v>
      </c>
    </row>
    <row r="15" spans="2:8" x14ac:dyDescent="0.25">
      <c r="B15" s="36" t="s">
        <v>587</v>
      </c>
      <c r="C15" s="108">
        <f>IFERROR(SUM('Portfolio Register'!$CO$5:$CO$304)/SUM('Portfolio Register'!$J$5:$J$304)*100,0)</f>
        <v>2.6246551202879953</v>
      </c>
    </row>
    <row r="16" spans="2:8" x14ac:dyDescent="0.25">
      <c r="B16" s="32" t="s">
        <v>588</v>
      </c>
      <c r="C16" s="109">
        <f>IFERROR(SUM('Portfolio Register'!$CO$5:$CO$304)/SUM('Portfolio Register'!$CM$5:$CM$304),0)</f>
        <v>1.0350415590727533</v>
      </c>
    </row>
    <row r="17" spans="2:8" x14ac:dyDescent="0.25">
      <c r="B17" s="36" t="s">
        <v>589</v>
      </c>
      <c r="C17" s="58">
        <f>IFERROR(C8/C5,0)</f>
        <v>35607.821131907134</v>
      </c>
    </row>
    <row r="18" spans="2:8" x14ac:dyDescent="0.25">
      <c r="B18" s="36" t="s">
        <v>590</v>
      </c>
      <c r="C18" s="58">
        <f>IFERROR(MAX('Portfolio Register'!$J$5:$J$304),0)</f>
        <v>3600000</v>
      </c>
    </row>
    <row r="19" spans="2:8" x14ac:dyDescent="0.25">
      <c r="B19" s="36" t="s">
        <v>591</v>
      </c>
      <c r="C19" s="107">
        <f>COUNTIF('Portfolio Register'!$CX$5:$CX$304,"AUTO-BIND")</f>
        <v>3</v>
      </c>
    </row>
    <row r="20" spans="2:8" x14ac:dyDescent="0.25">
      <c r="B20" s="36" t="s">
        <v>592</v>
      </c>
      <c r="C20" s="107">
        <f>COUNTIF('Portfolio Register'!$CX$5:$CX$304,"REFER")</f>
        <v>3</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0</v>
      </c>
      <c r="D26" s="112">
        <f>SUMIFS('Portfolio Register'!$J$5:$J$304,'Portfolio Register'!$I$5:$I$304,$B26)</f>
        <v>0</v>
      </c>
      <c r="E26" s="112">
        <f>SUMIFS('Portfolio Register'!$CM$5:$CM$304,'Portfolio Register'!$I$5:$I$304,$B26)</f>
        <v>0</v>
      </c>
      <c r="F26" s="112">
        <f>SUMIFS('Portfolio Register'!$CO$5:$CO$304,'Portfolio Register'!$I$5:$I$304,$B26)</f>
        <v>0</v>
      </c>
      <c r="G26" s="113" t="str">
        <f t="shared" ref="G26:G37" si="0">IFERROR(E26/D26*100,"")</f>
        <v/>
      </c>
    </row>
    <row r="27" spans="2:8" x14ac:dyDescent="0.25">
      <c r="B27" s="114" t="str">
        <f>'Base Rates'!B6</f>
        <v>02 - Sports / GT</v>
      </c>
      <c r="C27" s="115">
        <f>COUNTIFS('Portfolio Register'!$I$5:$I$304,$B27)</f>
        <v>1</v>
      </c>
      <c r="D27" s="116">
        <f>SUMIFS('Portfolio Register'!$J$5:$J$304,'Portfolio Register'!$I$5:$I$304,$B27)</f>
        <v>185000</v>
      </c>
      <c r="E27" s="116">
        <f>SUMIFS('Portfolio Register'!$CM$5:$CM$304,'Portfolio Register'!$I$5:$I$304,$B27)</f>
        <v>3482.471573774309</v>
      </c>
      <c r="F27" s="116">
        <f>SUMIFS('Portfolio Register'!$CO$5:$CO$304,'Portfolio Register'!$I$5:$I$304,$B27)</f>
        <v>3064.5749849213921</v>
      </c>
      <c r="G27" s="117">
        <f t="shared" si="0"/>
        <v>1.882417066905032</v>
      </c>
    </row>
    <row r="28" spans="2:8" x14ac:dyDescent="0.25">
      <c r="B28" s="27" t="str">
        <f>'Base Rates'!B7</f>
        <v>03 - Supercar</v>
      </c>
      <c r="C28" s="111">
        <f>COUNTIFS('Portfolio Register'!$I$5:$I$304,$B28)</f>
        <v>2</v>
      </c>
      <c r="D28" s="112">
        <f>SUMIFS('Portfolio Register'!$J$5:$J$304,'Portfolio Register'!$I$5:$I$304,$B28)</f>
        <v>705000</v>
      </c>
      <c r="E28" s="112">
        <f>SUMIFS('Portfolio Register'!$CM$5:$CM$304,'Portfolio Register'!$I$5:$I$304,$B28)</f>
        <v>71244.432618247462</v>
      </c>
      <c r="F28" s="112">
        <f>SUMIFS('Portfolio Register'!$CO$5:$CO$304,'Portfolio Register'!$I$5:$I$304,$B28)</f>
        <v>75863.118983112334</v>
      </c>
      <c r="G28" s="113">
        <f t="shared" si="0"/>
        <v>10.105593279184037</v>
      </c>
    </row>
    <row r="29" spans="2:8" x14ac:dyDescent="0.25">
      <c r="B29" s="114" t="str">
        <f>'Base Rates'!B8</f>
        <v>04 - Hypercar</v>
      </c>
      <c r="C29" s="115">
        <f>COUNTIFS('Portfolio Register'!$I$5:$I$304,$B29)</f>
        <v>1</v>
      </c>
      <c r="D29" s="116">
        <f>SUMIFS('Portfolio Register'!$J$5:$J$304,'Portfolio Register'!$I$5:$I$304,$B29)</f>
        <v>3600000</v>
      </c>
      <c r="E29" s="116">
        <f>SUMIFS('Portfolio Register'!$CM$5:$CM$304,'Portfolio Register'!$I$5:$I$304,$B29)</f>
        <v>45279.628095021042</v>
      </c>
      <c r="F29" s="116">
        <f>SUMIFS('Portfolio Register'!$CO$5:$CO$304,'Portfolio Register'!$I$5:$I$304,$B29)</f>
        <v>45279.628095021042</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0</v>
      </c>
      <c r="D31" s="116">
        <f>SUMIFS('Portfolio Register'!$J$5:$J$304,'Portfolio Register'!$I$5:$I$304,$B31)</f>
        <v>0</v>
      </c>
      <c r="E31" s="116">
        <f>SUMIFS('Portfolio Register'!$CM$5:$CM$304,'Portfolio Register'!$I$5:$I$304,$B31)</f>
        <v>0</v>
      </c>
      <c r="F31" s="116">
        <f>SUMIFS('Portfolio Register'!$CO$5:$CO$304,'Portfolio Register'!$I$5:$I$304,$B31)</f>
        <v>0</v>
      </c>
      <c r="G31" s="117" t="str">
        <f t="shared" si="0"/>
        <v/>
      </c>
    </row>
    <row r="32" spans="2:8" x14ac:dyDescent="0.25">
      <c r="B32" s="27" t="str">
        <f>'Base Rates'!B11</f>
        <v>07 - Post-War Classic (1946-1972)</v>
      </c>
      <c r="C32" s="111">
        <f>COUNTIFS('Portfolio Register'!$I$5:$I$304,$B32)</f>
        <v>1</v>
      </c>
      <c r="D32" s="112">
        <f>SUMIFS('Portfolio Register'!$J$5:$J$304,'Portfolio Register'!$I$5:$I$304,$B32)</f>
        <v>1450000</v>
      </c>
      <c r="E32" s="112">
        <f>SUMIFS('Portfolio Register'!$CM$5:$CM$304,'Portfolio Register'!$I$5:$I$304,$B32)</f>
        <v>9908.4057004322822</v>
      </c>
      <c r="F32" s="112">
        <f>SUMIFS('Portfolio Register'!$CO$5:$CO$304,'Portfolio Register'!$I$5:$I$304,$B32)</f>
        <v>9115.7332443976993</v>
      </c>
      <c r="G32" s="113">
        <f t="shared" si="0"/>
        <v>0.68333832416774365</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1</v>
      </c>
      <c r="D36" s="112">
        <f>SUMIFS('Portfolio Register'!$J$5:$J$304,'Portfolio Register'!$I$5:$I$304,$B36)</f>
        <v>2200000</v>
      </c>
      <c r="E36" s="112">
        <f>SUMIFS('Portfolio Register'!$CM$5:$CM$304,'Portfolio Register'!$I$5:$I$304,$B36)</f>
        <v>76498.925222847975</v>
      </c>
      <c r="F36" s="112">
        <f>SUMIFS('Portfolio Register'!$CO$5:$CO$304,'Portfolio Register'!$I$5:$I$304,$B36)</f>
        <v>80323.87148399037</v>
      </c>
      <c r="G36" s="113">
        <f t="shared" si="0"/>
        <v>3.4772238737658165</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2</v>
      </c>
      <c r="D43" s="112">
        <f>SUMIFS('Portfolio Register'!$J$5:$J$304,'Portfolio Register'!$K$5:$K$304,$B43)</f>
        <v>5050000</v>
      </c>
      <c r="E43" s="112">
        <f>SUMIFS('Portfolio Register'!$CO$5:$CO$304,'Portfolio Register'!$K$5:$K$304,$B43)</f>
        <v>54395.361339418741</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1</v>
      </c>
      <c r="D45" s="112">
        <f>SUMIFS('Portfolio Register'!$J$5:$J$304,'Portfolio Register'!$K$5:$K$304,$B45)</f>
        <v>2200000</v>
      </c>
      <c r="E45" s="112">
        <f>SUMIFS('Portfolio Register'!$CO$5:$CO$304,'Portfolio Register'!$K$5:$K$304,$B45)</f>
        <v>80323.87148399037</v>
      </c>
      <c r="F45" s="113">
        <f t="shared" si="1"/>
        <v>3.6510850674541082</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1</v>
      </c>
      <c r="D50" s="116">
        <f>SUMIFS('Portfolio Register'!$J$5:$J$304,'Portfolio Register'!$K$5:$K$304,$B50)</f>
        <v>425000</v>
      </c>
      <c r="E50" s="116">
        <f>SUMIFS('Portfolio Register'!$CO$5:$CO$304,'Portfolio Register'!$K$5:$K$304,$B50)</f>
        <v>25057.568969598808</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0</v>
      </c>
      <c r="D57" s="112">
        <f>SUMIFS('Portfolio Register'!$J$5:$J$304,'Portfolio Register'!$K$5:$K$304,$B57)</f>
        <v>0</v>
      </c>
      <c r="E57" s="112">
        <f>SUMIFS('Portfolio Register'!$CO$5:$CO$304,'Portfolio Register'!$K$5:$K$304,$B57)</f>
        <v>0</v>
      </c>
      <c r="F57" s="113" t="str">
        <f t="shared" si="1"/>
        <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0</v>
      </c>
      <c r="D62" s="116">
        <f>SUMIFS('Portfolio Register'!$J$5:$J$304,'Portfolio Register'!$K$5:$K$304,$B62)</f>
        <v>0</v>
      </c>
      <c r="E62" s="116">
        <f>SUMIFS('Portfolio Register'!$CO$5:$CO$304,'Portfolio Register'!$K$5:$K$304,$B62)</f>
        <v>0</v>
      </c>
      <c r="F62" s="117" t="str">
        <f t="shared" si="1"/>
        <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1</v>
      </c>
      <c r="D69" s="112">
        <f>SUMIFS('Portfolio Register'!$J$5:$J$304,'Portfolio Register'!$K$5:$K$304,$B69)</f>
        <v>280000</v>
      </c>
      <c r="E69" s="112">
        <f>SUMIFS('Portfolio Register'!$CO$5:$CO$304,'Portfolio Register'!$K$5:$K$304,$B69)</f>
        <v>50805.550013513523</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1</v>
      </c>
      <c r="D80" s="116">
        <f>SUMIFS('Portfolio Register'!$J$5:$J$304,'Portfolio Register'!$K$5:$K$304,$B80)</f>
        <v>185000</v>
      </c>
      <c r="E80" s="116">
        <f>SUMIFS('Portfolio Register'!$CO$5:$CO$304,'Portfolio Register'!$K$5:$K$304,$B80)</f>
        <v>3064.5749849213921</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1</v>
      </c>
      <c r="D96" s="112">
        <f>SUMIFS('Portfolio Register'!$J$5:$J$304,'Portfolio Register'!$AS$5:$AS$304,$B96)</f>
        <v>425000</v>
      </c>
      <c r="E96" s="112">
        <f>SUMIFS('Portfolio Register'!$CO$5:$CO$304,'Portfolio Register'!$AS$5:$AS$304,$B96)</f>
        <v>25057.568969598808</v>
      </c>
    </row>
    <row r="97" spans="2:8" x14ac:dyDescent="0.25">
      <c r="B97" s="114" t="str">
        <f>'Natural Catastrophe'!B7</f>
        <v>Tier 2 - Coastal wind (1-25 miles)</v>
      </c>
      <c r="C97" s="115">
        <f>COUNTIFS('Portfolio Register'!$AS$5:$AS$304,$B97)</f>
        <v>1</v>
      </c>
      <c r="D97" s="116">
        <f>SUMIFS('Portfolio Register'!$J$5:$J$304,'Portfolio Register'!$AS$5:$AS$304,$B97)</f>
        <v>185000</v>
      </c>
      <c r="E97" s="116">
        <f>SUMIFS('Portfolio Register'!$CO$5:$CO$304,'Portfolio Register'!$AS$5:$AS$304,$B97)</f>
        <v>3064.5749849213921</v>
      </c>
    </row>
    <row r="98" spans="2:8" x14ac:dyDescent="0.25">
      <c r="B98" s="27" t="str">
        <f>'Natural Catastrophe'!B8</f>
        <v>Tier 3 - Coastal wind (25-100 miles)</v>
      </c>
      <c r="C98" s="111">
        <f>COUNTIFS('Portfolio Register'!$AS$5:$AS$304,$B98)</f>
        <v>0</v>
      </c>
      <c r="D98" s="112">
        <f>SUMIFS('Portfolio Register'!$J$5:$J$304,'Portfolio Register'!$AS$5:$AS$304,$B98)</f>
        <v>0</v>
      </c>
      <c r="E98" s="112">
        <f>SUMIFS('Portfolio Register'!$CO$5:$CO$304,'Portfolio Register'!$AS$5:$AS$304,$B98)</f>
        <v>0</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0</v>
      </c>
      <c r="D100" s="112">
        <f>SUMIFS('Portfolio Register'!$J$5:$J$304,'Portfolio Register'!$AS$5:$AS$304,$B100)</f>
        <v>0</v>
      </c>
      <c r="E100" s="112">
        <f>SUMIFS('Portfolio Register'!$CO$5:$CO$304,'Portfolio Register'!$AS$5:$AS$304,$B100)</f>
        <v>0</v>
      </c>
    </row>
    <row r="101" spans="2:8" x14ac:dyDescent="0.25">
      <c r="B101" s="114" t="str">
        <f>'Natural Catastrophe'!B11</f>
        <v>Severe convective - hail / tornado (moderate)</v>
      </c>
      <c r="C101" s="115">
        <f>COUNTIFS('Portfolio Register'!$AS$5:$AS$304,$B101)</f>
        <v>2</v>
      </c>
      <c r="D101" s="116">
        <f>SUMIFS('Portfolio Register'!$J$5:$J$304,'Portfolio Register'!$AS$5:$AS$304,$B101)</f>
        <v>5050000</v>
      </c>
      <c r="E101" s="116">
        <f>SUMIFS('Portfolio Register'!$CO$5:$CO$304,'Portfolio Register'!$AS$5:$AS$304,$B101)</f>
        <v>54395.361339418741</v>
      </c>
    </row>
    <row r="102" spans="2:8" x14ac:dyDescent="0.25">
      <c r="B102" s="27" t="str">
        <f>'Natural Catastrophe'!B12</f>
        <v>Wildfire - WUI high hazard</v>
      </c>
      <c r="C102" s="111">
        <f>COUNTIFS('Portfolio Register'!$AS$5:$AS$304,$B102)</f>
        <v>1</v>
      </c>
      <c r="D102" s="112">
        <f>SUMIFS('Portfolio Register'!$J$5:$J$304,'Portfolio Register'!$AS$5:$AS$304,$B102)</f>
        <v>2200000</v>
      </c>
      <c r="E102" s="112">
        <f>SUMIFS('Portfolio Register'!$CO$5:$CO$304,'Portfolio Register'!$AS$5:$AS$304,$B102)</f>
        <v>80323.87148399037</v>
      </c>
    </row>
    <row r="103" spans="2:8" x14ac:dyDescent="0.25">
      <c r="B103" s="114" t="str">
        <f>'Natural Catastrophe'!B13</f>
        <v>Wildfire - moderate hazard</v>
      </c>
      <c r="C103" s="115">
        <f>COUNTIFS('Portfolio Register'!$AS$5:$AS$304,$B103)</f>
        <v>0</v>
      </c>
      <c r="D103" s="116">
        <f>SUMIFS('Portfolio Register'!$J$5:$J$304,'Portfolio Register'!$AS$5:$AS$304,$B103)</f>
        <v>0</v>
      </c>
      <c r="E103" s="116">
        <f>SUMIFS('Portfolio Register'!$CO$5:$CO$304,'Portfolio Register'!$AS$5:$AS$304,$B103)</f>
        <v>0</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1</v>
      </c>
      <c r="D107" s="116">
        <f>SUMIFS('Portfolio Register'!$J$5:$J$304,'Portfolio Register'!$AS$5:$AS$304,$B107)</f>
        <v>280000</v>
      </c>
      <c r="E107" s="116">
        <f>SUMIFS('Portfolio Register'!$CO$5:$CO$304,'Portfolio Register'!$AS$5:$AS$304,$B107)</f>
        <v>50805.550013513523</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2</v>
      </c>
      <c r="D114" s="118">
        <f>IFERROR(C114/$C$5,0)</f>
        <v>0.33333333333333331</v>
      </c>
      <c r="E114" s="112">
        <f>SUMIFS('Portfolio Register'!$CO$5:$CO$304,'Portfolio Register'!$CZ$5:$CZ$304,$B114)</f>
        <v>131129.42149750388</v>
      </c>
      <c r="F114" s="118">
        <f>IFERROR(E114/$C$8,0)</f>
        <v>0.61376694468209869</v>
      </c>
      <c r="G114" s="112">
        <f>SUMIFS('Portfolio Register'!$CM$5:$CM$304,'Portfolio Register'!$CZ$5:$CZ$304,$B114)</f>
        <v>122685.78887149662</v>
      </c>
      <c r="H114" s="112">
        <f>E114-G114</f>
        <v>8443.6326260072528</v>
      </c>
    </row>
    <row r="115" spans="2:8" x14ac:dyDescent="0.25">
      <c r="B115" s="119" t="s">
        <v>616</v>
      </c>
      <c r="C115" s="115">
        <f>COUNTIFS('Portfolio Register'!$CZ$5:$CZ$304,$B115)</f>
        <v>2</v>
      </c>
      <c r="D115" s="120">
        <f>IFERROR(C115/$C$5,0)</f>
        <v>0.33333333333333331</v>
      </c>
      <c r="E115" s="116">
        <f>SUMIFS('Portfolio Register'!$CO$5:$CO$304,'Portfolio Register'!$CZ$5:$CZ$304,$B115)</f>
        <v>70337.197064619846</v>
      </c>
      <c r="F115" s="120">
        <f>IFERROR(E115/$C$8,0)</f>
        <v>0.32922166548775772</v>
      </c>
      <c r="G115" s="116">
        <f>SUMIFS('Portfolio Register'!$CM$5:$CM$304,'Portfolio Register'!$CZ$5:$CZ$304,$B115)</f>
        <v>70337.197064619846</v>
      </c>
      <c r="H115" s="116">
        <f>E115-G115</f>
        <v>0</v>
      </c>
    </row>
    <row r="116" spans="2:8" x14ac:dyDescent="0.25">
      <c r="B116" s="121" t="s">
        <v>617</v>
      </c>
      <c r="C116" s="111">
        <f>COUNTIFS('Portfolio Register'!$CZ$5:$CZ$304,$B116)</f>
        <v>2</v>
      </c>
      <c r="D116" s="118">
        <f>IFERROR(C116/$C$5,0)</f>
        <v>0.33333333333333331</v>
      </c>
      <c r="E116" s="112">
        <f>SUMIFS('Portfolio Register'!$CO$5:$CO$304,'Portfolio Register'!$CZ$5:$CZ$304,$B116)</f>
        <v>12180.308229319091</v>
      </c>
      <c r="F116" s="118">
        <f>IFERROR(E116/$C$8,0)</f>
        <v>5.7011389830143568E-2</v>
      </c>
      <c r="G116" s="112">
        <f>SUMIFS('Portfolio Register'!$CM$5:$CM$304,'Portfolio Register'!$CZ$5:$CZ$304,$B116)</f>
        <v>13390.877274206592</v>
      </c>
      <c r="H116" s="112">
        <f>E116-G116</f>
        <v>-1210.5690448875011</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3.5041559072753303E-2</v>
      </c>
    </row>
    <row r="120" spans="2:8" x14ac:dyDescent="0.25">
      <c r="B120" s="36" t="s">
        <v>620</v>
      </c>
      <c r="C120" s="58">
        <f>SUMIF('Portfolio Register'!$CZ$5:$CZ$304,"Above technical",'Portfolio Register'!$CO$5:$CO$304)-SUMIF('Portfolio Register'!$CZ$5:$CZ$304,"Above technical",'Portfolio Register'!$CM$5:$CM$304)</f>
        <v>8443.6326260072528</v>
      </c>
    </row>
    <row r="121" spans="2:8" x14ac:dyDescent="0.25">
      <c r="B121" s="36" t="s">
        <v>621</v>
      </c>
      <c r="C121" s="58">
        <f>SUMIF('Portfolio Register'!$CZ$5:$CZ$304,"BELOW technical",'Portfolio Register'!$CO$5:$CO$304)-SUMIF('Portfolio Register'!$CZ$5:$CZ$304,"BELOW technical",'Portfolio Register'!$CM$5:$CM$304)</f>
        <v>-1210.5690448875011</v>
      </c>
    </row>
    <row r="122" spans="2:8" x14ac:dyDescent="0.25">
      <c r="B122" s="32" t="s">
        <v>622</v>
      </c>
      <c r="C122" s="76">
        <f>$C$8-$C$7</f>
        <v>7233.0635811197571</v>
      </c>
    </row>
    <row r="123" spans="2:8" x14ac:dyDescent="0.25">
      <c r="B123" s="36" t="s">
        <v>623</v>
      </c>
      <c r="C123" s="123">
        <f>IFERROR(MIN('Portfolio Register'!$CY$5:$CY$304),0)</f>
        <v>-0.12</v>
      </c>
    </row>
    <row r="124" spans="2:8" x14ac:dyDescent="0.25">
      <c r="B124" s="36" t="s">
        <v>624</v>
      </c>
      <c r="C124" s="123">
        <f>IFERROR(MAX('Portfolio Register'!$CY$5:$CY$304),0)</f>
        <v>0.10000000000000009</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1</v>
      </c>
      <c r="D136" s="112">
        <f>SUMIFS('Portfolio Register'!$J$5:$J$304,'Portfolio Register'!$C$5:$C$304,"&gt;="&amp;$B136,'Portfolio Register'!$C$5:$C$304,"&lt;"&amp;EDATE($B136,1))</f>
        <v>425000</v>
      </c>
      <c r="E136" s="112">
        <f>SUMIFS('Portfolio Register'!$CM$5:$CM$304,'Portfolio Register'!$C$5:$C$304,"&gt;="&amp;$B136,'Portfolio Register'!$C$5:$C$304,"&lt;"&amp;EDATE($B136,1))</f>
        <v>25057.568969598808</v>
      </c>
      <c r="F136" s="112">
        <f>SUMIFS('Portfolio Register'!$CO$5:$CO$304,'Portfolio Register'!$C$5:$C$304,"&gt;="&amp;$B136,'Portfolio Register'!$C$5:$C$304,"&lt;"&amp;EDATE($B136,1))</f>
        <v>25057.568969598808</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1</v>
      </c>
      <c r="D137" s="116">
        <f>SUMIFS('Portfolio Register'!$J$5:$J$304,'Portfolio Register'!$C$5:$C$304,"&gt;="&amp;$B137,'Portfolio Register'!$C$5:$C$304,"&lt;"&amp;EDATE($B137,1))</f>
        <v>3600000</v>
      </c>
      <c r="E137" s="116">
        <f>SUMIFS('Portfolio Register'!$CM$5:$CM$304,'Portfolio Register'!$C$5:$C$304,"&gt;="&amp;$B137,'Portfolio Register'!$C$5:$C$304,"&lt;"&amp;EDATE($B137,1))</f>
        <v>45279.628095021042</v>
      </c>
      <c r="F137" s="116">
        <f>SUMIFS('Portfolio Register'!$CO$5:$CO$304,'Portfolio Register'!$C$5:$C$304,"&gt;="&amp;$B137,'Portfolio Register'!$C$5:$C$304,"&lt;"&amp;EDATE($B137,1))</f>
        <v>45279.628095021042</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1</v>
      </c>
      <c r="D138" s="112">
        <f>SUMIFS('Portfolio Register'!$J$5:$J$304,'Portfolio Register'!$C$5:$C$304,"&gt;="&amp;$B138,'Portfolio Register'!$C$5:$C$304,"&lt;"&amp;EDATE($B138,1))</f>
        <v>1450000</v>
      </c>
      <c r="E138" s="112">
        <f>SUMIFS('Portfolio Register'!$CM$5:$CM$304,'Portfolio Register'!$C$5:$C$304,"&gt;="&amp;$B138,'Portfolio Register'!$C$5:$C$304,"&lt;"&amp;EDATE($B138,1))</f>
        <v>9908.4057004322822</v>
      </c>
      <c r="F138" s="112">
        <f>SUMIFS('Portfolio Register'!$CO$5:$CO$304,'Portfolio Register'!$C$5:$C$304,"&gt;="&amp;$B138,'Portfolio Register'!$C$5:$C$304,"&lt;"&amp;EDATE($B138,1))</f>
        <v>9115.7332443976993</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1</v>
      </c>
      <c r="D139" s="116">
        <f>SUMIFS('Portfolio Register'!$J$5:$J$304,'Portfolio Register'!$C$5:$C$304,"&gt;="&amp;$B139,'Portfolio Register'!$C$5:$C$304,"&lt;"&amp;EDATE($B139,1))</f>
        <v>280000</v>
      </c>
      <c r="E139" s="116">
        <f>SUMIFS('Portfolio Register'!$CM$5:$CM$304,'Portfolio Register'!$C$5:$C$304,"&gt;="&amp;$B139,'Portfolio Register'!$C$5:$C$304,"&lt;"&amp;EDATE($B139,1))</f>
        <v>46186.86364864865</v>
      </c>
      <c r="F139" s="116">
        <f>SUMIFS('Portfolio Register'!$CO$5:$CO$304,'Portfolio Register'!$C$5:$C$304,"&gt;="&amp;$B139,'Portfolio Register'!$C$5:$C$304,"&lt;"&amp;EDATE($B139,1))</f>
        <v>50805.550013513523</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1</v>
      </c>
      <c r="D140" s="112">
        <f>SUMIFS('Portfolio Register'!$J$5:$J$304,'Portfolio Register'!$C$5:$C$304,"&gt;="&amp;$B140,'Portfolio Register'!$C$5:$C$304,"&lt;"&amp;EDATE($B140,1))</f>
        <v>185000</v>
      </c>
      <c r="E140" s="112">
        <f>SUMIFS('Portfolio Register'!$CM$5:$CM$304,'Portfolio Register'!$C$5:$C$304,"&gt;="&amp;$B140,'Portfolio Register'!$C$5:$C$304,"&lt;"&amp;EDATE($B140,1))</f>
        <v>3482.471573774309</v>
      </c>
      <c r="F140" s="112">
        <f>SUMIFS('Portfolio Register'!$CO$5:$CO$304,'Portfolio Register'!$C$5:$C$304,"&gt;="&amp;$B140,'Portfolio Register'!$C$5:$C$304,"&lt;"&amp;EDATE($B140,1))</f>
        <v>3064.5749849213921</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1</v>
      </c>
      <c r="D141" s="116">
        <f>SUMIFS('Portfolio Register'!$J$5:$J$304,'Portfolio Register'!$C$5:$C$304,"&gt;="&amp;$B141,'Portfolio Register'!$C$5:$C$304,"&lt;"&amp;EDATE($B141,1))</f>
        <v>2200000</v>
      </c>
      <c r="E141" s="116">
        <f>SUMIFS('Portfolio Register'!$CM$5:$CM$304,'Portfolio Register'!$C$5:$C$304,"&gt;="&amp;$B141,'Portfolio Register'!$C$5:$C$304,"&lt;"&amp;EDATE($B141,1))</f>
        <v>76498.925222847975</v>
      </c>
      <c r="F141" s="116">
        <f>SUMIFS('Portfolio Register'!$CO$5:$CO$304,'Portfolio Register'!$C$5:$C$304,"&gt;="&amp;$B141,'Portfolio Register'!$C$5:$C$304,"&lt;"&amp;EDATE($B141,1))</f>
        <v>80323.87148399037</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