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<sst xmlns="http://schemas.openxmlformats.org/spreadsheetml/2006/main" count="621" uniqueCount="445">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</sst>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Bordereaux'!$D$5:$D$653,"Bound*",'UW Bordereaux'!$AD$5:$AD$653))*$D24</f>
      </c>
      <c r="F24" s="15">
        <f>(SUMIF('UW Bordereaux'!$D$5:$D$653,"Bound*",'UW Bordereaux'!$AB$5:$AB$653))*$D24</f>
      </c>
      <c r="G24" s="15">
        <f>(SUMIF('UW Bordereaux'!$D$5:$D$653,"Bound*",'UW Bordereaux'!$AQ$5:$AQ$653))*$D24</f>
      </c>
    </row>
    <row r="25" spans="2:7" ht="15" customHeight="1" x14ac:dyDescent="0.25">
      <c r="B25" s="16" t="s">
        <v>77</v>
      </c>
      <c r="C25" s="17" t="s">
        <v>78</v>
      </c>
      <c r="D25" s="18">
        <v>0.1</v>
      </c>
      <c r="E25" s="19">
        <f>(SUMIF('UW Bordereaux'!$D$5:$D$653,"Bound*",'UW Bordereaux'!$AD$5:$AD$653))*$D25</f>
      </c>
      <c r="F25" s="19">
        <f>(SUMIF('UW Bordereaux'!$D$5:$D$653,"Bound*",'UW Bordereaux'!$AB$5:$AB$653))*$D25</f>
      </c>
      <c r="G25" s="19">
        <f>(SUMIF('UW Bordereaux'!$D$5:$D$653,"Bound*",'UW Bordereaux'!$AQ$5:$AQ$653))*$D25</f>
      </c>
    </row>
    <row r="26" spans="2:7" ht="15" customHeight="1" x14ac:dyDescent="0.25">
      <c r="B26" s="13" t="s">
        <v>79</v>
      </c>
      <c r="C26" s="14" t="s">
        <v>80</v>
      </c>
      <c r="D26" s="6">
        <v>0.1</v>
      </c>
      <c r="E26" s="15">
        <f>(SUMIF('UW Bordereaux'!$D$5:$D$653,"Bound*",'UW Bordereaux'!$AD$5:$AD$653))*$D26</f>
      </c>
      <c r="F26" s="15">
        <f>(SUMIF('UW Bordereaux'!$D$5:$D$653,"Bound*",'UW Bordereaux'!$AB$5:$AB$653))*$D26</f>
      </c>
      <c r="G26" s="15">
        <f>(SUMIF('UW Bordereaux'!$D$5:$D$653,"Bound*",'UW Bordereaux'!$AQ$5:$AQ$653))*$D26</f>
      </c>
    </row>
    <row r="27" spans="2:7" ht="15" customHeight="1" x14ac:dyDescent="0.25">
      <c r="B27" s="16" t="s">
        <v>81</v>
      </c>
      <c r="C27" s="17" t="s">
        <v>82</v>
      </c>
      <c r="D27" s="18">
        <v>0.1</v>
      </c>
      <c r="E27" s="19">
        <f>(SUMIF('UW Bordereaux'!$D$5:$D$653,"Bound*",'UW Bordereaux'!$AD$5:$AD$653))*$D27</f>
      </c>
      <c r="F27" s="19">
        <f>(SUMIF('UW Bordereaux'!$D$5:$D$653,"Bound*",'UW Bordereaux'!$AB$5:$AB$653))*$D27</f>
      </c>
      <c r="G27" s="19">
        <f>(SUMIF('UW Bordereaux'!$D$5:$D$653,"Bound*",'UW Bordereaux'!$AQ$5:$AQ$653))*$D27</f>
      </c>
    </row>
    <row r="28" spans="2:7" ht="15" customHeight="1" x14ac:dyDescent="0.25">
      <c r="B28" s="13" t="s">
        <v>83</v>
      </c>
      <c r="C28" s="14" t="s">
        <v>84</v>
      </c>
      <c r="D28" s="6">
        <v>0.1</v>
      </c>
      <c r="E28" s="15">
        <f>(SUMIF('UW Bordereaux'!$D$5:$D$653,"Bound*",'UW Bordereaux'!$AD$5:$AD$653))*$D28</f>
      </c>
      <c r="F28" s="15">
        <f>(SUMIF('UW Bordereaux'!$D$5:$D$653,"Bound*",'UW Bordereaux'!$AB$5:$AB$653))*$D28</f>
      </c>
      <c r="G28" s="15">
        <f>(SUMIF('UW Bordereaux'!$D$5:$D$653,"Bound*",'UW Bordereaux'!$AQ$5:$AQ$653))*$D28</f>
      </c>
    </row>
    <row r="29" spans="2:7" ht="15" customHeight="1" x14ac:dyDescent="0.25">
      <c r="B29" s="16" t="s">
        <v>85</v>
      </c>
      <c r="C29" s="17" t="s">
        <v>86</v>
      </c>
      <c r="D29" s="18">
        <v>0.1</v>
      </c>
      <c r="E29" s="19">
        <f>(SUMIF('UW Bordereaux'!$D$5:$D$653,"Bound*",'UW Bordereaux'!$AD$5:$AD$653))*$D29</f>
      </c>
      <c r="F29" s="19">
        <f>(SUMIF('UW Bordereaux'!$D$5:$D$653,"Bound*",'UW Bordereaux'!$AB$5:$AB$653))*$D29</f>
      </c>
      <c r="G29" s="19">
        <f>(SUMIF('UW Bordereaux'!$D$5:$D$653,"Bound*",'UW Bordereaux'!$AQ$5:$AQ$653))*$D29</f>
      </c>
    </row>
    <row r="30" spans="2:7" ht="15" customHeight="1" x14ac:dyDescent="0.25">
      <c r="B30" s="13" t="s">
        <v>87</v>
      </c>
      <c r="C30" s="14" t="s">
        <v>88</v>
      </c>
      <c r="D30" s="6">
        <v>0.1</v>
      </c>
      <c r="E30" s="15">
        <f>(SUMIF('UW Bordereaux'!$D$5:$D$653,"Bound*",'UW Bordereaux'!$AD$5:$AD$653))*$D30</f>
      </c>
      <c r="F30" s="15">
        <f>(SUMIF('UW Bordereaux'!$D$5:$D$653,"Bound*",'UW Bordereaux'!$AB$5:$AB$653))*$D30</f>
      </c>
      <c r="G30" s="15">
        <f>(SUMIF('UW Bordereaux'!$D$5:$D$653,"Bound*",'UW Bordereaux'!$AQ$5:$AQ$653))*$D30</f>
      </c>
    </row>
    <row r="31" spans="2:7" ht="15" customHeight="1" x14ac:dyDescent="0.25">
      <c r="B31" s="16" t="s">
        <v>89</v>
      </c>
      <c r="C31" s="17" t="s">
        <v>90</v>
      </c>
      <c r="D31" s="18">
        <v>0.1</v>
      </c>
      <c r="E31" s="19">
        <f>(SUMIF('UW Bordereaux'!$D$5:$D$653,"Bound*",'UW Bordereaux'!$AD$5:$AD$653))*$D31</f>
      </c>
      <c r="F31" s="19">
        <f>(SUMIF('UW Bordereaux'!$D$5:$D$653,"Bound*",'UW Bordereaux'!$AB$5:$AB$653))*$D31</f>
      </c>
      <c r="G31" s="19">
        <f>(SUMIF('UW Bordereaux'!$D$5:$D$653,"Bound*",'UW Bordereaux'!$AQ$5:$AQ$653))*$D31</f>
      </c>
    </row>
    <row r="32" spans="2:7" ht="15" customHeight="1" x14ac:dyDescent="0.25">
      <c r="B32" s="13" t="s">
        <v>91</v>
      </c>
      <c r="C32" s="14" t="s">
        <v>92</v>
      </c>
      <c r="D32" s="6">
        <v>0.1</v>
      </c>
      <c r="E32" s="15">
        <f>(SUMIF('UW Bordereaux'!$D$5:$D$653,"Bound*",'UW Bordereaux'!$AD$5:$AD$653))*$D32</f>
      </c>
      <c r="F32" s="15">
        <f>(SUMIF('UW Bordereaux'!$D$5:$D$653,"Bound*",'UW Bordereaux'!$AB$5:$AB$653))*$D32</f>
      </c>
      <c r="G32" s="15">
        <f>(SUMIF('UW Bordereaux'!$D$5:$D$653,"Bound*",'UW Bordereaux'!$AQ$5:$AQ$653))*$D32</f>
      </c>
    </row>
    <row r="33" spans="2:7" ht="15" customHeight="1" x14ac:dyDescent="0.25">
      <c r="B33" s="16" t="s">
        <v>93</v>
      </c>
      <c r="C33" s="17" t="s">
        <v>94</v>
      </c>
      <c r="D33" s="18">
        <v>0.1</v>
      </c>
      <c r="E33" s="19">
        <f>(SUMIF('UW Bordereaux'!$D$5:$D$653,"Bound*",'UW Bordereaux'!$AD$5:$AD$653))*$D33</f>
      </c>
      <c r="F33" s="19">
        <f>(SUMIF('UW Bordereaux'!$D$5:$D$653,"Bound*",'UW Bordereaux'!$AB$5:$AB$653))*$D33</f>
      </c>
      <c r="G33" s="19">
        <f>(SUMIF('UW Bordereaux'!$D$5:$D$653,"Bound*",'UW Bordereaux'!$AQ$5:$AQ$653))*$D33</f>
      </c>
    </row>
    <row r="34" spans="2:7" ht="15" customHeight="1" x14ac:dyDescent="0.25">
      <c r="C34" s="20" t="s">
        <v>95</v>
      </c>
      <c r="D34" s="21">
        <f>SUM(D24:D33)</f>
      </c>
      <c r="E34" s="22">
        <f>SUMIF('UW Bordereaux'!$D$5:$D$653,"Bound*",'UW Bordereaux'!$AD$5:$AD$653)</f>
      </c>
      <c r="F34" s="22">
        <f>SUMIF('UW Bordereaux'!$D$5:$D$653,"Bound*",'UW Bordereaux'!$AB$5:$AB$653)</f>
      </c>
      <c r="G34" s="22">
        <f>SUMIF('UW Bordereaux'!$D$5:$D$653,"Bound*",'UW Bordereaux'!$AQ$5:$AQ$653)</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Bordereaux'!$A$5:$A$653)</f>
      </c>
    </row>
    <row r="39" spans="2:7" ht="15" customHeight="1" x14ac:dyDescent="0.25">
      <c r="B39" s="23" t="s">
        <v>98</v>
      </c>
      <c r="C39" s="24">
        <f>COUNTIF('UW Bordereaux'!$D$5:$D$653,"Bound*")</f>
      </c>
    </row>
    <row r="40" spans="2:7" ht="15" customHeight="1" x14ac:dyDescent="0.25">
      <c r="B40" s="23" t="s">
        <v>99</v>
      </c>
      <c r="C40" s="24">
        <f>COUNTIF('UW Bordereaux'!$D$5:$D$653,"Declined")+COUNTIF('UW Bordereaux'!$D$5:$D$653,"Cancelled")+COUNTIF('UW Bordereaux'!$D$5:$D$653,"Lapsed")</f>
      </c>
    </row>
    <row r="41" spans="2:7" ht="15" customHeight="1" x14ac:dyDescent="0.25">
      <c r="B41" s="25" t="s">
        <v>100</v>
      </c>
      <c r="C41" s="26">
        <f>SUMIF('UW Bordereaux'!$D$5:$D$653,"Bound*",'UW Bordereaux'!$AD$5:$AD$653)</f>
      </c>
    </row>
    <row r="42" spans="2:7" ht="15" customHeight="1" x14ac:dyDescent="0.25">
      <c r="B42" s="25" t="s">
        <v>101</v>
      </c>
      <c r="C42" s="26">
        <f>SUMIF('UW Bordereaux'!$D$5:$D$653,"Bound*",'UW Bordereaux'!$AB$5:$AB$653)</f>
      </c>
    </row>
    <row r="43" spans="2:7" ht="15" customHeight="1" x14ac:dyDescent="0.25">
      <c r="B43" s="25" t="s">
        <v>102</v>
      </c>
      <c r="C43" s="27">
        <f>IFERROR((SUMIF('UW Bordereaux'!$D$5:$D$653,"Bound*",'UW Bordereaux'!$AD$5:$AD$653))/(SUMIF('UW Bordereaux'!$D$5:$D$653,"Bound*",'UW Bordereaux'!$AB$5:$AB$653)),0)</f>
      </c>
    </row>
    <row r="44" spans="2:7" ht="15" customHeight="1" x14ac:dyDescent="0.25">
      <c r="B44" s="23" t="s">
        <v>103</v>
      </c>
      <c r="C44" s="28">
        <f>SUMIF('UW Bordereaux'!$D$5:$D$653,"Bound*",'UW Bordereaux'!$AQ$5:$AQ$653)</f>
      </c>
    </row>
    <row r="45" spans="2:7" ht="15" customHeight="1" x14ac:dyDescent="0.25">
      <c r="B45" s="23" t="s">
        <v>104</v>
      </c>
      <c r="C45" s="28">
        <f>SUMIF('UW Bordereaux'!$D$5:$D$653,"Bound*",'UW Bordereaux'!$AE$5:$AE$653)</f>
      </c>
    </row>
    <row r="46" spans="2:7" ht="15" customHeight="1" x14ac:dyDescent="0.25">
      <c r="B46" s="23" t="s">
        <v>105</v>
      </c>
      <c r="C46" s="28">
        <f>SUMIF('UW Bordereaux'!$D$5:$D$653,"Bound*",'UW Bordereaux'!$AH$5:$AH$653)</f>
      </c>
    </row>
    <row r="47" spans="2:7" ht="15" customHeight="1" x14ac:dyDescent="0.25">
      <c r="B47" s="23" t="s">
        <v>106</v>
      </c>
      <c r="C47" s="24">
        <f>COUNTIFS('UW Bordereaux'!$AD$5:$AD$653,"&gt;="&amp;Header!$C$18,'UW Bordereaux'!$D$5:$D$653,"Bound*")</f>
      </c>
    </row>
    <row r="48" spans="2:7" ht="15" customHeight="1" x14ac:dyDescent="0.25">
      <c r="B48" s="23" t="s">
        <v>107</v>
      </c>
      <c r="C48" s="24">
        <f>COUNTIF('UW Bordereaux'!$AL$5:$AL$653,"BEYOND AUTHORITY")</f>
      </c>
    </row>
    <row r="49" spans="2:3" ht="15" customHeight="1" x14ac:dyDescent="0.25">
      <c r="B49" s="23" t="s">
        <v>108</v>
      </c>
      <c r="C49" s="24">
        <f>COUNTA('UW Bordereaux'!$A$5:$A$653)-COUNTIF('UW Bordereaux'!$D$5:$D$653,"Bound*")-COUNTIF('UW Bordereaux'!$D$5:$D$653,"Declined")-COUNTIF('UW Bordereaux'!$D$5:$D$653,"Cancelled")-COUNTIF('UW Bordereaux'!$D$5:$D$653,"Lapsed")-COUNTIF('UW Bordereaux'!$D$5:$D$653,"Quoted*")-COUNTIF('UW Bordereaux'!$D$5:$D$653,"Void")-COUNTIF('UW Bordereaux'!$D$5:$D$653,"Reinstatement")</f>
      </c>
    </row>
    <row r="50" spans="2:3" ht="15" customHeight="1" x14ac:dyDescent="0.25">
      <c r="B50" s="23" t="s">
        <v>109</v>
      </c>
      <c r="C50" s="24">
        <f>COUNTIF('UW Bordereaux'!$AX$5:$AX$653,"FAIL*")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653"/>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CANON-202604-006560</t>
        </is>
      </c>
      <c r="B5" s="30" t="inlineStr">
        <is>
          <t xml:space="preserve">Priya Rourke</t>
        </is>
      </c>
      <c r="C5" s="31">
        <v>46122</v>
      </c>
      <c r="D5" s="32" t="inlineStr">
        <is>
          <t xml:space="preserve">Bound - within authority</t>
        </is>
      </c>
      <c r="E5" s="32" t="inlineStr">
        <is>
          <t xml:space="preserve">New business</t>
        </is>
      </c>
      <c r="F5" s="30" t="inlineStr">
        <is>
          <t xml:space="preserve">B1234EXOTIC26</t>
        </is>
      </c>
      <c r="G5" s="33">
        <f>IF($A5="","",IF($C5="","",YEAR($C5)))</f>
      </c>
      <c r="H5" s="34">
        <v>1971</v>
      </c>
      <c r="I5" s="30" t="inlineStr">
        <is>
          <t xml:space="preserve">Aston Martin</t>
        </is>
      </c>
      <c r="J5" s="30" t="inlineStr">
        <is>
          <t xml:space="preserve">DB12</t>
        </is>
      </c>
      <c r="K5" s="30" t="inlineStr">
        <is>
          <t xml:space="preserve">KZEMX7XCM1TWKUXW6</t>
        </is>
      </c>
      <c r="L5" s="32" t="inlineStr">
        <is>
          <t xml:space="preserve">02 - Sports / GT</t>
        </is>
      </c>
      <c r="M5" s="35">
        <v>1070000</v>
      </c>
      <c r="N5" s="32" t="inlineStr">
        <is>
          <t xml:space="preserve">Personal</t>
        </is>
      </c>
      <c r="O5" s="30" t="inlineStr">
        <is>
          <t xml:space="preserve">Personal - regular use</t>
        </is>
      </c>
      <c r="P5" s="30" t="inlineStr">
        <is>
          <t xml:space="preserve">Under 1,000</t>
        </is>
      </c>
      <c r="Q5" s="30" t="inlineStr">
        <is>
          <t xml:space="preserve">New Jersey</t>
        </is>
      </c>
      <c r="R5" s="30" t="inlineStr">
        <is>
          <t xml:space="preserve">07102</t>
        </is>
      </c>
      <c r="S5" s="32" t="inlineStr">
        <is>
          <t xml:space="preserve">Tier 3 - Coastal wind (25-100 miles)</t>
        </is>
      </c>
      <c r="T5" s="36">
        <f>IF($A5="","",IF($S5="","",IFERROR(INDEX('[1]natural catastrophe'!$D$6:$D$17,MATCH($S5,'[1]natural catastrophe'!$B$6:$B$17,0)),"?")))</f>
      </c>
      <c r="U5" s="30" t="inlineStr">
        <is>
          <t xml:space="preserve">2% of agreed value, minimum $10,000</t>
        </is>
      </c>
      <c r="V5" s="32" t="inlineStr">
        <is>
          <t xml:space="preserve">Agreed Value</t>
        </is>
      </c>
      <c r="W5" s="30" t="inlineStr">
        <is>
          <t xml:space="preserve">$1,000</t>
        </is>
      </c>
      <c r="X5" s="32" t="inlineStr">
        <is>
          <t xml:space="preserve">$1,000,000 CSL</t>
        </is>
      </c>
      <c r="Y5" s="30"/>
      <c r="Z5" s="30"/>
      <c r="AA5" s="32" t="inlineStr">
        <is>
          <t xml:space="preserve">Surplus Lines</t>
        </is>
      </c>
      <c r="AB5" s="35">
        <v>8391.73</v>
      </c>
      <c r="AC5" s="37">
        <v>0</v>
      </c>
      <c r="AD5" s="38">
        <f>IF(ISNUMBER($AB5),$AB5*(1+N($AC5)),"")</f>
      </c>
      <c r="AE5" s="35">
        <v>350</v>
      </c>
      <c r="AF5" s="35">
        <v>250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CANON-202604-006562</t>
        </is>
      </c>
      <c r="B6" s="46" t="inlineStr">
        <is>
          <t xml:space="preserve">Desmond Montoya</t>
        </is>
      </c>
      <c r="C6" s="47">
        <v>46117</v>
      </c>
      <c r="D6" s="48" t="inlineStr">
        <is>
          <t xml:space="preserve">Bound - within authority</t>
        </is>
      </c>
      <c r="E6" s="48" t="inlineStr">
        <is>
          <t xml:space="preserve">New business</t>
        </is>
      </c>
      <c r="F6" s="46" t="inlineStr">
        <is>
          <t xml:space="preserve">B1234EXOTIC26</t>
        </is>
      </c>
      <c r="G6" s="33">
        <f>IF($A6="","",IF($C6="","",YEAR($C6)))</f>
      </c>
      <c r="H6" s="49">
        <v>1961</v>
      </c>
      <c r="I6" s="46" t="inlineStr">
        <is>
          <t xml:space="preserve">Mercedes-Benz</t>
        </is>
      </c>
      <c r="J6" s="46" t="inlineStr">
        <is>
          <t xml:space="preserve">AMG GT</t>
        </is>
      </c>
      <c r="K6" s="46" t="inlineStr">
        <is>
          <t xml:space="preserve">MV7DNSS4VDBXN345M</t>
        </is>
      </c>
      <c r="L6" s="48" t="inlineStr">
        <is>
          <t xml:space="preserve">02 - Sports / GT</t>
        </is>
      </c>
      <c r="M6" s="50">
        <v>1190000</v>
      </c>
      <c r="N6" s="48" t="inlineStr">
        <is>
          <t xml:space="preserve">Personal</t>
        </is>
      </c>
      <c r="O6" s="46" t="inlineStr">
        <is>
          <t xml:space="preserve">Personal - regular use</t>
        </is>
      </c>
      <c r="P6" s="46" t="inlineStr">
        <is>
          <t xml:space="preserve">1,000 - 2,500</t>
        </is>
      </c>
      <c r="Q6" s="46" t="inlineStr">
        <is>
          <t xml:space="preserve">Florida</t>
        </is>
      </c>
      <c r="R6" s="46" t="inlineStr">
        <is>
          <t xml:space="preserve">33139</t>
        </is>
      </c>
      <c r="S6" s="48" t="inlineStr">
        <is>
          <t xml:space="preserve">Tier 2 - Coastal wind (1-25 miles)</t>
        </is>
      </c>
      <c r="T6" s="36">
        <f>IF($A6="","",IF($S6="","",IFERROR(INDEX('[1]natural catastrophe'!$D$6:$D$17,MATCH($S6,'[1]natural catastrophe'!$B$6:$B$17,0)),"?")))</f>
      </c>
      <c r="U6" s="46" t="inlineStr">
        <is>
          <t xml:space="preserve">2% of agreed value, minimum $10,000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14563.37</v>
      </c>
      <c r="AC6" s="51">
        <v>0</v>
      </c>
      <c r="AD6" s="38">
        <f>IF(ISNUMBER($AB6),$AB6*(1+N($AC6)),"")</f>
      </c>
      <c r="AE6" s="50">
        <v>350</v>
      </c>
      <c r="AF6" s="50">
        <v>250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CANON-202604-006563</t>
        </is>
      </c>
      <c r="B7" s="30" t="inlineStr">
        <is>
          <t xml:space="preserve">Leopold Vasquez</t>
        </is>
      </c>
      <c r="C7" s="31">
        <v>46139</v>
      </c>
      <c r="D7" s="32" t="inlineStr">
        <is>
          <t xml:space="preserve">Bound - within authority</t>
        </is>
      </c>
      <c r="E7" s="32" t="inlineStr">
        <is>
          <t xml:space="preserve">New business</t>
        </is>
      </c>
      <c r="F7" s="30" t="inlineStr">
        <is>
          <t xml:space="preserve">B1234EXOTIC26</t>
        </is>
      </c>
      <c r="G7" s="33">
        <f>IF($A7="","",IF($C7="","",YEAR($C7)))</f>
      </c>
      <c r="H7" s="34">
        <v>1981</v>
      </c>
      <c r="I7" s="30" t="inlineStr">
        <is>
          <t xml:space="preserve">BMW</t>
        </is>
      </c>
      <c r="J7" s="30" t="inlineStr">
        <is>
          <t xml:space="preserve">M8 Competition</t>
        </is>
      </c>
      <c r="K7" s="30" t="inlineStr">
        <is>
          <t xml:space="preserve">JV2VX530PVFTWL8PB</t>
        </is>
      </c>
      <c r="L7" s="32" t="inlineStr">
        <is>
          <t xml:space="preserve">02 - Sports / GT</t>
        </is>
      </c>
      <c r="M7" s="35">
        <v>230000</v>
      </c>
      <c r="N7" s="32" t="inlineStr">
        <is>
          <t xml:space="preserve">Personal</t>
        </is>
      </c>
      <c r="O7" s="30" t="inlineStr">
        <is>
          <t xml:space="preserve">Personal - regular use</t>
        </is>
      </c>
      <c r="P7" s="30" t="inlineStr">
        <is>
          <t xml:space="preserve">2,500 - 5,000</t>
        </is>
      </c>
      <c r="Q7" s="30" t="inlineStr">
        <is>
          <t xml:space="preserve">Massachusetts</t>
        </is>
      </c>
      <c r="R7" s="30" t="inlineStr">
        <is>
          <t xml:space="preserve">02108</t>
        </is>
      </c>
      <c r="S7" s="32" t="inlineStr">
        <is>
          <t xml:space="preserve">Tier 3 - Coastal wind (25-100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4144.67</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CANON-202604-006564</t>
        </is>
      </c>
      <c r="B8" s="46" t="inlineStr">
        <is>
          <t xml:space="preserve">Desmond Kingsford</t>
        </is>
      </c>
      <c r="C8" s="47">
        <v>46115</v>
      </c>
      <c r="D8" s="48" t="inlineStr">
        <is>
          <t xml:space="preserve">Bound - within authority</t>
        </is>
      </c>
      <c r="E8" s="48" t="inlineStr">
        <is>
          <t xml:space="preserve">New business</t>
        </is>
      </c>
      <c r="F8" s="46" t="inlineStr">
        <is>
          <t xml:space="preserve">B1234EXOTIC26</t>
        </is>
      </c>
      <c r="G8" s="33">
        <f>IF($A8="","",IF($C8="","",YEAR($C8)))</f>
      </c>
      <c r="H8" s="49">
        <v>2011</v>
      </c>
      <c r="I8" s="46" t="inlineStr">
        <is>
          <t xml:space="preserve">Ferrari</t>
        </is>
      </c>
      <c r="J8" s="46" t="inlineStr">
        <is>
          <t xml:space="preserve">296 GTB</t>
        </is>
      </c>
      <c r="K8" s="46" t="inlineStr">
        <is>
          <t xml:space="preserve">M72SKG9AN72N3LB0C</t>
        </is>
      </c>
      <c r="L8" s="48" t="inlineStr">
        <is>
          <t xml:space="preserve">03 - Supercar</t>
        </is>
      </c>
      <c r="M8" s="50">
        <v>1950000</v>
      </c>
      <c r="N8" s="48" t="inlineStr">
        <is>
          <t xml:space="preserve">Personal</t>
        </is>
      </c>
      <c r="O8" s="46" t="inlineStr">
        <is>
          <t xml:space="preserve">Personal - regular use</t>
        </is>
      </c>
      <c r="P8" s="46" t="inlineStr">
        <is>
          <t xml:space="preserve">2,500 - 5,000</t>
        </is>
      </c>
      <c r="Q8" s="46" t="inlineStr">
        <is>
          <t xml:space="preserve">Idaho</t>
        </is>
      </c>
      <c r="R8" s="46" t="inlineStr">
        <is>
          <t xml:space="preserve">83702</t>
        </is>
      </c>
      <c r="S8" s="48" t="inlineStr">
        <is>
          <t xml:space="preserve">Wildfire - WUI high hazard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24200.45</v>
      </c>
      <c r="AC8" s="51">
        <v>0</v>
      </c>
      <c r="AD8" s="38">
        <f>IF(ISNUMBER($AB8),$AB8*(1+N($AC8)),"")</f>
      </c>
      <c r="AE8" s="50">
        <v>350</v>
      </c>
      <c r="AF8" s="50">
        <v>250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CANON-202604-006565</t>
        </is>
      </c>
      <c r="B9" s="30" t="inlineStr">
        <is>
          <t xml:space="preserve">Fenwick Underwood</t>
        </is>
      </c>
      <c r="C9" s="31">
        <v>46122</v>
      </c>
      <c r="D9" s="32" t="inlineStr">
        <is>
          <t xml:space="preserve">Bound - within authority</t>
        </is>
      </c>
      <c r="E9" s="32" t="inlineStr">
        <is>
          <t xml:space="preserve">New business</t>
        </is>
      </c>
      <c r="F9" s="30" t="inlineStr">
        <is>
          <t xml:space="preserve">B1234EXOTIC26</t>
        </is>
      </c>
      <c r="G9" s="33">
        <f>IF($A9="","",IF($C9="","",YEAR($C9)))</f>
      </c>
      <c r="H9" s="34">
        <v>1974</v>
      </c>
      <c r="I9" s="30" t="inlineStr">
        <is>
          <t xml:space="preserve">Aston Martin</t>
        </is>
      </c>
      <c r="J9" s="30" t="inlineStr">
        <is>
          <t xml:space="preserve">DB12</t>
        </is>
      </c>
      <c r="K9" s="30" t="inlineStr">
        <is>
          <t xml:space="preserve">BGHS8X32XS7YVWD9B</t>
        </is>
      </c>
      <c r="L9" s="32" t="inlineStr">
        <is>
          <t xml:space="preserve">02 - Sports / GT</t>
        </is>
      </c>
      <c r="M9" s="35">
        <v>390000</v>
      </c>
      <c r="N9" s="32" t="inlineStr">
        <is>
          <t xml:space="preserve">Personal</t>
        </is>
      </c>
      <c r="O9" s="30" t="inlineStr">
        <is>
          <t xml:space="preserve">Personal - regular use</t>
        </is>
      </c>
      <c r="P9" s="30" t="inlineStr">
        <is>
          <t xml:space="preserve">1,000 - 2,500</t>
        </is>
      </c>
      <c r="Q9" s="30" t="inlineStr">
        <is>
          <t xml:space="preserve">Missouri</t>
        </is>
      </c>
      <c r="R9" s="30" t="inlineStr">
        <is>
          <t xml:space="preserve">63101</t>
        </is>
      </c>
      <c r="S9" s="32" t="inlineStr">
        <is>
          <t xml:space="preserve">Severe convective - hail / tornado (moderate)</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4858.43</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CANON-202604-006566</t>
        </is>
      </c>
      <c r="B10" s="46" t="inlineStr">
        <is>
          <t xml:space="preserve">Ramona Blackwood</t>
        </is>
      </c>
      <c r="C10" s="47">
        <v>46114</v>
      </c>
      <c r="D10" s="48" t="inlineStr">
        <is>
          <t xml:space="preserve">Bound - within authority</t>
        </is>
      </c>
      <c r="E10" s="48" t="inlineStr">
        <is>
          <t xml:space="preserve">New business</t>
        </is>
      </c>
      <c r="F10" s="46" t="inlineStr">
        <is>
          <t xml:space="preserve">B1234EXOTIC26</t>
        </is>
      </c>
      <c r="G10" s="33">
        <f>IF($A10="","",IF($C10="","",YEAR($C10)))</f>
      </c>
      <c r="H10" s="49">
        <v>2022</v>
      </c>
      <c r="I10" s="46" t="inlineStr">
        <is>
          <t xml:space="preserve">BMW</t>
        </is>
      </c>
      <c r="J10" s="46" t="inlineStr">
        <is>
          <t xml:space="preserve">M8 Competition</t>
        </is>
      </c>
      <c r="K10" s="46" t="inlineStr">
        <is>
          <t xml:space="preserve">VV58FF8LN1L07LFTM</t>
        </is>
      </c>
      <c r="L10" s="48" t="inlineStr">
        <is>
          <t xml:space="preserve">02 - Sports / GT</t>
        </is>
      </c>
      <c r="M10" s="50">
        <v>1260000</v>
      </c>
      <c r="N10" s="48" t="inlineStr">
        <is>
          <t xml:space="preserve">Personal</t>
        </is>
      </c>
      <c r="O10" s="46" t="inlineStr">
        <is>
          <t xml:space="preserve">Personal - regular use</t>
        </is>
      </c>
      <c r="P10" s="46" t="inlineStr">
        <is>
          <t xml:space="preserve">2,500 - 5,000</t>
        </is>
      </c>
      <c r="Q10" s="46" t="inlineStr">
        <is>
          <t xml:space="preserve">Maine</t>
        </is>
      </c>
      <c r="R10" s="46" t="inlineStr">
        <is>
          <t xml:space="preserve">04101</t>
        </is>
      </c>
      <c r="S10" s="48" t="inlineStr">
        <is>
          <t xml:space="preserve">Tier 3 - Coastal wind (25-100 miles)</t>
        </is>
      </c>
      <c r="T10" s="36">
        <f>IF($A10="","",IF($S10="","",IFERROR(INDEX('[1]natural catastrophe'!$D$6:$D$17,MATCH($S10,'[1]natural catastrophe'!$B$6:$B$17,0)),"?")))</f>
      </c>
      <c r="U10" s="46" t="inlineStr">
        <is>
          <t xml:space="preserve">2% of agreed value, minimum $10,000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11727.91</v>
      </c>
      <c r="AC10" s="51">
        <v>0</v>
      </c>
      <c r="AD10" s="38">
        <f>IF(ISNUMBER($AB10),$AB10*(1+N($AC10)),"")</f>
      </c>
      <c r="AE10" s="50">
        <v>350</v>
      </c>
      <c r="AF10" s="50">
        <v>250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CANON-202604-006567</t>
        </is>
      </c>
      <c r="B11" s="30" t="inlineStr">
        <is>
          <t xml:space="preserve">Priya Farkas</t>
        </is>
      </c>
      <c r="C11" s="31">
        <v>46131</v>
      </c>
      <c r="D11" s="32" t="inlineStr">
        <is>
          <t xml:space="preserve">Bound - within authority</t>
        </is>
      </c>
      <c r="E11" s="32" t="inlineStr">
        <is>
          <t xml:space="preserve">New business</t>
        </is>
      </c>
      <c r="F11" s="30" t="inlineStr">
        <is>
          <t xml:space="preserve">B1234EXOTIC26</t>
        </is>
      </c>
      <c r="G11" s="33">
        <f>IF($A11="","",IF($C11="","",YEAR($C11)))</f>
      </c>
      <c r="H11" s="34">
        <v>2012</v>
      </c>
      <c r="I11" s="30" t="inlineStr">
        <is>
          <t xml:space="preserve">Ferrari</t>
        </is>
      </c>
      <c r="J11" s="30" t="inlineStr">
        <is>
          <t xml:space="preserve">SF90 Stradale</t>
        </is>
      </c>
      <c r="K11" s="30" t="inlineStr">
        <is>
          <t xml:space="preserve">L865HB61BGB51V26L</t>
        </is>
      </c>
      <c r="L11" s="32" t="inlineStr">
        <is>
          <t xml:space="preserve">03 - Supercar</t>
        </is>
      </c>
      <c r="M11" s="35">
        <v>785000</v>
      </c>
      <c r="N11" s="32" t="inlineStr">
        <is>
          <t xml:space="preserve">Personal</t>
        </is>
      </c>
      <c r="O11" s="30" t="inlineStr">
        <is>
          <t xml:space="preserve">Personal - regular use</t>
        </is>
      </c>
      <c r="P11" s="30" t="inlineStr">
        <is>
          <t xml:space="preserve">1,000 - 2,500</t>
        </is>
      </c>
      <c r="Q11" s="30" t="inlineStr">
        <is>
          <t xml:space="preserve">Alabama</t>
        </is>
      </c>
      <c r="R11" s="30" t="inlineStr">
        <is>
          <t xml:space="preserve">35203</t>
        </is>
      </c>
      <c r="S11" s="32" t="inlineStr">
        <is>
          <t xml:space="preserve">Tier 2 - Coastal wind (1-25 miles)</t>
        </is>
      </c>
      <c r="T11" s="36">
        <f>IF($A11="","",IF($S11="","",IFERROR(INDEX('[1]natural catastrophe'!$D$6:$D$17,MATCH($S11,'[1]natural catastrophe'!$B$6:$B$17,0)),"?")))</f>
      </c>
      <c r="U11" s="30" t="inlineStr">
        <is>
          <t xml:space="preserve">2% of agreed value, minimum $10,000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14840.92</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CANON-202604-006568</t>
        </is>
      </c>
      <c r="B12" s="46" t="inlineStr">
        <is>
          <t xml:space="preserve">Ottilie Larsson</t>
        </is>
      </c>
      <c r="C12" s="47">
        <v>46114</v>
      </c>
      <c r="D12" s="48" t="inlineStr">
        <is>
          <t xml:space="preserve">Bound - within authority</t>
        </is>
      </c>
      <c r="E12" s="48" t="inlineStr">
        <is>
          <t xml:space="preserve">New business</t>
        </is>
      </c>
      <c r="F12" s="46" t="inlineStr">
        <is>
          <t xml:space="preserve">B1234EXOTIC26</t>
        </is>
      </c>
      <c r="G12" s="33">
        <f>IF($A12="","",IF($C12="","",YEAR($C12)))</f>
      </c>
      <c r="H12" s="49">
        <v>1983</v>
      </c>
      <c r="I12" s="46" t="inlineStr">
        <is>
          <t xml:space="preserve">Maserati</t>
        </is>
      </c>
      <c r="J12" s="46" t="inlineStr">
        <is>
          <t xml:space="preserve">GranTurismo</t>
        </is>
      </c>
      <c r="K12" s="46" t="inlineStr">
        <is>
          <t xml:space="preserve">EGGX5VDKD8SFY528N</t>
        </is>
      </c>
      <c r="L12" s="48" t="inlineStr">
        <is>
          <t xml:space="preserve">02 - Sports / GT</t>
        </is>
      </c>
      <c r="M12" s="50">
        <v>795000</v>
      </c>
      <c r="N12" s="48" t="inlineStr">
        <is>
          <t xml:space="preserve">Personal</t>
        </is>
      </c>
      <c r="O12" s="46" t="inlineStr">
        <is>
          <t xml:space="preserve">Personal - regular use</t>
        </is>
      </c>
      <c r="P12" s="46" t="inlineStr">
        <is>
          <t xml:space="preserve">1,000 - 2,500</t>
        </is>
      </c>
      <c r="Q12" s="46" t="inlineStr">
        <is>
          <t xml:space="preserve">Washington</t>
        </is>
      </c>
      <c r="R12" s="46" t="inlineStr">
        <is>
          <t xml:space="preserve">98101</t>
        </is>
      </c>
      <c r="S12" s="48" t="inlineStr">
        <is>
          <t xml:space="preserve">Earthquake - high (CA, Cascadia, New Madrid)</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7773.48</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CANON-202604-006569</t>
        </is>
      </c>
      <c r="B13" s="30" t="inlineStr">
        <is>
          <t xml:space="preserve">Anouk Fairweather</t>
        </is>
      </c>
      <c r="C13" s="31">
        <v>46124</v>
      </c>
      <c r="D13" s="32" t="inlineStr">
        <is>
          <t xml:space="preserve">Bound - within authority</t>
        </is>
      </c>
      <c r="E13" s="32" t="inlineStr">
        <is>
          <t xml:space="preserve">New business</t>
        </is>
      </c>
      <c r="F13" s="30" t="inlineStr">
        <is>
          <t xml:space="preserve">B1234EXOTIC26</t>
        </is>
      </c>
      <c r="G13" s="33">
        <f>IF($A13="","",IF($C13="","",YEAR($C13)))</f>
      </c>
      <c r="H13" s="34">
        <v>1957</v>
      </c>
      <c r="I13" s="30" t="inlineStr">
        <is>
          <t xml:space="preserve">Porsche</t>
        </is>
      </c>
      <c r="J13" s="30" t="inlineStr">
        <is>
          <t xml:space="preserve">911 Turbo S</t>
        </is>
      </c>
      <c r="K13" s="30" t="inlineStr">
        <is>
          <t xml:space="preserve">510GZEDSCF0X8XSXW</t>
        </is>
      </c>
      <c r="L13" s="32" t="inlineStr">
        <is>
          <t xml:space="preserve">02 - Sports / GT</t>
        </is>
      </c>
      <c r="M13" s="35">
        <v>105000</v>
      </c>
      <c r="N13" s="32" t="inlineStr">
        <is>
          <t xml:space="preserve">Personal</t>
        </is>
      </c>
      <c r="O13" s="30" t="inlineStr">
        <is>
          <t xml:space="preserve">Personal - regular use</t>
        </is>
      </c>
      <c r="P13" s="30" t="inlineStr">
        <is>
          <t xml:space="preserve">1,000 - 2,500</t>
        </is>
      </c>
      <c r="Q13" s="30" t="inlineStr">
        <is>
          <t xml:space="preserve">California</t>
        </is>
      </c>
      <c r="R13" s="30" t="inlineStr">
        <is>
          <t xml:space="preserve">90012</t>
        </is>
      </c>
      <c r="S13" s="32" t="inlineStr">
        <is>
          <t xml:space="preserve">Earthquake - high (CA, Cascadia, New Madrid)</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2043.5</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CANON-202604-006571</t>
        </is>
      </c>
      <c r="B14" s="46" t="inlineStr">
        <is>
          <t xml:space="preserve">Ramona Chattopadhyay</t>
        </is>
      </c>
      <c r="C14" s="47">
        <v>46130</v>
      </c>
      <c r="D14" s="48" t="inlineStr">
        <is>
          <t xml:space="preserve">Bound - within authority</t>
        </is>
      </c>
      <c r="E14" s="48" t="inlineStr">
        <is>
          <t xml:space="preserve">New business</t>
        </is>
      </c>
      <c r="F14" s="46" t="inlineStr">
        <is>
          <t xml:space="preserve">B1234EXOTIC26</t>
        </is>
      </c>
      <c r="G14" s="33">
        <f>IF($A14="","",IF($C14="","",YEAR($C14)))</f>
      </c>
      <c r="H14" s="49">
        <v>1962</v>
      </c>
      <c r="I14" s="46" t="inlineStr">
        <is>
          <t xml:space="preserve">Mercedes-Benz</t>
        </is>
      </c>
      <c r="J14" s="46" t="inlineStr">
        <is>
          <t xml:space="preserve">AMG GT</t>
        </is>
      </c>
      <c r="K14" s="46" t="inlineStr">
        <is>
          <t xml:space="preserve">RPVBP0N1JU72ART14</t>
        </is>
      </c>
      <c r="L14" s="48" t="inlineStr">
        <is>
          <t xml:space="preserve">02 - Sports / GT</t>
        </is>
      </c>
      <c r="M14" s="50">
        <v>530000</v>
      </c>
      <c r="N14" s="48" t="inlineStr">
        <is>
          <t xml:space="preserve">Personal</t>
        </is>
      </c>
      <c r="O14" s="46" t="inlineStr">
        <is>
          <t xml:space="preserve">Personal - regular use</t>
        </is>
      </c>
      <c r="P14" s="46" t="inlineStr">
        <is>
          <t xml:space="preserve">Under 1,000</t>
        </is>
      </c>
      <c r="Q14" s="46" t="inlineStr">
        <is>
          <t xml:space="preserve">Oregon</t>
        </is>
      </c>
      <c r="R14" s="46" t="inlineStr">
        <is>
          <t xml:space="preserve">97204</t>
        </is>
      </c>
      <c r="S14" s="48" t="inlineStr">
        <is>
          <t xml:space="preserve">Earthquake - high (CA, Cascadia, New Madrid)</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6100.02</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CANON-202604-006572</t>
        </is>
      </c>
      <c r="B15" s="30" t="inlineStr">
        <is>
          <t xml:space="preserve">Marisol Blackwood</t>
        </is>
      </c>
      <c r="C15" s="31">
        <v>46137</v>
      </c>
      <c r="D15" s="32" t="inlineStr">
        <is>
          <t xml:space="preserve">Bound - within authority</t>
        </is>
      </c>
      <c r="E15" s="32" t="inlineStr">
        <is>
          <t xml:space="preserve">New business</t>
        </is>
      </c>
      <c r="F15" s="30" t="inlineStr">
        <is>
          <t xml:space="preserve">B1234EXOTIC26</t>
        </is>
      </c>
      <c r="G15" s="33">
        <f>IF($A15="","",IF($C15="","",YEAR($C15)))</f>
      </c>
      <c r="H15" s="34">
        <v>2018</v>
      </c>
      <c r="I15" s="30" t="inlineStr">
        <is>
          <t xml:space="preserve">Aston Martin</t>
        </is>
      </c>
      <c r="J15" s="30" t="inlineStr">
        <is>
          <t xml:space="preserve">DB5</t>
        </is>
      </c>
      <c r="K15" s="30" t="inlineStr">
        <is>
          <t xml:space="preserve">3PZ1AH3CUZNZF7NTG</t>
        </is>
      </c>
      <c r="L15" s="32" t="inlineStr">
        <is>
          <t xml:space="preserve">02 - Sports / GT</t>
        </is>
      </c>
      <c r="M15" s="35">
        <v>485000</v>
      </c>
      <c r="N15" s="32" t="inlineStr">
        <is>
          <t xml:space="preserve">Personal</t>
        </is>
      </c>
      <c r="O15" s="30" t="inlineStr">
        <is>
          <t xml:space="preserve">Personal - regular use</t>
        </is>
      </c>
      <c r="P15" s="30" t="inlineStr">
        <is>
          <t xml:space="preserve">Under 1,000</t>
        </is>
      </c>
      <c r="Q15" s="30" t="inlineStr">
        <is>
          <t xml:space="preserve">North Dakota</t>
        </is>
      </c>
      <c r="R15" s="30" t="inlineStr">
        <is>
          <t xml:space="preserve">58501</t>
        </is>
      </c>
      <c r="S15" s="32" t="inlineStr">
        <is>
          <t xml:space="preserve">Severe convective - hail alley (high)</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3720.89</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CANON-202604-006573</t>
        </is>
      </c>
      <c r="B16" s="46" t="inlineStr">
        <is>
          <t xml:space="preserve">Aurelio Bellandi</t>
        </is>
      </c>
      <c r="C16" s="47">
        <v>46116</v>
      </c>
      <c r="D16" s="48" t="inlineStr">
        <is>
          <t xml:space="preserve">Bound - within authority</t>
        </is>
      </c>
      <c r="E16" s="48" t="inlineStr">
        <is>
          <t xml:space="preserve">New business</t>
        </is>
      </c>
      <c r="F16" s="46" t="inlineStr">
        <is>
          <t xml:space="preserve">B1234EXOTIC26</t>
        </is>
      </c>
      <c r="G16" s="33">
        <f>IF($A16="","",IF($C16="","",YEAR($C16)))</f>
      </c>
      <c r="H16" s="49">
        <v>2010</v>
      </c>
      <c r="I16" s="46" t="inlineStr">
        <is>
          <t xml:space="preserve">BMW</t>
        </is>
      </c>
      <c r="J16" s="46" t="inlineStr">
        <is>
          <t xml:space="preserve">M8 Competition</t>
        </is>
      </c>
      <c r="K16" s="46" t="inlineStr">
        <is>
          <t xml:space="preserve">2DBK0T828VP7314GC</t>
        </is>
      </c>
      <c r="L16" s="48" t="inlineStr">
        <is>
          <t xml:space="preserve">02 - Sports / GT</t>
        </is>
      </c>
      <c r="M16" s="50">
        <v>455000</v>
      </c>
      <c r="N16" s="48" t="inlineStr">
        <is>
          <t xml:space="preserve">Personal</t>
        </is>
      </c>
      <c r="O16" s="46" t="inlineStr">
        <is>
          <t xml:space="preserve">Personal - regular use</t>
        </is>
      </c>
      <c r="P16" s="46" t="inlineStr">
        <is>
          <t xml:space="preserve">2,500 - 5,000</t>
        </is>
      </c>
      <c r="Q16" s="46" t="inlineStr">
        <is>
          <t xml:space="preserve">Indiana</t>
        </is>
      </c>
      <c r="R16" s="46" t="inlineStr">
        <is>
          <t xml:space="preserve">46204</t>
        </is>
      </c>
      <c r="S16" s="48" t="inlineStr">
        <is>
          <t xml:space="preserve">Severe convective - hail / tornado (moderate)</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6577.21</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CANON-202604-006575</t>
        </is>
      </c>
      <c r="B17" s="30" t="inlineStr">
        <is>
          <t xml:space="preserve">Emiliano Chattopadhyay</t>
        </is>
      </c>
      <c r="C17" s="31">
        <v>46128</v>
      </c>
      <c r="D17" s="32" t="inlineStr">
        <is>
          <t xml:space="preserve">Bound - within authority</t>
        </is>
      </c>
      <c r="E17" s="32" t="inlineStr">
        <is>
          <t xml:space="preserve">New business</t>
        </is>
      </c>
      <c r="F17" s="30" t="inlineStr">
        <is>
          <t xml:space="preserve">B1234EXOTIC26</t>
        </is>
      </c>
      <c r="G17" s="33">
        <f>IF($A17="","",IF($C17="","",YEAR($C17)))</f>
      </c>
      <c r="H17" s="34">
        <v>2003</v>
      </c>
      <c r="I17" s="30" t="inlineStr">
        <is>
          <t xml:space="preserve">Bentley</t>
        </is>
      </c>
      <c r="J17" s="30" t="inlineStr">
        <is>
          <t xml:space="preserve">Continental GT</t>
        </is>
      </c>
      <c r="K17" s="30" t="inlineStr">
        <is>
          <t xml:space="preserve">07E4ACM9AJJ439JLY</t>
        </is>
      </c>
      <c r="L17" s="32" t="inlineStr">
        <is>
          <t xml:space="preserve">02 - Sports / GT</t>
        </is>
      </c>
      <c r="M17" s="35">
        <v>950000</v>
      </c>
      <c r="N17" s="32" t="inlineStr">
        <is>
          <t xml:space="preserve">Personal</t>
        </is>
      </c>
      <c r="O17" s="30" t="inlineStr">
        <is>
          <t xml:space="preserve">Personal - regular use</t>
        </is>
      </c>
      <c r="P17" s="30" t="inlineStr">
        <is>
          <t xml:space="preserve">2,500 - 5,000</t>
        </is>
      </c>
      <c r="Q17" s="30" t="inlineStr">
        <is>
          <t xml:space="preserve">Washington</t>
        </is>
      </c>
      <c r="R17" s="30" t="inlineStr">
        <is>
          <t xml:space="preserve">98101</t>
        </is>
      </c>
      <c r="S17" s="32" t="inlineStr">
        <is>
          <t xml:space="preserve">Earthquake - high (CA, Cascadia, New Madrid)</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9289.07</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CANON-202604-006576</t>
        </is>
      </c>
      <c r="B18" s="46" t="inlineStr">
        <is>
          <t xml:space="preserve">Ottilie Rourke</t>
        </is>
      </c>
      <c r="C18" s="47">
        <v>46129</v>
      </c>
      <c r="D18" s="48" t="inlineStr">
        <is>
          <t xml:space="preserve">Bound - within authority</t>
        </is>
      </c>
      <c r="E18" s="48" t="inlineStr">
        <is>
          <t xml:space="preserve">New business</t>
        </is>
      </c>
      <c r="F18" s="46" t="inlineStr">
        <is>
          <t xml:space="preserve">B1234EXOTIC26</t>
        </is>
      </c>
      <c r="G18" s="33">
        <f>IF($A18="","",IF($C18="","",YEAR($C18)))</f>
      </c>
      <c r="H18" s="49">
        <v>2002</v>
      </c>
      <c r="I18" s="46" t="inlineStr">
        <is>
          <t xml:space="preserve">BMW</t>
        </is>
      </c>
      <c r="J18" s="46" t="inlineStr">
        <is>
          <t xml:space="preserve">M8 Competition</t>
        </is>
      </c>
      <c r="K18" s="46" t="inlineStr">
        <is>
          <t xml:space="preserve">T12H1WMZ48YUVUP6M</t>
        </is>
      </c>
      <c r="L18" s="48" t="inlineStr">
        <is>
          <t xml:space="preserve">02 - Sports / GT</t>
        </is>
      </c>
      <c r="M18" s="50">
        <v>680000</v>
      </c>
      <c r="N18" s="48" t="inlineStr">
        <is>
          <t xml:space="preserve">Personal</t>
        </is>
      </c>
      <c r="O18" s="46" t="inlineStr">
        <is>
          <t xml:space="preserve">Personal - regular use</t>
        </is>
      </c>
      <c r="P18" s="46" t="inlineStr">
        <is>
          <t xml:space="preserve">Under 1,000</t>
        </is>
      </c>
      <c r="Q18" s="46" t="inlineStr">
        <is>
          <t xml:space="preserve">New York</t>
        </is>
      </c>
      <c r="R18" s="46" t="inlineStr">
        <is>
          <t xml:space="preserve">10022</t>
        </is>
      </c>
      <c r="S18" s="48" t="inlineStr">
        <is>
          <t xml:space="preserve">Tier 3 - Coastal wind (25-100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8865.35</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CANON-202604-006577</t>
        </is>
      </c>
      <c r="B19" s="30" t="inlineStr">
        <is>
          <t xml:space="preserve">Fenwick Farkas</t>
        </is>
      </c>
      <c r="C19" s="31">
        <v>46129</v>
      </c>
      <c r="D19" s="32" t="inlineStr">
        <is>
          <t xml:space="preserve">Bound - within authority</t>
        </is>
      </c>
      <c r="E19" s="32" t="inlineStr">
        <is>
          <t xml:space="preserve">New business</t>
        </is>
      </c>
      <c r="F19" s="30" t="inlineStr">
        <is>
          <t xml:space="preserve">B1234EXOTIC26</t>
        </is>
      </c>
      <c r="G19" s="33">
        <f>IF($A19="","",IF($C19="","",YEAR($C19)))</f>
      </c>
      <c r="H19" s="34">
        <v>1978</v>
      </c>
      <c r="I19" s="30" t="inlineStr">
        <is>
          <t xml:space="preserve">Aston Martin</t>
        </is>
      </c>
      <c r="J19" s="30" t="inlineStr">
        <is>
          <t xml:space="preserve">DB12</t>
        </is>
      </c>
      <c r="K19" s="30" t="inlineStr">
        <is>
          <t xml:space="preserve">D8DAZDD3BAE9FTTAM</t>
        </is>
      </c>
      <c r="L19" s="32" t="inlineStr">
        <is>
          <t xml:space="preserve">02 - Sports / GT</t>
        </is>
      </c>
      <c r="M19" s="35">
        <v>690000</v>
      </c>
      <c r="N19" s="32" t="inlineStr">
        <is>
          <t xml:space="preserve">Personal</t>
        </is>
      </c>
      <c r="O19" s="30" t="inlineStr">
        <is>
          <t xml:space="preserve">Personal - regular use</t>
        </is>
      </c>
      <c r="P19" s="30" t="inlineStr">
        <is>
          <t xml:space="preserve">1,000 - 2,500</t>
        </is>
      </c>
      <c r="Q19" s="30" t="inlineStr">
        <is>
          <t xml:space="preserve">California</t>
        </is>
      </c>
      <c r="R19" s="30" t="inlineStr">
        <is>
          <t xml:space="preserve">90012</t>
        </is>
      </c>
      <c r="S19" s="32" t="inlineStr">
        <is>
          <t xml:space="preserve">Earthquake - high (CA, Cascadia, New Madrid)</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9487.68</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CANON-202604-006579</t>
        </is>
      </c>
      <c r="B20" s="46" t="inlineStr">
        <is>
          <t xml:space="preserve">Cassius Okonkwo</t>
        </is>
      </c>
      <c r="C20" s="47">
        <v>46135</v>
      </c>
      <c r="D20" s="48" t="inlineStr">
        <is>
          <t xml:space="preserve">Bound - within authority</t>
        </is>
      </c>
      <c r="E20" s="48" t="inlineStr">
        <is>
          <t xml:space="preserve">New business</t>
        </is>
      </c>
      <c r="F20" s="46" t="inlineStr">
        <is>
          <t xml:space="preserve">B1234EXOTIC26</t>
        </is>
      </c>
      <c r="G20" s="33">
        <f>IF($A20="","",IF($C20="","",YEAR($C20)))</f>
      </c>
      <c r="H20" s="49">
        <v>2011</v>
      </c>
      <c r="I20" s="46" t="inlineStr">
        <is>
          <t xml:space="preserve">Ferrari</t>
        </is>
      </c>
      <c r="J20" s="46" t="inlineStr">
        <is>
          <t xml:space="preserve">275 GTB/4</t>
        </is>
      </c>
      <c r="K20" s="46" t="inlineStr">
        <is>
          <t xml:space="preserve">5YL4T34MP79VP3URF</t>
        </is>
      </c>
      <c r="L20" s="48" t="inlineStr">
        <is>
          <t xml:space="preserve">02 - Sports / GT</t>
        </is>
      </c>
      <c r="M20" s="50">
        <v>1620000</v>
      </c>
      <c r="N20" s="48" t="inlineStr">
        <is>
          <t xml:space="preserve">Personal</t>
        </is>
      </c>
      <c r="O20" s="46" t="inlineStr">
        <is>
          <t xml:space="preserve">Personal - regular use</t>
        </is>
      </c>
      <c r="P20" s="46" t="inlineStr">
        <is>
          <t xml:space="preserve">2,500 - 5,000</t>
        </is>
      </c>
      <c r="Q20" s="46" t="inlineStr">
        <is>
          <t xml:space="preserve">California</t>
        </is>
      </c>
      <c r="R20" s="46" t="inlineStr">
        <is>
          <t xml:space="preserve">90012</t>
        </is>
      </c>
      <c r="S20" s="48" t="inlineStr">
        <is>
          <t xml:space="preserve">Earthquake - high (CA, Cascadia, New Madrid)</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13022.56</v>
      </c>
      <c r="AC20" s="51">
        <v>0</v>
      </c>
      <c r="AD20" s="38">
        <f>IF(ISNUMBER($AB20),$AB20*(1+N($AC20)),"")</f>
      </c>
      <c r="AE20" s="50">
        <v>350</v>
      </c>
      <c r="AF20" s="50">
        <v>250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CANON-202604-006580</t>
        </is>
      </c>
      <c r="B21" s="30" t="inlineStr">
        <is>
          <t xml:space="preserve">Ingrid Ashcombe</t>
        </is>
      </c>
      <c r="C21" s="31">
        <v>46119</v>
      </c>
      <c r="D21" s="32" t="inlineStr">
        <is>
          <t xml:space="preserve">Bound - within authority</t>
        </is>
      </c>
      <c r="E21" s="32" t="inlineStr">
        <is>
          <t xml:space="preserve">New business</t>
        </is>
      </c>
      <c r="F21" s="30" t="inlineStr">
        <is>
          <t xml:space="preserve">B1234EXOTIC26</t>
        </is>
      </c>
      <c r="G21" s="33">
        <f>IF($A21="","",IF($C21="","",YEAR($C21)))</f>
      </c>
      <c r="H21" s="34">
        <v>1977</v>
      </c>
      <c r="I21" s="30" t="inlineStr">
        <is>
          <t xml:space="preserve">Bentley</t>
        </is>
      </c>
      <c r="J21" s="30" t="inlineStr">
        <is>
          <t xml:space="preserve">Continental GT</t>
        </is>
      </c>
      <c r="K21" s="30" t="inlineStr">
        <is>
          <t xml:space="preserve">JG850BBARYA09E5P3</t>
        </is>
      </c>
      <c r="L21" s="32" t="inlineStr">
        <is>
          <t xml:space="preserve">02 - Sports / GT</t>
        </is>
      </c>
      <c r="M21" s="35">
        <v>720000</v>
      </c>
      <c r="N21" s="32" t="inlineStr">
        <is>
          <t xml:space="preserve">Personal</t>
        </is>
      </c>
      <c r="O21" s="30" t="inlineStr">
        <is>
          <t xml:space="preserve">Personal - regular use</t>
        </is>
      </c>
      <c r="P21" s="30" t="inlineStr">
        <is>
          <t xml:space="preserve">Under 1,000</t>
        </is>
      </c>
      <c r="Q21" s="30" t="inlineStr">
        <is>
          <t xml:space="preserve">Missouri</t>
        </is>
      </c>
      <c r="R21" s="30" t="inlineStr">
        <is>
          <t xml:space="preserve">63101</t>
        </is>
      </c>
      <c r="S21" s="32" t="inlineStr">
        <is>
          <t xml:space="preserve">Severe convective - hail / tornado (moderate)</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7773.48</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CANON-202604-006581</t>
        </is>
      </c>
      <c r="B22" s="46" t="inlineStr">
        <is>
          <t xml:space="preserve">Ingrid Whitlock</t>
        </is>
      </c>
      <c r="C22" s="47">
        <v>46132</v>
      </c>
      <c r="D22" s="48" t="inlineStr">
        <is>
          <t xml:space="preserve">Bound - within authority</t>
        </is>
      </c>
      <c r="E22" s="48" t="inlineStr">
        <is>
          <t xml:space="preserve">New business</t>
        </is>
      </c>
      <c r="F22" s="46" t="inlineStr">
        <is>
          <t xml:space="preserve">B1234EXOTIC26</t>
        </is>
      </c>
      <c r="G22" s="33">
        <f>IF($A22="","",IF($C22="","",YEAR($C22)))</f>
      </c>
      <c r="H22" s="49">
        <v>1960</v>
      </c>
      <c r="I22" s="46" t="inlineStr">
        <is>
          <t xml:space="preserve">Aston Martin</t>
        </is>
      </c>
      <c r="J22" s="46" t="inlineStr">
        <is>
          <t xml:space="preserve">DB5</t>
        </is>
      </c>
      <c r="K22" s="46" t="inlineStr">
        <is>
          <t xml:space="preserve">UWNN8W87NMU3R1ZF4</t>
        </is>
      </c>
      <c r="L22" s="48" t="inlineStr">
        <is>
          <t xml:space="preserve">07 - Post-War Classic (1946-1972)</t>
        </is>
      </c>
      <c r="M22" s="50">
        <v>790000</v>
      </c>
      <c r="N22" s="48" t="inlineStr">
        <is>
          <t xml:space="preserve">Personal</t>
        </is>
      </c>
      <c r="O22" s="46" t="inlineStr">
        <is>
          <t xml:space="preserve">Personal - regular use</t>
        </is>
      </c>
      <c r="P22" s="46" t="inlineStr">
        <is>
          <t xml:space="preserve">Under 1,000</t>
        </is>
      </c>
      <c r="Q22" s="46" t="inlineStr">
        <is>
          <t xml:space="preserve">Mississippi</t>
        </is>
      </c>
      <c r="R22" s="46" t="inlineStr">
        <is>
          <t xml:space="preserve">39201</t>
        </is>
      </c>
      <c r="S22" s="48" t="inlineStr">
        <is>
          <t xml:space="preserve">Tier 2 - Coastal wind (1-25 miles)</t>
        </is>
      </c>
      <c r="T22" s="36">
        <f>IF($A22="","",IF($S22="","",IFERROR(INDEX('[1]natural catastrophe'!$D$6:$D$17,MATCH($S22,'[1]natural catastrophe'!$B$6:$B$17,0)),"?")))</f>
      </c>
      <c r="U22" s="46" t="inlineStr">
        <is>
          <t xml:space="preserve">2% of agreed value, minimum $10,000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6334.41</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CANON-202604-006582</t>
        </is>
      </c>
      <c r="B23" s="30" t="inlineStr">
        <is>
          <t xml:space="preserve">Sunniva Vasquez</t>
        </is>
      </c>
      <c r="C23" s="31">
        <v>46116</v>
      </c>
      <c r="D23" s="32" t="inlineStr">
        <is>
          <t xml:space="preserve">Bound - within authority</t>
        </is>
      </c>
      <c r="E23" s="32" t="inlineStr">
        <is>
          <t xml:space="preserve">New business</t>
        </is>
      </c>
      <c r="F23" s="30" t="inlineStr">
        <is>
          <t xml:space="preserve">B1234EXOTIC26</t>
        </is>
      </c>
      <c r="G23" s="33">
        <f>IF($A23="","",IF($C23="","",YEAR($C23)))</f>
      </c>
      <c r="H23" s="34">
        <v>2020</v>
      </c>
      <c r="I23" s="30" t="inlineStr">
        <is>
          <t xml:space="preserve">BMW</t>
        </is>
      </c>
      <c r="J23" s="30" t="inlineStr">
        <is>
          <t xml:space="preserve">M8 Competition</t>
        </is>
      </c>
      <c r="K23" s="30" t="inlineStr">
        <is>
          <t xml:space="preserve">YV758Z0GWGWN9KRSA</t>
        </is>
      </c>
      <c r="L23" s="32" t="inlineStr">
        <is>
          <t xml:space="preserve">02 - Sports / GT</t>
        </is>
      </c>
      <c r="M23" s="35">
        <v>1495000</v>
      </c>
      <c r="N23" s="32" t="inlineStr">
        <is>
          <t xml:space="preserve">Personal</t>
        </is>
      </c>
      <c r="O23" s="30" t="inlineStr">
        <is>
          <t xml:space="preserve">Personal - regular use</t>
        </is>
      </c>
      <c r="P23" s="30" t="inlineStr">
        <is>
          <t xml:space="preserve">Under 1,000</t>
        </is>
      </c>
      <c r="Q23" s="30" t="inlineStr">
        <is>
          <t xml:space="preserve">Hawaii</t>
        </is>
      </c>
      <c r="R23" s="30" t="inlineStr">
        <is>
          <t xml:space="preserve">96813</t>
        </is>
      </c>
      <c r="S23" s="32" t="inlineStr">
        <is>
          <t xml:space="preserve">Earthquake - high (CA, Cascadia, New Madrid)</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16749.86</v>
      </c>
      <c r="AC23" s="37">
        <v>0</v>
      </c>
      <c r="AD23" s="38">
        <f>IF(ISNUMBER($AB23),$AB23*(1+N($AC23)),"")</f>
      </c>
      <c r="AE23" s="35">
        <v>350</v>
      </c>
      <c r="AF23" s="35">
        <v>250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CANON-202604-006585</t>
        </is>
      </c>
      <c r="B24" s="46" t="inlineStr">
        <is>
          <t xml:space="preserve">Ingrid Larsson</t>
        </is>
      </c>
      <c r="C24" s="47">
        <v>46126</v>
      </c>
      <c r="D24" s="48" t="inlineStr">
        <is>
          <t xml:space="preserve">Bound - within authority</t>
        </is>
      </c>
      <c r="E24" s="48" t="inlineStr">
        <is>
          <t xml:space="preserve">New business</t>
        </is>
      </c>
      <c r="F24" s="46" t="inlineStr">
        <is>
          <t xml:space="preserve">B1234EXOTIC26</t>
        </is>
      </c>
      <c r="G24" s="33">
        <f>IF($A24="","",IF($C24="","",YEAR($C24)))</f>
      </c>
      <c r="H24" s="49">
        <v>2013</v>
      </c>
      <c r="I24" s="46" t="inlineStr">
        <is>
          <t xml:space="preserve">Ferrari</t>
        </is>
      </c>
      <c r="J24" s="46" t="inlineStr">
        <is>
          <t xml:space="preserve">296 GTB</t>
        </is>
      </c>
      <c r="K24" s="46" t="inlineStr">
        <is>
          <t xml:space="preserve">KKX0JNZRTXBPKPR8S</t>
        </is>
      </c>
      <c r="L24" s="48" t="inlineStr">
        <is>
          <t xml:space="preserve">03 - Supercar</t>
        </is>
      </c>
      <c r="M24" s="50">
        <v>285000</v>
      </c>
      <c r="N24" s="48" t="inlineStr">
        <is>
          <t xml:space="preserve">Personal</t>
        </is>
      </c>
      <c r="O24" s="46" t="inlineStr">
        <is>
          <t xml:space="preserve">Personal - regular use</t>
        </is>
      </c>
      <c r="P24" s="46" t="inlineStr">
        <is>
          <t xml:space="preserve">1,000 - 2,500</t>
        </is>
      </c>
      <c r="Q24" s="46" t="inlineStr">
        <is>
          <t xml:space="preserve">Tennessee</t>
        </is>
      </c>
      <c r="R24" s="46" t="inlineStr">
        <is>
          <t xml:space="preserve">37203</t>
        </is>
      </c>
      <c r="S24" s="48" t="inlineStr">
        <is>
          <t xml:space="preserve">Severe convective - hail / tornado (moderate)</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5033.06</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CANON-202604-006586</t>
        </is>
      </c>
      <c r="B25" s="30" t="inlineStr">
        <is>
          <t xml:space="preserve">Ramona Farkas</t>
        </is>
      </c>
      <c r="C25" s="31">
        <v>46137</v>
      </c>
      <c r="D25" s="32" t="inlineStr">
        <is>
          <t xml:space="preserve">Bound - within authority</t>
        </is>
      </c>
      <c r="E25" s="32" t="inlineStr">
        <is>
          <t xml:space="preserve">New business</t>
        </is>
      </c>
      <c r="F25" s="30" t="inlineStr">
        <is>
          <t xml:space="preserve">B1234EXOTIC26</t>
        </is>
      </c>
      <c r="G25" s="33">
        <f>IF($A25="","",IF($C25="","",YEAR($C25)))</f>
      </c>
      <c r="H25" s="34">
        <v>1987</v>
      </c>
      <c r="I25" s="30" t="inlineStr">
        <is>
          <t xml:space="preserve">McLaren</t>
        </is>
      </c>
      <c r="J25" s="30" t="inlineStr">
        <is>
          <t xml:space="preserve">750S</t>
        </is>
      </c>
      <c r="K25" s="30" t="inlineStr">
        <is>
          <t xml:space="preserve">6FL65RLBZYWXEG1HG</t>
        </is>
      </c>
      <c r="L25" s="32" t="inlineStr">
        <is>
          <t xml:space="preserve">03 - Supercar</t>
        </is>
      </c>
      <c r="M25" s="35">
        <v>415000</v>
      </c>
      <c r="N25" s="32" t="inlineStr">
        <is>
          <t xml:space="preserve">Personal</t>
        </is>
      </c>
      <c r="O25" s="30" t="inlineStr">
        <is>
          <t xml:space="preserve">Personal - regular use</t>
        </is>
      </c>
      <c r="P25" s="30" t="inlineStr">
        <is>
          <t xml:space="preserve">1,000 - 2,500</t>
        </is>
      </c>
      <c r="Q25" s="30" t="inlineStr">
        <is>
          <t xml:space="preserve">Connecticut</t>
        </is>
      </c>
      <c r="R25" s="30" t="inlineStr">
        <is>
          <t xml:space="preserve">06103</t>
        </is>
      </c>
      <c r="S25" s="32" t="inlineStr">
        <is>
          <t xml:space="preserve">Tier 3 - Coastal wind (25-100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8375.83</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CANON-202604-006587</t>
        </is>
      </c>
      <c r="B26" s="46" t="inlineStr">
        <is>
          <t xml:space="preserve">Leopold Kingsford</t>
        </is>
      </c>
      <c r="C26" s="47">
        <v>46125</v>
      </c>
      <c r="D26" s="48" t="inlineStr">
        <is>
          <t xml:space="preserve">Bound - within authority</t>
        </is>
      </c>
      <c r="E26" s="48" t="inlineStr">
        <is>
          <t xml:space="preserve">New business</t>
        </is>
      </c>
      <c r="F26" s="46" t="inlineStr">
        <is>
          <t xml:space="preserve">B1234EXOTIC26</t>
        </is>
      </c>
      <c r="G26" s="33">
        <f>IF($A26="","",IF($C26="","",YEAR($C26)))</f>
      </c>
      <c r="H26" s="49">
        <v>2007</v>
      </c>
      <c r="I26" s="46" t="inlineStr">
        <is>
          <t xml:space="preserve">Maserati</t>
        </is>
      </c>
      <c r="J26" s="46" t="inlineStr">
        <is>
          <t xml:space="preserve">GranTurismo</t>
        </is>
      </c>
      <c r="K26" s="46" t="inlineStr">
        <is>
          <t xml:space="preserve">8U92UFMELSEDKEP0L</t>
        </is>
      </c>
      <c r="L26" s="48" t="inlineStr">
        <is>
          <t xml:space="preserve">02 - Sports / GT</t>
        </is>
      </c>
      <c r="M26" s="50">
        <v>455000</v>
      </c>
      <c r="N26" s="48" t="inlineStr">
        <is>
          <t xml:space="preserve">Personal</t>
        </is>
      </c>
      <c r="O26" s="46" t="inlineStr">
        <is>
          <t xml:space="preserve">Personal - regular use</t>
        </is>
      </c>
      <c r="P26" s="46" t="inlineStr">
        <is>
          <t xml:space="preserve">2,500 - 5,000</t>
        </is>
      </c>
      <c r="Q26" s="46" t="inlineStr">
        <is>
          <t xml:space="preserve">West Virginia</t>
        </is>
      </c>
      <c r="R26" s="46" t="inlineStr">
        <is>
          <t xml:space="preserve">25301</t>
        </is>
      </c>
      <c r="S26" s="48" t="inlineStr">
        <is>
          <t xml:space="preserve">Low hazard - inland benign</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7111.94</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CANON-202604-006588</t>
        </is>
      </c>
      <c r="B27" s="30" t="inlineStr">
        <is>
          <t xml:space="preserve">Sunniva Pennington</t>
        </is>
      </c>
      <c r="C27" s="31">
        <v>46125</v>
      </c>
      <c r="D27" s="32" t="inlineStr">
        <is>
          <t xml:space="preserve">Bound - within authority</t>
        </is>
      </c>
      <c r="E27" s="32" t="inlineStr">
        <is>
          <t xml:space="preserve">New business</t>
        </is>
      </c>
      <c r="F27" s="30" t="inlineStr">
        <is>
          <t xml:space="preserve">B1234EXOTIC26</t>
        </is>
      </c>
      <c r="G27" s="33">
        <f>IF($A27="","",IF($C27="","",YEAR($C27)))</f>
      </c>
      <c r="H27" s="34">
        <v>1980</v>
      </c>
      <c r="I27" s="30" t="inlineStr">
        <is>
          <t xml:space="preserve">Aston Martin</t>
        </is>
      </c>
      <c r="J27" s="30" t="inlineStr">
        <is>
          <t xml:space="preserve">DB12</t>
        </is>
      </c>
      <c r="K27" s="30" t="inlineStr">
        <is>
          <t xml:space="preserve">GVN1AVRTGSP0ECPR8</t>
        </is>
      </c>
      <c r="L27" s="32" t="inlineStr">
        <is>
          <t xml:space="preserve">02 - Sports / GT</t>
        </is>
      </c>
      <c r="M27" s="35">
        <v>965000</v>
      </c>
      <c r="N27" s="32" t="inlineStr">
        <is>
          <t xml:space="preserve">Personal</t>
        </is>
      </c>
      <c r="O27" s="30" t="inlineStr">
        <is>
          <t xml:space="preserve">Personal - regular use</t>
        </is>
      </c>
      <c r="P27" s="30" t="inlineStr">
        <is>
          <t xml:space="preserve">2,500 - 5,000</t>
        </is>
      </c>
      <c r="Q27" s="30" t="inlineStr">
        <is>
          <t xml:space="preserve">Ohio</t>
        </is>
      </c>
      <c r="R27" s="30" t="inlineStr">
        <is>
          <t xml:space="preserve">43215</t>
        </is>
      </c>
      <c r="S27" s="32" t="inlineStr">
        <is>
          <t xml:space="preserve">Severe convective - hail / tornado (moderate)</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13662.16</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CANON-202604-006589</t>
        </is>
      </c>
      <c r="B28" s="46" t="inlineStr">
        <is>
          <t xml:space="preserve">Horace Farkas</t>
        </is>
      </c>
      <c r="C28" s="47">
        <v>46140</v>
      </c>
      <c r="D28" s="48" t="inlineStr">
        <is>
          <t xml:space="preserve">Bound - within authority</t>
        </is>
      </c>
      <c r="E28" s="48" t="inlineStr">
        <is>
          <t xml:space="preserve">New business</t>
        </is>
      </c>
      <c r="F28" s="46" t="inlineStr">
        <is>
          <t xml:space="preserve">B1234EXOTIC26</t>
        </is>
      </c>
      <c r="G28" s="33">
        <f>IF($A28="","",IF($C28="","",YEAR($C28)))</f>
      </c>
      <c r="H28" s="49">
        <v>2004</v>
      </c>
      <c r="I28" s="46" t="inlineStr">
        <is>
          <t xml:space="preserve">Ferrari</t>
        </is>
      </c>
      <c r="J28" s="46" t="inlineStr">
        <is>
          <t xml:space="preserve">275 GTB/4</t>
        </is>
      </c>
      <c r="K28" s="46" t="inlineStr">
        <is>
          <t xml:space="preserve">HYTNMDLC3NC9KKFBU</t>
        </is>
      </c>
      <c r="L28" s="48" t="inlineStr">
        <is>
          <t xml:space="preserve">09 - Youngtimer / Collectible (2000-2010)</t>
        </is>
      </c>
      <c r="M28" s="50">
        <v>1030000</v>
      </c>
      <c r="N28" s="48" t="inlineStr">
        <is>
          <t xml:space="preserve">Personal</t>
        </is>
      </c>
      <c r="O28" s="46" t="inlineStr">
        <is>
          <t xml:space="preserve">Personal - regular use</t>
        </is>
      </c>
      <c r="P28" s="46" t="inlineStr">
        <is>
          <t xml:space="preserve">Under 1,000</t>
        </is>
      </c>
      <c r="Q28" s="46" t="inlineStr">
        <is>
          <t xml:space="preserve">Indiana</t>
        </is>
      </c>
      <c r="R28" s="46" t="inlineStr">
        <is>
          <t xml:space="preserve">46204</t>
        </is>
      </c>
      <c r="S28" s="48" t="inlineStr">
        <is>
          <t xml:space="preserve">Severe convective - hail / tornado (moderate)</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7543.79</v>
      </c>
      <c r="AC28" s="51">
        <v>0</v>
      </c>
      <c r="AD28" s="38">
        <f>IF(ISNUMBER($AB28),$AB28*(1+N($AC28)),"")</f>
      </c>
      <c r="AE28" s="50">
        <v>350</v>
      </c>
      <c r="AF28" s="50">
        <v>250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CANON-202604-006590</t>
        </is>
      </c>
      <c r="B29" s="30" t="inlineStr">
        <is>
          <t xml:space="preserve">Anouk Larsson</t>
        </is>
      </c>
      <c r="C29" s="31">
        <v>46114</v>
      </c>
      <c r="D29" s="32" t="inlineStr">
        <is>
          <t xml:space="preserve">Bound - within authority</t>
        </is>
      </c>
      <c r="E29" s="32" t="inlineStr">
        <is>
          <t xml:space="preserve">New business</t>
        </is>
      </c>
      <c r="F29" s="30" t="inlineStr">
        <is>
          <t xml:space="preserve">B1234EXOTIC26</t>
        </is>
      </c>
      <c r="G29" s="33">
        <f>IF($A29="","",IF($C29="","",YEAR($C29)))</f>
      </c>
      <c r="H29" s="34">
        <v>2015</v>
      </c>
      <c r="I29" s="30" t="inlineStr">
        <is>
          <t xml:space="preserve">Alfa Romeo</t>
        </is>
      </c>
      <c r="J29" s="30" t="inlineStr">
        <is>
          <t xml:space="preserve">8C 2900</t>
        </is>
      </c>
      <c r="K29" s="30" t="inlineStr">
        <is>
          <t xml:space="preserve">J4PK63JL7EE5UM3RR</t>
        </is>
      </c>
      <c r="L29" s="32" t="inlineStr">
        <is>
          <t xml:space="preserve">02 - Sports / GT</t>
        </is>
      </c>
      <c r="M29" s="35">
        <v>1835000</v>
      </c>
      <c r="N29" s="32" t="inlineStr">
        <is>
          <t xml:space="preserve">Personal</t>
        </is>
      </c>
      <c r="O29" s="30" t="inlineStr">
        <is>
          <t xml:space="preserve">Personal - regular use</t>
        </is>
      </c>
      <c r="P29" s="30" t="inlineStr">
        <is>
          <t xml:space="preserve">Under 1,000</t>
        </is>
      </c>
      <c r="Q29" s="30" t="inlineStr">
        <is>
          <t xml:space="preserve">North Carolina</t>
        </is>
      </c>
      <c r="R29" s="30" t="inlineStr">
        <is>
          <t xml:space="preserve">28202</t>
        </is>
      </c>
      <c r="S29" s="32" t="inlineStr">
        <is>
          <t xml:space="preserve">Tier 2 - Coastal wind (1-25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11242.85</v>
      </c>
      <c r="AC29" s="37">
        <v>0</v>
      </c>
      <c r="AD29" s="38">
        <f>IF(ISNUMBER($AB29),$AB29*(1+N($AC29)),"")</f>
      </c>
      <c r="AE29" s="35">
        <v>350</v>
      </c>
      <c r="AF29" s="35">
        <v>250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CANON-202604-006591</t>
        </is>
      </c>
      <c r="B30" s="46" t="inlineStr">
        <is>
          <t xml:space="preserve">Fitzgerald Castellanos</t>
        </is>
      </c>
      <c r="C30" s="47">
        <v>46124</v>
      </c>
      <c r="D30" s="48" t="inlineStr">
        <is>
          <t xml:space="preserve">Bound - within authority</t>
        </is>
      </c>
      <c r="E30" s="48" t="inlineStr">
        <is>
          <t xml:space="preserve">New business</t>
        </is>
      </c>
      <c r="F30" s="46" t="inlineStr">
        <is>
          <t xml:space="preserve">B1234EXOTIC26</t>
        </is>
      </c>
      <c r="G30" s="33">
        <f>IF($A30="","",IF($C30="","",YEAR($C30)))</f>
      </c>
      <c r="H30" s="49">
        <v>2009</v>
      </c>
      <c r="I30" s="46" t="inlineStr">
        <is>
          <t xml:space="preserve">Bentley</t>
        </is>
      </c>
      <c r="J30" s="46" t="inlineStr">
        <is>
          <t xml:space="preserve">Continental GT</t>
        </is>
      </c>
      <c r="K30" s="46" t="inlineStr">
        <is>
          <t xml:space="preserve">J5XYHNRPD3CYZM8LD</t>
        </is>
      </c>
      <c r="L30" s="48" t="inlineStr">
        <is>
          <t xml:space="preserve">02 - Sports / GT</t>
        </is>
      </c>
      <c r="M30" s="50">
        <v>350000</v>
      </c>
      <c r="N30" s="48" t="inlineStr">
        <is>
          <t xml:space="preserve">Personal</t>
        </is>
      </c>
      <c r="O30" s="46" t="inlineStr">
        <is>
          <t xml:space="preserve">Personal - regular use</t>
        </is>
      </c>
      <c r="P30" s="46" t="inlineStr">
        <is>
          <t xml:space="preserve">2,500 - 5,000</t>
        </is>
      </c>
      <c r="Q30" s="46" t="inlineStr">
        <is>
          <t xml:space="preserve">Colorado</t>
        </is>
      </c>
      <c r="R30" s="46" t="inlineStr">
        <is>
          <t xml:space="preserve">80202</t>
        </is>
      </c>
      <c r="S30" s="48" t="inlineStr">
        <is>
          <t xml:space="preserve">Severe convective - hail alley (high)</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4524.66</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CANON-202604-006593</t>
        </is>
      </c>
      <c r="B31" s="30" t="inlineStr">
        <is>
          <t xml:space="preserve">Everett Kingsford</t>
        </is>
      </c>
      <c r="C31" s="31">
        <v>46136</v>
      </c>
      <c r="D31" s="32" t="inlineStr">
        <is>
          <t xml:space="preserve">Bound - within authority</t>
        </is>
      </c>
      <c r="E31" s="32" t="inlineStr">
        <is>
          <t xml:space="preserve">New business</t>
        </is>
      </c>
      <c r="F31" s="30" t="inlineStr">
        <is>
          <t xml:space="preserve">B1234EXOTIC26</t>
        </is>
      </c>
      <c r="G31" s="33">
        <f>IF($A31="","",IF($C31="","",YEAR($C31)))</f>
      </c>
      <c r="H31" s="34">
        <v>1996</v>
      </c>
      <c r="I31" s="30" t="inlineStr">
        <is>
          <t xml:space="preserve">McLaren</t>
        </is>
      </c>
      <c r="J31" s="30" t="inlineStr">
        <is>
          <t xml:space="preserve">750S</t>
        </is>
      </c>
      <c r="K31" s="30" t="inlineStr">
        <is>
          <t xml:space="preserve">3L1EYTH1ND3LKZDNB</t>
        </is>
      </c>
      <c r="L31" s="32" t="inlineStr">
        <is>
          <t xml:space="preserve">03 - Supercar</t>
        </is>
      </c>
      <c r="M31" s="35">
        <v>1950000</v>
      </c>
      <c r="N31" s="32" t="inlineStr">
        <is>
          <t xml:space="preserve">Personal</t>
        </is>
      </c>
      <c r="O31" s="30" t="inlineStr">
        <is>
          <t xml:space="preserve">Personal - regular use</t>
        </is>
      </c>
      <c r="P31" s="30" t="inlineStr">
        <is>
          <t xml:space="preserve">1,000 - 2,500</t>
        </is>
      </c>
      <c r="Q31" s="30" t="inlineStr">
        <is>
          <t xml:space="preserve">Michigan</t>
        </is>
      </c>
      <c r="R31" s="30" t="inlineStr">
        <is>
          <t xml:space="preserve">48226</t>
        </is>
      </c>
      <c r="S31" s="32" t="inlineStr">
        <is>
          <t xml:space="preserve">Severe convective - hail / tornado (moderate)</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37889.6</v>
      </c>
      <c r="AC31" s="37">
        <v>0</v>
      </c>
      <c r="AD31" s="38">
        <f>IF(ISNUMBER($AB31),$AB31*(1+N($AC31)),"")</f>
      </c>
      <c r="AE31" s="35">
        <v>350</v>
      </c>
      <c r="AF31" s="35">
        <v>250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CANON-202604-006594</t>
        </is>
      </c>
      <c r="B32" s="46" t="inlineStr">
        <is>
          <t xml:space="preserve">Delphine Merriweather</t>
        </is>
      </c>
      <c r="C32" s="47">
        <v>46119</v>
      </c>
      <c r="D32" s="48" t="inlineStr">
        <is>
          <t xml:space="preserve">Bound - within authority</t>
        </is>
      </c>
      <c r="E32" s="48" t="inlineStr">
        <is>
          <t xml:space="preserve">New business</t>
        </is>
      </c>
      <c r="F32" s="46" t="inlineStr">
        <is>
          <t xml:space="preserve">B1234EXOTIC26</t>
        </is>
      </c>
      <c r="G32" s="33">
        <f>IF($A32="","",IF($C32="","",YEAR($C32)))</f>
      </c>
      <c r="H32" s="49">
        <v>1962</v>
      </c>
      <c r="I32" s="46" t="inlineStr">
        <is>
          <t xml:space="preserve">Porsche</t>
        </is>
      </c>
      <c r="J32" s="46" t="inlineStr">
        <is>
          <t xml:space="preserve">911 Turbo S</t>
        </is>
      </c>
      <c r="K32" s="46" t="inlineStr">
        <is>
          <t xml:space="preserve">WPLDA3JY7EXGP56GP</t>
        </is>
      </c>
      <c r="L32" s="48" t="inlineStr">
        <is>
          <t xml:space="preserve">02 - Sports / GT</t>
        </is>
      </c>
      <c r="M32" s="50">
        <v>375000</v>
      </c>
      <c r="N32" s="48" t="inlineStr">
        <is>
          <t xml:space="preserve">Personal</t>
        </is>
      </c>
      <c r="O32" s="46" t="inlineStr">
        <is>
          <t xml:space="preserve">Personal - regular use</t>
        </is>
      </c>
      <c r="P32" s="46" t="inlineStr">
        <is>
          <t xml:space="preserve">2,500 - 5,000</t>
        </is>
      </c>
      <c r="Q32" s="46" t="inlineStr">
        <is>
          <t xml:space="preserve">Utah</t>
        </is>
      </c>
      <c r="R32" s="46" t="inlineStr">
        <is>
          <t xml:space="preserve">84101</t>
        </is>
      </c>
      <c r="S32" s="48" t="inlineStr">
        <is>
          <t xml:space="preserve">Wildfire - WUI high hazard</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5949.64</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CANON-202604-006595</t>
        </is>
      </c>
      <c r="B33" s="30" t="inlineStr">
        <is>
          <t xml:space="preserve">Beatrix Delacroix</t>
        </is>
      </c>
      <c r="C33" s="31">
        <v>46131</v>
      </c>
      <c r="D33" s="32" t="inlineStr">
        <is>
          <t xml:space="preserve">Bound - within authority</t>
        </is>
      </c>
      <c r="E33" s="32" t="inlineStr">
        <is>
          <t xml:space="preserve">New business</t>
        </is>
      </c>
      <c r="F33" s="30" t="inlineStr">
        <is>
          <t xml:space="preserve">B1234EXOTIC26</t>
        </is>
      </c>
      <c r="G33" s="33">
        <f>IF($A33="","",IF($C33="","",YEAR($C33)))</f>
      </c>
      <c r="H33" s="34">
        <v>1980</v>
      </c>
      <c r="I33" s="30" t="inlineStr">
        <is>
          <t xml:space="preserve">Lamborghini</t>
        </is>
      </c>
      <c r="J33" s="30" t="inlineStr">
        <is>
          <t xml:space="preserve">Huracan EVO</t>
        </is>
      </c>
      <c r="K33" s="30" t="inlineStr">
        <is>
          <t xml:space="preserve">06CJC77MYYWSU5B3V</t>
        </is>
      </c>
      <c r="L33" s="32" t="inlineStr">
        <is>
          <t xml:space="preserve">03 - Supercar</t>
        </is>
      </c>
      <c r="M33" s="35">
        <v>625000</v>
      </c>
      <c r="N33" s="32" t="inlineStr">
        <is>
          <t xml:space="preserve">Personal</t>
        </is>
      </c>
      <c r="O33" s="30" t="inlineStr">
        <is>
          <t xml:space="preserve">Personal - regular use</t>
        </is>
      </c>
      <c r="P33" s="30" t="inlineStr">
        <is>
          <t xml:space="preserve">1,000 - 2,500</t>
        </is>
      </c>
      <c r="Q33" s="30" t="inlineStr">
        <is>
          <t xml:space="preserve">Rhode Island</t>
        </is>
      </c>
      <c r="R33" s="30" t="inlineStr">
        <is>
          <t xml:space="preserve">02903</t>
        </is>
      </c>
      <c r="S33" s="32" t="inlineStr">
        <is>
          <t xml:space="preserve">Tier 3 - Coastal wind (25-100 miles)</t>
        </is>
      </c>
      <c r="T33" s="36">
        <f>IF($A33="","",IF($S33="","",IFERROR(INDEX('[1]natural catastrophe'!$D$6:$D$17,MATCH($S33,'[1]natural catastrophe'!$B$6:$B$17,0)),"?")))</f>
      </c>
      <c r="U33" s="30" t="inlineStr">
        <is>
          <t xml:space="preserve">2% of agreed value, minimum $10,000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12746.41</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CANON-202604-006597</t>
        </is>
      </c>
      <c r="B34" s="46" t="inlineStr">
        <is>
          <t xml:space="preserve">Ramona Farkas</t>
        </is>
      </c>
      <c r="C34" s="47">
        <v>46140</v>
      </c>
      <c r="D34" s="48" t="inlineStr">
        <is>
          <t xml:space="preserve">Bound - within authority</t>
        </is>
      </c>
      <c r="E34" s="48" t="inlineStr">
        <is>
          <t xml:space="preserve">New business</t>
        </is>
      </c>
      <c r="F34" s="46" t="inlineStr">
        <is>
          <t xml:space="preserve">B1234EXOTIC26</t>
        </is>
      </c>
      <c r="G34" s="33">
        <f>IF($A34="","",IF($C34="","",YEAR($C34)))</f>
      </c>
      <c r="H34" s="49">
        <v>1978</v>
      </c>
      <c r="I34" s="46" t="inlineStr">
        <is>
          <t xml:space="preserve">Jaguar</t>
        </is>
      </c>
      <c r="J34" s="46" t="inlineStr">
        <is>
          <t xml:space="preserve">E-Type Series 1</t>
        </is>
      </c>
      <c r="K34" s="46" t="inlineStr">
        <is>
          <t xml:space="preserve">99M4NV2ZTCZJ3EGDS</t>
        </is>
      </c>
      <c r="L34" s="48" t="inlineStr">
        <is>
          <t xml:space="preserve">08 - Modern Classic (1973-1999)</t>
        </is>
      </c>
      <c r="M34" s="50">
        <v>870000</v>
      </c>
      <c r="N34" s="48" t="inlineStr">
        <is>
          <t xml:space="preserve">Personal</t>
        </is>
      </c>
      <c r="O34" s="46" t="inlineStr">
        <is>
          <t xml:space="preserve">Personal - regular use</t>
        </is>
      </c>
      <c r="P34" s="46" t="inlineStr">
        <is>
          <t xml:space="preserve">1,000 - 2,500</t>
        </is>
      </c>
      <c r="Q34" s="46" t="inlineStr">
        <is>
          <t xml:space="preserve">California</t>
        </is>
      </c>
      <c r="R34" s="46" t="inlineStr">
        <is>
          <t xml:space="preserve">90012</t>
        </is>
      </c>
      <c r="S34" s="48" t="inlineStr">
        <is>
          <t xml:space="preserve">Earthquake - high (CA, Cascadia, New Madrid)</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7913.8</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CANON-202604-006598</t>
        </is>
      </c>
      <c r="B35" s="30" t="inlineStr">
        <is>
          <t xml:space="preserve">Beatrix Delacroix</t>
        </is>
      </c>
      <c r="C35" s="31">
        <v>46131</v>
      </c>
      <c r="D35" s="32" t="inlineStr">
        <is>
          <t xml:space="preserve">Bound - within authority</t>
        </is>
      </c>
      <c r="E35" s="32" t="inlineStr">
        <is>
          <t xml:space="preserve">New business</t>
        </is>
      </c>
      <c r="F35" s="30" t="inlineStr">
        <is>
          <t xml:space="preserve">B1234EXOTIC26</t>
        </is>
      </c>
      <c r="G35" s="33">
        <f>IF($A35="","",IF($C35="","",YEAR($C35)))</f>
      </c>
      <c r="H35" s="34">
        <v>1981</v>
      </c>
      <c r="I35" s="30" t="inlineStr">
        <is>
          <t xml:space="preserve">Bentley</t>
        </is>
      </c>
      <c r="J35" s="30" t="inlineStr">
        <is>
          <t xml:space="preserve">Continental GT</t>
        </is>
      </c>
      <c r="K35" s="30" t="inlineStr">
        <is>
          <t xml:space="preserve">3HKNZP3579WBDC09K</t>
        </is>
      </c>
      <c r="L35" s="32" t="inlineStr">
        <is>
          <t xml:space="preserve">02 - Sports / GT</t>
        </is>
      </c>
      <c r="M35" s="35">
        <v>365000</v>
      </c>
      <c r="N35" s="32" t="inlineStr">
        <is>
          <t xml:space="preserve">Personal</t>
        </is>
      </c>
      <c r="O35" s="30" t="inlineStr">
        <is>
          <t xml:space="preserve">Personal - regular use</t>
        </is>
      </c>
      <c r="P35" s="30" t="inlineStr">
        <is>
          <t xml:space="preserve">Under 1,000</t>
        </is>
      </c>
      <c r="Q35" s="30" t="inlineStr">
        <is>
          <t xml:space="preserve">Rhode Island</t>
        </is>
      </c>
      <c r="R35" s="30" t="inlineStr">
        <is>
          <t xml:space="preserve">02903</t>
        </is>
      </c>
      <c r="S35" s="32" t="inlineStr">
        <is>
          <t xml:space="preserve">Tier 3 - Coastal wind (25-100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5876.77</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CANON-202604-006599</t>
        </is>
      </c>
      <c r="B36" s="46" t="inlineStr">
        <is>
          <t xml:space="preserve">Fitzgerald Merriweather</t>
        </is>
      </c>
      <c r="C36" s="47">
        <v>46135</v>
      </c>
      <c r="D36" s="48" t="inlineStr">
        <is>
          <t xml:space="preserve">Bound - within authority</t>
        </is>
      </c>
      <c r="E36" s="48" t="inlineStr">
        <is>
          <t xml:space="preserve">New business</t>
        </is>
      </c>
      <c r="F36" s="46" t="inlineStr">
        <is>
          <t xml:space="preserve">B1234EXOTIC26</t>
        </is>
      </c>
      <c r="G36" s="33">
        <f>IF($A36="","",IF($C36="","",YEAR($C36)))</f>
      </c>
      <c r="H36" s="49">
        <v>2022</v>
      </c>
      <c r="I36" s="46" t="inlineStr">
        <is>
          <t xml:space="preserve">BMW</t>
        </is>
      </c>
      <c r="J36" s="46" t="inlineStr">
        <is>
          <t xml:space="preserve">M8 Competition</t>
        </is>
      </c>
      <c r="K36" s="46" t="inlineStr">
        <is>
          <t xml:space="preserve">0XJSW65GXL1VZHY6G</t>
        </is>
      </c>
      <c r="L36" s="48" t="inlineStr">
        <is>
          <t xml:space="preserve">02 - Sports / GT</t>
        </is>
      </c>
      <c r="M36" s="50">
        <v>940000</v>
      </c>
      <c r="N36" s="48" t="inlineStr">
        <is>
          <t xml:space="preserve">Personal</t>
        </is>
      </c>
      <c r="O36" s="46" t="inlineStr">
        <is>
          <t xml:space="preserve">Personal - regular use</t>
        </is>
      </c>
      <c r="P36" s="46" t="inlineStr">
        <is>
          <t xml:space="preserve">Under 1,000</t>
        </is>
      </c>
      <c r="Q36" s="46" t="inlineStr">
        <is>
          <t xml:space="preserve">Iowa</t>
        </is>
      </c>
      <c r="R36" s="46" t="inlineStr">
        <is>
          <t xml:space="preserve">50309</t>
        </is>
      </c>
      <c r="S36" s="48" t="inlineStr">
        <is>
          <t xml:space="preserve">Severe convective - hail alley (high)</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10531.68</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CANON-202604-006600</t>
        </is>
      </c>
      <c r="B37" s="30" t="inlineStr">
        <is>
          <t xml:space="preserve">Marisol Vasquez</t>
        </is>
      </c>
      <c r="C37" s="31">
        <v>46141</v>
      </c>
      <c r="D37" s="32" t="inlineStr">
        <is>
          <t xml:space="preserve">Bound - within authority</t>
        </is>
      </c>
      <c r="E37" s="32" t="inlineStr">
        <is>
          <t xml:space="preserve">New business</t>
        </is>
      </c>
      <c r="F37" s="30" t="inlineStr">
        <is>
          <t xml:space="preserve">B1234EXOTIC26</t>
        </is>
      </c>
      <c r="G37" s="33">
        <f>IF($A37="","",IF($C37="","",YEAR($C37)))</f>
      </c>
      <c r="H37" s="34">
        <v>2023</v>
      </c>
      <c r="I37" s="30" t="inlineStr">
        <is>
          <t xml:space="preserve">Aston Martin</t>
        </is>
      </c>
      <c r="J37" s="30" t="inlineStr">
        <is>
          <t xml:space="preserve">DB12</t>
        </is>
      </c>
      <c r="K37" s="30" t="inlineStr">
        <is>
          <t xml:space="preserve">XMDZG2UVN8HG2HNT6</t>
        </is>
      </c>
      <c r="L37" s="32" t="inlineStr">
        <is>
          <t xml:space="preserve">02 - Sports / GT</t>
        </is>
      </c>
      <c r="M37" s="35">
        <v>460000</v>
      </c>
      <c r="N37" s="32" t="inlineStr">
        <is>
          <t xml:space="preserve">Personal</t>
        </is>
      </c>
      <c r="O37" s="30" t="inlineStr">
        <is>
          <t xml:space="preserve">Personal - regular use</t>
        </is>
      </c>
      <c r="P37" s="30" t="inlineStr">
        <is>
          <t xml:space="preserve">Under 1,000</t>
        </is>
      </c>
      <c r="Q37" s="30" t="inlineStr">
        <is>
          <t xml:space="preserve">Massachusetts</t>
        </is>
      </c>
      <c r="R37" s="30" t="inlineStr">
        <is>
          <t xml:space="preserve">02108</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6757.6</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CANON-202604-006601</t>
        </is>
      </c>
      <c r="B38" s="46" t="inlineStr">
        <is>
          <t xml:space="preserve">Aurelio Harrington</t>
        </is>
      </c>
      <c r="C38" s="47">
        <v>46121</v>
      </c>
      <c r="D38" s="48" t="inlineStr">
        <is>
          <t xml:space="preserve">Bound - within authority</t>
        </is>
      </c>
      <c r="E38" s="48" t="inlineStr">
        <is>
          <t xml:space="preserve">New business</t>
        </is>
      </c>
      <c r="F38" s="46" t="inlineStr">
        <is>
          <t xml:space="preserve">B1234EXOTIC26</t>
        </is>
      </c>
      <c r="G38" s="33">
        <f>IF($A38="","",IF($C38="","",YEAR($C38)))</f>
      </c>
      <c r="H38" s="49">
        <v>1977</v>
      </c>
      <c r="I38" s="46" t="inlineStr">
        <is>
          <t xml:space="preserve">Maserati</t>
        </is>
      </c>
      <c r="J38" s="46" t="inlineStr">
        <is>
          <t xml:space="preserve">GranTurismo</t>
        </is>
      </c>
      <c r="K38" s="46" t="inlineStr">
        <is>
          <t xml:space="preserve">H9EEW56ACCJ5HTC9E</t>
        </is>
      </c>
      <c r="L38" s="48" t="inlineStr">
        <is>
          <t xml:space="preserve">02 - Sports / GT</t>
        </is>
      </c>
      <c r="M38" s="50">
        <v>365000</v>
      </c>
      <c r="N38" s="48" t="inlineStr">
        <is>
          <t xml:space="preserve">Personal</t>
        </is>
      </c>
      <c r="O38" s="46" t="inlineStr">
        <is>
          <t xml:space="preserve">Personal - regular use</t>
        </is>
      </c>
      <c r="P38" s="46" t="inlineStr">
        <is>
          <t xml:space="preserve">Under 1,000</t>
        </is>
      </c>
      <c r="Q38" s="46" t="inlineStr">
        <is>
          <t xml:space="preserve">California</t>
        </is>
      </c>
      <c r="R38" s="46" t="inlineStr">
        <is>
          <t xml:space="preserve">90012</t>
        </is>
      </c>
      <c r="S38" s="48" t="inlineStr">
        <is>
          <t xml:space="preserve">Earthquake - high (CA, Cascadia, New Madrid)</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5790.98</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CANON-202604-006602</t>
        </is>
      </c>
      <c r="B39" s="30" t="inlineStr">
        <is>
          <t xml:space="preserve">Aurelio Thistlewood</t>
        </is>
      </c>
      <c r="C39" s="31">
        <v>46117</v>
      </c>
      <c r="D39" s="32" t="inlineStr">
        <is>
          <t xml:space="preserve">Bound - within authority</t>
        </is>
      </c>
      <c r="E39" s="32" t="inlineStr">
        <is>
          <t xml:space="preserve">New business</t>
        </is>
      </c>
      <c r="F39" s="30" t="inlineStr">
        <is>
          <t xml:space="preserve">B1234EXOTIC26</t>
        </is>
      </c>
      <c r="G39" s="33">
        <f>IF($A39="","",IF($C39="","",YEAR($C39)))</f>
      </c>
      <c r="H39" s="34">
        <v>1966</v>
      </c>
      <c r="I39" s="30" t="inlineStr">
        <is>
          <t xml:space="preserve">BMW</t>
        </is>
      </c>
      <c r="J39" s="30" t="inlineStr">
        <is>
          <t xml:space="preserve">M8 Competition</t>
        </is>
      </c>
      <c r="K39" s="30" t="inlineStr">
        <is>
          <t xml:space="preserve">MJUSBA7KRNK9VY2E0</t>
        </is>
      </c>
      <c r="L39" s="32" t="inlineStr">
        <is>
          <t xml:space="preserve">02 - Sports / GT</t>
        </is>
      </c>
      <c r="M39" s="35">
        <v>300000</v>
      </c>
      <c r="N39" s="32" t="inlineStr">
        <is>
          <t xml:space="preserve">Personal</t>
        </is>
      </c>
      <c r="O39" s="30" t="inlineStr">
        <is>
          <t xml:space="preserve">Personal - regular use</t>
        </is>
      </c>
      <c r="P39" s="30" t="inlineStr">
        <is>
          <t xml:space="preserve">2,500 - 5,000</t>
        </is>
      </c>
      <c r="Q39" s="30" t="inlineStr">
        <is>
          <t xml:space="preserve">Rhode Island</t>
        </is>
      </c>
      <c r="R39" s="30" t="inlineStr">
        <is>
          <t xml:space="preserve">02903</t>
        </is>
      </c>
      <c r="S39" s="32" t="inlineStr">
        <is>
          <t xml:space="preserve">Tier 3 - Coastal wind (25-100 miles)</t>
        </is>
      </c>
      <c r="T39" s="36">
        <f>IF($A39="","",IF($S39="","",IFERROR(INDEX('[1]natural catastrophe'!$D$6:$D$17,MATCH($S39,'[1]natural catastrophe'!$B$6:$B$17,0)),"?")))</f>
      </c>
      <c r="U39" s="30" t="inlineStr">
        <is>
          <t xml:space="preserve">2% of agreed value, minimum $10,000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4830.22</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CANON-202604-006604</t>
        </is>
      </c>
      <c r="B40" s="46" t="inlineStr">
        <is>
          <t xml:space="preserve">Lorenzo Whitlock</t>
        </is>
      </c>
      <c r="C40" s="47">
        <v>46140</v>
      </c>
      <c r="D40" s="48" t="inlineStr">
        <is>
          <t xml:space="preserve">Bound - within authority</t>
        </is>
      </c>
      <c r="E40" s="48" t="inlineStr">
        <is>
          <t xml:space="preserve">New business</t>
        </is>
      </c>
      <c r="F40" s="46" t="inlineStr">
        <is>
          <t xml:space="preserve">B1234EXOTIC26</t>
        </is>
      </c>
      <c r="G40" s="33">
        <f>IF($A40="","",IF($C40="","",YEAR($C40)))</f>
      </c>
      <c r="H40" s="49">
        <v>1986</v>
      </c>
      <c r="I40" s="46" t="inlineStr">
        <is>
          <t xml:space="preserve">Aston Martin</t>
        </is>
      </c>
      <c r="J40" s="46" t="inlineStr">
        <is>
          <t xml:space="preserve">DB12</t>
        </is>
      </c>
      <c r="K40" s="46" t="inlineStr">
        <is>
          <t xml:space="preserve">3TKGPPBGJJUGDABVG</t>
        </is>
      </c>
      <c r="L40" s="48" t="inlineStr">
        <is>
          <t xml:space="preserve">02 - Sports / GT</t>
        </is>
      </c>
      <c r="M40" s="50">
        <v>1040000</v>
      </c>
      <c r="N40" s="48" t="inlineStr">
        <is>
          <t xml:space="preserve">Personal</t>
        </is>
      </c>
      <c r="O40" s="46" t="inlineStr">
        <is>
          <t xml:space="preserve">Personal - regular use</t>
        </is>
      </c>
      <c r="P40" s="46" t="inlineStr">
        <is>
          <t xml:space="preserve">2,500 - 5,000</t>
        </is>
      </c>
      <c r="Q40" s="46" t="inlineStr">
        <is>
          <t xml:space="preserve">Oklahoma</t>
        </is>
      </c>
      <c r="R40" s="46" t="inlineStr">
        <is>
          <t xml:space="preserve">73102</t>
        </is>
      </c>
      <c r="S40" s="48" t="inlineStr">
        <is>
          <t xml:space="preserve">Severe convective - hail alley (high)</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11293.55</v>
      </c>
      <c r="AC40" s="51">
        <v>0</v>
      </c>
      <c r="AD40" s="38">
        <f>IF(ISNUMBER($AB40),$AB40*(1+N($AC40)),"")</f>
      </c>
      <c r="AE40" s="50">
        <v>350</v>
      </c>
      <c r="AF40" s="50">
        <v>250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CANON-202604-006605</t>
        </is>
      </c>
      <c r="B41" s="30" t="inlineStr">
        <is>
          <t xml:space="preserve">Wilhelmina Blackwood</t>
        </is>
      </c>
      <c r="C41" s="31">
        <v>46129</v>
      </c>
      <c r="D41" s="32" t="inlineStr">
        <is>
          <t xml:space="preserve">Bound - within authority</t>
        </is>
      </c>
      <c r="E41" s="32" t="inlineStr">
        <is>
          <t xml:space="preserve">New business</t>
        </is>
      </c>
      <c r="F41" s="30" t="inlineStr">
        <is>
          <t xml:space="preserve">B1234EXOTIC26</t>
        </is>
      </c>
      <c r="G41" s="33">
        <f>IF($A41="","",IF($C41="","",YEAR($C41)))</f>
      </c>
      <c r="H41" s="34">
        <v>2023</v>
      </c>
      <c r="I41" s="30" t="inlineStr">
        <is>
          <t xml:space="preserve">BMW</t>
        </is>
      </c>
      <c r="J41" s="30" t="inlineStr">
        <is>
          <t xml:space="preserve">M8 Competition</t>
        </is>
      </c>
      <c r="K41" s="30" t="inlineStr">
        <is>
          <t xml:space="preserve">W06Y9SF22XL2UPPXH</t>
        </is>
      </c>
      <c r="L41" s="32" t="inlineStr">
        <is>
          <t xml:space="preserve">02 - Sports / GT</t>
        </is>
      </c>
      <c r="M41" s="35">
        <v>855000</v>
      </c>
      <c r="N41" s="32" t="inlineStr">
        <is>
          <t xml:space="preserve">Personal</t>
        </is>
      </c>
      <c r="O41" s="30" t="inlineStr">
        <is>
          <t xml:space="preserve">Personal - regular use</t>
        </is>
      </c>
      <c r="P41" s="30" t="inlineStr">
        <is>
          <t xml:space="preserve">1,000 - 2,500</t>
        </is>
      </c>
      <c r="Q41" s="30" t="inlineStr">
        <is>
          <t xml:space="preserve">Florida</t>
        </is>
      </c>
      <c r="R41" s="30" t="inlineStr">
        <is>
          <t xml:space="preserve">33139</t>
        </is>
      </c>
      <c r="S41" s="32" t="inlineStr">
        <is>
          <t xml:space="preserve">Tier 2 - Coastal wind (1-25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12366.07</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CANON-202604-006607</t>
        </is>
      </c>
      <c r="B42" s="46" t="inlineStr">
        <is>
          <t xml:space="preserve">Emiliano Ashcombe</t>
        </is>
      </c>
      <c r="C42" s="47">
        <v>46123</v>
      </c>
      <c r="D42" s="48" t="inlineStr">
        <is>
          <t xml:space="preserve">Bound - within authority</t>
        </is>
      </c>
      <c r="E42" s="48" t="inlineStr">
        <is>
          <t xml:space="preserve">New business</t>
        </is>
      </c>
      <c r="F42" s="46" t="inlineStr">
        <is>
          <t xml:space="preserve">B1234EXOTIC26</t>
        </is>
      </c>
      <c r="G42" s="33">
        <f>IF($A42="","",IF($C42="","",YEAR($C42)))</f>
      </c>
      <c r="H42" s="49">
        <v>1998</v>
      </c>
      <c r="I42" s="46" t="inlineStr">
        <is>
          <t xml:space="preserve">Porsche</t>
        </is>
      </c>
      <c r="J42" s="46" t="inlineStr">
        <is>
          <t xml:space="preserve">911 Turbo S</t>
        </is>
      </c>
      <c r="K42" s="46" t="inlineStr">
        <is>
          <t xml:space="preserve">HC4APN5Y94BPRKC84</t>
        </is>
      </c>
      <c r="L42" s="48" t="inlineStr">
        <is>
          <t xml:space="preserve">02 - Sports / GT</t>
        </is>
      </c>
      <c r="M42" s="50">
        <v>960000</v>
      </c>
      <c r="N42" s="48" t="inlineStr">
        <is>
          <t xml:space="preserve">Personal</t>
        </is>
      </c>
      <c r="O42" s="46" t="inlineStr">
        <is>
          <t xml:space="preserve">Personal - regular use</t>
        </is>
      </c>
      <c r="P42" s="46" t="inlineStr">
        <is>
          <t xml:space="preserve">2,500 - 5,000</t>
        </is>
      </c>
      <c r="Q42" s="46" t="inlineStr">
        <is>
          <t xml:space="preserve">California</t>
        </is>
      </c>
      <c r="R42" s="46" t="inlineStr">
        <is>
          <t xml:space="preserve">90012</t>
        </is>
      </c>
      <c r="S42" s="48" t="inlineStr">
        <is>
          <t xml:space="preserve">Earthquake - high (CA, Cascadia, New Madrid)</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13200.25</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CANON-202604-006608</t>
        </is>
      </c>
      <c r="B43" s="30" t="inlineStr">
        <is>
          <t xml:space="preserve">Sunniva Blackwood</t>
        </is>
      </c>
      <c r="C43" s="31">
        <v>46139</v>
      </c>
      <c r="D43" s="32" t="inlineStr">
        <is>
          <t xml:space="preserve">Bound - within authority</t>
        </is>
      </c>
      <c r="E43" s="32" t="inlineStr">
        <is>
          <t xml:space="preserve">New business</t>
        </is>
      </c>
      <c r="F43" s="30" t="inlineStr">
        <is>
          <t xml:space="preserve">B1234EXOTIC26</t>
        </is>
      </c>
      <c r="G43" s="33">
        <f>IF($A43="","",IF($C43="","",YEAR($C43)))</f>
      </c>
      <c r="H43" s="34">
        <v>2024</v>
      </c>
      <c r="I43" s="30" t="inlineStr">
        <is>
          <t xml:space="preserve">Porsche</t>
        </is>
      </c>
      <c r="J43" s="30" t="inlineStr">
        <is>
          <t xml:space="preserve">911 Turbo S</t>
        </is>
      </c>
      <c r="K43" s="30" t="inlineStr">
        <is>
          <t xml:space="preserve">8ELCMA25TSCX3ES43</t>
        </is>
      </c>
      <c r="L43" s="32" t="inlineStr">
        <is>
          <t xml:space="preserve">02 - Sports / GT</t>
        </is>
      </c>
      <c r="M43" s="35">
        <v>1020000</v>
      </c>
      <c r="N43" s="32" t="inlineStr">
        <is>
          <t xml:space="preserve">Personal</t>
        </is>
      </c>
      <c r="O43" s="30" t="inlineStr">
        <is>
          <t xml:space="preserve">Personal - regular use</t>
        </is>
      </c>
      <c r="P43" s="30" t="inlineStr">
        <is>
          <t xml:space="preserve">2,500 - 5,000</t>
        </is>
      </c>
      <c r="Q43" s="30" t="inlineStr">
        <is>
          <t xml:space="preserve">Illinois</t>
        </is>
      </c>
      <c r="R43" s="30" t="inlineStr">
        <is>
          <t xml:space="preserve">60601</t>
        </is>
      </c>
      <c r="S43" s="32" t="inlineStr">
        <is>
          <t xml:space="preserve">Severe convective - hail / tornado (moderate)</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11955.44</v>
      </c>
      <c r="AC43" s="37">
        <v>0</v>
      </c>
      <c r="AD43" s="38">
        <f>IF(ISNUMBER($AB43),$AB43*(1+N($AC43)),"")</f>
      </c>
      <c r="AE43" s="35">
        <v>350</v>
      </c>
      <c r="AF43" s="35">
        <v>250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CANON-202604-006609</t>
        </is>
      </c>
      <c r="B44" s="46" t="inlineStr">
        <is>
          <t xml:space="preserve">Aurelio Farkas</t>
        </is>
      </c>
      <c r="C44" s="47">
        <v>46129</v>
      </c>
      <c r="D44" s="48" t="inlineStr">
        <is>
          <t xml:space="preserve">Bound - within authority</t>
        </is>
      </c>
      <c r="E44" s="48" t="inlineStr">
        <is>
          <t xml:space="preserve">New business</t>
        </is>
      </c>
      <c r="F44" s="46" t="inlineStr">
        <is>
          <t xml:space="preserve">B1234EXOTIC26</t>
        </is>
      </c>
      <c r="G44" s="33">
        <f>IF($A44="","",IF($C44="","",YEAR($C44)))</f>
      </c>
      <c r="H44" s="49">
        <v>2023</v>
      </c>
      <c r="I44" s="46" t="inlineStr">
        <is>
          <t xml:space="preserve">Singer</t>
        </is>
      </c>
      <c r="J44" s="46" t="inlineStr">
        <is>
          <t xml:space="preserve">911 Reimagined</t>
        </is>
      </c>
      <c r="K44" s="46" t="inlineStr">
        <is>
          <t xml:space="preserve">VDTA3GRWBCA27E25B</t>
        </is>
      </c>
      <c r="L44" s="48" t="inlineStr">
        <is>
          <t xml:space="preserve">11 - Restomod / Coachbuilt / Bespoke</t>
        </is>
      </c>
      <c r="M44" s="50">
        <v>500000</v>
      </c>
      <c r="N44" s="48" t="inlineStr">
        <is>
          <t xml:space="preserve">Personal</t>
        </is>
      </c>
      <c r="O44" s="46" t="inlineStr">
        <is>
          <t xml:space="preserve">Personal - regular use</t>
        </is>
      </c>
      <c r="P44" s="46" t="inlineStr">
        <is>
          <t xml:space="preserve">2,500 - 5,000</t>
        </is>
      </c>
      <c r="Q44" s="46" t="inlineStr">
        <is>
          <t xml:space="preserve">Massachusetts</t>
        </is>
      </c>
      <c r="R44" s="46" t="inlineStr">
        <is>
          <t xml:space="preserve">02108</t>
        </is>
      </c>
      <c r="S44" s="48" t="inlineStr">
        <is>
          <t xml:space="preserve">Tier 3 - Coastal wind (25-100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7639.03</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CANON-202604-006610</t>
        </is>
      </c>
      <c r="B45" s="30" t="inlineStr">
        <is>
          <t xml:space="preserve">Emiliano Underwood</t>
        </is>
      </c>
      <c r="C45" s="31">
        <v>46133</v>
      </c>
      <c r="D45" s="32" t="inlineStr">
        <is>
          <t xml:space="preserve">Bound - within authority</t>
        </is>
      </c>
      <c r="E45" s="32" t="inlineStr">
        <is>
          <t xml:space="preserve">New business</t>
        </is>
      </c>
      <c r="F45" s="30" t="inlineStr">
        <is>
          <t xml:space="preserve">B1234EXOTIC26</t>
        </is>
      </c>
      <c r="G45" s="33">
        <f>IF($A45="","",IF($C45="","",YEAR($C45)))</f>
      </c>
      <c r="H45" s="34">
        <v>1973</v>
      </c>
      <c r="I45" s="30" t="inlineStr">
        <is>
          <t xml:space="preserve">Maserati</t>
        </is>
      </c>
      <c r="J45" s="30" t="inlineStr">
        <is>
          <t xml:space="preserve">GranTurismo</t>
        </is>
      </c>
      <c r="K45" s="30" t="inlineStr">
        <is>
          <t xml:space="preserve">0TX9761RKNTX1LK4D</t>
        </is>
      </c>
      <c r="L45" s="32" t="inlineStr">
        <is>
          <t xml:space="preserve">02 - Sports / GT</t>
        </is>
      </c>
      <c r="M45" s="35">
        <v>1595000</v>
      </c>
      <c r="N45" s="32" t="inlineStr">
        <is>
          <t xml:space="preserve">Personal</t>
        </is>
      </c>
      <c r="O45" s="30" t="inlineStr">
        <is>
          <t xml:space="preserve">Personal - regular use</t>
        </is>
      </c>
      <c r="P45" s="30" t="inlineStr">
        <is>
          <t xml:space="preserve">2,500 - 5,000</t>
        </is>
      </c>
      <c r="Q45" s="30" t="inlineStr">
        <is>
          <t xml:space="preserve">Massachusetts</t>
        </is>
      </c>
      <c r="R45" s="30" t="inlineStr">
        <is>
          <t xml:space="preserve">02108</t>
        </is>
      </c>
      <c r="S45" s="32" t="inlineStr">
        <is>
          <t xml:space="preserve">Tier 3 - Coastal wind (25-100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17182.93</v>
      </c>
      <c r="AC45" s="37">
        <v>0</v>
      </c>
      <c r="AD45" s="38">
        <f>IF(ISNUMBER($AB45),$AB45*(1+N($AC45)),"")</f>
      </c>
      <c r="AE45" s="35">
        <v>350</v>
      </c>
      <c r="AF45" s="35">
        <v>250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CANON-202604-006611</t>
        </is>
      </c>
      <c r="B46" s="46" t="inlineStr">
        <is>
          <t xml:space="preserve">Fenwick Underwood</t>
        </is>
      </c>
      <c r="C46" s="47">
        <v>46116</v>
      </c>
      <c r="D46" s="48" t="inlineStr">
        <is>
          <t xml:space="preserve">Bound - within authority</t>
        </is>
      </c>
      <c r="E46" s="48" t="inlineStr">
        <is>
          <t xml:space="preserve">New business</t>
        </is>
      </c>
      <c r="F46" s="46" t="inlineStr">
        <is>
          <t xml:space="preserve">B1234EXOTIC26</t>
        </is>
      </c>
      <c r="G46" s="33">
        <f>IF($A46="","",IF($C46="","",YEAR($C46)))</f>
      </c>
      <c r="H46" s="49">
        <v>1963</v>
      </c>
      <c r="I46" s="46" t="inlineStr">
        <is>
          <t xml:space="preserve">Mercedes-Benz</t>
        </is>
      </c>
      <c r="J46" s="46" t="inlineStr">
        <is>
          <t xml:space="preserve">280SL Pagoda</t>
        </is>
      </c>
      <c r="K46" s="46" t="inlineStr">
        <is>
          <t xml:space="preserve">X2GE3Y8N3K1UEJTYD</t>
        </is>
      </c>
      <c r="L46" s="48" t="inlineStr">
        <is>
          <t xml:space="preserve">07 - Post-War Classic (1946-1972)</t>
        </is>
      </c>
      <c r="M46" s="50">
        <v>535000</v>
      </c>
      <c r="N46" s="48" t="inlineStr">
        <is>
          <t xml:space="preserve">Personal</t>
        </is>
      </c>
      <c r="O46" s="46" t="inlineStr">
        <is>
          <t xml:space="preserve">Personal - regular use</t>
        </is>
      </c>
      <c r="P46" s="46" t="inlineStr">
        <is>
          <t xml:space="preserve">1,000 - 2,500</t>
        </is>
      </c>
      <c r="Q46" s="46" t="inlineStr">
        <is>
          <t xml:space="preserve">Washington</t>
        </is>
      </c>
      <c r="R46" s="46" t="inlineStr">
        <is>
          <t xml:space="preserve">98101</t>
        </is>
      </c>
      <c r="S46" s="48" t="inlineStr">
        <is>
          <t xml:space="preserve">Earthquake - high (CA, Cascadia, New Madrid)</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3460.64</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CANON-202604-006612</t>
        </is>
      </c>
      <c r="B47" s="30" t="inlineStr">
        <is>
          <t xml:space="preserve">Priya Kingsford</t>
        </is>
      </c>
      <c r="C47" s="31">
        <v>46125</v>
      </c>
      <c r="D47" s="32" t="inlineStr">
        <is>
          <t xml:space="preserve">Bound - within authority</t>
        </is>
      </c>
      <c r="E47" s="32" t="inlineStr">
        <is>
          <t xml:space="preserve">New business</t>
        </is>
      </c>
      <c r="F47" s="30" t="inlineStr">
        <is>
          <t xml:space="preserve">B1234EXOTIC26</t>
        </is>
      </c>
      <c r="G47" s="33">
        <f>IF($A47="","",IF($C47="","",YEAR($C47)))</f>
      </c>
      <c r="H47" s="34">
        <v>1961</v>
      </c>
      <c r="I47" s="30" t="inlineStr">
        <is>
          <t xml:space="preserve">Ferrari</t>
        </is>
      </c>
      <c r="J47" s="30" t="inlineStr">
        <is>
          <t xml:space="preserve">SF90 Stradale</t>
        </is>
      </c>
      <c r="K47" s="30" t="inlineStr">
        <is>
          <t xml:space="preserve">1JZ51C63R2L81HJCW</t>
        </is>
      </c>
      <c r="L47" s="32" t="inlineStr">
        <is>
          <t xml:space="preserve">03 - Supercar</t>
        </is>
      </c>
      <c r="M47" s="35">
        <v>1615000</v>
      </c>
      <c r="N47" s="32" t="inlineStr">
        <is>
          <t xml:space="preserve">Personal</t>
        </is>
      </c>
      <c r="O47" s="30" t="inlineStr">
        <is>
          <t xml:space="preserve">Personal - regular use</t>
        </is>
      </c>
      <c r="P47" s="30" t="inlineStr">
        <is>
          <t xml:space="preserve">Under 1,000</t>
        </is>
      </c>
      <c r="Q47" s="30" t="inlineStr">
        <is>
          <t xml:space="preserve">California</t>
        </is>
      </c>
      <c r="R47" s="30" t="inlineStr">
        <is>
          <t xml:space="preserve">90012</t>
        </is>
      </c>
      <c r="S47" s="32" t="inlineStr">
        <is>
          <t xml:space="preserve">Earthquake - high (CA, Cascadia, New Madrid)</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27331.28</v>
      </c>
      <c r="AC47" s="37">
        <v>0</v>
      </c>
      <c r="AD47" s="38">
        <f>IF(ISNUMBER($AB47),$AB47*(1+N($AC47)),"")</f>
      </c>
      <c r="AE47" s="35">
        <v>350</v>
      </c>
      <c r="AF47" s="35">
        <v>250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CANON-202604-006613</t>
        </is>
      </c>
      <c r="B48" s="46" t="inlineStr">
        <is>
          <t xml:space="preserve">Fenwick Larsson</t>
        </is>
      </c>
      <c r="C48" s="47">
        <v>46116</v>
      </c>
      <c r="D48" s="48" t="inlineStr">
        <is>
          <t xml:space="preserve">Bound - within authority</t>
        </is>
      </c>
      <c r="E48" s="48" t="inlineStr">
        <is>
          <t xml:space="preserve">New business</t>
        </is>
      </c>
      <c r="F48" s="46" t="inlineStr">
        <is>
          <t xml:space="preserve">B1234EXOTIC26</t>
        </is>
      </c>
      <c r="G48" s="33">
        <f>IF($A48="","",IF($C48="","",YEAR($C48)))</f>
      </c>
      <c r="H48" s="49">
        <v>1976</v>
      </c>
      <c r="I48" s="46" t="inlineStr">
        <is>
          <t xml:space="preserve">Jaguar</t>
        </is>
      </c>
      <c r="J48" s="46" t="inlineStr">
        <is>
          <t xml:space="preserve">E-Type Series 1</t>
        </is>
      </c>
      <c r="K48" s="46" t="inlineStr">
        <is>
          <t xml:space="preserve">30MFJ3XLZ27ETX2HB</t>
        </is>
      </c>
      <c r="L48" s="48" t="inlineStr">
        <is>
          <t xml:space="preserve">08 - Modern Classic (1973-1999)</t>
        </is>
      </c>
      <c r="M48" s="50">
        <v>420000</v>
      </c>
      <c r="N48" s="48" t="inlineStr">
        <is>
          <t xml:space="preserve">Personal</t>
        </is>
      </c>
      <c r="O48" s="46" t="inlineStr">
        <is>
          <t xml:space="preserve">Personal - regular use</t>
        </is>
      </c>
      <c r="P48" s="46" t="inlineStr">
        <is>
          <t xml:space="preserve">2,500 - 5,000</t>
        </is>
      </c>
      <c r="Q48" s="46" t="inlineStr">
        <is>
          <t xml:space="preserve">Texas</t>
        </is>
      </c>
      <c r="R48" s="46" t="inlineStr">
        <is>
          <t xml:space="preserve">75201</t>
        </is>
      </c>
      <c r="S48" s="48" t="inlineStr">
        <is>
          <t xml:space="preserve">Tier 2 - Coastal wind (1-25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3632.89</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CANON-202604-006614</t>
        </is>
      </c>
      <c r="B49" s="30" t="inlineStr">
        <is>
          <t xml:space="preserve">Fitzgerald Chattopadhyay</t>
        </is>
      </c>
      <c r="C49" s="31">
        <v>46126</v>
      </c>
      <c r="D49" s="32" t="inlineStr">
        <is>
          <t xml:space="preserve">Bound - within authority</t>
        </is>
      </c>
      <c r="E49" s="32" t="inlineStr">
        <is>
          <t xml:space="preserve">New business</t>
        </is>
      </c>
      <c r="F49" s="30" t="inlineStr">
        <is>
          <t xml:space="preserve">B1234EXOTIC26</t>
        </is>
      </c>
      <c r="G49" s="33">
        <f>IF($A49="","",IF($C49="","",YEAR($C49)))</f>
      </c>
      <c r="H49" s="34">
        <v>2021</v>
      </c>
      <c r="I49" s="30" t="inlineStr">
        <is>
          <t xml:space="preserve">Ferrari</t>
        </is>
      </c>
      <c r="J49" s="30" t="inlineStr">
        <is>
          <t xml:space="preserve">296 GTB</t>
        </is>
      </c>
      <c r="K49" s="30" t="inlineStr">
        <is>
          <t xml:space="preserve">VX3PY2HPYFT9MSTDY</t>
        </is>
      </c>
      <c r="L49" s="32" t="inlineStr">
        <is>
          <t xml:space="preserve">03 - Supercar</t>
        </is>
      </c>
      <c r="M49" s="35">
        <v>840000</v>
      </c>
      <c r="N49" s="32" t="inlineStr">
        <is>
          <t xml:space="preserve">Personal</t>
        </is>
      </c>
      <c r="O49" s="30" t="inlineStr">
        <is>
          <t xml:space="preserve">Personal - regular use</t>
        </is>
      </c>
      <c r="P49" s="30" t="inlineStr">
        <is>
          <t xml:space="preserve">Under 1,000</t>
        </is>
      </c>
      <c r="Q49" s="30" t="inlineStr">
        <is>
          <t xml:space="preserve">Texas</t>
        </is>
      </c>
      <c r="R49" s="30" t="inlineStr">
        <is>
          <t xml:space="preserve">75201</t>
        </is>
      </c>
      <c r="S49" s="32" t="inlineStr">
        <is>
          <t xml:space="preserve">Tier 2 - Coastal wind (1-25 miles)</t>
        </is>
      </c>
      <c r="T49" s="36">
        <f>IF($A49="","",IF($S49="","",IFERROR(INDEX('[1]natural catastrophe'!$D$6:$D$17,MATCH($S49,'[1]natural catastrophe'!$B$6:$B$17,0)),"?")))</f>
      </c>
      <c r="U49" s="30" t="inlineStr">
        <is>
          <t xml:space="preserve">2% of agreed value, minimum $10,000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14380.18</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CANON-202604-006615</t>
        </is>
      </c>
      <c r="B50" s="46" t="inlineStr">
        <is>
          <t xml:space="preserve">Ottilie Chattopadhyay</t>
        </is>
      </c>
      <c r="C50" s="47">
        <v>46127</v>
      </c>
      <c r="D50" s="48" t="inlineStr">
        <is>
          <t xml:space="preserve">Bound - within authority</t>
        </is>
      </c>
      <c r="E50" s="48" t="inlineStr">
        <is>
          <t xml:space="preserve">New business</t>
        </is>
      </c>
      <c r="F50" s="46" t="inlineStr">
        <is>
          <t xml:space="preserve">B1234EXOTIC26</t>
        </is>
      </c>
      <c r="G50" s="33">
        <f>IF($A50="","",IF($C50="","",YEAR($C50)))</f>
      </c>
      <c r="H50" s="49">
        <v>2006</v>
      </c>
      <c r="I50" s="46" t="inlineStr">
        <is>
          <t xml:space="preserve">Maserati</t>
        </is>
      </c>
      <c r="J50" s="46" t="inlineStr">
        <is>
          <t xml:space="preserve">GranTurismo</t>
        </is>
      </c>
      <c r="K50" s="46" t="inlineStr">
        <is>
          <t xml:space="preserve">V3RW959W7AHZLFPA0</t>
        </is>
      </c>
      <c r="L50" s="48" t="inlineStr">
        <is>
          <t xml:space="preserve">02 - Sports / GT</t>
        </is>
      </c>
      <c r="M50" s="50">
        <v>675000</v>
      </c>
      <c r="N50" s="48" t="inlineStr">
        <is>
          <t xml:space="preserve">Personal</t>
        </is>
      </c>
      <c r="O50" s="46" t="inlineStr">
        <is>
          <t xml:space="preserve">Personal - regular use</t>
        </is>
      </c>
      <c r="P50" s="46" t="inlineStr">
        <is>
          <t xml:space="preserve">1,000 - 2,500</t>
        </is>
      </c>
      <c r="Q50" s="46" t="inlineStr">
        <is>
          <t xml:space="preserve">Georgia</t>
        </is>
      </c>
      <c r="R50" s="46" t="inlineStr">
        <is>
          <t xml:space="preserve">30303</t>
        </is>
      </c>
      <c r="S50" s="48" t="inlineStr">
        <is>
          <t xml:space="preserve">Tier 2 - Coastal wind (1-25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7700.15</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CANON-202604-006616</t>
        </is>
      </c>
      <c r="B51" s="30" t="inlineStr">
        <is>
          <t xml:space="preserve">Ingrid Okonkwo</t>
        </is>
      </c>
      <c r="C51" s="31">
        <v>46135</v>
      </c>
      <c r="D51" s="32" t="inlineStr">
        <is>
          <t xml:space="preserve">Bound - within authority</t>
        </is>
      </c>
      <c r="E51" s="32" t="inlineStr">
        <is>
          <t xml:space="preserve">New business</t>
        </is>
      </c>
      <c r="F51" s="30" t="inlineStr">
        <is>
          <t xml:space="preserve">B1234EXOTIC26</t>
        </is>
      </c>
      <c r="G51" s="33">
        <f>IF($A51="","",IF($C51="","",YEAR($C51)))</f>
      </c>
      <c r="H51" s="34">
        <v>1977</v>
      </c>
      <c r="I51" s="30" t="inlineStr">
        <is>
          <t xml:space="preserve">McLaren</t>
        </is>
      </c>
      <c r="J51" s="30" t="inlineStr">
        <is>
          <t xml:space="preserve">750S</t>
        </is>
      </c>
      <c r="K51" s="30" t="inlineStr">
        <is>
          <t xml:space="preserve">2MU5BDP5L4VY7U3WB</t>
        </is>
      </c>
      <c r="L51" s="32" t="inlineStr">
        <is>
          <t xml:space="preserve">03 - Supercar</t>
        </is>
      </c>
      <c r="M51" s="35">
        <v>1950000</v>
      </c>
      <c r="N51" s="32" t="inlineStr">
        <is>
          <t xml:space="preserve">Personal</t>
        </is>
      </c>
      <c r="O51" s="30" t="inlineStr">
        <is>
          <t xml:space="preserve">Personal - regular use</t>
        </is>
      </c>
      <c r="P51" s="30" t="inlineStr">
        <is>
          <t xml:space="preserve">Under 1,000</t>
        </is>
      </c>
      <c r="Q51" s="30" t="inlineStr">
        <is>
          <t xml:space="preserve">New York</t>
        </is>
      </c>
      <c r="R51" s="30" t="inlineStr">
        <is>
          <t xml:space="preserve">10022</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31289.48</v>
      </c>
      <c r="AC51" s="37">
        <v>0</v>
      </c>
      <c r="AD51" s="38">
        <f>IF(ISNUMBER($AB51),$AB51*(1+N($AC51)),"")</f>
      </c>
      <c r="AE51" s="35">
        <v>350</v>
      </c>
      <c r="AF51" s="35">
        <v>250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CANON-202604-006617</t>
        </is>
      </c>
      <c r="B52" s="46" t="inlineStr">
        <is>
          <t xml:space="preserve">Anouk Fairweather</t>
        </is>
      </c>
      <c r="C52" s="47">
        <v>46134</v>
      </c>
      <c r="D52" s="48" t="inlineStr">
        <is>
          <t xml:space="preserve">Bound - within authority</t>
        </is>
      </c>
      <c r="E52" s="48" t="inlineStr">
        <is>
          <t xml:space="preserve">New business</t>
        </is>
      </c>
      <c r="F52" s="46" t="inlineStr">
        <is>
          <t xml:space="preserve">B1234EXOTIC26</t>
        </is>
      </c>
      <c r="G52" s="33">
        <f>IF($A52="","",IF($C52="","",YEAR($C52)))</f>
      </c>
      <c r="H52" s="49">
        <v>1975</v>
      </c>
      <c r="I52" s="46" t="inlineStr">
        <is>
          <t xml:space="preserve">Aston Martin</t>
        </is>
      </c>
      <c r="J52" s="46" t="inlineStr">
        <is>
          <t xml:space="preserve">DB12</t>
        </is>
      </c>
      <c r="K52" s="46" t="inlineStr">
        <is>
          <t xml:space="preserve">4L4JX25SCC02MP9GN</t>
        </is>
      </c>
      <c r="L52" s="48" t="inlineStr">
        <is>
          <t xml:space="preserve">02 - Sports / GT</t>
        </is>
      </c>
      <c r="M52" s="50">
        <v>940000</v>
      </c>
      <c r="N52" s="48" t="inlineStr">
        <is>
          <t xml:space="preserve">Personal</t>
        </is>
      </c>
      <c r="O52" s="46" t="inlineStr">
        <is>
          <t xml:space="preserve">Personal - regular use</t>
        </is>
      </c>
      <c r="P52" s="46" t="inlineStr">
        <is>
          <t xml:space="preserve">Under 1,000</t>
        </is>
      </c>
      <c r="Q52" s="46" t="inlineStr">
        <is>
          <t xml:space="preserve">New Mexico</t>
        </is>
      </c>
      <c r="R52" s="46" t="inlineStr">
        <is>
          <t xml:space="preserve">87501</t>
        </is>
      </c>
      <c r="S52" s="48" t="inlineStr">
        <is>
          <t xml:space="preserve">Wildfire - WUI high hazard</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12255.05</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CANON-202604-006618</t>
        </is>
      </c>
      <c r="B53" s="30" t="inlineStr">
        <is>
          <t xml:space="preserve">Fitzgerald Rourke</t>
        </is>
      </c>
      <c r="C53" s="31">
        <v>46117</v>
      </c>
      <c r="D53" s="32" t="inlineStr">
        <is>
          <t xml:space="preserve">Bound - within authority</t>
        </is>
      </c>
      <c r="E53" s="32" t="inlineStr">
        <is>
          <t xml:space="preserve">New business</t>
        </is>
      </c>
      <c r="F53" s="30" t="inlineStr">
        <is>
          <t xml:space="preserve">B1234EXOTIC26</t>
        </is>
      </c>
      <c r="G53" s="33">
        <f>IF($A53="","",IF($C53="","",YEAR($C53)))</f>
      </c>
      <c r="H53" s="34">
        <v>2022</v>
      </c>
      <c r="I53" s="30" t="inlineStr">
        <is>
          <t xml:space="preserve">Porsche</t>
        </is>
      </c>
      <c r="J53" s="30" t="inlineStr">
        <is>
          <t xml:space="preserve">911 Turbo S</t>
        </is>
      </c>
      <c r="K53" s="30" t="inlineStr">
        <is>
          <t xml:space="preserve">NBUVSS0A9LC7AXDAZ</t>
        </is>
      </c>
      <c r="L53" s="32" t="inlineStr">
        <is>
          <t xml:space="preserve">02 - Sports / GT</t>
        </is>
      </c>
      <c r="M53" s="35">
        <v>365000</v>
      </c>
      <c r="N53" s="32" t="inlineStr">
        <is>
          <t xml:space="preserve">Personal</t>
        </is>
      </c>
      <c r="O53" s="30" t="inlineStr">
        <is>
          <t xml:space="preserve">Personal - regular use</t>
        </is>
      </c>
      <c r="P53" s="30" t="inlineStr">
        <is>
          <t xml:space="preserve">Under 1,000</t>
        </is>
      </c>
      <c r="Q53" s="30" t="inlineStr">
        <is>
          <t xml:space="preserve">Virginia</t>
        </is>
      </c>
      <c r="R53" s="30" t="inlineStr">
        <is>
          <t xml:space="preserve">23219</t>
        </is>
      </c>
      <c r="S53" s="32" t="inlineStr">
        <is>
          <t xml:space="preserve">Tier 3 - Coastal wind (25-100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4675.67</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CANON-202604-006620</t>
        </is>
      </c>
      <c r="B54" s="46" t="inlineStr">
        <is>
          <t xml:space="preserve">Sunniva Okonkwo</t>
        </is>
      </c>
      <c r="C54" s="47">
        <v>46124</v>
      </c>
      <c r="D54" s="48" t="inlineStr">
        <is>
          <t xml:space="preserve">Bound - within authority</t>
        </is>
      </c>
      <c r="E54" s="48" t="inlineStr">
        <is>
          <t xml:space="preserve">New business</t>
        </is>
      </c>
      <c r="F54" s="46" t="inlineStr">
        <is>
          <t xml:space="preserve">B1234EXOTIC26</t>
        </is>
      </c>
      <c r="G54" s="33">
        <f>IF($A54="","",IF($C54="","",YEAR($C54)))</f>
      </c>
      <c r="H54" s="49">
        <v>1992</v>
      </c>
      <c r="I54" s="46" t="inlineStr">
        <is>
          <t xml:space="preserve">Ferrari</t>
        </is>
      </c>
      <c r="J54" s="46" t="inlineStr">
        <is>
          <t xml:space="preserve">SF90 Stradale</t>
        </is>
      </c>
      <c r="K54" s="46" t="inlineStr">
        <is>
          <t xml:space="preserve">U74CTCRGCPFDUKUEN</t>
        </is>
      </c>
      <c r="L54" s="48" t="inlineStr">
        <is>
          <t xml:space="preserve">03 - Supercar</t>
        </is>
      </c>
      <c r="M54" s="50">
        <v>1950000</v>
      </c>
      <c r="N54" s="48" t="inlineStr">
        <is>
          <t xml:space="preserve">Personal</t>
        </is>
      </c>
      <c r="O54" s="46" t="inlineStr">
        <is>
          <t xml:space="preserve">Personal - regular use</t>
        </is>
      </c>
      <c r="P54" s="46" t="inlineStr">
        <is>
          <t xml:space="preserve">2,500 - 5,000</t>
        </is>
      </c>
      <c r="Q54" s="46" t="inlineStr">
        <is>
          <t xml:space="preserve">Vermont</t>
        </is>
      </c>
      <c r="R54" s="46" t="inlineStr">
        <is>
          <t xml:space="preserve">05601</t>
        </is>
      </c>
      <c r="S54" s="48" t="inlineStr">
        <is>
          <t xml:space="preserve">Low hazard - inland benign</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29822.78</v>
      </c>
      <c r="AC54" s="51">
        <v>0</v>
      </c>
      <c r="AD54" s="38">
        <f>IF(ISNUMBER($AB54),$AB54*(1+N($AC54)),"")</f>
      </c>
      <c r="AE54" s="50">
        <v>350</v>
      </c>
      <c r="AF54" s="50">
        <v>250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CANON-202604-006621</t>
        </is>
      </c>
      <c r="B55" s="30" t="inlineStr">
        <is>
          <t xml:space="preserve">Ramona Castellanos</t>
        </is>
      </c>
      <c r="C55" s="31">
        <v>46132</v>
      </c>
      <c r="D55" s="32" t="inlineStr">
        <is>
          <t xml:space="preserve">Bound - within authority</t>
        </is>
      </c>
      <c r="E55" s="32" t="inlineStr">
        <is>
          <t xml:space="preserve">New business</t>
        </is>
      </c>
      <c r="F55" s="30" t="inlineStr">
        <is>
          <t xml:space="preserve">B1234EXOTIC26</t>
        </is>
      </c>
      <c r="G55" s="33">
        <f>IF($A55="","",IF($C55="","",YEAR($C55)))</f>
      </c>
      <c r="H55" s="34">
        <v>1971</v>
      </c>
      <c r="I55" s="30" t="inlineStr">
        <is>
          <t xml:space="preserve">Maserati</t>
        </is>
      </c>
      <c r="J55" s="30" t="inlineStr">
        <is>
          <t xml:space="preserve">GranTurismo</t>
        </is>
      </c>
      <c r="K55" s="30" t="inlineStr">
        <is>
          <t xml:space="preserve">W1KP34B8TEU4XBJK9</t>
        </is>
      </c>
      <c r="L55" s="32" t="inlineStr">
        <is>
          <t xml:space="preserve">02 - Sports / GT</t>
        </is>
      </c>
      <c r="M55" s="35">
        <v>470000</v>
      </c>
      <c r="N55" s="32" t="inlineStr">
        <is>
          <t xml:space="preserve">Personal</t>
        </is>
      </c>
      <c r="O55" s="30" t="inlineStr">
        <is>
          <t xml:space="preserve">Personal - regular use</t>
        </is>
      </c>
      <c r="P55" s="30" t="inlineStr">
        <is>
          <t xml:space="preserve">1,000 - 2,500</t>
        </is>
      </c>
      <c r="Q55" s="30" t="inlineStr">
        <is>
          <t xml:space="preserve">Iowa</t>
        </is>
      </c>
      <c r="R55" s="30" t="inlineStr">
        <is>
          <t xml:space="preserve">50309</t>
        </is>
      </c>
      <c r="S55" s="32" t="inlineStr">
        <is>
          <t xml:space="preserve">Severe convective - hail alley (high)</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6075.97</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CANON-202604-006623</t>
        </is>
      </c>
      <c r="B56" s="46" t="inlineStr">
        <is>
          <t xml:space="preserve">Delphine Vandermeer</t>
        </is>
      </c>
      <c r="C56" s="47">
        <v>46120</v>
      </c>
      <c r="D56" s="48" t="inlineStr">
        <is>
          <t xml:space="preserve">Bound - within authority</t>
        </is>
      </c>
      <c r="E56" s="48" t="inlineStr">
        <is>
          <t xml:space="preserve">New business</t>
        </is>
      </c>
      <c r="F56" s="46" t="inlineStr">
        <is>
          <t xml:space="preserve">B1234EXOTIC26</t>
        </is>
      </c>
      <c r="G56" s="33">
        <f>IF($A56="","",IF($C56="","",YEAR($C56)))</f>
      </c>
      <c r="H56" s="49">
        <v>1998</v>
      </c>
      <c r="I56" s="46" t="inlineStr">
        <is>
          <t xml:space="preserve">Maserati</t>
        </is>
      </c>
      <c r="J56" s="46" t="inlineStr">
        <is>
          <t xml:space="preserve">GranTurismo</t>
        </is>
      </c>
      <c r="K56" s="46" t="inlineStr">
        <is>
          <t xml:space="preserve">U4XWR6UAASP8SKLFU</t>
        </is>
      </c>
      <c r="L56" s="48" t="inlineStr">
        <is>
          <t xml:space="preserve">02 - Sports / GT</t>
        </is>
      </c>
      <c r="M56" s="50">
        <v>1225000</v>
      </c>
      <c r="N56" s="48" t="inlineStr">
        <is>
          <t xml:space="preserve">Personal</t>
        </is>
      </c>
      <c r="O56" s="46" t="inlineStr">
        <is>
          <t xml:space="preserve">Personal - regular use</t>
        </is>
      </c>
      <c r="P56" s="46" t="inlineStr">
        <is>
          <t xml:space="preserve">2,500 - 5,000</t>
        </is>
      </c>
      <c r="Q56" s="46" t="inlineStr">
        <is>
          <t xml:space="preserve">Kansas</t>
        </is>
      </c>
      <c r="R56" s="46" t="inlineStr">
        <is>
          <t xml:space="preserve">66603</t>
        </is>
      </c>
      <c r="S56" s="48" t="inlineStr">
        <is>
          <t xml:space="preserve">Severe convective - hail alley (high)</t>
        </is>
      </c>
      <c r="T56" s="36">
        <f>IF($A56="","",IF($S56="","",IFERROR(INDEX('[1]natural catastrophe'!$D$6:$D$17,MATCH($S56,'[1]natural catastrophe'!$B$6:$B$17,0)),"?")))</f>
      </c>
      <c r="U56" s="46" t="inlineStr">
        <is>
          <t xml:space="preserve">$5,000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10240.81</v>
      </c>
      <c r="AC56" s="51">
        <v>0</v>
      </c>
      <c r="AD56" s="38">
        <f>IF(ISNUMBER($AB56),$AB56*(1+N($AC56)),"")</f>
      </c>
      <c r="AE56" s="50">
        <v>350</v>
      </c>
      <c r="AF56" s="50">
        <v>250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CANON-202604-006625</t>
        </is>
      </c>
      <c r="B57" s="30" t="inlineStr">
        <is>
          <t xml:space="preserve">Noor Ashcombe</t>
        </is>
      </c>
      <c r="C57" s="31">
        <v>46138</v>
      </c>
      <c r="D57" s="32" t="inlineStr">
        <is>
          <t xml:space="preserve">Bound - within authority</t>
        </is>
      </c>
      <c r="E57" s="32" t="inlineStr">
        <is>
          <t xml:space="preserve">New business</t>
        </is>
      </c>
      <c r="F57" s="30" t="inlineStr">
        <is>
          <t xml:space="preserve">B1234EXOTIC26</t>
        </is>
      </c>
      <c r="G57" s="33">
        <f>IF($A57="","",IF($C57="","",YEAR($C57)))</f>
      </c>
      <c r="H57" s="34">
        <v>1989</v>
      </c>
      <c r="I57" s="30" t="inlineStr">
        <is>
          <t xml:space="preserve">Mercedes-Benz</t>
        </is>
      </c>
      <c r="J57" s="30" t="inlineStr">
        <is>
          <t xml:space="preserve">AMG GT</t>
        </is>
      </c>
      <c r="K57" s="30" t="inlineStr">
        <is>
          <t xml:space="preserve">PRXHM59D60YLK5J2H</t>
        </is>
      </c>
      <c r="L57" s="32" t="inlineStr">
        <is>
          <t xml:space="preserve">02 - Sports / GT</t>
        </is>
      </c>
      <c r="M57" s="35">
        <v>475000</v>
      </c>
      <c r="N57" s="32" t="inlineStr">
        <is>
          <t xml:space="preserve">Personal</t>
        </is>
      </c>
      <c r="O57" s="30" t="inlineStr">
        <is>
          <t xml:space="preserve">Personal - regular use</t>
        </is>
      </c>
      <c r="P57" s="30" t="inlineStr">
        <is>
          <t xml:space="preserve">Under 1,000</t>
        </is>
      </c>
      <c r="Q57" s="30" t="inlineStr">
        <is>
          <t xml:space="preserve">Delaware</t>
        </is>
      </c>
      <c r="R57" s="30" t="inlineStr">
        <is>
          <t xml:space="preserve">19801</t>
        </is>
      </c>
      <c r="S57" s="32" t="inlineStr">
        <is>
          <t xml:space="preserve">Tier 3 - Coastal wind (25-100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6977.96</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CANON-202604-006626</t>
        </is>
      </c>
      <c r="B58" s="46" t="inlineStr">
        <is>
          <t xml:space="preserve">Leopold Thistlewood</t>
        </is>
      </c>
      <c r="C58" s="47">
        <v>46122</v>
      </c>
      <c r="D58" s="48" t="inlineStr">
        <is>
          <t xml:space="preserve">Bound - within authority</t>
        </is>
      </c>
      <c r="E58" s="48" t="inlineStr">
        <is>
          <t xml:space="preserve">New business</t>
        </is>
      </c>
      <c r="F58" s="46" t="inlineStr">
        <is>
          <t xml:space="preserve">B1234EXOTIC26</t>
        </is>
      </c>
      <c r="G58" s="33">
        <f>IF($A58="","",IF($C58="","",YEAR($C58)))</f>
      </c>
      <c r="H58" s="49">
        <v>1970</v>
      </c>
      <c r="I58" s="46" t="inlineStr">
        <is>
          <t xml:space="preserve">Mercedes-Benz</t>
        </is>
      </c>
      <c r="J58" s="46" t="inlineStr">
        <is>
          <t xml:space="preserve">280SL Pagoda</t>
        </is>
      </c>
      <c r="K58" s="46" t="inlineStr">
        <is>
          <t xml:space="preserve">ARW9FL88B1A2NKC58</t>
        </is>
      </c>
      <c r="L58" s="48" t="inlineStr">
        <is>
          <t xml:space="preserve">07 - Post-War Classic (1946-1972)</t>
        </is>
      </c>
      <c r="M58" s="50">
        <v>925000</v>
      </c>
      <c r="N58" s="48" t="inlineStr">
        <is>
          <t xml:space="preserve">Personal</t>
        </is>
      </c>
      <c r="O58" s="46" t="inlineStr">
        <is>
          <t xml:space="preserve">Personal - regular use</t>
        </is>
      </c>
      <c r="P58" s="46" t="inlineStr">
        <is>
          <t xml:space="preserve">2,500 - 5,000</t>
        </is>
      </c>
      <c r="Q58" s="46" t="inlineStr">
        <is>
          <t xml:space="preserve">Arkansas</t>
        </is>
      </c>
      <c r="R58" s="46" t="inlineStr">
        <is>
          <t xml:space="preserve">72201</t>
        </is>
      </c>
      <c r="S58" s="48" t="inlineStr">
        <is>
          <t xml:space="preserve">Severe convective - hail / tornado (moderate)</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8601.08</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CANON-202604-006627</t>
        </is>
      </c>
      <c r="B59" s="30" t="inlineStr">
        <is>
          <t xml:space="preserve">Everett Bellandi</t>
        </is>
      </c>
      <c r="C59" s="31">
        <v>46137</v>
      </c>
      <c r="D59" s="32" t="inlineStr">
        <is>
          <t xml:space="preserve">Bound - within authority</t>
        </is>
      </c>
      <c r="E59" s="32" t="inlineStr">
        <is>
          <t xml:space="preserve">New business</t>
        </is>
      </c>
      <c r="F59" s="30" t="inlineStr">
        <is>
          <t xml:space="preserve">B1234EXOTIC26</t>
        </is>
      </c>
      <c r="G59" s="33">
        <f>IF($A59="","",IF($C59="","",YEAR($C59)))</f>
      </c>
      <c r="H59" s="34">
        <v>1991</v>
      </c>
      <c r="I59" s="30" t="inlineStr">
        <is>
          <t xml:space="preserve">Mercedes-Benz</t>
        </is>
      </c>
      <c r="J59" s="30" t="inlineStr">
        <is>
          <t xml:space="preserve">AMG GT</t>
        </is>
      </c>
      <c r="K59" s="30" t="inlineStr">
        <is>
          <t xml:space="preserve">H6BPPX8BL6TJLE12J</t>
        </is>
      </c>
      <c r="L59" s="32" t="inlineStr">
        <is>
          <t xml:space="preserve">02 - Sports / GT</t>
        </is>
      </c>
      <c r="M59" s="35">
        <v>900000</v>
      </c>
      <c r="N59" s="32" t="inlineStr">
        <is>
          <t xml:space="preserve">Personal</t>
        </is>
      </c>
      <c r="O59" s="30" t="inlineStr">
        <is>
          <t xml:space="preserve">Personal - regular use</t>
        </is>
      </c>
      <c r="P59" s="30" t="inlineStr">
        <is>
          <t xml:space="preserve">1,000 - 2,500</t>
        </is>
      </c>
      <c r="Q59" s="30" t="inlineStr">
        <is>
          <t xml:space="preserve">Texas</t>
        </is>
      </c>
      <c r="R59" s="30" t="inlineStr">
        <is>
          <t xml:space="preserve">75201</t>
        </is>
      </c>
      <c r="S59" s="32" t="inlineStr">
        <is>
          <t xml:space="preserve">Tier 2 - Coastal wind (1-25 miles)</t>
        </is>
      </c>
      <c r="T59" s="36">
        <f>IF($A59="","",IF($S59="","",IFERROR(INDEX('[1]natural catastrophe'!$D$6:$D$17,MATCH($S59,'[1]natural catastrophe'!$B$6:$B$17,0)),"?")))</f>
      </c>
      <c r="U59" s="30" t="inlineStr">
        <is>
          <t xml:space="preserve">2% of agreed value, minimum $10,000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10541.87</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CANON-202604-006628</t>
        </is>
      </c>
      <c r="B60" s="46" t="inlineStr">
        <is>
          <t xml:space="preserve">Ottilie Vasquez</t>
        </is>
      </c>
      <c r="C60" s="47">
        <v>46118</v>
      </c>
      <c r="D60" s="48" t="inlineStr">
        <is>
          <t xml:space="preserve">Bound - within authority</t>
        </is>
      </c>
      <c r="E60" s="48" t="inlineStr">
        <is>
          <t xml:space="preserve">New business</t>
        </is>
      </c>
      <c r="F60" s="46" t="inlineStr">
        <is>
          <t xml:space="preserve">B1234EXOTIC26</t>
        </is>
      </c>
      <c r="G60" s="33">
        <f>IF($A60="","",IF($C60="","",YEAR($C60)))</f>
      </c>
      <c r="H60" s="49">
        <v>1977</v>
      </c>
      <c r="I60" s="46" t="inlineStr">
        <is>
          <t xml:space="preserve">Maserati</t>
        </is>
      </c>
      <c r="J60" s="46" t="inlineStr">
        <is>
          <t xml:space="preserve">GranTurismo</t>
        </is>
      </c>
      <c r="K60" s="46" t="inlineStr">
        <is>
          <t xml:space="preserve">UYW26CESDTPG1SZZH</t>
        </is>
      </c>
      <c r="L60" s="48" t="inlineStr">
        <is>
          <t xml:space="preserve">02 - Sports / GT</t>
        </is>
      </c>
      <c r="M60" s="50">
        <v>840000</v>
      </c>
      <c r="N60" s="48" t="inlineStr">
        <is>
          <t xml:space="preserve">Personal</t>
        </is>
      </c>
      <c r="O60" s="46" t="inlineStr">
        <is>
          <t xml:space="preserve">Personal - regular use</t>
        </is>
      </c>
      <c r="P60" s="46" t="inlineStr">
        <is>
          <t xml:space="preserve">Under 1,000</t>
        </is>
      </c>
      <c r="Q60" s="46" t="inlineStr">
        <is>
          <t xml:space="preserve">Pennsylvania</t>
        </is>
      </c>
      <c r="R60" s="46" t="inlineStr">
        <is>
          <t xml:space="preserve">19103</t>
        </is>
      </c>
      <c r="S60" s="48" t="inlineStr">
        <is>
          <t xml:space="preserve">Low hazard - inland benign</t>
        </is>
      </c>
      <c r="T60" s="36">
        <f>IF($A60="","",IF($S60="","",IFERROR(INDEX('[1]natural catastrophe'!$D$6:$D$17,MATCH($S60,'[1]natural catastrophe'!$B$6:$B$17,0)),"?")))</f>
      </c>
      <c r="U60" s="46" t="inlineStr">
        <is>
          <t xml:space="preserve">$5,000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8555.72</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CANON-202604-006629</t>
        </is>
      </c>
      <c r="B61" s="30" t="inlineStr">
        <is>
          <t xml:space="preserve">Delphine Ashcombe</t>
        </is>
      </c>
      <c r="C61" s="31">
        <v>46127</v>
      </c>
      <c r="D61" s="32" t="inlineStr">
        <is>
          <t xml:space="preserve">Bound - within authority</t>
        </is>
      </c>
      <c r="E61" s="32" t="inlineStr">
        <is>
          <t xml:space="preserve">New business</t>
        </is>
      </c>
      <c r="F61" s="30" t="inlineStr">
        <is>
          <t xml:space="preserve">B1234EXOTIC26</t>
        </is>
      </c>
      <c r="G61" s="33">
        <f>IF($A61="","",IF($C61="","",YEAR($C61)))</f>
      </c>
      <c r="H61" s="34">
        <v>1966</v>
      </c>
      <c r="I61" s="30" t="inlineStr">
        <is>
          <t xml:space="preserve">Bugatti</t>
        </is>
      </c>
      <c r="J61" s="30" t="inlineStr">
        <is>
          <t xml:space="preserve">Type 57</t>
        </is>
      </c>
      <c r="K61" s="30" t="inlineStr">
        <is>
          <t xml:space="preserve">7FUXJW93G9941AKCV</t>
        </is>
      </c>
      <c r="L61" s="32" t="inlineStr">
        <is>
          <t xml:space="preserve">07 - Post-War Classic (1946-1972)</t>
        </is>
      </c>
      <c r="M61" s="35">
        <v>945000</v>
      </c>
      <c r="N61" s="32" t="inlineStr">
        <is>
          <t xml:space="preserve">Personal</t>
        </is>
      </c>
      <c r="O61" s="30" t="inlineStr">
        <is>
          <t xml:space="preserve">Personal - regular use</t>
        </is>
      </c>
      <c r="P61" s="30" t="inlineStr">
        <is>
          <t xml:space="preserve">Under 1,000</t>
        </is>
      </c>
      <c r="Q61" s="30" t="inlineStr">
        <is>
          <t xml:space="preserve">Wyoming</t>
        </is>
      </c>
      <c r="R61" s="30" t="inlineStr">
        <is>
          <t xml:space="preserve">82001</t>
        </is>
      </c>
      <c r="S61" s="32" t="inlineStr">
        <is>
          <t xml:space="preserve">Severe convective - hail alley (high)</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6020.92</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CANON-202604-006630</t>
        </is>
      </c>
      <c r="B62" s="46" t="inlineStr">
        <is>
          <t xml:space="preserve">Delphine Farkas</t>
        </is>
      </c>
      <c r="C62" s="47">
        <v>46121</v>
      </c>
      <c r="D62" s="48" t="inlineStr">
        <is>
          <t xml:space="preserve">Bound - within authority</t>
        </is>
      </c>
      <c r="E62" s="48" t="inlineStr">
        <is>
          <t xml:space="preserve">New business</t>
        </is>
      </c>
      <c r="F62" s="46" t="inlineStr">
        <is>
          <t xml:space="preserve">B1234EXOTIC26</t>
        </is>
      </c>
      <c r="G62" s="33">
        <f>IF($A62="","",IF($C62="","",YEAR($C62)))</f>
      </c>
      <c r="H62" s="49">
        <v>1977</v>
      </c>
      <c r="I62" s="46" t="inlineStr">
        <is>
          <t xml:space="preserve">Bentley</t>
        </is>
      </c>
      <c r="J62" s="46" t="inlineStr">
        <is>
          <t xml:space="preserve">Continental GT</t>
        </is>
      </c>
      <c r="K62" s="46" t="inlineStr">
        <is>
          <t xml:space="preserve">6HGZMZXSN9CFTCG8R</t>
        </is>
      </c>
      <c r="L62" s="48" t="inlineStr">
        <is>
          <t xml:space="preserve">02 - Sports / GT</t>
        </is>
      </c>
      <c r="M62" s="50">
        <v>505000</v>
      </c>
      <c r="N62" s="48" t="inlineStr">
        <is>
          <t xml:space="preserve">Personal</t>
        </is>
      </c>
      <c r="O62" s="46" t="inlineStr">
        <is>
          <t xml:space="preserve">Personal - regular use</t>
        </is>
      </c>
      <c r="P62" s="46" t="inlineStr">
        <is>
          <t xml:space="preserve">1,000 - 2,500</t>
        </is>
      </c>
      <c r="Q62" s="46" t="inlineStr">
        <is>
          <t xml:space="preserve">Oklahoma</t>
        </is>
      </c>
      <c r="R62" s="46" t="inlineStr">
        <is>
          <t xml:space="preserve">73102</t>
        </is>
      </c>
      <c r="S62" s="48" t="inlineStr">
        <is>
          <t xml:space="preserve">Severe convective - hail alley (high)</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6480.96</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CANON-202604-006634</t>
        </is>
      </c>
      <c r="B63" s="30" t="inlineStr">
        <is>
          <t xml:space="preserve">Ottilie Harrington</t>
        </is>
      </c>
      <c r="C63" s="31">
        <v>46138</v>
      </c>
      <c r="D63" s="32" t="inlineStr">
        <is>
          <t xml:space="preserve">Bound - within authority</t>
        </is>
      </c>
      <c r="E63" s="32" t="inlineStr">
        <is>
          <t xml:space="preserve">New business</t>
        </is>
      </c>
      <c r="F63" s="30" t="inlineStr">
        <is>
          <t xml:space="preserve">B1234EXOTIC26</t>
        </is>
      </c>
      <c r="G63" s="33">
        <f>IF($A63="","",IF($C63="","",YEAR($C63)))</f>
      </c>
      <c r="H63" s="34">
        <v>1983</v>
      </c>
      <c r="I63" s="30" t="inlineStr">
        <is>
          <t xml:space="preserve">McLaren</t>
        </is>
      </c>
      <c r="J63" s="30" t="inlineStr">
        <is>
          <t xml:space="preserve">750S</t>
        </is>
      </c>
      <c r="K63" s="30" t="inlineStr">
        <is>
          <t xml:space="preserve">SCBKC28B9R6BX69SN</t>
        </is>
      </c>
      <c r="L63" s="32" t="inlineStr">
        <is>
          <t xml:space="preserve">03 - Supercar</t>
        </is>
      </c>
      <c r="M63" s="35">
        <v>600000</v>
      </c>
      <c r="N63" s="32" t="inlineStr">
        <is>
          <t xml:space="preserve">Personal</t>
        </is>
      </c>
      <c r="O63" s="30" t="inlineStr">
        <is>
          <t xml:space="preserve">Personal - regular use</t>
        </is>
      </c>
      <c r="P63" s="30" t="inlineStr">
        <is>
          <t xml:space="preserve">Under 1,000</t>
        </is>
      </c>
      <c r="Q63" s="30" t="inlineStr">
        <is>
          <t xml:space="preserve">North Dakota</t>
        </is>
      </c>
      <c r="R63" s="30" t="inlineStr">
        <is>
          <t xml:space="preserve">58501</t>
        </is>
      </c>
      <c r="S63" s="32" t="inlineStr">
        <is>
          <t xml:space="preserve">Severe convective - hail alley (high)</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9110.43</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CANON-202604-006635</t>
        </is>
      </c>
      <c r="B64" s="46" t="inlineStr">
        <is>
          <t xml:space="preserve">Leopold Kingsford</t>
        </is>
      </c>
      <c r="C64" s="47">
        <v>46118</v>
      </c>
      <c r="D64" s="48" t="inlineStr">
        <is>
          <t xml:space="preserve">Bound - within authority</t>
        </is>
      </c>
      <c r="E64" s="48" t="inlineStr">
        <is>
          <t xml:space="preserve">New business</t>
        </is>
      </c>
      <c r="F64" s="46" t="inlineStr">
        <is>
          <t xml:space="preserve">B1234EXOTIC26</t>
        </is>
      </c>
      <c r="G64" s="33">
        <f>IF($A64="","",IF($C64="","",YEAR($C64)))</f>
      </c>
      <c r="H64" s="49">
        <v>1984</v>
      </c>
      <c r="I64" s="46" t="inlineStr">
        <is>
          <t xml:space="preserve">Mercedes-Benz</t>
        </is>
      </c>
      <c r="J64" s="46" t="inlineStr">
        <is>
          <t xml:space="preserve">AMG GT</t>
        </is>
      </c>
      <c r="K64" s="46" t="inlineStr">
        <is>
          <t xml:space="preserve">4V5694MN7HAEN3RTN</t>
        </is>
      </c>
      <c r="L64" s="48" t="inlineStr">
        <is>
          <t xml:space="preserve">02 - Sports / GT</t>
        </is>
      </c>
      <c r="M64" s="50">
        <v>150000</v>
      </c>
      <c r="N64" s="48" t="inlineStr">
        <is>
          <t xml:space="preserve">Personal</t>
        </is>
      </c>
      <c r="O64" s="46" t="inlineStr">
        <is>
          <t xml:space="preserve">Personal - regular use</t>
        </is>
      </c>
      <c r="P64" s="46" t="inlineStr">
        <is>
          <t xml:space="preserve">2,500 - 5,000</t>
        </is>
      </c>
      <c r="Q64" s="46" t="inlineStr">
        <is>
          <t xml:space="preserve">Rhode Island</t>
        </is>
      </c>
      <c r="R64" s="46" t="inlineStr">
        <is>
          <t xml:space="preserve">02903</t>
        </is>
      </c>
      <c r="S64" s="48" t="inlineStr">
        <is>
          <t xml:space="preserve">Tier 3 - Coastal wind (25-100 miles)</t>
        </is>
      </c>
      <c r="T64" s="36">
        <f>IF($A64="","",IF($S64="","",IFERROR(INDEX('[1]natural catastrophe'!$D$6:$D$17,MATCH($S64,'[1]natural catastrophe'!$B$6:$B$17,0)),"?")))</f>
      </c>
      <c r="U64" s="46" t="inlineStr">
        <is>
          <t xml:space="preserve">2% of agreed value, minimum $10,000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2962.53</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CANON-202604-006636</t>
        </is>
      </c>
      <c r="B65" s="30" t="inlineStr">
        <is>
          <t xml:space="preserve">Aurelio Chattopadhyay</t>
        </is>
      </c>
      <c r="C65" s="31">
        <v>46124</v>
      </c>
      <c r="D65" s="32" t="inlineStr">
        <is>
          <t xml:space="preserve">Bound - within authority</t>
        </is>
      </c>
      <c r="E65" s="32" t="inlineStr">
        <is>
          <t xml:space="preserve">New business</t>
        </is>
      </c>
      <c r="F65" s="30" t="inlineStr">
        <is>
          <t xml:space="preserve">B1234EXOTIC26</t>
        </is>
      </c>
      <c r="G65" s="33">
        <f>IF($A65="","",IF($C65="","",YEAR($C65)))</f>
      </c>
      <c r="H65" s="34">
        <v>2006</v>
      </c>
      <c r="I65" s="30" t="inlineStr">
        <is>
          <t xml:space="preserve">BMW</t>
        </is>
      </c>
      <c r="J65" s="30" t="inlineStr">
        <is>
          <t xml:space="preserve">M8 Competition</t>
        </is>
      </c>
      <c r="K65" s="30" t="inlineStr">
        <is>
          <t xml:space="preserve">97K1B5T6GFEAYAAMJ</t>
        </is>
      </c>
      <c r="L65" s="32" t="inlineStr">
        <is>
          <t xml:space="preserve">02 - Sports / GT</t>
        </is>
      </c>
      <c r="M65" s="35">
        <v>250000</v>
      </c>
      <c r="N65" s="32" t="inlineStr">
        <is>
          <t xml:space="preserve">Personal</t>
        </is>
      </c>
      <c r="O65" s="30" t="inlineStr">
        <is>
          <t xml:space="preserve">Personal - regular use</t>
        </is>
      </c>
      <c r="P65" s="30" t="inlineStr">
        <is>
          <t xml:space="preserve">Under 1,000</t>
        </is>
      </c>
      <c r="Q65" s="30" t="inlineStr">
        <is>
          <t xml:space="preserve">Michigan</t>
        </is>
      </c>
      <c r="R65" s="30" t="inlineStr">
        <is>
          <t xml:space="preserve">48226</t>
        </is>
      </c>
      <c r="S65" s="32" t="inlineStr">
        <is>
          <t xml:space="preserve">Severe convective - hail / tornado (moderate)</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4554.04</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CANON-202604-006637</t>
        </is>
      </c>
      <c r="B66" s="46" t="inlineStr">
        <is>
          <t xml:space="preserve">Wilhelmina Montoya</t>
        </is>
      </c>
      <c r="C66" s="47">
        <v>46115</v>
      </c>
      <c r="D66" s="48" t="inlineStr">
        <is>
          <t xml:space="preserve">Bound - within authority</t>
        </is>
      </c>
      <c r="E66" s="48" t="inlineStr">
        <is>
          <t xml:space="preserve">New business</t>
        </is>
      </c>
      <c r="F66" s="46" t="inlineStr">
        <is>
          <t xml:space="preserve">B1234EXOTIC26</t>
        </is>
      </c>
      <c r="G66" s="33">
        <f>IF($A66="","",IF($C66="","",YEAR($C66)))</f>
      </c>
      <c r="H66" s="49">
        <v>1965</v>
      </c>
      <c r="I66" s="46" t="inlineStr">
        <is>
          <t xml:space="preserve">Maserati</t>
        </is>
      </c>
      <c r="J66" s="46" t="inlineStr">
        <is>
          <t xml:space="preserve">GranTurismo</t>
        </is>
      </c>
      <c r="K66" s="46" t="inlineStr">
        <is>
          <t xml:space="preserve">VPBX8YG53CBNPVP9J</t>
        </is>
      </c>
      <c r="L66" s="48" t="inlineStr">
        <is>
          <t xml:space="preserve">02 - Sports / GT</t>
        </is>
      </c>
      <c r="M66" s="50">
        <v>1950000</v>
      </c>
      <c r="N66" s="48" t="inlineStr">
        <is>
          <t xml:space="preserve">Personal</t>
        </is>
      </c>
      <c r="O66" s="46" t="inlineStr">
        <is>
          <t xml:space="preserve">Personal - regular use</t>
        </is>
      </c>
      <c r="P66" s="46" t="inlineStr">
        <is>
          <t xml:space="preserve">2,500 - 5,000</t>
        </is>
      </c>
      <c r="Q66" s="46" t="inlineStr">
        <is>
          <t xml:space="preserve">Alaska</t>
        </is>
      </c>
      <c r="R66" s="46" t="inlineStr">
        <is>
          <t xml:space="preserve">99501</t>
        </is>
      </c>
      <c r="S66" s="48" t="inlineStr">
        <is>
          <t xml:space="preserve">Earthquake - high (CA, Cascadia, New Madrid)</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19158.7</v>
      </c>
      <c r="AC66" s="51">
        <v>0</v>
      </c>
      <c r="AD66" s="38">
        <f>IF(ISNUMBER($AB66),$AB66*(1+N($AC66)),"")</f>
      </c>
      <c r="AE66" s="50">
        <v>350</v>
      </c>
      <c r="AF66" s="50">
        <v>250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CANON-202604-006638</t>
        </is>
      </c>
      <c r="B67" s="30" t="inlineStr">
        <is>
          <t xml:space="preserve">Aurelio Whitlock</t>
        </is>
      </c>
      <c r="C67" s="31">
        <v>46134</v>
      </c>
      <c r="D67" s="32" t="inlineStr">
        <is>
          <t xml:space="preserve">Bound - within authority</t>
        </is>
      </c>
      <c r="E67" s="32" t="inlineStr">
        <is>
          <t xml:space="preserve">New business</t>
        </is>
      </c>
      <c r="F67" s="30" t="inlineStr">
        <is>
          <t xml:space="preserve">B1234EXOTIC26</t>
        </is>
      </c>
      <c r="G67" s="33">
        <f>IF($A67="","",IF($C67="","",YEAR($C67)))</f>
      </c>
      <c r="H67" s="34">
        <v>2006</v>
      </c>
      <c r="I67" s="30" t="inlineStr">
        <is>
          <t xml:space="preserve">Lamborghini</t>
        </is>
      </c>
      <c r="J67" s="30" t="inlineStr">
        <is>
          <t xml:space="preserve">Huracan EVO</t>
        </is>
      </c>
      <c r="K67" s="30" t="inlineStr">
        <is>
          <t xml:space="preserve">7DJ19VZ1R83VBPDSW</t>
        </is>
      </c>
      <c r="L67" s="32" t="inlineStr">
        <is>
          <t xml:space="preserve">03 - Supercar</t>
        </is>
      </c>
      <c r="M67" s="35">
        <v>645000</v>
      </c>
      <c r="N67" s="32" t="inlineStr">
        <is>
          <t xml:space="preserve">Personal</t>
        </is>
      </c>
      <c r="O67" s="30" t="inlineStr">
        <is>
          <t xml:space="preserve">Personal - regular use</t>
        </is>
      </c>
      <c r="P67" s="30" t="inlineStr">
        <is>
          <t xml:space="preserve">Under 1,000</t>
        </is>
      </c>
      <c r="Q67" s="30" t="inlineStr">
        <is>
          <t xml:space="preserve">Vermont</t>
        </is>
      </c>
      <c r="R67" s="30" t="inlineStr">
        <is>
          <t xml:space="preserve">05601</t>
        </is>
      </c>
      <c r="S67" s="32" t="inlineStr">
        <is>
          <t xml:space="preserve">Low hazard - inland benign</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11714.04</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CANON-202604-006639</t>
        </is>
      </c>
      <c r="B68" s="46" t="inlineStr">
        <is>
          <t xml:space="preserve">Saoirse Kingsford</t>
        </is>
      </c>
      <c r="C68" s="47">
        <v>46137</v>
      </c>
      <c r="D68" s="48" t="inlineStr">
        <is>
          <t xml:space="preserve">Bound - within authority</t>
        </is>
      </c>
      <c r="E68" s="48" t="inlineStr">
        <is>
          <t xml:space="preserve">New business</t>
        </is>
      </c>
      <c r="F68" s="46" t="inlineStr">
        <is>
          <t xml:space="preserve">B1234EXOTIC26</t>
        </is>
      </c>
      <c r="G68" s="33">
        <f>IF($A68="","",IF($C68="","",YEAR($C68)))</f>
      </c>
      <c r="H68" s="49">
        <v>1985</v>
      </c>
      <c r="I68" s="46" t="inlineStr">
        <is>
          <t xml:space="preserve">Singer</t>
        </is>
      </c>
      <c r="J68" s="46" t="inlineStr">
        <is>
          <t xml:space="preserve">911 Reimagined</t>
        </is>
      </c>
      <c r="K68" s="46" t="inlineStr">
        <is>
          <t xml:space="preserve">U07FGJLYSU1FDN3W7</t>
        </is>
      </c>
      <c r="L68" s="48" t="inlineStr">
        <is>
          <t xml:space="preserve">11 - Restomod / Coachbuilt / Bespoke</t>
        </is>
      </c>
      <c r="M68" s="50">
        <v>515000</v>
      </c>
      <c r="N68" s="48" t="inlineStr">
        <is>
          <t xml:space="preserve">Personal</t>
        </is>
      </c>
      <c r="O68" s="46" t="inlineStr">
        <is>
          <t xml:space="preserve">Personal - regular use</t>
        </is>
      </c>
      <c r="P68" s="46" t="inlineStr">
        <is>
          <t xml:space="preserve">1,000 - 2,500</t>
        </is>
      </c>
      <c r="Q68" s="46" t="inlineStr">
        <is>
          <t xml:space="preserve">Florida</t>
        </is>
      </c>
      <c r="R68" s="46" t="inlineStr">
        <is>
          <t xml:space="preserve">33139</t>
        </is>
      </c>
      <c r="S68" s="48" t="inlineStr">
        <is>
          <t xml:space="preserve">Tier 2 - Coastal wind (1-25 miles)</t>
        </is>
      </c>
      <c r="T68" s="36">
        <f>IF($A68="","",IF($S68="","",IFERROR(INDEX('[1]natural catastrophe'!$D$6:$D$17,MATCH($S68,'[1]natural catastrophe'!$B$6:$B$17,0)),"?")))</f>
      </c>
      <c r="U68" s="46" t="inlineStr">
        <is>
          <t xml:space="preserve">2% of agreed value, minimum $10,000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8938.28</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CANON-202604-006640</t>
        </is>
      </c>
      <c r="B69" s="30" t="inlineStr">
        <is>
          <t xml:space="preserve">Noor Kingsford</t>
        </is>
      </c>
      <c r="C69" s="31">
        <v>46142</v>
      </c>
      <c r="D69" s="32" t="inlineStr">
        <is>
          <t xml:space="preserve">Bound - within authority</t>
        </is>
      </c>
      <c r="E69" s="32" t="inlineStr">
        <is>
          <t xml:space="preserve">New business</t>
        </is>
      </c>
      <c r="F69" s="30" t="inlineStr">
        <is>
          <t xml:space="preserve">B1234EXOTIC26</t>
        </is>
      </c>
      <c r="G69" s="33">
        <f>IF($A69="","",IF($C69="","",YEAR($C69)))</f>
      </c>
      <c r="H69" s="34">
        <v>1973</v>
      </c>
      <c r="I69" s="30" t="inlineStr">
        <is>
          <t xml:space="preserve">McLaren</t>
        </is>
      </c>
      <c r="J69" s="30" t="inlineStr">
        <is>
          <t xml:space="preserve">750S</t>
        </is>
      </c>
      <c r="K69" s="30" t="inlineStr">
        <is>
          <t xml:space="preserve">06K557C197383RAR7</t>
        </is>
      </c>
      <c r="L69" s="32" t="inlineStr">
        <is>
          <t xml:space="preserve">03 - Supercar</t>
        </is>
      </c>
      <c r="M69" s="35">
        <v>750000</v>
      </c>
      <c r="N69" s="32" t="inlineStr">
        <is>
          <t xml:space="preserve">Personal</t>
        </is>
      </c>
      <c r="O69" s="30" t="inlineStr">
        <is>
          <t xml:space="preserve">Personal - regular use</t>
        </is>
      </c>
      <c r="P69" s="30" t="inlineStr">
        <is>
          <t xml:space="preserve">Under 1,000</t>
        </is>
      </c>
      <c r="Q69" s="30" t="inlineStr">
        <is>
          <t xml:space="preserve">Alabama</t>
        </is>
      </c>
      <c r="R69" s="30" t="inlineStr">
        <is>
          <t xml:space="preserve">35203</t>
        </is>
      </c>
      <c r="S69" s="32" t="inlineStr">
        <is>
          <t xml:space="preserve">Tier 2 - Coastal wind (1-25 miles)</t>
        </is>
      </c>
      <c r="T69" s="36">
        <f>IF($A69="","",IF($S69="","",IFERROR(INDEX('[1]natural catastrophe'!$D$6:$D$17,MATCH($S69,'[1]natural catastrophe'!$B$6:$B$17,0)),"?")))</f>
      </c>
      <c r="U69" s="30" t="inlineStr">
        <is>
          <t xml:space="preserve">2% of agreed value, minimum $10,000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14179.22</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CANON-202604-006641</t>
        </is>
      </c>
      <c r="B70" s="46" t="inlineStr">
        <is>
          <t xml:space="preserve">Thaddeus Underwood</t>
        </is>
      </c>
      <c r="C70" s="47">
        <v>46137</v>
      </c>
      <c r="D70" s="48" t="inlineStr">
        <is>
          <t xml:space="preserve">Bound - within authority</t>
        </is>
      </c>
      <c r="E70" s="48" t="inlineStr">
        <is>
          <t xml:space="preserve">New business</t>
        </is>
      </c>
      <c r="F70" s="46" t="inlineStr">
        <is>
          <t xml:space="preserve">B1234EXOTIC26</t>
        </is>
      </c>
      <c r="G70" s="33">
        <f>IF($A70="","",IF($C70="","",YEAR($C70)))</f>
      </c>
      <c r="H70" s="49">
        <v>2018</v>
      </c>
      <c r="I70" s="46" t="inlineStr">
        <is>
          <t xml:space="preserve">Bentley</t>
        </is>
      </c>
      <c r="J70" s="46" t="inlineStr">
        <is>
          <t xml:space="preserve">Continental GT</t>
        </is>
      </c>
      <c r="K70" s="46" t="inlineStr">
        <is>
          <t xml:space="preserve">98XJCRZR4N6PWLXN4</t>
        </is>
      </c>
      <c r="L70" s="48" t="inlineStr">
        <is>
          <t xml:space="preserve">02 - Sports / GT</t>
        </is>
      </c>
      <c r="M70" s="50">
        <v>470000</v>
      </c>
      <c r="N70" s="48" t="inlineStr">
        <is>
          <t xml:space="preserve">Personal</t>
        </is>
      </c>
      <c r="O70" s="46" t="inlineStr">
        <is>
          <t xml:space="preserve">Personal - regular use</t>
        </is>
      </c>
      <c r="P70" s="46" t="inlineStr">
        <is>
          <t xml:space="preserve">2,500 - 5,000</t>
        </is>
      </c>
      <c r="Q70" s="46" t="inlineStr">
        <is>
          <t xml:space="preserve">Florida</t>
        </is>
      </c>
      <c r="R70" s="46" t="inlineStr">
        <is>
          <t xml:space="preserve">33139</t>
        </is>
      </c>
      <c r="S70" s="48" t="inlineStr">
        <is>
          <t xml:space="preserve">Tier 2 - Coastal wind (1-25 miles)</t>
        </is>
      </c>
      <c r="T70" s="36">
        <f>IF($A70="","",IF($S70="","",IFERROR(INDEX('[1]natural catastrophe'!$D$6:$D$17,MATCH($S70,'[1]natural catastrophe'!$B$6:$B$17,0)),"?")))</f>
      </c>
      <c r="U70" s="46" t="inlineStr">
        <is>
          <t xml:space="preserve">2% of agreed value, minimum $10,000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7843.52</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CANON-202604-006642</t>
        </is>
      </c>
      <c r="B71" s="30" t="inlineStr">
        <is>
          <t xml:space="preserve">Horace Nakashima</t>
        </is>
      </c>
      <c r="C71" s="31">
        <v>46139</v>
      </c>
      <c r="D71" s="32" t="inlineStr">
        <is>
          <t xml:space="preserve">Bound - within authority</t>
        </is>
      </c>
      <c r="E71" s="32" t="inlineStr">
        <is>
          <t xml:space="preserve">New business</t>
        </is>
      </c>
      <c r="F71" s="30" t="inlineStr">
        <is>
          <t xml:space="preserve">B1234EXOTIC26</t>
        </is>
      </c>
      <c r="G71" s="33">
        <f>IF($A71="","",IF($C71="","",YEAR($C71)))</f>
      </c>
      <c r="H71" s="34">
        <v>2018</v>
      </c>
      <c r="I71" s="30" t="inlineStr">
        <is>
          <t xml:space="preserve">Ferrari</t>
        </is>
      </c>
      <c r="J71" s="30" t="inlineStr">
        <is>
          <t xml:space="preserve">296 GTB</t>
        </is>
      </c>
      <c r="K71" s="30" t="inlineStr">
        <is>
          <t xml:space="preserve">4K53SY45UYNBVK1Z9</t>
        </is>
      </c>
      <c r="L71" s="32" t="inlineStr">
        <is>
          <t xml:space="preserve">03 - Supercar</t>
        </is>
      </c>
      <c r="M71" s="35">
        <v>1060000</v>
      </c>
      <c r="N71" s="32" t="inlineStr">
        <is>
          <t xml:space="preserve">Personal</t>
        </is>
      </c>
      <c r="O71" s="30" t="inlineStr">
        <is>
          <t xml:space="preserve">Personal - regular use</t>
        </is>
      </c>
      <c r="P71" s="30" t="inlineStr">
        <is>
          <t xml:space="preserve">1,000 - 2,500</t>
        </is>
      </c>
      <c r="Q71" s="30" t="inlineStr">
        <is>
          <t xml:space="preserve">Arizona</t>
        </is>
      </c>
      <c r="R71" s="30" t="inlineStr">
        <is>
          <t xml:space="preserve">85001</t>
        </is>
      </c>
      <c r="S71" s="32" t="inlineStr">
        <is>
          <t xml:space="preserve">Wildfire - WUI high hazard</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13420.88</v>
      </c>
      <c r="AC71" s="37">
        <v>0</v>
      </c>
      <c r="AD71" s="38">
        <f>IF(ISNUMBER($AB71),$AB71*(1+N($AC71)),"")</f>
      </c>
      <c r="AE71" s="35">
        <v>350</v>
      </c>
      <c r="AF71" s="35">
        <v>250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CANON-202604-006645</t>
        </is>
      </c>
      <c r="B72" s="46" t="inlineStr">
        <is>
          <t xml:space="preserve">Wilhelmina Whitlock</t>
        </is>
      </c>
      <c r="C72" s="47">
        <v>46123</v>
      </c>
      <c r="D72" s="48" t="inlineStr">
        <is>
          <t xml:space="preserve">Bound - within authority</t>
        </is>
      </c>
      <c r="E72" s="48" t="inlineStr">
        <is>
          <t xml:space="preserve">New business</t>
        </is>
      </c>
      <c r="F72" s="46" t="inlineStr">
        <is>
          <t xml:space="preserve">B1234EXOTIC26</t>
        </is>
      </c>
      <c r="G72" s="33">
        <f>IF($A72="","",IF($C72="","",YEAR($C72)))</f>
      </c>
      <c r="H72" s="49">
        <v>2002</v>
      </c>
      <c r="I72" s="46" t="inlineStr">
        <is>
          <t xml:space="preserve">Porsche</t>
        </is>
      </c>
      <c r="J72" s="46" t="inlineStr">
        <is>
          <t xml:space="preserve">911 Turbo S</t>
        </is>
      </c>
      <c r="K72" s="46" t="inlineStr">
        <is>
          <t xml:space="preserve">HRJAVP59WF7S8K5LL</t>
        </is>
      </c>
      <c r="L72" s="48" t="inlineStr">
        <is>
          <t xml:space="preserve">02 - Sports / GT</t>
        </is>
      </c>
      <c r="M72" s="50">
        <v>1020000</v>
      </c>
      <c r="N72" s="48" t="inlineStr">
        <is>
          <t xml:space="preserve">Personal</t>
        </is>
      </c>
      <c r="O72" s="46" t="inlineStr">
        <is>
          <t xml:space="preserve">Personal - regular use</t>
        </is>
      </c>
      <c r="P72" s="46" t="inlineStr">
        <is>
          <t xml:space="preserve">2,500 - 5,000</t>
        </is>
      </c>
      <c r="Q72" s="46" t="inlineStr">
        <is>
          <t xml:space="preserve">Oregon</t>
        </is>
      </c>
      <c r="R72" s="46" t="inlineStr">
        <is>
          <t xml:space="preserve">97204</t>
        </is>
      </c>
      <c r="S72" s="48" t="inlineStr">
        <is>
          <t xml:space="preserve">Earthquake - high (CA, Cascadia, New Madrid)</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9933.56</v>
      </c>
      <c r="AC72" s="51">
        <v>0</v>
      </c>
      <c r="AD72" s="38">
        <f>IF(ISNUMBER($AB72),$AB72*(1+N($AC72)),"")</f>
      </c>
      <c r="AE72" s="50">
        <v>350</v>
      </c>
      <c r="AF72" s="50">
        <v>250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CANON-202604-006646</t>
        </is>
      </c>
      <c r="B73" s="30" t="inlineStr">
        <is>
          <t xml:space="preserve">Callum Okonkwo</t>
        </is>
      </c>
      <c r="C73" s="31">
        <v>46130</v>
      </c>
      <c r="D73" s="32" t="inlineStr">
        <is>
          <t xml:space="preserve">Bound - within authority</t>
        </is>
      </c>
      <c r="E73" s="32" t="inlineStr">
        <is>
          <t xml:space="preserve">New business</t>
        </is>
      </c>
      <c r="F73" s="30" t="inlineStr">
        <is>
          <t xml:space="preserve">B1234EXOTIC26</t>
        </is>
      </c>
      <c r="G73" s="33">
        <f>IF($A73="","",IF($C73="","",YEAR($C73)))</f>
      </c>
      <c r="H73" s="34">
        <v>1963</v>
      </c>
      <c r="I73" s="30" t="inlineStr">
        <is>
          <t xml:space="preserve">Porsche</t>
        </is>
      </c>
      <c r="J73" s="30" t="inlineStr">
        <is>
          <t xml:space="preserve">911 Turbo S</t>
        </is>
      </c>
      <c r="K73" s="30" t="inlineStr">
        <is>
          <t xml:space="preserve">N65PHYGXLP0LMRB24</t>
        </is>
      </c>
      <c r="L73" s="32" t="inlineStr">
        <is>
          <t xml:space="preserve">02 - Sports / GT</t>
        </is>
      </c>
      <c r="M73" s="35">
        <v>505000</v>
      </c>
      <c r="N73" s="32" t="inlineStr">
        <is>
          <t xml:space="preserve">Personal</t>
        </is>
      </c>
      <c r="O73" s="30" t="inlineStr">
        <is>
          <t xml:space="preserve">Personal - regular use</t>
        </is>
      </c>
      <c r="P73" s="30" t="inlineStr">
        <is>
          <t xml:space="preserve">2,500 - 5,000</t>
        </is>
      </c>
      <c r="Q73" s="30" t="inlineStr">
        <is>
          <t xml:space="preserve">Florida</t>
        </is>
      </c>
      <c r="R73" s="30" t="inlineStr">
        <is>
          <t xml:space="preserve">33139</t>
        </is>
      </c>
      <c r="S73" s="32" t="inlineStr">
        <is>
          <t xml:space="preserve">Tier 2 - Coastal wind (1-25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7303.93</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CANON-202604-006647</t>
        </is>
      </c>
      <c r="B74" s="46" t="inlineStr">
        <is>
          <t xml:space="preserve">Fitzgerald Montoya</t>
        </is>
      </c>
      <c r="C74" s="47">
        <v>46118</v>
      </c>
      <c r="D74" s="48" t="inlineStr">
        <is>
          <t xml:space="preserve">Bound - within authority</t>
        </is>
      </c>
      <c r="E74" s="48" t="inlineStr">
        <is>
          <t xml:space="preserve">New business</t>
        </is>
      </c>
      <c r="F74" s="46" t="inlineStr">
        <is>
          <t xml:space="preserve">B1234EXOTIC26</t>
        </is>
      </c>
      <c r="G74" s="33">
        <f>IF($A74="","",IF($C74="","",YEAR($C74)))</f>
      </c>
      <c r="H74" s="49">
        <v>2022</v>
      </c>
      <c r="I74" s="46" t="inlineStr">
        <is>
          <t xml:space="preserve">Lamborghini</t>
        </is>
      </c>
      <c r="J74" s="46" t="inlineStr">
        <is>
          <t xml:space="preserve">Huracan EVO</t>
        </is>
      </c>
      <c r="K74" s="46" t="inlineStr">
        <is>
          <t xml:space="preserve">5XXLRY2LEFH8WF5Z8</t>
        </is>
      </c>
      <c r="L74" s="48" t="inlineStr">
        <is>
          <t xml:space="preserve">03 - Supercar</t>
        </is>
      </c>
      <c r="M74" s="50">
        <v>1330000</v>
      </c>
      <c r="N74" s="48" t="inlineStr">
        <is>
          <t xml:space="preserve">Personal</t>
        </is>
      </c>
      <c r="O74" s="46" t="inlineStr">
        <is>
          <t xml:space="preserve">Personal - regular use</t>
        </is>
      </c>
      <c r="P74" s="46" t="inlineStr">
        <is>
          <t xml:space="preserve">1,000 - 2,500</t>
        </is>
      </c>
      <c r="Q74" s="46" t="inlineStr">
        <is>
          <t xml:space="preserve">Louisiana</t>
        </is>
      </c>
      <c r="R74" s="46" t="inlineStr">
        <is>
          <t xml:space="preserve">70112</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20173.94</v>
      </c>
      <c r="AC74" s="51">
        <v>0</v>
      </c>
      <c r="AD74" s="38">
        <f>IF(ISNUMBER($AB74),$AB74*(1+N($AC74)),"")</f>
      </c>
      <c r="AE74" s="50">
        <v>350</v>
      </c>
      <c r="AF74" s="50">
        <v>250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CANON-202604-006648</t>
        </is>
      </c>
      <c r="B75" s="30" t="inlineStr">
        <is>
          <t xml:space="preserve">Wilhelmina Harrington</t>
        </is>
      </c>
      <c r="C75" s="31">
        <v>46137</v>
      </c>
      <c r="D75" s="32" t="inlineStr">
        <is>
          <t xml:space="preserve">Bound - within authority</t>
        </is>
      </c>
      <c r="E75" s="32" t="inlineStr">
        <is>
          <t xml:space="preserve">New business</t>
        </is>
      </c>
      <c r="F75" s="30" t="inlineStr">
        <is>
          <t xml:space="preserve">B1234EXOTIC26</t>
        </is>
      </c>
      <c r="G75" s="33">
        <f>IF($A75="","",IF($C75="","",YEAR($C75)))</f>
      </c>
      <c r="H75" s="34">
        <v>2011</v>
      </c>
      <c r="I75" s="30" t="inlineStr">
        <is>
          <t xml:space="preserve">Porsche</t>
        </is>
      </c>
      <c r="J75" s="30" t="inlineStr">
        <is>
          <t xml:space="preserve">911 Turbo S</t>
        </is>
      </c>
      <c r="K75" s="30" t="inlineStr">
        <is>
          <t xml:space="preserve">GUWS5U1J7VEVS094J</t>
        </is>
      </c>
      <c r="L75" s="32" t="inlineStr">
        <is>
          <t xml:space="preserve">02 - Sports / GT</t>
        </is>
      </c>
      <c r="M75" s="35">
        <v>1025000</v>
      </c>
      <c r="N75" s="32" t="inlineStr">
        <is>
          <t xml:space="preserve">Personal</t>
        </is>
      </c>
      <c r="O75" s="30" t="inlineStr">
        <is>
          <t xml:space="preserve">Personal - regular use</t>
        </is>
      </c>
      <c r="P75" s="30" t="inlineStr">
        <is>
          <t xml:space="preserve">Under 1,000</t>
        </is>
      </c>
      <c r="Q75" s="30" t="inlineStr">
        <is>
          <t xml:space="preserve">Virginia</t>
        </is>
      </c>
      <c r="R75" s="30" t="inlineStr">
        <is>
          <t xml:space="preserve">23219</t>
        </is>
      </c>
      <c r="S75" s="32" t="inlineStr">
        <is>
          <t xml:space="preserve">Tier 3 - Coastal wind (25-100 miles)</t>
        </is>
      </c>
      <c r="T75" s="36">
        <f>IF($A75="","",IF($S75="","",IFERROR(INDEX('[1]natural catastrophe'!$D$6:$D$17,MATCH($S75,'[1]natural catastrophe'!$B$6:$B$17,0)),"?")))</f>
      </c>
      <c r="U75" s="30" t="inlineStr">
        <is>
          <t xml:space="preserve">2% of agreed value, minimum $10,000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9628.9</v>
      </c>
      <c r="AC75" s="37">
        <v>0</v>
      </c>
      <c r="AD75" s="38">
        <f>IF(ISNUMBER($AB75),$AB75*(1+N($AC75)),"")</f>
      </c>
      <c r="AE75" s="35">
        <v>350</v>
      </c>
      <c r="AF75" s="35">
        <v>250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CANON-202604-006649</t>
        </is>
      </c>
      <c r="B76" s="46" t="inlineStr">
        <is>
          <t xml:space="preserve">Saoirse Castellanos</t>
        </is>
      </c>
      <c r="C76" s="47">
        <v>46121</v>
      </c>
      <c r="D76" s="48" t="inlineStr">
        <is>
          <t xml:space="preserve">Bound - within authority</t>
        </is>
      </c>
      <c r="E76" s="48" t="inlineStr">
        <is>
          <t xml:space="preserve">New business</t>
        </is>
      </c>
      <c r="F76" s="46" t="inlineStr">
        <is>
          <t xml:space="preserve">B1234EXOTIC26</t>
        </is>
      </c>
      <c r="G76" s="33">
        <f>IF($A76="","",IF($C76="","",YEAR($C76)))</f>
      </c>
      <c r="H76" s="49">
        <v>1971</v>
      </c>
      <c r="I76" s="46" t="inlineStr">
        <is>
          <t xml:space="preserve">BMW</t>
        </is>
      </c>
      <c r="J76" s="46" t="inlineStr">
        <is>
          <t xml:space="preserve">M8 Competition</t>
        </is>
      </c>
      <c r="K76" s="46" t="inlineStr">
        <is>
          <t xml:space="preserve">XYY23XTP7RRWEJ63C</t>
        </is>
      </c>
      <c r="L76" s="48" t="inlineStr">
        <is>
          <t xml:space="preserve">02 - Sports / GT</t>
        </is>
      </c>
      <c r="M76" s="50">
        <v>370000</v>
      </c>
      <c r="N76" s="48" t="inlineStr">
        <is>
          <t xml:space="preserve">Personal</t>
        </is>
      </c>
      <c r="O76" s="46" t="inlineStr">
        <is>
          <t xml:space="preserve">Personal - regular use</t>
        </is>
      </c>
      <c r="P76" s="46" t="inlineStr">
        <is>
          <t xml:space="preserve">Under 1,000</t>
        </is>
      </c>
      <c r="Q76" s="46" t="inlineStr">
        <is>
          <t xml:space="preserve">California</t>
        </is>
      </c>
      <c r="R76" s="46" t="inlineStr">
        <is>
          <t xml:space="preserve">90012</t>
        </is>
      </c>
      <c r="S76" s="48" t="inlineStr">
        <is>
          <t xml:space="preserve">Earthquake - high (CA, Cascadia, New Madrid)</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5870.31</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CANON-202604-006651</t>
        </is>
      </c>
      <c r="B77" s="30" t="inlineStr">
        <is>
          <t xml:space="preserve">Fitzgerald Ashcombe</t>
        </is>
      </c>
      <c r="C77" s="31">
        <v>46113</v>
      </c>
      <c r="D77" s="32" t="inlineStr">
        <is>
          <t xml:space="preserve">Bound - within authority</t>
        </is>
      </c>
      <c r="E77" s="32" t="inlineStr">
        <is>
          <t xml:space="preserve">New business</t>
        </is>
      </c>
      <c r="F77" s="30" t="inlineStr">
        <is>
          <t xml:space="preserve">B1234EXOTIC26</t>
        </is>
      </c>
      <c r="G77" s="33">
        <f>IF($A77="","",IF($C77="","",YEAR($C77)))</f>
      </c>
      <c r="H77" s="34">
        <v>1985</v>
      </c>
      <c r="I77" s="30" t="inlineStr">
        <is>
          <t xml:space="preserve">Porsche</t>
        </is>
      </c>
      <c r="J77" s="30" t="inlineStr">
        <is>
          <t xml:space="preserve">911 Turbo S</t>
        </is>
      </c>
      <c r="K77" s="30" t="inlineStr">
        <is>
          <t xml:space="preserve">CY6N0T657AX23LER4</t>
        </is>
      </c>
      <c r="L77" s="32" t="inlineStr">
        <is>
          <t xml:space="preserve">02 - Sports / GT</t>
        </is>
      </c>
      <c r="M77" s="35">
        <v>810000</v>
      </c>
      <c r="N77" s="32" t="inlineStr">
        <is>
          <t xml:space="preserve">Personal</t>
        </is>
      </c>
      <c r="O77" s="30" t="inlineStr">
        <is>
          <t xml:space="preserve">Personal - regular use</t>
        </is>
      </c>
      <c r="P77" s="30" t="inlineStr">
        <is>
          <t xml:space="preserve">Under 1,000</t>
        </is>
      </c>
      <c r="Q77" s="30" t="inlineStr">
        <is>
          <t xml:space="preserve">Vermont</t>
        </is>
      </c>
      <c r="R77" s="30" t="inlineStr">
        <is>
          <t xml:space="preserve">05601</t>
        </is>
      </c>
      <c r="S77" s="32" t="inlineStr">
        <is>
          <t xml:space="preserve">Low hazard - inland benign</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10065.19</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CANON-202604-006652</t>
        </is>
      </c>
      <c r="B78" s="46" t="inlineStr">
        <is>
          <t xml:space="preserve">Delphine Thistlewood</t>
        </is>
      </c>
      <c r="C78" s="47">
        <v>46134</v>
      </c>
      <c r="D78" s="48" t="inlineStr">
        <is>
          <t xml:space="preserve">Bound - within authority</t>
        </is>
      </c>
      <c r="E78" s="48" t="inlineStr">
        <is>
          <t xml:space="preserve">New business</t>
        </is>
      </c>
      <c r="F78" s="46" t="inlineStr">
        <is>
          <t xml:space="preserve">B1234EXOTIC26</t>
        </is>
      </c>
      <c r="G78" s="33">
        <f>IF($A78="","",IF($C78="","",YEAR($C78)))</f>
      </c>
      <c r="H78" s="49">
        <v>2006</v>
      </c>
      <c r="I78" s="46" t="inlineStr">
        <is>
          <t xml:space="preserve">Aston Martin</t>
        </is>
      </c>
      <c r="J78" s="46" t="inlineStr">
        <is>
          <t xml:space="preserve">DB12</t>
        </is>
      </c>
      <c r="K78" s="46" t="inlineStr">
        <is>
          <t xml:space="preserve">4ZFXT59CCGPPNV4ZF</t>
        </is>
      </c>
      <c r="L78" s="48" t="inlineStr">
        <is>
          <t xml:space="preserve">02 - Sports / GT</t>
        </is>
      </c>
      <c r="M78" s="50">
        <v>645000</v>
      </c>
      <c r="N78" s="48" t="inlineStr">
        <is>
          <t xml:space="preserve">Personal</t>
        </is>
      </c>
      <c r="O78" s="46" t="inlineStr">
        <is>
          <t xml:space="preserve">Personal - regular use</t>
        </is>
      </c>
      <c r="P78" s="46" t="inlineStr">
        <is>
          <t xml:space="preserve">1,000 - 2,500</t>
        </is>
      </c>
      <c r="Q78" s="46" t="inlineStr">
        <is>
          <t xml:space="preserve">Oklahoma</t>
        </is>
      </c>
      <c r="R78" s="46" t="inlineStr">
        <is>
          <t xml:space="preserve">73102</t>
        </is>
      </c>
      <c r="S78" s="48" t="inlineStr">
        <is>
          <t xml:space="preserve">Severe convective - hail alley (high)</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8277.66</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CANON-202604-006653</t>
        </is>
      </c>
      <c r="B79" s="30" t="inlineStr">
        <is>
          <t xml:space="preserve">Horace Delacroix</t>
        </is>
      </c>
      <c r="C79" s="31">
        <v>46134</v>
      </c>
      <c r="D79" s="32" t="inlineStr">
        <is>
          <t xml:space="preserve">Bound - within authority</t>
        </is>
      </c>
      <c r="E79" s="32" t="inlineStr">
        <is>
          <t xml:space="preserve">New business</t>
        </is>
      </c>
      <c r="F79" s="30" t="inlineStr">
        <is>
          <t xml:space="preserve">B1234EXOTIC26</t>
        </is>
      </c>
      <c r="G79" s="33">
        <f>IF($A79="","",IF($C79="","",YEAR($C79)))</f>
      </c>
      <c r="H79" s="34">
        <v>1957</v>
      </c>
      <c r="I79" s="30" t="inlineStr">
        <is>
          <t xml:space="preserve">Porsche</t>
        </is>
      </c>
      <c r="J79" s="30" t="inlineStr">
        <is>
          <t xml:space="preserve">911 Turbo S</t>
        </is>
      </c>
      <c r="K79" s="30" t="inlineStr">
        <is>
          <t xml:space="preserve">DCTSCF5HSUUAS346N</t>
        </is>
      </c>
      <c r="L79" s="32" t="inlineStr">
        <is>
          <t xml:space="preserve">02 - Sports / GT</t>
        </is>
      </c>
      <c r="M79" s="35">
        <v>820000</v>
      </c>
      <c r="N79" s="32" t="inlineStr">
        <is>
          <t xml:space="preserve">Personal</t>
        </is>
      </c>
      <c r="O79" s="30" t="inlineStr">
        <is>
          <t xml:space="preserve">Personal - regular use</t>
        </is>
      </c>
      <c r="P79" s="30" t="inlineStr">
        <is>
          <t xml:space="preserve">2,500 - 5,000</t>
        </is>
      </c>
      <c r="Q79" s="30" t="inlineStr">
        <is>
          <t xml:space="preserve">South Carolina</t>
        </is>
      </c>
      <c r="R79" s="30" t="inlineStr">
        <is>
          <t xml:space="preserve">29401</t>
        </is>
      </c>
      <c r="S79" s="32" t="inlineStr">
        <is>
          <t xml:space="preserve">Tier 2 - Coastal wind (1-25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10356.49</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CANON-202604-006656</t>
        </is>
      </c>
      <c r="B80" s="46" t="inlineStr">
        <is>
          <t xml:space="preserve">Cassius Blackwood</t>
        </is>
      </c>
      <c r="C80" s="47">
        <v>46139</v>
      </c>
      <c r="D80" s="48" t="inlineStr">
        <is>
          <t xml:space="preserve">Bound - within authority</t>
        </is>
      </c>
      <c r="E80" s="48" t="inlineStr">
        <is>
          <t xml:space="preserve">New business</t>
        </is>
      </c>
      <c r="F80" s="46" t="inlineStr">
        <is>
          <t xml:space="preserve">B1234EXOTIC26</t>
        </is>
      </c>
      <c r="G80" s="33">
        <f>IF($A80="","",IF($C80="","",YEAR($C80)))</f>
      </c>
      <c r="H80" s="49">
        <v>2012</v>
      </c>
      <c r="I80" s="46" t="inlineStr">
        <is>
          <t xml:space="preserve">Bentley</t>
        </is>
      </c>
      <c r="J80" s="46" t="inlineStr">
        <is>
          <t xml:space="preserve">Continental GT</t>
        </is>
      </c>
      <c r="K80" s="46" t="inlineStr">
        <is>
          <t xml:space="preserve">G58G8B0GDEJ0MY8MT</t>
        </is>
      </c>
      <c r="L80" s="48" t="inlineStr">
        <is>
          <t xml:space="preserve">02 - Sports / GT</t>
        </is>
      </c>
      <c r="M80" s="50">
        <v>480000</v>
      </c>
      <c r="N80" s="48" t="inlineStr">
        <is>
          <t xml:space="preserve">Personal</t>
        </is>
      </c>
      <c r="O80" s="46" t="inlineStr">
        <is>
          <t xml:space="preserve">Personal - regular use</t>
        </is>
      </c>
      <c r="P80" s="46" t="inlineStr">
        <is>
          <t xml:space="preserve">1,000 - 2,500</t>
        </is>
      </c>
      <c r="Q80" s="46" t="inlineStr">
        <is>
          <t xml:space="preserve">Georgia</t>
        </is>
      </c>
      <c r="R80" s="46" t="inlineStr">
        <is>
          <t xml:space="preserve">30303</t>
        </is>
      </c>
      <c r="S80" s="48" t="inlineStr">
        <is>
          <t xml:space="preserve">Tier 2 - Coastal wind (1-25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6318.07</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CANON-202604-006658</t>
        </is>
      </c>
      <c r="B81" s="30" t="inlineStr">
        <is>
          <t xml:space="preserve">Cassius Montoya</t>
        </is>
      </c>
      <c r="C81" s="31">
        <v>46139</v>
      </c>
      <c r="D81" s="32" t="inlineStr">
        <is>
          <t xml:space="preserve">Bound - within authority</t>
        </is>
      </c>
      <c r="E81" s="32" t="inlineStr">
        <is>
          <t xml:space="preserve">New business</t>
        </is>
      </c>
      <c r="F81" s="30" t="inlineStr">
        <is>
          <t xml:space="preserve">B1234EXOTIC26</t>
        </is>
      </c>
      <c r="G81" s="33">
        <f>IF($A81="","",IF($C81="","",YEAR($C81)))</f>
      </c>
      <c r="H81" s="34">
        <v>1955</v>
      </c>
      <c r="I81" s="30" t="inlineStr">
        <is>
          <t xml:space="preserve">Aston Martin</t>
        </is>
      </c>
      <c r="J81" s="30" t="inlineStr">
        <is>
          <t xml:space="preserve">DB12</t>
        </is>
      </c>
      <c r="K81" s="30" t="inlineStr">
        <is>
          <t xml:space="preserve">MM1JZB329UEUWJCJG</t>
        </is>
      </c>
      <c r="L81" s="32" t="inlineStr">
        <is>
          <t xml:space="preserve">02 - Sports / GT</t>
        </is>
      </c>
      <c r="M81" s="35">
        <v>565000</v>
      </c>
      <c r="N81" s="32" t="inlineStr">
        <is>
          <t xml:space="preserve">Personal</t>
        </is>
      </c>
      <c r="O81" s="30" t="inlineStr">
        <is>
          <t xml:space="preserve">Personal - regular use</t>
        </is>
      </c>
      <c r="P81" s="30" t="inlineStr">
        <is>
          <t xml:space="preserve">1,000 - 2,500</t>
        </is>
      </c>
      <c r="Q81" s="30" t="inlineStr">
        <is>
          <t xml:space="preserve">Illinois</t>
        </is>
      </c>
      <c r="R81" s="30" t="inlineStr">
        <is>
          <t xml:space="preserve">60601</t>
        </is>
      </c>
      <c r="S81" s="32" t="inlineStr">
        <is>
          <t xml:space="preserve">Severe convective - hail / tornado (moderate)</t>
        </is>
      </c>
      <c r="T81" s="36">
        <f>IF($A81="","",IF($S81="","",IFERROR(INDEX('[1]natural catastrophe'!$D$6:$D$17,MATCH($S81,'[1]natural catastrophe'!$B$6:$B$17,0)),"?")))</f>
      </c>
      <c r="U81" s="30" t="inlineStr">
        <is>
          <t xml:space="preserve">$5,000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7826.44</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CANON-202604-006659</t>
        </is>
      </c>
      <c r="B82" s="46" t="inlineStr">
        <is>
          <t xml:space="preserve">Sunniva Okonkwo</t>
        </is>
      </c>
      <c r="C82" s="47">
        <v>46136</v>
      </c>
      <c r="D82" s="48" t="inlineStr">
        <is>
          <t xml:space="preserve">Bound - within authority</t>
        </is>
      </c>
      <c r="E82" s="48" t="inlineStr">
        <is>
          <t xml:space="preserve">New business</t>
        </is>
      </c>
      <c r="F82" s="46" t="inlineStr">
        <is>
          <t xml:space="preserve">B1234EXOTIC26</t>
        </is>
      </c>
      <c r="G82" s="33">
        <f>IF($A82="","",IF($C82="","",YEAR($C82)))</f>
      </c>
      <c r="H82" s="49">
        <v>1977</v>
      </c>
      <c r="I82" s="46" t="inlineStr">
        <is>
          <t xml:space="preserve">Bentley</t>
        </is>
      </c>
      <c r="J82" s="46" t="inlineStr">
        <is>
          <t xml:space="preserve">Continental GT</t>
        </is>
      </c>
      <c r="K82" s="46" t="inlineStr">
        <is>
          <t xml:space="preserve">Y6DURKLWMMZWM39Z9</t>
        </is>
      </c>
      <c r="L82" s="48" t="inlineStr">
        <is>
          <t xml:space="preserve">02 - Sports / GT</t>
        </is>
      </c>
      <c r="M82" s="50">
        <v>295000</v>
      </c>
      <c r="N82" s="48" t="inlineStr">
        <is>
          <t xml:space="preserve">Personal</t>
        </is>
      </c>
      <c r="O82" s="46" t="inlineStr">
        <is>
          <t xml:space="preserve">Personal - regular use</t>
        </is>
      </c>
      <c r="P82" s="46" t="inlineStr">
        <is>
          <t xml:space="preserve">1,000 - 2,500</t>
        </is>
      </c>
      <c r="Q82" s="46" t="inlineStr">
        <is>
          <t xml:space="preserve">South Carolina</t>
        </is>
      </c>
      <c r="R82" s="46" t="inlineStr">
        <is>
          <t xml:space="preserve">29401</t>
        </is>
      </c>
      <c r="S82" s="48" t="inlineStr">
        <is>
          <t xml:space="preserve">Tier 2 - Coastal wind (1-25 miles)</t>
        </is>
      </c>
      <c r="T82" s="36">
        <f>IF($A82="","",IF($S82="","",IFERROR(INDEX('[1]natural catastrophe'!$D$6:$D$17,MATCH($S82,'[1]natural catastrophe'!$B$6:$B$17,0)),"?")))</f>
      </c>
      <c r="U82" s="46" t="inlineStr">
        <is>
          <t xml:space="preserve">2% of agreed value, minimum $10,000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4299.02</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CANON-202604-006662</t>
        </is>
      </c>
      <c r="B83" s="30" t="inlineStr">
        <is>
          <t xml:space="preserve">Callum Bellandi</t>
        </is>
      </c>
      <c r="C83" s="31">
        <v>46127</v>
      </c>
      <c r="D83" s="32" t="inlineStr">
        <is>
          <t xml:space="preserve">Bound - within authority</t>
        </is>
      </c>
      <c r="E83" s="32" t="inlineStr">
        <is>
          <t xml:space="preserve">New business</t>
        </is>
      </c>
      <c r="F83" s="30" t="inlineStr">
        <is>
          <t xml:space="preserve">B1234EXOTIC26</t>
        </is>
      </c>
      <c r="G83" s="33">
        <f>IF($A83="","",IF($C83="","",YEAR($C83)))</f>
      </c>
      <c r="H83" s="34">
        <v>1987</v>
      </c>
      <c r="I83" s="30" t="inlineStr">
        <is>
          <t xml:space="preserve">Mercedes-Benz</t>
        </is>
      </c>
      <c r="J83" s="30" t="inlineStr">
        <is>
          <t xml:space="preserve">280SL Pagoda</t>
        </is>
      </c>
      <c r="K83" s="30" t="inlineStr">
        <is>
          <t xml:space="preserve">L730FPND1BYTJ6LS2</t>
        </is>
      </c>
      <c r="L83" s="32" t="inlineStr">
        <is>
          <t xml:space="preserve">08 - Modern Classic (1973-1999)</t>
        </is>
      </c>
      <c r="M83" s="35">
        <v>630000</v>
      </c>
      <c r="N83" s="32" t="inlineStr">
        <is>
          <t xml:space="preserve">Personal</t>
        </is>
      </c>
      <c r="O83" s="30" t="inlineStr">
        <is>
          <t xml:space="preserve">Personal - regular use</t>
        </is>
      </c>
      <c r="P83" s="30" t="inlineStr">
        <is>
          <t xml:space="preserve">Under 1,000</t>
        </is>
      </c>
      <c r="Q83" s="30" t="inlineStr">
        <is>
          <t xml:space="preserve">Vermont</t>
        </is>
      </c>
      <c r="R83" s="30" t="inlineStr">
        <is>
          <t xml:space="preserve">05601</t>
        </is>
      </c>
      <c r="S83" s="32" t="inlineStr">
        <is>
          <t xml:space="preserve">Low hazard - inland benign</t>
        </is>
      </c>
      <c r="T83" s="36">
        <f>IF($A83="","",IF($S83="","",IFERROR(INDEX('[1]natural catastrophe'!$D$6:$D$17,MATCH($S83,'[1]natural catastrophe'!$B$6:$B$17,0)),"?")))</f>
      </c>
      <c r="U83" s="30" t="inlineStr">
        <is>
          <t xml:space="preserve">$5,000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5178.84</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CANON-202604-006663</t>
        </is>
      </c>
      <c r="B84" s="46" t="inlineStr">
        <is>
          <t xml:space="preserve">Lorenzo Kingsford</t>
        </is>
      </c>
      <c r="C84" s="47">
        <v>46128</v>
      </c>
      <c r="D84" s="48" t="inlineStr">
        <is>
          <t xml:space="preserve">Bound - within authority</t>
        </is>
      </c>
      <c r="E84" s="48" t="inlineStr">
        <is>
          <t xml:space="preserve">New business</t>
        </is>
      </c>
      <c r="F84" s="46" t="inlineStr">
        <is>
          <t xml:space="preserve">B1234EXOTIC26</t>
        </is>
      </c>
      <c r="G84" s="33">
        <f>IF($A84="","",IF($C84="","",YEAR($C84)))</f>
      </c>
      <c r="H84" s="49">
        <v>1993</v>
      </c>
      <c r="I84" s="46" t="inlineStr">
        <is>
          <t xml:space="preserve">Maserati</t>
        </is>
      </c>
      <c r="J84" s="46" t="inlineStr">
        <is>
          <t xml:space="preserve">GranTurismo</t>
        </is>
      </c>
      <c r="K84" s="46" t="inlineStr">
        <is>
          <t xml:space="preserve">3910HAFWB4NXAV6Z0</t>
        </is>
      </c>
      <c r="L84" s="48" t="inlineStr">
        <is>
          <t xml:space="preserve">02 - Sports / GT</t>
        </is>
      </c>
      <c r="M84" s="50">
        <v>1680000</v>
      </c>
      <c r="N84" s="48" t="inlineStr">
        <is>
          <t xml:space="preserve">Personal</t>
        </is>
      </c>
      <c r="O84" s="46" t="inlineStr">
        <is>
          <t xml:space="preserve">Personal - regular use</t>
        </is>
      </c>
      <c r="P84" s="46" t="inlineStr">
        <is>
          <t xml:space="preserve">2,500 - 5,000</t>
        </is>
      </c>
      <c r="Q84" s="46" t="inlineStr">
        <is>
          <t xml:space="preserve">Washington</t>
        </is>
      </c>
      <c r="R84" s="46" t="inlineStr">
        <is>
          <t xml:space="preserve">98101</t>
        </is>
      </c>
      <c r="S84" s="48" t="inlineStr">
        <is>
          <t xml:space="preserve">Earthquake - high (CA, Cascadia, New Madrid)</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13899.75</v>
      </c>
      <c r="AC84" s="51">
        <v>0</v>
      </c>
      <c r="AD84" s="38">
        <f>IF(ISNUMBER($AB84),$AB84*(1+N($AC84)),"")</f>
      </c>
      <c r="AE84" s="50">
        <v>350</v>
      </c>
      <c r="AF84" s="50">
        <v>250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CANON-202604-006664</t>
        </is>
      </c>
      <c r="B85" s="30" t="inlineStr">
        <is>
          <t xml:space="preserve">Everett Kingsford</t>
        </is>
      </c>
      <c r="C85" s="31">
        <v>46128</v>
      </c>
      <c r="D85" s="32" t="inlineStr">
        <is>
          <t xml:space="preserve">Bound - within authority</t>
        </is>
      </c>
      <c r="E85" s="32" t="inlineStr">
        <is>
          <t xml:space="preserve">New business</t>
        </is>
      </c>
      <c r="F85" s="30" t="inlineStr">
        <is>
          <t xml:space="preserve">B1234EXOTIC26</t>
        </is>
      </c>
      <c r="G85" s="33">
        <f>IF($A85="","",IF($C85="","",YEAR($C85)))</f>
      </c>
      <c r="H85" s="34">
        <v>2020</v>
      </c>
      <c r="I85" s="30" t="inlineStr">
        <is>
          <t xml:space="preserve">Maserati</t>
        </is>
      </c>
      <c r="J85" s="30" t="inlineStr">
        <is>
          <t xml:space="preserve">GranTurismo</t>
        </is>
      </c>
      <c r="K85" s="30" t="inlineStr">
        <is>
          <t xml:space="preserve">DMYV0TJ44102RERZS</t>
        </is>
      </c>
      <c r="L85" s="32" t="inlineStr">
        <is>
          <t xml:space="preserve">02 - Sports / GT</t>
        </is>
      </c>
      <c r="M85" s="35">
        <v>565000</v>
      </c>
      <c r="N85" s="32" t="inlineStr">
        <is>
          <t xml:space="preserve">Personal</t>
        </is>
      </c>
      <c r="O85" s="30" t="inlineStr">
        <is>
          <t xml:space="preserve">Personal - regular use</t>
        </is>
      </c>
      <c r="P85" s="30" t="inlineStr">
        <is>
          <t xml:space="preserve">2,500 - 5,000</t>
        </is>
      </c>
      <c r="Q85" s="30" t="inlineStr">
        <is>
          <t xml:space="preserve">Maine</t>
        </is>
      </c>
      <c r="R85" s="30" t="inlineStr">
        <is>
          <t xml:space="preserve">04101</t>
        </is>
      </c>
      <c r="S85" s="32" t="inlineStr">
        <is>
          <t xml:space="preserve">Tier 3 - Coastal wind (25-100 miles)</t>
        </is>
      </c>
      <c r="T85" s="36">
        <f>IF($A85="","",IF($S85="","",IFERROR(INDEX('[1]natural catastrophe'!$D$6:$D$17,MATCH($S85,'[1]natural catastrophe'!$B$6:$B$17,0)),"?")))</f>
      </c>
      <c r="U85" s="30" t="inlineStr">
        <is>
          <t xml:space="preserve">2% of agreed value, minimum $10,000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6215.11</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CANON-202604-006665</t>
        </is>
      </c>
      <c r="B86" s="46" t="inlineStr">
        <is>
          <t xml:space="preserve">Priya Montoya</t>
        </is>
      </c>
      <c r="C86" s="47">
        <v>46121</v>
      </c>
      <c r="D86" s="48" t="inlineStr">
        <is>
          <t xml:space="preserve">Bound - within authority</t>
        </is>
      </c>
      <c r="E86" s="48" t="inlineStr">
        <is>
          <t xml:space="preserve">New business</t>
        </is>
      </c>
      <c r="F86" s="46" t="inlineStr">
        <is>
          <t xml:space="preserve">B1234EXOTIC26</t>
        </is>
      </c>
      <c r="G86" s="33">
        <f>IF($A86="","",IF($C86="","",YEAR($C86)))</f>
      </c>
      <c r="H86" s="49">
        <v>2012</v>
      </c>
      <c r="I86" s="46" t="inlineStr">
        <is>
          <t xml:space="preserve">Porsche</t>
        </is>
      </c>
      <c r="J86" s="46" t="inlineStr">
        <is>
          <t xml:space="preserve">911 Turbo S</t>
        </is>
      </c>
      <c r="K86" s="46" t="inlineStr">
        <is>
          <t xml:space="preserve">MF4Y3RHY8ZMH4ZWC7</t>
        </is>
      </c>
      <c r="L86" s="48" t="inlineStr">
        <is>
          <t xml:space="preserve">02 - Sports / GT</t>
        </is>
      </c>
      <c r="M86" s="50">
        <v>540000</v>
      </c>
      <c r="N86" s="48" t="inlineStr">
        <is>
          <t xml:space="preserve">Personal</t>
        </is>
      </c>
      <c r="O86" s="46" t="inlineStr">
        <is>
          <t xml:space="preserve">Personal - regular use</t>
        </is>
      </c>
      <c r="P86" s="46" t="inlineStr">
        <is>
          <t xml:space="preserve">Under 1,000</t>
        </is>
      </c>
      <c r="Q86" s="46" t="inlineStr">
        <is>
          <t xml:space="preserve">New York</t>
        </is>
      </c>
      <c r="R86" s="46" t="inlineStr">
        <is>
          <t xml:space="preserve">10022</t>
        </is>
      </c>
      <c r="S86" s="48" t="inlineStr">
        <is>
          <t xml:space="preserve">Tier 3 - Coastal wind (25-100 miles)</t>
        </is>
      </c>
      <c r="T86" s="36">
        <f>IF($A86="","",IF($S86="","",IFERROR(INDEX('[1]natural catastrophe'!$D$6:$D$17,MATCH($S86,'[1]natural catastrophe'!$B$6:$B$17,0)),"?")))</f>
      </c>
      <c r="U86" s="46" t="inlineStr">
        <is>
          <t xml:space="preserve">2% of agreed value, minimum $10,000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7040.13</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CANON-202604-006667</t>
        </is>
      </c>
      <c r="B87" s="30" t="inlineStr">
        <is>
          <t xml:space="preserve">Everett Ashcombe</t>
        </is>
      </c>
      <c r="C87" s="31">
        <v>46114</v>
      </c>
      <c r="D87" s="32" t="inlineStr">
        <is>
          <t xml:space="preserve">Bound - within authority</t>
        </is>
      </c>
      <c r="E87" s="32" t="inlineStr">
        <is>
          <t xml:space="preserve">New business</t>
        </is>
      </c>
      <c r="F87" s="30" t="inlineStr">
        <is>
          <t xml:space="preserve">B1234EXOTIC26</t>
        </is>
      </c>
      <c r="G87" s="33">
        <f>IF($A87="","",IF($C87="","",YEAR($C87)))</f>
      </c>
      <c r="H87" s="34">
        <v>2023</v>
      </c>
      <c r="I87" s="30" t="inlineStr">
        <is>
          <t xml:space="preserve">Mercedes-Benz</t>
        </is>
      </c>
      <c r="J87" s="30" t="inlineStr">
        <is>
          <t xml:space="preserve">AMG GT</t>
        </is>
      </c>
      <c r="K87" s="30" t="inlineStr">
        <is>
          <t xml:space="preserve">DTVSM3Z02ZGKJ3YZ2</t>
        </is>
      </c>
      <c r="L87" s="32" t="inlineStr">
        <is>
          <t xml:space="preserve">02 - Sports / GT</t>
        </is>
      </c>
      <c r="M87" s="35">
        <v>515000</v>
      </c>
      <c r="N87" s="32" t="inlineStr">
        <is>
          <t xml:space="preserve">Personal</t>
        </is>
      </c>
      <c r="O87" s="30" t="inlineStr">
        <is>
          <t xml:space="preserve">Personal - regular use</t>
        </is>
      </c>
      <c r="P87" s="30" t="inlineStr">
        <is>
          <t xml:space="preserve">Under 1,000</t>
        </is>
      </c>
      <c r="Q87" s="30" t="inlineStr">
        <is>
          <t xml:space="preserve">Louisiana</t>
        </is>
      </c>
      <c r="R87" s="30" t="inlineStr">
        <is>
          <t xml:space="preserve">70112</t>
        </is>
      </c>
      <c r="S87" s="32" t="inlineStr">
        <is>
          <t xml:space="preserve">Tier 2 - Coastal wind (1-25 miles)</t>
        </is>
      </c>
      <c r="T87" s="36">
        <f>IF($A87="","",IF($S87="","",IFERROR(INDEX('[1]natural catastrophe'!$D$6:$D$17,MATCH($S87,'[1]natural catastrophe'!$B$6:$B$17,0)),"?")))</f>
      </c>
      <c r="U87" s="30" t="inlineStr">
        <is>
          <t xml:space="preserve">2% of agreed value, minimum $10,000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6347.02</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CANON-202604-006670</t>
        </is>
      </c>
      <c r="B88" s="46" t="inlineStr">
        <is>
          <t xml:space="preserve">Lorenzo Rourke</t>
        </is>
      </c>
      <c r="C88" s="47">
        <v>46141</v>
      </c>
      <c r="D88" s="48" t="inlineStr">
        <is>
          <t xml:space="preserve">Bound - within authority</t>
        </is>
      </c>
      <c r="E88" s="48" t="inlineStr">
        <is>
          <t xml:space="preserve">New business</t>
        </is>
      </c>
      <c r="F88" s="46" t="inlineStr">
        <is>
          <t xml:space="preserve">B1234EXOTIC26</t>
        </is>
      </c>
      <c r="G88" s="33">
        <f>IF($A88="","",IF($C88="","",YEAR($C88)))</f>
      </c>
      <c r="H88" s="49">
        <v>1993</v>
      </c>
      <c r="I88" s="46" t="inlineStr">
        <is>
          <t xml:space="preserve">Aston Martin</t>
        </is>
      </c>
      <c r="J88" s="46" t="inlineStr">
        <is>
          <t xml:space="preserve">DB12</t>
        </is>
      </c>
      <c r="K88" s="46" t="inlineStr">
        <is>
          <t xml:space="preserve">AN26EDAPHY84SG7AT</t>
        </is>
      </c>
      <c r="L88" s="48" t="inlineStr">
        <is>
          <t xml:space="preserve">02 - Sports / GT</t>
        </is>
      </c>
      <c r="M88" s="50">
        <v>440000</v>
      </c>
      <c r="N88" s="48" t="inlineStr">
        <is>
          <t xml:space="preserve">Personal</t>
        </is>
      </c>
      <c r="O88" s="46" t="inlineStr">
        <is>
          <t xml:space="preserve">Personal - regular use</t>
        </is>
      </c>
      <c r="P88" s="46" t="inlineStr">
        <is>
          <t xml:space="preserve">2,500 - 5,000</t>
        </is>
      </c>
      <c r="Q88" s="46" t="inlineStr">
        <is>
          <t xml:space="preserve">Illinois</t>
        </is>
      </c>
      <c r="R88" s="46" t="inlineStr">
        <is>
          <t xml:space="preserve">60601</t>
        </is>
      </c>
      <c r="S88" s="48" t="inlineStr">
        <is>
          <t xml:space="preserve">Severe convective - hail / tornado (moderate)</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7032.61</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CANON-202604-006671</t>
        </is>
      </c>
      <c r="B89" s="30" t="inlineStr">
        <is>
          <t xml:space="preserve">Fenwick Whitlock</t>
        </is>
      </c>
      <c r="C89" s="31">
        <v>46118</v>
      </c>
      <c r="D89" s="32" t="inlineStr">
        <is>
          <t xml:space="preserve">Bound - within authority</t>
        </is>
      </c>
      <c r="E89" s="32" t="inlineStr">
        <is>
          <t xml:space="preserve">New business</t>
        </is>
      </c>
      <c r="F89" s="30" t="inlineStr">
        <is>
          <t xml:space="preserve">B1234EXOTIC26</t>
        </is>
      </c>
      <c r="G89" s="33">
        <f>IF($A89="","",IF($C89="","",YEAR($C89)))</f>
      </c>
      <c r="H89" s="34">
        <v>1958</v>
      </c>
      <c r="I89" s="30" t="inlineStr">
        <is>
          <t xml:space="preserve">Aston Martin</t>
        </is>
      </c>
      <c r="J89" s="30" t="inlineStr">
        <is>
          <t xml:space="preserve">DB12</t>
        </is>
      </c>
      <c r="K89" s="30" t="inlineStr">
        <is>
          <t xml:space="preserve">JB3TLX3YDM7YP3SS0</t>
        </is>
      </c>
      <c r="L89" s="32" t="inlineStr">
        <is>
          <t xml:space="preserve">02 - Sports / GT</t>
        </is>
      </c>
      <c r="M89" s="35">
        <v>565000</v>
      </c>
      <c r="N89" s="32" t="inlineStr">
        <is>
          <t xml:space="preserve">Personal</t>
        </is>
      </c>
      <c r="O89" s="30" t="inlineStr">
        <is>
          <t xml:space="preserve">Personal - regular use</t>
        </is>
      </c>
      <c r="P89" s="30" t="inlineStr">
        <is>
          <t xml:space="preserve">1,000 - 2,500</t>
        </is>
      </c>
      <c r="Q89" s="30" t="inlineStr">
        <is>
          <t xml:space="preserve">Mississippi</t>
        </is>
      </c>
      <c r="R89" s="30" t="inlineStr">
        <is>
          <t xml:space="preserve">39201</t>
        </is>
      </c>
      <c r="S89" s="32" t="inlineStr">
        <is>
          <t xml:space="preserve">Tier 2 - Coastal wind (1-25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6848.14</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CANON-202604-006673</t>
        </is>
      </c>
      <c r="B90" s="46" t="inlineStr">
        <is>
          <t xml:space="preserve">Callum Whitlock</t>
        </is>
      </c>
      <c r="C90" s="47">
        <v>46138</v>
      </c>
      <c r="D90" s="48" t="inlineStr">
        <is>
          <t xml:space="preserve">Bound - within authority</t>
        </is>
      </c>
      <c r="E90" s="48" t="inlineStr">
        <is>
          <t xml:space="preserve">New business</t>
        </is>
      </c>
      <c r="F90" s="46" t="inlineStr">
        <is>
          <t xml:space="preserve">B1234EXOTIC26</t>
        </is>
      </c>
      <c r="G90" s="33">
        <f>IF($A90="","",IF($C90="","",YEAR($C90)))</f>
      </c>
      <c r="H90" s="49">
        <v>1997</v>
      </c>
      <c r="I90" s="46" t="inlineStr">
        <is>
          <t xml:space="preserve">Maserati</t>
        </is>
      </c>
      <c r="J90" s="46" t="inlineStr">
        <is>
          <t xml:space="preserve">GranTurismo</t>
        </is>
      </c>
      <c r="K90" s="46" t="inlineStr">
        <is>
          <t xml:space="preserve">UBBB80VXZS3NDT62D</t>
        </is>
      </c>
      <c r="L90" s="48" t="inlineStr">
        <is>
          <t xml:space="preserve">02 - Sports / GT</t>
        </is>
      </c>
      <c r="M90" s="50">
        <v>1950000</v>
      </c>
      <c r="N90" s="48" t="inlineStr">
        <is>
          <t xml:space="preserve">Personal</t>
        </is>
      </c>
      <c r="O90" s="46" t="inlineStr">
        <is>
          <t xml:space="preserve">Personal - regular use</t>
        </is>
      </c>
      <c r="P90" s="46" t="inlineStr">
        <is>
          <t xml:space="preserve">2,500 - 5,000</t>
        </is>
      </c>
      <c r="Q90" s="46" t="inlineStr">
        <is>
          <t xml:space="preserve">New Hampshire</t>
        </is>
      </c>
      <c r="R90" s="46" t="inlineStr">
        <is>
          <t xml:space="preserve">03301</t>
        </is>
      </c>
      <c r="S90" s="48" t="inlineStr">
        <is>
          <t xml:space="preserve">Tier 3 - Coastal wind (25-100 miles)</t>
        </is>
      </c>
      <c r="T90" s="36">
        <f>IF($A90="","",IF($S90="","",IFERROR(INDEX('[1]natural catastrophe'!$D$6:$D$17,MATCH($S90,'[1]natural catastrophe'!$B$6:$B$17,0)),"?")))</f>
      </c>
      <c r="U90" s="46" t="inlineStr">
        <is>
          <t xml:space="preserve">2% of agreed value, minimum $10,000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17478.11</v>
      </c>
      <c r="AC90" s="51">
        <v>0</v>
      </c>
      <c r="AD90" s="38">
        <f>IF(ISNUMBER($AB90),$AB90*(1+N($AC90)),"")</f>
      </c>
      <c r="AE90" s="50">
        <v>350</v>
      </c>
      <c r="AF90" s="50">
        <v>250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CANON-202604-006674</t>
        </is>
      </c>
      <c r="B91" s="30" t="inlineStr">
        <is>
          <t xml:space="preserve">Thaddeus Delacroix</t>
        </is>
      </c>
      <c r="C91" s="31">
        <v>46127</v>
      </c>
      <c r="D91" s="32" t="inlineStr">
        <is>
          <t xml:space="preserve">Bound - within authority</t>
        </is>
      </c>
      <c r="E91" s="32" t="inlineStr">
        <is>
          <t xml:space="preserve">New business</t>
        </is>
      </c>
      <c r="F91" s="30" t="inlineStr">
        <is>
          <t xml:space="preserve">B1234EXOTIC26</t>
        </is>
      </c>
      <c r="G91" s="33">
        <f>IF($A91="","",IF($C91="","",YEAR($C91)))</f>
      </c>
      <c r="H91" s="34">
        <v>1968</v>
      </c>
      <c r="I91" s="30" t="inlineStr">
        <is>
          <t xml:space="preserve">Bentley</t>
        </is>
      </c>
      <c r="J91" s="30" t="inlineStr">
        <is>
          <t xml:space="preserve">Continental GT</t>
        </is>
      </c>
      <c r="K91" s="30" t="inlineStr">
        <is>
          <t xml:space="preserve">04JP6ZSLYD2BNMRG1</t>
        </is>
      </c>
      <c r="L91" s="32" t="inlineStr">
        <is>
          <t xml:space="preserve">02 - Sports / GT</t>
        </is>
      </c>
      <c r="M91" s="35">
        <v>695000</v>
      </c>
      <c r="N91" s="32" t="inlineStr">
        <is>
          <t xml:space="preserve">Personal</t>
        </is>
      </c>
      <c r="O91" s="30" t="inlineStr">
        <is>
          <t xml:space="preserve">Personal - regular use</t>
        </is>
      </c>
      <c r="P91" s="30" t="inlineStr">
        <is>
          <t xml:space="preserve">1,000 - 2,500</t>
        </is>
      </c>
      <c r="Q91" s="30" t="inlineStr">
        <is>
          <t xml:space="preserve">Virginia</t>
        </is>
      </c>
      <c r="R91" s="30" t="inlineStr">
        <is>
          <t xml:space="preserve">23219</t>
        </is>
      </c>
      <c r="S91" s="32" t="inlineStr">
        <is>
          <t xml:space="preserve">Tier 3 - Coastal wind (25-100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7715.93</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CANON-202604-006677</t>
        </is>
      </c>
      <c r="B92" s="46" t="inlineStr">
        <is>
          <t xml:space="preserve">Aurelio Harrington</t>
        </is>
      </c>
      <c r="C92" s="47">
        <v>46141</v>
      </c>
      <c r="D92" s="48" t="inlineStr">
        <is>
          <t xml:space="preserve">Bound - within authority</t>
        </is>
      </c>
      <c r="E92" s="48" t="inlineStr">
        <is>
          <t xml:space="preserve">New business</t>
        </is>
      </c>
      <c r="F92" s="46" t="inlineStr">
        <is>
          <t xml:space="preserve">B1234EXOTIC26</t>
        </is>
      </c>
      <c r="G92" s="33">
        <f>IF($A92="","",IF($C92="","",YEAR($C92)))</f>
      </c>
      <c r="H92" s="49">
        <v>1964</v>
      </c>
      <c r="I92" s="46" t="inlineStr">
        <is>
          <t xml:space="preserve">McLaren</t>
        </is>
      </c>
      <c r="J92" s="46" t="inlineStr">
        <is>
          <t xml:space="preserve">750S</t>
        </is>
      </c>
      <c r="K92" s="46" t="inlineStr">
        <is>
          <t xml:space="preserve">KHERMNNRR2TTU2SV5</t>
        </is>
      </c>
      <c r="L92" s="48" t="inlineStr">
        <is>
          <t xml:space="preserve">03 - Supercar</t>
        </is>
      </c>
      <c r="M92" s="50">
        <v>920000</v>
      </c>
      <c r="N92" s="48" t="inlineStr">
        <is>
          <t xml:space="preserve">Personal</t>
        </is>
      </c>
      <c r="O92" s="46" t="inlineStr">
        <is>
          <t xml:space="preserve">Personal - regular use</t>
        </is>
      </c>
      <c r="P92" s="46" t="inlineStr">
        <is>
          <t xml:space="preserve">2,500 - 5,000</t>
        </is>
      </c>
      <c r="Q92" s="46" t="inlineStr">
        <is>
          <t xml:space="preserve">North Dakota</t>
        </is>
      </c>
      <c r="R92" s="46" t="inlineStr">
        <is>
          <t xml:space="preserve">58501</t>
        </is>
      </c>
      <c r="S92" s="48" t="inlineStr">
        <is>
          <t xml:space="preserve">Severe convective - hail alley (high)</t>
        </is>
      </c>
      <c r="T92" s="36">
        <f>IF($A92="","",IF($S92="","",IFERROR(INDEX('[1]natural catastrophe'!$D$6:$D$17,MATCH($S92,'[1]natural catastrophe'!$B$6:$B$17,0)),"?")))</f>
      </c>
      <c r="U92" s="46" t="inlineStr">
        <is>
          <t xml:space="preserve">$5,000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13969.33</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CANON-202604-006680</t>
        </is>
      </c>
      <c r="B93" s="30" t="inlineStr">
        <is>
          <t xml:space="preserve">Horace Thistlewood</t>
        </is>
      </c>
      <c r="C93" s="31">
        <v>46131</v>
      </c>
      <c r="D93" s="32" t="inlineStr">
        <is>
          <t xml:space="preserve">Bound - within authority</t>
        </is>
      </c>
      <c r="E93" s="32" t="inlineStr">
        <is>
          <t xml:space="preserve">New business</t>
        </is>
      </c>
      <c r="F93" s="30" t="inlineStr">
        <is>
          <t xml:space="preserve">B1234EXOTIC26</t>
        </is>
      </c>
      <c r="G93" s="33">
        <f>IF($A93="","",IF($C93="","",YEAR($C93)))</f>
      </c>
      <c r="H93" s="34">
        <v>1998</v>
      </c>
      <c r="I93" s="30" t="inlineStr">
        <is>
          <t xml:space="preserve">Mercedes-Benz</t>
        </is>
      </c>
      <c r="J93" s="30" t="inlineStr">
        <is>
          <t xml:space="preserve">AMG GT</t>
        </is>
      </c>
      <c r="K93" s="30" t="inlineStr">
        <is>
          <t xml:space="preserve">D2EJW2M0Y5HNLJJBG</t>
        </is>
      </c>
      <c r="L93" s="32" t="inlineStr">
        <is>
          <t xml:space="preserve">02 - Sports / GT</t>
        </is>
      </c>
      <c r="M93" s="35">
        <v>595000</v>
      </c>
      <c r="N93" s="32" t="inlineStr">
        <is>
          <t xml:space="preserve">Personal</t>
        </is>
      </c>
      <c r="O93" s="30" t="inlineStr">
        <is>
          <t xml:space="preserve">Personal - regular use</t>
        </is>
      </c>
      <c r="P93" s="30" t="inlineStr">
        <is>
          <t xml:space="preserve">2,500 - 5,000</t>
        </is>
      </c>
      <c r="Q93" s="30" t="inlineStr">
        <is>
          <t xml:space="preserve">West Virginia</t>
        </is>
      </c>
      <c r="R93" s="30" t="inlineStr">
        <is>
          <t xml:space="preserve">25301</t>
        </is>
      </c>
      <c r="S93" s="32" t="inlineStr">
        <is>
          <t xml:space="preserve">Low hazard - inland benign</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8060.2</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CANON-202604-006681</t>
        </is>
      </c>
      <c r="B94" s="46" t="inlineStr">
        <is>
          <t xml:space="preserve">Delphine Underwood</t>
        </is>
      </c>
      <c r="C94" s="47">
        <v>46116</v>
      </c>
      <c r="D94" s="48" t="inlineStr">
        <is>
          <t xml:space="preserve">Bound - within authority</t>
        </is>
      </c>
      <c r="E94" s="48" t="inlineStr">
        <is>
          <t xml:space="preserve">New business</t>
        </is>
      </c>
      <c r="F94" s="46" t="inlineStr">
        <is>
          <t xml:space="preserve">B1234EXOTIC26</t>
        </is>
      </c>
      <c r="G94" s="33">
        <f>IF($A94="","",IF($C94="","",YEAR($C94)))</f>
      </c>
      <c r="H94" s="49">
        <v>1976</v>
      </c>
      <c r="I94" s="46" t="inlineStr">
        <is>
          <t xml:space="preserve">Ferrari</t>
        </is>
      </c>
      <c r="J94" s="46" t="inlineStr">
        <is>
          <t xml:space="preserve">275 GTB/4</t>
        </is>
      </c>
      <c r="K94" s="46" t="inlineStr">
        <is>
          <t xml:space="preserve">RHMPJZSJC9UU2N1MC</t>
        </is>
      </c>
      <c r="L94" s="48" t="inlineStr">
        <is>
          <t xml:space="preserve">08 - Modern Classic (1973-1999)</t>
        </is>
      </c>
      <c r="M94" s="50">
        <v>955000</v>
      </c>
      <c r="N94" s="48" t="inlineStr">
        <is>
          <t xml:space="preserve">Personal</t>
        </is>
      </c>
      <c r="O94" s="46" t="inlineStr">
        <is>
          <t xml:space="preserve">Personal - regular use</t>
        </is>
      </c>
      <c r="P94" s="46" t="inlineStr">
        <is>
          <t xml:space="preserve">Under 1,000</t>
        </is>
      </c>
      <c r="Q94" s="46" t="inlineStr">
        <is>
          <t xml:space="preserve">Connecticut</t>
        </is>
      </c>
      <c r="R94" s="46" t="inlineStr">
        <is>
          <t xml:space="preserve">06103</t>
        </is>
      </c>
      <c r="S94" s="48" t="inlineStr">
        <is>
          <t xml:space="preserve">Tier 3 - Coastal wind (25-100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7206.99</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CANON-202604-006682</t>
        </is>
      </c>
      <c r="B95" s="30" t="inlineStr">
        <is>
          <t xml:space="preserve">Wilhelmina Ashcombe</t>
        </is>
      </c>
      <c r="C95" s="31">
        <v>46134</v>
      </c>
      <c r="D95" s="32" t="inlineStr">
        <is>
          <t xml:space="preserve">Bound - within authority</t>
        </is>
      </c>
      <c r="E95" s="32" t="inlineStr">
        <is>
          <t xml:space="preserve">New business</t>
        </is>
      </c>
      <c r="F95" s="30" t="inlineStr">
        <is>
          <t xml:space="preserve">B1234EXOTIC26</t>
        </is>
      </c>
      <c r="G95" s="33">
        <f>IF($A95="","",IF($C95="","",YEAR($C95)))</f>
      </c>
      <c r="H95" s="34">
        <v>1998</v>
      </c>
      <c r="I95" s="30" t="inlineStr">
        <is>
          <t xml:space="preserve">Mercedes-Benz</t>
        </is>
      </c>
      <c r="J95" s="30" t="inlineStr">
        <is>
          <t xml:space="preserve">AMG GT</t>
        </is>
      </c>
      <c r="K95" s="30" t="inlineStr">
        <is>
          <t xml:space="preserve">ZHNKHLB1ZEPWB81MG</t>
        </is>
      </c>
      <c r="L95" s="32" t="inlineStr">
        <is>
          <t xml:space="preserve">02 - Sports / GT</t>
        </is>
      </c>
      <c r="M95" s="35">
        <v>665000</v>
      </c>
      <c r="N95" s="32" t="inlineStr">
        <is>
          <t xml:space="preserve">Personal</t>
        </is>
      </c>
      <c r="O95" s="30" t="inlineStr">
        <is>
          <t xml:space="preserve">Personal - regular use</t>
        </is>
      </c>
      <c r="P95" s="30" t="inlineStr">
        <is>
          <t xml:space="preserve">2,500 - 5,000</t>
        </is>
      </c>
      <c r="Q95" s="30" t="inlineStr">
        <is>
          <t xml:space="preserve">South Dakota</t>
        </is>
      </c>
      <c r="R95" s="30" t="inlineStr">
        <is>
          <t xml:space="preserve">57501</t>
        </is>
      </c>
      <c r="S95" s="32" t="inlineStr">
        <is>
          <t xml:space="preserve">Severe convective - hail alley (high)</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7518.33</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CANON-202604-006683</t>
        </is>
      </c>
      <c r="B96" s="46" t="inlineStr">
        <is>
          <t xml:space="preserve">Sunniva Merriweather</t>
        </is>
      </c>
      <c r="C96" s="47">
        <v>46138</v>
      </c>
      <c r="D96" s="48" t="inlineStr">
        <is>
          <t xml:space="preserve">Bound - within authority</t>
        </is>
      </c>
      <c r="E96" s="48" t="inlineStr">
        <is>
          <t xml:space="preserve">New business</t>
        </is>
      </c>
      <c r="F96" s="46" t="inlineStr">
        <is>
          <t xml:space="preserve">B1234EXOTIC26</t>
        </is>
      </c>
      <c r="G96" s="33">
        <f>IF($A96="","",IF($C96="","",YEAR($C96)))</f>
      </c>
      <c r="H96" s="49">
        <v>1988</v>
      </c>
      <c r="I96" s="46" t="inlineStr">
        <is>
          <t xml:space="preserve">BMW</t>
        </is>
      </c>
      <c r="J96" s="46" t="inlineStr">
        <is>
          <t xml:space="preserve">M8 Competition</t>
        </is>
      </c>
      <c r="K96" s="46" t="inlineStr">
        <is>
          <t xml:space="preserve">TX3TASPMD8JRBZHCW</t>
        </is>
      </c>
      <c r="L96" s="48" t="inlineStr">
        <is>
          <t xml:space="preserve">02 - Sports / GT</t>
        </is>
      </c>
      <c r="M96" s="50">
        <v>355000</v>
      </c>
      <c r="N96" s="48" t="inlineStr">
        <is>
          <t xml:space="preserve">Personal</t>
        </is>
      </c>
      <c r="O96" s="46" t="inlineStr">
        <is>
          <t xml:space="preserve">Personal - regular use</t>
        </is>
      </c>
      <c r="P96" s="46" t="inlineStr">
        <is>
          <t xml:space="preserve">Under 1,000</t>
        </is>
      </c>
      <c r="Q96" s="46" t="inlineStr">
        <is>
          <t xml:space="preserve">Tennessee</t>
        </is>
      </c>
      <c r="R96" s="46" t="inlineStr">
        <is>
          <t xml:space="preserve">37203</t>
        </is>
      </c>
      <c r="S96" s="48" t="inlineStr">
        <is>
          <t xml:space="preserve">Severe convective - hail / tornado (moderate)</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4088.64</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CANON-202604-006686</t>
        </is>
      </c>
      <c r="B97" s="30" t="inlineStr">
        <is>
          <t xml:space="preserve">Cassius Vasquez</t>
        </is>
      </c>
      <c r="C97" s="31">
        <v>46132</v>
      </c>
      <c r="D97" s="32" t="inlineStr">
        <is>
          <t xml:space="preserve">Bound - within authority</t>
        </is>
      </c>
      <c r="E97" s="32" t="inlineStr">
        <is>
          <t xml:space="preserve">New business</t>
        </is>
      </c>
      <c r="F97" s="30" t="inlineStr">
        <is>
          <t xml:space="preserve">B1234EXOTIC26</t>
        </is>
      </c>
      <c r="G97" s="33">
        <f>IF($A97="","",IF($C97="","",YEAR($C97)))</f>
      </c>
      <c r="H97" s="34">
        <v>2003</v>
      </c>
      <c r="I97" s="30" t="inlineStr">
        <is>
          <t xml:space="preserve">Singer</t>
        </is>
      </c>
      <c r="J97" s="30" t="inlineStr">
        <is>
          <t xml:space="preserve">911 Reimagined</t>
        </is>
      </c>
      <c r="K97" s="30" t="inlineStr">
        <is>
          <t xml:space="preserve">KGFFZMEVBYN2LHNG4</t>
        </is>
      </c>
      <c r="L97" s="32" t="inlineStr">
        <is>
          <t xml:space="preserve">11 - Restomod / Coachbuilt / Bespoke</t>
        </is>
      </c>
      <c r="M97" s="35">
        <v>510000</v>
      </c>
      <c r="N97" s="32" t="inlineStr">
        <is>
          <t xml:space="preserve">Personal</t>
        </is>
      </c>
      <c r="O97" s="30" t="inlineStr">
        <is>
          <t xml:space="preserve">Personal - regular use</t>
        </is>
      </c>
      <c r="P97" s="30" t="inlineStr">
        <is>
          <t xml:space="preserve">2,500 - 5,000</t>
        </is>
      </c>
      <c r="Q97" s="30" t="inlineStr">
        <is>
          <t xml:space="preserve">Illinois</t>
        </is>
      </c>
      <c r="R97" s="30" t="inlineStr">
        <is>
          <t xml:space="preserve">60601</t>
        </is>
      </c>
      <c r="S97" s="32" t="inlineStr">
        <is>
          <t xml:space="preserve">Severe convective - hail / tornado (moderate)</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8477.49</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CANON-202604-006688</t>
        </is>
      </c>
      <c r="B98" s="46" t="inlineStr">
        <is>
          <t xml:space="preserve">Callum Okonkwo</t>
        </is>
      </c>
      <c r="C98" s="47">
        <v>46119</v>
      </c>
      <c r="D98" s="48" t="inlineStr">
        <is>
          <t xml:space="preserve">Bound - within authority</t>
        </is>
      </c>
      <c r="E98" s="48" t="inlineStr">
        <is>
          <t xml:space="preserve">New business</t>
        </is>
      </c>
      <c r="F98" s="46" t="inlineStr">
        <is>
          <t xml:space="preserve">B1234EXOTIC26</t>
        </is>
      </c>
      <c r="G98" s="33">
        <f>IF($A98="","",IF($C98="","",YEAR($C98)))</f>
      </c>
      <c r="H98" s="49">
        <v>2008</v>
      </c>
      <c r="I98" s="46" t="inlineStr">
        <is>
          <t xml:space="preserve">Ferrari</t>
        </is>
      </c>
      <c r="J98" s="46" t="inlineStr">
        <is>
          <t xml:space="preserve">275 GTB/4</t>
        </is>
      </c>
      <c r="K98" s="46" t="inlineStr">
        <is>
          <t xml:space="preserve">8S6ZM993R2A5F0LGP</t>
        </is>
      </c>
      <c r="L98" s="48" t="inlineStr">
        <is>
          <t xml:space="preserve">09 - Youngtimer / Collectible (2000-2010)</t>
        </is>
      </c>
      <c r="M98" s="50">
        <v>520000</v>
      </c>
      <c r="N98" s="48" t="inlineStr">
        <is>
          <t xml:space="preserve">Personal</t>
        </is>
      </c>
      <c r="O98" s="46" t="inlineStr">
        <is>
          <t xml:space="preserve">Personal - regular use</t>
        </is>
      </c>
      <c r="P98" s="46" t="inlineStr">
        <is>
          <t xml:space="preserve">1,000 - 2,500</t>
        </is>
      </c>
      <c r="Q98" s="46" t="inlineStr">
        <is>
          <t xml:space="preserve">Texas</t>
        </is>
      </c>
      <c r="R98" s="46" t="inlineStr">
        <is>
          <t xml:space="preserve">75201</t>
        </is>
      </c>
      <c r="S98" s="48" t="inlineStr">
        <is>
          <t xml:space="preserve">Tier 2 - Coastal wind (1-25 miles)</t>
        </is>
      </c>
      <c r="T98" s="36">
        <f>IF($A98="","",IF($S98="","",IFERROR(INDEX('[1]natural catastrophe'!$D$6:$D$17,MATCH($S98,'[1]natural catastrophe'!$B$6:$B$17,0)),"?")))</f>
      </c>
      <c r="U98" s="46" t="inlineStr">
        <is>
          <t xml:space="preserve">2% of agreed value, minimum $10,000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4029.34</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CANON-202604-006689</t>
        </is>
      </c>
      <c r="B99" s="30" t="inlineStr">
        <is>
          <t xml:space="preserve">Wilhelmina Whitlock</t>
        </is>
      </c>
      <c r="C99" s="31">
        <v>46114</v>
      </c>
      <c r="D99" s="32" t="inlineStr">
        <is>
          <t xml:space="preserve">Bound - within authority</t>
        </is>
      </c>
      <c r="E99" s="32" t="inlineStr">
        <is>
          <t xml:space="preserve">New business</t>
        </is>
      </c>
      <c r="F99" s="30" t="inlineStr">
        <is>
          <t xml:space="preserve">B1234EXOTIC26</t>
        </is>
      </c>
      <c r="G99" s="33">
        <f>IF($A99="","",IF($C99="","",YEAR($C99)))</f>
      </c>
      <c r="H99" s="34">
        <v>2013</v>
      </c>
      <c r="I99" s="30" t="inlineStr">
        <is>
          <t xml:space="preserve">McLaren</t>
        </is>
      </c>
      <c r="J99" s="30" t="inlineStr">
        <is>
          <t xml:space="preserve">750S</t>
        </is>
      </c>
      <c r="K99" s="30" t="inlineStr">
        <is>
          <t xml:space="preserve">TG03WTBNSAJ7BUCXJ</t>
        </is>
      </c>
      <c r="L99" s="32" t="inlineStr">
        <is>
          <t xml:space="preserve">03 - Supercar</t>
        </is>
      </c>
      <c r="M99" s="35">
        <v>630000</v>
      </c>
      <c r="N99" s="32" t="inlineStr">
        <is>
          <t xml:space="preserve">Personal</t>
        </is>
      </c>
      <c r="O99" s="30" t="inlineStr">
        <is>
          <t xml:space="preserve">Personal - regular use</t>
        </is>
      </c>
      <c r="P99" s="30" t="inlineStr">
        <is>
          <t xml:space="preserve">Under 1,000</t>
        </is>
      </c>
      <c r="Q99" s="30" t="inlineStr">
        <is>
          <t xml:space="preserve">Washington</t>
        </is>
      </c>
      <c r="R99" s="30" t="inlineStr">
        <is>
          <t xml:space="preserve">98101</t>
        </is>
      </c>
      <c r="S99" s="32" t="inlineStr">
        <is>
          <t xml:space="preserve">Earthquake - high (CA, Cascadia, New Madrid)</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9003.24</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CANON-202604-006690</t>
        </is>
      </c>
      <c r="B100" s="46" t="inlineStr">
        <is>
          <t xml:space="preserve">Leopold Thistlewood</t>
        </is>
      </c>
      <c r="C100" s="47">
        <v>46121</v>
      </c>
      <c r="D100" s="48" t="inlineStr">
        <is>
          <t xml:space="preserve">Bound - within authority</t>
        </is>
      </c>
      <c r="E100" s="48" t="inlineStr">
        <is>
          <t xml:space="preserve">New business</t>
        </is>
      </c>
      <c r="F100" s="46" t="inlineStr">
        <is>
          <t xml:space="preserve">B1234EXOTIC26</t>
        </is>
      </c>
      <c r="G100" s="33">
        <f>IF($A100="","",IF($C100="","",YEAR($C100)))</f>
      </c>
      <c r="H100" s="49">
        <v>2018</v>
      </c>
      <c r="I100" s="46" t="inlineStr">
        <is>
          <t xml:space="preserve">Porsche</t>
        </is>
      </c>
      <c r="J100" s="46" t="inlineStr">
        <is>
          <t xml:space="preserve">911 Turbo S</t>
        </is>
      </c>
      <c r="K100" s="46" t="inlineStr">
        <is>
          <t xml:space="preserve">MGBHT0C6J3ACZCD0U</t>
        </is>
      </c>
      <c r="L100" s="48" t="inlineStr">
        <is>
          <t xml:space="preserve">02 - Sports / GT</t>
        </is>
      </c>
      <c r="M100" s="50">
        <v>1240000</v>
      </c>
      <c r="N100" s="48" t="inlineStr">
        <is>
          <t xml:space="preserve">Personal</t>
        </is>
      </c>
      <c r="O100" s="46" t="inlineStr">
        <is>
          <t xml:space="preserve">Personal - regular use</t>
        </is>
      </c>
      <c r="P100" s="46" t="inlineStr">
        <is>
          <t xml:space="preserve">Under 1,000</t>
        </is>
      </c>
      <c r="Q100" s="46" t="inlineStr">
        <is>
          <t xml:space="preserve">Maryland</t>
        </is>
      </c>
      <c r="R100" s="46" t="inlineStr">
        <is>
          <t xml:space="preserve">21201</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10152.47</v>
      </c>
      <c r="AC100" s="51">
        <v>0</v>
      </c>
      <c r="AD100" s="38">
        <f>IF(ISNUMBER($AB100),$AB100*(1+N($AC100)),"")</f>
      </c>
      <c r="AE100" s="50">
        <v>350</v>
      </c>
      <c r="AF100" s="50">
        <v>250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CANON-202604-006691</t>
        </is>
      </c>
      <c r="B101" s="30" t="inlineStr">
        <is>
          <t xml:space="preserve">Mireille Harrington</t>
        </is>
      </c>
      <c r="C101" s="31">
        <v>46142</v>
      </c>
      <c r="D101" s="32" t="inlineStr">
        <is>
          <t xml:space="preserve">Bound - within authority</t>
        </is>
      </c>
      <c r="E101" s="32" t="inlineStr">
        <is>
          <t xml:space="preserve">New business</t>
        </is>
      </c>
      <c r="F101" s="30" t="inlineStr">
        <is>
          <t xml:space="preserve">B1234EXOTIC26</t>
        </is>
      </c>
      <c r="G101" s="33">
        <f>IF($A101="","",IF($C101="","",YEAR($C101)))</f>
      </c>
      <c r="H101" s="34">
        <v>1979</v>
      </c>
      <c r="I101" s="30" t="inlineStr">
        <is>
          <t xml:space="preserve">Mercedes-Benz</t>
        </is>
      </c>
      <c r="J101" s="30" t="inlineStr">
        <is>
          <t xml:space="preserve">AMG GT</t>
        </is>
      </c>
      <c r="K101" s="30" t="inlineStr">
        <is>
          <t xml:space="preserve">Z1DJPFG1B0XR8P6J7</t>
        </is>
      </c>
      <c r="L101" s="32" t="inlineStr">
        <is>
          <t xml:space="preserve">02 - Sports / GT</t>
        </is>
      </c>
      <c r="M101" s="35">
        <v>685000</v>
      </c>
      <c r="N101" s="32" t="inlineStr">
        <is>
          <t xml:space="preserve">Personal</t>
        </is>
      </c>
      <c r="O101" s="30" t="inlineStr">
        <is>
          <t xml:space="preserve">Personal - regular use</t>
        </is>
      </c>
      <c r="P101" s="30" t="inlineStr">
        <is>
          <t xml:space="preserve">Under 1,000</t>
        </is>
      </c>
      <c r="Q101" s="30" t="inlineStr">
        <is>
          <t xml:space="preserve">Maine</t>
        </is>
      </c>
      <c r="R101" s="30" t="inlineStr">
        <is>
          <t xml:space="preserve">04101</t>
        </is>
      </c>
      <c r="S101" s="32" t="inlineStr">
        <is>
          <t xml:space="preserve">Tier 3 - Coastal wind (25-100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7535.14</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CANON-202604-006692</t>
        </is>
      </c>
      <c r="B102" s="46" t="inlineStr">
        <is>
          <t xml:space="preserve">Emiliano Farkas</t>
        </is>
      </c>
      <c r="C102" s="47">
        <v>46116</v>
      </c>
      <c r="D102" s="48" t="inlineStr">
        <is>
          <t xml:space="preserve">Bound - within authority</t>
        </is>
      </c>
      <c r="E102" s="48" t="inlineStr">
        <is>
          <t xml:space="preserve">New business</t>
        </is>
      </c>
      <c r="F102" s="46" t="inlineStr">
        <is>
          <t xml:space="preserve">B1234EXOTIC26</t>
        </is>
      </c>
      <c r="G102" s="33">
        <f>IF($A102="","",IF($C102="","",YEAR($C102)))</f>
      </c>
      <c r="H102" s="49">
        <v>2009</v>
      </c>
      <c r="I102" s="46" t="inlineStr">
        <is>
          <t xml:space="preserve">Ferrari</t>
        </is>
      </c>
      <c r="J102" s="46" t="inlineStr">
        <is>
          <t xml:space="preserve">SF90 Stradale</t>
        </is>
      </c>
      <c r="K102" s="46" t="inlineStr">
        <is>
          <t xml:space="preserve">T45TXTTEBXDYHSWWM</t>
        </is>
      </c>
      <c r="L102" s="48" t="inlineStr">
        <is>
          <t xml:space="preserve">03 - Supercar</t>
        </is>
      </c>
      <c r="M102" s="50">
        <v>1080000</v>
      </c>
      <c r="N102" s="48" t="inlineStr">
        <is>
          <t xml:space="preserve">Personal</t>
        </is>
      </c>
      <c r="O102" s="46" t="inlineStr">
        <is>
          <t xml:space="preserve">Personal - regular use</t>
        </is>
      </c>
      <c r="P102" s="46" t="inlineStr">
        <is>
          <t xml:space="preserve">1,000 - 2,500</t>
        </is>
      </c>
      <c r="Q102" s="46" t="inlineStr">
        <is>
          <t xml:space="preserve">Louisiana</t>
        </is>
      </c>
      <c r="R102" s="46" t="inlineStr">
        <is>
          <t xml:space="preserve">70112</t>
        </is>
      </c>
      <c r="S102" s="48" t="inlineStr">
        <is>
          <t xml:space="preserve">Tier 2 - Coastal wind (1-25 miles)</t>
        </is>
      </c>
      <c r="T102" s="36">
        <f>IF($A102="","",IF($S102="","",IFERROR(INDEX('[1]natural catastrophe'!$D$6:$D$17,MATCH($S102,'[1]natural catastrophe'!$B$6:$B$17,0)),"?")))</f>
      </c>
      <c r="U102" s="46" t="inlineStr">
        <is>
          <t xml:space="preserve">2% of agreed value, minimum $10,000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16381.85</v>
      </c>
      <c r="AC102" s="51">
        <v>0</v>
      </c>
      <c r="AD102" s="38">
        <f>IF(ISNUMBER($AB102),$AB102*(1+N($AC102)),"")</f>
      </c>
      <c r="AE102" s="50">
        <v>350</v>
      </c>
      <c r="AF102" s="50">
        <v>250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CANON-202604-006693</t>
        </is>
      </c>
      <c r="B103" s="30" t="inlineStr">
        <is>
          <t xml:space="preserve">Wilhelmina Thistlewood</t>
        </is>
      </c>
      <c r="C103" s="31">
        <v>46133</v>
      </c>
      <c r="D103" s="32" t="inlineStr">
        <is>
          <t xml:space="preserve">Bound - within authority</t>
        </is>
      </c>
      <c r="E103" s="32" t="inlineStr">
        <is>
          <t xml:space="preserve">New business</t>
        </is>
      </c>
      <c r="F103" s="30" t="inlineStr">
        <is>
          <t xml:space="preserve">B1234EXOTIC26</t>
        </is>
      </c>
      <c r="G103" s="33">
        <f>IF($A103="","",IF($C103="","",YEAR($C103)))</f>
      </c>
      <c r="H103" s="34">
        <v>2021</v>
      </c>
      <c r="I103" s="30" t="inlineStr">
        <is>
          <t xml:space="preserve">Porsche</t>
        </is>
      </c>
      <c r="J103" s="30" t="inlineStr">
        <is>
          <t xml:space="preserve">911 Turbo S</t>
        </is>
      </c>
      <c r="K103" s="30" t="inlineStr">
        <is>
          <t xml:space="preserve">2EL4HWTLSK7P4HCF9</t>
        </is>
      </c>
      <c r="L103" s="32" t="inlineStr">
        <is>
          <t xml:space="preserve">02 - Sports / GT</t>
        </is>
      </c>
      <c r="M103" s="35">
        <v>690000</v>
      </c>
      <c r="N103" s="32" t="inlineStr">
        <is>
          <t xml:space="preserve">Personal</t>
        </is>
      </c>
      <c r="O103" s="30" t="inlineStr">
        <is>
          <t xml:space="preserve">Personal - regular use</t>
        </is>
      </c>
      <c r="P103" s="30" t="inlineStr">
        <is>
          <t xml:space="preserve">2,500 - 5,000</t>
        </is>
      </c>
      <c r="Q103" s="30" t="inlineStr">
        <is>
          <t xml:space="preserve">Alaska</t>
        </is>
      </c>
      <c r="R103" s="30" t="inlineStr">
        <is>
          <t xml:space="preserve">99501</t>
        </is>
      </c>
      <c r="S103" s="32" t="inlineStr">
        <is>
          <t xml:space="preserve">Earthquake - high (CA, Cascadia, New Madrid)</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8011.82</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CANON-202604-006695</t>
        </is>
      </c>
      <c r="B104" s="46" t="inlineStr">
        <is>
          <t xml:space="preserve">Marisol Kingsford</t>
        </is>
      </c>
      <c r="C104" s="47">
        <v>46129</v>
      </c>
      <c r="D104" s="48" t="inlineStr">
        <is>
          <t xml:space="preserve">Bound - within authority</t>
        </is>
      </c>
      <c r="E104" s="48" t="inlineStr">
        <is>
          <t xml:space="preserve">New business</t>
        </is>
      </c>
      <c r="F104" s="46" t="inlineStr">
        <is>
          <t xml:space="preserve">B1234EXOTIC26</t>
        </is>
      </c>
      <c r="G104" s="33">
        <f>IF($A104="","",IF($C104="","",YEAR($C104)))</f>
      </c>
      <c r="H104" s="49">
        <v>1976</v>
      </c>
      <c r="I104" s="46" t="inlineStr">
        <is>
          <t xml:space="preserve">Lamborghini</t>
        </is>
      </c>
      <c r="J104" s="46" t="inlineStr">
        <is>
          <t xml:space="preserve">Huracan EVO</t>
        </is>
      </c>
      <c r="K104" s="46" t="inlineStr">
        <is>
          <t xml:space="preserve">BJ5VW7HL0S5WT3MRM</t>
        </is>
      </c>
      <c r="L104" s="48" t="inlineStr">
        <is>
          <t xml:space="preserve">03 - Supercar</t>
        </is>
      </c>
      <c r="M104" s="50">
        <v>1460000</v>
      </c>
      <c r="N104" s="48" t="inlineStr">
        <is>
          <t xml:space="preserve">Personal</t>
        </is>
      </c>
      <c r="O104" s="46" t="inlineStr">
        <is>
          <t xml:space="preserve">Personal - regular use</t>
        </is>
      </c>
      <c r="P104" s="46" t="inlineStr">
        <is>
          <t xml:space="preserve">1,000 - 2,500</t>
        </is>
      </c>
      <c r="Q104" s="46" t="inlineStr">
        <is>
          <t xml:space="preserve">Pennsylvania</t>
        </is>
      </c>
      <c r="R104" s="46" t="inlineStr">
        <is>
          <t xml:space="preserve">19103</t>
        </is>
      </c>
      <c r="S104" s="48" t="inlineStr">
        <is>
          <t xml:space="preserve">Low hazard - inland benign</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18302.34</v>
      </c>
      <c r="AC104" s="51">
        <v>0</v>
      </c>
      <c r="AD104" s="38">
        <f>IF(ISNUMBER($AB104),$AB104*(1+N($AC104)),"")</f>
      </c>
      <c r="AE104" s="50">
        <v>350</v>
      </c>
      <c r="AF104" s="50">
        <v>250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CANON-202604-006697</t>
        </is>
      </c>
      <c r="B105" s="30" t="inlineStr">
        <is>
          <t xml:space="preserve">Aurelio Bellandi</t>
        </is>
      </c>
      <c r="C105" s="31">
        <v>46140</v>
      </c>
      <c r="D105" s="32" t="inlineStr">
        <is>
          <t xml:space="preserve">Bound - within authority</t>
        </is>
      </c>
      <c r="E105" s="32" t="inlineStr">
        <is>
          <t xml:space="preserve">New business</t>
        </is>
      </c>
      <c r="F105" s="30" t="inlineStr">
        <is>
          <t xml:space="preserve">B1234EXOTIC26</t>
        </is>
      </c>
      <c r="G105" s="33">
        <f>IF($A105="","",IF($C105="","",YEAR($C105)))</f>
      </c>
      <c r="H105" s="34">
        <v>1972</v>
      </c>
      <c r="I105" s="30" t="inlineStr">
        <is>
          <t xml:space="preserve">Porsche</t>
        </is>
      </c>
      <c r="J105" s="30" t="inlineStr">
        <is>
          <t xml:space="preserve">911 Turbo S</t>
        </is>
      </c>
      <c r="K105" s="30" t="inlineStr">
        <is>
          <t xml:space="preserve">M9EK31TNT933NFA5C</t>
        </is>
      </c>
      <c r="L105" s="32" t="inlineStr">
        <is>
          <t xml:space="preserve">02 - Sports / GT</t>
        </is>
      </c>
      <c r="M105" s="35">
        <v>725000</v>
      </c>
      <c r="N105" s="32" t="inlineStr">
        <is>
          <t xml:space="preserve">Personal</t>
        </is>
      </c>
      <c r="O105" s="30" t="inlineStr">
        <is>
          <t xml:space="preserve">Personal - regular use</t>
        </is>
      </c>
      <c r="P105" s="30" t="inlineStr">
        <is>
          <t xml:space="preserve">2,500 - 5,000</t>
        </is>
      </c>
      <c r="Q105" s="30" t="inlineStr">
        <is>
          <t xml:space="preserve">Ohio</t>
        </is>
      </c>
      <c r="R105" s="30" t="inlineStr">
        <is>
          <t xml:space="preserve">43215</t>
        </is>
      </c>
      <c r="S105" s="32" t="inlineStr">
        <is>
          <t xml:space="preserve">Severe convective - hail / tornado (moderate)</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10264.32</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CANON-202604-006698</t>
        </is>
      </c>
      <c r="B106" s="46" t="inlineStr">
        <is>
          <t xml:space="preserve">Aurelio Thistlewood</t>
        </is>
      </c>
      <c r="C106" s="47">
        <v>46121</v>
      </c>
      <c r="D106" s="48" t="inlineStr">
        <is>
          <t xml:space="preserve">Bound - within authority</t>
        </is>
      </c>
      <c r="E106" s="48" t="inlineStr">
        <is>
          <t xml:space="preserve">New business</t>
        </is>
      </c>
      <c r="F106" s="46" t="inlineStr">
        <is>
          <t xml:space="preserve">B1234EXOTIC26</t>
        </is>
      </c>
      <c r="G106" s="33">
        <f>IF($A106="","",IF($C106="","",YEAR($C106)))</f>
      </c>
      <c r="H106" s="49">
        <v>1960</v>
      </c>
      <c r="I106" s="46" t="inlineStr">
        <is>
          <t xml:space="preserve">Bentley</t>
        </is>
      </c>
      <c r="J106" s="46" t="inlineStr">
        <is>
          <t xml:space="preserve">Continental GT</t>
        </is>
      </c>
      <c r="K106" s="46" t="inlineStr">
        <is>
          <t xml:space="preserve">DH9W08Z2WM9EXKXEK</t>
        </is>
      </c>
      <c r="L106" s="48" t="inlineStr">
        <is>
          <t xml:space="preserve">02 - Sports / GT</t>
        </is>
      </c>
      <c r="M106" s="50">
        <v>445000</v>
      </c>
      <c r="N106" s="48" t="inlineStr">
        <is>
          <t xml:space="preserve">Personal</t>
        </is>
      </c>
      <c r="O106" s="46" t="inlineStr">
        <is>
          <t xml:space="preserve">Personal - regular use</t>
        </is>
      </c>
      <c r="P106" s="46" t="inlineStr">
        <is>
          <t xml:space="preserve">2,500 - 5,000</t>
        </is>
      </c>
      <c r="Q106" s="46" t="inlineStr">
        <is>
          <t xml:space="preserve">California</t>
        </is>
      </c>
      <c r="R106" s="46" t="inlineStr">
        <is>
          <t xml:space="preserve">90012</t>
        </is>
      </c>
      <c r="S106" s="48" t="inlineStr">
        <is>
          <t xml:space="preserve">Earthquake - high (CA, Cascadia, New Madrid)</t>
        </is>
      </c>
      <c r="T106" s="36">
        <f>IF($A106="","",IF($S106="","",IFERROR(INDEX('[1]natural catastrophe'!$D$6:$D$17,MATCH($S106,'[1]natural catastrophe'!$B$6:$B$17,0)),"?")))</f>
      </c>
      <c r="U106" s="46" t="inlineStr">
        <is>
          <t xml:space="preserve">$5,000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7060.23</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CANON-202604-006699</t>
        </is>
      </c>
      <c r="B107" s="30" t="inlineStr">
        <is>
          <t xml:space="preserve">Mireille Whitlock</t>
        </is>
      </c>
      <c r="C107" s="31">
        <v>46137</v>
      </c>
      <c r="D107" s="32" t="inlineStr">
        <is>
          <t xml:space="preserve">Bound - within authority</t>
        </is>
      </c>
      <c r="E107" s="32" t="inlineStr">
        <is>
          <t xml:space="preserve">New business</t>
        </is>
      </c>
      <c r="F107" s="30" t="inlineStr">
        <is>
          <t xml:space="preserve">B1234EXOTIC26</t>
        </is>
      </c>
      <c r="G107" s="33">
        <f>IF($A107="","",IF($C107="","",YEAR($C107)))</f>
      </c>
      <c r="H107" s="34">
        <v>2020</v>
      </c>
      <c r="I107" s="30" t="inlineStr">
        <is>
          <t xml:space="preserve">Bentley</t>
        </is>
      </c>
      <c r="J107" s="30" t="inlineStr">
        <is>
          <t xml:space="preserve">4.5 Litre</t>
        </is>
      </c>
      <c r="K107" s="30" t="inlineStr">
        <is>
          <t xml:space="preserve">6ER1N110B5J4VFNLW</t>
        </is>
      </c>
      <c r="L107" s="32" t="inlineStr">
        <is>
          <t xml:space="preserve">02 - Sports / GT</t>
        </is>
      </c>
      <c r="M107" s="35">
        <v>1195000</v>
      </c>
      <c r="N107" s="32" t="inlineStr">
        <is>
          <t xml:space="preserve">Personal</t>
        </is>
      </c>
      <c r="O107" s="30" t="inlineStr">
        <is>
          <t xml:space="preserve">Personal - regular use</t>
        </is>
      </c>
      <c r="P107" s="30" t="inlineStr">
        <is>
          <t xml:space="preserve">Under 1,000</t>
        </is>
      </c>
      <c r="Q107" s="30" t="inlineStr">
        <is>
          <t xml:space="preserve">California</t>
        </is>
      </c>
      <c r="R107" s="30" t="inlineStr">
        <is>
          <t xml:space="preserve">90012</t>
        </is>
      </c>
      <c r="S107" s="32" t="inlineStr">
        <is>
          <t xml:space="preserve">Earthquake - high (CA, Cascadia, New Madrid)</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8594.97</v>
      </c>
      <c r="AC107" s="37">
        <v>0</v>
      </c>
      <c r="AD107" s="38">
        <f>IF(ISNUMBER($AB107),$AB107*(1+N($AC107)),"")</f>
      </c>
      <c r="AE107" s="35">
        <v>350</v>
      </c>
      <c r="AF107" s="35">
        <v>250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CANON-202604-006700</t>
        </is>
      </c>
      <c r="B108" s="46" t="inlineStr">
        <is>
          <t xml:space="preserve">Delphine Underwood</t>
        </is>
      </c>
      <c r="C108" s="47">
        <v>46121</v>
      </c>
      <c r="D108" s="48" t="inlineStr">
        <is>
          <t xml:space="preserve">Bound - within authority</t>
        </is>
      </c>
      <c r="E108" s="48" t="inlineStr">
        <is>
          <t xml:space="preserve">New business</t>
        </is>
      </c>
      <c r="F108" s="46" t="inlineStr">
        <is>
          <t xml:space="preserve">B1234EXOTIC26</t>
        </is>
      </c>
      <c r="G108" s="33">
        <f>IF($A108="","",IF($C108="","",YEAR($C108)))</f>
      </c>
      <c r="H108" s="49">
        <v>1961</v>
      </c>
      <c r="I108" s="46" t="inlineStr">
        <is>
          <t xml:space="preserve">BMW</t>
        </is>
      </c>
      <c r="J108" s="46" t="inlineStr">
        <is>
          <t xml:space="preserve">M8 Competition</t>
        </is>
      </c>
      <c r="K108" s="46" t="inlineStr">
        <is>
          <t xml:space="preserve">6HTVG8TSC0VVLCSXF</t>
        </is>
      </c>
      <c r="L108" s="48" t="inlineStr">
        <is>
          <t xml:space="preserve">02 - Sports / GT</t>
        </is>
      </c>
      <c r="M108" s="50">
        <v>1205000</v>
      </c>
      <c r="N108" s="48" t="inlineStr">
        <is>
          <t xml:space="preserve">Personal</t>
        </is>
      </c>
      <c r="O108" s="46" t="inlineStr">
        <is>
          <t xml:space="preserve">Personal - regular use</t>
        </is>
      </c>
      <c r="P108" s="46" t="inlineStr">
        <is>
          <t xml:space="preserve">Under 1,000</t>
        </is>
      </c>
      <c r="Q108" s="46" t="inlineStr">
        <is>
          <t xml:space="preserve">New Jersey</t>
        </is>
      </c>
      <c r="R108" s="46" t="inlineStr">
        <is>
          <t xml:space="preserve">07102</t>
        </is>
      </c>
      <c r="S108" s="48" t="inlineStr">
        <is>
          <t xml:space="preserve">Tier 3 - Coastal wind (25-100 miles)</t>
        </is>
      </c>
      <c r="T108" s="36">
        <f>IF($A108="","",IF($S108="","",IFERROR(INDEX('[1]natural catastrophe'!$D$6:$D$17,MATCH($S108,'[1]natural catastrophe'!$B$6:$B$17,0)),"?")))</f>
      </c>
      <c r="U108" s="46" t="inlineStr">
        <is>
          <t xml:space="preserve">2% of agreed value, minimum $10,000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9450.5</v>
      </c>
      <c r="AC108" s="51">
        <v>0</v>
      </c>
      <c r="AD108" s="38">
        <f>IF(ISNUMBER($AB108),$AB108*(1+N($AC108)),"")</f>
      </c>
      <c r="AE108" s="50">
        <v>350</v>
      </c>
      <c r="AF108" s="50">
        <v>250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CANON-202604-006701</t>
        </is>
      </c>
      <c r="B109" s="30" t="inlineStr">
        <is>
          <t xml:space="preserve">Ottilie Blackwood</t>
        </is>
      </c>
      <c r="C109" s="31">
        <v>46127</v>
      </c>
      <c r="D109" s="32" t="inlineStr">
        <is>
          <t xml:space="preserve">Bound - within authority</t>
        </is>
      </c>
      <c r="E109" s="32" t="inlineStr">
        <is>
          <t xml:space="preserve">New business</t>
        </is>
      </c>
      <c r="F109" s="30" t="inlineStr">
        <is>
          <t xml:space="preserve">B1234EXOTIC26</t>
        </is>
      </c>
      <c r="G109" s="33">
        <f>IF($A109="","",IF($C109="","",YEAR($C109)))</f>
      </c>
      <c r="H109" s="34">
        <v>2009</v>
      </c>
      <c r="I109" s="30" t="inlineStr">
        <is>
          <t xml:space="preserve">Bentley</t>
        </is>
      </c>
      <c r="J109" s="30" t="inlineStr">
        <is>
          <t xml:space="preserve">Continental GT</t>
        </is>
      </c>
      <c r="K109" s="30" t="inlineStr">
        <is>
          <t xml:space="preserve">185PX5AGGCT7KMDD8</t>
        </is>
      </c>
      <c r="L109" s="32" t="inlineStr">
        <is>
          <t xml:space="preserve">02 - Sports / GT</t>
        </is>
      </c>
      <c r="M109" s="35">
        <v>525000</v>
      </c>
      <c r="N109" s="32" t="inlineStr">
        <is>
          <t xml:space="preserve">Personal</t>
        </is>
      </c>
      <c r="O109" s="30" t="inlineStr">
        <is>
          <t xml:space="preserve">Personal - regular use</t>
        </is>
      </c>
      <c r="P109" s="30" t="inlineStr">
        <is>
          <t xml:space="preserve">Under 1,000</t>
        </is>
      </c>
      <c r="Q109" s="30" t="inlineStr">
        <is>
          <t xml:space="preserve">Arizona</t>
        </is>
      </c>
      <c r="R109" s="30" t="inlineStr">
        <is>
          <t xml:space="preserve">85001</t>
        </is>
      </c>
      <c r="S109" s="32" t="inlineStr">
        <is>
          <t xml:space="preserve">Wildfire - WUI high hazard</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5400.8</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CANON-202604-006702</t>
        </is>
      </c>
      <c r="B110" s="46" t="inlineStr">
        <is>
          <t xml:space="preserve">Anouk Castellanos</t>
        </is>
      </c>
      <c r="C110" s="47">
        <v>46139</v>
      </c>
      <c r="D110" s="48" t="inlineStr">
        <is>
          <t xml:space="preserve">Bound - within authority</t>
        </is>
      </c>
      <c r="E110" s="48" t="inlineStr">
        <is>
          <t xml:space="preserve">New business</t>
        </is>
      </c>
      <c r="F110" s="46" t="inlineStr">
        <is>
          <t xml:space="preserve">B1234EXOTIC26</t>
        </is>
      </c>
      <c r="G110" s="33">
        <f>IF($A110="","",IF($C110="","",YEAR($C110)))</f>
      </c>
      <c r="H110" s="49">
        <v>1999</v>
      </c>
      <c r="I110" s="46" t="inlineStr">
        <is>
          <t xml:space="preserve">Ferrari</t>
        </is>
      </c>
      <c r="J110" s="46" t="inlineStr">
        <is>
          <t xml:space="preserve">275 GTB/4</t>
        </is>
      </c>
      <c r="K110" s="46" t="inlineStr">
        <is>
          <t xml:space="preserve">G3R10ACARM525J58V</t>
        </is>
      </c>
      <c r="L110" s="48" t="inlineStr">
        <is>
          <t xml:space="preserve">08 - Modern Classic (1973-1999)</t>
        </is>
      </c>
      <c r="M110" s="50">
        <v>960000</v>
      </c>
      <c r="N110" s="48" t="inlineStr">
        <is>
          <t xml:space="preserve">Personal</t>
        </is>
      </c>
      <c r="O110" s="46" t="inlineStr">
        <is>
          <t xml:space="preserve">Personal - regular use</t>
        </is>
      </c>
      <c r="P110" s="46" t="inlineStr">
        <is>
          <t xml:space="preserve">1,000 - 2,500</t>
        </is>
      </c>
      <c r="Q110" s="46" t="inlineStr">
        <is>
          <t xml:space="preserve">Minnesota</t>
        </is>
      </c>
      <c r="R110" s="46" t="inlineStr">
        <is>
          <t xml:space="preserve">55401</t>
        </is>
      </c>
      <c r="S110" s="48" t="inlineStr">
        <is>
          <t xml:space="preserve">Severe convective - hail / tornado (moderate)</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8538.42</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CANON-202604-006703</t>
        </is>
      </c>
      <c r="B111" s="30" t="inlineStr">
        <is>
          <t xml:space="preserve">Aurelio Chattopadhyay</t>
        </is>
      </c>
      <c r="C111" s="31">
        <v>46121</v>
      </c>
      <c r="D111" s="32" t="inlineStr">
        <is>
          <t xml:space="preserve">Bound - within authority</t>
        </is>
      </c>
      <c r="E111" s="32" t="inlineStr">
        <is>
          <t xml:space="preserve">New business</t>
        </is>
      </c>
      <c r="F111" s="30" t="inlineStr">
        <is>
          <t xml:space="preserve">B1234EXOTIC26</t>
        </is>
      </c>
      <c r="G111" s="33">
        <f>IF($A111="","",IF($C111="","",YEAR($C111)))</f>
      </c>
      <c r="H111" s="34">
        <v>1987</v>
      </c>
      <c r="I111" s="30" t="inlineStr">
        <is>
          <t xml:space="preserve">McLaren</t>
        </is>
      </c>
      <c r="J111" s="30" t="inlineStr">
        <is>
          <t xml:space="preserve">750S</t>
        </is>
      </c>
      <c r="K111" s="30" t="inlineStr">
        <is>
          <t xml:space="preserve">0D3PRXE4B5W7257PH</t>
        </is>
      </c>
      <c r="L111" s="32" t="inlineStr">
        <is>
          <t xml:space="preserve">03 - Supercar</t>
        </is>
      </c>
      <c r="M111" s="35">
        <v>1235000</v>
      </c>
      <c r="N111" s="32" t="inlineStr">
        <is>
          <t xml:space="preserve">Personal</t>
        </is>
      </c>
      <c r="O111" s="30" t="inlineStr">
        <is>
          <t xml:space="preserve">Personal - regular use</t>
        </is>
      </c>
      <c r="P111" s="30" t="inlineStr">
        <is>
          <t xml:space="preserve">2,500 - 5,000</t>
        </is>
      </c>
      <c r="Q111" s="30" t="inlineStr">
        <is>
          <t xml:space="preserve">Pennsylvania</t>
        </is>
      </c>
      <c r="R111" s="30" t="inlineStr">
        <is>
          <t xml:space="preserve">19103</t>
        </is>
      </c>
      <c r="S111" s="32" t="inlineStr">
        <is>
          <t xml:space="preserve">Low hazard - inland benign</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15481.77</v>
      </c>
      <c r="AC111" s="37">
        <v>0</v>
      </c>
      <c r="AD111" s="38">
        <f>IF(ISNUMBER($AB111),$AB111*(1+N($AC111)),"")</f>
      </c>
      <c r="AE111" s="35">
        <v>350</v>
      </c>
      <c r="AF111" s="35">
        <v>250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CANON-202604-006705</t>
        </is>
      </c>
      <c r="B112" s="46" t="inlineStr">
        <is>
          <t xml:space="preserve">Lorenzo Fairweather</t>
        </is>
      </c>
      <c r="C112" s="47">
        <v>46129</v>
      </c>
      <c r="D112" s="48" t="inlineStr">
        <is>
          <t xml:space="preserve">Bound - within authority</t>
        </is>
      </c>
      <c r="E112" s="48" t="inlineStr">
        <is>
          <t xml:space="preserve">New business</t>
        </is>
      </c>
      <c r="F112" s="46" t="inlineStr">
        <is>
          <t xml:space="preserve">B1234EXOTIC26</t>
        </is>
      </c>
      <c r="G112" s="33">
        <f>IF($A112="","",IF($C112="","",YEAR($C112)))</f>
      </c>
      <c r="H112" s="49">
        <v>1979</v>
      </c>
      <c r="I112" s="46" t="inlineStr">
        <is>
          <t xml:space="preserve">Ferrari</t>
        </is>
      </c>
      <c r="J112" s="46" t="inlineStr">
        <is>
          <t xml:space="preserve">SF90 Stradale</t>
        </is>
      </c>
      <c r="K112" s="46" t="inlineStr">
        <is>
          <t xml:space="preserve">JZLWVVPLGAD6D93Z6</t>
        </is>
      </c>
      <c r="L112" s="48" t="inlineStr">
        <is>
          <t xml:space="preserve">03 - Supercar</t>
        </is>
      </c>
      <c r="M112" s="50">
        <v>1605000</v>
      </c>
      <c r="N112" s="48" t="inlineStr">
        <is>
          <t xml:space="preserve">Personal</t>
        </is>
      </c>
      <c r="O112" s="46" t="inlineStr">
        <is>
          <t xml:space="preserve">Personal - regular use</t>
        </is>
      </c>
      <c r="P112" s="46" t="inlineStr">
        <is>
          <t xml:space="preserve">1,000 - 2,500</t>
        </is>
      </c>
      <c r="Q112" s="46" t="inlineStr">
        <is>
          <t xml:space="preserve">Washington</t>
        </is>
      </c>
      <c r="R112" s="46" t="inlineStr">
        <is>
          <t xml:space="preserve">98101</t>
        </is>
      </c>
      <c r="S112" s="48" t="inlineStr">
        <is>
          <t xml:space="preserve">Earthquake - high (CA, Cascadia, New Madrid)</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19315.24</v>
      </c>
      <c r="AC112" s="51">
        <v>0</v>
      </c>
      <c r="AD112" s="38">
        <f>IF(ISNUMBER($AB112),$AB112*(1+N($AC112)),"")</f>
      </c>
      <c r="AE112" s="50">
        <v>350</v>
      </c>
      <c r="AF112" s="50">
        <v>250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CANON-202604-006706</t>
        </is>
      </c>
      <c r="B113" s="30" t="inlineStr">
        <is>
          <t xml:space="preserve">Thaddeus Farkas</t>
        </is>
      </c>
      <c r="C113" s="31">
        <v>46120</v>
      </c>
      <c r="D113" s="32" t="inlineStr">
        <is>
          <t xml:space="preserve">Bound - within authority</t>
        </is>
      </c>
      <c r="E113" s="32" t="inlineStr">
        <is>
          <t xml:space="preserve">New business</t>
        </is>
      </c>
      <c r="F113" s="30" t="inlineStr">
        <is>
          <t xml:space="preserve">B1234EXOTIC26</t>
        </is>
      </c>
      <c r="G113" s="33">
        <f>IF($A113="","",IF($C113="","",YEAR($C113)))</f>
      </c>
      <c r="H113" s="34">
        <v>2005</v>
      </c>
      <c r="I113" s="30" t="inlineStr">
        <is>
          <t xml:space="preserve">Ferrari</t>
        </is>
      </c>
      <c r="J113" s="30" t="inlineStr">
        <is>
          <t xml:space="preserve">275 GTB/4</t>
        </is>
      </c>
      <c r="K113" s="30" t="inlineStr">
        <is>
          <t xml:space="preserve">XZ6Z2FDG3LG7K9JM8</t>
        </is>
      </c>
      <c r="L113" s="32" t="inlineStr">
        <is>
          <t xml:space="preserve">09 - Youngtimer / Collectible (2000-2010)</t>
        </is>
      </c>
      <c r="M113" s="35">
        <v>610000</v>
      </c>
      <c r="N113" s="32" t="inlineStr">
        <is>
          <t xml:space="preserve">Personal</t>
        </is>
      </c>
      <c r="O113" s="30" t="inlineStr">
        <is>
          <t xml:space="preserve">Personal - regular use</t>
        </is>
      </c>
      <c r="P113" s="30" t="inlineStr">
        <is>
          <t xml:space="preserve">2,500 - 5,000</t>
        </is>
      </c>
      <c r="Q113" s="30" t="inlineStr">
        <is>
          <t xml:space="preserve">Washington</t>
        </is>
      </c>
      <c r="R113" s="30" t="inlineStr">
        <is>
          <t xml:space="preserve">98101</t>
        </is>
      </c>
      <c r="S113" s="32" t="inlineStr">
        <is>
          <t xml:space="preserve">Earthquake - high (CA, Cascadia, New Madrid)</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3945.78</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CANON-202604-006709</t>
        </is>
      </c>
      <c r="B114" s="46" t="inlineStr">
        <is>
          <t xml:space="preserve">Beatrix Ashcombe</t>
        </is>
      </c>
      <c r="C114" s="47">
        <v>46135</v>
      </c>
      <c r="D114" s="48" t="inlineStr">
        <is>
          <t xml:space="preserve">Bound - within authority</t>
        </is>
      </c>
      <c r="E114" s="48" t="inlineStr">
        <is>
          <t xml:space="preserve">New business</t>
        </is>
      </c>
      <c r="F114" s="46" t="inlineStr">
        <is>
          <t xml:space="preserve">B1234EXOTIC26</t>
        </is>
      </c>
      <c r="G114" s="33">
        <f>IF($A114="","",IF($C114="","",YEAR($C114)))</f>
      </c>
      <c r="H114" s="49">
        <v>2017</v>
      </c>
      <c r="I114" s="46" t="inlineStr">
        <is>
          <t xml:space="preserve">Bentley</t>
        </is>
      </c>
      <c r="J114" s="46" t="inlineStr">
        <is>
          <t xml:space="preserve">Continental GT</t>
        </is>
      </c>
      <c r="K114" s="46" t="inlineStr">
        <is>
          <t xml:space="preserve">11KE8UJ2FD2JZW8KV</t>
        </is>
      </c>
      <c r="L114" s="48" t="inlineStr">
        <is>
          <t xml:space="preserve">02 - Sports / GT</t>
        </is>
      </c>
      <c r="M114" s="50">
        <v>350000</v>
      </c>
      <c r="N114" s="48" t="inlineStr">
        <is>
          <t xml:space="preserve">Personal</t>
        </is>
      </c>
      <c r="O114" s="46" t="inlineStr">
        <is>
          <t xml:space="preserve">Personal - regular use</t>
        </is>
      </c>
      <c r="P114" s="46" t="inlineStr">
        <is>
          <t xml:space="preserve">1,000 - 2,500</t>
        </is>
      </c>
      <c r="Q114" s="46" t="inlineStr">
        <is>
          <t xml:space="preserve">Utah</t>
        </is>
      </c>
      <c r="R114" s="46" t="inlineStr">
        <is>
          <t xml:space="preserve">84101</t>
        </is>
      </c>
      <c r="S114" s="48" t="inlineStr">
        <is>
          <t xml:space="preserve">Wildfire - WUI high hazard</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5552.99</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CANON-202604-006710</t>
        </is>
      </c>
      <c r="B115" s="30" t="inlineStr">
        <is>
          <t xml:space="preserve">Marisol Montoya</t>
        </is>
      </c>
      <c r="C115" s="31">
        <v>46125</v>
      </c>
      <c r="D115" s="32" t="inlineStr">
        <is>
          <t xml:space="preserve">Bound - within authority</t>
        </is>
      </c>
      <c r="E115" s="32" t="inlineStr">
        <is>
          <t xml:space="preserve">New business</t>
        </is>
      </c>
      <c r="F115" s="30" t="inlineStr">
        <is>
          <t xml:space="preserve">B1234EXOTIC26</t>
        </is>
      </c>
      <c r="G115" s="33">
        <f>IF($A115="","",IF($C115="","",YEAR($C115)))</f>
      </c>
      <c r="H115" s="34">
        <v>2015</v>
      </c>
      <c r="I115" s="30" t="inlineStr">
        <is>
          <t xml:space="preserve">Lamborghini</t>
        </is>
      </c>
      <c r="J115" s="30" t="inlineStr">
        <is>
          <t xml:space="preserve">Huracan EVO</t>
        </is>
      </c>
      <c r="K115" s="30" t="inlineStr">
        <is>
          <t xml:space="preserve">653B91HMB1SP4ETKK</t>
        </is>
      </c>
      <c r="L115" s="32" t="inlineStr">
        <is>
          <t xml:space="preserve">03 - Supercar</t>
        </is>
      </c>
      <c r="M115" s="35">
        <v>1410000</v>
      </c>
      <c r="N115" s="32" t="inlineStr">
        <is>
          <t xml:space="preserve">Personal</t>
        </is>
      </c>
      <c r="O115" s="30" t="inlineStr">
        <is>
          <t xml:space="preserve">Personal - regular use</t>
        </is>
      </c>
      <c r="P115" s="30" t="inlineStr">
        <is>
          <t xml:space="preserve">2,500 - 5,000</t>
        </is>
      </c>
      <c r="Q115" s="30" t="inlineStr">
        <is>
          <t xml:space="preserve">California</t>
        </is>
      </c>
      <c r="R115" s="30" t="inlineStr">
        <is>
          <t xml:space="preserve">90012</t>
        </is>
      </c>
      <c r="S115" s="32" t="inlineStr">
        <is>
          <t xml:space="preserve">Earthquake - high (CA, Cascadia, New Madrid)</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23861.99</v>
      </c>
      <c r="AC115" s="37">
        <v>0</v>
      </c>
      <c r="AD115" s="38">
        <f>IF(ISNUMBER($AB115),$AB115*(1+N($AC115)),"")</f>
      </c>
      <c r="AE115" s="35">
        <v>350</v>
      </c>
      <c r="AF115" s="35">
        <v>250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CANON-202604-006714</t>
        </is>
      </c>
      <c r="B116" s="46" t="inlineStr">
        <is>
          <t xml:space="preserve">Lorenzo Rourke</t>
        </is>
      </c>
      <c r="C116" s="47">
        <v>46131</v>
      </c>
      <c r="D116" s="48" t="inlineStr">
        <is>
          <t xml:space="preserve">Bound - within authority</t>
        </is>
      </c>
      <c r="E116" s="48" t="inlineStr">
        <is>
          <t xml:space="preserve">New business</t>
        </is>
      </c>
      <c r="F116" s="46" t="inlineStr">
        <is>
          <t xml:space="preserve">B1234EXOTIC26</t>
        </is>
      </c>
      <c r="G116" s="33">
        <f>IF($A116="","",IF($C116="","",YEAR($C116)))</f>
      </c>
      <c r="H116" s="49">
        <v>2021</v>
      </c>
      <c r="I116" s="46" t="inlineStr">
        <is>
          <t xml:space="preserve">Ferrari</t>
        </is>
      </c>
      <c r="J116" s="46" t="inlineStr">
        <is>
          <t xml:space="preserve">SF90 Stradale</t>
        </is>
      </c>
      <c r="K116" s="46" t="inlineStr">
        <is>
          <t xml:space="preserve">PC67YM19SLFGSKZTF</t>
        </is>
      </c>
      <c r="L116" s="48" t="inlineStr">
        <is>
          <t xml:space="preserve">03 - Supercar</t>
        </is>
      </c>
      <c r="M116" s="50">
        <v>1705000</v>
      </c>
      <c r="N116" s="48" t="inlineStr">
        <is>
          <t xml:space="preserve">Personal</t>
        </is>
      </c>
      <c r="O116" s="46" t="inlineStr">
        <is>
          <t xml:space="preserve">Personal - regular use</t>
        </is>
      </c>
      <c r="P116" s="46" t="inlineStr">
        <is>
          <t xml:space="preserve">2,500 - 5,000</t>
        </is>
      </c>
      <c r="Q116" s="46" t="inlineStr">
        <is>
          <t xml:space="preserve">Wisconsin</t>
        </is>
      </c>
      <c r="R116" s="46" t="inlineStr">
        <is>
          <t xml:space="preserve">53202</t>
        </is>
      </c>
      <c r="S116" s="48" t="inlineStr">
        <is>
          <t xml:space="preserve">Severe convective - hail / tornado (moderate)</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25648.35</v>
      </c>
      <c r="AC116" s="51">
        <v>0</v>
      </c>
      <c r="AD116" s="38">
        <f>IF(ISNUMBER($AB116),$AB116*(1+N($AC116)),"")</f>
      </c>
      <c r="AE116" s="50">
        <v>350</v>
      </c>
      <c r="AF116" s="50">
        <v>250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CANON-202604-006715</t>
        </is>
      </c>
      <c r="B117" s="30" t="inlineStr">
        <is>
          <t xml:space="preserve">Emiliano Nakashima</t>
        </is>
      </c>
      <c r="C117" s="31">
        <v>46115</v>
      </c>
      <c r="D117" s="32" t="inlineStr">
        <is>
          <t xml:space="preserve">Bound - within authority</t>
        </is>
      </c>
      <c r="E117" s="32" t="inlineStr">
        <is>
          <t xml:space="preserve">New business</t>
        </is>
      </c>
      <c r="F117" s="30" t="inlineStr">
        <is>
          <t xml:space="preserve">B1234EXOTIC26</t>
        </is>
      </c>
      <c r="G117" s="33">
        <f>IF($A117="","",IF($C117="","",YEAR($C117)))</f>
      </c>
      <c r="H117" s="34">
        <v>1955</v>
      </c>
      <c r="I117" s="30" t="inlineStr">
        <is>
          <t xml:space="preserve">Bentley</t>
        </is>
      </c>
      <c r="J117" s="30" t="inlineStr">
        <is>
          <t xml:space="preserve">Continental GT</t>
        </is>
      </c>
      <c r="K117" s="30" t="inlineStr">
        <is>
          <t xml:space="preserve">9K9MJRC1H31ZN203Y</t>
        </is>
      </c>
      <c r="L117" s="32" t="inlineStr">
        <is>
          <t xml:space="preserve">02 - Sports / GT</t>
        </is>
      </c>
      <c r="M117" s="35">
        <v>1950000</v>
      </c>
      <c r="N117" s="32" t="inlineStr">
        <is>
          <t xml:space="preserve">Personal</t>
        </is>
      </c>
      <c r="O117" s="30" t="inlineStr">
        <is>
          <t xml:space="preserve">Personal - regular use</t>
        </is>
      </c>
      <c r="P117" s="30" t="inlineStr">
        <is>
          <t xml:space="preserve">Under 1,000</t>
        </is>
      </c>
      <c r="Q117" s="30" t="inlineStr">
        <is>
          <t xml:space="preserve">South Dakota</t>
        </is>
      </c>
      <c r="R117" s="30" t="inlineStr">
        <is>
          <t xml:space="preserve">57501</t>
        </is>
      </c>
      <c r="S117" s="32" t="inlineStr">
        <is>
          <t xml:space="preserve">Severe convective - hail alley (high)</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18654.52</v>
      </c>
      <c r="AC117" s="37">
        <v>0</v>
      </c>
      <c r="AD117" s="38">
        <f>IF(ISNUMBER($AB117),$AB117*(1+N($AC117)),"")</f>
      </c>
      <c r="AE117" s="35">
        <v>350</v>
      </c>
      <c r="AF117" s="35">
        <v>250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CANON-202604-006716</t>
        </is>
      </c>
      <c r="B118" s="46" t="inlineStr">
        <is>
          <t xml:space="preserve">Everett Larsson</t>
        </is>
      </c>
      <c r="C118" s="47">
        <v>46119</v>
      </c>
      <c r="D118" s="48" t="inlineStr">
        <is>
          <t xml:space="preserve">Bound - within authority</t>
        </is>
      </c>
      <c r="E118" s="48" t="inlineStr">
        <is>
          <t xml:space="preserve">New business</t>
        </is>
      </c>
      <c r="F118" s="46" t="inlineStr">
        <is>
          <t xml:space="preserve">B1234EXOTIC26</t>
        </is>
      </c>
      <c r="G118" s="33">
        <f>IF($A118="","",IF($C118="","",YEAR($C118)))</f>
      </c>
      <c r="H118" s="49">
        <v>1992</v>
      </c>
      <c r="I118" s="46" t="inlineStr">
        <is>
          <t xml:space="preserve">BMW</t>
        </is>
      </c>
      <c r="J118" s="46" t="inlineStr">
        <is>
          <t xml:space="preserve">M8 Competition</t>
        </is>
      </c>
      <c r="K118" s="46" t="inlineStr">
        <is>
          <t xml:space="preserve">UHZTVF6G2SHN2K3GN</t>
        </is>
      </c>
      <c r="L118" s="48" t="inlineStr">
        <is>
          <t xml:space="preserve">02 - Sports / GT</t>
        </is>
      </c>
      <c r="M118" s="50">
        <v>405000</v>
      </c>
      <c r="N118" s="48" t="inlineStr">
        <is>
          <t xml:space="preserve">Personal</t>
        </is>
      </c>
      <c r="O118" s="46" t="inlineStr">
        <is>
          <t xml:space="preserve">Personal - regular use</t>
        </is>
      </c>
      <c r="P118" s="46" t="inlineStr">
        <is>
          <t xml:space="preserve">2,500 - 5,000</t>
        </is>
      </c>
      <c r="Q118" s="46" t="inlineStr">
        <is>
          <t xml:space="preserve">Tennessee</t>
        </is>
      </c>
      <c r="R118" s="46" t="inlineStr">
        <is>
          <t xml:space="preserve">37203</t>
        </is>
      </c>
      <c r="S118" s="48" t="inlineStr">
        <is>
          <t xml:space="preserve">Severe convective - hail / tornado (moderate)</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4664.51</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CANON-202604-006718</t>
        </is>
      </c>
      <c r="B119" s="30" t="inlineStr">
        <is>
          <t xml:space="preserve">Wilhelmina Rourke</t>
        </is>
      </c>
      <c r="C119" s="31">
        <v>46113</v>
      </c>
      <c r="D119" s="32" t="inlineStr">
        <is>
          <t xml:space="preserve">Bound - within authority</t>
        </is>
      </c>
      <c r="E119" s="32" t="inlineStr">
        <is>
          <t xml:space="preserve">New business</t>
        </is>
      </c>
      <c r="F119" s="30" t="inlineStr">
        <is>
          <t xml:space="preserve">B1234EXOTIC26</t>
        </is>
      </c>
      <c r="G119" s="33">
        <f>IF($A119="","",IF($C119="","",YEAR($C119)))</f>
      </c>
      <c r="H119" s="34">
        <v>2010</v>
      </c>
      <c r="I119" s="30" t="inlineStr">
        <is>
          <t xml:space="preserve">Jaguar</t>
        </is>
      </c>
      <c r="J119" s="30" t="inlineStr">
        <is>
          <t xml:space="preserve">E-Type Series 1</t>
        </is>
      </c>
      <c r="K119" s="30" t="inlineStr">
        <is>
          <t xml:space="preserve">E4V0TJB9APF4LCWT1</t>
        </is>
      </c>
      <c r="L119" s="32" t="inlineStr">
        <is>
          <t xml:space="preserve">09 - Youngtimer / Collectible (2000-2010)</t>
        </is>
      </c>
      <c r="M119" s="35">
        <v>1950000</v>
      </c>
      <c r="N119" s="32" t="inlineStr">
        <is>
          <t xml:space="preserve">Personal</t>
        </is>
      </c>
      <c r="O119" s="30" t="inlineStr">
        <is>
          <t xml:space="preserve">Personal - regular use</t>
        </is>
      </c>
      <c r="P119" s="30" t="inlineStr">
        <is>
          <t xml:space="preserve">2,500 - 5,000</t>
        </is>
      </c>
      <c r="Q119" s="30" t="inlineStr">
        <is>
          <t xml:space="preserve">South Carolina</t>
        </is>
      </c>
      <c r="R119" s="30" t="inlineStr">
        <is>
          <t xml:space="preserve">29401</t>
        </is>
      </c>
      <c r="S119" s="32" t="inlineStr">
        <is>
          <t xml:space="preserve">Tier 2 - Coastal wind (1-25 miles)</t>
        </is>
      </c>
      <c r="T119" s="36">
        <f>IF($A119="","",IF($S119="","",IFERROR(INDEX('[1]natural catastrophe'!$D$6:$D$17,MATCH($S119,'[1]natural catastrophe'!$B$6:$B$17,0)),"?")))</f>
      </c>
      <c r="U119" s="30" t="inlineStr">
        <is>
          <t xml:space="preserve">2% of agreed value, minimum $10,000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14398.05</v>
      </c>
      <c r="AC119" s="37">
        <v>0</v>
      </c>
      <c r="AD119" s="38">
        <f>IF(ISNUMBER($AB119),$AB119*(1+N($AC119)),"")</f>
      </c>
      <c r="AE119" s="35">
        <v>350</v>
      </c>
      <c r="AF119" s="35">
        <v>250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CANON-202604-006720</t>
        </is>
      </c>
      <c r="B120" s="46" t="inlineStr">
        <is>
          <t xml:space="preserve">Ramona Vasquez</t>
        </is>
      </c>
      <c r="C120" s="47">
        <v>46121</v>
      </c>
      <c r="D120" s="48" t="inlineStr">
        <is>
          <t xml:space="preserve">Bound - within authority</t>
        </is>
      </c>
      <c r="E120" s="48" t="inlineStr">
        <is>
          <t xml:space="preserve">New business</t>
        </is>
      </c>
      <c r="F120" s="46" t="inlineStr">
        <is>
          <t xml:space="preserve">B1234EXOTIC26</t>
        </is>
      </c>
      <c r="G120" s="33">
        <f>IF($A120="","",IF($C120="","",YEAR($C120)))</f>
      </c>
      <c r="H120" s="49">
        <v>1982</v>
      </c>
      <c r="I120" s="46" t="inlineStr">
        <is>
          <t xml:space="preserve">Ferrari</t>
        </is>
      </c>
      <c r="J120" s="46" t="inlineStr">
        <is>
          <t xml:space="preserve">SF90 Stradale</t>
        </is>
      </c>
      <c r="K120" s="46" t="inlineStr">
        <is>
          <t xml:space="preserve">A2VP2WVUVZ5DDFLRB</t>
        </is>
      </c>
      <c r="L120" s="48" t="inlineStr">
        <is>
          <t xml:space="preserve">03 - Supercar</t>
        </is>
      </c>
      <c r="M120" s="50">
        <v>1950000</v>
      </c>
      <c r="N120" s="48" t="inlineStr">
        <is>
          <t xml:space="preserve">Personal</t>
        </is>
      </c>
      <c r="O120" s="46" t="inlineStr">
        <is>
          <t xml:space="preserve">Personal - regular use</t>
        </is>
      </c>
      <c r="P120" s="46" t="inlineStr">
        <is>
          <t xml:space="preserve">Under 1,000</t>
        </is>
      </c>
      <c r="Q120" s="46" t="inlineStr">
        <is>
          <t xml:space="preserve">Michigan</t>
        </is>
      </c>
      <c r="R120" s="46" t="inlineStr">
        <is>
          <t xml:space="preserve">48226</t>
        </is>
      </c>
      <c r="S120" s="48" t="inlineStr">
        <is>
          <t xml:space="preserve">Severe convective - hail / tornado (moderate)</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37889.6</v>
      </c>
      <c r="AC120" s="51">
        <v>0</v>
      </c>
      <c r="AD120" s="38">
        <f>IF(ISNUMBER($AB120),$AB120*(1+N($AC120)),"")</f>
      </c>
      <c r="AE120" s="50">
        <v>350</v>
      </c>
      <c r="AF120" s="50">
        <v>250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CANON-202604-006722</t>
        </is>
      </c>
      <c r="B121" s="30" t="inlineStr">
        <is>
          <t xml:space="preserve">Ramona Harrington</t>
        </is>
      </c>
      <c r="C121" s="31">
        <v>46140</v>
      </c>
      <c r="D121" s="32" t="inlineStr">
        <is>
          <t xml:space="preserve">Bound - within authority</t>
        </is>
      </c>
      <c r="E121" s="32" t="inlineStr">
        <is>
          <t xml:space="preserve">New business</t>
        </is>
      </c>
      <c r="F121" s="30" t="inlineStr">
        <is>
          <t xml:space="preserve">B1234EXOTIC26</t>
        </is>
      </c>
      <c r="G121" s="33">
        <f>IF($A121="","",IF($C121="","",YEAR($C121)))</f>
      </c>
      <c r="H121" s="34">
        <v>2023</v>
      </c>
      <c r="I121" s="30" t="inlineStr">
        <is>
          <t xml:space="preserve">Bentley</t>
        </is>
      </c>
      <c r="J121" s="30" t="inlineStr">
        <is>
          <t xml:space="preserve">Continental GT</t>
        </is>
      </c>
      <c r="K121" s="30" t="inlineStr">
        <is>
          <t xml:space="preserve">WNY6NRL9SAN92E9J0</t>
        </is>
      </c>
      <c r="L121" s="32" t="inlineStr">
        <is>
          <t xml:space="preserve">02 - Sports / GT</t>
        </is>
      </c>
      <c r="M121" s="35">
        <v>1630000</v>
      </c>
      <c r="N121" s="32" t="inlineStr">
        <is>
          <t xml:space="preserve">Personal</t>
        </is>
      </c>
      <c r="O121" s="30" t="inlineStr">
        <is>
          <t xml:space="preserve">Personal - regular use</t>
        </is>
      </c>
      <c r="P121" s="30" t="inlineStr">
        <is>
          <t xml:space="preserve">Under 1,000</t>
        </is>
      </c>
      <c r="Q121" s="30" t="inlineStr">
        <is>
          <t xml:space="preserve">Maryland</t>
        </is>
      </c>
      <c r="R121" s="30" t="inlineStr">
        <is>
          <t xml:space="preserve">21201</t>
        </is>
      </c>
      <c r="S121" s="32" t="inlineStr">
        <is>
          <t xml:space="preserve">Tier 3 - Coastal wind (25-100 miles)</t>
        </is>
      </c>
      <c r="T121" s="36">
        <f>IF($A121="","",IF($S121="","",IFERROR(INDEX('[1]natural catastrophe'!$D$6:$D$17,MATCH($S121,'[1]natural catastrophe'!$B$6:$B$17,0)),"?")))</f>
      </c>
      <c r="U121" s="30" t="inlineStr">
        <is>
          <t xml:space="preserve">2% of agreed value, minimum $10,000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13345.59</v>
      </c>
      <c r="AC121" s="37">
        <v>0</v>
      </c>
      <c r="AD121" s="38">
        <f>IF(ISNUMBER($AB121),$AB121*(1+N($AC121)),"")</f>
      </c>
      <c r="AE121" s="35">
        <v>350</v>
      </c>
      <c r="AF121" s="35">
        <v>250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CANON-202604-006724</t>
        </is>
      </c>
      <c r="B122" s="46" t="inlineStr">
        <is>
          <t xml:space="preserve">Priya Pennington</t>
        </is>
      </c>
      <c r="C122" s="47">
        <v>46129</v>
      </c>
      <c r="D122" s="48" t="inlineStr">
        <is>
          <t xml:space="preserve">Bound - within authority</t>
        </is>
      </c>
      <c r="E122" s="48" t="inlineStr">
        <is>
          <t xml:space="preserve">New business</t>
        </is>
      </c>
      <c r="F122" s="46" t="inlineStr">
        <is>
          <t xml:space="preserve">B1234EXOTIC26</t>
        </is>
      </c>
      <c r="G122" s="33">
        <f>IF($A122="","",IF($C122="","",YEAR($C122)))</f>
      </c>
      <c r="H122" s="49">
        <v>1996</v>
      </c>
      <c r="I122" s="46" t="inlineStr">
        <is>
          <t xml:space="preserve">Mercedes-Benz</t>
        </is>
      </c>
      <c r="J122" s="46" t="inlineStr">
        <is>
          <t xml:space="preserve">AMG GT</t>
        </is>
      </c>
      <c r="K122" s="46" t="inlineStr">
        <is>
          <t xml:space="preserve">WMMYBH4YDSKR7P49D</t>
        </is>
      </c>
      <c r="L122" s="48" t="inlineStr">
        <is>
          <t xml:space="preserve">02 - Sports / GT</t>
        </is>
      </c>
      <c r="M122" s="50">
        <v>805000</v>
      </c>
      <c r="N122" s="48" t="inlineStr">
        <is>
          <t xml:space="preserve">Personal</t>
        </is>
      </c>
      <c r="O122" s="46" t="inlineStr">
        <is>
          <t xml:space="preserve">Personal - regular use</t>
        </is>
      </c>
      <c r="P122" s="46" t="inlineStr">
        <is>
          <t xml:space="preserve">Under 1,000</t>
        </is>
      </c>
      <c r="Q122" s="46" t="inlineStr">
        <is>
          <t xml:space="preserve">Wisconsin</t>
        </is>
      </c>
      <c r="R122" s="46" t="inlineStr">
        <is>
          <t xml:space="preserve">53202</t>
        </is>
      </c>
      <c r="S122" s="48" t="inlineStr">
        <is>
          <t xml:space="preserve">Severe convective - hail / tornado (moderate)</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9839.07</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CANON-202604-006725</t>
        </is>
      </c>
      <c r="B123" s="30" t="inlineStr">
        <is>
          <t xml:space="preserve">Delphine Okonkwo</t>
        </is>
      </c>
      <c r="C123" s="31">
        <v>46123</v>
      </c>
      <c r="D123" s="32" t="inlineStr">
        <is>
          <t xml:space="preserve">Bound - within authority</t>
        </is>
      </c>
      <c r="E123" s="32" t="inlineStr">
        <is>
          <t xml:space="preserve">New business</t>
        </is>
      </c>
      <c r="F123" s="30" t="inlineStr">
        <is>
          <t xml:space="preserve">B1234EXOTIC26</t>
        </is>
      </c>
      <c r="G123" s="33">
        <f>IF($A123="","",IF($C123="","",YEAR($C123)))</f>
      </c>
      <c r="H123" s="34">
        <v>2016</v>
      </c>
      <c r="I123" s="30" t="inlineStr">
        <is>
          <t xml:space="preserve">Mercedes-Benz</t>
        </is>
      </c>
      <c r="J123" s="30" t="inlineStr">
        <is>
          <t xml:space="preserve">AMG GT</t>
        </is>
      </c>
      <c r="K123" s="30" t="inlineStr">
        <is>
          <t xml:space="preserve">DRJF7HKZ0KGP68VMF</t>
        </is>
      </c>
      <c r="L123" s="32" t="inlineStr">
        <is>
          <t xml:space="preserve">02 - Sports / GT</t>
        </is>
      </c>
      <c r="M123" s="35">
        <v>965000</v>
      </c>
      <c r="N123" s="32" t="inlineStr">
        <is>
          <t xml:space="preserve">Personal</t>
        </is>
      </c>
      <c r="O123" s="30" t="inlineStr">
        <is>
          <t xml:space="preserve">Personal - regular use</t>
        </is>
      </c>
      <c r="P123" s="30" t="inlineStr">
        <is>
          <t xml:space="preserve">2,500 - 5,000</t>
        </is>
      </c>
      <c r="Q123" s="30" t="inlineStr">
        <is>
          <t xml:space="preserve">Alabama</t>
        </is>
      </c>
      <c r="R123" s="30" t="inlineStr">
        <is>
          <t xml:space="preserve">35203</t>
        </is>
      </c>
      <c r="S123" s="32" t="inlineStr">
        <is>
          <t xml:space="preserve">Tier 2 - Coastal wind (1-25 miles)</t>
        </is>
      </c>
      <c r="T123" s="36">
        <f>IF($A123="","",IF($S123="","",IFERROR(INDEX('[1]natural catastrophe'!$D$6:$D$17,MATCH($S123,'[1]natural catastrophe'!$B$6:$B$17,0)),"?")))</f>
      </c>
      <c r="U123" s="30" t="inlineStr">
        <is>
          <t xml:space="preserve">2% of agreed value, minimum $10,000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12482.69</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CANON-202604-006727</t>
        </is>
      </c>
      <c r="B124" s="46" t="inlineStr">
        <is>
          <t xml:space="preserve">Priya Pennington</t>
        </is>
      </c>
      <c r="C124" s="47">
        <v>46121</v>
      </c>
      <c r="D124" s="48" t="inlineStr">
        <is>
          <t xml:space="preserve">Bound - within authority</t>
        </is>
      </c>
      <c r="E124" s="48" t="inlineStr">
        <is>
          <t xml:space="preserve">New business</t>
        </is>
      </c>
      <c r="F124" s="46" t="inlineStr">
        <is>
          <t xml:space="preserve">B1234EXOTIC26</t>
        </is>
      </c>
      <c r="G124" s="33">
        <f>IF($A124="","",IF($C124="","",YEAR($C124)))</f>
      </c>
      <c r="H124" s="49">
        <v>2023</v>
      </c>
      <c r="I124" s="46" t="inlineStr">
        <is>
          <t xml:space="preserve">Mercedes-Benz</t>
        </is>
      </c>
      <c r="J124" s="46" t="inlineStr">
        <is>
          <t xml:space="preserve">280SL Pagoda</t>
        </is>
      </c>
      <c r="K124" s="46" t="inlineStr">
        <is>
          <t xml:space="preserve">X718JRZ4MA5H3Y2AD</t>
        </is>
      </c>
      <c r="L124" s="48" t="inlineStr">
        <is>
          <t xml:space="preserve">02 - Sports / GT</t>
        </is>
      </c>
      <c r="M124" s="50">
        <v>455000</v>
      </c>
      <c r="N124" s="48" t="inlineStr">
        <is>
          <t xml:space="preserve">Personal</t>
        </is>
      </c>
      <c r="O124" s="46" t="inlineStr">
        <is>
          <t xml:space="preserve">Personal - regular use</t>
        </is>
      </c>
      <c r="P124" s="46" t="inlineStr">
        <is>
          <t xml:space="preserve">Under 1,000</t>
        </is>
      </c>
      <c r="Q124" s="46" t="inlineStr">
        <is>
          <t xml:space="preserve">Louisiana</t>
        </is>
      </c>
      <c r="R124" s="46" t="inlineStr">
        <is>
          <t xml:space="preserve">70112</t>
        </is>
      </c>
      <c r="S124" s="48" t="inlineStr">
        <is>
          <t xml:space="preserve">Tier 2 - Coastal wind (1-25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4140.96</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CANON-202604-006728</t>
        </is>
      </c>
      <c r="B125" s="30" t="inlineStr">
        <is>
          <t xml:space="preserve">Saoirse Farkas</t>
        </is>
      </c>
      <c r="C125" s="31">
        <v>46124</v>
      </c>
      <c r="D125" s="32" t="inlineStr">
        <is>
          <t xml:space="preserve">Bound - within authority</t>
        </is>
      </c>
      <c r="E125" s="32" t="inlineStr">
        <is>
          <t xml:space="preserve">New business</t>
        </is>
      </c>
      <c r="F125" s="30" t="inlineStr">
        <is>
          <t xml:space="preserve">B1234EXOTIC26</t>
        </is>
      </c>
      <c r="G125" s="33">
        <f>IF($A125="","",IF($C125="","",YEAR($C125)))</f>
      </c>
      <c r="H125" s="34">
        <v>1985</v>
      </c>
      <c r="I125" s="30" t="inlineStr">
        <is>
          <t xml:space="preserve">Lamborghini</t>
        </is>
      </c>
      <c r="J125" s="30" t="inlineStr">
        <is>
          <t xml:space="preserve">Huracan EVO</t>
        </is>
      </c>
      <c r="K125" s="30" t="inlineStr">
        <is>
          <t xml:space="preserve">G1PE3WYUJ0DXVV7M6</t>
        </is>
      </c>
      <c r="L125" s="32" t="inlineStr">
        <is>
          <t xml:space="preserve">03 - Supercar</t>
        </is>
      </c>
      <c r="M125" s="35">
        <v>660000</v>
      </c>
      <c r="N125" s="32" t="inlineStr">
        <is>
          <t xml:space="preserve">Personal</t>
        </is>
      </c>
      <c r="O125" s="30" t="inlineStr">
        <is>
          <t xml:space="preserve">Personal - regular use</t>
        </is>
      </c>
      <c r="P125" s="30" t="inlineStr">
        <is>
          <t xml:space="preserve">2,500 - 5,000</t>
        </is>
      </c>
      <c r="Q125" s="30" t="inlineStr">
        <is>
          <t xml:space="preserve">Texas</t>
        </is>
      </c>
      <c r="R125" s="30" t="inlineStr">
        <is>
          <t xml:space="preserve">75201</t>
        </is>
      </c>
      <c r="S125" s="32" t="inlineStr">
        <is>
          <t xml:space="preserve">Tier 2 - Coastal wind (1-25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11298.72</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CANON-202604-006731</t>
        </is>
      </c>
      <c r="B126" s="46" t="inlineStr">
        <is>
          <t xml:space="preserve">Beatrix Harrington</t>
        </is>
      </c>
      <c r="C126" s="47">
        <v>46125</v>
      </c>
      <c r="D126" s="48" t="inlineStr">
        <is>
          <t xml:space="preserve">Bound - within authority</t>
        </is>
      </c>
      <c r="E126" s="48" t="inlineStr">
        <is>
          <t xml:space="preserve">New business</t>
        </is>
      </c>
      <c r="F126" s="46" t="inlineStr">
        <is>
          <t xml:space="preserve">B1234EXOTIC26</t>
        </is>
      </c>
      <c r="G126" s="33">
        <f>IF($A126="","",IF($C126="","",YEAR($C126)))</f>
      </c>
      <c r="H126" s="49">
        <v>2004</v>
      </c>
      <c r="I126" s="46" t="inlineStr">
        <is>
          <t xml:space="preserve">Porsche</t>
        </is>
      </c>
      <c r="J126" s="46" t="inlineStr">
        <is>
          <t xml:space="preserve">911 Turbo S</t>
        </is>
      </c>
      <c r="K126" s="46" t="inlineStr">
        <is>
          <t xml:space="preserve">AZNAV111NZJ0ZEGNU</t>
        </is>
      </c>
      <c r="L126" s="48" t="inlineStr">
        <is>
          <t xml:space="preserve">02 - Sports / GT</t>
        </is>
      </c>
      <c r="M126" s="50">
        <v>1295000</v>
      </c>
      <c r="N126" s="48" t="inlineStr">
        <is>
          <t xml:space="preserve">Personal</t>
        </is>
      </c>
      <c r="O126" s="46" t="inlineStr">
        <is>
          <t xml:space="preserve">Personal - regular use</t>
        </is>
      </c>
      <c r="P126" s="46" t="inlineStr">
        <is>
          <t xml:space="preserve">Under 1,000</t>
        </is>
      </c>
      <c r="Q126" s="46" t="inlineStr">
        <is>
          <t xml:space="preserve">North Carolina</t>
        </is>
      </c>
      <c r="R126" s="46" t="inlineStr">
        <is>
          <t xml:space="preserve">28202</t>
        </is>
      </c>
      <c r="S126" s="48" t="inlineStr">
        <is>
          <t xml:space="preserve">Tier 2 - Coastal wind (1-25 miles)</t>
        </is>
      </c>
      <c r="T126" s="36">
        <f>IF($A126="","",IF($S126="","",IFERROR(INDEX('[1]natural catastrophe'!$D$6:$D$17,MATCH($S126,'[1]natural catastrophe'!$B$6:$B$17,0)),"?")))</f>
      </c>
      <c r="U126" s="46" t="inlineStr">
        <is>
          <t xml:space="preserve">2% of agreed value, minimum $10,000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12834.95</v>
      </c>
      <c r="AC126" s="51">
        <v>0</v>
      </c>
      <c r="AD126" s="38">
        <f>IF(ISNUMBER($AB126),$AB126*(1+N($AC126)),"")</f>
      </c>
      <c r="AE126" s="50">
        <v>350</v>
      </c>
      <c r="AF126" s="50">
        <v>250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CANON-202604-006733</t>
        </is>
      </c>
      <c r="B127" s="30" t="inlineStr">
        <is>
          <t xml:space="preserve">Leopold Whitlock</t>
        </is>
      </c>
      <c r="C127" s="31">
        <v>46115</v>
      </c>
      <c r="D127" s="32" t="inlineStr">
        <is>
          <t xml:space="preserve">Bound - within authority</t>
        </is>
      </c>
      <c r="E127" s="32" t="inlineStr">
        <is>
          <t xml:space="preserve">New business</t>
        </is>
      </c>
      <c r="F127" s="30" t="inlineStr">
        <is>
          <t xml:space="preserve">B1234EXOTIC26</t>
        </is>
      </c>
      <c r="G127" s="33">
        <f>IF($A127="","",IF($C127="","",YEAR($C127)))</f>
      </c>
      <c r="H127" s="34">
        <v>1956</v>
      </c>
      <c r="I127" s="30" t="inlineStr">
        <is>
          <t xml:space="preserve">Ferrari</t>
        </is>
      </c>
      <c r="J127" s="30" t="inlineStr">
        <is>
          <t xml:space="preserve">296 GTB</t>
        </is>
      </c>
      <c r="K127" s="30" t="inlineStr">
        <is>
          <t xml:space="preserve">0KPC7DD5GL9KNXNED</t>
        </is>
      </c>
      <c r="L127" s="32" t="inlineStr">
        <is>
          <t xml:space="preserve">03 - Supercar</t>
        </is>
      </c>
      <c r="M127" s="35">
        <v>900000</v>
      </c>
      <c r="N127" s="32" t="inlineStr">
        <is>
          <t xml:space="preserve">Personal</t>
        </is>
      </c>
      <c r="O127" s="30" t="inlineStr">
        <is>
          <t xml:space="preserve">Personal - regular use</t>
        </is>
      </c>
      <c r="P127" s="30" t="inlineStr">
        <is>
          <t xml:space="preserve">2,500 - 5,000</t>
        </is>
      </c>
      <c r="Q127" s="30" t="inlineStr">
        <is>
          <t xml:space="preserve">Utah</t>
        </is>
      </c>
      <c r="R127" s="30" t="inlineStr">
        <is>
          <t xml:space="preserve">84101</t>
        </is>
      </c>
      <c r="S127" s="32" t="inlineStr">
        <is>
          <t xml:space="preserve">Wildfire - WUI high hazard</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18086.88</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CANON-202604-006734</t>
        </is>
      </c>
      <c r="B128" s="46" t="inlineStr">
        <is>
          <t xml:space="preserve">Saoirse Castellanos</t>
        </is>
      </c>
      <c r="C128" s="47">
        <v>46133</v>
      </c>
      <c r="D128" s="48" t="inlineStr">
        <is>
          <t xml:space="preserve">Bound - within authority</t>
        </is>
      </c>
      <c r="E128" s="48" t="inlineStr">
        <is>
          <t xml:space="preserve">New business</t>
        </is>
      </c>
      <c r="F128" s="46" t="inlineStr">
        <is>
          <t xml:space="preserve">B1234EXOTIC26</t>
        </is>
      </c>
      <c r="G128" s="33">
        <f>IF($A128="","",IF($C128="","",YEAR($C128)))</f>
      </c>
      <c r="H128" s="49">
        <v>2017</v>
      </c>
      <c r="I128" s="46" t="inlineStr">
        <is>
          <t xml:space="preserve">BMW</t>
        </is>
      </c>
      <c r="J128" s="46" t="inlineStr">
        <is>
          <t xml:space="preserve">M8 Competition</t>
        </is>
      </c>
      <c r="K128" s="46" t="inlineStr">
        <is>
          <t xml:space="preserve">WL6SPLH1F96BC9HS2</t>
        </is>
      </c>
      <c r="L128" s="48" t="inlineStr">
        <is>
          <t xml:space="preserve">02 - Sports / GT</t>
        </is>
      </c>
      <c r="M128" s="50">
        <v>1405000</v>
      </c>
      <c r="N128" s="48" t="inlineStr">
        <is>
          <t xml:space="preserve">Personal</t>
        </is>
      </c>
      <c r="O128" s="46" t="inlineStr">
        <is>
          <t xml:space="preserve">Personal - regular use</t>
        </is>
      </c>
      <c r="P128" s="46" t="inlineStr">
        <is>
          <t xml:space="preserve">1,000 - 2,500</t>
        </is>
      </c>
      <c r="Q128" s="46" t="inlineStr">
        <is>
          <t xml:space="preserve">Alabama</t>
        </is>
      </c>
      <c r="R128" s="46" t="inlineStr">
        <is>
          <t xml:space="preserve">35203</t>
        </is>
      </c>
      <c r="S128" s="48" t="inlineStr">
        <is>
          <t xml:space="preserve">Tier 2 - Coastal wind (1-25 miles)</t>
        </is>
      </c>
      <c r="T128" s="36">
        <f>IF($A128="","",IF($S128="","",IFERROR(INDEX('[1]natural catastrophe'!$D$6:$D$17,MATCH($S128,'[1]natural catastrophe'!$B$6:$B$17,0)),"?")))</f>
      </c>
      <c r="U128" s="46" t="inlineStr">
        <is>
          <t xml:space="preserve">2% of agreed value, minimum $10,000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15378.24</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CANON-202604-006735</t>
        </is>
      </c>
      <c r="B129" s="30" t="inlineStr">
        <is>
          <t xml:space="preserve">Noor Whitlock</t>
        </is>
      </c>
      <c r="C129" s="31">
        <v>46116</v>
      </c>
      <c r="D129" s="32" t="inlineStr">
        <is>
          <t xml:space="preserve">Bound - within authority</t>
        </is>
      </c>
      <c r="E129" s="32" t="inlineStr">
        <is>
          <t xml:space="preserve">New business</t>
        </is>
      </c>
      <c r="F129" s="30" t="inlineStr">
        <is>
          <t xml:space="preserve">B1234EXOTIC26</t>
        </is>
      </c>
      <c r="G129" s="33">
        <f>IF($A129="","",IF($C129="","",YEAR($C129)))</f>
      </c>
      <c r="H129" s="34">
        <v>2006</v>
      </c>
      <c r="I129" s="30" t="inlineStr">
        <is>
          <t xml:space="preserve">Mercedes-Benz</t>
        </is>
      </c>
      <c r="J129" s="30" t="inlineStr">
        <is>
          <t xml:space="preserve">AMG GT</t>
        </is>
      </c>
      <c r="K129" s="30" t="inlineStr">
        <is>
          <t xml:space="preserve">CYNJ6YAU3B4YMWFTK</t>
        </is>
      </c>
      <c r="L129" s="32" t="inlineStr">
        <is>
          <t xml:space="preserve">02 - Sports / GT</t>
        </is>
      </c>
      <c r="M129" s="35">
        <v>575000</v>
      </c>
      <c r="N129" s="32" t="inlineStr">
        <is>
          <t xml:space="preserve">Personal</t>
        </is>
      </c>
      <c r="O129" s="30" t="inlineStr">
        <is>
          <t xml:space="preserve">Personal - regular use</t>
        </is>
      </c>
      <c r="P129" s="30" t="inlineStr">
        <is>
          <t xml:space="preserve">Under 1,000</t>
        </is>
      </c>
      <c r="Q129" s="30" t="inlineStr">
        <is>
          <t xml:space="preserve">California</t>
        </is>
      </c>
      <c r="R129" s="30" t="inlineStr">
        <is>
          <t xml:space="preserve">90012</t>
        </is>
      </c>
      <c r="S129" s="32" t="inlineStr">
        <is>
          <t xml:space="preserve">Earthquake - high (CA, Cascadia, New Madrid)</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7906.4</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CANON-202604-006736</t>
        </is>
      </c>
      <c r="B130" s="46" t="inlineStr">
        <is>
          <t xml:space="preserve">Leopold Okonkwo</t>
        </is>
      </c>
      <c r="C130" s="47">
        <v>46135</v>
      </c>
      <c r="D130" s="48" t="inlineStr">
        <is>
          <t xml:space="preserve">Bound - within authority</t>
        </is>
      </c>
      <c r="E130" s="48" t="inlineStr">
        <is>
          <t xml:space="preserve">New business</t>
        </is>
      </c>
      <c r="F130" s="46" t="inlineStr">
        <is>
          <t xml:space="preserve">B1234EXOTIC26</t>
        </is>
      </c>
      <c r="G130" s="33">
        <f>IF($A130="","",IF($C130="","",YEAR($C130)))</f>
      </c>
      <c r="H130" s="49">
        <v>1969</v>
      </c>
      <c r="I130" s="46" t="inlineStr">
        <is>
          <t xml:space="preserve">Porsche</t>
        </is>
      </c>
      <c r="J130" s="46" t="inlineStr">
        <is>
          <t xml:space="preserve">911 Turbo S</t>
        </is>
      </c>
      <c r="K130" s="46" t="inlineStr">
        <is>
          <t xml:space="preserve">WXH6J3PRT09WT91TX</t>
        </is>
      </c>
      <c r="L130" s="48" t="inlineStr">
        <is>
          <t xml:space="preserve">02 - Sports / GT</t>
        </is>
      </c>
      <c r="M130" s="50">
        <v>450000</v>
      </c>
      <c r="N130" s="48" t="inlineStr">
        <is>
          <t xml:space="preserve">Personal</t>
        </is>
      </c>
      <c r="O130" s="46" t="inlineStr">
        <is>
          <t xml:space="preserve">Personal - regular use</t>
        </is>
      </c>
      <c r="P130" s="46" t="inlineStr">
        <is>
          <t xml:space="preserve">2,500 - 5,000</t>
        </is>
      </c>
      <c r="Q130" s="46" t="inlineStr">
        <is>
          <t xml:space="preserve">Texas</t>
        </is>
      </c>
      <c r="R130" s="46" t="inlineStr">
        <is>
          <t xml:space="preserve">75201</t>
        </is>
      </c>
      <c r="S130" s="48" t="inlineStr">
        <is>
          <t xml:space="preserve">Tier 2 - Coastal wind (1-25 miles)</t>
        </is>
      </c>
      <c r="T130" s="36">
        <f>IF($A130="","",IF($S130="","",IFERROR(INDEX('[1]natural catastrophe'!$D$6:$D$17,MATCH($S130,'[1]natural catastrophe'!$B$6:$B$17,0)),"?")))</f>
      </c>
      <c r="U130" s="46" t="inlineStr">
        <is>
          <t xml:space="preserve">2% of agreed value, minimum $10,000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6081.84</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CANON-202604-006737</t>
        </is>
      </c>
      <c r="B131" s="30" t="inlineStr">
        <is>
          <t xml:space="preserve">Desmond Vasquez</t>
        </is>
      </c>
      <c r="C131" s="31">
        <v>46124</v>
      </c>
      <c r="D131" s="32" t="inlineStr">
        <is>
          <t xml:space="preserve">Bound - within authority</t>
        </is>
      </c>
      <c r="E131" s="32" t="inlineStr">
        <is>
          <t xml:space="preserve">New business</t>
        </is>
      </c>
      <c r="F131" s="30" t="inlineStr">
        <is>
          <t xml:space="preserve">B1234EXOTIC26</t>
        </is>
      </c>
      <c r="G131" s="33">
        <f>IF($A131="","",IF($C131="","",YEAR($C131)))</f>
      </c>
      <c r="H131" s="34">
        <v>1978</v>
      </c>
      <c r="I131" s="30" t="inlineStr">
        <is>
          <t xml:space="preserve">Lamborghini</t>
        </is>
      </c>
      <c r="J131" s="30" t="inlineStr">
        <is>
          <t xml:space="preserve">Huracan EVO</t>
        </is>
      </c>
      <c r="K131" s="30" t="inlineStr">
        <is>
          <t xml:space="preserve">F9ZT03HX7GCC1MYNZ</t>
        </is>
      </c>
      <c r="L131" s="32" t="inlineStr">
        <is>
          <t xml:space="preserve">03 - Supercar</t>
        </is>
      </c>
      <c r="M131" s="35">
        <v>735000</v>
      </c>
      <c r="N131" s="32" t="inlineStr">
        <is>
          <t xml:space="preserve">Personal</t>
        </is>
      </c>
      <c r="O131" s="30" t="inlineStr">
        <is>
          <t xml:space="preserve">Personal - regular use</t>
        </is>
      </c>
      <c r="P131" s="30" t="inlineStr">
        <is>
          <t xml:space="preserve">Under 1,000</t>
        </is>
      </c>
      <c r="Q131" s="30" t="inlineStr">
        <is>
          <t xml:space="preserve">Pennsylvania</t>
        </is>
      </c>
      <c r="R131" s="30" t="inlineStr">
        <is>
          <t xml:space="preserve">19103</t>
        </is>
      </c>
      <c r="S131" s="32" t="inlineStr">
        <is>
          <t xml:space="preserve">Low hazard - inland benign</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10941.45</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CANON-202604-006738</t>
        </is>
      </c>
      <c r="B132" s="46" t="inlineStr">
        <is>
          <t xml:space="preserve">Mireille Larsson</t>
        </is>
      </c>
      <c r="C132" s="47">
        <v>46119</v>
      </c>
      <c r="D132" s="48" t="inlineStr">
        <is>
          <t xml:space="preserve">Bound - within authority</t>
        </is>
      </c>
      <c r="E132" s="48" t="inlineStr">
        <is>
          <t xml:space="preserve">New business</t>
        </is>
      </c>
      <c r="F132" s="46" t="inlineStr">
        <is>
          <t xml:space="preserve">B1234EXOTIC26</t>
        </is>
      </c>
      <c r="G132" s="33">
        <f>IF($A132="","",IF($C132="","",YEAR($C132)))</f>
      </c>
      <c r="H132" s="49">
        <v>1999</v>
      </c>
      <c r="I132" s="46" t="inlineStr">
        <is>
          <t xml:space="preserve">BMW</t>
        </is>
      </c>
      <c r="J132" s="46" t="inlineStr">
        <is>
          <t xml:space="preserve">M8 Competition</t>
        </is>
      </c>
      <c r="K132" s="46" t="inlineStr">
        <is>
          <t xml:space="preserve">KPSRJN52KE0M046A6</t>
        </is>
      </c>
      <c r="L132" s="48" t="inlineStr">
        <is>
          <t xml:space="preserve">02 - Sports / GT</t>
        </is>
      </c>
      <c r="M132" s="50">
        <v>165000</v>
      </c>
      <c r="N132" s="48" t="inlineStr">
        <is>
          <t xml:space="preserve">Personal</t>
        </is>
      </c>
      <c r="O132" s="46" t="inlineStr">
        <is>
          <t xml:space="preserve">Personal - regular use</t>
        </is>
      </c>
      <c r="P132" s="46" t="inlineStr">
        <is>
          <t xml:space="preserve">2,500 - 5,000</t>
        </is>
      </c>
      <c r="Q132" s="46" t="inlineStr">
        <is>
          <t xml:space="preserve">Virginia</t>
        </is>
      </c>
      <c r="R132" s="46" t="inlineStr">
        <is>
          <t xml:space="preserve">23219</t>
        </is>
      </c>
      <c r="S132" s="48" t="inlineStr">
        <is>
          <t xml:space="preserve">Tier 3 - Coastal wind (25-100 miles)</t>
        </is>
      </c>
      <c r="T132" s="36">
        <f>IF($A132="","",IF($S132="","",IFERROR(INDEX('[1]natural catastrophe'!$D$6:$D$17,MATCH($S132,'[1]natural catastrophe'!$B$6:$B$17,0)),"?")))</f>
      </c>
      <c r="U132" s="46" t="inlineStr">
        <is>
          <t xml:space="preserve">2% of agreed value, minimum $10,000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2592.75</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CANON-202604-006739</t>
        </is>
      </c>
      <c r="B133" s="30" t="inlineStr">
        <is>
          <t xml:space="preserve">Aurelio Delacroix</t>
        </is>
      </c>
      <c r="C133" s="31">
        <v>46141</v>
      </c>
      <c r="D133" s="32" t="inlineStr">
        <is>
          <t xml:space="preserve">Bound - within authority</t>
        </is>
      </c>
      <c r="E133" s="32" t="inlineStr">
        <is>
          <t xml:space="preserve">New business</t>
        </is>
      </c>
      <c r="F133" s="30" t="inlineStr">
        <is>
          <t xml:space="preserve">B1234EXOTIC26</t>
        </is>
      </c>
      <c r="G133" s="33">
        <f>IF($A133="","",IF($C133="","",YEAR($C133)))</f>
      </c>
      <c r="H133" s="34">
        <v>1981</v>
      </c>
      <c r="I133" s="30" t="inlineStr">
        <is>
          <t xml:space="preserve">Ferrari</t>
        </is>
      </c>
      <c r="J133" s="30" t="inlineStr">
        <is>
          <t xml:space="preserve">SF90 Stradale</t>
        </is>
      </c>
      <c r="K133" s="30" t="inlineStr">
        <is>
          <t xml:space="preserve">BZCJHYTCSSWHKLS92</t>
        </is>
      </c>
      <c r="L133" s="32" t="inlineStr">
        <is>
          <t xml:space="preserve">03 - Supercar</t>
        </is>
      </c>
      <c r="M133" s="35">
        <v>1315000</v>
      </c>
      <c r="N133" s="32" t="inlineStr">
        <is>
          <t xml:space="preserve">Personal</t>
        </is>
      </c>
      <c r="O133" s="30" t="inlineStr">
        <is>
          <t xml:space="preserve">Personal - regular use</t>
        </is>
      </c>
      <c r="P133" s="30" t="inlineStr">
        <is>
          <t xml:space="preserve">2,500 - 5,000</t>
        </is>
      </c>
      <c r="Q133" s="30" t="inlineStr">
        <is>
          <t xml:space="preserve">Connecticut</t>
        </is>
      </c>
      <c r="R133" s="30" t="inlineStr">
        <is>
          <t xml:space="preserve">06103</t>
        </is>
      </c>
      <c r="S133" s="32" t="inlineStr">
        <is>
          <t xml:space="preserve">Tier 3 - Coastal wind (25-100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18462.8</v>
      </c>
      <c r="AC133" s="37">
        <v>0</v>
      </c>
      <c r="AD133" s="38">
        <f>IF(ISNUMBER($AB133),$AB133*(1+N($AC133)),"")</f>
      </c>
      <c r="AE133" s="35">
        <v>350</v>
      </c>
      <c r="AF133" s="35">
        <v>250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CANON-202604-006740</t>
        </is>
      </c>
      <c r="B134" s="46" t="inlineStr">
        <is>
          <t xml:space="preserve">Emiliano Bellandi</t>
        </is>
      </c>
      <c r="C134" s="47">
        <v>46132</v>
      </c>
      <c r="D134" s="48" t="inlineStr">
        <is>
          <t xml:space="preserve">Bound - within authority</t>
        </is>
      </c>
      <c r="E134" s="48" t="inlineStr">
        <is>
          <t xml:space="preserve">New business</t>
        </is>
      </c>
      <c r="F134" s="46" t="inlineStr">
        <is>
          <t xml:space="preserve">B1234EXOTIC26</t>
        </is>
      </c>
      <c r="G134" s="33">
        <f>IF($A134="","",IF($C134="","",YEAR($C134)))</f>
      </c>
      <c r="H134" s="49">
        <v>1961</v>
      </c>
      <c r="I134" s="46" t="inlineStr">
        <is>
          <t xml:space="preserve">Aston Martin</t>
        </is>
      </c>
      <c r="J134" s="46" t="inlineStr">
        <is>
          <t xml:space="preserve">DB5</t>
        </is>
      </c>
      <c r="K134" s="46" t="inlineStr">
        <is>
          <t xml:space="preserve">E42G8L9YZ4R6E9T2B</t>
        </is>
      </c>
      <c r="L134" s="48" t="inlineStr">
        <is>
          <t xml:space="preserve">07 - Post-War Classic (1946-1972)</t>
        </is>
      </c>
      <c r="M134" s="50">
        <v>585000</v>
      </c>
      <c r="N134" s="48" t="inlineStr">
        <is>
          <t xml:space="preserve">Personal</t>
        </is>
      </c>
      <c r="O134" s="46" t="inlineStr">
        <is>
          <t xml:space="preserve">Personal - regular use</t>
        </is>
      </c>
      <c r="P134" s="46" t="inlineStr">
        <is>
          <t xml:space="preserve">1,000 - 2,500</t>
        </is>
      </c>
      <c r="Q134" s="46" t="inlineStr">
        <is>
          <t xml:space="preserve">Connecticut</t>
        </is>
      </c>
      <c r="R134" s="46" t="inlineStr">
        <is>
          <t xml:space="preserve">06103</t>
        </is>
      </c>
      <c r="S134" s="48" t="inlineStr">
        <is>
          <t xml:space="preserve">Tier 3 - Coastal wind (25-100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4414.75</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CANON-202604-006743</t>
        </is>
      </c>
      <c r="B135" s="30" t="inlineStr">
        <is>
          <t xml:space="preserve">Beatrix Larsson</t>
        </is>
      </c>
      <c r="C135" s="31">
        <v>46126</v>
      </c>
      <c r="D135" s="32" t="inlineStr">
        <is>
          <t xml:space="preserve">Bound - within authority</t>
        </is>
      </c>
      <c r="E135" s="32" t="inlineStr">
        <is>
          <t xml:space="preserve">New business</t>
        </is>
      </c>
      <c r="F135" s="30" t="inlineStr">
        <is>
          <t xml:space="preserve">B1234EXOTIC26</t>
        </is>
      </c>
      <c r="G135" s="33">
        <f>IF($A135="","",IF($C135="","",YEAR($C135)))</f>
      </c>
      <c r="H135" s="34">
        <v>1985</v>
      </c>
      <c r="I135" s="30" t="inlineStr">
        <is>
          <t xml:space="preserve">McLaren</t>
        </is>
      </c>
      <c r="J135" s="30" t="inlineStr">
        <is>
          <t xml:space="preserve">750S</t>
        </is>
      </c>
      <c r="K135" s="30" t="inlineStr">
        <is>
          <t xml:space="preserve">CSXBVG6LE8G36T18K</t>
        </is>
      </c>
      <c r="L135" s="32" t="inlineStr">
        <is>
          <t xml:space="preserve">03 - Supercar</t>
        </is>
      </c>
      <c r="M135" s="35">
        <v>1425000</v>
      </c>
      <c r="N135" s="32" t="inlineStr">
        <is>
          <t xml:space="preserve">Personal</t>
        </is>
      </c>
      <c r="O135" s="30" t="inlineStr">
        <is>
          <t xml:space="preserve">Personal - regular use</t>
        </is>
      </c>
      <c r="P135" s="30" t="inlineStr">
        <is>
          <t xml:space="preserve">Under 1,000</t>
        </is>
      </c>
      <c r="Q135" s="30" t="inlineStr">
        <is>
          <t xml:space="preserve">Texas</t>
        </is>
      </c>
      <c r="R135" s="30" t="inlineStr">
        <is>
          <t xml:space="preserve">75201</t>
        </is>
      </c>
      <c r="S135" s="32" t="inlineStr">
        <is>
          <t xml:space="preserve">Tier 2 - Coastal wind (1-25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20543.12</v>
      </c>
      <c r="AC135" s="37">
        <v>0</v>
      </c>
      <c r="AD135" s="38">
        <f>IF(ISNUMBER($AB135),$AB135*(1+N($AC135)),"")</f>
      </c>
      <c r="AE135" s="35">
        <v>350</v>
      </c>
      <c r="AF135" s="35">
        <v>250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CANON-202604-006744</t>
        </is>
      </c>
      <c r="B136" s="46" t="inlineStr">
        <is>
          <t xml:space="preserve">Desmond Nakashima</t>
        </is>
      </c>
      <c r="C136" s="47">
        <v>46140</v>
      </c>
      <c r="D136" s="48" t="inlineStr">
        <is>
          <t xml:space="preserve">Bound - within authority</t>
        </is>
      </c>
      <c r="E136" s="48" t="inlineStr">
        <is>
          <t xml:space="preserve">New business</t>
        </is>
      </c>
      <c r="F136" s="46" t="inlineStr">
        <is>
          <t xml:space="preserve">B1234EXOTIC26</t>
        </is>
      </c>
      <c r="G136" s="33">
        <f>IF($A136="","",IF($C136="","",YEAR($C136)))</f>
      </c>
      <c r="H136" s="49">
        <v>1955</v>
      </c>
      <c r="I136" s="46" t="inlineStr">
        <is>
          <t xml:space="preserve">Mercedes-Benz</t>
        </is>
      </c>
      <c r="J136" s="46" t="inlineStr">
        <is>
          <t xml:space="preserve">AMG GT</t>
        </is>
      </c>
      <c r="K136" s="46" t="inlineStr">
        <is>
          <t xml:space="preserve">7P2CR3WTPDNNLWZRK</t>
        </is>
      </c>
      <c r="L136" s="48" t="inlineStr">
        <is>
          <t xml:space="preserve">02 - Sports / GT</t>
        </is>
      </c>
      <c r="M136" s="50">
        <v>550000</v>
      </c>
      <c r="N136" s="48" t="inlineStr">
        <is>
          <t xml:space="preserve">Personal</t>
        </is>
      </c>
      <c r="O136" s="46" t="inlineStr">
        <is>
          <t xml:space="preserve">Personal - regular use</t>
        </is>
      </c>
      <c r="P136" s="46" t="inlineStr">
        <is>
          <t xml:space="preserve">1,000 - 2,500</t>
        </is>
      </c>
      <c r="Q136" s="46" t="inlineStr">
        <is>
          <t xml:space="preserve">Oregon</t>
        </is>
      </c>
      <c r="R136" s="46" t="inlineStr">
        <is>
          <t xml:space="preserve">97204</t>
        </is>
      </c>
      <c r="S136" s="48" t="inlineStr">
        <is>
          <t xml:space="preserve">Earthquake - high (CA, Cascadia, New Madrid)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6330.21</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CANON-202604-006745</t>
        </is>
      </c>
      <c r="B137" s="30" t="inlineStr">
        <is>
          <t xml:space="preserve">Marisol Blackwood</t>
        </is>
      </c>
      <c r="C137" s="31">
        <v>46126</v>
      </c>
      <c r="D137" s="32" t="inlineStr">
        <is>
          <t xml:space="preserve">Bound - within authority</t>
        </is>
      </c>
      <c r="E137" s="32" t="inlineStr">
        <is>
          <t xml:space="preserve">New business</t>
        </is>
      </c>
      <c r="F137" s="30" t="inlineStr">
        <is>
          <t xml:space="preserve">B1234EXOTIC26</t>
        </is>
      </c>
      <c r="G137" s="33">
        <f>IF($A137="","",IF($C137="","",YEAR($C137)))</f>
      </c>
      <c r="H137" s="34">
        <v>1976</v>
      </c>
      <c r="I137" s="30" t="inlineStr">
        <is>
          <t xml:space="preserve">Bentley</t>
        </is>
      </c>
      <c r="J137" s="30" t="inlineStr">
        <is>
          <t xml:space="preserve">Continental GT</t>
        </is>
      </c>
      <c r="K137" s="30" t="inlineStr">
        <is>
          <t xml:space="preserve">JUVPXXLPAR1W0GKKE</t>
        </is>
      </c>
      <c r="L137" s="32" t="inlineStr">
        <is>
          <t xml:space="preserve">02 - Sports / GT</t>
        </is>
      </c>
      <c r="M137" s="35">
        <v>635000</v>
      </c>
      <c r="N137" s="32" t="inlineStr">
        <is>
          <t xml:space="preserve">Personal</t>
        </is>
      </c>
      <c r="O137" s="30" t="inlineStr">
        <is>
          <t xml:space="preserve">Personal - regular use</t>
        </is>
      </c>
      <c r="P137" s="30" t="inlineStr">
        <is>
          <t xml:space="preserve">1,000 - 2,500</t>
        </is>
      </c>
      <c r="Q137" s="30" t="inlineStr">
        <is>
          <t xml:space="preserve">South Dakota</t>
        </is>
      </c>
      <c r="R137" s="30" t="inlineStr">
        <is>
          <t xml:space="preserve">57501</t>
        </is>
      </c>
      <c r="S137" s="32" t="inlineStr">
        <is>
          <t xml:space="preserve">Severe convective - hail alley (high)</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7179.17</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CANON-202604-006746</t>
        </is>
      </c>
      <c r="B138" s="46" t="inlineStr">
        <is>
          <t xml:space="preserve">Emiliano Nakashima</t>
        </is>
      </c>
      <c r="C138" s="47">
        <v>46130</v>
      </c>
      <c r="D138" s="48" t="inlineStr">
        <is>
          <t xml:space="preserve">Bound - within authority</t>
        </is>
      </c>
      <c r="E138" s="48" t="inlineStr">
        <is>
          <t xml:space="preserve">New business</t>
        </is>
      </c>
      <c r="F138" s="46" t="inlineStr">
        <is>
          <t xml:space="preserve">B1234EXOTIC26</t>
        </is>
      </c>
      <c r="G138" s="33">
        <f>IF($A138="","",IF($C138="","",YEAR($C138)))</f>
      </c>
      <c r="H138" s="49">
        <v>1970</v>
      </c>
      <c r="I138" s="46" t="inlineStr">
        <is>
          <t xml:space="preserve">Ferrari</t>
        </is>
      </c>
      <c r="J138" s="46" t="inlineStr">
        <is>
          <t xml:space="preserve">296 GTB</t>
        </is>
      </c>
      <c r="K138" s="46" t="inlineStr">
        <is>
          <t xml:space="preserve">TLK6MUH76WVLFFZ19</t>
        </is>
      </c>
      <c r="L138" s="48" t="inlineStr">
        <is>
          <t xml:space="preserve">03 - Supercar</t>
        </is>
      </c>
      <c r="M138" s="50">
        <v>435000</v>
      </c>
      <c r="N138" s="48" t="inlineStr">
        <is>
          <t xml:space="preserve">Personal</t>
        </is>
      </c>
      <c r="O138" s="46" t="inlineStr">
        <is>
          <t xml:space="preserve">Personal - regular use</t>
        </is>
      </c>
      <c r="P138" s="46" t="inlineStr">
        <is>
          <t xml:space="preserve">Under 1,000</t>
        </is>
      </c>
      <c r="Q138" s="46" t="inlineStr">
        <is>
          <t xml:space="preserve">North Carolina</t>
        </is>
      </c>
      <c r="R138" s="46" t="inlineStr">
        <is>
          <t xml:space="preserve">28202</t>
        </is>
      </c>
      <c r="S138" s="48" t="inlineStr">
        <is>
          <t xml:space="preserve">Tier 2 - Coastal wind (1-25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9014.65</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CANON-202604-006750</t>
        </is>
      </c>
      <c r="B139" s="30" t="inlineStr">
        <is>
          <t xml:space="preserve">Marisol Castellanos</t>
        </is>
      </c>
      <c r="C139" s="31">
        <v>46122</v>
      </c>
      <c r="D139" s="32" t="inlineStr">
        <is>
          <t xml:space="preserve">Bound - within authority</t>
        </is>
      </c>
      <c r="E139" s="32" t="inlineStr">
        <is>
          <t xml:space="preserve">New business</t>
        </is>
      </c>
      <c r="F139" s="30" t="inlineStr">
        <is>
          <t xml:space="preserve">B1234EXOTIC26</t>
        </is>
      </c>
      <c r="G139" s="33">
        <f>IF($A139="","",IF($C139="","",YEAR($C139)))</f>
      </c>
      <c r="H139" s="34">
        <v>1962</v>
      </c>
      <c r="I139" s="30" t="inlineStr">
        <is>
          <t xml:space="preserve">Aston Martin</t>
        </is>
      </c>
      <c r="J139" s="30" t="inlineStr">
        <is>
          <t xml:space="preserve">DB5</t>
        </is>
      </c>
      <c r="K139" s="30" t="inlineStr">
        <is>
          <t xml:space="preserve">BZ61YXC7532B4MLPF</t>
        </is>
      </c>
      <c r="L139" s="32" t="inlineStr">
        <is>
          <t xml:space="preserve">07 - Post-War Classic (1946-1972)</t>
        </is>
      </c>
      <c r="M139" s="35">
        <v>880000</v>
      </c>
      <c r="N139" s="32" t="inlineStr">
        <is>
          <t xml:space="preserve">Personal</t>
        </is>
      </c>
      <c r="O139" s="30" t="inlineStr">
        <is>
          <t xml:space="preserve">Personal - regular use</t>
        </is>
      </c>
      <c r="P139" s="30" t="inlineStr">
        <is>
          <t xml:space="preserve">2,500 - 5,000</t>
        </is>
      </c>
      <c r="Q139" s="30" t="inlineStr">
        <is>
          <t xml:space="preserve">Arizona</t>
        </is>
      </c>
      <c r="R139" s="30" t="inlineStr">
        <is>
          <t xml:space="preserve">85001</t>
        </is>
      </c>
      <c r="S139" s="32" t="inlineStr">
        <is>
          <t xml:space="preserve">Wildfire - WUI high hazard</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5988.75</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CANON-202604-006751</t>
        </is>
      </c>
      <c r="B140" s="46" t="inlineStr">
        <is>
          <t xml:space="preserve">Ottilie Chattopadhyay</t>
        </is>
      </c>
      <c r="C140" s="47">
        <v>46130</v>
      </c>
      <c r="D140" s="48" t="inlineStr">
        <is>
          <t xml:space="preserve">Bound - within authority</t>
        </is>
      </c>
      <c r="E140" s="48" t="inlineStr">
        <is>
          <t xml:space="preserve">New business</t>
        </is>
      </c>
      <c r="F140" s="46" t="inlineStr">
        <is>
          <t xml:space="preserve">B1234EXOTIC26</t>
        </is>
      </c>
      <c r="G140" s="33">
        <f>IF($A140="","",IF($C140="","",YEAR($C140)))</f>
      </c>
      <c r="H140" s="49">
        <v>2016</v>
      </c>
      <c r="I140" s="46" t="inlineStr">
        <is>
          <t xml:space="preserve">Ferrari</t>
        </is>
      </c>
      <c r="J140" s="46" t="inlineStr">
        <is>
          <t xml:space="preserve">296 GTB</t>
        </is>
      </c>
      <c r="K140" s="46" t="inlineStr">
        <is>
          <t xml:space="preserve">R38TE4F62LP1GCS05</t>
        </is>
      </c>
      <c r="L140" s="48" t="inlineStr">
        <is>
          <t xml:space="preserve">03 - Supercar</t>
        </is>
      </c>
      <c r="M140" s="50">
        <v>1250000</v>
      </c>
      <c r="N140" s="48" t="inlineStr">
        <is>
          <t xml:space="preserve">Personal</t>
        </is>
      </c>
      <c r="O140" s="46" t="inlineStr">
        <is>
          <t xml:space="preserve">Personal - regular use</t>
        </is>
      </c>
      <c r="P140" s="46" t="inlineStr">
        <is>
          <t xml:space="preserve">Under 1,000</t>
        </is>
      </c>
      <c r="Q140" s="46" t="inlineStr">
        <is>
          <t xml:space="preserve">Nevada</t>
        </is>
      </c>
      <c r="R140" s="46" t="inlineStr">
        <is>
          <t xml:space="preserve">89101</t>
        </is>
      </c>
      <c r="S140" s="48" t="inlineStr">
        <is>
          <t xml:space="preserve">Wildfire - WUI high hazard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18333.68</v>
      </c>
      <c r="AC140" s="51">
        <v>0</v>
      </c>
      <c r="AD140" s="38">
        <f>IF(ISNUMBER($AB140),$AB140*(1+N($AC140)),"")</f>
      </c>
      <c r="AE140" s="50">
        <v>350</v>
      </c>
      <c r="AF140" s="50">
        <v>250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CANON-202604-006753</t>
        </is>
      </c>
      <c r="B141" s="30" t="inlineStr">
        <is>
          <t xml:space="preserve">Ramona Nakashima</t>
        </is>
      </c>
      <c r="C141" s="31">
        <v>46123</v>
      </c>
      <c r="D141" s="32" t="inlineStr">
        <is>
          <t xml:space="preserve">Bound - within authority</t>
        </is>
      </c>
      <c r="E141" s="32" t="inlineStr">
        <is>
          <t xml:space="preserve">New business</t>
        </is>
      </c>
      <c r="F141" s="30" t="inlineStr">
        <is>
          <t xml:space="preserve">B1234EXOTIC26</t>
        </is>
      </c>
      <c r="G141" s="33">
        <f>IF($A141="","",IF($C141="","",YEAR($C141)))</f>
      </c>
      <c r="H141" s="34">
        <v>1981</v>
      </c>
      <c r="I141" s="30" t="inlineStr">
        <is>
          <t xml:space="preserve">Aston Martin</t>
        </is>
      </c>
      <c r="J141" s="30" t="inlineStr">
        <is>
          <t xml:space="preserve">DB12</t>
        </is>
      </c>
      <c r="K141" s="30" t="inlineStr">
        <is>
          <t xml:space="preserve">PK3224FZWG5RELMJ8</t>
        </is>
      </c>
      <c r="L141" s="32" t="inlineStr">
        <is>
          <t xml:space="preserve">02 - Sports / GT</t>
        </is>
      </c>
      <c r="M141" s="35">
        <v>780000</v>
      </c>
      <c r="N141" s="32" t="inlineStr">
        <is>
          <t xml:space="preserve">Personal</t>
        </is>
      </c>
      <c r="O141" s="30" t="inlineStr">
        <is>
          <t xml:space="preserve">Personal - regular use</t>
        </is>
      </c>
      <c r="P141" s="30" t="inlineStr">
        <is>
          <t xml:space="preserve">2,500 - 5,000</t>
        </is>
      </c>
      <c r="Q141" s="30" t="inlineStr">
        <is>
          <t xml:space="preserve">Oregon</t>
        </is>
      </c>
      <c r="R141" s="30" t="inlineStr">
        <is>
          <t xml:space="preserve">97204</t>
        </is>
      </c>
      <c r="S141" s="32" t="inlineStr">
        <is>
          <t xml:space="preserve">Earthquake - high (CA, Cascadia, New Madrid)</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8977.39</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CANON-202604-006756</t>
        </is>
      </c>
      <c r="B142" s="46" t="inlineStr">
        <is>
          <t xml:space="preserve">Ramona Whitlock</t>
        </is>
      </c>
      <c r="C142" s="47">
        <v>46136</v>
      </c>
      <c r="D142" s="48" t="inlineStr">
        <is>
          <t xml:space="preserve">Bound - within authority</t>
        </is>
      </c>
      <c r="E142" s="48" t="inlineStr">
        <is>
          <t xml:space="preserve">New business</t>
        </is>
      </c>
      <c r="F142" s="46" t="inlineStr">
        <is>
          <t xml:space="preserve">B1234EXOTIC26</t>
        </is>
      </c>
      <c r="G142" s="33">
        <f>IF($A142="","",IF($C142="","",YEAR($C142)))</f>
      </c>
      <c r="H142" s="49">
        <v>2001</v>
      </c>
      <c r="I142" s="46" t="inlineStr">
        <is>
          <t xml:space="preserve">BMW</t>
        </is>
      </c>
      <c r="J142" s="46" t="inlineStr">
        <is>
          <t xml:space="preserve">M8 Competition</t>
        </is>
      </c>
      <c r="K142" s="46" t="inlineStr">
        <is>
          <t xml:space="preserve">HGB98WZNL8U0U694X</t>
        </is>
      </c>
      <c r="L142" s="48" t="inlineStr">
        <is>
          <t xml:space="preserve">02 - Sports / GT</t>
        </is>
      </c>
      <c r="M142" s="50">
        <v>750000</v>
      </c>
      <c r="N142" s="48" t="inlineStr">
        <is>
          <t xml:space="preserve">Personal</t>
        </is>
      </c>
      <c r="O142" s="46" t="inlineStr">
        <is>
          <t xml:space="preserve">Personal - regular use</t>
        </is>
      </c>
      <c r="P142" s="46" t="inlineStr">
        <is>
          <t xml:space="preserve">Under 1,000</t>
        </is>
      </c>
      <c r="Q142" s="46" t="inlineStr">
        <is>
          <t xml:space="preserve">Delaware</t>
        </is>
      </c>
      <c r="R142" s="46" t="inlineStr">
        <is>
          <t xml:space="preserve">19801</t>
        </is>
      </c>
      <c r="S142" s="48" t="inlineStr">
        <is>
          <t xml:space="preserve">Tier 3 - Coastal wind (25-100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9548.79</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CANON-202604-006757</t>
        </is>
      </c>
      <c r="B143" s="30" t="inlineStr">
        <is>
          <t xml:space="preserve">Sunniva Montoya</t>
        </is>
      </c>
      <c r="C143" s="31">
        <v>46141</v>
      </c>
      <c r="D143" s="32" t="inlineStr">
        <is>
          <t xml:space="preserve">Bound - within authority</t>
        </is>
      </c>
      <c r="E143" s="32" t="inlineStr">
        <is>
          <t xml:space="preserve">New business</t>
        </is>
      </c>
      <c r="F143" s="30" t="inlineStr">
        <is>
          <t xml:space="preserve">B1234EXOTIC26</t>
        </is>
      </c>
      <c r="G143" s="33">
        <f>IF($A143="","",IF($C143="","",YEAR($C143)))</f>
      </c>
      <c r="H143" s="34">
        <v>1994</v>
      </c>
      <c r="I143" s="30" t="inlineStr">
        <is>
          <t xml:space="preserve">Bugatti</t>
        </is>
      </c>
      <c r="J143" s="30" t="inlineStr">
        <is>
          <t xml:space="preserve">Type 57</t>
        </is>
      </c>
      <c r="K143" s="30" t="inlineStr">
        <is>
          <t xml:space="preserve">17UFZ6DJWED6859JS</t>
        </is>
      </c>
      <c r="L143" s="32" t="inlineStr">
        <is>
          <t xml:space="preserve">08 - Modern Classic (1973-1999)</t>
        </is>
      </c>
      <c r="M143" s="35">
        <v>840000</v>
      </c>
      <c r="N143" s="32" t="inlineStr">
        <is>
          <t xml:space="preserve">Personal</t>
        </is>
      </c>
      <c r="O143" s="30" t="inlineStr">
        <is>
          <t xml:space="preserve">Personal - regular use</t>
        </is>
      </c>
      <c r="P143" s="30" t="inlineStr">
        <is>
          <t xml:space="preserve">1,000 - 2,500</t>
        </is>
      </c>
      <c r="Q143" s="30" t="inlineStr">
        <is>
          <t xml:space="preserve">Michigan</t>
        </is>
      </c>
      <c r="R143" s="30" t="inlineStr">
        <is>
          <t xml:space="preserve">48226</t>
        </is>
      </c>
      <c r="S143" s="32" t="inlineStr">
        <is>
          <t xml:space="preserve">Severe convective - hail / tornado (moderate)</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7752.79</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CANON-202604-006758</t>
        </is>
      </c>
      <c r="B144" s="46" t="inlineStr">
        <is>
          <t xml:space="preserve">Mireille Bellandi</t>
        </is>
      </c>
      <c r="C144" s="47">
        <v>46130</v>
      </c>
      <c r="D144" s="48" t="inlineStr">
        <is>
          <t xml:space="preserve">Bound - within authority</t>
        </is>
      </c>
      <c r="E144" s="48" t="inlineStr">
        <is>
          <t xml:space="preserve">New business</t>
        </is>
      </c>
      <c r="F144" s="46" t="inlineStr">
        <is>
          <t xml:space="preserve">B1234EXOTIC26</t>
        </is>
      </c>
      <c r="G144" s="33">
        <f>IF($A144="","",IF($C144="","",YEAR($C144)))</f>
      </c>
      <c r="H144" s="49">
        <v>1963</v>
      </c>
      <c r="I144" s="46" t="inlineStr">
        <is>
          <t xml:space="preserve">Lamborghini</t>
        </is>
      </c>
      <c r="J144" s="46" t="inlineStr">
        <is>
          <t xml:space="preserve">Huracan EVO</t>
        </is>
      </c>
      <c r="K144" s="46" t="inlineStr">
        <is>
          <t xml:space="preserve">7Y9PXHK5438FBNPH5</t>
        </is>
      </c>
      <c r="L144" s="48" t="inlineStr">
        <is>
          <t xml:space="preserve">03 - Supercar</t>
        </is>
      </c>
      <c r="M144" s="50">
        <v>385000</v>
      </c>
      <c r="N144" s="48" t="inlineStr">
        <is>
          <t xml:space="preserve">Personal</t>
        </is>
      </c>
      <c r="O144" s="46" t="inlineStr">
        <is>
          <t xml:space="preserve">Personal - regular use</t>
        </is>
      </c>
      <c r="P144" s="46" t="inlineStr">
        <is>
          <t xml:space="preserve">2,500 - 5,000</t>
        </is>
      </c>
      <c r="Q144" s="46" t="inlineStr">
        <is>
          <t xml:space="preserve">New York</t>
        </is>
      </c>
      <c r="R144" s="46" t="inlineStr">
        <is>
          <t xml:space="preserve">10022</t>
        </is>
      </c>
      <c r="S144" s="48" t="inlineStr">
        <is>
          <t xml:space="preserve">Tier 3 - Coastal wind (25-100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8880.4</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CANON-202604-006759</t>
        </is>
      </c>
      <c r="B145" s="30" t="inlineStr">
        <is>
          <t xml:space="preserve">Everett Montoya</t>
        </is>
      </c>
      <c r="C145" s="31">
        <v>46140</v>
      </c>
      <c r="D145" s="32" t="inlineStr">
        <is>
          <t xml:space="preserve">Bound - within authority</t>
        </is>
      </c>
      <c r="E145" s="32" t="inlineStr">
        <is>
          <t xml:space="preserve">New business</t>
        </is>
      </c>
      <c r="F145" s="30" t="inlineStr">
        <is>
          <t xml:space="preserve">B1234EXOTIC26</t>
        </is>
      </c>
      <c r="G145" s="33">
        <f>IF($A145="","",IF($C145="","",YEAR($C145)))</f>
      </c>
      <c r="H145" s="34">
        <v>1991</v>
      </c>
      <c r="I145" s="30" t="inlineStr">
        <is>
          <t xml:space="preserve">BMW</t>
        </is>
      </c>
      <c r="J145" s="30" t="inlineStr">
        <is>
          <t xml:space="preserve">M8 Competition</t>
        </is>
      </c>
      <c r="K145" s="30" t="inlineStr">
        <is>
          <t xml:space="preserve">0J3K9T16G0ZX9GRNU</t>
        </is>
      </c>
      <c r="L145" s="32" t="inlineStr">
        <is>
          <t xml:space="preserve">02 - Sports / GT</t>
        </is>
      </c>
      <c r="M145" s="35">
        <v>910000</v>
      </c>
      <c r="N145" s="32" t="inlineStr">
        <is>
          <t xml:space="preserve">Personal</t>
        </is>
      </c>
      <c r="O145" s="30" t="inlineStr">
        <is>
          <t xml:space="preserve">Personal - regular use</t>
        </is>
      </c>
      <c r="P145" s="30" t="inlineStr">
        <is>
          <t xml:space="preserve">Under 1,000</t>
        </is>
      </c>
      <c r="Q145" s="30" t="inlineStr">
        <is>
          <t xml:space="preserve">Michigan</t>
        </is>
      </c>
      <c r="R145" s="30" t="inlineStr">
        <is>
          <t xml:space="preserve">48226</t>
        </is>
      </c>
      <c r="S145" s="32" t="inlineStr">
        <is>
          <t xml:space="preserve">Severe convective - hail / tornado (moderate)</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14366.47</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CANON-202604-006761</t>
        </is>
      </c>
      <c r="B146" s="46" t="inlineStr">
        <is>
          <t xml:space="preserve">Cassius Merriweather</t>
        </is>
      </c>
      <c r="C146" s="47">
        <v>46119</v>
      </c>
      <c r="D146" s="48" t="inlineStr">
        <is>
          <t xml:space="preserve">Bound - within authority</t>
        </is>
      </c>
      <c r="E146" s="48" t="inlineStr">
        <is>
          <t xml:space="preserve">New business</t>
        </is>
      </c>
      <c r="F146" s="46" t="inlineStr">
        <is>
          <t xml:space="preserve">B1234EXOTIC26</t>
        </is>
      </c>
      <c r="G146" s="33">
        <f>IF($A146="","",IF($C146="","",YEAR($C146)))</f>
      </c>
      <c r="H146" s="49">
        <v>1994</v>
      </c>
      <c r="I146" s="46" t="inlineStr">
        <is>
          <t xml:space="preserve">Bentley</t>
        </is>
      </c>
      <c r="J146" s="46" t="inlineStr">
        <is>
          <t xml:space="preserve">Continental GT</t>
        </is>
      </c>
      <c r="K146" s="46" t="inlineStr">
        <is>
          <t xml:space="preserve">GU514GMXMEAWHC8RS</t>
        </is>
      </c>
      <c r="L146" s="48" t="inlineStr">
        <is>
          <t xml:space="preserve">02 - Sports / GT</t>
        </is>
      </c>
      <c r="M146" s="50">
        <v>815000</v>
      </c>
      <c r="N146" s="48" t="inlineStr">
        <is>
          <t xml:space="preserve">Personal</t>
        </is>
      </c>
      <c r="O146" s="46" t="inlineStr">
        <is>
          <t xml:space="preserve">Personal - regular use</t>
        </is>
      </c>
      <c r="P146" s="46" t="inlineStr">
        <is>
          <t xml:space="preserve">1,000 - 2,500</t>
        </is>
      </c>
      <c r="Q146" s="46" t="inlineStr">
        <is>
          <t xml:space="preserve">Texas</t>
        </is>
      </c>
      <c r="R146" s="46" t="inlineStr">
        <is>
          <t xml:space="preserve">75201</t>
        </is>
      </c>
      <c r="S146" s="48" t="inlineStr">
        <is>
          <t xml:space="preserve">Tier 2 - Coastal wind (1-25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9546.25</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CANON-202604-006762</t>
        </is>
      </c>
      <c r="B147" s="30" t="inlineStr">
        <is>
          <t xml:space="preserve">Noor Thistlewood</t>
        </is>
      </c>
      <c r="C147" s="31">
        <v>46124</v>
      </c>
      <c r="D147" s="32" t="inlineStr">
        <is>
          <t xml:space="preserve">Bound - within authority</t>
        </is>
      </c>
      <c r="E147" s="32" t="inlineStr">
        <is>
          <t xml:space="preserve">New business</t>
        </is>
      </c>
      <c r="F147" s="30" t="inlineStr">
        <is>
          <t xml:space="preserve">B1234EXOTIC26</t>
        </is>
      </c>
      <c r="G147" s="33">
        <f>IF($A147="","",IF($C147="","",YEAR($C147)))</f>
      </c>
      <c r="H147" s="34">
        <v>1969</v>
      </c>
      <c r="I147" s="30" t="inlineStr">
        <is>
          <t xml:space="preserve">McLaren</t>
        </is>
      </c>
      <c r="J147" s="30" t="inlineStr">
        <is>
          <t xml:space="preserve">750S</t>
        </is>
      </c>
      <c r="K147" s="30" t="inlineStr">
        <is>
          <t xml:space="preserve">NXCZDVJV1U10X06ER</t>
        </is>
      </c>
      <c r="L147" s="32" t="inlineStr">
        <is>
          <t xml:space="preserve">03 - Supercar</t>
        </is>
      </c>
      <c r="M147" s="35">
        <v>440000</v>
      </c>
      <c r="N147" s="32" t="inlineStr">
        <is>
          <t xml:space="preserve">Personal</t>
        </is>
      </c>
      <c r="O147" s="30" t="inlineStr">
        <is>
          <t xml:space="preserve">Personal - regular use</t>
        </is>
      </c>
      <c r="P147" s="30" t="inlineStr">
        <is>
          <t xml:space="preserve">Under 1,000</t>
        </is>
      </c>
      <c r="Q147" s="30" t="inlineStr">
        <is>
          <t xml:space="preserve">New York</t>
        </is>
      </c>
      <c r="R147" s="30" t="inlineStr">
        <is>
          <t xml:space="preserve">10022</t>
        </is>
      </c>
      <c r="S147" s="32" t="inlineStr">
        <is>
          <t xml:space="preserve">Tier 3 - Coastal wind (25-100 miles)</t>
        </is>
      </c>
      <c r="T147" s="36">
        <f>IF($A147="","",IF($S147="","",IFERROR(INDEX('[1]natural catastrophe'!$D$6:$D$17,MATCH($S147,'[1]natural catastrophe'!$B$6:$B$17,0)),"?")))</f>
      </c>
      <c r="U147" s="30" t="inlineStr">
        <is>
          <t xml:space="preserve">2% of agreed value, minimum $10,000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10149.03</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CANON-202604-006764</t>
        </is>
      </c>
      <c r="B148" s="46" t="inlineStr">
        <is>
          <t xml:space="preserve">Desmond Whitlock</t>
        </is>
      </c>
      <c r="C148" s="47">
        <v>46139</v>
      </c>
      <c r="D148" s="48" t="inlineStr">
        <is>
          <t xml:space="preserve">Bound - within authority</t>
        </is>
      </c>
      <c r="E148" s="48" t="inlineStr">
        <is>
          <t xml:space="preserve">New business</t>
        </is>
      </c>
      <c r="F148" s="46" t="inlineStr">
        <is>
          <t xml:space="preserve">B1234EXOTIC26</t>
        </is>
      </c>
      <c r="G148" s="33">
        <f>IF($A148="","",IF($C148="","",YEAR($C148)))</f>
      </c>
      <c r="H148" s="49">
        <v>2014</v>
      </c>
      <c r="I148" s="46" t="inlineStr">
        <is>
          <t xml:space="preserve">Aston Martin</t>
        </is>
      </c>
      <c r="J148" s="46" t="inlineStr">
        <is>
          <t xml:space="preserve">DB12</t>
        </is>
      </c>
      <c r="K148" s="46" t="inlineStr">
        <is>
          <t xml:space="preserve">YTWP5FLKZ64W0XANP</t>
        </is>
      </c>
      <c r="L148" s="48" t="inlineStr">
        <is>
          <t xml:space="preserve">02 - Sports / GT</t>
        </is>
      </c>
      <c r="M148" s="50">
        <v>575000</v>
      </c>
      <c r="N148" s="48" t="inlineStr">
        <is>
          <t xml:space="preserve">Personal</t>
        </is>
      </c>
      <c r="O148" s="46" t="inlineStr">
        <is>
          <t xml:space="preserve">Personal - regular use</t>
        </is>
      </c>
      <c r="P148" s="46" t="inlineStr">
        <is>
          <t xml:space="preserve">Under 1,000</t>
        </is>
      </c>
      <c r="Q148" s="46" t="inlineStr">
        <is>
          <t xml:space="preserve">Georgia</t>
        </is>
      </c>
      <c r="R148" s="46" t="inlineStr">
        <is>
          <t xml:space="preserve">30303</t>
        </is>
      </c>
      <c r="S148" s="48" t="inlineStr">
        <is>
          <t xml:space="preserve">Tier 2 - Coastal wind (1-25 miles)</t>
        </is>
      </c>
      <c r="T148" s="36">
        <f>IF($A148="","",IF($S148="","",IFERROR(INDEX('[1]natural catastrophe'!$D$6:$D$17,MATCH($S148,'[1]natural catastrophe'!$B$6:$B$17,0)),"?")))</f>
      </c>
      <c r="U148" s="46" t="inlineStr">
        <is>
          <t xml:space="preserve">2% of agreed value, minimum $10,000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6559.38</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CANON-202604-006765</t>
        </is>
      </c>
      <c r="B149" s="30" t="inlineStr">
        <is>
          <t xml:space="preserve">Wilhelmina Ashcombe</t>
        </is>
      </c>
      <c r="C149" s="31">
        <v>46132</v>
      </c>
      <c r="D149" s="32" t="inlineStr">
        <is>
          <t xml:space="preserve">Bound - within authority</t>
        </is>
      </c>
      <c r="E149" s="32" t="inlineStr">
        <is>
          <t xml:space="preserve">New business</t>
        </is>
      </c>
      <c r="F149" s="30" t="inlineStr">
        <is>
          <t xml:space="preserve">B1234EXOTIC26</t>
        </is>
      </c>
      <c r="G149" s="33">
        <f>IF($A149="","",IF($C149="","",YEAR($C149)))</f>
      </c>
      <c r="H149" s="34">
        <v>1958</v>
      </c>
      <c r="I149" s="30" t="inlineStr">
        <is>
          <t xml:space="preserve">Bentley</t>
        </is>
      </c>
      <c r="J149" s="30" t="inlineStr">
        <is>
          <t xml:space="preserve">Continental GT</t>
        </is>
      </c>
      <c r="K149" s="30" t="inlineStr">
        <is>
          <t xml:space="preserve">TU9D8012UBTR6FMCV</t>
        </is>
      </c>
      <c r="L149" s="32" t="inlineStr">
        <is>
          <t xml:space="preserve">02 - Sports / GT</t>
        </is>
      </c>
      <c r="M149" s="35">
        <v>415000</v>
      </c>
      <c r="N149" s="32" t="inlineStr">
        <is>
          <t xml:space="preserve">Personal</t>
        </is>
      </c>
      <c r="O149" s="30" t="inlineStr">
        <is>
          <t xml:space="preserve">Personal - regular use</t>
        </is>
      </c>
      <c r="P149" s="30" t="inlineStr">
        <is>
          <t xml:space="preserve">1,000 - 2,500</t>
        </is>
      </c>
      <c r="Q149" s="30" t="inlineStr">
        <is>
          <t xml:space="preserve">Colorado</t>
        </is>
      </c>
      <c r="R149" s="30" t="inlineStr">
        <is>
          <t xml:space="preserve">80202</t>
        </is>
      </c>
      <c r="S149" s="32" t="inlineStr">
        <is>
          <t xml:space="preserve">Severe convective - hail alley (high)</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5364.96</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CANON-202604-006766</t>
        </is>
      </c>
      <c r="B150" s="46" t="inlineStr">
        <is>
          <t xml:space="preserve">Ottilie Bellandi</t>
        </is>
      </c>
      <c r="C150" s="47">
        <v>46123</v>
      </c>
      <c r="D150" s="48" t="inlineStr">
        <is>
          <t xml:space="preserve">Bound - within authority</t>
        </is>
      </c>
      <c r="E150" s="48" t="inlineStr">
        <is>
          <t xml:space="preserve">New business</t>
        </is>
      </c>
      <c r="F150" s="46" t="inlineStr">
        <is>
          <t xml:space="preserve">B1234EXOTIC26</t>
        </is>
      </c>
      <c r="G150" s="33">
        <f>IF($A150="","",IF($C150="","",YEAR($C150)))</f>
      </c>
      <c r="H150" s="49">
        <v>2010</v>
      </c>
      <c r="I150" s="46" t="inlineStr">
        <is>
          <t xml:space="preserve">Mercedes-Benz</t>
        </is>
      </c>
      <c r="J150" s="46" t="inlineStr">
        <is>
          <t xml:space="preserve">AMG GT</t>
        </is>
      </c>
      <c r="K150" s="46" t="inlineStr">
        <is>
          <t xml:space="preserve">KMX9L6JASAS37C231</t>
        </is>
      </c>
      <c r="L150" s="48" t="inlineStr">
        <is>
          <t xml:space="preserve">02 - Sports / GT</t>
        </is>
      </c>
      <c r="M150" s="50">
        <v>170000</v>
      </c>
      <c r="N150" s="48" t="inlineStr">
        <is>
          <t xml:space="preserve">Personal</t>
        </is>
      </c>
      <c r="O150" s="46" t="inlineStr">
        <is>
          <t xml:space="preserve">Personal - regular use</t>
        </is>
      </c>
      <c r="P150" s="46" t="inlineStr">
        <is>
          <t xml:space="preserve">1,000 - 2,500</t>
        </is>
      </c>
      <c r="Q150" s="46" t="inlineStr">
        <is>
          <t xml:space="preserve">California</t>
        </is>
      </c>
      <c r="R150" s="46" t="inlineStr">
        <is>
          <t xml:space="preserve">90012</t>
        </is>
      </c>
      <c r="S150" s="48" t="inlineStr">
        <is>
          <t xml:space="preserve">Earthquake - high (CA, Cascadia, New Madrid)</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3308.52</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CANON-202604-006769</t>
        </is>
      </c>
      <c r="B151" s="30" t="inlineStr">
        <is>
          <t xml:space="preserve">Fenwick Delacroix</t>
        </is>
      </c>
      <c r="C151" s="31">
        <v>46128</v>
      </c>
      <c r="D151" s="32" t="inlineStr">
        <is>
          <t xml:space="preserve">Bound - within authority</t>
        </is>
      </c>
      <c r="E151" s="32" t="inlineStr">
        <is>
          <t xml:space="preserve">New business</t>
        </is>
      </c>
      <c r="F151" s="30" t="inlineStr">
        <is>
          <t xml:space="preserve">B1234EXOTIC26</t>
        </is>
      </c>
      <c r="G151" s="33">
        <f>IF($A151="","",IF($C151="","",YEAR($C151)))</f>
      </c>
      <c r="H151" s="34">
        <v>1999</v>
      </c>
      <c r="I151" s="30" t="inlineStr">
        <is>
          <t xml:space="preserve">Mercedes-Benz</t>
        </is>
      </c>
      <c r="J151" s="30" t="inlineStr">
        <is>
          <t xml:space="preserve">AMG GT</t>
        </is>
      </c>
      <c r="K151" s="30" t="inlineStr">
        <is>
          <t xml:space="preserve">R7D6J63A1FDBJVNKK</t>
        </is>
      </c>
      <c r="L151" s="32" t="inlineStr">
        <is>
          <t xml:space="preserve">02 - Sports / GT</t>
        </is>
      </c>
      <c r="M151" s="35">
        <v>250000</v>
      </c>
      <c r="N151" s="32" t="inlineStr">
        <is>
          <t xml:space="preserve">Personal</t>
        </is>
      </c>
      <c r="O151" s="30" t="inlineStr">
        <is>
          <t xml:space="preserve">Personal - regular use</t>
        </is>
      </c>
      <c r="P151" s="30" t="inlineStr">
        <is>
          <t xml:space="preserve">Under 1,000</t>
        </is>
      </c>
      <c r="Q151" s="30" t="inlineStr">
        <is>
          <t xml:space="preserve">Virginia</t>
        </is>
      </c>
      <c r="R151" s="30" t="inlineStr">
        <is>
          <t xml:space="preserve">23219</t>
        </is>
      </c>
      <c r="S151" s="32" t="inlineStr">
        <is>
          <t xml:space="preserve">Tier 3 - Coastal wind (25-100 miles)</t>
        </is>
      </c>
      <c r="T151" s="36">
        <f>IF($A151="","",IF($S151="","",IFERROR(INDEX('[1]natural catastrophe'!$D$6:$D$17,MATCH($S151,'[1]natural catastrophe'!$B$6:$B$17,0)),"?")))</f>
      </c>
      <c r="U151" s="30" t="inlineStr">
        <is>
          <t xml:space="preserve">2% of agreed value, minimum $10,000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3202.52</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CANON-202604-006770</t>
        </is>
      </c>
      <c r="B152" s="46" t="inlineStr">
        <is>
          <t xml:space="preserve">Thaddeus Nakashima</t>
        </is>
      </c>
      <c r="C152" s="47">
        <v>46119</v>
      </c>
      <c r="D152" s="48" t="inlineStr">
        <is>
          <t xml:space="preserve">Bound - within authority</t>
        </is>
      </c>
      <c r="E152" s="48" t="inlineStr">
        <is>
          <t xml:space="preserve">New business</t>
        </is>
      </c>
      <c r="F152" s="46" t="inlineStr">
        <is>
          <t xml:space="preserve">B1234EXOTIC26</t>
        </is>
      </c>
      <c r="G152" s="33">
        <f>IF($A152="","",IF($C152="","",YEAR($C152)))</f>
      </c>
      <c r="H152" s="49">
        <v>1959</v>
      </c>
      <c r="I152" s="46" t="inlineStr">
        <is>
          <t xml:space="preserve">Mercedes-Benz</t>
        </is>
      </c>
      <c r="J152" s="46" t="inlineStr">
        <is>
          <t xml:space="preserve">AMG GT</t>
        </is>
      </c>
      <c r="K152" s="46" t="inlineStr">
        <is>
          <t xml:space="preserve">T4Y96T3AX12N2GKFX</t>
        </is>
      </c>
      <c r="L152" s="48" t="inlineStr">
        <is>
          <t xml:space="preserve">02 - Sports / GT</t>
        </is>
      </c>
      <c r="M152" s="50">
        <v>555000</v>
      </c>
      <c r="N152" s="48" t="inlineStr">
        <is>
          <t xml:space="preserve">Personal</t>
        </is>
      </c>
      <c r="O152" s="46" t="inlineStr">
        <is>
          <t xml:space="preserve">Personal - regular use</t>
        </is>
      </c>
      <c r="P152" s="46" t="inlineStr">
        <is>
          <t xml:space="preserve">1,000 - 2,500</t>
        </is>
      </c>
      <c r="Q152" s="46" t="inlineStr">
        <is>
          <t xml:space="preserve">Tennessee</t>
        </is>
      </c>
      <c r="R152" s="46" t="inlineStr">
        <is>
          <t xml:space="preserve">37203</t>
        </is>
      </c>
      <c r="S152" s="48" t="inlineStr">
        <is>
          <t xml:space="preserve">Severe convective - hail / tornado (moderate)</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5539.83</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CANON-202604-006771</t>
        </is>
      </c>
      <c r="B153" s="30" t="inlineStr">
        <is>
          <t xml:space="preserve">Leopold Rourke</t>
        </is>
      </c>
      <c r="C153" s="31">
        <v>46123</v>
      </c>
      <c r="D153" s="32" t="inlineStr">
        <is>
          <t xml:space="preserve">Bound - within authority</t>
        </is>
      </c>
      <c r="E153" s="32" t="inlineStr">
        <is>
          <t xml:space="preserve">New business</t>
        </is>
      </c>
      <c r="F153" s="30" t="inlineStr">
        <is>
          <t xml:space="preserve">B1234EXOTIC26</t>
        </is>
      </c>
      <c r="G153" s="33">
        <f>IF($A153="","",IF($C153="","",YEAR($C153)))</f>
      </c>
      <c r="H153" s="34">
        <v>2010</v>
      </c>
      <c r="I153" s="30" t="inlineStr">
        <is>
          <t xml:space="preserve">Mercedes-Benz</t>
        </is>
      </c>
      <c r="J153" s="30" t="inlineStr">
        <is>
          <t xml:space="preserve">AMG GT</t>
        </is>
      </c>
      <c r="K153" s="30" t="inlineStr">
        <is>
          <t xml:space="preserve">9WZ51GFCYHUCKYDAZ</t>
        </is>
      </c>
      <c r="L153" s="32" t="inlineStr">
        <is>
          <t xml:space="preserve">02 - Sports / GT</t>
        </is>
      </c>
      <c r="M153" s="35">
        <v>495000</v>
      </c>
      <c r="N153" s="32" t="inlineStr">
        <is>
          <t xml:space="preserve">Personal</t>
        </is>
      </c>
      <c r="O153" s="30" t="inlineStr">
        <is>
          <t xml:space="preserve">Personal - regular use</t>
        </is>
      </c>
      <c r="P153" s="30" t="inlineStr">
        <is>
          <t xml:space="preserve">2,500 - 5,000</t>
        </is>
      </c>
      <c r="Q153" s="30" t="inlineStr">
        <is>
          <t xml:space="preserve">Connecticut</t>
        </is>
      </c>
      <c r="R153" s="30" t="inlineStr">
        <is>
          <t xml:space="preserve">06103</t>
        </is>
      </c>
      <c r="S153" s="32" t="inlineStr">
        <is>
          <t xml:space="preserve">Tier 3 - Coastal wind (25-100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6515.51</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CANON-202604-006773</t>
        </is>
      </c>
      <c r="B154" s="46" t="inlineStr">
        <is>
          <t xml:space="preserve">Noor Pennington</t>
        </is>
      </c>
      <c r="C154" s="47">
        <v>46118</v>
      </c>
      <c r="D154" s="48" t="inlineStr">
        <is>
          <t xml:space="preserve">Bound - within authority</t>
        </is>
      </c>
      <c r="E154" s="48" t="inlineStr">
        <is>
          <t xml:space="preserve">New business</t>
        </is>
      </c>
      <c r="F154" s="46" t="inlineStr">
        <is>
          <t xml:space="preserve">B1234EXOTIC26</t>
        </is>
      </c>
      <c r="G154" s="33">
        <f>IF($A154="","",IF($C154="","",YEAR($C154)))</f>
      </c>
      <c r="H154" s="49">
        <v>1997</v>
      </c>
      <c r="I154" s="46" t="inlineStr">
        <is>
          <t xml:space="preserve">Porsche</t>
        </is>
      </c>
      <c r="J154" s="46" t="inlineStr">
        <is>
          <t xml:space="preserve">911 Turbo S</t>
        </is>
      </c>
      <c r="K154" s="46" t="inlineStr">
        <is>
          <t xml:space="preserve">43BJFGCBK8V6RSP8L</t>
        </is>
      </c>
      <c r="L154" s="48" t="inlineStr">
        <is>
          <t xml:space="preserve">02 - Sports / GT</t>
        </is>
      </c>
      <c r="M154" s="50">
        <v>540000</v>
      </c>
      <c r="N154" s="48" t="inlineStr">
        <is>
          <t xml:space="preserve">Personal</t>
        </is>
      </c>
      <c r="O154" s="46" t="inlineStr">
        <is>
          <t xml:space="preserve">Personal - regular use</t>
        </is>
      </c>
      <c r="P154" s="46" t="inlineStr">
        <is>
          <t xml:space="preserve">Under 1,000</t>
        </is>
      </c>
      <c r="Q154" s="46" t="inlineStr">
        <is>
          <t xml:space="preserve">Arkansas</t>
        </is>
      </c>
      <c r="R154" s="46" t="inlineStr">
        <is>
          <t xml:space="preserve">72201</t>
        </is>
      </c>
      <c r="S154" s="48" t="inlineStr">
        <is>
          <t xml:space="preserve">Severe convective - hail / tornado (moderate)</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7590.15</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CANON-202604-006774</t>
        </is>
      </c>
      <c r="B155" s="30" t="inlineStr">
        <is>
          <t xml:space="preserve">Saoirse Nakashima</t>
        </is>
      </c>
      <c r="C155" s="31">
        <v>46142</v>
      </c>
      <c r="D155" s="32" t="inlineStr">
        <is>
          <t xml:space="preserve">Bound - within authority</t>
        </is>
      </c>
      <c r="E155" s="32" t="inlineStr">
        <is>
          <t xml:space="preserve">New business</t>
        </is>
      </c>
      <c r="F155" s="30" t="inlineStr">
        <is>
          <t xml:space="preserve">B1234EXOTIC26</t>
        </is>
      </c>
      <c r="G155" s="33">
        <f>IF($A155="","",IF($C155="","",YEAR($C155)))</f>
      </c>
      <c r="H155" s="34">
        <v>1964</v>
      </c>
      <c r="I155" s="30" t="inlineStr">
        <is>
          <t xml:space="preserve">Mercedes-Benz</t>
        </is>
      </c>
      <c r="J155" s="30" t="inlineStr">
        <is>
          <t xml:space="preserve">AMG GT</t>
        </is>
      </c>
      <c r="K155" s="30" t="inlineStr">
        <is>
          <t xml:space="preserve">NFD5JU1K7LJ21YDGD</t>
        </is>
      </c>
      <c r="L155" s="32" t="inlineStr">
        <is>
          <t xml:space="preserve">02 - Sports / GT</t>
        </is>
      </c>
      <c r="M155" s="35">
        <v>790000</v>
      </c>
      <c r="N155" s="32" t="inlineStr">
        <is>
          <t xml:space="preserve">Personal</t>
        </is>
      </c>
      <c r="O155" s="30" t="inlineStr">
        <is>
          <t xml:space="preserve">Personal - regular use</t>
        </is>
      </c>
      <c r="P155" s="30" t="inlineStr">
        <is>
          <t xml:space="preserve">2,500 - 5,000</t>
        </is>
      </c>
      <c r="Q155" s="30" t="inlineStr">
        <is>
          <t xml:space="preserve">Colorado</t>
        </is>
      </c>
      <c r="R155" s="30" t="inlineStr">
        <is>
          <t xml:space="preserve">80202</t>
        </is>
      </c>
      <c r="S155" s="32" t="inlineStr">
        <is>
          <t xml:space="preserve">Severe convective - hail alley (high)</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8851.1</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CANON-202604-006775</t>
        </is>
      </c>
      <c r="B156" s="46" t="inlineStr">
        <is>
          <t xml:space="preserve">Aurelio Blackwood</t>
        </is>
      </c>
      <c r="C156" s="47">
        <v>46131</v>
      </c>
      <c r="D156" s="48" t="inlineStr">
        <is>
          <t xml:space="preserve">Bound - within authority</t>
        </is>
      </c>
      <c r="E156" s="48" t="inlineStr">
        <is>
          <t xml:space="preserve">New business</t>
        </is>
      </c>
      <c r="F156" s="46" t="inlineStr">
        <is>
          <t xml:space="preserve">B1234EXOTIC26</t>
        </is>
      </c>
      <c r="G156" s="33">
        <f>IF($A156="","",IF($C156="","",YEAR($C156)))</f>
      </c>
      <c r="H156" s="49">
        <v>1977</v>
      </c>
      <c r="I156" s="46" t="inlineStr">
        <is>
          <t xml:space="preserve">Porsche</t>
        </is>
      </c>
      <c r="J156" s="46" t="inlineStr">
        <is>
          <t xml:space="preserve">911 Turbo S</t>
        </is>
      </c>
      <c r="K156" s="46" t="inlineStr">
        <is>
          <t xml:space="preserve">DKP3ZWB2H172GEUYD</t>
        </is>
      </c>
      <c r="L156" s="48" t="inlineStr">
        <is>
          <t xml:space="preserve">02 - Sports / GT</t>
        </is>
      </c>
      <c r="M156" s="50">
        <v>855000</v>
      </c>
      <c r="N156" s="48" t="inlineStr">
        <is>
          <t xml:space="preserve">Personal</t>
        </is>
      </c>
      <c r="O156" s="46" t="inlineStr">
        <is>
          <t xml:space="preserve">Personal - regular use</t>
        </is>
      </c>
      <c r="P156" s="46" t="inlineStr">
        <is>
          <t xml:space="preserve">1,000 - 2,500</t>
        </is>
      </c>
      <c r="Q156" s="46" t="inlineStr">
        <is>
          <t xml:space="preserve">Kentucky</t>
        </is>
      </c>
      <c r="R156" s="46" t="inlineStr">
        <is>
          <t xml:space="preserve">40202</t>
        </is>
      </c>
      <c r="S156" s="48" t="inlineStr">
        <is>
          <t xml:space="preserve">Severe convective - hail / tornado (moderate)</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11669.39</v>
      </c>
      <c r="AC156" s="51">
        <v>0</v>
      </c>
      <c r="AD156" s="38">
        <f>IF(ISNUMBER($AB156),$AB156*(1+N($AC156)),"")</f>
      </c>
      <c r="AE156" s="50">
        <v>350</v>
      </c>
      <c r="AF156" s="50">
        <v>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CANON-202604-006776</t>
        </is>
      </c>
      <c r="B157" s="30" t="inlineStr">
        <is>
          <t xml:space="preserve">Noor Whitlock</t>
        </is>
      </c>
      <c r="C157" s="31">
        <v>46123</v>
      </c>
      <c r="D157" s="32" t="inlineStr">
        <is>
          <t xml:space="preserve">Bound - within authority</t>
        </is>
      </c>
      <c r="E157" s="32" t="inlineStr">
        <is>
          <t xml:space="preserve">New business</t>
        </is>
      </c>
      <c r="F157" s="30" t="inlineStr">
        <is>
          <t xml:space="preserve">B1234EXOTIC26</t>
        </is>
      </c>
      <c r="G157" s="33">
        <f>IF($A157="","",IF($C157="","",YEAR($C157)))</f>
      </c>
      <c r="H157" s="34">
        <v>2018</v>
      </c>
      <c r="I157" s="30" t="inlineStr">
        <is>
          <t xml:space="preserve">Maserati</t>
        </is>
      </c>
      <c r="J157" s="30" t="inlineStr">
        <is>
          <t xml:space="preserve">GranTurismo</t>
        </is>
      </c>
      <c r="K157" s="30" t="inlineStr">
        <is>
          <t xml:space="preserve">FR8DVRBADGAWFPN2P</t>
        </is>
      </c>
      <c r="L157" s="32" t="inlineStr">
        <is>
          <t xml:space="preserve">02 - Sports / GT</t>
        </is>
      </c>
      <c r="M157" s="35">
        <v>865000</v>
      </c>
      <c r="N157" s="32" t="inlineStr">
        <is>
          <t xml:space="preserve">Personal</t>
        </is>
      </c>
      <c r="O157" s="30" t="inlineStr">
        <is>
          <t xml:space="preserve">Personal - regular use</t>
        </is>
      </c>
      <c r="P157" s="30" t="inlineStr">
        <is>
          <t xml:space="preserve">2,500 - 5,000</t>
        </is>
      </c>
      <c r="Q157" s="30" t="inlineStr">
        <is>
          <t xml:space="preserve">West Virginia</t>
        </is>
      </c>
      <c r="R157" s="30" t="inlineStr">
        <is>
          <t xml:space="preserve">25301</t>
        </is>
      </c>
      <c r="S157" s="32" t="inlineStr">
        <is>
          <t xml:space="preserve">Low hazard - inland benign</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11717.77</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CANON-202604-006778</t>
        </is>
      </c>
      <c r="B158" s="46" t="inlineStr">
        <is>
          <t xml:space="preserve">Sunniva Rourke</t>
        </is>
      </c>
      <c r="C158" s="47">
        <v>46140</v>
      </c>
      <c r="D158" s="48" t="inlineStr">
        <is>
          <t xml:space="preserve">Bound - within authority</t>
        </is>
      </c>
      <c r="E158" s="48" t="inlineStr">
        <is>
          <t xml:space="preserve">New business</t>
        </is>
      </c>
      <c r="F158" s="46" t="inlineStr">
        <is>
          <t xml:space="preserve">B1234EXOTIC26</t>
        </is>
      </c>
      <c r="G158" s="33">
        <f>IF($A158="","",IF($C158="","",YEAR($C158)))</f>
      </c>
      <c r="H158" s="49">
        <v>1998</v>
      </c>
      <c r="I158" s="46" t="inlineStr">
        <is>
          <t xml:space="preserve">Maserati</t>
        </is>
      </c>
      <c r="J158" s="46" t="inlineStr">
        <is>
          <t xml:space="preserve">GranTurismo</t>
        </is>
      </c>
      <c r="K158" s="46" t="inlineStr">
        <is>
          <t xml:space="preserve">KN42BZSB3R1YRX7T1</t>
        </is>
      </c>
      <c r="L158" s="48" t="inlineStr">
        <is>
          <t xml:space="preserve">02 - Sports / GT</t>
        </is>
      </c>
      <c r="M158" s="50">
        <v>650000</v>
      </c>
      <c r="N158" s="48" t="inlineStr">
        <is>
          <t xml:space="preserve">Personal</t>
        </is>
      </c>
      <c r="O158" s="46" t="inlineStr">
        <is>
          <t xml:space="preserve">Personal - regular use</t>
        </is>
      </c>
      <c r="P158" s="46" t="inlineStr">
        <is>
          <t xml:space="preserve">Under 1,000</t>
        </is>
      </c>
      <c r="Q158" s="46" t="inlineStr">
        <is>
          <t xml:space="preserve">Vermont</t>
        </is>
      </c>
      <c r="R158" s="46" t="inlineStr">
        <is>
          <t xml:space="preserve">05601</t>
        </is>
      </c>
      <c r="S158" s="48" t="inlineStr">
        <is>
          <t xml:space="preserve">Low hazard - inland benign</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8077</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CANON-202604-006779</t>
        </is>
      </c>
      <c r="B159" s="30" t="inlineStr">
        <is>
          <t xml:space="preserve">Sunniva Thistlewood</t>
        </is>
      </c>
      <c r="C159" s="31">
        <v>46139</v>
      </c>
      <c r="D159" s="32" t="inlineStr">
        <is>
          <t xml:space="preserve">Bound - within authority</t>
        </is>
      </c>
      <c r="E159" s="32" t="inlineStr">
        <is>
          <t xml:space="preserve">New business</t>
        </is>
      </c>
      <c r="F159" s="30" t="inlineStr">
        <is>
          <t xml:space="preserve">B1234EXOTIC26</t>
        </is>
      </c>
      <c r="G159" s="33">
        <f>IF($A159="","",IF($C159="","",YEAR($C159)))</f>
      </c>
      <c r="H159" s="34">
        <v>1992</v>
      </c>
      <c r="I159" s="30" t="inlineStr">
        <is>
          <t xml:space="preserve">Bentley</t>
        </is>
      </c>
      <c r="J159" s="30" t="inlineStr">
        <is>
          <t xml:space="preserve">Continental GT</t>
        </is>
      </c>
      <c r="K159" s="30" t="inlineStr">
        <is>
          <t xml:space="preserve">WCC8WG0FZXSGZNXDY</t>
        </is>
      </c>
      <c r="L159" s="32" t="inlineStr">
        <is>
          <t xml:space="preserve">02 - Sports / GT</t>
        </is>
      </c>
      <c r="M159" s="35">
        <v>450000</v>
      </c>
      <c r="N159" s="32" t="inlineStr">
        <is>
          <t xml:space="preserve">Personal</t>
        </is>
      </c>
      <c r="O159" s="30" t="inlineStr">
        <is>
          <t xml:space="preserve">Personal - regular use</t>
        </is>
      </c>
      <c r="P159" s="30" t="inlineStr">
        <is>
          <t xml:space="preserve">Under 1,000</t>
        </is>
      </c>
      <c r="Q159" s="30" t="inlineStr">
        <is>
          <t xml:space="preserve">Kansas</t>
        </is>
      </c>
      <c r="R159" s="30" t="inlineStr">
        <is>
          <t xml:space="preserve">66603</t>
        </is>
      </c>
      <c r="S159" s="32" t="inlineStr">
        <is>
          <t xml:space="preserve">Severe convective - hail alley (high)</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5129.91</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CANON-202604-006780</t>
        </is>
      </c>
      <c r="B160" s="46" t="inlineStr">
        <is>
          <t xml:space="preserve">Thaddeus Underwood</t>
        </is>
      </c>
      <c r="C160" s="47">
        <v>46116</v>
      </c>
      <c r="D160" s="48" t="inlineStr">
        <is>
          <t xml:space="preserve">Bound - within authority</t>
        </is>
      </c>
      <c r="E160" s="48" t="inlineStr">
        <is>
          <t xml:space="preserve">New business</t>
        </is>
      </c>
      <c r="F160" s="46" t="inlineStr">
        <is>
          <t xml:space="preserve">B1234EXOTIC26</t>
        </is>
      </c>
      <c r="G160" s="33">
        <f>IF($A160="","",IF($C160="","",YEAR($C160)))</f>
      </c>
      <c r="H160" s="49">
        <v>1973</v>
      </c>
      <c r="I160" s="46" t="inlineStr">
        <is>
          <t xml:space="preserve">Aston Martin</t>
        </is>
      </c>
      <c r="J160" s="46" t="inlineStr">
        <is>
          <t xml:space="preserve">DB12</t>
        </is>
      </c>
      <c r="K160" s="46" t="inlineStr">
        <is>
          <t xml:space="preserve">KAD16PDC3CBLS4AV7</t>
        </is>
      </c>
      <c r="L160" s="48" t="inlineStr">
        <is>
          <t xml:space="preserve">02 - Sports / GT</t>
        </is>
      </c>
      <c r="M160" s="50">
        <v>350000</v>
      </c>
      <c r="N160" s="48" t="inlineStr">
        <is>
          <t xml:space="preserve">Personal</t>
        </is>
      </c>
      <c r="O160" s="46" t="inlineStr">
        <is>
          <t xml:space="preserve">Personal - regular use</t>
        </is>
      </c>
      <c r="P160" s="46" t="inlineStr">
        <is>
          <t xml:space="preserve">Under 1,000</t>
        </is>
      </c>
      <c r="Q160" s="46" t="inlineStr">
        <is>
          <t xml:space="preserve">Vermont</t>
        </is>
      </c>
      <c r="R160" s="46" t="inlineStr">
        <is>
          <t xml:space="preserve">05601</t>
        </is>
      </c>
      <c r="S160" s="48" t="inlineStr">
        <is>
          <t xml:space="preserve">Low hazard - inland benign</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5018.25</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CANON-202604-006781</t>
        </is>
      </c>
      <c r="B161" s="30" t="inlineStr">
        <is>
          <t xml:space="preserve">Everett Pennington</t>
        </is>
      </c>
      <c r="C161" s="31">
        <v>46120</v>
      </c>
      <c r="D161" s="32" t="inlineStr">
        <is>
          <t xml:space="preserve">Bound - within authority</t>
        </is>
      </c>
      <c r="E161" s="32" t="inlineStr">
        <is>
          <t xml:space="preserve">New business</t>
        </is>
      </c>
      <c r="F161" s="30" t="inlineStr">
        <is>
          <t xml:space="preserve">B1234EXOTIC26</t>
        </is>
      </c>
      <c r="G161" s="33">
        <f>IF($A161="","",IF($C161="","",YEAR($C161)))</f>
      </c>
      <c r="H161" s="34">
        <v>1977</v>
      </c>
      <c r="I161" s="30" t="inlineStr">
        <is>
          <t xml:space="preserve">Porsche</t>
        </is>
      </c>
      <c r="J161" s="30" t="inlineStr">
        <is>
          <t xml:space="preserve">911 Turbo S</t>
        </is>
      </c>
      <c r="K161" s="30" t="inlineStr">
        <is>
          <t xml:space="preserve">5PT51GYW53G8UZBEC</t>
        </is>
      </c>
      <c r="L161" s="32" t="inlineStr">
        <is>
          <t xml:space="preserve">02 - Sports / GT</t>
        </is>
      </c>
      <c r="M161" s="35">
        <v>565000</v>
      </c>
      <c r="N161" s="32" t="inlineStr">
        <is>
          <t xml:space="preserve">Personal</t>
        </is>
      </c>
      <c r="O161" s="30" t="inlineStr">
        <is>
          <t xml:space="preserve">Personal - regular use</t>
        </is>
      </c>
      <c r="P161" s="30" t="inlineStr">
        <is>
          <t xml:space="preserve">1,000 - 2,500</t>
        </is>
      </c>
      <c r="Q161" s="30" t="inlineStr">
        <is>
          <t xml:space="preserve">Montana</t>
        </is>
      </c>
      <c r="R161" s="30" t="inlineStr">
        <is>
          <t xml:space="preserve">59601</t>
        </is>
      </c>
      <c r="S161" s="32" t="inlineStr">
        <is>
          <t xml:space="preserve">Wildfire - WUI high hazard</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5351.91</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CANON-202604-006783</t>
        </is>
      </c>
      <c r="B162" s="46" t="inlineStr">
        <is>
          <t xml:space="preserve">Fenwick Nakashima</t>
        </is>
      </c>
      <c r="C162" s="47">
        <v>46127</v>
      </c>
      <c r="D162" s="48" t="inlineStr">
        <is>
          <t xml:space="preserve">Bound - within authority</t>
        </is>
      </c>
      <c r="E162" s="48" t="inlineStr">
        <is>
          <t xml:space="preserve">New business</t>
        </is>
      </c>
      <c r="F162" s="46" t="inlineStr">
        <is>
          <t xml:space="preserve">B1234EXOTIC26</t>
        </is>
      </c>
      <c r="G162" s="33">
        <f>IF($A162="","",IF($C162="","",YEAR($C162)))</f>
      </c>
      <c r="H162" s="49">
        <v>1977</v>
      </c>
      <c r="I162" s="46" t="inlineStr">
        <is>
          <t xml:space="preserve">Mercedes-Benz</t>
        </is>
      </c>
      <c r="J162" s="46" t="inlineStr">
        <is>
          <t xml:space="preserve">AMG GT</t>
        </is>
      </c>
      <c r="K162" s="46" t="inlineStr">
        <is>
          <t xml:space="preserve">SJAGZP9U2A4HEWB7U</t>
        </is>
      </c>
      <c r="L162" s="48" t="inlineStr">
        <is>
          <t xml:space="preserve">02 - Sports / GT</t>
        </is>
      </c>
      <c r="M162" s="50">
        <v>365000</v>
      </c>
      <c r="N162" s="48" t="inlineStr">
        <is>
          <t xml:space="preserve">Personal</t>
        </is>
      </c>
      <c r="O162" s="46" t="inlineStr">
        <is>
          <t xml:space="preserve">Personal - regular use</t>
        </is>
      </c>
      <c r="P162" s="46" t="inlineStr">
        <is>
          <t xml:space="preserve">2,500 - 5,000</t>
        </is>
      </c>
      <c r="Q162" s="46" t="inlineStr">
        <is>
          <t xml:space="preserve">California</t>
        </is>
      </c>
      <c r="R162" s="46" t="inlineStr">
        <is>
          <t xml:space="preserve">90012</t>
        </is>
      </c>
      <c r="S162" s="48" t="inlineStr">
        <is>
          <t xml:space="preserve">Earthquake - high (CA, Cascadia, New Madrid)</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5790.98</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CANON-202604-006785</t>
        </is>
      </c>
      <c r="B163" s="30" t="inlineStr">
        <is>
          <t xml:space="preserve">Noor Merriweather</t>
        </is>
      </c>
      <c r="C163" s="31">
        <v>46123</v>
      </c>
      <c r="D163" s="32" t="inlineStr">
        <is>
          <t xml:space="preserve">Bound - within authority</t>
        </is>
      </c>
      <c r="E163" s="32" t="inlineStr">
        <is>
          <t xml:space="preserve">New business</t>
        </is>
      </c>
      <c r="F163" s="30" t="inlineStr">
        <is>
          <t xml:space="preserve">B1234EXOTIC26</t>
        </is>
      </c>
      <c r="G163" s="33">
        <f>IF($A163="","",IF($C163="","",YEAR($C163)))</f>
      </c>
      <c r="H163" s="34">
        <v>1977</v>
      </c>
      <c r="I163" s="30" t="inlineStr">
        <is>
          <t xml:space="preserve">Mercedes-Benz</t>
        </is>
      </c>
      <c r="J163" s="30" t="inlineStr">
        <is>
          <t xml:space="preserve">AMG GT</t>
        </is>
      </c>
      <c r="K163" s="30" t="inlineStr">
        <is>
          <t xml:space="preserve">3N0RV5Z5Y83ZM9MXR</t>
        </is>
      </c>
      <c r="L163" s="32" t="inlineStr">
        <is>
          <t xml:space="preserve">02 - Sports / GT</t>
        </is>
      </c>
      <c r="M163" s="35">
        <v>490000</v>
      </c>
      <c r="N163" s="32" t="inlineStr">
        <is>
          <t xml:space="preserve">Personal</t>
        </is>
      </c>
      <c r="O163" s="30" t="inlineStr">
        <is>
          <t xml:space="preserve">Personal - regular use</t>
        </is>
      </c>
      <c r="P163" s="30" t="inlineStr">
        <is>
          <t xml:space="preserve">2,500 - 5,000</t>
        </is>
      </c>
      <c r="Q163" s="30" t="inlineStr">
        <is>
          <t xml:space="preserve">Pennsylvania</t>
        </is>
      </c>
      <c r="R163" s="30" t="inlineStr">
        <is>
          <t xml:space="preserve">19103</t>
        </is>
      </c>
      <c r="S163" s="32" t="inlineStr">
        <is>
          <t xml:space="preserve">Low hazard - inland benign</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5758.65</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CANON-202604-006786</t>
        </is>
      </c>
      <c r="B164" s="46" t="inlineStr">
        <is>
          <t xml:space="preserve">Lorenzo Blackwood</t>
        </is>
      </c>
      <c r="C164" s="47">
        <v>46115</v>
      </c>
      <c r="D164" s="48" t="inlineStr">
        <is>
          <t xml:space="preserve">Bound - within authority</t>
        </is>
      </c>
      <c r="E164" s="48" t="inlineStr">
        <is>
          <t xml:space="preserve">New business</t>
        </is>
      </c>
      <c r="F164" s="46" t="inlineStr">
        <is>
          <t xml:space="preserve">B1234EXOTIC26</t>
        </is>
      </c>
      <c r="G164" s="33">
        <f>IF($A164="","",IF($C164="","",YEAR($C164)))</f>
      </c>
      <c r="H164" s="49">
        <v>1959</v>
      </c>
      <c r="I164" s="46" t="inlineStr">
        <is>
          <t xml:space="preserve">Aston Martin</t>
        </is>
      </c>
      <c r="J164" s="46" t="inlineStr">
        <is>
          <t xml:space="preserve">DB12</t>
        </is>
      </c>
      <c r="K164" s="46" t="inlineStr">
        <is>
          <t xml:space="preserve">35UG2VE1L0ZJF9Y2L</t>
        </is>
      </c>
      <c r="L164" s="48" t="inlineStr">
        <is>
          <t xml:space="preserve">02 - Sports / GT</t>
        </is>
      </c>
      <c r="M164" s="50">
        <v>320000</v>
      </c>
      <c r="N164" s="48" t="inlineStr">
        <is>
          <t xml:space="preserve">Personal</t>
        </is>
      </c>
      <c r="O164" s="46" t="inlineStr">
        <is>
          <t xml:space="preserve">Personal - regular use</t>
        </is>
      </c>
      <c r="P164" s="46" t="inlineStr">
        <is>
          <t xml:space="preserve">Under 1,000</t>
        </is>
      </c>
      <c r="Q164" s="46" t="inlineStr">
        <is>
          <t xml:space="preserve">Washington</t>
        </is>
      </c>
      <c r="R164" s="46" t="inlineStr">
        <is>
          <t xml:space="preserve">98101</t>
        </is>
      </c>
      <c r="S164" s="48" t="inlineStr">
        <is>
          <t xml:space="preserve">Earthquake - high (CA, Cascadia, New Madrid)</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3610.32</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CANON-202604-006787</t>
        </is>
      </c>
      <c r="B165" s="30" t="inlineStr">
        <is>
          <t xml:space="preserve">Thaddeus Vasquez</t>
        </is>
      </c>
      <c r="C165" s="31">
        <v>46126</v>
      </c>
      <c r="D165" s="32" t="inlineStr">
        <is>
          <t xml:space="preserve">Bound - within authority</t>
        </is>
      </c>
      <c r="E165" s="32" t="inlineStr">
        <is>
          <t xml:space="preserve">New business</t>
        </is>
      </c>
      <c r="F165" s="30" t="inlineStr">
        <is>
          <t xml:space="preserve">B1234EXOTIC26</t>
        </is>
      </c>
      <c r="G165" s="33">
        <f>IF($A165="","",IF($C165="","",YEAR($C165)))</f>
      </c>
      <c r="H165" s="34">
        <v>1978</v>
      </c>
      <c r="I165" s="30" t="inlineStr">
        <is>
          <t xml:space="preserve">Icon</t>
        </is>
      </c>
      <c r="J165" s="30" t="inlineStr">
        <is>
          <t xml:space="preserve">Derelict</t>
        </is>
      </c>
      <c r="K165" s="30" t="inlineStr">
        <is>
          <t xml:space="preserve">XDZ10P4KC1MLC7P73</t>
        </is>
      </c>
      <c r="L165" s="32" t="inlineStr">
        <is>
          <t xml:space="preserve">11 - Restomod / Coachbuilt / Bespoke</t>
        </is>
      </c>
      <c r="M165" s="35">
        <v>805000</v>
      </c>
      <c r="N165" s="32" t="inlineStr">
        <is>
          <t xml:space="preserve">Personal</t>
        </is>
      </c>
      <c r="O165" s="30" t="inlineStr">
        <is>
          <t xml:space="preserve">Personal - regular use</t>
        </is>
      </c>
      <c r="P165" s="30" t="inlineStr">
        <is>
          <t xml:space="preserve">1,000 - 2,500</t>
        </is>
      </c>
      <c r="Q165" s="30" t="inlineStr">
        <is>
          <t xml:space="preserve">Nebraska</t>
        </is>
      </c>
      <c r="R165" s="30" t="inlineStr">
        <is>
          <t xml:space="preserve">68102</t>
        </is>
      </c>
      <c r="S165" s="32" t="inlineStr">
        <is>
          <t xml:space="preserve">Severe convective - hail alley (high)</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12790.8</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CANON-202604-006789</t>
        </is>
      </c>
      <c r="B166" s="46" t="inlineStr">
        <is>
          <t xml:space="preserve">Mireille Thistlewood</t>
        </is>
      </c>
      <c r="C166" s="47">
        <v>46118</v>
      </c>
      <c r="D166" s="48" t="inlineStr">
        <is>
          <t xml:space="preserve">Bound - within authority</t>
        </is>
      </c>
      <c r="E166" s="48" t="inlineStr">
        <is>
          <t xml:space="preserve">New business</t>
        </is>
      </c>
      <c r="F166" s="46" t="inlineStr">
        <is>
          <t xml:space="preserve">B1234EXOTIC26</t>
        </is>
      </c>
      <c r="G166" s="33">
        <f>IF($A166="","",IF($C166="","",YEAR($C166)))</f>
      </c>
      <c r="H166" s="49">
        <v>2016</v>
      </c>
      <c r="I166" s="46" t="inlineStr">
        <is>
          <t xml:space="preserve">Jaguar</t>
        </is>
      </c>
      <c r="J166" s="46" t="inlineStr">
        <is>
          <t xml:space="preserve">E-Type Series 1</t>
        </is>
      </c>
      <c r="K166" s="46" t="inlineStr">
        <is>
          <t xml:space="preserve">PSEN7KGAPE8XZJTZV</t>
        </is>
      </c>
      <c r="L166" s="48" t="inlineStr">
        <is>
          <t xml:space="preserve">02 - Sports / GT</t>
        </is>
      </c>
      <c r="M166" s="50">
        <v>690000</v>
      </c>
      <c r="N166" s="48" t="inlineStr">
        <is>
          <t xml:space="preserve">Personal</t>
        </is>
      </c>
      <c r="O166" s="46" t="inlineStr">
        <is>
          <t xml:space="preserve">Personal - regular use</t>
        </is>
      </c>
      <c r="P166" s="46" t="inlineStr">
        <is>
          <t xml:space="preserve">2,500 - 5,000</t>
        </is>
      </c>
      <c r="Q166" s="46" t="inlineStr">
        <is>
          <t xml:space="preserve">New Mexico</t>
        </is>
      </c>
      <c r="R166" s="46" t="inlineStr">
        <is>
          <t xml:space="preserve">87501</t>
        </is>
      </c>
      <c r="S166" s="48" t="inlineStr">
        <is>
          <t xml:space="preserve">Wildfire - WUI high hazard</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5951.01</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CANON-202604-006790</t>
        </is>
      </c>
      <c r="B167" s="30" t="inlineStr">
        <is>
          <t xml:space="preserve">Ottilie Pennington</t>
        </is>
      </c>
      <c r="C167" s="31">
        <v>46126</v>
      </c>
      <c r="D167" s="32" t="inlineStr">
        <is>
          <t xml:space="preserve">Bound - within authority</t>
        </is>
      </c>
      <c r="E167" s="32" t="inlineStr">
        <is>
          <t xml:space="preserve">New business</t>
        </is>
      </c>
      <c r="F167" s="30" t="inlineStr">
        <is>
          <t xml:space="preserve">B1234EXOTIC26</t>
        </is>
      </c>
      <c r="G167" s="33">
        <f>IF($A167="","",IF($C167="","",YEAR($C167)))</f>
      </c>
      <c r="H167" s="34">
        <v>1956</v>
      </c>
      <c r="I167" s="30" t="inlineStr">
        <is>
          <t xml:space="preserve">BMW</t>
        </is>
      </c>
      <c r="J167" s="30" t="inlineStr">
        <is>
          <t xml:space="preserve">M8 Competition</t>
        </is>
      </c>
      <c r="K167" s="30" t="inlineStr">
        <is>
          <t xml:space="preserve">RYWBY9DNUW807L0CH</t>
        </is>
      </c>
      <c r="L167" s="32" t="inlineStr">
        <is>
          <t xml:space="preserve">02 - Sports / GT</t>
        </is>
      </c>
      <c r="M167" s="35">
        <v>535000</v>
      </c>
      <c r="N167" s="32" t="inlineStr">
        <is>
          <t xml:space="preserve">Personal</t>
        </is>
      </c>
      <c r="O167" s="30" t="inlineStr">
        <is>
          <t xml:space="preserve">Personal - regular use</t>
        </is>
      </c>
      <c r="P167" s="30" t="inlineStr">
        <is>
          <t xml:space="preserve">1,000 - 2,500</t>
        </is>
      </c>
      <c r="Q167" s="30" t="inlineStr">
        <is>
          <t xml:space="preserve">North Carolina</t>
        </is>
      </c>
      <c r="R167" s="30" t="inlineStr">
        <is>
          <t xml:space="preserve">28202</t>
        </is>
      </c>
      <c r="S167" s="32" t="inlineStr">
        <is>
          <t xml:space="preserve">Tier 2 - Coastal wind (1-25 miles)</t>
        </is>
      </c>
      <c r="T167" s="36">
        <f>IF($A167="","",IF($S167="","",IFERROR(INDEX('[1]natural catastrophe'!$D$6:$D$17,MATCH($S167,'[1]natural catastrophe'!$B$6:$B$17,0)),"?")))</f>
      </c>
      <c r="U167" s="30" t="inlineStr">
        <is>
          <t xml:space="preserve">2% of agreed value, minimum $10,000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6266.55</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CANON-202604-006791</t>
        </is>
      </c>
      <c r="B168" s="46" t="inlineStr">
        <is>
          <t xml:space="preserve">Callum Okonkwo</t>
        </is>
      </c>
      <c r="C168" s="47">
        <v>46114</v>
      </c>
      <c r="D168" s="48" t="inlineStr">
        <is>
          <t xml:space="preserve">Bound - within authority</t>
        </is>
      </c>
      <c r="E168" s="48" t="inlineStr">
        <is>
          <t xml:space="preserve">New business</t>
        </is>
      </c>
      <c r="F168" s="46" t="inlineStr">
        <is>
          <t xml:space="preserve">B1234EXOTIC26</t>
        </is>
      </c>
      <c r="G168" s="33">
        <f>IF($A168="","",IF($C168="","",YEAR($C168)))</f>
      </c>
      <c r="H168" s="49">
        <v>2005</v>
      </c>
      <c r="I168" s="46" t="inlineStr">
        <is>
          <t xml:space="preserve">Ferrari</t>
        </is>
      </c>
      <c r="J168" s="46" t="inlineStr">
        <is>
          <t xml:space="preserve">275 GTB/4</t>
        </is>
      </c>
      <c r="K168" s="46" t="inlineStr">
        <is>
          <t xml:space="preserve">43CE9N98F89F2AWND</t>
        </is>
      </c>
      <c r="L168" s="48" t="inlineStr">
        <is>
          <t xml:space="preserve">09 - Youngtimer / Collectible (2000-2010)</t>
        </is>
      </c>
      <c r="M168" s="50">
        <v>805000</v>
      </c>
      <c r="N168" s="48" t="inlineStr">
        <is>
          <t xml:space="preserve">Personal</t>
        </is>
      </c>
      <c r="O168" s="46" t="inlineStr">
        <is>
          <t xml:space="preserve">Personal - regular use</t>
        </is>
      </c>
      <c r="P168" s="46" t="inlineStr">
        <is>
          <t xml:space="preserve">Under 1,000</t>
        </is>
      </c>
      <c r="Q168" s="46" t="inlineStr">
        <is>
          <t xml:space="preserve">Illinois</t>
        </is>
      </c>
      <c r="R168" s="46" t="inlineStr">
        <is>
          <t xml:space="preserve">60601</t>
        </is>
      </c>
      <c r="S168" s="48" t="inlineStr">
        <is>
          <t xml:space="preserve">Severe convective - hail / tornado (moderate)</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7376.78</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CANON-202604-006792</t>
        </is>
      </c>
      <c r="B169" s="30" t="inlineStr">
        <is>
          <t xml:space="preserve">Priya Thistlewood</t>
        </is>
      </c>
      <c r="C169" s="31">
        <v>46134</v>
      </c>
      <c r="D169" s="32" t="inlineStr">
        <is>
          <t xml:space="preserve">Bound - within authority</t>
        </is>
      </c>
      <c r="E169" s="32" t="inlineStr">
        <is>
          <t xml:space="preserve">New business</t>
        </is>
      </c>
      <c r="F169" s="30" t="inlineStr">
        <is>
          <t xml:space="preserve">B1234EXOTIC26</t>
        </is>
      </c>
      <c r="G169" s="33">
        <f>IF($A169="","",IF($C169="","",YEAR($C169)))</f>
      </c>
      <c r="H169" s="34">
        <v>1982</v>
      </c>
      <c r="I169" s="30" t="inlineStr">
        <is>
          <t xml:space="preserve">Aston Martin</t>
        </is>
      </c>
      <c r="J169" s="30" t="inlineStr">
        <is>
          <t xml:space="preserve">DB12</t>
        </is>
      </c>
      <c r="K169" s="30" t="inlineStr">
        <is>
          <t xml:space="preserve">XSN4EC1G4MC245AYW</t>
        </is>
      </c>
      <c r="L169" s="32" t="inlineStr">
        <is>
          <t xml:space="preserve">02 - Sports / GT</t>
        </is>
      </c>
      <c r="M169" s="35">
        <v>305000</v>
      </c>
      <c r="N169" s="32" t="inlineStr">
        <is>
          <t xml:space="preserve">Personal</t>
        </is>
      </c>
      <c r="O169" s="30" t="inlineStr">
        <is>
          <t xml:space="preserve">Personal - regular use</t>
        </is>
      </c>
      <c r="P169" s="30" t="inlineStr">
        <is>
          <t xml:space="preserve">Under 1,000</t>
        </is>
      </c>
      <c r="Q169" s="30" t="inlineStr">
        <is>
          <t xml:space="preserve">Oregon</t>
        </is>
      </c>
      <c r="R169" s="30" t="inlineStr">
        <is>
          <t xml:space="preserve">97204</t>
        </is>
      </c>
      <c r="S169" s="32" t="inlineStr">
        <is>
          <t xml:space="preserve">Earthquake - high (CA, Cascadia, New Madrid)</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4050.45</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CANON-202604-006794</t>
        </is>
      </c>
      <c r="B170" s="46" t="inlineStr">
        <is>
          <t xml:space="preserve">Wilhelmina Bellandi</t>
        </is>
      </c>
      <c r="C170" s="47">
        <v>46123</v>
      </c>
      <c r="D170" s="48" t="inlineStr">
        <is>
          <t xml:space="preserve">Bound - within authority</t>
        </is>
      </c>
      <c r="E170" s="48" t="inlineStr">
        <is>
          <t xml:space="preserve">New business</t>
        </is>
      </c>
      <c r="F170" s="46" t="inlineStr">
        <is>
          <t xml:space="preserve">B1234EXOTIC26</t>
        </is>
      </c>
      <c r="G170" s="33">
        <f>IF($A170="","",IF($C170="","",YEAR($C170)))</f>
      </c>
      <c r="H170" s="49">
        <v>1971</v>
      </c>
      <c r="I170" s="46" t="inlineStr">
        <is>
          <t xml:space="preserve">BMW</t>
        </is>
      </c>
      <c r="J170" s="46" t="inlineStr">
        <is>
          <t xml:space="preserve">M8 Competition</t>
        </is>
      </c>
      <c r="K170" s="46" t="inlineStr">
        <is>
          <t xml:space="preserve">6ALU055LFU0LTXE4H</t>
        </is>
      </c>
      <c r="L170" s="48" t="inlineStr">
        <is>
          <t xml:space="preserve">02 - Sports / GT</t>
        </is>
      </c>
      <c r="M170" s="50">
        <v>625000</v>
      </c>
      <c r="N170" s="48" t="inlineStr">
        <is>
          <t xml:space="preserve">Personal</t>
        </is>
      </c>
      <c r="O170" s="46" t="inlineStr">
        <is>
          <t xml:space="preserve">Personal - regular use</t>
        </is>
      </c>
      <c r="P170" s="46" t="inlineStr">
        <is>
          <t xml:space="preserve">1,000 - 2,500</t>
        </is>
      </c>
      <c r="Q170" s="46" t="inlineStr">
        <is>
          <t xml:space="preserve">Texas</t>
        </is>
      </c>
      <c r="R170" s="46" t="inlineStr">
        <is>
          <t xml:space="preserve">75201</t>
        </is>
      </c>
      <c r="S170" s="48" t="inlineStr">
        <is>
          <t xml:space="preserve">Tier 2 - Coastal wind (1-25 miles)</t>
        </is>
      </c>
      <c r="T170" s="36">
        <f>IF($A170="","",IF($S170="","",IFERROR(INDEX('[1]natural catastrophe'!$D$6:$D$17,MATCH($S170,'[1]natural catastrophe'!$B$6:$B$17,0)),"?")))</f>
      </c>
      <c r="U170" s="46" t="inlineStr">
        <is>
          <t xml:space="preserve">2% of agreed value, minimum $10,000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7320.74</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CANON-202604-006796</t>
        </is>
      </c>
      <c r="B171" s="30" t="inlineStr">
        <is>
          <t xml:space="preserve">Anouk Rourke</t>
        </is>
      </c>
      <c r="C171" s="31">
        <v>46124</v>
      </c>
      <c r="D171" s="32" t="inlineStr">
        <is>
          <t xml:space="preserve">Bound - within authority</t>
        </is>
      </c>
      <c r="E171" s="32" t="inlineStr">
        <is>
          <t xml:space="preserve">New business</t>
        </is>
      </c>
      <c r="F171" s="30" t="inlineStr">
        <is>
          <t xml:space="preserve">B1234EXOTIC26</t>
        </is>
      </c>
      <c r="G171" s="33">
        <f>IF($A171="","",IF($C171="","",YEAR($C171)))</f>
      </c>
      <c r="H171" s="34">
        <v>1959</v>
      </c>
      <c r="I171" s="30" t="inlineStr">
        <is>
          <t xml:space="preserve">Bentley</t>
        </is>
      </c>
      <c r="J171" s="30" t="inlineStr">
        <is>
          <t xml:space="preserve">Continental GT</t>
        </is>
      </c>
      <c r="K171" s="30" t="inlineStr">
        <is>
          <t xml:space="preserve">DNS3H0B0NAY1GHA5F</t>
        </is>
      </c>
      <c r="L171" s="32" t="inlineStr">
        <is>
          <t xml:space="preserve">02 - Sports / GT</t>
        </is>
      </c>
      <c r="M171" s="35">
        <v>590000</v>
      </c>
      <c r="N171" s="32" t="inlineStr">
        <is>
          <t xml:space="preserve">Personal</t>
        </is>
      </c>
      <c r="O171" s="30" t="inlineStr">
        <is>
          <t xml:space="preserve">Personal - regular use</t>
        </is>
      </c>
      <c r="P171" s="30" t="inlineStr">
        <is>
          <t xml:space="preserve">Under 1,000</t>
        </is>
      </c>
      <c r="Q171" s="30" t="inlineStr">
        <is>
          <t xml:space="preserve">Florida</t>
        </is>
      </c>
      <c r="R171" s="30" t="inlineStr">
        <is>
          <t xml:space="preserve">33139</t>
        </is>
      </c>
      <c r="S171" s="32" t="inlineStr">
        <is>
          <t xml:space="preserve">Tier 2 - Coastal wind (1-25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8533.31</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CANON-202604-006797</t>
        </is>
      </c>
      <c r="B172" s="46" t="inlineStr">
        <is>
          <t xml:space="preserve">Fitzgerald Thistlewood</t>
        </is>
      </c>
      <c r="C172" s="47">
        <v>46135</v>
      </c>
      <c r="D172" s="48" t="inlineStr">
        <is>
          <t xml:space="preserve">Bound - within authority</t>
        </is>
      </c>
      <c r="E172" s="48" t="inlineStr">
        <is>
          <t xml:space="preserve">New business</t>
        </is>
      </c>
      <c r="F172" s="46" t="inlineStr">
        <is>
          <t xml:space="preserve">B1234EXOTIC26</t>
        </is>
      </c>
      <c r="G172" s="33">
        <f>IF($A172="","",IF($C172="","",YEAR($C172)))</f>
      </c>
      <c r="H172" s="49">
        <v>1971</v>
      </c>
      <c r="I172" s="46" t="inlineStr">
        <is>
          <t xml:space="preserve">BMW</t>
        </is>
      </c>
      <c r="J172" s="46" t="inlineStr">
        <is>
          <t xml:space="preserve">M8 Competition</t>
        </is>
      </c>
      <c r="K172" s="46" t="inlineStr">
        <is>
          <t xml:space="preserve">4Z9UP76KB8L64R0NN</t>
        </is>
      </c>
      <c r="L172" s="48" t="inlineStr">
        <is>
          <t xml:space="preserve">02 - Sports / GT</t>
        </is>
      </c>
      <c r="M172" s="50">
        <v>620000</v>
      </c>
      <c r="N172" s="48" t="inlineStr">
        <is>
          <t xml:space="preserve">Personal</t>
        </is>
      </c>
      <c r="O172" s="46" t="inlineStr">
        <is>
          <t xml:space="preserve">Personal - regular use</t>
        </is>
      </c>
      <c r="P172" s="46" t="inlineStr">
        <is>
          <t xml:space="preserve">2,500 - 5,000</t>
        </is>
      </c>
      <c r="Q172" s="46" t="inlineStr">
        <is>
          <t xml:space="preserve">Colorado</t>
        </is>
      </c>
      <c r="R172" s="46" t="inlineStr">
        <is>
          <t xml:space="preserve">80202</t>
        </is>
      </c>
      <c r="S172" s="48" t="inlineStr">
        <is>
          <t xml:space="preserve">Severe convective - hail alley (high)</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6946.43</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CANON-202604-006798</t>
        </is>
      </c>
      <c r="B173" s="30" t="inlineStr">
        <is>
          <t xml:space="preserve">Cassius Fairweather</t>
        </is>
      </c>
      <c r="C173" s="31">
        <v>46135</v>
      </c>
      <c r="D173" s="32" t="inlineStr">
        <is>
          <t xml:space="preserve">Bound - within authority</t>
        </is>
      </c>
      <c r="E173" s="32" t="inlineStr">
        <is>
          <t xml:space="preserve">New business</t>
        </is>
      </c>
      <c r="F173" s="30" t="inlineStr">
        <is>
          <t xml:space="preserve">B1234EXOTIC26</t>
        </is>
      </c>
      <c r="G173" s="33">
        <f>IF($A173="","",IF($C173="","",YEAR($C173)))</f>
      </c>
      <c r="H173" s="34">
        <v>1976</v>
      </c>
      <c r="I173" s="30" t="inlineStr">
        <is>
          <t xml:space="preserve">Maserati</t>
        </is>
      </c>
      <c r="J173" s="30" t="inlineStr">
        <is>
          <t xml:space="preserve">GranTurismo</t>
        </is>
      </c>
      <c r="K173" s="30" t="inlineStr">
        <is>
          <t xml:space="preserve">JM0BTZ5LEZFNEKX7Z</t>
        </is>
      </c>
      <c r="L173" s="32" t="inlineStr">
        <is>
          <t xml:space="preserve">02 - Sports / GT</t>
        </is>
      </c>
      <c r="M173" s="35">
        <v>585000</v>
      </c>
      <c r="N173" s="32" t="inlineStr">
        <is>
          <t xml:space="preserve">Personal</t>
        </is>
      </c>
      <c r="O173" s="30" t="inlineStr">
        <is>
          <t xml:space="preserve">Personal - regular use</t>
        </is>
      </c>
      <c r="P173" s="30" t="inlineStr">
        <is>
          <t xml:space="preserve">Under 1,000</t>
        </is>
      </c>
      <c r="Q173" s="30" t="inlineStr">
        <is>
          <t xml:space="preserve">Virginia</t>
        </is>
      </c>
      <c r="R173" s="30" t="inlineStr">
        <is>
          <t xml:space="preserve">23219</t>
        </is>
      </c>
      <c r="S173" s="32" t="inlineStr">
        <is>
          <t xml:space="preserve">Tier 3 - Coastal wind (25-100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6494.71</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CANON-202604-006800</t>
        </is>
      </c>
      <c r="B174" s="46" t="inlineStr">
        <is>
          <t xml:space="preserve">Noor Whitlock</t>
        </is>
      </c>
      <c r="C174" s="47">
        <v>46133</v>
      </c>
      <c r="D174" s="48" t="inlineStr">
        <is>
          <t xml:space="preserve">Bound - within authority</t>
        </is>
      </c>
      <c r="E174" s="48" t="inlineStr">
        <is>
          <t xml:space="preserve">New business</t>
        </is>
      </c>
      <c r="F174" s="46" t="inlineStr">
        <is>
          <t xml:space="preserve">B1234EXOTIC26</t>
        </is>
      </c>
      <c r="G174" s="33">
        <f>IF($A174="","",IF($C174="","",YEAR($C174)))</f>
      </c>
      <c r="H174" s="49">
        <v>1987</v>
      </c>
      <c r="I174" s="46" t="inlineStr">
        <is>
          <t xml:space="preserve">Jaguar</t>
        </is>
      </c>
      <c r="J174" s="46" t="inlineStr">
        <is>
          <t xml:space="preserve">E-Type Series 1</t>
        </is>
      </c>
      <c r="K174" s="46" t="inlineStr">
        <is>
          <t xml:space="preserve">RR92JV1HWHRCM4ZN4</t>
        </is>
      </c>
      <c r="L174" s="48" t="inlineStr">
        <is>
          <t xml:space="preserve">08 - Modern Classic (1973-1999)</t>
        </is>
      </c>
      <c r="M174" s="50">
        <v>825000</v>
      </c>
      <c r="N174" s="48" t="inlineStr">
        <is>
          <t xml:space="preserve">Personal</t>
        </is>
      </c>
      <c r="O174" s="46" t="inlineStr">
        <is>
          <t xml:space="preserve">Personal - regular use</t>
        </is>
      </c>
      <c r="P174" s="46" t="inlineStr">
        <is>
          <t xml:space="preserve">1,000 - 2,500</t>
        </is>
      </c>
      <c r="Q174" s="46" t="inlineStr">
        <is>
          <t xml:space="preserve">Texas</t>
        </is>
      </c>
      <c r="R174" s="46" t="inlineStr">
        <is>
          <t xml:space="preserve">75201</t>
        </is>
      </c>
      <c r="S174" s="48" t="inlineStr">
        <is>
          <t xml:space="preserve">Tier 2 - Coastal wind (1-25 miles)</t>
        </is>
      </c>
      <c r="T174" s="36">
        <f>IF($A174="","",IF($S174="","",IFERROR(INDEX('[1]natural catastrophe'!$D$6:$D$17,MATCH($S174,'[1]natural catastrophe'!$B$6:$B$17,0)),"?")))</f>
      </c>
      <c r="U174" s="46" t="inlineStr">
        <is>
          <t xml:space="preserve">2% of agreed value, minimum $10,000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6392.7</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CANON-202604-006801</t>
        </is>
      </c>
      <c r="B175" s="30" t="inlineStr">
        <is>
          <t xml:space="preserve">Noor Kingsford</t>
        </is>
      </c>
      <c r="C175" s="31">
        <v>46123</v>
      </c>
      <c r="D175" s="32" t="inlineStr">
        <is>
          <t xml:space="preserve">Bound - within authority</t>
        </is>
      </c>
      <c r="E175" s="32" t="inlineStr">
        <is>
          <t xml:space="preserve">New business</t>
        </is>
      </c>
      <c r="F175" s="30" t="inlineStr">
        <is>
          <t xml:space="preserve">B1234EXOTIC26</t>
        </is>
      </c>
      <c r="G175" s="33">
        <f>IF($A175="","",IF($C175="","",YEAR($C175)))</f>
      </c>
      <c r="H175" s="34">
        <v>1999</v>
      </c>
      <c r="I175" s="30" t="inlineStr">
        <is>
          <t xml:space="preserve">Lamborghini</t>
        </is>
      </c>
      <c r="J175" s="30" t="inlineStr">
        <is>
          <t xml:space="preserve">Huracan EVO</t>
        </is>
      </c>
      <c r="K175" s="30" t="inlineStr">
        <is>
          <t xml:space="preserve">7TZUYV40WFMXD7YRM</t>
        </is>
      </c>
      <c r="L175" s="32" t="inlineStr">
        <is>
          <t xml:space="preserve">03 - Supercar</t>
        </is>
      </c>
      <c r="M175" s="35">
        <v>670000</v>
      </c>
      <c r="N175" s="32" t="inlineStr">
        <is>
          <t xml:space="preserve">Personal</t>
        </is>
      </c>
      <c r="O175" s="30" t="inlineStr">
        <is>
          <t xml:space="preserve">Personal - regular use</t>
        </is>
      </c>
      <c r="P175" s="30" t="inlineStr">
        <is>
          <t xml:space="preserve">2,500 - 5,000</t>
        </is>
      </c>
      <c r="Q175" s="30" t="inlineStr">
        <is>
          <t xml:space="preserve">North Carolina</t>
        </is>
      </c>
      <c r="R175" s="30" t="inlineStr">
        <is>
          <t xml:space="preserve">28202</t>
        </is>
      </c>
      <c r="S175" s="32" t="inlineStr">
        <is>
          <t xml:space="preserve">Tier 2 - Coastal wind (1-25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11469.91</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CANON-202604-006802</t>
        </is>
      </c>
      <c r="B176" s="46" t="inlineStr">
        <is>
          <t xml:space="preserve">Lorenzo Vandermeer</t>
        </is>
      </c>
      <c r="C176" s="47">
        <v>46117</v>
      </c>
      <c r="D176" s="48" t="inlineStr">
        <is>
          <t xml:space="preserve">Bound - within authority</t>
        </is>
      </c>
      <c r="E176" s="48" t="inlineStr">
        <is>
          <t xml:space="preserve">New business</t>
        </is>
      </c>
      <c r="F176" s="46" t="inlineStr">
        <is>
          <t xml:space="preserve">B1234EXOTIC26</t>
        </is>
      </c>
      <c r="G176" s="33">
        <f>IF($A176="","",IF($C176="","",YEAR($C176)))</f>
      </c>
      <c r="H176" s="49">
        <v>2011</v>
      </c>
      <c r="I176" s="46" t="inlineStr">
        <is>
          <t xml:space="preserve">Jaguar</t>
        </is>
      </c>
      <c r="J176" s="46" t="inlineStr">
        <is>
          <t xml:space="preserve">E-Type Series 1</t>
        </is>
      </c>
      <c r="K176" s="46" t="inlineStr">
        <is>
          <t xml:space="preserve">C3AEEXVGXND8A1NFE</t>
        </is>
      </c>
      <c r="L176" s="48" t="inlineStr">
        <is>
          <t xml:space="preserve">02 - Sports / GT</t>
        </is>
      </c>
      <c r="M176" s="50">
        <v>455000</v>
      </c>
      <c r="N176" s="48" t="inlineStr">
        <is>
          <t xml:space="preserve">Personal</t>
        </is>
      </c>
      <c r="O176" s="46" t="inlineStr">
        <is>
          <t xml:space="preserve">Personal - regular use</t>
        </is>
      </c>
      <c r="P176" s="46" t="inlineStr">
        <is>
          <t xml:space="preserve">2,500 - 5,000</t>
        </is>
      </c>
      <c r="Q176" s="46" t="inlineStr">
        <is>
          <t xml:space="preserve">California</t>
        </is>
      </c>
      <c r="R176" s="46" t="inlineStr">
        <is>
          <t xml:space="preserve">90012</t>
        </is>
      </c>
      <c r="S176" s="48" t="inlineStr">
        <is>
          <t xml:space="preserve">Earthquake - high (CA, Cascadia, New Madrid)</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4620.09</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CANON-202604-006803</t>
        </is>
      </c>
      <c r="B177" s="30" t="inlineStr">
        <is>
          <t xml:space="preserve">Saoirse Ashcombe</t>
        </is>
      </c>
      <c r="C177" s="31">
        <v>46138</v>
      </c>
      <c r="D177" s="32" t="inlineStr">
        <is>
          <t xml:space="preserve">Bound - within authority</t>
        </is>
      </c>
      <c r="E177" s="32" t="inlineStr">
        <is>
          <t xml:space="preserve">New business</t>
        </is>
      </c>
      <c r="F177" s="30" t="inlineStr">
        <is>
          <t xml:space="preserve">B1234EXOTIC26</t>
        </is>
      </c>
      <c r="G177" s="33">
        <f>IF($A177="","",IF($C177="","",YEAR($C177)))</f>
      </c>
      <c r="H177" s="34">
        <v>2003</v>
      </c>
      <c r="I177" s="30" t="inlineStr">
        <is>
          <t xml:space="preserve">Mercedes-Benz</t>
        </is>
      </c>
      <c r="J177" s="30" t="inlineStr">
        <is>
          <t xml:space="preserve">280SL Pagoda</t>
        </is>
      </c>
      <c r="K177" s="30" t="inlineStr">
        <is>
          <t xml:space="preserve">JAWHR427C9X8S9UKM</t>
        </is>
      </c>
      <c r="L177" s="32" t="inlineStr">
        <is>
          <t xml:space="preserve">09 - Youngtimer / Collectible (2000-2010)</t>
        </is>
      </c>
      <c r="M177" s="35">
        <v>600000</v>
      </c>
      <c r="N177" s="32" t="inlineStr">
        <is>
          <t xml:space="preserve">Personal</t>
        </is>
      </c>
      <c r="O177" s="30" t="inlineStr">
        <is>
          <t xml:space="preserve">Personal - regular use</t>
        </is>
      </c>
      <c r="P177" s="30" t="inlineStr">
        <is>
          <t xml:space="preserve">1,000 - 2,500</t>
        </is>
      </c>
      <c r="Q177" s="30" t="inlineStr">
        <is>
          <t xml:space="preserve">Kentucky</t>
        </is>
      </c>
      <c r="R177" s="30" t="inlineStr">
        <is>
          <t xml:space="preserve">40202</t>
        </is>
      </c>
      <c r="S177" s="32" t="inlineStr">
        <is>
          <t xml:space="preserve">Severe convective - hail / tornado (moderate)</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5417.37</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CANON-202604-006804</t>
        </is>
      </c>
      <c r="B178" s="46" t="inlineStr">
        <is>
          <t xml:space="preserve">Horace Bellandi</t>
        </is>
      </c>
      <c r="C178" s="47">
        <v>46139</v>
      </c>
      <c r="D178" s="48" t="inlineStr">
        <is>
          <t xml:space="preserve">Bound - within authority</t>
        </is>
      </c>
      <c r="E178" s="48" t="inlineStr">
        <is>
          <t xml:space="preserve">New business</t>
        </is>
      </c>
      <c r="F178" s="46" t="inlineStr">
        <is>
          <t xml:space="preserve">B1234EXOTIC26</t>
        </is>
      </c>
      <c r="G178" s="33">
        <f>IF($A178="","",IF($C178="","",YEAR($C178)))</f>
      </c>
      <c r="H178" s="49">
        <v>2002</v>
      </c>
      <c r="I178" s="46" t="inlineStr">
        <is>
          <t xml:space="preserve">Mercedes-Benz</t>
        </is>
      </c>
      <c r="J178" s="46" t="inlineStr">
        <is>
          <t xml:space="preserve">AMG GT</t>
        </is>
      </c>
      <c r="K178" s="46" t="inlineStr">
        <is>
          <t xml:space="preserve">LA9CL1S7S2S8U21NS</t>
        </is>
      </c>
      <c r="L178" s="48" t="inlineStr">
        <is>
          <t xml:space="preserve">02 - Sports / GT</t>
        </is>
      </c>
      <c r="M178" s="50">
        <v>885000</v>
      </c>
      <c r="N178" s="48" t="inlineStr">
        <is>
          <t xml:space="preserve">Personal</t>
        </is>
      </c>
      <c r="O178" s="46" t="inlineStr">
        <is>
          <t xml:space="preserve">Personal - regular use</t>
        </is>
      </c>
      <c r="P178" s="46" t="inlineStr">
        <is>
          <t xml:space="preserve">1,000 - 2,500</t>
        </is>
      </c>
      <c r="Q178" s="46" t="inlineStr">
        <is>
          <t xml:space="preserve">Florida</t>
        </is>
      </c>
      <c r="R178" s="46" t="inlineStr">
        <is>
          <t xml:space="preserve">33139</t>
        </is>
      </c>
      <c r="S178" s="48" t="inlineStr">
        <is>
          <t xml:space="preserve">Tier 2 - Coastal wind (1-25 miles)</t>
        </is>
      </c>
      <c r="T178" s="36">
        <f>IF($A178="","",IF($S178="","",IFERROR(INDEX('[1]natural catastrophe'!$D$6:$D$17,MATCH($S178,'[1]natural catastrophe'!$B$6:$B$17,0)),"?")))</f>
      </c>
      <c r="U178" s="46" t="inlineStr">
        <is>
          <t xml:space="preserve">2% of agreed value, minimum $10,000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12799.96</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CANON-202604-006805</t>
        </is>
      </c>
      <c r="B179" s="30" t="inlineStr">
        <is>
          <t xml:space="preserve">Emiliano Bellandi</t>
        </is>
      </c>
      <c r="C179" s="31">
        <v>46121</v>
      </c>
      <c r="D179" s="32" t="inlineStr">
        <is>
          <t xml:space="preserve">Bound - within authority</t>
        </is>
      </c>
      <c r="E179" s="32" t="inlineStr">
        <is>
          <t xml:space="preserve">New business</t>
        </is>
      </c>
      <c r="F179" s="30" t="inlineStr">
        <is>
          <t xml:space="preserve">B1234EXOTIC26</t>
        </is>
      </c>
      <c r="G179" s="33">
        <f>IF($A179="","",IF($C179="","",YEAR($C179)))</f>
      </c>
      <c r="H179" s="34">
        <v>1961</v>
      </c>
      <c r="I179" s="30" t="inlineStr">
        <is>
          <t xml:space="preserve">Mercedes-Benz</t>
        </is>
      </c>
      <c r="J179" s="30" t="inlineStr">
        <is>
          <t xml:space="preserve">AMG GT</t>
        </is>
      </c>
      <c r="K179" s="30" t="inlineStr">
        <is>
          <t xml:space="preserve">L6N2N8TMCDB5D1PWB</t>
        </is>
      </c>
      <c r="L179" s="32" t="inlineStr">
        <is>
          <t xml:space="preserve">02 - Sports / GT</t>
        </is>
      </c>
      <c r="M179" s="35">
        <v>860000</v>
      </c>
      <c r="N179" s="32" t="inlineStr">
        <is>
          <t xml:space="preserve">Personal</t>
        </is>
      </c>
      <c r="O179" s="30" t="inlineStr">
        <is>
          <t xml:space="preserve">Personal - regular use</t>
        </is>
      </c>
      <c r="P179" s="30" t="inlineStr">
        <is>
          <t xml:space="preserve">1,000 - 2,500</t>
        </is>
      </c>
      <c r="Q179" s="30" t="inlineStr">
        <is>
          <t xml:space="preserve">Kansas</t>
        </is>
      </c>
      <c r="R179" s="30" t="inlineStr">
        <is>
          <t xml:space="preserve">66603</t>
        </is>
      </c>
      <c r="S179" s="32" t="inlineStr">
        <is>
          <t xml:space="preserve">Severe convective - hail alley (high)</t>
        </is>
      </c>
      <c r="T179" s="36">
        <f>IF($A179="","",IF($S179="","",IFERROR(INDEX('[1]natural catastrophe'!$D$6:$D$17,MATCH($S179,'[1]natural catastrophe'!$B$6:$B$17,0)),"?")))</f>
      </c>
      <c r="U179" s="30" t="inlineStr">
        <is>
          <t xml:space="preserve">$5,000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8496.64</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CANON-202604-006807</t>
        </is>
      </c>
      <c r="B180" s="46" t="inlineStr">
        <is>
          <t xml:space="preserve">Emiliano Bellandi</t>
        </is>
      </c>
      <c r="C180" s="47">
        <v>46113</v>
      </c>
      <c r="D180" s="48" t="inlineStr">
        <is>
          <t xml:space="preserve">Bound - within authority</t>
        </is>
      </c>
      <c r="E180" s="48" t="inlineStr">
        <is>
          <t xml:space="preserve">New business</t>
        </is>
      </c>
      <c r="F180" s="46" t="inlineStr">
        <is>
          <t xml:space="preserve">B1234EXOTIC26</t>
        </is>
      </c>
      <c r="G180" s="33">
        <f>IF($A180="","",IF($C180="","",YEAR($C180)))</f>
      </c>
      <c r="H180" s="49">
        <v>1988</v>
      </c>
      <c r="I180" s="46" t="inlineStr">
        <is>
          <t xml:space="preserve">Maserati</t>
        </is>
      </c>
      <c r="J180" s="46" t="inlineStr">
        <is>
          <t xml:space="preserve">GranTurismo</t>
        </is>
      </c>
      <c r="K180" s="46" t="inlineStr">
        <is>
          <t xml:space="preserve">UD287WTLTX6KB4GV2</t>
        </is>
      </c>
      <c r="L180" s="48" t="inlineStr">
        <is>
          <t xml:space="preserve">02 - Sports / GT</t>
        </is>
      </c>
      <c r="M180" s="50">
        <v>860000</v>
      </c>
      <c r="N180" s="48" t="inlineStr">
        <is>
          <t xml:space="preserve">Personal</t>
        </is>
      </c>
      <c r="O180" s="46" t="inlineStr">
        <is>
          <t xml:space="preserve">Personal - regular use</t>
        </is>
      </c>
      <c r="P180" s="46" t="inlineStr">
        <is>
          <t xml:space="preserve">2,500 - 5,000</t>
        </is>
      </c>
      <c r="Q180" s="46" t="inlineStr">
        <is>
          <t xml:space="preserve">Connecticut</t>
        </is>
      </c>
      <c r="R180" s="46" t="inlineStr">
        <is>
          <t xml:space="preserve">06103</t>
        </is>
      </c>
      <c r="S180" s="48" t="inlineStr">
        <is>
          <t xml:space="preserve">Tier 3 - Coastal wind (25-100 miles)</t>
        </is>
      </c>
      <c r="T180" s="36">
        <f>IF($A180="","",IF($S180="","",IFERROR(INDEX('[1]natural catastrophe'!$D$6:$D$17,MATCH($S180,'[1]natural catastrophe'!$B$6:$B$17,0)),"?")))</f>
      </c>
      <c r="U180" s="46" t="inlineStr">
        <is>
          <t xml:space="preserve">2% of agreed value, minimum $10,000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9810.56</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CANON-202604-006809</t>
        </is>
      </c>
      <c r="B181" s="30" t="inlineStr">
        <is>
          <t xml:space="preserve">Ingrid Fairweather</t>
        </is>
      </c>
      <c r="C181" s="31">
        <v>46121</v>
      </c>
      <c r="D181" s="32" t="inlineStr">
        <is>
          <t xml:space="preserve">Bound - within authority</t>
        </is>
      </c>
      <c r="E181" s="32" t="inlineStr">
        <is>
          <t xml:space="preserve">New business</t>
        </is>
      </c>
      <c r="F181" s="30" t="inlineStr">
        <is>
          <t xml:space="preserve">B1234EXOTIC26</t>
        </is>
      </c>
      <c r="G181" s="33">
        <f>IF($A181="","",IF($C181="","",YEAR($C181)))</f>
      </c>
      <c r="H181" s="34">
        <v>1973</v>
      </c>
      <c r="I181" s="30" t="inlineStr">
        <is>
          <t xml:space="preserve">Bugatti</t>
        </is>
      </c>
      <c r="J181" s="30" t="inlineStr">
        <is>
          <t xml:space="preserve">Type 57</t>
        </is>
      </c>
      <c r="K181" s="30" t="inlineStr">
        <is>
          <t xml:space="preserve">0PN5C7V0ZXUNT5LC8</t>
        </is>
      </c>
      <c r="L181" s="32" t="inlineStr">
        <is>
          <t xml:space="preserve">08 - Modern Classic (1973-1999)</t>
        </is>
      </c>
      <c r="M181" s="35">
        <v>415000</v>
      </c>
      <c r="N181" s="32" t="inlineStr">
        <is>
          <t xml:space="preserve">Personal</t>
        </is>
      </c>
      <c r="O181" s="30" t="inlineStr">
        <is>
          <t xml:space="preserve">Personal - regular use</t>
        </is>
      </c>
      <c r="P181" s="30" t="inlineStr">
        <is>
          <t xml:space="preserve">1,000 - 2,500</t>
        </is>
      </c>
      <c r="Q181" s="30" t="inlineStr">
        <is>
          <t xml:space="preserve">New York</t>
        </is>
      </c>
      <c r="R181" s="30" t="inlineStr">
        <is>
          <t xml:space="preserve">10022</t>
        </is>
      </c>
      <c r="S181" s="32" t="inlineStr">
        <is>
          <t xml:space="preserve">Tier 3 - Coastal wind (25-100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3496</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CANON-202604-006810</t>
        </is>
      </c>
      <c r="B182" s="46" t="inlineStr">
        <is>
          <t xml:space="preserve">Fitzgerald Blackwood</t>
        </is>
      </c>
      <c r="C182" s="47">
        <v>46117</v>
      </c>
      <c r="D182" s="48" t="inlineStr">
        <is>
          <t xml:space="preserve">Bound - within authority</t>
        </is>
      </c>
      <c r="E182" s="48" t="inlineStr">
        <is>
          <t xml:space="preserve">New business</t>
        </is>
      </c>
      <c r="F182" s="46" t="inlineStr">
        <is>
          <t xml:space="preserve">B1234EXOTIC26</t>
        </is>
      </c>
      <c r="G182" s="33">
        <f>IF($A182="","",IF($C182="","",YEAR($C182)))</f>
      </c>
      <c r="H182" s="49">
        <v>1981</v>
      </c>
      <c r="I182" s="46" t="inlineStr">
        <is>
          <t xml:space="preserve">Aston Martin</t>
        </is>
      </c>
      <c r="J182" s="46" t="inlineStr">
        <is>
          <t xml:space="preserve">DB5</t>
        </is>
      </c>
      <c r="K182" s="46" t="inlineStr">
        <is>
          <t xml:space="preserve">D3DFYHKKFY85908X1</t>
        </is>
      </c>
      <c r="L182" s="48" t="inlineStr">
        <is>
          <t xml:space="preserve">08 - Modern Classic (1973-1999)</t>
        </is>
      </c>
      <c r="M182" s="50">
        <v>915000</v>
      </c>
      <c r="N182" s="48" t="inlineStr">
        <is>
          <t xml:space="preserve">Personal</t>
        </is>
      </c>
      <c r="O182" s="46" t="inlineStr">
        <is>
          <t xml:space="preserve">Personal - regular use</t>
        </is>
      </c>
      <c r="P182" s="46" t="inlineStr">
        <is>
          <t xml:space="preserve">2,500 - 5,000</t>
        </is>
      </c>
      <c r="Q182" s="46" t="inlineStr">
        <is>
          <t xml:space="preserve">Georgia</t>
        </is>
      </c>
      <c r="R182" s="46" t="inlineStr">
        <is>
          <t xml:space="preserve">30303</t>
        </is>
      </c>
      <c r="S182" s="48" t="inlineStr">
        <is>
          <t xml:space="preserve">Tier 2 - Coastal wind (1-25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6905.13</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CANON-202604-006813</t>
        </is>
      </c>
      <c r="B183" s="30" t="inlineStr">
        <is>
          <t xml:space="preserve">Desmond Farkas</t>
        </is>
      </c>
      <c r="C183" s="31">
        <v>46116</v>
      </c>
      <c r="D183" s="32" t="inlineStr">
        <is>
          <t xml:space="preserve">Bound - within authority</t>
        </is>
      </c>
      <c r="E183" s="32" t="inlineStr">
        <is>
          <t xml:space="preserve">New business</t>
        </is>
      </c>
      <c r="F183" s="30" t="inlineStr">
        <is>
          <t xml:space="preserve">B1234EXOTIC26</t>
        </is>
      </c>
      <c r="G183" s="33">
        <f>IF($A183="","",IF($C183="","",YEAR($C183)))</f>
      </c>
      <c r="H183" s="34">
        <v>1979</v>
      </c>
      <c r="I183" s="30" t="inlineStr">
        <is>
          <t xml:space="preserve">Aston Martin</t>
        </is>
      </c>
      <c r="J183" s="30" t="inlineStr">
        <is>
          <t xml:space="preserve">DB12</t>
        </is>
      </c>
      <c r="K183" s="30" t="inlineStr">
        <is>
          <t xml:space="preserve">F53D6CZPHXVHWYWDR</t>
        </is>
      </c>
      <c r="L183" s="32" t="inlineStr">
        <is>
          <t xml:space="preserve">02 - Sports / GT</t>
        </is>
      </c>
      <c r="M183" s="35">
        <v>810000</v>
      </c>
      <c r="N183" s="32" t="inlineStr">
        <is>
          <t xml:space="preserve">Personal</t>
        </is>
      </c>
      <c r="O183" s="30" t="inlineStr">
        <is>
          <t xml:space="preserve">Personal - regular use</t>
        </is>
      </c>
      <c r="P183" s="30" t="inlineStr">
        <is>
          <t xml:space="preserve">1,000 - 2,500</t>
        </is>
      </c>
      <c r="Q183" s="30" t="inlineStr">
        <is>
          <t xml:space="preserve">Delaware</t>
        </is>
      </c>
      <c r="R183" s="30" t="inlineStr">
        <is>
          <t xml:space="preserve">19801</t>
        </is>
      </c>
      <c r="S183" s="32" t="inlineStr">
        <is>
          <t xml:space="preserve">Tier 3 - Coastal wind (25-100 miles)</t>
        </is>
      </c>
      <c r="T183" s="36">
        <f>IF($A183="","",IF($S183="","",IFERROR(INDEX('[1]natural catastrophe'!$D$6:$D$17,MATCH($S183,'[1]natural catastrophe'!$B$6:$B$17,0)),"?")))</f>
      </c>
      <c r="U183" s="30" t="inlineStr">
        <is>
          <t xml:space="preserve">2% of agreed value, minimum $10,000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10312.69</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CANON-202604-006814</t>
        </is>
      </c>
      <c r="B184" s="46" t="inlineStr">
        <is>
          <t xml:space="preserve">Anouk Rourke</t>
        </is>
      </c>
      <c r="C184" s="47">
        <v>46115</v>
      </c>
      <c r="D184" s="48" t="inlineStr">
        <is>
          <t xml:space="preserve">Bound - within authority</t>
        </is>
      </c>
      <c r="E184" s="48" t="inlineStr">
        <is>
          <t xml:space="preserve">New business</t>
        </is>
      </c>
      <c r="F184" s="46" t="inlineStr">
        <is>
          <t xml:space="preserve">B1234EXOTIC26</t>
        </is>
      </c>
      <c r="G184" s="33">
        <f>IF($A184="","",IF($C184="","",YEAR($C184)))</f>
      </c>
      <c r="H184" s="49">
        <v>1978</v>
      </c>
      <c r="I184" s="46" t="inlineStr">
        <is>
          <t xml:space="preserve">Mercedes-Benz</t>
        </is>
      </c>
      <c r="J184" s="46" t="inlineStr">
        <is>
          <t xml:space="preserve">AMG GT</t>
        </is>
      </c>
      <c r="K184" s="46" t="inlineStr">
        <is>
          <t xml:space="preserve">JAJCB1XK21NCXDRL9</t>
        </is>
      </c>
      <c r="L184" s="48" t="inlineStr">
        <is>
          <t xml:space="preserve">02 - Sports / GT</t>
        </is>
      </c>
      <c r="M184" s="50">
        <v>455000</v>
      </c>
      <c r="N184" s="48" t="inlineStr">
        <is>
          <t xml:space="preserve">Personal</t>
        </is>
      </c>
      <c r="O184" s="46" t="inlineStr">
        <is>
          <t xml:space="preserve">Personal - regular use</t>
        </is>
      </c>
      <c r="P184" s="46" t="inlineStr">
        <is>
          <t xml:space="preserve">Under 1,000</t>
        </is>
      </c>
      <c r="Q184" s="46" t="inlineStr">
        <is>
          <t xml:space="preserve">Tennessee</t>
        </is>
      </c>
      <c r="R184" s="46" t="inlineStr">
        <is>
          <t xml:space="preserve">37203</t>
        </is>
      </c>
      <c r="S184" s="48" t="inlineStr">
        <is>
          <t xml:space="preserve">Severe convective - hail / tornado (moderate)</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5240.38</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CANON-202604-006815</t>
        </is>
      </c>
      <c r="B185" s="30" t="inlineStr">
        <is>
          <t xml:space="preserve">Ramona Bellandi</t>
        </is>
      </c>
      <c r="C185" s="31">
        <v>46121</v>
      </c>
      <c r="D185" s="32" t="inlineStr">
        <is>
          <t xml:space="preserve">Bound - within authority</t>
        </is>
      </c>
      <c r="E185" s="32" t="inlineStr">
        <is>
          <t xml:space="preserve">New business</t>
        </is>
      </c>
      <c r="F185" s="30" t="inlineStr">
        <is>
          <t xml:space="preserve">B1234EXOTIC26</t>
        </is>
      </c>
      <c r="G185" s="33">
        <f>IF($A185="","",IF($C185="","",YEAR($C185)))</f>
      </c>
      <c r="H185" s="34">
        <v>1985</v>
      </c>
      <c r="I185" s="30" t="inlineStr">
        <is>
          <t xml:space="preserve">McLaren</t>
        </is>
      </c>
      <c r="J185" s="30" t="inlineStr">
        <is>
          <t xml:space="preserve">750S</t>
        </is>
      </c>
      <c r="K185" s="30" t="inlineStr">
        <is>
          <t xml:space="preserve">10PMS2S3W37R4ZGZT</t>
        </is>
      </c>
      <c r="L185" s="32" t="inlineStr">
        <is>
          <t xml:space="preserve">03 - Supercar</t>
        </is>
      </c>
      <c r="M185" s="35">
        <v>405000</v>
      </c>
      <c r="N185" s="32" t="inlineStr">
        <is>
          <t xml:space="preserve">Personal</t>
        </is>
      </c>
      <c r="O185" s="30" t="inlineStr">
        <is>
          <t xml:space="preserve">Personal - regular use</t>
        </is>
      </c>
      <c r="P185" s="30" t="inlineStr">
        <is>
          <t xml:space="preserve">2,500 - 5,000</t>
        </is>
      </c>
      <c r="Q185" s="30" t="inlineStr">
        <is>
          <t xml:space="preserve">Missouri</t>
        </is>
      </c>
      <c r="R185" s="30" t="inlineStr">
        <is>
          <t xml:space="preserve">63101</t>
        </is>
      </c>
      <c r="S185" s="32" t="inlineStr">
        <is>
          <t xml:space="preserve">Severe convective - hail / tornado (moderate)</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7736.11</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CANON-202604-006818</t>
        </is>
      </c>
      <c r="B186" s="46" t="inlineStr">
        <is>
          <t xml:space="preserve">Fitzgerald Vandermeer</t>
        </is>
      </c>
      <c r="C186" s="47">
        <v>46139</v>
      </c>
      <c r="D186" s="48" t="inlineStr">
        <is>
          <t xml:space="preserve">Bound - within authority</t>
        </is>
      </c>
      <c r="E186" s="48" t="inlineStr">
        <is>
          <t xml:space="preserve">New business</t>
        </is>
      </c>
      <c r="F186" s="46" t="inlineStr">
        <is>
          <t xml:space="preserve">B1234EXOTIC26</t>
        </is>
      </c>
      <c r="G186" s="33">
        <f>IF($A186="","",IF($C186="","",YEAR($C186)))</f>
      </c>
      <c r="H186" s="49">
        <v>1972</v>
      </c>
      <c r="I186" s="46" t="inlineStr">
        <is>
          <t xml:space="preserve">Aston Martin</t>
        </is>
      </c>
      <c r="J186" s="46" t="inlineStr">
        <is>
          <t xml:space="preserve">DB5</t>
        </is>
      </c>
      <c r="K186" s="46" t="inlineStr">
        <is>
          <t xml:space="preserve">VBNXKYMAAF1G6N713</t>
        </is>
      </c>
      <c r="L186" s="48" t="inlineStr">
        <is>
          <t xml:space="preserve">07 - Post-War Classic (1946-1972)</t>
        </is>
      </c>
      <c r="M186" s="50">
        <v>830000</v>
      </c>
      <c r="N186" s="48" t="inlineStr">
        <is>
          <t xml:space="preserve">Personal</t>
        </is>
      </c>
      <c r="O186" s="46" t="inlineStr">
        <is>
          <t xml:space="preserve">Personal - regular use</t>
        </is>
      </c>
      <c r="P186" s="46" t="inlineStr">
        <is>
          <t xml:space="preserve">Under 1,000</t>
        </is>
      </c>
      <c r="Q186" s="46" t="inlineStr">
        <is>
          <t xml:space="preserve">South Carolina</t>
        </is>
      </c>
      <c r="R186" s="46" t="inlineStr">
        <is>
          <t xml:space="preserve">29401</t>
        </is>
      </c>
      <c r="S186" s="48" t="inlineStr">
        <is>
          <t xml:space="preserve">Tier 2 - Coastal wind (1-25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6934.77</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CANON-202604-006819</t>
        </is>
      </c>
      <c r="B187" s="30" t="inlineStr">
        <is>
          <t xml:space="preserve">Delphine Larsson</t>
        </is>
      </c>
      <c r="C187" s="31">
        <v>46117</v>
      </c>
      <c r="D187" s="32" t="inlineStr">
        <is>
          <t xml:space="preserve">Bound - within authority</t>
        </is>
      </c>
      <c r="E187" s="32" t="inlineStr">
        <is>
          <t xml:space="preserve">New business</t>
        </is>
      </c>
      <c r="F187" s="30" t="inlineStr">
        <is>
          <t xml:space="preserve">B1234EXOTIC26</t>
        </is>
      </c>
      <c r="G187" s="33">
        <f>IF($A187="","",IF($C187="","",YEAR($C187)))</f>
      </c>
      <c r="H187" s="34">
        <v>1996</v>
      </c>
      <c r="I187" s="30" t="inlineStr">
        <is>
          <t xml:space="preserve">Aston Martin</t>
        </is>
      </c>
      <c r="J187" s="30" t="inlineStr">
        <is>
          <t xml:space="preserve">DB12</t>
        </is>
      </c>
      <c r="K187" s="30" t="inlineStr">
        <is>
          <t xml:space="preserve">X62DKCPU6ETJPV3HF</t>
        </is>
      </c>
      <c r="L187" s="32" t="inlineStr">
        <is>
          <t xml:space="preserve">02 - Sports / GT</t>
        </is>
      </c>
      <c r="M187" s="35">
        <v>890000</v>
      </c>
      <c r="N187" s="32" t="inlineStr">
        <is>
          <t xml:space="preserve">Personal</t>
        </is>
      </c>
      <c r="O187" s="30" t="inlineStr">
        <is>
          <t xml:space="preserve">Personal - regular use</t>
        </is>
      </c>
      <c r="P187" s="30" t="inlineStr">
        <is>
          <t xml:space="preserve">2,500 - 5,000</t>
        </is>
      </c>
      <c r="Q187" s="30" t="inlineStr">
        <is>
          <t xml:space="preserve">Florida</t>
        </is>
      </c>
      <c r="R187" s="30" t="inlineStr">
        <is>
          <t xml:space="preserve">33139</t>
        </is>
      </c>
      <c r="S187" s="32" t="inlineStr">
        <is>
          <t xml:space="preserve">Tier 2 - Coastal wind (1-25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12872.28</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CANON-202604-006822</t>
        </is>
      </c>
      <c r="B188" s="46" t="inlineStr">
        <is>
          <t xml:space="preserve">Fenwick Vasquez</t>
        </is>
      </c>
      <c r="C188" s="47">
        <v>46133</v>
      </c>
      <c r="D188" s="48" t="inlineStr">
        <is>
          <t xml:space="preserve">Bound - within authority</t>
        </is>
      </c>
      <c r="E188" s="48" t="inlineStr">
        <is>
          <t xml:space="preserve">New business</t>
        </is>
      </c>
      <c r="F188" s="46" t="inlineStr">
        <is>
          <t xml:space="preserve">B1234EXOTIC26</t>
        </is>
      </c>
      <c r="G188" s="33">
        <f>IF($A188="","",IF($C188="","",YEAR($C188)))</f>
      </c>
      <c r="H188" s="49">
        <v>2003</v>
      </c>
      <c r="I188" s="46" t="inlineStr">
        <is>
          <t xml:space="preserve">Aston Martin</t>
        </is>
      </c>
      <c r="J188" s="46" t="inlineStr">
        <is>
          <t xml:space="preserve">DB12</t>
        </is>
      </c>
      <c r="K188" s="46" t="inlineStr">
        <is>
          <t xml:space="preserve">4Z5HLRT0P3E2U94BB</t>
        </is>
      </c>
      <c r="L188" s="48" t="inlineStr">
        <is>
          <t xml:space="preserve">02 - Sports / GT</t>
        </is>
      </c>
      <c r="M188" s="50">
        <v>410000</v>
      </c>
      <c r="N188" s="48" t="inlineStr">
        <is>
          <t xml:space="preserve">Personal</t>
        </is>
      </c>
      <c r="O188" s="46" t="inlineStr">
        <is>
          <t xml:space="preserve">Personal - regular use</t>
        </is>
      </c>
      <c r="P188" s="46" t="inlineStr">
        <is>
          <t xml:space="preserve">2,500 - 5,000</t>
        </is>
      </c>
      <c r="Q188" s="46" t="inlineStr">
        <is>
          <t xml:space="preserve">Kentucky</t>
        </is>
      </c>
      <c r="R188" s="46" t="inlineStr">
        <is>
          <t xml:space="preserve">40202</t>
        </is>
      </c>
      <c r="S188" s="48" t="inlineStr">
        <is>
          <t xml:space="preserve">Severe convective - hail / tornado (moderate)</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6456.75</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CANON-202604-006823</t>
        </is>
      </c>
      <c r="B189" s="30" t="inlineStr">
        <is>
          <t xml:space="preserve">Lorenzo Merriweather</t>
        </is>
      </c>
      <c r="C189" s="31">
        <v>46115</v>
      </c>
      <c r="D189" s="32" t="inlineStr">
        <is>
          <t xml:space="preserve">Bound - within authority</t>
        </is>
      </c>
      <c r="E189" s="32" t="inlineStr">
        <is>
          <t xml:space="preserve">New business</t>
        </is>
      </c>
      <c r="F189" s="30" t="inlineStr">
        <is>
          <t xml:space="preserve">B1234EXOTIC26</t>
        </is>
      </c>
      <c r="G189" s="33">
        <f>IF($A189="","",IF($C189="","",YEAR($C189)))</f>
      </c>
      <c r="H189" s="34">
        <v>1989</v>
      </c>
      <c r="I189" s="30" t="inlineStr">
        <is>
          <t xml:space="preserve">Porsche</t>
        </is>
      </c>
      <c r="J189" s="30" t="inlineStr">
        <is>
          <t xml:space="preserve">911 Turbo S</t>
        </is>
      </c>
      <c r="K189" s="30" t="inlineStr">
        <is>
          <t xml:space="preserve">73LM8WHG1G1TRBLWF</t>
        </is>
      </c>
      <c r="L189" s="32" t="inlineStr">
        <is>
          <t xml:space="preserve">02 - Sports / GT</t>
        </is>
      </c>
      <c r="M189" s="35">
        <v>465000</v>
      </c>
      <c r="N189" s="32" t="inlineStr">
        <is>
          <t xml:space="preserve">Personal</t>
        </is>
      </c>
      <c r="O189" s="30" t="inlineStr">
        <is>
          <t xml:space="preserve">Personal - regular use</t>
        </is>
      </c>
      <c r="P189" s="30" t="inlineStr">
        <is>
          <t xml:space="preserve">2,500 - 5,000</t>
        </is>
      </c>
      <c r="Q189" s="30" t="inlineStr">
        <is>
          <t xml:space="preserve">Wisconsin</t>
        </is>
      </c>
      <c r="R189" s="30" t="inlineStr">
        <is>
          <t xml:space="preserve">53202</t>
        </is>
      </c>
      <c r="S189" s="32" t="inlineStr">
        <is>
          <t xml:space="preserve">Severe convective - hail / tornado (moderate)</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6557.82</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CANON-202604-006825</t>
        </is>
      </c>
      <c r="B190" s="46" t="inlineStr">
        <is>
          <t xml:space="preserve">Ingrid Montoya</t>
        </is>
      </c>
      <c r="C190" s="47">
        <v>46113</v>
      </c>
      <c r="D190" s="48" t="inlineStr">
        <is>
          <t xml:space="preserve">Bound - within authority</t>
        </is>
      </c>
      <c r="E190" s="48" t="inlineStr">
        <is>
          <t xml:space="preserve">New business</t>
        </is>
      </c>
      <c r="F190" s="46" t="inlineStr">
        <is>
          <t xml:space="preserve">B1234EXOTIC26</t>
        </is>
      </c>
      <c r="G190" s="33">
        <f>IF($A190="","",IF($C190="","",YEAR($C190)))</f>
      </c>
      <c r="H190" s="49">
        <v>1984</v>
      </c>
      <c r="I190" s="46" t="inlineStr">
        <is>
          <t xml:space="preserve">Singer</t>
        </is>
      </c>
      <c r="J190" s="46" t="inlineStr">
        <is>
          <t xml:space="preserve">911 Reimagined</t>
        </is>
      </c>
      <c r="K190" s="46" t="inlineStr">
        <is>
          <t xml:space="preserve">HD938DX47WK9X5CMX</t>
        </is>
      </c>
      <c r="L190" s="48" t="inlineStr">
        <is>
          <t xml:space="preserve">11 - Restomod / Coachbuilt / Bespoke</t>
        </is>
      </c>
      <c r="M190" s="50">
        <v>740000</v>
      </c>
      <c r="N190" s="48" t="inlineStr">
        <is>
          <t xml:space="preserve">Personal</t>
        </is>
      </c>
      <c r="O190" s="46" t="inlineStr">
        <is>
          <t xml:space="preserve">Personal - regular use</t>
        </is>
      </c>
      <c r="P190" s="46" t="inlineStr">
        <is>
          <t xml:space="preserve">Under 1,000</t>
        </is>
      </c>
      <c r="Q190" s="46" t="inlineStr">
        <is>
          <t xml:space="preserve">Texas</t>
        </is>
      </c>
      <c r="R190" s="46" t="inlineStr">
        <is>
          <t xml:space="preserve">75201</t>
        </is>
      </c>
      <c r="S190" s="48" t="inlineStr">
        <is>
          <t xml:space="preserve">Tier 2 - Coastal wind (1-25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10401.31</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CANON-202604-006826</t>
        </is>
      </c>
      <c r="B191" s="30" t="inlineStr">
        <is>
          <t xml:space="preserve">Cassius Vandermeer</t>
        </is>
      </c>
      <c r="C191" s="31">
        <v>46114</v>
      </c>
      <c r="D191" s="32" t="inlineStr">
        <is>
          <t xml:space="preserve">Bound - within authority</t>
        </is>
      </c>
      <c r="E191" s="32" t="inlineStr">
        <is>
          <t xml:space="preserve">New business</t>
        </is>
      </c>
      <c r="F191" s="30" t="inlineStr">
        <is>
          <t xml:space="preserve">B1234EXOTIC26</t>
        </is>
      </c>
      <c r="G191" s="33">
        <f>IF($A191="","",IF($C191="","",YEAR($C191)))</f>
      </c>
      <c r="H191" s="34">
        <v>1961</v>
      </c>
      <c r="I191" s="30" t="inlineStr">
        <is>
          <t xml:space="preserve">Porsche</t>
        </is>
      </c>
      <c r="J191" s="30" t="inlineStr">
        <is>
          <t xml:space="preserve">911 Turbo S</t>
        </is>
      </c>
      <c r="K191" s="30" t="inlineStr">
        <is>
          <t xml:space="preserve">VPTE7YRLJXWAHTSC1</t>
        </is>
      </c>
      <c r="L191" s="32" t="inlineStr">
        <is>
          <t xml:space="preserve">02 - Sports / GT</t>
        </is>
      </c>
      <c r="M191" s="35">
        <v>575000</v>
      </c>
      <c r="N191" s="32" t="inlineStr">
        <is>
          <t xml:space="preserve">Personal</t>
        </is>
      </c>
      <c r="O191" s="30" t="inlineStr">
        <is>
          <t xml:space="preserve">Personal - regular use</t>
        </is>
      </c>
      <c r="P191" s="30" t="inlineStr">
        <is>
          <t xml:space="preserve">Under 1,000</t>
        </is>
      </c>
      <c r="Q191" s="30" t="inlineStr">
        <is>
          <t xml:space="preserve">Massachusetts</t>
        </is>
      </c>
      <c r="R191" s="30" t="inlineStr">
        <is>
          <t xml:space="preserve">02108</t>
        </is>
      </c>
      <c r="S191" s="32" t="inlineStr">
        <is>
          <t xml:space="preserve">Tier 3 - Coastal wind (25-100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7320.74</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CANON-202604-006828</t>
        </is>
      </c>
      <c r="B192" s="46" t="inlineStr">
        <is>
          <t xml:space="preserve">Leopold Castellanos</t>
        </is>
      </c>
      <c r="C192" s="47">
        <v>46117</v>
      </c>
      <c r="D192" s="48" t="inlineStr">
        <is>
          <t xml:space="preserve">Bound - within authority</t>
        </is>
      </c>
      <c r="E192" s="48" t="inlineStr">
        <is>
          <t xml:space="preserve">New business</t>
        </is>
      </c>
      <c r="F192" s="46" t="inlineStr">
        <is>
          <t xml:space="preserve">B1234EXOTIC26</t>
        </is>
      </c>
      <c r="G192" s="33">
        <f>IF($A192="","",IF($C192="","",YEAR($C192)))</f>
      </c>
      <c r="H192" s="49">
        <v>1976</v>
      </c>
      <c r="I192" s="46" t="inlineStr">
        <is>
          <t xml:space="preserve">Mercedes-Benz</t>
        </is>
      </c>
      <c r="J192" s="46" t="inlineStr">
        <is>
          <t xml:space="preserve">AMG GT</t>
        </is>
      </c>
      <c r="K192" s="46" t="inlineStr">
        <is>
          <t xml:space="preserve">4DXDLE8LBFFJMWT73</t>
        </is>
      </c>
      <c r="L192" s="48" t="inlineStr">
        <is>
          <t xml:space="preserve">02 - Sports / GT</t>
        </is>
      </c>
      <c r="M192" s="50">
        <v>900000</v>
      </c>
      <c r="N192" s="48" t="inlineStr">
        <is>
          <t xml:space="preserve">Personal</t>
        </is>
      </c>
      <c r="O192" s="46" t="inlineStr">
        <is>
          <t xml:space="preserve">Personal - regular use</t>
        </is>
      </c>
      <c r="P192" s="46" t="inlineStr">
        <is>
          <t xml:space="preserve">Under 1,000</t>
        </is>
      </c>
      <c r="Q192" s="46" t="inlineStr">
        <is>
          <t xml:space="preserve">Florida</t>
        </is>
      </c>
      <c r="R192" s="46" t="inlineStr">
        <is>
          <t xml:space="preserve">33139</t>
        </is>
      </c>
      <c r="S192" s="48" t="inlineStr">
        <is>
          <t xml:space="preserve">Tier 2 - Coastal wind (1-25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13016.91</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CANON-202604-006829</t>
        </is>
      </c>
      <c r="B193" s="30" t="inlineStr">
        <is>
          <t xml:space="preserve">Beatrix Castellanos</t>
        </is>
      </c>
      <c r="C193" s="31">
        <v>46120</v>
      </c>
      <c r="D193" s="32" t="inlineStr">
        <is>
          <t xml:space="preserve">Bound - within authority</t>
        </is>
      </c>
      <c r="E193" s="32" t="inlineStr">
        <is>
          <t xml:space="preserve">New business</t>
        </is>
      </c>
      <c r="F193" s="30" t="inlineStr">
        <is>
          <t xml:space="preserve">B1234EXOTIC26</t>
        </is>
      </c>
      <c r="G193" s="33">
        <f>IF($A193="","",IF($C193="","",YEAR($C193)))</f>
      </c>
      <c r="H193" s="34">
        <v>2017</v>
      </c>
      <c r="I193" s="30" t="inlineStr">
        <is>
          <t xml:space="preserve">Mercedes-Benz</t>
        </is>
      </c>
      <c r="J193" s="30" t="inlineStr">
        <is>
          <t xml:space="preserve">280SL Pagoda</t>
        </is>
      </c>
      <c r="K193" s="30" t="inlineStr">
        <is>
          <t xml:space="preserve">HET25VNBFLPZHJ9VX</t>
        </is>
      </c>
      <c r="L193" s="32" t="inlineStr">
        <is>
          <t xml:space="preserve">02 - Sports / GT</t>
        </is>
      </c>
      <c r="M193" s="35">
        <v>1265000</v>
      </c>
      <c r="N193" s="32" t="inlineStr">
        <is>
          <t xml:space="preserve">Personal</t>
        </is>
      </c>
      <c r="O193" s="30" t="inlineStr">
        <is>
          <t xml:space="preserve">Personal - regular use</t>
        </is>
      </c>
      <c r="P193" s="30" t="inlineStr">
        <is>
          <t xml:space="preserve">1,000 - 2,500</t>
        </is>
      </c>
      <c r="Q193" s="30" t="inlineStr">
        <is>
          <t xml:space="preserve">Massachusetts</t>
        </is>
      </c>
      <c r="R193" s="30" t="inlineStr">
        <is>
          <t xml:space="preserve">02108</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9415.59</v>
      </c>
      <c r="AC193" s="37">
        <v>0</v>
      </c>
      <c r="AD193" s="38">
        <f>IF(ISNUMBER($AB193),$AB193*(1+N($AC193)),"")</f>
      </c>
      <c r="AE193" s="35">
        <v>350</v>
      </c>
      <c r="AF193" s="35">
        <v>250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CANON-202604-006830</t>
        </is>
      </c>
      <c r="B194" s="46" t="inlineStr">
        <is>
          <t xml:space="preserve">Cassius Chattopadhyay</t>
        </is>
      </c>
      <c r="C194" s="47">
        <v>46141</v>
      </c>
      <c r="D194" s="48" t="inlineStr">
        <is>
          <t xml:space="preserve">Bound - within authority</t>
        </is>
      </c>
      <c r="E194" s="48" t="inlineStr">
        <is>
          <t xml:space="preserve">New business</t>
        </is>
      </c>
      <c r="F194" s="46" t="inlineStr">
        <is>
          <t xml:space="preserve">B1234EXOTIC26</t>
        </is>
      </c>
      <c r="G194" s="33">
        <f>IF($A194="","",IF($C194="","",YEAR($C194)))</f>
      </c>
      <c r="H194" s="49">
        <v>1990</v>
      </c>
      <c r="I194" s="46" t="inlineStr">
        <is>
          <t xml:space="preserve">Lamborghini</t>
        </is>
      </c>
      <c r="J194" s="46" t="inlineStr">
        <is>
          <t xml:space="preserve">Huracan EVO</t>
        </is>
      </c>
      <c r="K194" s="46" t="inlineStr">
        <is>
          <t xml:space="preserve">FXHXVYZFXD8LYB4F3</t>
        </is>
      </c>
      <c r="L194" s="48" t="inlineStr">
        <is>
          <t xml:space="preserve">03 - Supercar</t>
        </is>
      </c>
      <c r="M194" s="50">
        <v>1080000</v>
      </c>
      <c r="N194" s="48" t="inlineStr">
        <is>
          <t xml:space="preserve">Personal</t>
        </is>
      </c>
      <c r="O194" s="46" t="inlineStr">
        <is>
          <t xml:space="preserve">Personal - regular use</t>
        </is>
      </c>
      <c r="P194" s="46" t="inlineStr">
        <is>
          <t xml:space="preserve">Under 1,000</t>
        </is>
      </c>
      <c r="Q194" s="46" t="inlineStr">
        <is>
          <t xml:space="preserve">Washington</t>
        </is>
      </c>
      <c r="R194" s="46" t="inlineStr">
        <is>
          <t xml:space="preserve">98101</t>
        </is>
      </c>
      <c r="S194" s="48" t="inlineStr">
        <is>
          <t xml:space="preserve">Earthquake - high (CA, Cascadia, New Madrid)</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12997.17</v>
      </c>
      <c r="AC194" s="51">
        <v>0</v>
      </c>
      <c r="AD194" s="38">
        <f>IF(ISNUMBER($AB194),$AB194*(1+N($AC194)),"")</f>
      </c>
      <c r="AE194" s="50">
        <v>350</v>
      </c>
      <c r="AF194" s="50">
        <v>250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CANON-202604-006831</t>
        </is>
      </c>
      <c r="B195" s="30" t="inlineStr">
        <is>
          <t xml:space="preserve">Horace Chattopadhyay</t>
        </is>
      </c>
      <c r="C195" s="31">
        <v>46137</v>
      </c>
      <c r="D195" s="32" t="inlineStr">
        <is>
          <t xml:space="preserve">Bound - within authority</t>
        </is>
      </c>
      <c r="E195" s="32" t="inlineStr">
        <is>
          <t xml:space="preserve">New business</t>
        </is>
      </c>
      <c r="F195" s="30" t="inlineStr">
        <is>
          <t xml:space="preserve">B1234EXOTIC26</t>
        </is>
      </c>
      <c r="G195" s="33">
        <f>IF($A195="","",IF($C195="","",YEAR($C195)))</f>
      </c>
      <c r="H195" s="34">
        <v>1977</v>
      </c>
      <c r="I195" s="30" t="inlineStr">
        <is>
          <t xml:space="preserve">BMW</t>
        </is>
      </c>
      <c r="J195" s="30" t="inlineStr">
        <is>
          <t xml:space="preserve">M8 Competition</t>
        </is>
      </c>
      <c r="K195" s="30" t="inlineStr">
        <is>
          <t xml:space="preserve">DP0VVG994HRSY9H67</t>
        </is>
      </c>
      <c r="L195" s="32" t="inlineStr">
        <is>
          <t xml:space="preserve">02 - Sports / GT</t>
        </is>
      </c>
      <c r="M195" s="35">
        <v>300000</v>
      </c>
      <c r="N195" s="32" t="inlineStr">
        <is>
          <t xml:space="preserve">Personal</t>
        </is>
      </c>
      <c r="O195" s="30" t="inlineStr">
        <is>
          <t xml:space="preserve">Personal - regular use</t>
        </is>
      </c>
      <c r="P195" s="30" t="inlineStr">
        <is>
          <t xml:space="preserve">1,000 - 2,500</t>
        </is>
      </c>
      <c r="Q195" s="30" t="inlineStr">
        <is>
          <t xml:space="preserve">Pennsylvania</t>
        </is>
      </c>
      <c r="R195" s="30" t="inlineStr">
        <is>
          <t xml:space="preserve">19103</t>
        </is>
      </c>
      <c r="S195" s="32" t="inlineStr">
        <is>
          <t xml:space="preserve">Low hazard - inland benign</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3525.71</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CANON-202604-006832</t>
        </is>
      </c>
      <c r="B196" s="46" t="inlineStr">
        <is>
          <t xml:space="preserve">Horace Chattopadhyay</t>
        </is>
      </c>
      <c r="C196" s="47">
        <v>46131</v>
      </c>
      <c r="D196" s="48" t="inlineStr">
        <is>
          <t xml:space="preserve">Bound - within authority</t>
        </is>
      </c>
      <c r="E196" s="48" t="inlineStr">
        <is>
          <t xml:space="preserve">New business</t>
        </is>
      </c>
      <c r="F196" s="46" t="inlineStr">
        <is>
          <t xml:space="preserve">B1234EXOTIC26</t>
        </is>
      </c>
      <c r="G196" s="33">
        <f>IF($A196="","",IF($C196="","",YEAR($C196)))</f>
      </c>
      <c r="H196" s="49">
        <v>1992</v>
      </c>
      <c r="I196" s="46" t="inlineStr">
        <is>
          <t xml:space="preserve">Porsche</t>
        </is>
      </c>
      <c r="J196" s="46" t="inlineStr">
        <is>
          <t xml:space="preserve">911 Turbo S</t>
        </is>
      </c>
      <c r="K196" s="46" t="inlineStr">
        <is>
          <t xml:space="preserve">J9PENL7ZK424HKU0C</t>
        </is>
      </c>
      <c r="L196" s="48" t="inlineStr">
        <is>
          <t xml:space="preserve">02 - Sports / GT</t>
        </is>
      </c>
      <c r="M196" s="50">
        <v>650000</v>
      </c>
      <c r="N196" s="48" t="inlineStr">
        <is>
          <t xml:space="preserve">Personal</t>
        </is>
      </c>
      <c r="O196" s="46" t="inlineStr">
        <is>
          <t xml:space="preserve">Personal - regular use</t>
        </is>
      </c>
      <c r="P196" s="46" t="inlineStr">
        <is>
          <t xml:space="preserve">Under 1,000</t>
        </is>
      </c>
      <c r="Q196" s="46" t="inlineStr">
        <is>
          <t xml:space="preserve">California</t>
        </is>
      </c>
      <c r="R196" s="46" t="inlineStr">
        <is>
          <t xml:space="preserve">90012</t>
        </is>
      </c>
      <c r="S196" s="48" t="inlineStr">
        <is>
          <t xml:space="preserve">Earthquake - high (CA, Cascadia, New Madrid)</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8937.67</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CANON-202604-006833</t>
        </is>
      </c>
      <c r="B197" s="30" t="inlineStr">
        <is>
          <t xml:space="preserve">Beatrix Vandermeer</t>
        </is>
      </c>
      <c r="C197" s="31">
        <v>46135</v>
      </c>
      <c r="D197" s="32" t="inlineStr">
        <is>
          <t xml:space="preserve">Bound - within authority</t>
        </is>
      </c>
      <c r="E197" s="32" t="inlineStr">
        <is>
          <t xml:space="preserve">New business</t>
        </is>
      </c>
      <c r="F197" s="30" t="inlineStr">
        <is>
          <t xml:space="preserve">B1234EXOTIC26</t>
        </is>
      </c>
      <c r="G197" s="33">
        <f>IF($A197="","",IF($C197="","",YEAR($C197)))</f>
      </c>
      <c r="H197" s="34">
        <v>2003</v>
      </c>
      <c r="I197" s="30" t="inlineStr">
        <is>
          <t xml:space="preserve">Singer</t>
        </is>
      </c>
      <c r="J197" s="30" t="inlineStr">
        <is>
          <t xml:space="preserve">911 Reimagined</t>
        </is>
      </c>
      <c r="K197" s="30" t="inlineStr">
        <is>
          <t xml:space="preserve">UE89KLBFEUNGBWXKJ</t>
        </is>
      </c>
      <c r="L197" s="32" t="inlineStr">
        <is>
          <t xml:space="preserve">11 - Restomod / Coachbuilt / Bespoke</t>
        </is>
      </c>
      <c r="M197" s="35">
        <v>635000</v>
      </c>
      <c r="N197" s="32" t="inlineStr">
        <is>
          <t xml:space="preserve">Personal</t>
        </is>
      </c>
      <c r="O197" s="30" t="inlineStr">
        <is>
          <t xml:space="preserve">Personal - regular use</t>
        </is>
      </c>
      <c r="P197" s="30" t="inlineStr">
        <is>
          <t xml:space="preserve">2,500 - 5,000</t>
        </is>
      </c>
      <c r="Q197" s="30" t="inlineStr">
        <is>
          <t xml:space="preserve">Wyoming</t>
        </is>
      </c>
      <c r="R197" s="30" t="inlineStr">
        <is>
          <t xml:space="preserve">82001</t>
        </is>
      </c>
      <c r="S197" s="32" t="inlineStr">
        <is>
          <t xml:space="preserve">Severe convective - hail alley (high)</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8304.54</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CANON-202604-006834</t>
        </is>
      </c>
      <c r="B198" s="46" t="inlineStr">
        <is>
          <t xml:space="preserve">Marisol Nakashima</t>
        </is>
      </c>
      <c r="C198" s="47">
        <v>46118</v>
      </c>
      <c r="D198" s="48" t="inlineStr">
        <is>
          <t xml:space="preserve">Bound - within authority</t>
        </is>
      </c>
      <c r="E198" s="48" t="inlineStr">
        <is>
          <t xml:space="preserve">New business</t>
        </is>
      </c>
      <c r="F198" s="46" t="inlineStr">
        <is>
          <t xml:space="preserve">B1234EXOTIC26</t>
        </is>
      </c>
      <c r="G198" s="33">
        <f>IF($A198="","",IF($C198="","",YEAR($C198)))</f>
      </c>
      <c r="H198" s="49">
        <v>1997</v>
      </c>
      <c r="I198" s="46" t="inlineStr">
        <is>
          <t xml:space="preserve">Bentley</t>
        </is>
      </c>
      <c r="J198" s="46" t="inlineStr">
        <is>
          <t xml:space="preserve">Continental GT</t>
        </is>
      </c>
      <c r="K198" s="46" t="inlineStr">
        <is>
          <t xml:space="preserve">KNBJB6HVV3CPCKRM6</t>
        </is>
      </c>
      <c r="L198" s="48" t="inlineStr">
        <is>
          <t xml:space="preserve">02 - Sports / GT</t>
        </is>
      </c>
      <c r="M198" s="50">
        <v>440000</v>
      </c>
      <c r="N198" s="48" t="inlineStr">
        <is>
          <t xml:space="preserve">Personal</t>
        </is>
      </c>
      <c r="O198" s="46" t="inlineStr">
        <is>
          <t xml:space="preserve">Personal - regular use</t>
        </is>
      </c>
      <c r="P198" s="46" t="inlineStr">
        <is>
          <t xml:space="preserve">Under 1,000</t>
        </is>
      </c>
      <c r="Q198" s="46" t="inlineStr">
        <is>
          <t xml:space="preserve">California</t>
        </is>
      </c>
      <c r="R198" s="46" t="inlineStr">
        <is>
          <t xml:space="preserve">90012</t>
        </is>
      </c>
      <c r="S198" s="48" t="inlineStr">
        <is>
          <t xml:space="preserve">Earthquake - high (CA, Cascadia, New Madrid)</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6980.9</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CANON-202604-006836</t>
        </is>
      </c>
      <c r="B199" s="30" t="inlineStr">
        <is>
          <t xml:space="preserve">Delphine Farkas</t>
        </is>
      </c>
      <c r="C199" s="31">
        <v>46128</v>
      </c>
      <c r="D199" s="32" t="inlineStr">
        <is>
          <t xml:space="preserve">Bound - within authority</t>
        </is>
      </c>
      <c r="E199" s="32" t="inlineStr">
        <is>
          <t xml:space="preserve">New business</t>
        </is>
      </c>
      <c r="F199" s="30" t="inlineStr">
        <is>
          <t xml:space="preserve">B1234EXOTIC26</t>
        </is>
      </c>
      <c r="G199" s="33">
        <f>IF($A199="","",IF($C199="","",YEAR($C199)))</f>
      </c>
      <c r="H199" s="34">
        <v>1991</v>
      </c>
      <c r="I199" s="30" t="inlineStr">
        <is>
          <t xml:space="preserve">Aston Martin</t>
        </is>
      </c>
      <c r="J199" s="30" t="inlineStr">
        <is>
          <t xml:space="preserve">DB12</t>
        </is>
      </c>
      <c r="K199" s="30" t="inlineStr">
        <is>
          <t xml:space="preserve">49R17FT99G9ZVWL0X</t>
        </is>
      </c>
      <c r="L199" s="32" t="inlineStr">
        <is>
          <t xml:space="preserve">02 - Sports / GT</t>
        </is>
      </c>
      <c r="M199" s="35">
        <v>725000</v>
      </c>
      <c r="N199" s="32" t="inlineStr">
        <is>
          <t xml:space="preserve">Personal</t>
        </is>
      </c>
      <c r="O199" s="30" t="inlineStr">
        <is>
          <t xml:space="preserve">Personal - regular use</t>
        </is>
      </c>
      <c r="P199" s="30" t="inlineStr">
        <is>
          <t xml:space="preserve">Under 1,000</t>
        </is>
      </c>
      <c r="Q199" s="30" t="inlineStr">
        <is>
          <t xml:space="preserve">New York</t>
        </is>
      </c>
      <c r="R199" s="30" t="inlineStr">
        <is>
          <t xml:space="preserve">10022</t>
        </is>
      </c>
      <c r="S199" s="32" t="inlineStr">
        <is>
          <t xml:space="preserve">Tier 3 - Coastal wind (25-100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9452.03</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CANON-202604-006837</t>
        </is>
      </c>
      <c r="B200" s="46" t="inlineStr">
        <is>
          <t xml:space="preserve">Lorenzo Underwood</t>
        </is>
      </c>
      <c r="C200" s="47">
        <v>46115</v>
      </c>
      <c r="D200" s="48" t="inlineStr">
        <is>
          <t xml:space="preserve">Bound - within authority</t>
        </is>
      </c>
      <c r="E200" s="48" t="inlineStr">
        <is>
          <t xml:space="preserve">New business</t>
        </is>
      </c>
      <c r="F200" s="46" t="inlineStr">
        <is>
          <t xml:space="preserve">B1234EXOTIC26</t>
        </is>
      </c>
      <c r="G200" s="33">
        <f>IF($A200="","",IF($C200="","",YEAR($C200)))</f>
      </c>
      <c r="H200" s="49">
        <v>2019</v>
      </c>
      <c r="I200" s="46" t="inlineStr">
        <is>
          <t xml:space="preserve">McLaren</t>
        </is>
      </c>
      <c r="J200" s="46" t="inlineStr">
        <is>
          <t xml:space="preserve">750S</t>
        </is>
      </c>
      <c r="K200" s="46" t="inlineStr">
        <is>
          <t xml:space="preserve">R3HP9JAL27VJP1CGF</t>
        </is>
      </c>
      <c r="L200" s="48" t="inlineStr">
        <is>
          <t xml:space="preserve">03 - Supercar</t>
        </is>
      </c>
      <c r="M200" s="50">
        <v>1485000</v>
      </c>
      <c r="N200" s="48" t="inlineStr">
        <is>
          <t xml:space="preserve">Personal</t>
        </is>
      </c>
      <c r="O200" s="46" t="inlineStr">
        <is>
          <t xml:space="preserve">Personal - regular use</t>
        </is>
      </c>
      <c r="P200" s="46" t="inlineStr">
        <is>
          <t xml:space="preserve">1,000 - 2,500</t>
        </is>
      </c>
      <c r="Q200" s="46" t="inlineStr">
        <is>
          <t xml:space="preserve">Michigan</t>
        </is>
      </c>
      <c r="R200" s="46" t="inlineStr">
        <is>
          <t xml:space="preserve">48226</t>
        </is>
      </c>
      <c r="S200" s="48" t="inlineStr">
        <is>
          <t xml:space="preserve">Severe convective - hail / tornado (moderate)</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28854.39</v>
      </c>
      <c r="AC200" s="51">
        <v>0</v>
      </c>
      <c r="AD200" s="38">
        <f>IF(ISNUMBER($AB200),$AB200*(1+N($AC200)),"")</f>
      </c>
      <c r="AE200" s="50">
        <v>350</v>
      </c>
      <c r="AF200" s="50">
        <v>250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CANON-202604-006839</t>
        </is>
      </c>
      <c r="B201" s="30" t="inlineStr">
        <is>
          <t xml:space="preserve">Beatrix Whitlock</t>
        </is>
      </c>
      <c r="C201" s="31">
        <v>46128</v>
      </c>
      <c r="D201" s="32" t="inlineStr">
        <is>
          <t xml:space="preserve">Bound - within authority</t>
        </is>
      </c>
      <c r="E201" s="32" t="inlineStr">
        <is>
          <t xml:space="preserve">New business</t>
        </is>
      </c>
      <c r="F201" s="30" t="inlineStr">
        <is>
          <t xml:space="preserve">B1234EXOTIC26</t>
        </is>
      </c>
      <c r="G201" s="33">
        <f>IF($A201="","",IF($C201="","",YEAR($C201)))</f>
      </c>
      <c r="H201" s="34">
        <v>2004</v>
      </c>
      <c r="I201" s="30" t="inlineStr">
        <is>
          <t xml:space="preserve">Aston Martin</t>
        </is>
      </c>
      <c r="J201" s="30" t="inlineStr">
        <is>
          <t xml:space="preserve">DB12</t>
        </is>
      </c>
      <c r="K201" s="30" t="inlineStr">
        <is>
          <t xml:space="preserve">L12AXC5VTNRA2XNF0</t>
        </is>
      </c>
      <c r="L201" s="32" t="inlineStr">
        <is>
          <t xml:space="preserve">02 - Sports / GT</t>
        </is>
      </c>
      <c r="M201" s="35">
        <v>765000</v>
      </c>
      <c r="N201" s="32" t="inlineStr">
        <is>
          <t xml:space="preserve">Personal</t>
        </is>
      </c>
      <c r="O201" s="30" t="inlineStr">
        <is>
          <t xml:space="preserve">Personal - regular use</t>
        </is>
      </c>
      <c r="P201" s="30" t="inlineStr">
        <is>
          <t xml:space="preserve">Under 1,000</t>
        </is>
      </c>
      <c r="Q201" s="30" t="inlineStr">
        <is>
          <t xml:space="preserve">Michigan</t>
        </is>
      </c>
      <c r="R201" s="30" t="inlineStr">
        <is>
          <t xml:space="preserve">48226</t>
        </is>
      </c>
      <c r="S201" s="32" t="inlineStr">
        <is>
          <t xml:space="preserve">Severe convective - hail / tornado (moderate)</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12077.31</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CANON-202604-006843</t>
        </is>
      </c>
      <c r="B202" s="46" t="inlineStr">
        <is>
          <t xml:space="preserve">Delphine Pennington</t>
        </is>
      </c>
      <c r="C202" s="47">
        <v>46129</v>
      </c>
      <c r="D202" s="48" t="inlineStr">
        <is>
          <t xml:space="preserve">Bound - within authority</t>
        </is>
      </c>
      <c r="E202" s="48" t="inlineStr">
        <is>
          <t xml:space="preserve">New business</t>
        </is>
      </c>
      <c r="F202" s="46" t="inlineStr">
        <is>
          <t xml:space="preserve">B1234EXOTIC26</t>
        </is>
      </c>
      <c r="G202" s="33">
        <f>IF($A202="","",IF($C202="","",YEAR($C202)))</f>
      </c>
      <c r="H202" s="49">
        <v>1998</v>
      </c>
      <c r="I202" s="46" t="inlineStr">
        <is>
          <t xml:space="preserve">BMW</t>
        </is>
      </c>
      <c r="J202" s="46" t="inlineStr">
        <is>
          <t xml:space="preserve">M8 Competition</t>
        </is>
      </c>
      <c r="K202" s="46" t="inlineStr">
        <is>
          <t xml:space="preserve">DXPLD34CNMWA584KT</t>
        </is>
      </c>
      <c r="L202" s="48" t="inlineStr">
        <is>
          <t xml:space="preserve">02 - Sports / GT</t>
        </is>
      </c>
      <c r="M202" s="50">
        <v>860000</v>
      </c>
      <c r="N202" s="48" t="inlineStr">
        <is>
          <t xml:space="preserve">Personal</t>
        </is>
      </c>
      <c r="O202" s="46" t="inlineStr">
        <is>
          <t xml:space="preserve">Personal - regular use</t>
        </is>
      </c>
      <c r="P202" s="46" t="inlineStr">
        <is>
          <t xml:space="preserve">Under 1,000</t>
        </is>
      </c>
      <c r="Q202" s="46" t="inlineStr">
        <is>
          <t xml:space="preserve">Oklahoma</t>
        </is>
      </c>
      <c r="R202" s="46" t="inlineStr">
        <is>
          <t xml:space="preserve">73102</t>
        </is>
      </c>
      <c r="S202" s="48" t="inlineStr">
        <is>
          <t xml:space="preserve">Severe convective - hail alley (high)</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11036.87</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CANON-202604-006847</t>
        </is>
      </c>
      <c r="B203" s="30" t="inlineStr">
        <is>
          <t xml:space="preserve">Horace Ashcombe</t>
        </is>
      </c>
      <c r="C203" s="31">
        <v>46114</v>
      </c>
      <c r="D203" s="32" t="inlineStr">
        <is>
          <t xml:space="preserve">Bound - within authority</t>
        </is>
      </c>
      <c r="E203" s="32" t="inlineStr">
        <is>
          <t xml:space="preserve">New business</t>
        </is>
      </c>
      <c r="F203" s="30" t="inlineStr">
        <is>
          <t xml:space="preserve">B1234EXOTIC26</t>
        </is>
      </c>
      <c r="G203" s="33">
        <f>IF($A203="","",IF($C203="","",YEAR($C203)))</f>
      </c>
      <c r="H203" s="34">
        <v>1967</v>
      </c>
      <c r="I203" s="30" t="inlineStr">
        <is>
          <t xml:space="preserve">Bentley</t>
        </is>
      </c>
      <c r="J203" s="30" t="inlineStr">
        <is>
          <t xml:space="preserve">Continental GT</t>
        </is>
      </c>
      <c r="K203" s="30" t="inlineStr">
        <is>
          <t xml:space="preserve">HZE54LBTSH44HMBY3</t>
        </is>
      </c>
      <c r="L203" s="32" t="inlineStr">
        <is>
          <t xml:space="preserve">02 - Sports / GT</t>
        </is>
      </c>
      <c r="M203" s="35">
        <v>330000</v>
      </c>
      <c r="N203" s="32" t="inlineStr">
        <is>
          <t xml:space="preserve">Personal</t>
        </is>
      </c>
      <c r="O203" s="30" t="inlineStr">
        <is>
          <t xml:space="preserve">Personal - regular use</t>
        </is>
      </c>
      <c r="P203" s="30" t="inlineStr">
        <is>
          <t xml:space="preserve">Under 1,000</t>
        </is>
      </c>
      <c r="Q203" s="30" t="inlineStr">
        <is>
          <t xml:space="preserve">Illinois</t>
        </is>
      </c>
      <c r="R203" s="30" t="inlineStr">
        <is>
          <t xml:space="preserve">60601</t>
        </is>
      </c>
      <c r="S203" s="32" t="inlineStr">
        <is>
          <t xml:space="preserve">Severe convective - hail / tornado (moderate)</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5274.46</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CANON-202604-006851</t>
        </is>
      </c>
      <c r="B204" s="46" t="inlineStr">
        <is>
          <t xml:space="preserve">Horace Kingsford</t>
        </is>
      </c>
      <c r="C204" s="47">
        <v>46128</v>
      </c>
      <c r="D204" s="48" t="inlineStr">
        <is>
          <t xml:space="preserve">Bound - within authority</t>
        </is>
      </c>
      <c r="E204" s="48" t="inlineStr">
        <is>
          <t xml:space="preserve">New business</t>
        </is>
      </c>
      <c r="F204" s="46" t="inlineStr">
        <is>
          <t xml:space="preserve">B1234EXOTIC26</t>
        </is>
      </c>
      <c r="G204" s="33">
        <f>IF($A204="","",IF($C204="","",YEAR($C204)))</f>
      </c>
      <c r="H204" s="49">
        <v>1994</v>
      </c>
      <c r="I204" s="46" t="inlineStr">
        <is>
          <t xml:space="preserve">Jaguar</t>
        </is>
      </c>
      <c r="J204" s="46" t="inlineStr">
        <is>
          <t xml:space="preserve">E-Type Series 1</t>
        </is>
      </c>
      <c r="K204" s="46" t="inlineStr">
        <is>
          <t xml:space="preserve">6232DFD10Z9WJW0V6</t>
        </is>
      </c>
      <c r="L204" s="48" t="inlineStr">
        <is>
          <t xml:space="preserve">08 - Modern Classic (1973-1999)</t>
        </is>
      </c>
      <c r="M204" s="50">
        <v>530000</v>
      </c>
      <c r="N204" s="48" t="inlineStr">
        <is>
          <t xml:space="preserve">Personal</t>
        </is>
      </c>
      <c r="O204" s="46" t="inlineStr">
        <is>
          <t xml:space="preserve">Personal - regular use</t>
        </is>
      </c>
      <c r="P204" s="46" t="inlineStr">
        <is>
          <t xml:space="preserve">2,500 - 5,000</t>
        </is>
      </c>
      <c r="Q204" s="46" t="inlineStr">
        <is>
          <t xml:space="preserve">West Virginia</t>
        </is>
      </c>
      <c r="R204" s="46" t="inlineStr">
        <is>
          <t xml:space="preserve">25301</t>
        </is>
      </c>
      <c r="S204" s="48" t="inlineStr">
        <is>
          <t xml:space="preserve">Low hazard - inland benign</t>
        </is>
      </c>
      <c r="T204" s="36">
        <f>IF($A204="","",IF($S204="","",IFERROR(INDEX('[1]natural catastrophe'!$D$6:$D$17,MATCH($S204,'[1]natural catastrophe'!$B$6:$B$17,0)),"?")))</f>
      </c>
      <c r="U204" s="46" t="inlineStr">
        <is>
          <t xml:space="preserve">$5,000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4749.63</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CANON-202604-006852</t>
        </is>
      </c>
      <c r="B205" s="30" t="inlineStr">
        <is>
          <t xml:space="preserve">Delphine Larsson</t>
        </is>
      </c>
      <c r="C205" s="31">
        <v>46142</v>
      </c>
      <c r="D205" s="32" t="inlineStr">
        <is>
          <t xml:space="preserve">Bound - within authority</t>
        </is>
      </c>
      <c r="E205" s="32" t="inlineStr">
        <is>
          <t xml:space="preserve">New business</t>
        </is>
      </c>
      <c r="F205" s="30" t="inlineStr">
        <is>
          <t xml:space="preserve">B1234EXOTIC26</t>
        </is>
      </c>
      <c r="G205" s="33">
        <f>IF($A205="","",IF($C205="","",YEAR($C205)))</f>
      </c>
      <c r="H205" s="34">
        <v>1986</v>
      </c>
      <c r="I205" s="30" t="inlineStr">
        <is>
          <t xml:space="preserve">Porsche</t>
        </is>
      </c>
      <c r="J205" s="30" t="inlineStr">
        <is>
          <t xml:space="preserve">911 Turbo S</t>
        </is>
      </c>
      <c r="K205" s="30" t="inlineStr">
        <is>
          <t xml:space="preserve">RWD653VRJ46M8CPZ8</t>
        </is>
      </c>
      <c r="L205" s="32" t="inlineStr">
        <is>
          <t xml:space="preserve">02 - Sports / GT</t>
        </is>
      </c>
      <c r="M205" s="35">
        <v>295000</v>
      </c>
      <c r="N205" s="32" t="inlineStr">
        <is>
          <t xml:space="preserve">Personal</t>
        </is>
      </c>
      <c r="O205" s="30" t="inlineStr">
        <is>
          <t xml:space="preserve">Personal - regular use</t>
        </is>
      </c>
      <c r="P205" s="30" t="inlineStr">
        <is>
          <t xml:space="preserve">2,500 - 5,000</t>
        </is>
      </c>
      <c r="Q205" s="30" t="inlineStr">
        <is>
          <t xml:space="preserve">Texas</t>
        </is>
      </c>
      <c r="R205" s="30" t="inlineStr">
        <is>
          <t xml:space="preserve">75201</t>
        </is>
      </c>
      <c r="S205" s="32" t="inlineStr">
        <is>
          <t xml:space="preserve">Tier 2 - Coastal wind (1-25 miles)</t>
        </is>
      </c>
      <c r="T205" s="36">
        <f>IF($A205="","",IF($S205="","",IFERROR(INDEX('[1]natural catastrophe'!$D$6:$D$17,MATCH($S205,'[1]natural catastrophe'!$B$6:$B$17,0)),"?")))</f>
      </c>
      <c r="U205" s="30" t="inlineStr">
        <is>
          <t xml:space="preserve">2% of agreed value, minimum $10,000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3986.99</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CANON-202604-006855</t>
        </is>
      </c>
      <c r="B206" s="46" t="inlineStr">
        <is>
          <t xml:space="preserve">Everett Bellandi</t>
        </is>
      </c>
      <c r="C206" s="47">
        <v>46137</v>
      </c>
      <c r="D206" s="48" t="inlineStr">
        <is>
          <t xml:space="preserve">Bound - within authority</t>
        </is>
      </c>
      <c r="E206" s="48" t="inlineStr">
        <is>
          <t xml:space="preserve">New business</t>
        </is>
      </c>
      <c r="F206" s="46" t="inlineStr">
        <is>
          <t xml:space="preserve">B1234EXOTIC26</t>
        </is>
      </c>
      <c r="G206" s="33">
        <f>IF($A206="","",IF($C206="","",YEAR($C206)))</f>
      </c>
      <c r="H206" s="49">
        <v>2008</v>
      </c>
      <c r="I206" s="46" t="inlineStr">
        <is>
          <t xml:space="preserve">Porsche</t>
        </is>
      </c>
      <c r="J206" s="46" t="inlineStr">
        <is>
          <t xml:space="preserve">911 Turbo S</t>
        </is>
      </c>
      <c r="K206" s="46" t="inlineStr">
        <is>
          <t xml:space="preserve">M58CML61VTJCC1VCC</t>
        </is>
      </c>
      <c r="L206" s="48" t="inlineStr">
        <is>
          <t xml:space="preserve">02 - Sports / GT</t>
        </is>
      </c>
      <c r="M206" s="50">
        <v>205000</v>
      </c>
      <c r="N206" s="48" t="inlineStr">
        <is>
          <t xml:space="preserve">Personal</t>
        </is>
      </c>
      <c r="O206" s="46" t="inlineStr">
        <is>
          <t xml:space="preserve">Personal - regular use</t>
        </is>
      </c>
      <c r="P206" s="46" t="inlineStr">
        <is>
          <t xml:space="preserve">1,000 - 2,500</t>
        </is>
      </c>
      <c r="Q206" s="46" t="inlineStr">
        <is>
          <t xml:space="preserve">Nebraska</t>
        </is>
      </c>
      <c r="R206" s="46" t="inlineStr">
        <is>
          <t xml:space="preserve">68102</t>
        </is>
      </c>
      <c r="S206" s="48" t="inlineStr">
        <is>
          <t xml:space="preserve">Severe convective - hail alley (high)</t>
        </is>
      </c>
      <c r="T206" s="36">
        <f>IF($A206="","",IF($S206="","",IFERROR(INDEX('[1]natural catastrophe'!$D$6:$D$17,MATCH($S206,'[1]natural catastrophe'!$B$6:$B$17,0)),"?")))</f>
      </c>
      <c r="U206" s="46" t="inlineStr">
        <is>
          <t xml:space="preserve">$5,000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3841.93</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CANON-202604-006856</t>
        </is>
      </c>
      <c r="B207" s="30" t="inlineStr">
        <is>
          <t xml:space="preserve">Callum Whitlock</t>
        </is>
      </c>
      <c r="C207" s="31">
        <v>46115</v>
      </c>
      <c r="D207" s="32" t="inlineStr">
        <is>
          <t xml:space="preserve">Bound - within authority</t>
        </is>
      </c>
      <c r="E207" s="32" t="inlineStr">
        <is>
          <t xml:space="preserve">New business</t>
        </is>
      </c>
      <c r="F207" s="30" t="inlineStr">
        <is>
          <t xml:space="preserve">B1234EXOTIC26</t>
        </is>
      </c>
      <c r="G207" s="33">
        <f>IF($A207="","",IF($C207="","",YEAR($C207)))</f>
      </c>
      <c r="H207" s="34">
        <v>1980</v>
      </c>
      <c r="I207" s="30" t="inlineStr">
        <is>
          <t xml:space="preserve">Bentley</t>
        </is>
      </c>
      <c r="J207" s="30" t="inlineStr">
        <is>
          <t xml:space="preserve">Continental GT</t>
        </is>
      </c>
      <c r="K207" s="30" t="inlineStr">
        <is>
          <t xml:space="preserve">ERX3BA7WYCF94ZF6T</t>
        </is>
      </c>
      <c r="L207" s="32" t="inlineStr">
        <is>
          <t xml:space="preserve">02 - Sports / GT</t>
        </is>
      </c>
      <c r="M207" s="35">
        <v>450000</v>
      </c>
      <c r="N207" s="32" t="inlineStr">
        <is>
          <t xml:space="preserve">Personal</t>
        </is>
      </c>
      <c r="O207" s="30" t="inlineStr">
        <is>
          <t xml:space="preserve">Personal - regular use</t>
        </is>
      </c>
      <c r="P207" s="30" t="inlineStr">
        <is>
          <t xml:space="preserve">Under 1,000</t>
        </is>
      </c>
      <c r="Q207" s="30" t="inlineStr">
        <is>
          <t xml:space="preserve">Virginia</t>
        </is>
      </c>
      <c r="R207" s="30" t="inlineStr">
        <is>
          <t xml:space="preserve">23219</t>
        </is>
      </c>
      <c r="S207" s="32" t="inlineStr">
        <is>
          <t xml:space="preserve">Tier 3 - Coastal wind (25-100 miles)</t>
        </is>
      </c>
      <c r="T207" s="36">
        <f>IF($A207="","",IF($S207="","",IFERROR(INDEX('[1]natural catastrophe'!$D$6:$D$17,MATCH($S207,'[1]natural catastrophe'!$B$6:$B$17,0)),"?")))</f>
      </c>
      <c r="U207" s="30" t="inlineStr">
        <is>
          <t xml:space="preserve">2% of agreed value, minimum $10,000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5764.53</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CANON-202604-006857</t>
        </is>
      </c>
      <c r="B208" s="46" t="inlineStr">
        <is>
          <t xml:space="preserve">Mireille Kingsford</t>
        </is>
      </c>
      <c r="C208" s="47">
        <v>46141</v>
      </c>
      <c r="D208" s="48" t="inlineStr">
        <is>
          <t xml:space="preserve">Bound - within authority</t>
        </is>
      </c>
      <c r="E208" s="48" t="inlineStr">
        <is>
          <t xml:space="preserve">New business</t>
        </is>
      </c>
      <c r="F208" s="46" t="inlineStr">
        <is>
          <t xml:space="preserve">B1234EXOTIC26</t>
        </is>
      </c>
      <c r="G208" s="33">
        <f>IF($A208="","",IF($C208="","",YEAR($C208)))</f>
      </c>
      <c r="H208" s="49">
        <v>1975</v>
      </c>
      <c r="I208" s="46" t="inlineStr">
        <is>
          <t xml:space="preserve">Porsche</t>
        </is>
      </c>
      <c r="J208" s="46" t="inlineStr">
        <is>
          <t xml:space="preserve">911 Turbo S</t>
        </is>
      </c>
      <c r="K208" s="46" t="inlineStr">
        <is>
          <t xml:space="preserve">1VKJFKMMMPT4BVTGR</t>
        </is>
      </c>
      <c r="L208" s="48" t="inlineStr">
        <is>
          <t xml:space="preserve">02 - Sports / GT</t>
        </is>
      </c>
      <c r="M208" s="50">
        <v>470000</v>
      </c>
      <c r="N208" s="48" t="inlineStr">
        <is>
          <t xml:space="preserve">Personal</t>
        </is>
      </c>
      <c r="O208" s="46" t="inlineStr">
        <is>
          <t xml:space="preserve">Personal - regular use</t>
        </is>
      </c>
      <c r="P208" s="46" t="inlineStr">
        <is>
          <t xml:space="preserve">2,500 - 5,000</t>
        </is>
      </c>
      <c r="Q208" s="46" t="inlineStr">
        <is>
          <t xml:space="preserve">New Mexico</t>
        </is>
      </c>
      <c r="R208" s="46" t="inlineStr">
        <is>
          <t xml:space="preserve">87501</t>
        </is>
      </c>
      <c r="S208" s="48" t="inlineStr">
        <is>
          <t xml:space="preserve">Wildfire - WUI high hazard</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7070.22</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CANON-202604-006858</t>
        </is>
      </c>
      <c r="B209" s="30" t="inlineStr">
        <is>
          <t xml:space="preserve">Fitzgerald Fairweather</t>
        </is>
      </c>
      <c r="C209" s="31">
        <v>46127</v>
      </c>
      <c r="D209" s="32" t="inlineStr">
        <is>
          <t xml:space="preserve">Bound - within authority</t>
        </is>
      </c>
      <c r="E209" s="32" t="inlineStr">
        <is>
          <t xml:space="preserve">New business</t>
        </is>
      </c>
      <c r="F209" s="30" t="inlineStr">
        <is>
          <t xml:space="preserve">B1234EXOTIC26</t>
        </is>
      </c>
      <c r="G209" s="33">
        <f>IF($A209="","",IF($C209="","",YEAR($C209)))</f>
      </c>
      <c r="H209" s="34">
        <v>1958</v>
      </c>
      <c r="I209" s="30" t="inlineStr">
        <is>
          <t xml:space="preserve">Lamborghini</t>
        </is>
      </c>
      <c r="J209" s="30" t="inlineStr">
        <is>
          <t xml:space="preserve">Huracan EVO</t>
        </is>
      </c>
      <c r="K209" s="30" t="inlineStr">
        <is>
          <t xml:space="preserve">3JP95X26BHCNYCT51</t>
        </is>
      </c>
      <c r="L209" s="32" t="inlineStr">
        <is>
          <t xml:space="preserve">03 - Supercar</t>
        </is>
      </c>
      <c r="M209" s="35">
        <v>620000</v>
      </c>
      <c r="N209" s="32" t="inlineStr">
        <is>
          <t xml:space="preserve">Personal</t>
        </is>
      </c>
      <c r="O209" s="30" t="inlineStr">
        <is>
          <t xml:space="preserve">Personal - regular use</t>
        </is>
      </c>
      <c r="P209" s="30" t="inlineStr">
        <is>
          <t xml:space="preserve">2,500 - 5,000</t>
        </is>
      </c>
      <c r="Q209" s="30" t="inlineStr">
        <is>
          <t xml:space="preserve">Illinois</t>
        </is>
      </c>
      <c r="R209" s="30" t="inlineStr">
        <is>
          <t xml:space="preserve">60601</t>
        </is>
      </c>
      <c r="S209" s="32" t="inlineStr">
        <is>
          <t xml:space="preserve">Severe convective - hail / tornado (moderate)</t>
        </is>
      </c>
      <c r="T209" s="36">
        <f>IF($A209="","",IF($S209="","",IFERROR(INDEX('[1]natural catastrophe'!$D$6:$D$17,MATCH($S209,'[1]natural catastrophe'!$B$6:$B$17,0)),"?")))</f>
      </c>
      <c r="U209" s="30" t="inlineStr">
        <is>
          <t xml:space="preserve">$5,000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12552.14</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CANON-202604-006859</t>
        </is>
      </c>
      <c r="B210" s="46" t="inlineStr">
        <is>
          <t xml:space="preserve">Beatrix Bellandi</t>
        </is>
      </c>
      <c r="C210" s="47">
        <v>46118</v>
      </c>
      <c r="D210" s="48" t="inlineStr">
        <is>
          <t xml:space="preserve">Bound - within authority</t>
        </is>
      </c>
      <c r="E210" s="48" t="inlineStr">
        <is>
          <t xml:space="preserve">New business</t>
        </is>
      </c>
      <c r="F210" s="46" t="inlineStr">
        <is>
          <t xml:space="preserve">B1234EXOTIC26</t>
        </is>
      </c>
      <c r="G210" s="33">
        <f>IF($A210="","",IF($C210="","",YEAR($C210)))</f>
      </c>
      <c r="H210" s="49">
        <v>1977</v>
      </c>
      <c r="I210" s="46" t="inlineStr">
        <is>
          <t xml:space="preserve">Porsche</t>
        </is>
      </c>
      <c r="J210" s="46" t="inlineStr">
        <is>
          <t xml:space="preserve">911 Turbo S</t>
        </is>
      </c>
      <c r="K210" s="46" t="inlineStr">
        <is>
          <t xml:space="preserve">KUBE01XB23HJM6M91</t>
        </is>
      </c>
      <c r="L210" s="48" t="inlineStr">
        <is>
          <t xml:space="preserve">02 - Sports / GT</t>
        </is>
      </c>
      <c r="M210" s="50">
        <v>685000</v>
      </c>
      <c r="N210" s="48" t="inlineStr">
        <is>
          <t xml:space="preserve">Personal</t>
        </is>
      </c>
      <c r="O210" s="46" t="inlineStr">
        <is>
          <t xml:space="preserve">Personal - regular use</t>
        </is>
      </c>
      <c r="P210" s="46" t="inlineStr">
        <is>
          <t xml:space="preserve">2,500 - 5,000</t>
        </is>
      </c>
      <c r="Q210" s="46" t="inlineStr">
        <is>
          <t xml:space="preserve">Connecticut</t>
        </is>
      </c>
      <c r="R210" s="46" t="inlineStr">
        <is>
          <t xml:space="preserve">06103</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7814.22</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CANON-202604-006860</t>
        </is>
      </c>
      <c r="B211" s="30" t="inlineStr">
        <is>
          <t xml:space="preserve">Leopold Bellandi</t>
        </is>
      </c>
      <c r="C211" s="31">
        <v>46130</v>
      </c>
      <c r="D211" s="32" t="inlineStr">
        <is>
          <t xml:space="preserve">Bound - within authority</t>
        </is>
      </c>
      <c r="E211" s="32" t="inlineStr">
        <is>
          <t xml:space="preserve">New business</t>
        </is>
      </c>
      <c r="F211" s="30" t="inlineStr">
        <is>
          <t xml:space="preserve">B1234EXOTIC26</t>
        </is>
      </c>
      <c r="G211" s="33">
        <f>IF($A211="","",IF($C211="","",YEAR($C211)))</f>
      </c>
      <c r="H211" s="34">
        <v>2017</v>
      </c>
      <c r="I211" s="30" t="inlineStr">
        <is>
          <t xml:space="preserve">BMW</t>
        </is>
      </c>
      <c r="J211" s="30" t="inlineStr">
        <is>
          <t xml:space="preserve">M8 Competition</t>
        </is>
      </c>
      <c r="K211" s="30" t="inlineStr">
        <is>
          <t xml:space="preserve">VCX3C43K09LZ4ZPEK</t>
        </is>
      </c>
      <c r="L211" s="32" t="inlineStr">
        <is>
          <t xml:space="preserve">02 - Sports / GT</t>
        </is>
      </c>
      <c r="M211" s="35">
        <v>1195000</v>
      </c>
      <c r="N211" s="32" t="inlineStr">
        <is>
          <t xml:space="preserve">Personal</t>
        </is>
      </c>
      <c r="O211" s="30" t="inlineStr">
        <is>
          <t xml:space="preserve">Personal - regular use</t>
        </is>
      </c>
      <c r="P211" s="30" t="inlineStr">
        <is>
          <t xml:space="preserve">Under 1,000</t>
        </is>
      </c>
      <c r="Q211" s="30" t="inlineStr">
        <is>
          <t xml:space="preserve">Virginia</t>
        </is>
      </c>
      <c r="R211" s="30" t="inlineStr">
        <is>
          <t xml:space="preserve">23219</t>
        </is>
      </c>
      <c r="S211" s="32" t="inlineStr">
        <is>
          <t xml:space="preserve">Tier 3 - Coastal wind (25-100 miles)</t>
        </is>
      </c>
      <c r="T211" s="36">
        <f>IF($A211="","",IF($S211="","",IFERROR(INDEX('[1]natural catastrophe'!$D$6:$D$17,MATCH($S211,'[1]natural catastrophe'!$B$6:$B$17,0)),"?")))</f>
      </c>
      <c r="U211" s="30" t="inlineStr">
        <is>
          <t xml:space="preserve">2% of agreed value, minimum $10,000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11225.89</v>
      </c>
      <c r="AC211" s="37">
        <v>0</v>
      </c>
      <c r="AD211" s="38">
        <f>IF(ISNUMBER($AB211),$AB211*(1+N($AC211)),"")</f>
      </c>
      <c r="AE211" s="35">
        <v>350</v>
      </c>
      <c r="AF211" s="35">
        <v>250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CANON-202604-006861</t>
        </is>
      </c>
      <c r="B212" s="46" t="inlineStr">
        <is>
          <t xml:space="preserve">Everett Delacroix</t>
        </is>
      </c>
      <c r="C212" s="47">
        <v>46139</v>
      </c>
      <c r="D212" s="48" t="inlineStr">
        <is>
          <t xml:space="preserve">Bound - within authority</t>
        </is>
      </c>
      <c r="E212" s="48" t="inlineStr">
        <is>
          <t xml:space="preserve">New business</t>
        </is>
      </c>
      <c r="F212" s="46" t="inlineStr">
        <is>
          <t xml:space="preserve">B1234EXOTIC26</t>
        </is>
      </c>
      <c r="G212" s="33">
        <f>IF($A212="","",IF($C212="","",YEAR($C212)))</f>
      </c>
      <c r="H212" s="49">
        <v>1993</v>
      </c>
      <c r="I212" s="46" t="inlineStr">
        <is>
          <t xml:space="preserve">Bentley</t>
        </is>
      </c>
      <c r="J212" s="46" t="inlineStr">
        <is>
          <t xml:space="preserve">Continental GT</t>
        </is>
      </c>
      <c r="K212" s="46" t="inlineStr">
        <is>
          <t xml:space="preserve">CW56KYSNS9SNGXE9Z</t>
        </is>
      </c>
      <c r="L212" s="48" t="inlineStr">
        <is>
          <t xml:space="preserve">02 - Sports / GT</t>
        </is>
      </c>
      <c r="M212" s="50">
        <v>355000</v>
      </c>
      <c r="N212" s="48" t="inlineStr">
        <is>
          <t xml:space="preserve">Personal</t>
        </is>
      </c>
      <c r="O212" s="46" t="inlineStr">
        <is>
          <t xml:space="preserve">Personal - regular use</t>
        </is>
      </c>
      <c r="P212" s="46" t="inlineStr">
        <is>
          <t xml:space="preserve">1,000 - 2,500</t>
        </is>
      </c>
      <c r="Q212" s="46" t="inlineStr">
        <is>
          <t xml:space="preserve">Maryland</t>
        </is>
      </c>
      <c r="R212" s="46" t="inlineStr">
        <is>
          <t xml:space="preserve">21201</t>
        </is>
      </c>
      <c r="S212" s="48" t="inlineStr">
        <is>
          <t xml:space="preserve">Tier 3 - Coastal wind (25-100 miles)</t>
        </is>
      </c>
      <c r="T212" s="36">
        <f>IF($A212="","",IF($S212="","",IFERROR(INDEX('[1]natural catastrophe'!$D$6:$D$17,MATCH($S212,'[1]natural catastrophe'!$B$6:$B$17,0)),"?")))</f>
      </c>
      <c r="U212" s="46" t="inlineStr">
        <is>
          <t xml:space="preserve">2% of agreed value, minimum $10,000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3963.49</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CANON-202604-006863</t>
        </is>
      </c>
      <c r="B213" s="30" t="inlineStr">
        <is>
          <t xml:space="preserve">Beatrix Pennington</t>
        </is>
      </c>
      <c r="C213" s="31">
        <v>46124</v>
      </c>
      <c r="D213" s="32" t="inlineStr">
        <is>
          <t xml:space="preserve">Bound - within authority</t>
        </is>
      </c>
      <c r="E213" s="32" t="inlineStr">
        <is>
          <t xml:space="preserve">New business</t>
        </is>
      </c>
      <c r="F213" s="30" t="inlineStr">
        <is>
          <t xml:space="preserve">B1234EXOTIC26</t>
        </is>
      </c>
      <c r="G213" s="33">
        <f>IF($A213="","",IF($C213="","",YEAR($C213)))</f>
      </c>
      <c r="H213" s="34">
        <v>2022</v>
      </c>
      <c r="I213" s="30" t="inlineStr">
        <is>
          <t xml:space="preserve">Aston Martin</t>
        </is>
      </c>
      <c r="J213" s="30" t="inlineStr">
        <is>
          <t xml:space="preserve">DB12</t>
        </is>
      </c>
      <c r="K213" s="30" t="inlineStr">
        <is>
          <t xml:space="preserve">TGMHRYS22WSV4KR3X</t>
        </is>
      </c>
      <c r="L213" s="32" t="inlineStr">
        <is>
          <t xml:space="preserve">02 - Sports / GT</t>
        </is>
      </c>
      <c r="M213" s="35">
        <v>710000</v>
      </c>
      <c r="N213" s="32" t="inlineStr">
        <is>
          <t xml:space="preserve">Personal</t>
        </is>
      </c>
      <c r="O213" s="30" t="inlineStr">
        <is>
          <t xml:space="preserve">Personal - regular use</t>
        </is>
      </c>
      <c r="P213" s="30" t="inlineStr">
        <is>
          <t xml:space="preserve">Under 1,000</t>
        </is>
      </c>
      <c r="Q213" s="30" t="inlineStr">
        <is>
          <t xml:space="preserve">Florida</t>
        </is>
      </c>
      <c r="R213" s="30" t="inlineStr">
        <is>
          <t xml:space="preserve">33139</t>
        </is>
      </c>
      <c r="S213" s="32" t="inlineStr">
        <is>
          <t xml:space="preserve">Tier 2 - Coastal wind (1-25 miles)</t>
        </is>
      </c>
      <c r="T213" s="36">
        <f>IF($A213="","",IF($S213="","",IFERROR(INDEX('[1]natural catastrophe'!$D$6:$D$17,MATCH($S213,'[1]natural catastrophe'!$B$6:$B$17,0)),"?")))</f>
      </c>
      <c r="U213" s="30" t="inlineStr">
        <is>
          <t xml:space="preserve">2% of agreed value, minimum $10,000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10268.9</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CANON-202604-006866</t>
        </is>
      </c>
      <c r="B214" s="46" t="inlineStr">
        <is>
          <t xml:space="preserve">Anouk Chattopadhyay</t>
        </is>
      </c>
      <c r="C214" s="47">
        <v>46117</v>
      </c>
      <c r="D214" s="48" t="inlineStr">
        <is>
          <t xml:space="preserve">Bound - within authority</t>
        </is>
      </c>
      <c r="E214" s="48" t="inlineStr">
        <is>
          <t xml:space="preserve">New business</t>
        </is>
      </c>
      <c r="F214" s="46" t="inlineStr">
        <is>
          <t xml:space="preserve">B1234EXOTIC26</t>
        </is>
      </c>
      <c r="G214" s="33">
        <f>IF($A214="","",IF($C214="","",YEAR($C214)))</f>
      </c>
      <c r="H214" s="49">
        <v>1960</v>
      </c>
      <c r="I214" s="46" t="inlineStr">
        <is>
          <t xml:space="preserve">Bentley</t>
        </is>
      </c>
      <c r="J214" s="46" t="inlineStr">
        <is>
          <t xml:space="preserve">Continental GT</t>
        </is>
      </c>
      <c r="K214" s="46" t="inlineStr">
        <is>
          <t xml:space="preserve">G2J452NKE07W2EXN6</t>
        </is>
      </c>
      <c r="L214" s="48" t="inlineStr">
        <is>
          <t xml:space="preserve">02 - Sports / GT</t>
        </is>
      </c>
      <c r="M214" s="50">
        <v>575000</v>
      </c>
      <c r="N214" s="48" t="inlineStr">
        <is>
          <t xml:space="preserve">Personal</t>
        </is>
      </c>
      <c r="O214" s="46" t="inlineStr">
        <is>
          <t xml:space="preserve">Personal - regular use</t>
        </is>
      </c>
      <c r="P214" s="46" t="inlineStr">
        <is>
          <t xml:space="preserve">Under 1,000</t>
        </is>
      </c>
      <c r="Q214" s="46" t="inlineStr">
        <is>
          <t xml:space="preserve">Ohio</t>
        </is>
      </c>
      <c r="R214" s="46" t="inlineStr">
        <is>
          <t xml:space="preserve">43215</t>
        </is>
      </c>
      <c r="S214" s="48" t="inlineStr">
        <is>
          <t xml:space="preserve">Severe convective - hail / tornado (moderate)</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8140.66</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CANON-202604-006867</t>
        </is>
      </c>
      <c r="B215" s="30" t="inlineStr">
        <is>
          <t xml:space="preserve">Sunniva Fairweather</t>
        </is>
      </c>
      <c r="C215" s="31">
        <v>46137</v>
      </c>
      <c r="D215" s="32" t="inlineStr">
        <is>
          <t xml:space="preserve">Bound - within authority</t>
        </is>
      </c>
      <c r="E215" s="32" t="inlineStr">
        <is>
          <t xml:space="preserve">New business</t>
        </is>
      </c>
      <c r="F215" s="30" t="inlineStr">
        <is>
          <t xml:space="preserve">B1234EXOTIC26</t>
        </is>
      </c>
      <c r="G215" s="33">
        <f>IF($A215="","",IF($C215="","",YEAR($C215)))</f>
      </c>
      <c r="H215" s="34">
        <v>2001</v>
      </c>
      <c r="I215" s="30" t="inlineStr">
        <is>
          <t xml:space="preserve">Maserati</t>
        </is>
      </c>
      <c r="J215" s="30" t="inlineStr">
        <is>
          <t xml:space="preserve">GranTurismo</t>
        </is>
      </c>
      <c r="K215" s="30" t="inlineStr">
        <is>
          <t xml:space="preserve">4C5AN2PYZHTJ52P9S</t>
        </is>
      </c>
      <c r="L215" s="32" t="inlineStr">
        <is>
          <t xml:space="preserve">02 - Sports / GT</t>
        </is>
      </c>
      <c r="M215" s="35">
        <v>830000</v>
      </c>
      <c r="N215" s="32" t="inlineStr">
        <is>
          <t xml:space="preserve">Personal</t>
        </is>
      </c>
      <c r="O215" s="30" t="inlineStr">
        <is>
          <t xml:space="preserve">Personal - regular use</t>
        </is>
      </c>
      <c r="P215" s="30" t="inlineStr">
        <is>
          <t xml:space="preserve">2,500 - 5,000</t>
        </is>
      </c>
      <c r="Q215" s="30" t="inlineStr">
        <is>
          <t xml:space="preserve">Kansas</t>
        </is>
      </c>
      <c r="R215" s="30" t="inlineStr">
        <is>
          <t xml:space="preserve">66603</t>
        </is>
      </c>
      <c r="S215" s="32" t="inlineStr">
        <is>
          <t xml:space="preserve">Severe convective - hail alley (high)</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8200.25</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CANON-202604-006868</t>
        </is>
      </c>
      <c r="B216" s="46" t="inlineStr">
        <is>
          <t xml:space="preserve">Desmond Delacroix</t>
        </is>
      </c>
      <c r="C216" s="47">
        <v>46115</v>
      </c>
      <c r="D216" s="48" t="inlineStr">
        <is>
          <t xml:space="preserve">Bound - within authority</t>
        </is>
      </c>
      <c r="E216" s="48" t="inlineStr">
        <is>
          <t xml:space="preserve">New business</t>
        </is>
      </c>
      <c r="F216" s="46" t="inlineStr">
        <is>
          <t xml:space="preserve">B1234EXOTIC26</t>
        </is>
      </c>
      <c r="G216" s="33">
        <f>IF($A216="","",IF($C216="","",YEAR($C216)))</f>
      </c>
      <c r="H216" s="49">
        <v>1960</v>
      </c>
      <c r="I216" s="46" t="inlineStr">
        <is>
          <t xml:space="preserve">Porsche</t>
        </is>
      </c>
      <c r="J216" s="46" t="inlineStr">
        <is>
          <t xml:space="preserve">911 Turbo S</t>
        </is>
      </c>
      <c r="K216" s="46" t="inlineStr">
        <is>
          <t xml:space="preserve">D99P8MXS290KYDTPX</t>
        </is>
      </c>
      <c r="L216" s="48" t="inlineStr">
        <is>
          <t xml:space="preserve">02 - Sports / GT</t>
        </is>
      </c>
      <c r="M216" s="50">
        <v>450000</v>
      </c>
      <c r="N216" s="48" t="inlineStr">
        <is>
          <t xml:space="preserve">Personal</t>
        </is>
      </c>
      <c r="O216" s="46" t="inlineStr">
        <is>
          <t xml:space="preserve">Personal - regular use</t>
        </is>
      </c>
      <c r="P216" s="46" t="inlineStr">
        <is>
          <t xml:space="preserve">1,000 - 2,500</t>
        </is>
      </c>
      <c r="Q216" s="46" t="inlineStr">
        <is>
          <t xml:space="preserve">Pennsylvania</t>
        </is>
      </c>
      <c r="R216" s="46" t="inlineStr">
        <is>
          <t xml:space="preserve">19103</t>
        </is>
      </c>
      <c r="S216" s="48" t="inlineStr">
        <is>
          <t xml:space="preserve">Low hazard - inland benign</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5288.56</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CANON-202604-006870</t>
        </is>
      </c>
      <c r="B217" s="30" t="inlineStr">
        <is>
          <t xml:space="preserve">Marisol Delacroix</t>
        </is>
      </c>
      <c r="C217" s="31">
        <v>46136</v>
      </c>
      <c r="D217" s="32" t="inlineStr">
        <is>
          <t xml:space="preserve">Bound - within authority</t>
        </is>
      </c>
      <c r="E217" s="32" t="inlineStr">
        <is>
          <t xml:space="preserve">New business</t>
        </is>
      </c>
      <c r="F217" s="30" t="inlineStr">
        <is>
          <t xml:space="preserve">B1234EXOTIC26</t>
        </is>
      </c>
      <c r="G217" s="33">
        <f>IF($A217="","",IF($C217="","",YEAR($C217)))</f>
      </c>
      <c r="H217" s="34">
        <v>1979</v>
      </c>
      <c r="I217" s="30" t="inlineStr">
        <is>
          <t xml:space="preserve">Porsche</t>
        </is>
      </c>
      <c r="J217" s="30" t="inlineStr">
        <is>
          <t xml:space="preserve">911 Turbo S</t>
        </is>
      </c>
      <c r="K217" s="30" t="inlineStr">
        <is>
          <t xml:space="preserve">5CAL51SAAVHW2WDT4</t>
        </is>
      </c>
      <c r="L217" s="32" t="inlineStr">
        <is>
          <t xml:space="preserve">02 - Sports / GT</t>
        </is>
      </c>
      <c r="M217" s="35">
        <v>255000</v>
      </c>
      <c r="N217" s="32" t="inlineStr">
        <is>
          <t xml:space="preserve">Personal</t>
        </is>
      </c>
      <c r="O217" s="30" t="inlineStr">
        <is>
          <t xml:space="preserve">Personal - regular use</t>
        </is>
      </c>
      <c r="P217" s="30" t="inlineStr">
        <is>
          <t xml:space="preserve">Under 1,000</t>
        </is>
      </c>
      <c r="Q217" s="30" t="inlineStr">
        <is>
          <t xml:space="preserve">Oklahoma</t>
        </is>
      </c>
      <c r="R217" s="30" t="inlineStr">
        <is>
          <t xml:space="preserve">73102</t>
        </is>
      </c>
      <c r="S217" s="32" t="inlineStr">
        <is>
          <t xml:space="preserve">Severe convective - hail alley (high)</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3776.03</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CANON-202604-006871</t>
        </is>
      </c>
      <c r="B218" s="46" t="inlineStr">
        <is>
          <t xml:space="preserve">Everett Pennington</t>
        </is>
      </c>
      <c r="C218" s="47">
        <v>46128</v>
      </c>
      <c r="D218" s="48" t="inlineStr">
        <is>
          <t xml:space="preserve">Bound - within authority</t>
        </is>
      </c>
      <c r="E218" s="48" t="inlineStr">
        <is>
          <t xml:space="preserve">New business</t>
        </is>
      </c>
      <c r="F218" s="46" t="inlineStr">
        <is>
          <t xml:space="preserve">B1234EXOTIC26</t>
        </is>
      </c>
      <c r="G218" s="33">
        <f>IF($A218="","",IF($C218="","",YEAR($C218)))</f>
      </c>
      <c r="H218" s="49">
        <v>2017</v>
      </c>
      <c r="I218" s="46" t="inlineStr">
        <is>
          <t xml:space="preserve">Maserati</t>
        </is>
      </c>
      <c r="J218" s="46" t="inlineStr">
        <is>
          <t xml:space="preserve">GranTurismo</t>
        </is>
      </c>
      <c r="K218" s="46" t="inlineStr">
        <is>
          <t xml:space="preserve">TUP1H2V42MWZ6EPAE</t>
        </is>
      </c>
      <c r="L218" s="48" t="inlineStr">
        <is>
          <t xml:space="preserve">02 - Sports / GT</t>
        </is>
      </c>
      <c r="M218" s="50">
        <v>1345000</v>
      </c>
      <c r="N218" s="48" t="inlineStr">
        <is>
          <t xml:space="preserve">Personal</t>
        </is>
      </c>
      <c r="O218" s="46" t="inlineStr">
        <is>
          <t xml:space="preserve">Personal - regular use</t>
        </is>
      </c>
      <c r="P218" s="46" t="inlineStr">
        <is>
          <t xml:space="preserve">2,500 - 5,000</t>
        </is>
      </c>
      <c r="Q218" s="46" t="inlineStr">
        <is>
          <t xml:space="preserve">Washington</t>
        </is>
      </c>
      <c r="R218" s="46" t="inlineStr">
        <is>
          <t xml:space="preserve">98101</t>
        </is>
      </c>
      <c r="S218" s="48" t="inlineStr">
        <is>
          <t xml:space="preserve">Earthquake - high (CA, Cascadia, New Madrid)</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11128.08</v>
      </c>
      <c r="AC218" s="51">
        <v>0</v>
      </c>
      <c r="AD218" s="38">
        <f>IF(ISNUMBER($AB218),$AB218*(1+N($AC218)),"")</f>
      </c>
      <c r="AE218" s="50">
        <v>350</v>
      </c>
      <c r="AF218" s="50">
        <v>250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CANON-202604-006872</t>
        </is>
      </c>
      <c r="B219" s="30" t="inlineStr">
        <is>
          <t xml:space="preserve">Lorenzo Thistlewood</t>
        </is>
      </c>
      <c r="C219" s="31">
        <v>46132</v>
      </c>
      <c r="D219" s="32" t="inlineStr">
        <is>
          <t xml:space="preserve">Bound - within authority</t>
        </is>
      </c>
      <c r="E219" s="32" t="inlineStr">
        <is>
          <t xml:space="preserve">New business</t>
        </is>
      </c>
      <c r="F219" s="30" t="inlineStr">
        <is>
          <t xml:space="preserve">B1234EXOTIC26</t>
        </is>
      </c>
      <c r="G219" s="33">
        <f>IF($A219="","",IF($C219="","",YEAR($C219)))</f>
      </c>
      <c r="H219" s="34">
        <v>2023</v>
      </c>
      <c r="I219" s="30" t="inlineStr">
        <is>
          <t xml:space="preserve">Maserati</t>
        </is>
      </c>
      <c r="J219" s="30" t="inlineStr">
        <is>
          <t xml:space="preserve">GranTurismo</t>
        </is>
      </c>
      <c r="K219" s="30" t="inlineStr">
        <is>
          <t xml:space="preserve">3C67BSGWHY4S149N0</t>
        </is>
      </c>
      <c r="L219" s="32" t="inlineStr">
        <is>
          <t xml:space="preserve">02 - Sports / GT</t>
        </is>
      </c>
      <c r="M219" s="35">
        <v>195000</v>
      </c>
      <c r="N219" s="32" t="inlineStr">
        <is>
          <t xml:space="preserve">Personal</t>
        </is>
      </c>
      <c r="O219" s="30" t="inlineStr">
        <is>
          <t xml:space="preserve">Personal - regular use</t>
        </is>
      </c>
      <c r="P219" s="30" t="inlineStr">
        <is>
          <t xml:space="preserve">1,000 - 2,500</t>
        </is>
      </c>
      <c r="Q219" s="30" t="inlineStr">
        <is>
          <t xml:space="preserve">North Dakota</t>
        </is>
      </c>
      <c r="R219" s="30" t="inlineStr">
        <is>
          <t xml:space="preserve">58501</t>
        </is>
      </c>
      <c r="S219" s="32" t="inlineStr">
        <is>
          <t xml:space="preserve">Severe convective - hail alley (high)</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2867.38</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CANON-202604-006873</t>
        </is>
      </c>
      <c r="B220" s="46" t="inlineStr">
        <is>
          <t xml:space="preserve">Sunniva Harrington</t>
        </is>
      </c>
      <c r="C220" s="47">
        <v>46127</v>
      </c>
      <c r="D220" s="48" t="inlineStr">
        <is>
          <t xml:space="preserve">Bound - within authority</t>
        </is>
      </c>
      <c r="E220" s="48" t="inlineStr">
        <is>
          <t xml:space="preserve">New business</t>
        </is>
      </c>
      <c r="F220" s="46" t="inlineStr">
        <is>
          <t xml:space="preserve">B1234EXOTIC26</t>
        </is>
      </c>
      <c r="G220" s="33">
        <f>IF($A220="","",IF($C220="","",YEAR($C220)))</f>
      </c>
      <c r="H220" s="49">
        <v>2005</v>
      </c>
      <c r="I220" s="46" t="inlineStr">
        <is>
          <t xml:space="preserve">McLaren</t>
        </is>
      </c>
      <c r="J220" s="46" t="inlineStr">
        <is>
          <t xml:space="preserve">750S</t>
        </is>
      </c>
      <c r="K220" s="46" t="inlineStr">
        <is>
          <t xml:space="preserve">K578E26P60CMSXF57</t>
        </is>
      </c>
      <c r="L220" s="48" t="inlineStr">
        <is>
          <t xml:space="preserve">03 - Supercar</t>
        </is>
      </c>
      <c r="M220" s="50">
        <v>545000</v>
      </c>
      <c r="N220" s="48" t="inlineStr">
        <is>
          <t xml:space="preserve">Personal</t>
        </is>
      </c>
      <c r="O220" s="46" t="inlineStr">
        <is>
          <t xml:space="preserve">Personal - regular use</t>
        </is>
      </c>
      <c r="P220" s="46" t="inlineStr">
        <is>
          <t xml:space="preserve">Under 1,000</t>
        </is>
      </c>
      <c r="Q220" s="46" t="inlineStr">
        <is>
          <t xml:space="preserve">Arizona</t>
        </is>
      </c>
      <c r="R220" s="46" t="inlineStr">
        <is>
          <t xml:space="preserve">85001</t>
        </is>
      </c>
      <c r="S220" s="48" t="inlineStr">
        <is>
          <t xml:space="preserve">Wildfire - WUI high hazard</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8194.18</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CANON-202604-006874</t>
        </is>
      </c>
      <c r="B221" s="30" t="inlineStr">
        <is>
          <t xml:space="preserve">Ottilie Harrington</t>
        </is>
      </c>
      <c r="C221" s="31">
        <v>46123</v>
      </c>
      <c r="D221" s="32" t="inlineStr">
        <is>
          <t xml:space="preserve">Bound - within authority</t>
        </is>
      </c>
      <c r="E221" s="32" t="inlineStr">
        <is>
          <t xml:space="preserve">New business</t>
        </is>
      </c>
      <c r="F221" s="30" t="inlineStr">
        <is>
          <t xml:space="preserve">B1234EXOTIC26</t>
        </is>
      </c>
      <c r="G221" s="33">
        <f>IF($A221="","",IF($C221="","",YEAR($C221)))</f>
      </c>
      <c r="H221" s="34">
        <v>1990</v>
      </c>
      <c r="I221" s="30" t="inlineStr">
        <is>
          <t xml:space="preserve">Aston Martin</t>
        </is>
      </c>
      <c r="J221" s="30" t="inlineStr">
        <is>
          <t xml:space="preserve">DB12</t>
        </is>
      </c>
      <c r="K221" s="30" t="inlineStr">
        <is>
          <t xml:space="preserve">7LB6K79A7P7J1453X</t>
        </is>
      </c>
      <c r="L221" s="32" t="inlineStr">
        <is>
          <t xml:space="preserve">02 - Sports / GT</t>
        </is>
      </c>
      <c r="M221" s="35">
        <v>620000</v>
      </c>
      <c r="N221" s="32" t="inlineStr">
        <is>
          <t xml:space="preserve">Personal</t>
        </is>
      </c>
      <c r="O221" s="30" t="inlineStr">
        <is>
          <t xml:space="preserve">Personal - regular use</t>
        </is>
      </c>
      <c r="P221" s="30" t="inlineStr">
        <is>
          <t xml:space="preserve">2,500 - 5,000</t>
        </is>
      </c>
      <c r="Q221" s="30" t="inlineStr">
        <is>
          <t xml:space="preserve">New York</t>
        </is>
      </c>
      <c r="R221" s="30" t="inlineStr">
        <is>
          <t xml:space="preserve">10022</t>
        </is>
      </c>
      <c r="S221" s="32" t="inlineStr">
        <is>
          <t xml:space="preserve">Tier 3 - Coastal wind (25-100 miles)</t>
        </is>
      </c>
      <c r="T221" s="36">
        <f>IF($A221="","",IF($S221="","",IFERROR(INDEX('[1]natural catastrophe'!$D$6:$D$17,MATCH($S221,'[1]natural catastrophe'!$B$6:$B$17,0)),"?")))</f>
      </c>
      <c r="U221" s="30" t="inlineStr">
        <is>
          <t xml:space="preserve">2% of agreed value, minimum $10,000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8083.12</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CANON-202604-006875</t>
        </is>
      </c>
      <c r="B222" s="46" t="inlineStr">
        <is>
          <t xml:space="preserve">Thaddeus Nakashima</t>
        </is>
      </c>
      <c r="C222" s="47">
        <v>46133</v>
      </c>
      <c r="D222" s="48" t="inlineStr">
        <is>
          <t xml:space="preserve">Bound - within authority</t>
        </is>
      </c>
      <c r="E222" s="48" t="inlineStr">
        <is>
          <t xml:space="preserve">New business</t>
        </is>
      </c>
      <c r="F222" s="46" t="inlineStr">
        <is>
          <t xml:space="preserve">B1234EXOTIC26</t>
        </is>
      </c>
      <c r="G222" s="33">
        <f>IF($A222="","",IF($C222="","",YEAR($C222)))</f>
      </c>
      <c r="H222" s="49">
        <v>2021</v>
      </c>
      <c r="I222" s="46" t="inlineStr">
        <is>
          <t xml:space="preserve">Porsche</t>
        </is>
      </c>
      <c r="J222" s="46" t="inlineStr">
        <is>
          <t xml:space="preserve">911 Turbo S</t>
        </is>
      </c>
      <c r="K222" s="46" t="inlineStr">
        <is>
          <t xml:space="preserve">TCY38849YTT7ZLM0U</t>
        </is>
      </c>
      <c r="L222" s="48" t="inlineStr">
        <is>
          <t xml:space="preserve">02 - Sports / GT</t>
        </is>
      </c>
      <c r="M222" s="50">
        <v>455000</v>
      </c>
      <c r="N222" s="48" t="inlineStr">
        <is>
          <t xml:space="preserve">Personal</t>
        </is>
      </c>
      <c r="O222" s="46" t="inlineStr">
        <is>
          <t xml:space="preserve">Personal - regular use</t>
        </is>
      </c>
      <c r="P222" s="46" t="inlineStr">
        <is>
          <t xml:space="preserve">Under 1,000</t>
        </is>
      </c>
      <c r="Q222" s="46" t="inlineStr">
        <is>
          <t xml:space="preserve">Michigan</t>
        </is>
      </c>
      <c r="R222" s="46" t="inlineStr">
        <is>
          <t xml:space="preserve">48226</t>
        </is>
      </c>
      <c r="S222" s="48" t="inlineStr">
        <is>
          <t xml:space="preserve">Severe convective - hail / tornado (moderate)</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8288.35</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CANON-202604-006876</t>
        </is>
      </c>
      <c r="B223" s="30" t="inlineStr">
        <is>
          <t xml:space="preserve">Ramona Nakashima</t>
        </is>
      </c>
      <c r="C223" s="31">
        <v>46114</v>
      </c>
      <c r="D223" s="32" t="inlineStr">
        <is>
          <t xml:space="preserve">Bound - within authority</t>
        </is>
      </c>
      <c r="E223" s="32" t="inlineStr">
        <is>
          <t xml:space="preserve">New business</t>
        </is>
      </c>
      <c r="F223" s="30" t="inlineStr">
        <is>
          <t xml:space="preserve">B1234EXOTIC26</t>
        </is>
      </c>
      <c r="G223" s="33">
        <f>IF($A223="","",IF($C223="","",YEAR($C223)))</f>
      </c>
      <c r="H223" s="34">
        <v>1962</v>
      </c>
      <c r="I223" s="30" t="inlineStr">
        <is>
          <t xml:space="preserve">Mercedes-Benz</t>
        </is>
      </c>
      <c r="J223" s="30" t="inlineStr">
        <is>
          <t xml:space="preserve">AMG GT</t>
        </is>
      </c>
      <c r="K223" s="30" t="inlineStr">
        <is>
          <t xml:space="preserve">DYMTC5L14KPNDMMV4</t>
        </is>
      </c>
      <c r="L223" s="32" t="inlineStr">
        <is>
          <t xml:space="preserve">02 - Sports / GT</t>
        </is>
      </c>
      <c r="M223" s="35">
        <v>535000</v>
      </c>
      <c r="N223" s="32" t="inlineStr">
        <is>
          <t xml:space="preserve">Personal</t>
        </is>
      </c>
      <c r="O223" s="30" t="inlineStr">
        <is>
          <t xml:space="preserve">Personal - regular use</t>
        </is>
      </c>
      <c r="P223" s="30" t="inlineStr">
        <is>
          <t xml:space="preserve">1,000 - 2,500</t>
        </is>
      </c>
      <c r="Q223" s="30" t="inlineStr">
        <is>
          <t xml:space="preserve">Pennsylvania</t>
        </is>
      </c>
      <c r="R223" s="30" t="inlineStr">
        <is>
          <t xml:space="preserve">19103</t>
        </is>
      </c>
      <c r="S223" s="32" t="inlineStr">
        <is>
          <t xml:space="preserve">Low hazard - inland benign</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5449.18</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CANON-202604-006877</t>
        </is>
      </c>
      <c r="B224" s="46" t="inlineStr">
        <is>
          <t xml:space="preserve">Mireille Merriweather</t>
        </is>
      </c>
      <c r="C224" s="47">
        <v>46122</v>
      </c>
      <c r="D224" s="48" t="inlineStr">
        <is>
          <t xml:space="preserve">Bound - within authority</t>
        </is>
      </c>
      <c r="E224" s="48" t="inlineStr">
        <is>
          <t xml:space="preserve">New business</t>
        </is>
      </c>
      <c r="F224" s="46" t="inlineStr">
        <is>
          <t xml:space="preserve">B1234EXOTIC26</t>
        </is>
      </c>
      <c r="G224" s="33">
        <f>IF($A224="","",IF($C224="","",YEAR($C224)))</f>
      </c>
      <c r="H224" s="49">
        <v>1989</v>
      </c>
      <c r="I224" s="46" t="inlineStr">
        <is>
          <t xml:space="preserve">BMW</t>
        </is>
      </c>
      <c r="J224" s="46" t="inlineStr">
        <is>
          <t xml:space="preserve">M8 Competition</t>
        </is>
      </c>
      <c r="K224" s="46" t="inlineStr">
        <is>
          <t xml:space="preserve">HM5Z501FPYBLBPEXS</t>
        </is>
      </c>
      <c r="L224" s="48" t="inlineStr">
        <is>
          <t xml:space="preserve">02 - Sports / GT</t>
        </is>
      </c>
      <c r="M224" s="50">
        <v>1725000</v>
      </c>
      <c r="N224" s="48" t="inlineStr">
        <is>
          <t xml:space="preserve">Personal</t>
        </is>
      </c>
      <c r="O224" s="46" t="inlineStr">
        <is>
          <t xml:space="preserve">Personal - regular use</t>
        </is>
      </c>
      <c r="P224" s="46" t="inlineStr">
        <is>
          <t xml:space="preserve">2,500 - 5,000</t>
        </is>
      </c>
      <c r="Q224" s="46" t="inlineStr">
        <is>
          <t xml:space="preserve">Illinois</t>
        </is>
      </c>
      <c r="R224" s="46" t="inlineStr">
        <is>
          <t xml:space="preserve">60601</t>
        </is>
      </c>
      <c r="S224" s="48" t="inlineStr">
        <is>
          <t xml:space="preserve">Severe convective - hail / tornado (moderate)</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20218.76</v>
      </c>
      <c r="AC224" s="51">
        <v>0</v>
      </c>
      <c r="AD224" s="38">
        <f>IF(ISNUMBER($AB224),$AB224*(1+N($AC224)),"")</f>
      </c>
      <c r="AE224" s="50">
        <v>350</v>
      </c>
      <c r="AF224" s="50">
        <v>250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CANON-202604-006878</t>
        </is>
      </c>
      <c r="B225" s="30" t="inlineStr">
        <is>
          <t xml:space="preserve">Ramona Okonkwo</t>
        </is>
      </c>
      <c r="C225" s="31">
        <v>46114</v>
      </c>
      <c r="D225" s="32" t="inlineStr">
        <is>
          <t xml:space="preserve">Bound - within authority</t>
        </is>
      </c>
      <c r="E225" s="32" t="inlineStr">
        <is>
          <t xml:space="preserve">New business</t>
        </is>
      </c>
      <c r="F225" s="30" t="inlineStr">
        <is>
          <t xml:space="preserve">B1234EXOTIC26</t>
        </is>
      </c>
      <c r="G225" s="33">
        <f>IF($A225="","",IF($C225="","",YEAR($C225)))</f>
      </c>
      <c r="H225" s="34">
        <v>1970</v>
      </c>
      <c r="I225" s="30" t="inlineStr">
        <is>
          <t xml:space="preserve">BMW</t>
        </is>
      </c>
      <c r="J225" s="30" t="inlineStr">
        <is>
          <t xml:space="preserve">M8 Competition</t>
        </is>
      </c>
      <c r="K225" s="30" t="inlineStr">
        <is>
          <t xml:space="preserve">UHEFPLW329RYM2M93</t>
        </is>
      </c>
      <c r="L225" s="32" t="inlineStr">
        <is>
          <t xml:space="preserve">02 - Sports / GT</t>
        </is>
      </c>
      <c r="M225" s="35">
        <v>735000</v>
      </c>
      <c r="N225" s="32" t="inlineStr">
        <is>
          <t xml:space="preserve">Personal</t>
        </is>
      </c>
      <c r="O225" s="30" t="inlineStr">
        <is>
          <t xml:space="preserve">Personal - regular use</t>
        </is>
      </c>
      <c r="P225" s="30" t="inlineStr">
        <is>
          <t xml:space="preserve">Under 1,000</t>
        </is>
      </c>
      <c r="Q225" s="30" t="inlineStr">
        <is>
          <t xml:space="preserve">Connecticut</t>
        </is>
      </c>
      <c r="R225" s="30" t="inlineStr">
        <is>
          <t xml:space="preserve">06103</t>
        </is>
      </c>
      <c r="S225" s="32" t="inlineStr">
        <is>
          <t xml:space="preserve">Tier 3 - Coastal wind (25-100 miles)</t>
        </is>
      </c>
      <c r="T225" s="36">
        <f>IF($A225="","",IF($S225="","",IFERROR(INDEX('[1]natural catastrophe'!$D$6:$D$17,MATCH($S225,'[1]natural catastrophe'!$B$6:$B$17,0)),"?")))</f>
      </c>
      <c r="U225" s="30" t="inlineStr">
        <is>
          <t xml:space="preserve">2% of agreed value, minimum $10,000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8384.6</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CANON-202604-006880</t>
        </is>
      </c>
      <c r="B226" s="46" t="inlineStr">
        <is>
          <t xml:space="preserve">Fitzgerald Chattopadhyay</t>
        </is>
      </c>
      <c r="C226" s="47">
        <v>46116</v>
      </c>
      <c r="D226" s="48" t="inlineStr">
        <is>
          <t xml:space="preserve">Bound - within authority</t>
        </is>
      </c>
      <c r="E226" s="48" t="inlineStr">
        <is>
          <t xml:space="preserve">New business</t>
        </is>
      </c>
      <c r="F226" s="46" t="inlineStr">
        <is>
          <t xml:space="preserve">B1234EXOTIC26</t>
        </is>
      </c>
      <c r="G226" s="33">
        <f>IF($A226="","",IF($C226="","",YEAR($C226)))</f>
      </c>
      <c r="H226" s="49">
        <v>1975</v>
      </c>
      <c r="I226" s="46" t="inlineStr">
        <is>
          <t xml:space="preserve">Porsche</t>
        </is>
      </c>
      <c r="J226" s="46" t="inlineStr">
        <is>
          <t xml:space="preserve">911 Turbo S</t>
        </is>
      </c>
      <c r="K226" s="46" t="inlineStr">
        <is>
          <t xml:space="preserve">4K336G6FMUFPUPTJ3</t>
        </is>
      </c>
      <c r="L226" s="48" t="inlineStr">
        <is>
          <t xml:space="preserve">02 - Sports / GT</t>
        </is>
      </c>
      <c r="M226" s="50">
        <v>970000</v>
      </c>
      <c r="N226" s="48" t="inlineStr">
        <is>
          <t xml:space="preserve">Personal</t>
        </is>
      </c>
      <c r="O226" s="46" t="inlineStr">
        <is>
          <t xml:space="preserve">Personal - regular use</t>
        </is>
      </c>
      <c r="P226" s="46" t="inlineStr">
        <is>
          <t xml:space="preserve">Under 1,000</t>
        </is>
      </c>
      <c r="Q226" s="46" t="inlineStr">
        <is>
          <t xml:space="preserve">Nebraska</t>
        </is>
      </c>
      <c r="R226" s="46" t="inlineStr">
        <is>
          <t xml:space="preserve">68102</t>
        </is>
      </c>
      <c r="S226" s="48" t="inlineStr">
        <is>
          <t xml:space="preserve">Severe convective - hail alley (high)</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12843.76</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CANON-202604-006881</t>
        </is>
      </c>
      <c r="B227" s="30" t="inlineStr">
        <is>
          <t xml:space="preserve">Marisol Underwood</t>
        </is>
      </c>
      <c r="C227" s="31">
        <v>46138</v>
      </c>
      <c r="D227" s="32" t="inlineStr">
        <is>
          <t xml:space="preserve">Bound - within authority</t>
        </is>
      </c>
      <c r="E227" s="32" t="inlineStr">
        <is>
          <t xml:space="preserve">New business</t>
        </is>
      </c>
      <c r="F227" s="30" t="inlineStr">
        <is>
          <t xml:space="preserve">B1234EXOTIC26</t>
        </is>
      </c>
      <c r="G227" s="33">
        <f>IF($A227="","",IF($C227="","",YEAR($C227)))</f>
      </c>
      <c r="H227" s="34">
        <v>2023</v>
      </c>
      <c r="I227" s="30" t="inlineStr">
        <is>
          <t xml:space="preserve">Aston Martin</t>
        </is>
      </c>
      <c r="J227" s="30" t="inlineStr">
        <is>
          <t xml:space="preserve">DB12</t>
        </is>
      </c>
      <c r="K227" s="30" t="inlineStr">
        <is>
          <t xml:space="preserve">FWF35M9EYC4028G5D</t>
        </is>
      </c>
      <c r="L227" s="32" t="inlineStr">
        <is>
          <t xml:space="preserve">02 - Sports / GT</t>
        </is>
      </c>
      <c r="M227" s="35">
        <v>400000</v>
      </c>
      <c r="N227" s="32" t="inlineStr">
        <is>
          <t xml:space="preserve">Personal</t>
        </is>
      </c>
      <c r="O227" s="30" t="inlineStr">
        <is>
          <t xml:space="preserve">Personal - regular use</t>
        </is>
      </c>
      <c r="P227" s="30" t="inlineStr">
        <is>
          <t xml:space="preserve">Under 1,000</t>
        </is>
      </c>
      <c r="Q227" s="30" t="inlineStr">
        <is>
          <t xml:space="preserve">Oklahoma</t>
        </is>
      </c>
      <c r="R227" s="30" t="inlineStr">
        <is>
          <t xml:space="preserve">73102</t>
        </is>
      </c>
      <c r="S227" s="32" t="inlineStr">
        <is>
          <t xml:space="preserve">Severe convective - hail alley (high)</t>
        </is>
      </c>
      <c r="T227" s="36">
        <f>IF($A227="","",IF($S227="","",IFERROR(INDEX('[1]natural catastrophe'!$D$6:$D$17,MATCH($S227,'[1]natural catastrophe'!$B$6:$B$17,0)),"?")))</f>
      </c>
      <c r="U227" s="30" t="inlineStr">
        <is>
          <t xml:space="preserve">$5,000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5923.19</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CANON-202604-006882</t>
        </is>
      </c>
      <c r="B228" s="46" t="inlineStr">
        <is>
          <t xml:space="preserve">Saoirse Harrington</t>
        </is>
      </c>
      <c r="C228" s="47">
        <v>46135</v>
      </c>
      <c r="D228" s="48" t="inlineStr">
        <is>
          <t xml:space="preserve">Bound - within authority</t>
        </is>
      </c>
      <c r="E228" s="48" t="inlineStr">
        <is>
          <t xml:space="preserve">New business</t>
        </is>
      </c>
      <c r="F228" s="46" t="inlineStr">
        <is>
          <t xml:space="preserve">B1234EXOTIC26</t>
        </is>
      </c>
      <c r="G228" s="33">
        <f>IF($A228="","",IF($C228="","",YEAR($C228)))</f>
      </c>
      <c r="H228" s="49">
        <v>1995</v>
      </c>
      <c r="I228" s="46" t="inlineStr">
        <is>
          <t xml:space="preserve">Ferrari</t>
        </is>
      </c>
      <c r="J228" s="46" t="inlineStr">
        <is>
          <t xml:space="preserve">SF90 Stradale</t>
        </is>
      </c>
      <c r="K228" s="46" t="inlineStr">
        <is>
          <t xml:space="preserve">FEVUP8C07DC3XNTB2</t>
        </is>
      </c>
      <c r="L228" s="48" t="inlineStr">
        <is>
          <t xml:space="preserve">03 - Supercar</t>
        </is>
      </c>
      <c r="M228" s="50">
        <v>170000</v>
      </c>
      <c r="N228" s="48" t="inlineStr">
        <is>
          <t xml:space="preserve">Personal</t>
        </is>
      </c>
      <c r="O228" s="46" t="inlineStr">
        <is>
          <t xml:space="preserve">Personal - regular use</t>
        </is>
      </c>
      <c r="P228" s="46" t="inlineStr">
        <is>
          <t xml:space="preserve">2,500 - 5,000</t>
        </is>
      </c>
      <c r="Q228" s="46" t="inlineStr">
        <is>
          <t xml:space="preserve">New York</t>
        </is>
      </c>
      <c r="R228" s="46" t="inlineStr">
        <is>
          <t xml:space="preserve">10022</t>
        </is>
      </c>
      <c r="S228" s="48" t="inlineStr">
        <is>
          <t xml:space="preserve">Tier 3 - Coastal wind (25-100 miles)</t>
        </is>
      </c>
      <c r="T228" s="36">
        <f>IF($A228="","",IF($S228="","",IFERROR(INDEX('[1]natural catastrophe'!$D$6:$D$17,MATCH($S228,'[1]natural catastrophe'!$B$6:$B$17,0)),"?")))</f>
      </c>
      <c r="U228" s="46" t="inlineStr">
        <is>
          <t xml:space="preserve">2% of agreed value, minimum $10,000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4841.85</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CANON-202604-006883</t>
        </is>
      </c>
      <c r="B229" s="30" t="inlineStr">
        <is>
          <t xml:space="preserve">Fitzgerald Fairweather</t>
        </is>
      </c>
      <c r="C229" s="31">
        <v>46127</v>
      </c>
      <c r="D229" s="32" t="inlineStr">
        <is>
          <t xml:space="preserve">Bound - within authority</t>
        </is>
      </c>
      <c r="E229" s="32" t="inlineStr">
        <is>
          <t xml:space="preserve">New business</t>
        </is>
      </c>
      <c r="F229" s="30" t="inlineStr">
        <is>
          <t xml:space="preserve">B1234EXOTIC26</t>
        </is>
      </c>
      <c r="G229" s="33">
        <f>IF($A229="","",IF($C229="","",YEAR($C229)))</f>
      </c>
      <c r="H229" s="34">
        <v>2006</v>
      </c>
      <c r="I229" s="30" t="inlineStr">
        <is>
          <t xml:space="preserve">Bentley</t>
        </is>
      </c>
      <c r="J229" s="30" t="inlineStr">
        <is>
          <t xml:space="preserve">Continental GT</t>
        </is>
      </c>
      <c r="K229" s="30" t="inlineStr">
        <is>
          <t xml:space="preserve">UZC4KPNKJ1FCF363E</t>
        </is>
      </c>
      <c r="L229" s="32" t="inlineStr">
        <is>
          <t xml:space="preserve">02 - Sports / GT</t>
        </is>
      </c>
      <c r="M229" s="35">
        <v>610000</v>
      </c>
      <c r="N229" s="32" t="inlineStr">
        <is>
          <t xml:space="preserve">Personal</t>
        </is>
      </c>
      <c r="O229" s="30" t="inlineStr">
        <is>
          <t xml:space="preserve">Personal - regular use</t>
        </is>
      </c>
      <c r="P229" s="30" t="inlineStr">
        <is>
          <t xml:space="preserve">2,500 - 5,000</t>
        </is>
      </c>
      <c r="Q229" s="30" t="inlineStr">
        <is>
          <t xml:space="preserve">New York</t>
        </is>
      </c>
      <c r="R229" s="30" t="inlineStr">
        <is>
          <t xml:space="preserve">10022</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7952.74</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CANON-202604-006884</t>
        </is>
      </c>
      <c r="B230" s="46" t="inlineStr">
        <is>
          <t xml:space="preserve">Sunniva Rourke</t>
        </is>
      </c>
      <c r="C230" s="47">
        <v>46117</v>
      </c>
      <c r="D230" s="48" t="inlineStr">
        <is>
          <t xml:space="preserve">Bound - within authority</t>
        </is>
      </c>
      <c r="E230" s="48" t="inlineStr">
        <is>
          <t xml:space="preserve">New business</t>
        </is>
      </c>
      <c r="F230" s="46" t="inlineStr">
        <is>
          <t xml:space="preserve">B1234EXOTIC26</t>
        </is>
      </c>
      <c r="G230" s="33">
        <f>IF($A230="","",IF($C230="","",YEAR($C230)))</f>
      </c>
      <c r="H230" s="49">
        <v>1971</v>
      </c>
      <c r="I230" s="46" t="inlineStr">
        <is>
          <t xml:space="preserve">Lamborghini</t>
        </is>
      </c>
      <c r="J230" s="46" t="inlineStr">
        <is>
          <t xml:space="preserve">Huracan EVO</t>
        </is>
      </c>
      <c r="K230" s="46" t="inlineStr">
        <is>
          <t xml:space="preserve">TDW1HRJDJFC5P6RAM</t>
        </is>
      </c>
      <c r="L230" s="48" t="inlineStr">
        <is>
          <t xml:space="preserve">03 - Supercar</t>
        </is>
      </c>
      <c r="M230" s="50">
        <v>970000</v>
      </c>
      <c r="N230" s="48" t="inlineStr">
        <is>
          <t xml:space="preserve">Personal</t>
        </is>
      </c>
      <c r="O230" s="46" t="inlineStr">
        <is>
          <t xml:space="preserve">Personal - regular use</t>
        </is>
      </c>
      <c r="P230" s="46" t="inlineStr">
        <is>
          <t xml:space="preserve">Under 1,000</t>
        </is>
      </c>
      <c r="Q230" s="46" t="inlineStr">
        <is>
          <t xml:space="preserve">New York</t>
        </is>
      </c>
      <c r="R230" s="46" t="inlineStr">
        <is>
          <t xml:space="preserve">10022</t>
        </is>
      </c>
      <c r="S230" s="48" t="inlineStr">
        <is>
          <t xml:space="preserve">Tier 3 - Coastal wind (25-100 miles)</t>
        </is>
      </c>
      <c r="T230" s="36">
        <f>IF($A230="","",IF($S230="","",IFERROR(INDEX('[1]natural catastrophe'!$D$6:$D$17,MATCH($S230,'[1]natural catastrophe'!$B$6:$B$17,0)),"?")))</f>
      </c>
      <c r="U230" s="46" t="inlineStr">
        <is>
          <t xml:space="preserve">2% of agreed value, minimum $10,000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18482.85</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CANON-202604-006885</t>
        </is>
      </c>
      <c r="B231" s="30" t="inlineStr">
        <is>
          <t xml:space="preserve">Priya Nakashima</t>
        </is>
      </c>
      <c r="C231" s="31">
        <v>46131</v>
      </c>
      <c r="D231" s="32" t="inlineStr">
        <is>
          <t xml:space="preserve">Bound - within authority</t>
        </is>
      </c>
      <c r="E231" s="32" t="inlineStr">
        <is>
          <t xml:space="preserve">New business</t>
        </is>
      </c>
      <c r="F231" s="30" t="inlineStr">
        <is>
          <t xml:space="preserve">B1234EXOTIC26</t>
        </is>
      </c>
      <c r="G231" s="33">
        <f>IF($A231="","",IF($C231="","",YEAR($C231)))</f>
      </c>
      <c r="H231" s="34">
        <v>1991</v>
      </c>
      <c r="I231" s="30" t="inlineStr">
        <is>
          <t xml:space="preserve">Bentley</t>
        </is>
      </c>
      <c r="J231" s="30" t="inlineStr">
        <is>
          <t xml:space="preserve">Continental GT</t>
        </is>
      </c>
      <c r="K231" s="30" t="inlineStr">
        <is>
          <t xml:space="preserve">FP0TLHN94GVDA377Z</t>
        </is>
      </c>
      <c r="L231" s="32" t="inlineStr">
        <is>
          <t xml:space="preserve">02 - Sports / GT</t>
        </is>
      </c>
      <c r="M231" s="35">
        <v>275000</v>
      </c>
      <c r="N231" s="32" t="inlineStr">
        <is>
          <t xml:space="preserve">Personal</t>
        </is>
      </c>
      <c r="O231" s="30" t="inlineStr">
        <is>
          <t xml:space="preserve">Personal - regular use</t>
        </is>
      </c>
      <c r="P231" s="30" t="inlineStr">
        <is>
          <t xml:space="preserve">Under 1,000</t>
        </is>
      </c>
      <c r="Q231" s="30" t="inlineStr">
        <is>
          <t xml:space="preserve">Florida</t>
        </is>
      </c>
      <c r="R231" s="30" t="inlineStr">
        <is>
          <t xml:space="preserve">33139</t>
        </is>
      </c>
      <c r="S231" s="32" t="inlineStr">
        <is>
          <t xml:space="preserve">Tier 2 - Coastal wind (1-25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4589.29</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CANON-202604-006886</t>
        </is>
      </c>
      <c r="B232" s="46" t="inlineStr">
        <is>
          <t xml:space="preserve">Priya Bellandi</t>
        </is>
      </c>
      <c r="C232" s="47">
        <v>46130</v>
      </c>
      <c r="D232" s="48" t="inlineStr">
        <is>
          <t xml:space="preserve">Bound - within authority</t>
        </is>
      </c>
      <c r="E232" s="48" t="inlineStr">
        <is>
          <t xml:space="preserve">New business</t>
        </is>
      </c>
      <c r="F232" s="46" t="inlineStr">
        <is>
          <t xml:space="preserve">B1234EXOTIC26</t>
        </is>
      </c>
      <c r="G232" s="33">
        <f>IF($A232="","",IF($C232="","",YEAR($C232)))</f>
      </c>
      <c r="H232" s="49">
        <v>2003</v>
      </c>
      <c r="I232" s="46" t="inlineStr">
        <is>
          <t xml:space="preserve">Ferrari</t>
        </is>
      </c>
      <c r="J232" s="46" t="inlineStr">
        <is>
          <t xml:space="preserve">275 GTB/4</t>
        </is>
      </c>
      <c r="K232" s="46" t="inlineStr">
        <is>
          <t xml:space="preserve">T9F3G36NKX5AWWPXH</t>
        </is>
      </c>
      <c r="L232" s="48" t="inlineStr">
        <is>
          <t xml:space="preserve">09 - Youngtimer / Collectible (2000-2010)</t>
        </is>
      </c>
      <c r="M232" s="50">
        <v>1245000</v>
      </c>
      <c r="N232" s="48" t="inlineStr">
        <is>
          <t xml:space="preserve">Personal</t>
        </is>
      </c>
      <c r="O232" s="46" t="inlineStr">
        <is>
          <t xml:space="preserve">Personal - regular use</t>
        </is>
      </c>
      <c r="P232" s="46" t="inlineStr">
        <is>
          <t xml:space="preserve">Under 1,000</t>
        </is>
      </c>
      <c r="Q232" s="46" t="inlineStr">
        <is>
          <t xml:space="preserve">Nebraska</t>
        </is>
      </c>
      <c r="R232" s="46" t="inlineStr">
        <is>
          <t xml:space="preserve">68102</t>
        </is>
      </c>
      <c r="S232" s="48" t="inlineStr">
        <is>
          <t xml:space="preserve">Severe convective - hail alley (high)</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9637.4</v>
      </c>
      <c r="AC232" s="51">
        <v>0</v>
      </c>
      <c r="AD232" s="38">
        <f>IF(ISNUMBER($AB232),$AB232*(1+N($AC232)),"")</f>
      </c>
      <c r="AE232" s="50">
        <v>350</v>
      </c>
      <c r="AF232" s="50">
        <v>250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CANON-202604-006888</t>
        </is>
      </c>
      <c r="B233" s="30" t="inlineStr">
        <is>
          <t xml:space="preserve">Emiliano Nakashima</t>
        </is>
      </c>
      <c r="C233" s="31">
        <v>46132</v>
      </c>
      <c r="D233" s="32" t="inlineStr">
        <is>
          <t xml:space="preserve">Bound - within authority</t>
        </is>
      </c>
      <c r="E233" s="32" t="inlineStr">
        <is>
          <t xml:space="preserve">New business</t>
        </is>
      </c>
      <c r="F233" s="30" t="inlineStr">
        <is>
          <t xml:space="preserve">B1234EXOTIC26</t>
        </is>
      </c>
      <c r="G233" s="33">
        <f>IF($A233="","",IF($C233="","",YEAR($C233)))</f>
      </c>
      <c r="H233" s="34">
        <v>2001</v>
      </c>
      <c r="I233" s="30" t="inlineStr">
        <is>
          <t xml:space="preserve">Bentley</t>
        </is>
      </c>
      <c r="J233" s="30" t="inlineStr">
        <is>
          <t xml:space="preserve">Continental GT</t>
        </is>
      </c>
      <c r="K233" s="30" t="inlineStr">
        <is>
          <t xml:space="preserve">KGCRCSDEGUUUCR5ZP</t>
        </is>
      </c>
      <c r="L233" s="32" t="inlineStr">
        <is>
          <t xml:space="preserve">02 - Sports / GT</t>
        </is>
      </c>
      <c r="M233" s="35">
        <v>745000</v>
      </c>
      <c r="N233" s="32" t="inlineStr">
        <is>
          <t xml:space="preserve">Personal</t>
        </is>
      </c>
      <c r="O233" s="30" t="inlineStr">
        <is>
          <t xml:space="preserve">Personal - regular use</t>
        </is>
      </c>
      <c r="P233" s="30" t="inlineStr">
        <is>
          <t xml:space="preserve">Under 1,000</t>
        </is>
      </c>
      <c r="Q233" s="30" t="inlineStr">
        <is>
          <t xml:space="preserve">Indiana</t>
        </is>
      </c>
      <c r="R233" s="30" t="inlineStr">
        <is>
          <t xml:space="preserve">46204</t>
        </is>
      </c>
      <c r="S233" s="32" t="inlineStr">
        <is>
          <t xml:space="preserve">Severe convective - hail / tornado (moderate)</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9333.37</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CANON-202604-006889</t>
        </is>
      </c>
      <c r="B234" s="46" t="inlineStr">
        <is>
          <t xml:space="preserve">Mireille Delacroix</t>
        </is>
      </c>
      <c r="C234" s="47">
        <v>46140</v>
      </c>
      <c r="D234" s="48" t="inlineStr">
        <is>
          <t xml:space="preserve">Bound - within authority</t>
        </is>
      </c>
      <c r="E234" s="48" t="inlineStr">
        <is>
          <t xml:space="preserve">New business</t>
        </is>
      </c>
      <c r="F234" s="46" t="inlineStr">
        <is>
          <t xml:space="preserve">B1234EXOTIC26</t>
        </is>
      </c>
      <c r="G234" s="33">
        <f>IF($A234="","",IF($C234="","",YEAR($C234)))</f>
      </c>
      <c r="H234" s="49">
        <v>1971</v>
      </c>
      <c r="I234" s="46" t="inlineStr">
        <is>
          <t xml:space="preserve">Porsche</t>
        </is>
      </c>
      <c r="J234" s="46" t="inlineStr">
        <is>
          <t xml:space="preserve">911 Turbo S</t>
        </is>
      </c>
      <c r="K234" s="46" t="inlineStr">
        <is>
          <t xml:space="preserve">VLS41CWY092H1C5MU</t>
        </is>
      </c>
      <c r="L234" s="48" t="inlineStr">
        <is>
          <t xml:space="preserve">02 - Sports / GT</t>
        </is>
      </c>
      <c r="M234" s="50">
        <v>285000</v>
      </c>
      <c r="N234" s="48" t="inlineStr">
        <is>
          <t xml:space="preserve">Personal</t>
        </is>
      </c>
      <c r="O234" s="46" t="inlineStr">
        <is>
          <t xml:space="preserve">Personal - regular use</t>
        </is>
      </c>
      <c r="P234" s="46" t="inlineStr">
        <is>
          <t xml:space="preserve">Under 1,000</t>
        </is>
      </c>
      <c r="Q234" s="46" t="inlineStr">
        <is>
          <t xml:space="preserve">New Mexico</t>
        </is>
      </c>
      <c r="R234" s="46" t="inlineStr">
        <is>
          <t xml:space="preserve">87501</t>
        </is>
      </c>
      <c r="S234" s="48" t="inlineStr">
        <is>
          <t xml:space="preserve">Wildfire - WUI high hazard</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4287.26</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CANON-202604-006892</t>
        </is>
      </c>
      <c r="B235" s="30" t="inlineStr">
        <is>
          <t xml:space="preserve">Thaddeus Blackwood</t>
        </is>
      </c>
      <c r="C235" s="31">
        <v>46135</v>
      </c>
      <c r="D235" s="32" t="inlineStr">
        <is>
          <t xml:space="preserve">Bound - within authority</t>
        </is>
      </c>
      <c r="E235" s="32" t="inlineStr">
        <is>
          <t xml:space="preserve">New business</t>
        </is>
      </c>
      <c r="F235" s="30" t="inlineStr">
        <is>
          <t xml:space="preserve">B1234EXOTIC26</t>
        </is>
      </c>
      <c r="G235" s="33">
        <f>IF($A235="","",IF($C235="","",YEAR($C235)))</f>
      </c>
      <c r="H235" s="34">
        <v>2019</v>
      </c>
      <c r="I235" s="30" t="inlineStr">
        <is>
          <t xml:space="preserve">BMW</t>
        </is>
      </c>
      <c r="J235" s="30" t="inlineStr">
        <is>
          <t xml:space="preserve">M8 Competition</t>
        </is>
      </c>
      <c r="K235" s="30" t="inlineStr">
        <is>
          <t xml:space="preserve">5RFKBLFFU1M3VLXK3</t>
        </is>
      </c>
      <c r="L235" s="32" t="inlineStr">
        <is>
          <t xml:space="preserve">02 - Sports / GT</t>
        </is>
      </c>
      <c r="M235" s="35">
        <v>805000</v>
      </c>
      <c r="N235" s="32" t="inlineStr">
        <is>
          <t xml:space="preserve">Personal</t>
        </is>
      </c>
      <c r="O235" s="30" t="inlineStr">
        <is>
          <t xml:space="preserve">Personal - regular use</t>
        </is>
      </c>
      <c r="P235" s="30" t="inlineStr">
        <is>
          <t xml:space="preserve">1,000 - 2,500</t>
        </is>
      </c>
      <c r="Q235" s="30" t="inlineStr">
        <is>
          <t xml:space="preserve">Washington</t>
        </is>
      </c>
      <c r="R235" s="30" t="inlineStr">
        <is>
          <t xml:space="preserve">98101</t>
        </is>
      </c>
      <c r="S235" s="32" t="inlineStr">
        <is>
          <t xml:space="preserve">Earthquake - high (CA, Cascadia, New Madrid)</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7871.26</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CANON-202604-006894</t>
        </is>
      </c>
      <c r="B236" s="46" t="inlineStr">
        <is>
          <t xml:space="preserve">Desmond Larsson</t>
        </is>
      </c>
      <c r="C236" s="47">
        <v>46114</v>
      </c>
      <c r="D236" s="48" t="inlineStr">
        <is>
          <t xml:space="preserve">Bound - within authority</t>
        </is>
      </c>
      <c r="E236" s="48" t="inlineStr">
        <is>
          <t xml:space="preserve">New business</t>
        </is>
      </c>
      <c r="F236" s="46" t="inlineStr">
        <is>
          <t xml:space="preserve">B1234EXOTIC26</t>
        </is>
      </c>
      <c r="G236" s="33">
        <f>IF($A236="","",IF($C236="","",YEAR($C236)))</f>
      </c>
      <c r="H236" s="49">
        <v>1991</v>
      </c>
      <c r="I236" s="46" t="inlineStr">
        <is>
          <t xml:space="preserve">Porsche</t>
        </is>
      </c>
      <c r="J236" s="46" t="inlineStr">
        <is>
          <t xml:space="preserve">911 Turbo S</t>
        </is>
      </c>
      <c r="K236" s="46" t="inlineStr">
        <is>
          <t xml:space="preserve">UZC6HWSA46DKHZRBY</t>
        </is>
      </c>
      <c r="L236" s="48" t="inlineStr">
        <is>
          <t xml:space="preserve">02 - Sports / GT</t>
        </is>
      </c>
      <c r="M236" s="50">
        <v>1045000</v>
      </c>
      <c r="N236" s="48" t="inlineStr">
        <is>
          <t xml:space="preserve">Personal</t>
        </is>
      </c>
      <c r="O236" s="46" t="inlineStr">
        <is>
          <t xml:space="preserve">Personal - regular use</t>
        </is>
      </c>
      <c r="P236" s="46" t="inlineStr">
        <is>
          <t xml:space="preserve">1,000 - 2,500</t>
        </is>
      </c>
      <c r="Q236" s="46" t="inlineStr">
        <is>
          <t xml:space="preserve">Illinois</t>
        </is>
      </c>
      <c r="R236" s="46" t="inlineStr">
        <is>
          <t xml:space="preserve">60601</t>
        </is>
      </c>
      <c r="S236" s="48" t="inlineStr">
        <is>
          <t xml:space="preserve">Severe convective - hail / tornado (moderate)</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12248.46</v>
      </c>
      <c r="AC236" s="51">
        <v>0</v>
      </c>
      <c r="AD236" s="38">
        <f>IF(ISNUMBER($AB236),$AB236*(1+N($AC236)),"")</f>
      </c>
      <c r="AE236" s="50">
        <v>350</v>
      </c>
      <c r="AF236" s="50">
        <v>250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CANON-202604-006895</t>
        </is>
      </c>
      <c r="B237" s="30" t="inlineStr">
        <is>
          <t xml:space="preserve">Saoirse Larsson</t>
        </is>
      </c>
      <c r="C237" s="31">
        <v>46116</v>
      </c>
      <c r="D237" s="32" t="inlineStr">
        <is>
          <t xml:space="preserve">Bound - within authority</t>
        </is>
      </c>
      <c r="E237" s="32" t="inlineStr">
        <is>
          <t xml:space="preserve">New business</t>
        </is>
      </c>
      <c r="F237" s="30" t="inlineStr">
        <is>
          <t xml:space="preserve">B1234EXOTIC26</t>
        </is>
      </c>
      <c r="G237" s="33">
        <f>IF($A237="","",IF($C237="","",YEAR($C237)))</f>
      </c>
      <c r="H237" s="34">
        <v>2005</v>
      </c>
      <c r="I237" s="30" t="inlineStr">
        <is>
          <t xml:space="preserve">Porsche</t>
        </is>
      </c>
      <c r="J237" s="30" t="inlineStr">
        <is>
          <t xml:space="preserve">911 Turbo S</t>
        </is>
      </c>
      <c r="K237" s="30" t="inlineStr">
        <is>
          <t xml:space="preserve">EBUPPLZEW0UPXUG36</t>
        </is>
      </c>
      <c r="L237" s="32" t="inlineStr">
        <is>
          <t xml:space="preserve">02 - Sports / GT</t>
        </is>
      </c>
      <c r="M237" s="35">
        <v>820000</v>
      </c>
      <c r="N237" s="32" t="inlineStr">
        <is>
          <t xml:space="preserve">Personal</t>
        </is>
      </c>
      <c r="O237" s="30" t="inlineStr">
        <is>
          <t xml:space="preserve">Personal - regular use</t>
        </is>
      </c>
      <c r="P237" s="30" t="inlineStr">
        <is>
          <t xml:space="preserve">1,000 - 2,500</t>
        </is>
      </c>
      <c r="Q237" s="30" t="inlineStr">
        <is>
          <t xml:space="preserve">Minnesota</t>
        </is>
      </c>
      <c r="R237" s="30" t="inlineStr">
        <is>
          <t xml:space="preserve">55401</t>
        </is>
      </c>
      <c r="S237" s="32" t="inlineStr">
        <is>
          <t xml:space="preserve">Severe convective - hail / tornado (moderate)</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11024.65</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CANON-202604-006896</t>
        </is>
      </c>
      <c r="B238" s="46" t="inlineStr">
        <is>
          <t xml:space="preserve">Cassius Castellanos</t>
        </is>
      </c>
      <c r="C238" s="47">
        <v>46129</v>
      </c>
      <c r="D238" s="48" t="inlineStr">
        <is>
          <t xml:space="preserve">Bound - within authority</t>
        </is>
      </c>
      <c r="E238" s="48" t="inlineStr">
        <is>
          <t xml:space="preserve">New business</t>
        </is>
      </c>
      <c r="F238" s="46" t="inlineStr">
        <is>
          <t xml:space="preserve">B1234EXOTIC26</t>
        </is>
      </c>
      <c r="G238" s="33">
        <f>IF($A238="","",IF($C238="","",YEAR($C238)))</f>
      </c>
      <c r="H238" s="49">
        <v>1982</v>
      </c>
      <c r="I238" s="46" t="inlineStr">
        <is>
          <t xml:space="preserve">Mercedes-Benz</t>
        </is>
      </c>
      <c r="J238" s="46" t="inlineStr">
        <is>
          <t xml:space="preserve">AMG GT</t>
        </is>
      </c>
      <c r="K238" s="46" t="inlineStr">
        <is>
          <t xml:space="preserve">FV6H6EGG7JNH4959F</t>
        </is>
      </c>
      <c r="L238" s="48" t="inlineStr">
        <is>
          <t xml:space="preserve">02 - Sports / GT</t>
        </is>
      </c>
      <c r="M238" s="50">
        <v>845000</v>
      </c>
      <c r="N238" s="48" t="inlineStr">
        <is>
          <t xml:space="preserve">Personal</t>
        </is>
      </c>
      <c r="O238" s="46" t="inlineStr">
        <is>
          <t xml:space="preserve">Personal - regular use</t>
        </is>
      </c>
      <c r="P238" s="46" t="inlineStr">
        <is>
          <t xml:space="preserve">Under 1,000</t>
        </is>
      </c>
      <c r="Q238" s="46" t="inlineStr">
        <is>
          <t xml:space="preserve">Alaska</t>
        </is>
      </c>
      <c r="R238" s="46" t="inlineStr">
        <is>
          <t xml:space="preserve">99501</t>
        </is>
      </c>
      <c r="S238" s="48" t="inlineStr">
        <is>
          <t xml:space="preserve">Earthquake - high (CA, Cascadia, New Madrid)</t>
        </is>
      </c>
      <c r="T238" s="36">
        <f>IF($A238="","",IF($S238="","",IFERROR(INDEX('[1]natural catastrophe'!$D$6:$D$17,MATCH($S238,'[1]natural catastrophe'!$B$6:$B$17,0)),"?")))</f>
      </c>
      <c r="U238" s="46" t="inlineStr">
        <is>
          <t xml:space="preserve">$5,000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9811.58</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CANON-202604-006897</t>
        </is>
      </c>
      <c r="B239" s="30" t="inlineStr">
        <is>
          <t xml:space="preserve">Delphine Merriweather</t>
        </is>
      </c>
      <c r="C239" s="31">
        <v>46115</v>
      </c>
      <c r="D239" s="32" t="inlineStr">
        <is>
          <t xml:space="preserve">Bound - within authority</t>
        </is>
      </c>
      <c r="E239" s="32" t="inlineStr">
        <is>
          <t xml:space="preserve">New business</t>
        </is>
      </c>
      <c r="F239" s="30" t="inlineStr">
        <is>
          <t xml:space="preserve">B1234EXOTIC26</t>
        </is>
      </c>
      <c r="G239" s="33">
        <f>IF($A239="","",IF($C239="","",YEAR($C239)))</f>
      </c>
      <c r="H239" s="34">
        <v>2017</v>
      </c>
      <c r="I239" s="30" t="inlineStr">
        <is>
          <t xml:space="preserve">McLaren</t>
        </is>
      </c>
      <c r="J239" s="30" t="inlineStr">
        <is>
          <t xml:space="preserve">750S</t>
        </is>
      </c>
      <c r="K239" s="30" t="inlineStr">
        <is>
          <t xml:space="preserve">MM47K6R2GRNTXVJD3</t>
        </is>
      </c>
      <c r="L239" s="32" t="inlineStr">
        <is>
          <t xml:space="preserve">03 - Supercar</t>
        </is>
      </c>
      <c r="M239" s="35">
        <v>780000</v>
      </c>
      <c r="N239" s="32" t="inlineStr">
        <is>
          <t xml:space="preserve">Personal</t>
        </is>
      </c>
      <c r="O239" s="30" t="inlineStr">
        <is>
          <t xml:space="preserve">Personal - regular use</t>
        </is>
      </c>
      <c r="P239" s="30" t="inlineStr">
        <is>
          <t xml:space="preserve">Under 1,000</t>
        </is>
      </c>
      <c r="Q239" s="30" t="inlineStr">
        <is>
          <t xml:space="preserve">Indiana</t>
        </is>
      </c>
      <c r="R239" s="30" t="inlineStr">
        <is>
          <t xml:space="preserve">46204</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14281.93</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CANON-202604-006898</t>
        </is>
      </c>
      <c r="B240" s="46" t="inlineStr">
        <is>
          <t xml:space="preserve">Lorenzo Castellanos</t>
        </is>
      </c>
      <c r="C240" s="47">
        <v>46134</v>
      </c>
      <c r="D240" s="48" t="inlineStr">
        <is>
          <t xml:space="preserve">Bound - within authority</t>
        </is>
      </c>
      <c r="E240" s="48" t="inlineStr">
        <is>
          <t xml:space="preserve">New business</t>
        </is>
      </c>
      <c r="F240" s="46" t="inlineStr">
        <is>
          <t xml:space="preserve">B1234EXOTIC26</t>
        </is>
      </c>
      <c r="G240" s="33">
        <f>IF($A240="","",IF($C240="","",YEAR($C240)))</f>
      </c>
      <c r="H240" s="49">
        <v>1955</v>
      </c>
      <c r="I240" s="46" t="inlineStr">
        <is>
          <t xml:space="preserve">Aston Martin</t>
        </is>
      </c>
      <c r="J240" s="46" t="inlineStr">
        <is>
          <t xml:space="preserve">DB5</t>
        </is>
      </c>
      <c r="K240" s="46" t="inlineStr">
        <is>
          <t xml:space="preserve">ABE2F65L3RTFPK1JL</t>
        </is>
      </c>
      <c r="L240" s="48" t="inlineStr">
        <is>
          <t xml:space="preserve">07 - Post-War Classic (1946-1972)</t>
        </is>
      </c>
      <c r="M240" s="50">
        <v>1575000</v>
      </c>
      <c r="N240" s="48" t="inlineStr">
        <is>
          <t xml:space="preserve">Personal</t>
        </is>
      </c>
      <c r="O240" s="46" t="inlineStr">
        <is>
          <t xml:space="preserve">Personal - regular use</t>
        </is>
      </c>
      <c r="P240" s="46" t="inlineStr">
        <is>
          <t xml:space="preserve">1,000 - 2,500</t>
        </is>
      </c>
      <c r="Q240" s="46" t="inlineStr">
        <is>
          <t xml:space="preserve">Colorado</t>
        </is>
      </c>
      <c r="R240" s="46" t="inlineStr">
        <is>
          <t xml:space="preserve">80202</t>
        </is>
      </c>
      <c r="S240" s="48" t="inlineStr">
        <is>
          <t xml:space="preserve">Severe convective - hail alley (high)</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10316.22</v>
      </c>
      <c r="AC240" s="51">
        <v>0</v>
      </c>
      <c r="AD240" s="38">
        <f>IF(ISNUMBER($AB240),$AB240*(1+N($AC240)),"")</f>
      </c>
      <c r="AE240" s="50">
        <v>350</v>
      </c>
      <c r="AF240" s="50">
        <v>250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CANON-202604-006899</t>
        </is>
      </c>
      <c r="B241" s="30" t="inlineStr">
        <is>
          <t xml:space="preserve">Fitzgerald Merriweather</t>
        </is>
      </c>
      <c r="C241" s="31">
        <v>46115</v>
      </c>
      <c r="D241" s="32" t="inlineStr">
        <is>
          <t xml:space="preserve">Bound - within authority</t>
        </is>
      </c>
      <c r="E241" s="32" t="inlineStr">
        <is>
          <t xml:space="preserve">New business</t>
        </is>
      </c>
      <c r="F241" s="30" t="inlineStr">
        <is>
          <t xml:space="preserve">B1234EXOTIC26</t>
        </is>
      </c>
      <c r="G241" s="33">
        <f>IF($A241="","",IF($C241="","",YEAR($C241)))</f>
      </c>
      <c r="H241" s="34">
        <v>1976</v>
      </c>
      <c r="I241" s="30" t="inlineStr">
        <is>
          <t xml:space="preserve">Ferrari</t>
        </is>
      </c>
      <c r="J241" s="30" t="inlineStr">
        <is>
          <t xml:space="preserve">275 GTB/4</t>
        </is>
      </c>
      <c r="K241" s="30" t="inlineStr">
        <is>
          <t xml:space="preserve">SWT9HC5YS7DB21PD3</t>
        </is>
      </c>
      <c r="L241" s="32" t="inlineStr">
        <is>
          <t xml:space="preserve">08 - Modern Classic (1973-1999)</t>
        </is>
      </c>
      <c r="M241" s="35">
        <v>215000</v>
      </c>
      <c r="N241" s="32" t="inlineStr">
        <is>
          <t xml:space="preserve">Personal</t>
        </is>
      </c>
      <c r="O241" s="30" t="inlineStr">
        <is>
          <t xml:space="preserve">Personal - regular use</t>
        </is>
      </c>
      <c r="P241" s="30" t="inlineStr">
        <is>
          <t xml:space="preserve">Under 1,000</t>
        </is>
      </c>
      <c r="Q241" s="30" t="inlineStr">
        <is>
          <t xml:space="preserve">Michigan</t>
        </is>
      </c>
      <c r="R241" s="30" t="inlineStr">
        <is>
          <t xml:space="preserve">48226</t>
        </is>
      </c>
      <c r="S241" s="32" t="inlineStr">
        <is>
          <t xml:space="preserve">Severe convective - hail / tornado (moderate)</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2976.52</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CANON-202604-006900</t>
        </is>
      </c>
      <c r="B242" s="46" t="inlineStr">
        <is>
          <t xml:space="preserve">Sunniva Chattopadhyay</t>
        </is>
      </c>
      <c r="C242" s="47">
        <v>46141</v>
      </c>
      <c r="D242" s="48" t="inlineStr">
        <is>
          <t xml:space="preserve">Bound - within authority</t>
        </is>
      </c>
      <c r="E242" s="48" t="inlineStr">
        <is>
          <t xml:space="preserve">New business</t>
        </is>
      </c>
      <c r="F242" s="46" t="inlineStr">
        <is>
          <t xml:space="preserve">B1234EXOTIC26</t>
        </is>
      </c>
      <c r="G242" s="33">
        <f>IF($A242="","",IF($C242="","",YEAR($C242)))</f>
      </c>
      <c r="H242" s="49">
        <v>1961</v>
      </c>
      <c r="I242" s="46" t="inlineStr">
        <is>
          <t xml:space="preserve">BMW</t>
        </is>
      </c>
      <c r="J242" s="46" t="inlineStr">
        <is>
          <t xml:space="preserve">M8 Competition</t>
        </is>
      </c>
      <c r="K242" s="46" t="inlineStr">
        <is>
          <t xml:space="preserve">DZJ13MJLKVFE6UKB6</t>
        </is>
      </c>
      <c r="L242" s="48" t="inlineStr">
        <is>
          <t xml:space="preserve">02 - Sports / GT</t>
        </is>
      </c>
      <c r="M242" s="50">
        <v>645000</v>
      </c>
      <c r="N242" s="48" t="inlineStr">
        <is>
          <t xml:space="preserve">Personal</t>
        </is>
      </c>
      <c r="O242" s="46" t="inlineStr">
        <is>
          <t xml:space="preserve">Personal - regular use</t>
        </is>
      </c>
      <c r="P242" s="46" t="inlineStr">
        <is>
          <t xml:space="preserve">Under 1,000</t>
        </is>
      </c>
      <c r="Q242" s="46" t="inlineStr">
        <is>
          <t xml:space="preserve">California</t>
        </is>
      </c>
      <c r="R242" s="46" t="inlineStr">
        <is>
          <t xml:space="preserve">90012</t>
        </is>
      </c>
      <c r="S242" s="48" t="inlineStr">
        <is>
          <t xml:space="preserve">Earthquake - high (CA, Cascadia, New Madrid)</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8868.92</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CANON-202604-006901</t>
        </is>
      </c>
      <c r="B243" s="30" t="inlineStr">
        <is>
          <t xml:space="preserve">Desmond Chattopadhyay</t>
        </is>
      </c>
      <c r="C243" s="31">
        <v>46132</v>
      </c>
      <c r="D243" s="32" t="inlineStr">
        <is>
          <t xml:space="preserve">Bound - within authority</t>
        </is>
      </c>
      <c r="E243" s="32" t="inlineStr">
        <is>
          <t xml:space="preserve">New business</t>
        </is>
      </c>
      <c r="F243" s="30" t="inlineStr">
        <is>
          <t xml:space="preserve">B1234EXOTIC26</t>
        </is>
      </c>
      <c r="G243" s="33">
        <f>IF($A243="","",IF($C243="","",YEAR($C243)))</f>
      </c>
      <c r="H243" s="34">
        <v>2001</v>
      </c>
      <c r="I243" s="30" t="inlineStr">
        <is>
          <t xml:space="preserve">Bugatti</t>
        </is>
      </c>
      <c r="J243" s="30" t="inlineStr">
        <is>
          <t xml:space="preserve">Type 57</t>
        </is>
      </c>
      <c r="K243" s="30" t="inlineStr">
        <is>
          <t xml:space="preserve">F3GDJX9R2XNFEW2H2</t>
        </is>
      </c>
      <c r="L243" s="32" t="inlineStr">
        <is>
          <t xml:space="preserve">09 - Youngtimer / Collectible (2000-2010)</t>
        </is>
      </c>
      <c r="M243" s="35">
        <v>790000</v>
      </c>
      <c r="N243" s="32" t="inlineStr">
        <is>
          <t xml:space="preserve">Personal</t>
        </is>
      </c>
      <c r="O243" s="30" t="inlineStr">
        <is>
          <t xml:space="preserve">Personal - regular use</t>
        </is>
      </c>
      <c r="P243" s="30" t="inlineStr">
        <is>
          <t xml:space="preserve">1,000 - 2,500</t>
        </is>
      </c>
      <c r="Q243" s="30" t="inlineStr">
        <is>
          <t xml:space="preserve">Washington</t>
        </is>
      </c>
      <c r="R243" s="30" t="inlineStr">
        <is>
          <t xml:space="preserve">98101</t>
        </is>
      </c>
      <c r="S243" s="32" t="inlineStr">
        <is>
          <t xml:space="preserve">Earthquake - high (CA, Cascadia, New Madrid)</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4515.91</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CANON-202604-006903</t>
        </is>
      </c>
      <c r="B244" s="46" t="inlineStr">
        <is>
          <t xml:space="preserve">Sunniva Larsson</t>
        </is>
      </c>
      <c r="C244" s="47">
        <v>46136</v>
      </c>
      <c r="D244" s="48" t="inlineStr">
        <is>
          <t xml:space="preserve">Bound - within authority</t>
        </is>
      </c>
      <c r="E244" s="48" t="inlineStr">
        <is>
          <t xml:space="preserve">New business</t>
        </is>
      </c>
      <c r="F244" s="46" t="inlineStr">
        <is>
          <t xml:space="preserve">B1234EXOTIC26</t>
        </is>
      </c>
      <c r="G244" s="33">
        <f>IF($A244="","",IF($C244="","",YEAR($C244)))</f>
      </c>
      <c r="H244" s="49">
        <v>2015</v>
      </c>
      <c r="I244" s="46" t="inlineStr">
        <is>
          <t xml:space="preserve">Bentley</t>
        </is>
      </c>
      <c r="J244" s="46" t="inlineStr">
        <is>
          <t xml:space="preserve">Continental GT</t>
        </is>
      </c>
      <c r="K244" s="46" t="inlineStr">
        <is>
          <t xml:space="preserve">X91KX8ZCJRZXEFV5N</t>
        </is>
      </c>
      <c r="L244" s="48" t="inlineStr">
        <is>
          <t xml:space="preserve">02 - Sports / GT</t>
        </is>
      </c>
      <c r="M244" s="50">
        <v>420000</v>
      </c>
      <c r="N244" s="48" t="inlineStr">
        <is>
          <t xml:space="preserve">Personal</t>
        </is>
      </c>
      <c r="O244" s="46" t="inlineStr">
        <is>
          <t xml:space="preserve">Personal - regular use</t>
        </is>
      </c>
      <c r="P244" s="46" t="inlineStr">
        <is>
          <t xml:space="preserve">1,000 - 2,500</t>
        </is>
      </c>
      <c r="Q244" s="46" t="inlineStr">
        <is>
          <t xml:space="preserve">Vermont</t>
        </is>
      </c>
      <c r="R244" s="46" t="inlineStr">
        <is>
          <t xml:space="preserve">05601</t>
        </is>
      </c>
      <c r="S244" s="48" t="inlineStr">
        <is>
          <t xml:space="preserve">Low hazard - inland benign</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6021.91</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CANON-202604-006906</t>
        </is>
      </c>
      <c r="B245" s="30" t="inlineStr">
        <is>
          <t xml:space="preserve">Ramona Harrington</t>
        </is>
      </c>
      <c r="C245" s="31">
        <v>46113</v>
      </c>
      <c r="D245" s="32" t="inlineStr">
        <is>
          <t xml:space="preserve">Bound - within authority</t>
        </is>
      </c>
      <c r="E245" s="32" t="inlineStr">
        <is>
          <t xml:space="preserve">New business</t>
        </is>
      </c>
      <c r="F245" s="30" t="inlineStr">
        <is>
          <t xml:space="preserve">B1234EXOTIC26</t>
        </is>
      </c>
      <c r="G245" s="33">
        <f>IF($A245="","",IF($C245="","",YEAR($C245)))</f>
      </c>
      <c r="H245" s="34">
        <v>1970</v>
      </c>
      <c r="I245" s="30" t="inlineStr">
        <is>
          <t xml:space="preserve">Porsche</t>
        </is>
      </c>
      <c r="J245" s="30" t="inlineStr">
        <is>
          <t xml:space="preserve">911 Turbo S</t>
        </is>
      </c>
      <c r="K245" s="30" t="inlineStr">
        <is>
          <t xml:space="preserve">KVU1ASZULHLVNLNMC</t>
        </is>
      </c>
      <c r="L245" s="32" t="inlineStr">
        <is>
          <t xml:space="preserve">02 - Sports / GT</t>
        </is>
      </c>
      <c r="M245" s="35">
        <v>435000</v>
      </c>
      <c r="N245" s="32" t="inlineStr">
        <is>
          <t xml:space="preserve">Personal</t>
        </is>
      </c>
      <c r="O245" s="30" t="inlineStr">
        <is>
          <t xml:space="preserve">Personal - regular use</t>
        </is>
      </c>
      <c r="P245" s="30" t="inlineStr">
        <is>
          <t xml:space="preserve">Under 1,000</t>
        </is>
      </c>
      <c r="Q245" s="30" t="inlineStr">
        <is>
          <t xml:space="preserve">Florida</t>
        </is>
      </c>
      <c r="R245" s="30" t="inlineStr">
        <is>
          <t xml:space="preserve">33139</t>
        </is>
      </c>
      <c r="S245" s="32" t="inlineStr">
        <is>
          <t xml:space="preserve">Tier 2 - Coastal wind (1-25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7259.43</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CANON-202604-006907</t>
        </is>
      </c>
      <c r="B246" s="46" t="inlineStr">
        <is>
          <t xml:space="preserve">Ottilie Blackwood</t>
        </is>
      </c>
      <c r="C246" s="47">
        <v>46121</v>
      </c>
      <c r="D246" s="48" t="inlineStr">
        <is>
          <t xml:space="preserve">Bound - within authority</t>
        </is>
      </c>
      <c r="E246" s="48" t="inlineStr">
        <is>
          <t xml:space="preserve">New business</t>
        </is>
      </c>
      <c r="F246" s="46" t="inlineStr">
        <is>
          <t xml:space="preserve">B1234EXOTIC26</t>
        </is>
      </c>
      <c r="G246" s="33">
        <f>IF($A246="","",IF($C246="","",YEAR($C246)))</f>
      </c>
      <c r="H246" s="49">
        <v>1989</v>
      </c>
      <c r="I246" s="46" t="inlineStr">
        <is>
          <t xml:space="preserve">Maserati</t>
        </is>
      </c>
      <c r="J246" s="46" t="inlineStr">
        <is>
          <t xml:space="preserve">GranTurismo</t>
        </is>
      </c>
      <c r="K246" s="46" t="inlineStr">
        <is>
          <t xml:space="preserve">W4SU07M88KJEBFJ2C</t>
        </is>
      </c>
      <c r="L246" s="48" t="inlineStr">
        <is>
          <t xml:space="preserve">02 - Sports / GT</t>
        </is>
      </c>
      <c r="M246" s="50">
        <v>695000</v>
      </c>
      <c r="N246" s="48" t="inlineStr">
        <is>
          <t xml:space="preserve">Personal</t>
        </is>
      </c>
      <c r="O246" s="46" t="inlineStr">
        <is>
          <t xml:space="preserve">Personal - regular use</t>
        </is>
      </c>
      <c r="P246" s="46" t="inlineStr">
        <is>
          <t xml:space="preserve">Under 1,000</t>
        </is>
      </c>
      <c r="Q246" s="46" t="inlineStr">
        <is>
          <t xml:space="preserve">Texas</t>
        </is>
      </c>
      <c r="R246" s="46" t="inlineStr">
        <is>
          <t xml:space="preserve">75201</t>
        </is>
      </c>
      <c r="S246" s="48" t="inlineStr">
        <is>
          <t xml:space="preserve">Tier 2 - Coastal wind (1-25 miles)</t>
        </is>
      </c>
      <c r="T246" s="36">
        <f>IF($A246="","",IF($S246="","",IFERROR(INDEX('[1]natural catastrophe'!$D$6:$D$17,MATCH($S246,'[1]natural catastrophe'!$B$6:$B$17,0)),"?")))</f>
      </c>
      <c r="U246" s="46" t="inlineStr">
        <is>
          <t xml:space="preserve">2% of agreed value, minimum $10,000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8140.66</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CANON-202604-006908</t>
        </is>
      </c>
      <c r="B247" s="30" t="inlineStr">
        <is>
          <t xml:space="preserve">Horace Bellandi</t>
        </is>
      </c>
      <c r="C247" s="31">
        <v>46131</v>
      </c>
      <c r="D247" s="32" t="inlineStr">
        <is>
          <t xml:space="preserve">Bound - within authority</t>
        </is>
      </c>
      <c r="E247" s="32" t="inlineStr">
        <is>
          <t xml:space="preserve">New business</t>
        </is>
      </c>
      <c r="F247" s="30" t="inlineStr">
        <is>
          <t xml:space="preserve">B1234EXOTIC26</t>
        </is>
      </c>
      <c r="G247" s="33">
        <f>IF($A247="","",IF($C247="","",YEAR($C247)))</f>
      </c>
      <c r="H247" s="34">
        <v>1998</v>
      </c>
      <c r="I247" s="30" t="inlineStr">
        <is>
          <t xml:space="preserve">Mercedes-Benz</t>
        </is>
      </c>
      <c r="J247" s="30" t="inlineStr">
        <is>
          <t xml:space="preserve">AMG GT</t>
        </is>
      </c>
      <c r="K247" s="30" t="inlineStr">
        <is>
          <t xml:space="preserve">A08T56F91P9G1T3MM</t>
        </is>
      </c>
      <c r="L247" s="32" t="inlineStr">
        <is>
          <t xml:space="preserve">02 - Sports / GT</t>
        </is>
      </c>
      <c r="M247" s="35">
        <v>715000</v>
      </c>
      <c r="N247" s="32" t="inlineStr">
        <is>
          <t xml:space="preserve">Personal</t>
        </is>
      </c>
      <c r="O247" s="30" t="inlineStr">
        <is>
          <t xml:space="preserve">Personal - regular use</t>
        </is>
      </c>
      <c r="P247" s="30" t="inlineStr">
        <is>
          <t xml:space="preserve">Under 1,000</t>
        </is>
      </c>
      <c r="Q247" s="30" t="inlineStr">
        <is>
          <t xml:space="preserve">California</t>
        </is>
      </c>
      <c r="R247" s="30" t="inlineStr">
        <is>
          <t xml:space="preserve">90012</t>
        </is>
      </c>
      <c r="S247" s="32" t="inlineStr">
        <is>
          <t xml:space="preserve">Earthquake - high (CA, Cascadia, New Madrid)</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9831.43</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CANON-202604-006911</t>
        </is>
      </c>
      <c r="B248" s="46" t="inlineStr">
        <is>
          <t xml:space="preserve">Wilhelmina Nakashima</t>
        </is>
      </c>
      <c r="C248" s="47">
        <v>46134</v>
      </c>
      <c r="D248" s="48" t="inlineStr">
        <is>
          <t xml:space="preserve">Bound - within authority</t>
        </is>
      </c>
      <c r="E248" s="48" t="inlineStr">
        <is>
          <t xml:space="preserve">New business</t>
        </is>
      </c>
      <c r="F248" s="46" t="inlineStr">
        <is>
          <t xml:space="preserve">B1234EXOTIC26</t>
        </is>
      </c>
      <c r="G248" s="33">
        <f>IF($A248="","",IF($C248="","",YEAR($C248)))</f>
      </c>
      <c r="H248" s="49">
        <v>1991</v>
      </c>
      <c r="I248" s="46" t="inlineStr">
        <is>
          <t xml:space="preserve">BMW</t>
        </is>
      </c>
      <c r="J248" s="46" t="inlineStr">
        <is>
          <t xml:space="preserve">M8 Competition</t>
        </is>
      </c>
      <c r="K248" s="46" t="inlineStr">
        <is>
          <t xml:space="preserve">NK8HRM0LXN4FW9T5W</t>
        </is>
      </c>
      <c r="L248" s="48" t="inlineStr">
        <is>
          <t xml:space="preserve">02 - Sports / GT</t>
        </is>
      </c>
      <c r="M248" s="50">
        <v>675000</v>
      </c>
      <c r="N248" s="48" t="inlineStr">
        <is>
          <t xml:space="preserve">Personal</t>
        </is>
      </c>
      <c r="O248" s="46" t="inlineStr">
        <is>
          <t xml:space="preserve">Personal - regular use</t>
        </is>
      </c>
      <c r="P248" s="46" t="inlineStr">
        <is>
          <t xml:space="preserve">Under 1,000</t>
        </is>
      </c>
      <c r="Q248" s="46" t="inlineStr">
        <is>
          <t xml:space="preserve">Illinois</t>
        </is>
      </c>
      <c r="R248" s="46" t="inlineStr">
        <is>
          <t xml:space="preserve">60601</t>
        </is>
      </c>
      <c r="S248" s="48" t="inlineStr">
        <is>
          <t xml:space="preserve">Severe convective - hail / tornado (moderate)</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9350.18</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CANON-202604-006912</t>
        </is>
      </c>
      <c r="B249" s="30" t="inlineStr">
        <is>
          <t xml:space="preserve">Saoirse Vasquez</t>
        </is>
      </c>
      <c r="C249" s="31">
        <v>46136</v>
      </c>
      <c r="D249" s="32" t="inlineStr">
        <is>
          <t xml:space="preserve">Bound - within authority</t>
        </is>
      </c>
      <c r="E249" s="32" t="inlineStr">
        <is>
          <t xml:space="preserve">New business</t>
        </is>
      </c>
      <c r="F249" s="30" t="inlineStr">
        <is>
          <t xml:space="preserve">B1234EXOTIC26</t>
        </is>
      </c>
      <c r="G249" s="33">
        <f>IF($A249="","",IF($C249="","",YEAR($C249)))</f>
      </c>
      <c r="H249" s="34">
        <v>1968</v>
      </c>
      <c r="I249" s="30" t="inlineStr">
        <is>
          <t xml:space="preserve">Bentley</t>
        </is>
      </c>
      <c r="J249" s="30" t="inlineStr">
        <is>
          <t xml:space="preserve">Continental GT</t>
        </is>
      </c>
      <c r="K249" s="30" t="inlineStr">
        <is>
          <t xml:space="preserve">3Y1360P5BH2JKTTFA</t>
        </is>
      </c>
      <c r="L249" s="32" t="inlineStr">
        <is>
          <t xml:space="preserve">02 - Sports / GT</t>
        </is>
      </c>
      <c r="M249" s="35">
        <v>820000</v>
      </c>
      <c r="N249" s="32" t="inlineStr">
        <is>
          <t xml:space="preserve">Personal</t>
        </is>
      </c>
      <c r="O249" s="30" t="inlineStr">
        <is>
          <t xml:space="preserve">Personal - regular use</t>
        </is>
      </c>
      <c r="P249" s="30" t="inlineStr">
        <is>
          <t xml:space="preserve">1,000 - 2,500</t>
        </is>
      </c>
      <c r="Q249" s="30" t="inlineStr">
        <is>
          <t xml:space="preserve">Connecticut</t>
        </is>
      </c>
      <c r="R249" s="30" t="inlineStr">
        <is>
          <t xml:space="preserve">06103</t>
        </is>
      </c>
      <c r="S249" s="32" t="inlineStr">
        <is>
          <t xml:space="preserve">Tier 3 - Coastal wind (25-100 miles)</t>
        </is>
      </c>
      <c r="T249" s="36">
        <f>IF($A249="","",IF($S249="","",IFERROR(INDEX('[1]natural catastrophe'!$D$6:$D$17,MATCH($S249,'[1]natural catastrophe'!$B$6:$B$17,0)),"?")))</f>
      </c>
      <c r="U249" s="30" t="inlineStr">
        <is>
          <t xml:space="preserve">2% of agreed value, minimum $10,000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9354.25</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CANON-202604-006913</t>
        </is>
      </c>
      <c r="B250" s="46" t="inlineStr">
        <is>
          <t xml:space="preserve">Ottilie Whitlock</t>
        </is>
      </c>
      <c r="C250" s="47">
        <v>46133</v>
      </c>
      <c r="D250" s="48" t="inlineStr">
        <is>
          <t xml:space="preserve">Bound - within authority</t>
        </is>
      </c>
      <c r="E250" s="48" t="inlineStr">
        <is>
          <t xml:space="preserve">New business</t>
        </is>
      </c>
      <c r="F250" s="46" t="inlineStr">
        <is>
          <t xml:space="preserve">B1234EXOTIC26</t>
        </is>
      </c>
      <c r="G250" s="33">
        <f>IF($A250="","",IF($C250="","",YEAR($C250)))</f>
      </c>
      <c r="H250" s="49">
        <v>1982</v>
      </c>
      <c r="I250" s="46" t="inlineStr">
        <is>
          <t xml:space="preserve">Maserati</t>
        </is>
      </c>
      <c r="J250" s="46" t="inlineStr">
        <is>
          <t xml:space="preserve">GranTurismo</t>
        </is>
      </c>
      <c r="K250" s="46" t="inlineStr">
        <is>
          <t xml:space="preserve">8KC53LVTERCEB1WT1</t>
        </is>
      </c>
      <c r="L250" s="48" t="inlineStr">
        <is>
          <t xml:space="preserve">02 - Sports / GT</t>
        </is>
      </c>
      <c r="M250" s="50">
        <v>830000</v>
      </c>
      <c r="N250" s="48" t="inlineStr">
        <is>
          <t xml:space="preserve">Personal</t>
        </is>
      </c>
      <c r="O250" s="46" t="inlineStr">
        <is>
          <t xml:space="preserve">Personal - regular use</t>
        </is>
      </c>
      <c r="P250" s="46" t="inlineStr">
        <is>
          <t xml:space="preserve">2,500 - 5,000</t>
        </is>
      </c>
      <c r="Q250" s="46" t="inlineStr">
        <is>
          <t xml:space="preserve">Hawaii</t>
        </is>
      </c>
      <c r="R250" s="46" t="inlineStr">
        <is>
          <t xml:space="preserve">96813</t>
        </is>
      </c>
      <c r="S250" s="48" t="inlineStr">
        <is>
          <t xml:space="preserve">Earthquake - high (CA, Cascadia, New Madrid)</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10990.02</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CANON-202604-006915</t>
        </is>
      </c>
      <c r="B251" s="30" t="inlineStr">
        <is>
          <t xml:space="preserve">Lorenzo Underwood</t>
        </is>
      </c>
      <c r="C251" s="31">
        <v>46129</v>
      </c>
      <c r="D251" s="32" t="inlineStr">
        <is>
          <t xml:space="preserve">Bound - within authority</t>
        </is>
      </c>
      <c r="E251" s="32" t="inlineStr">
        <is>
          <t xml:space="preserve">New business</t>
        </is>
      </c>
      <c r="F251" s="30" t="inlineStr">
        <is>
          <t xml:space="preserve">B1234EXOTIC26</t>
        </is>
      </c>
      <c r="G251" s="33">
        <f>IF($A251="","",IF($C251="","",YEAR($C251)))</f>
      </c>
      <c r="H251" s="34">
        <v>1973</v>
      </c>
      <c r="I251" s="30" t="inlineStr">
        <is>
          <t xml:space="preserve">Mercedes-Benz</t>
        </is>
      </c>
      <c r="J251" s="30" t="inlineStr">
        <is>
          <t xml:space="preserve">AMG GT</t>
        </is>
      </c>
      <c r="K251" s="30" t="inlineStr">
        <is>
          <t xml:space="preserve">N0CY1MVB1PJN2TXDM</t>
        </is>
      </c>
      <c r="L251" s="32" t="inlineStr">
        <is>
          <t xml:space="preserve">02 - Sports / GT</t>
        </is>
      </c>
      <c r="M251" s="35">
        <v>345000</v>
      </c>
      <c r="N251" s="32" t="inlineStr">
        <is>
          <t xml:space="preserve">Personal</t>
        </is>
      </c>
      <c r="O251" s="30" t="inlineStr">
        <is>
          <t xml:space="preserve">Personal - regular use</t>
        </is>
      </c>
      <c r="P251" s="30" t="inlineStr">
        <is>
          <t xml:space="preserve">1,000 - 2,500</t>
        </is>
      </c>
      <c r="Q251" s="30" t="inlineStr">
        <is>
          <t xml:space="preserve">Maryland</t>
        </is>
      </c>
      <c r="R251" s="30" t="inlineStr">
        <is>
          <t xml:space="preserve">21201</t>
        </is>
      </c>
      <c r="S251" s="32" t="inlineStr">
        <is>
          <t xml:space="preserve">Tier 3 - Coastal wind (25-100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3851.83</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CANON-202604-006917</t>
        </is>
      </c>
      <c r="B252" s="46" t="inlineStr">
        <is>
          <t xml:space="preserve">Horace Larsson</t>
        </is>
      </c>
      <c r="C252" s="47">
        <v>46136</v>
      </c>
      <c r="D252" s="48" t="inlineStr">
        <is>
          <t xml:space="preserve">Bound - within authority</t>
        </is>
      </c>
      <c r="E252" s="48" t="inlineStr">
        <is>
          <t xml:space="preserve">New business</t>
        </is>
      </c>
      <c r="F252" s="46" t="inlineStr">
        <is>
          <t xml:space="preserve">B1234EXOTIC26</t>
        </is>
      </c>
      <c r="G252" s="33">
        <f>IF($A252="","",IF($C252="","",YEAR($C252)))</f>
      </c>
      <c r="H252" s="49">
        <v>1991</v>
      </c>
      <c r="I252" s="46" t="inlineStr">
        <is>
          <t xml:space="preserve">Maserati</t>
        </is>
      </c>
      <c r="J252" s="46" t="inlineStr">
        <is>
          <t xml:space="preserve">GranTurismo</t>
        </is>
      </c>
      <c r="K252" s="46" t="inlineStr">
        <is>
          <t xml:space="preserve">VUUMHSKHE68EHLRRL</t>
        </is>
      </c>
      <c r="L252" s="48" t="inlineStr">
        <is>
          <t xml:space="preserve">02 - Sports / GT</t>
        </is>
      </c>
      <c r="M252" s="50">
        <v>385000</v>
      </c>
      <c r="N252" s="48" t="inlineStr">
        <is>
          <t xml:space="preserve">Personal</t>
        </is>
      </c>
      <c r="O252" s="46" t="inlineStr">
        <is>
          <t xml:space="preserve">Personal - regular use</t>
        </is>
      </c>
      <c r="P252" s="46" t="inlineStr">
        <is>
          <t xml:space="preserve">1,000 - 2,500</t>
        </is>
      </c>
      <c r="Q252" s="46" t="inlineStr">
        <is>
          <t xml:space="preserve">Missouri</t>
        </is>
      </c>
      <c r="R252" s="46" t="inlineStr">
        <is>
          <t xml:space="preserve">63101</t>
        </is>
      </c>
      <c r="S252" s="48" t="inlineStr">
        <is>
          <t xml:space="preserve">Severe convective - hail / tornado (moderate)</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4796.14</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CANON-202604-006918</t>
        </is>
      </c>
      <c r="B253" s="30" t="inlineStr">
        <is>
          <t xml:space="preserve">Ingrid Delacroix</t>
        </is>
      </c>
      <c r="C253" s="31">
        <v>46128</v>
      </c>
      <c r="D253" s="32" t="inlineStr">
        <is>
          <t xml:space="preserve">Bound - within authority</t>
        </is>
      </c>
      <c r="E253" s="32" t="inlineStr">
        <is>
          <t xml:space="preserve">New business</t>
        </is>
      </c>
      <c r="F253" s="30" t="inlineStr">
        <is>
          <t xml:space="preserve">B1234EXOTIC26</t>
        </is>
      </c>
      <c r="G253" s="33">
        <f>IF($A253="","",IF($C253="","",YEAR($C253)))</f>
      </c>
      <c r="H253" s="34">
        <v>1973</v>
      </c>
      <c r="I253" s="30" t="inlineStr">
        <is>
          <t xml:space="preserve">Maserati</t>
        </is>
      </c>
      <c r="J253" s="30" t="inlineStr">
        <is>
          <t xml:space="preserve">GranTurismo</t>
        </is>
      </c>
      <c r="K253" s="30" t="inlineStr">
        <is>
          <t xml:space="preserve">7L4ZU91X99WJ9HTVM</t>
        </is>
      </c>
      <c r="L253" s="32" t="inlineStr">
        <is>
          <t xml:space="preserve">02 - Sports / GT</t>
        </is>
      </c>
      <c r="M253" s="35">
        <v>840000</v>
      </c>
      <c r="N253" s="32" t="inlineStr">
        <is>
          <t xml:space="preserve">Personal</t>
        </is>
      </c>
      <c r="O253" s="30" t="inlineStr">
        <is>
          <t xml:space="preserve">Personal - regular use</t>
        </is>
      </c>
      <c r="P253" s="30" t="inlineStr">
        <is>
          <t xml:space="preserve">2,500 - 5,000</t>
        </is>
      </c>
      <c r="Q253" s="30" t="inlineStr">
        <is>
          <t xml:space="preserve">Michigan</t>
        </is>
      </c>
      <c r="R253" s="30" t="inlineStr">
        <is>
          <t xml:space="preserve">48226</t>
        </is>
      </c>
      <c r="S253" s="32" t="inlineStr">
        <is>
          <t xml:space="preserve">Severe convective - hail / tornado (moderate)</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13261.36</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CANON-202604-006919</t>
        </is>
      </c>
      <c r="B254" s="46" t="inlineStr">
        <is>
          <t xml:space="preserve">Beatrix Nakashima</t>
        </is>
      </c>
      <c r="C254" s="47">
        <v>46134</v>
      </c>
      <c r="D254" s="48" t="inlineStr">
        <is>
          <t xml:space="preserve">Bound - within authority</t>
        </is>
      </c>
      <c r="E254" s="48" t="inlineStr">
        <is>
          <t xml:space="preserve">New business</t>
        </is>
      </c>
      <c r="F254" s="46" t="inlineStr">
        <is>
          <t xml:space="preserve">B1234EXOTIC26</t>
        </is>
      </c>
      <c r="G254" s="33">
        <f>IF($A254="","",IF($C254="","",YEAR($C254)))</f>
      </c>
      <c r="H254" s="49">
        <v>2023</v>
      </c>
      <c r="I254" s="46" t="inlineStr">
        <is>
          <t xml:space="preserve">Aston Martin</t>
        </is>
      </c>
      <c r="J254" s="46" t="inlineStr">
        <is>
          <t xml:space="preserve">DB12</t>
        </is>
      </c>
      <c r="K254" s="46" t="inlineStr">
        <is>
          <t xml:space="preserve">6RS14JVJK2XGN1PXK</t>
        </is>
      </c>
      <c r="L254" s="48" t="inlineStr">
        <is>
          <t xml:space="preserve">02 - Sports / GT</t>
        </is>
      </c>
      <c r="M254" s="50">
        <v>175000</v>
      </c>
      <c r="N254" s="48" t="inlineStr">
        <is>
          <t xml:space="preserve">Personal</t>
        </is>
      </c>
      <c r="O254" s="46" t="inlineStr">
        <is>
          <t xml:space="preserve">Personal - regular use</t>
        </is>
      </c>
      <c r="P254" s="46" t="inlineStr">
        <is>
          <t xml:space="preserve">Under 1,000</t>
        </is>
      </c>
      <c r="Q254" s="46" t="inlineStr">
        <is>
          <t xml:space="preserve">Ohio</t>
        </is>
      </c>
      <c r="R254" s="46" t="inlineStr">
        <is>
          <t xml:space="preserve">43215</t>
        </is>
      </c>
      <c r="S254" s="48" t="inlineStr">
        <is>
          <t xml:space="preserve">Severe convective - hail / tornado (moderate)</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3506.74</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CANON-202604-006920</t>
        </is>
      </c>
      <c r="B255" s="30" t="inlineStr">
        <is>
          <t xml:space="preserve">Ottilie Chattopadhyay</t>
        </is>
      </c>
      <c r="C255" s="31">
        <v>46117</v>
      </c>
      <c r="D255" s="32" t="inlineStr">
        <is>
          <t xml:space="preserve">Bound - within authority</t>
        </is>
      </c>
      <c r="E255" s="32" t="inlineStr">
        <is>
          <t xml:space="preserve">New business</t>
        </is>
      </c>
      <c r="F255" s="30" t="inlineStr">
        <is>
          <t xml:space="preserve">B1234EXOTIC26</t>
        </is>
      </c>
      <c r="G255" s="33">
        <f>IF($A255="","",IF($C255="","",YEAR($C255)))</f>
      </c>
      <c r="H255" s="34">
        <v>1959</v>
      </c>
      <c r="I255" s="30" t="inlineStr">
        <is>
          <t xml:space="preserve">Bentley</t>
        </is>
      </c>
      <c r="J255" s="30" t="inlineStr">
        <is>
          <t xml:space="preserve">Continental GT</t>
        </is>
      </c>
      <c r="K255" s="30" t="inlineStr">
        <is>
          <t xml:space="preserve">5E8J5WYUZRJL9V0WU</t>
        </is>
      </c>
      <c r="L255" s="32" t="inlineStr">
        <is>
          <t xml:space="preserve">02 - Sports / GT</t>
        </is>
      </c>
      <c r="M255" s="35">
        <v>885000</v>
      </c>
      <c r="N255" s="32" t="inlineStr">
        <is>
          <t xml:space="preserve">Personal</t>
        </is>
      </c>
      <c r="O255" s="30" t="inlineStr">
        <is>
          <t xml:space="preserve">Personal - regular use</t>
        </is>
      </c>
      <c r="P255" s="30" t="inlineStr">
        <is>
          <t xml:space="preserve">2,500 - 5,000</t>
        </is>
      </c>
      <c r="Q255" s="30" t="inlineStr">
        <is>
          <t xml:space="preserve">Minnesota</t>
        </is>
      </c>
      <c r="R255" s="30" t="inlineStr">
        <is>
          <t xml:space="preserve">55401</t>
        </is>
      </c>
      <c r="S255" s="32" t="inlineStr">
        <is>
          <t xml:space="preserve">Severe convective - hail / tornado (moderate)</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11898.56</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CANON-202604-006921</t>
        </is>
      </c>
      <c r="B256" s="46" t="inlineStr">
        <is>
          <t xml:space="preserve">Marisol Nakashima</t>
        </is>
      </c>
      <c r="C256" s="47">
        <v>46119</v>
      </c>
      <c r="D256" s="48" t="inlineStr">
        <is>
          <t xml:space="preserve">Bound - within authority</t>
        </is>
      </c>
      <c r="E256" s="48" t="inlineStr">
        <is>
          <t xml:space="preserve">New business</t>
        </is>
      </c>
      <c r="F256" s="46" t="inlineStr">
        <is>
          <t xml:space="preserve">B1234EXOTIC26</t>
        </is>
      </c>
      <c r="G256" s="33">
        <f>IF($A256="","",IF($C256="","",YEAR($C256)))</f>
      </c>
      <c r="H256" s="49">
        <v>1984</v>
      </c>
      <c r="I256" s="46" t="inlineStr">
        <is>
          <t xml:space="preserve">Bentley</t>
        </is>
      </c>
      <c r="J256" s="46" t="inlineStr">
        <is>
          <t xml:space="preserve">Continental GT</t>
        </is>
      </c>
      <c r="K256" s="46" t="inlineStr">
        <is>
          <t xml:space="preserve">XZW2D3EBUNLKKZHPX</t>
        </is>
      </c>
      <c r="L256" s="48" t="inlineStr">
        <is>
          <t xml:space="preserve">02 - Sports / GT</t>
        </is>
      </c>
      <c r="M256" s="50">
        <v>345000</v>
      </c>
      <c r="N256" s="48" t="inlineStr">
        <is>
          <t xml:space="preserve">Personal</t>
        </is>
      </c>
      <c r="O256" s="46" t="inlineStr">
        <is>
          <t xml:space="preserve">Personal - regular use</t>
        </is>
      </c>
      <c r="P256" s="46" t="inlineStr">
        <is>
          <t xml:space="preserve">Under 1,000</t>
        </is>
      </c>
      <c r="Q256" s="46" t="inlineStr">
        <is>
          <t xml:space="preserve">Rhode Island</t>
        </is>
      </c>
      <c r="R256" s="46" t="inlineStr">
        <is>
          <t xml:space="preserve">02903</t>
        </is>
      </c>
      <c r="S256" s="48" t="inlineStr">
        <is>
          <t xml:space="preserve">Tier 3 - Coastal wind (25-100 miles)</t>
        </is>
      </c>
      <c r="T256" s="36">
        <f>IF($A256="","",IF($S256="","",IFERROR(INDEX('[1]natural catastrophe'!$D$6:$D$17,MATCH($S256,'[1]natural catastrophe'!$B$6:$B$17,0)),"?")))</f>
      </c>
      <c r="U256" s="46" t="inlineStr">
        <is>
          <t xml:space="preserve">2% of agreed value, minimum $10,000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5554.75</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CANON-202604-006923</t>
        </is>
      </c>
      <c r="B257" s="30" t="inlineStr">
        <is>
          <t xml:space="preserve">Wilhelmina Farkas</t>
        </is>
      </c>
      <c r="C257" s="31">
        <v>46121</v>
      </c>
      <c r="D257" s="32" t="inlineStr">
        <is>
          <t xml:space="preserve">Bound - within authority</t>
        </is>
      </c>
      <c r="E257" s="32" t="inlineStr">
        <is>
          <t xml:space="preserve">New business</t>
        </is>
      </c>
      <c r="F257" s="30" t="inlineStr">
        <is>
          <t xml:space="preserve">B1234EXOTIC26</t>
        </is>
      </c>
      <c r="G257" s="33">
        <f>IF($A257="","",IF($C257="","",YEAR($C257)))</f>
      </c>
      <c r="H257" s="34">
        <v>1962</v>
      </c>
      <c r="I257" s="30" t="inlineStr">
        <is>
          <t xml:space="preserve">Lamborghini</t>
        </is>
      </c>
      <c r="J257" s="30" t="inlineStr">
        <is>
          <t xml:space="preserve">Huracan EVO</t>
        </is>
      </c>
      <c r="K257" s="30" t="inlineStr">
        <is>
          <t xml:space="preserve">FDUFLN0ZM2EB4WCRP</t>
        </is>
      </c>
      <c r="L257" s="32" t="inlineStr">
        <is>
          <t xml:space="preserve">03 - Supercar</t>
        </is>
      </c>
      <c r="M257" s="35">
        <v>450000</v>
      </c>
      <c r="N257" s="32" t="inlineStr">
        <is>
          <t xml:space="preserve">Personal</t>
        </is>
      </c>
      <c r="O257" s="30" t="inlineStr">
        <is>
          <t xml:space="preserve">Personal - regular use</t>
        </is>
      </c>
      <c r="P257" s="30" t="inlineStr">
        <is>
          <t xml:space="preserve">2,500 - 5,000</t>
        </is>
      </c>
      <c r="Q257" s="30" t="inlineStr">
        <is>
          <t xml:space="preserve">Washington</t>
        </is>
      </c>
      <c r="R257" s="30" t="inlineStr">
        <is>
          <t xml:space="preserve">98101</t>
        </is>
      </c>
      <c r="S257" s="32" t="inlineStr">
        <is>
          <t xml:space="preserve">Earthquake - high (CA, Cascadia, New Madrid)</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7784.76</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CANON-202604-006924</t>
        </is>
      </c>
      <c r="B258" s="46" t="inlineStr">
        <is>
          <t xml:space="preserve">Fitzgerald Delacroix</t>
        </is>
      </c>
      <c r="C258" s="47">
        <v>46122</v>
      </c>
      <c r="D258" s="48" t="inlineStr">
        <is>
          <t xml:space="preserve">Bound - within authority</t>
        </is>
      </c>
      <c r="E258" s="48" t="inlineStr">
        <is>
          <t xml:space="preserve">New business</t>
        </is>
      </c>
      <c r="F258" s="46" t="inlineStr">
        <is>
          <t xml:space="preserve">B1234EXOTIC26</t>
        </is>
      </c>
      <c r="G258" s="33">
        <f>IF($A258="","",IF($C258="","",YEAR($C258)))</f>
      </c>
      <c r="H258" s="49">
        <v>2013</v>
      </c>
      <c r="I258" s="46" t="inlineStr">
        <is>
          <t xml:space="preserve">Maserati</t>
        </is>
      </c>
      <c r="J258" s="46" t="inlineStr">
        <is>
          <t xml:space="preserve">GranTurismo</t>
        </is>
      </c>
      <c r="K258" s="46" t="inlineStr">
        <is>
          <t xml:space="preserve">6HZ0SCTW16VV7CD7G</t>
        </is>
      </c>
      <c r="L258" s="48" t="inlineStr">
        <is>
          <t xml:space="preserve">02 - Sports / GT</t>
        </is>
      </c>
      <c r="M258" s="50">
        <v>335000</v>
      </c>
      <c r="N258" s="48" t="inlineStr">
        <is>
          <t xml:space="preserve">Personal</t>
        </is>
      </c>
      <c r="O258" s="46" t="inlineStr">
        <is>
          <t xml:space="preserve">Personal - regular use</t>
        </is>
      </c>
      <c r="P258" s="46" t="inlineStr">
        <is>
          <t xml:space="preserve">Under 1,000</t>
        </is>
      </c>
      <c r="Q258" s="46" t="inlineStr">
        <is>
          <t xml:space="preserve">Connecticut</t>
        </is>
      </c>
      <c r="R258" s="46" t="inlineStr">
        <is>
          <t xml:space="preserve">06103</t>
        </is>
      </c>
      <c r="S258" s="48" t="inlineStr">
        <is>
          <t xml:space="preserve">Tier 3 - Coastal wind (25-100 miles)</t>
        </is>
      </c>
      <c r="T258" s="36">
        <f>IF($A258="","",IF($S258="","",IFERROR(INDEX('[1]natural catastrophe'!$D$6:$D$17,MATCH($S258,'[1]natural catastrophe'!$B$6:$B$17,0)),"?")))</f>
      </c>
      <c r="U258" s="46" t="inlineStr">
        <is>
          <t xml:space="preserve">2% of agreed value, minimum $10,000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4409.48</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CANON-202604-006925</t>
        </is>
      </c>
      <c r="B259" s="30" t="inlineStr">
        <is>
          <t xml:space="preserve">Thaddeus Fairweather</t>
        </is>
      </c>
      <c r="C259" s="31">
        <v>46132</v>
      </c>
      <c r="D259" s="32" t="inlineStr">
        <is>
          <t xml:space="preserve">Bound - within authority</t>
        </is>
      </c>
      <c r="E259" s="32" t="inlineStr">
        <is>
          <t xml:space="preserve">New business</t>
        </is>
      </c>
      <c r="F259" s="30" t="inlineStr">
        <is>
          <t xml:space="preserve">B1234EXOTIC26</t>
        </is>
      </c>
      <c r="G259" s="33">
        <f>IF($A259="","",IF($C259="","",YEAR($C259)))</f>
      </c>
      <c r="H259" s="34">
        <v>1970</v>
      </c>
      <c r="I259" s="30" t="inlineStr">
        <is>
          <t xml:space="preserve">Maserati</t>
        </is>
      </c>
      <c r="J259" s="30" t="inlineStr">
        <is>
          <t xml:space="preserve">GranTurismo</t>
        </is>
      </c>
      <c r="K259" s="30" t="inlineStr">
        <is>
          <t xml:space="preserve">WGJVK2UJM01SZA9CW</t>
        </is>
      </c>
      <c r="L259" s="32" t="inlineStr">
        <is>
          <t xml:space="preserve">02 - Sports / GT</t>
        </is>
      </c>
      <c r="M259" s="35">
        <v>395000</v>
      </c>
      <c r="N259" s="32" t="inlineStr">
        <is>
          <t xml:space="preserve">Personal</t>
        </is>
      </c>
      <c r="O259" s="30" t="inlineStr">
        <is>
          <t xml:space="preserve">Personal - regular use</t>
        </is>
      </c>
      <c r="P259" s="30" t="inlineStr">
        <is>
          <t xml:space="preserve">2,500 - 5,000</t>
        </is>
      </c>
      <c r="Q259" s="30" t="inlineStr">
        <is>
          <t xml:space="preserve">Texas</t>
        </is>
      </c>
      <c r="R259" s="30" t="inlineStr">
        <is>
          <t xml:space="preserve">75201</t>
        </is>
      </c>
      <c r="S259" s="32" t="inlineStr">
        <is>
          <t xml:space="preserve">Tier 2 - Coastal wind (1-25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5338.51</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CANON-202604-006929</t>
        </is>
      </c>
      <c r="B260" s="46" t="inlineStr">
        <is>
          <t xml:space="preserve">Everett Larsson</t>
        </is>
      </c>
      <c r="C260" s="47">
        <v>46141</v>
      </c>
      <c r="D260" s="48" t="inlineStr">
        <is>
          <t xml:space="preserve">Bound - within authority</t>
        </is>
      </c>
      <c r="E260" s="48" t="inlineStr">
        <is>
          <t xml:space="preserve">New business</t>
        </is>
      </c>
      <c r="F260" s="46" t="inlineStr">
        <is>
          <t xml:space="preserve">B1234EXOTIC26</t>
        </is>
      </c>
      <c r="G260" s="33">
        <f>IF($A260="","",IF($C260="","",YEAR($C260)))</f>
      </c>
      <c r="H260" s="49">
        <v>2009</v>
      </c>
      <c r="I260" s="46" t="inlineStr">
        <is>
          <t xml:space="preserve">Maserati</t>
        </is>
      </c>
      <c r="J260" s="46" t="inlineStr">
        <is>
          <t xml:space="preserve">GranTurismo</t>
        </is>
      </c>
      <c r="K260" s="46" t="inlineStr">
        <is>
          <t xml:space="preserve">DN2XDPBY55X5EDD30</t>
        </is>
      </c>
      <c r="L260" s="48" t="inlineStr">
        <is>
          <t xml:space="preserve">02 - Sports / GT</t>
        </is>
      </c>
      <c r="M260" s="50">
        <v>730000</v>
      </c>
      <c r="N260" s="48" t="inlineStr">
        <is>
          <t xml:space="preserve">Personal</t>
        </is>
      </c>
      <c r="O260" s="46" t="inlineStr">
        <is>
          <t xml:space="preserve">Personal - regular use</t>
        </is>
      </c>
      <c r="P260" s="46" t="inlineStr">
        <is>
          <t xml:space="preserve">Under 1,000</t>
        </is>
      </c>
      <c r="Q260" s="46" t="inlineStr">
        <is>
          <t xml:space="preserve">Virginia</t>
        </is>
      </c>
      <c r="R260" s="46" t="inlineStr">
        <is>
          <t xml:space="preserve">23219</t>
        </is>
      </c>
      <c r="S260" s="48" t="inlineStr">
        <is>
          <t xml:space="preserve">Tier 3 - Coastal wind (25-100 miles)</t>
        </is>
      </c>
      <c r="T260" s="36">
        <f>IF($A260="","",IF($S260="","",IFERROR(INDEX('[1]natural catastrophe'!$D$6:$D$17,MATCH($S260,'[1]natural catastrophe'!$B$6:$B$17,0)),"?")))</f>
      </c>
      <c r="U260" s="46" t="inlineStr">
        <is>
          <t xml:space="preserve">2% of agreed value, minimum $10,000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8104.5</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CANON-202604-006931</t>
        </is>
      </c>
      <c r="B261" s="30" t="inlineStr">
        <is>
          <t xml:space="preserve">Mireille Kingsford</t>
        </is>
      </c>
      <c r="C261" s="31">
        <v>46117</v>
      </c>
      <c r="D261" s="32" t="inlineStr">
        <is>
          <t xml:space="preserve">Bound - within authority</t>
        </is>
      </c>
      <c r="E261" s="32" t="inlineStr">
        <is>
          <t xml:space="preserve">New business</t>
        </is>
      </c>
      <c r="F261" s="30" t="inlineStr">
        <is>
          <t xml:space="preserve">B1234EXOTIC26</t>
        </is>
      </c>
      <c r="G261" s="33">
        <f>IF($A261="","",IF($C261="","",YEAR($C261)))</f>
      </c>
      <c r="H261" s="34">
        <v>1995</v>
      </c>
      <c r="I261" s="30" t="inlineStr">
        <is>
          <t xml:space="preserve">Alfa Romeo</t>
        </is>
      </c>
      <c r="J261" s="30" t="inlineStr">
        <is>
          <t xml:space="preserve">8C 2900</t>
        </is>
      </c>
      <c r="K261" s="30" t="inlineStr">
        <is>
          <t xml:space="preserve">9ZL4TW2GWG8W0JDZP</t>
        </is>
      </c>
      <c r="L261" s="32" t="inlineStr">
        <is>
          <t xml:space="preserve">08 - Modern Classic (1973-1999)</t>
        </is>
      </c>
      <c r="M261" s="35">
        <v>915000</v>
      </c>
      <c r="N261" s="32" t="inlineStr">
        <is>
          <t xml:space="preserve">Personal</t>
        </is>
      </c>
      <c r="O261" s="30" t="inlineStr">
        <is>
          <t xml:space="preserve">Personal - regular use</t>
        </is>
      </c>
      <c r="P261" s="30" t="inlineStr">
        <is>
          <t xml:space="preserve">2,500 - 5,000</t>
        </is>
      </c>
      <c r="Q261" s="30" t="inlineStr">
        <is>
          <t xml:space="preserve">South Carolina</t>
        </is>
      </c>
      <c r="R261" s="30" t="inlineStr">
        <is>
          <t xml:space="preserve">29401</t>
        </is>
      </c>
      <c r="S261" s="32" t="inlineStr">
        <is>
          <t xml:space="preserve">Tier 2 - Coastal wind (1-25 miles)</t>
        </is>
      </c>
      <c r="T261" s="36">
        <f>IF($A261="","",IF($S261="","",IFERROR(INDEX('[1]natural catastrophe'!$D$6:$D$17,MATCH($S261,'[1]natural catastrophe'!$B$6:$B$17,0)),"?")))</f>
      </c>
      <c r="U261" s="30" t="inlineStr">
        <is>
          <t xml:space="preserve">2% of agreed value, minimum $10,000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6756.01</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CANON-202604-006932</t>
        </is>
      </c>
      <c r="B262" s="46" t="inlineStr">
        <is>
          <t xml:space="preserve">Marisol Farkas</t>
        </is>
      </c>
      <c r="C262" s="47">
        <v>46138</v>
      </c>
      <c r="D262" s="48" t="inlineStr">
        <is>
          <t xml:space="preserve">Bound - within authority</t>
        </is>
      </c>
      <c r="E262" s="48" t="inlineStr">
        <is>
          <t xml:space="preserve">New business</t>
        </is>
      </c>
      <c r="F262" s="46" t="inlineStr">
        <is>
          <t xml:space="preserve">B1234EXOTIC26</t>
        </is>
      </c>
      <c r="G262" s="33">
        <f>IF($A262="","",IF($C262="","",YEAR($C262)))</f>
      </c>
      <c r="H262" s="49">
        <v>1966</v>
      </c>
      <c r="I262" s="46" t="inlineStr">
        <is>
          <t xml:space="preserve">Maserati</t>
        </is>
      </c>
      <c r="J262" s="46" t="inlineStr">
        <is>
          <t xml:space="preserve">GranTurismo</t>
        </is>
      </c>
      <c r="K262" s="46" t="inlineStr">
        <is>
          <t xml:space="preserve">LYN2V7P24K8TWVSCN</t>
        </is>
      </c>
      <c r="L262" s="48" t="inlineStr">
        <is>
          <t xml:space="preserve">02 - Sports / GT</t>
        </is>
      </c>
      <c r="M262" s="50">
        <v>220000</v>
      </c>
      <c r="N262" s="48" t="inlineStr">
        <is>
          <t xml:space="preserve">Personal</t>
        </is>
      </c>
      <c r="O262" s="46" t="inlineStr">
        <is>
          <t xml:space="preserve">Personal - regular use</t>
        </is>
      </c>
      <c r="P262" s="46" t="inlineStr">
        <is>
          <t xml:space="preserve">Under 1,000</t>
        </is>
      </c>
      <c r="Q262" s="46" t="inlineStr">
        <is>
          <t xml:space="preserve">Georgia</t>
        </is>
      </c>
      <c r="R262" s="46" t="inlineStr">
        <is>
          <t xml:space="preserve">30303</t>
        </is>
      </c>
      <c r="S262" s="48" t="inlineStr">
        <is>
          <t xml:space="preserve">Tier 2 - Coastal wind (1-25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3552.16</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CANON-202604-006933</t>
        </is>
      </c>
      <c r="B263" s="30" t="inlineStr">
        <is>
          <t xml:space="preserve">Sunniva Chattopadhyay</t>
        </is>
      </c>
      <c r="C263" s="31">
        <v>46138</v>
      </c>
      <c r="D263" s="32" t="inlineStr">
        <is>
          <t xml:space="preserve">Bound - within authority</t>
        </is>
      </c>
      <c r="E263" s="32" t="inlineStr">
        <is>
          <t xml:space="preserve">New business</t>
        </is>
      </c>
      <c r="F263" s="30" t="inlineStr">
        <is>
          <t xml:space="preserve">B1234EXOTIC26</t>
        </is>
      </c>
      <c r="G263" s="33">
        <f>IF($A263="","",IF($C263="","",YEAR($C263)))</f>
      </c>
      <c r="H263" s="34">
        <v>2009</v>
      </c>
      <c r="I263" s="30" t="inlineStr">
        <is>
          <t xml:space="preserve">Aston Martin</t>
        </is>
      </c>
      <c r="J263" s="30" t="inlineStr">
        <is>
          <t xml:space="preserve">DB5</t>
        </is>
      </c>
      <c r="K263" s="30" t="inlineStr">
        <is>
          <t xml:space="preserve">6NNXJTUCCS7ACGRS4</t>
        </is>
      </c>
      <c r="L263" s="32" t="inlineStr">
        <is>
          <t xml:space="preserve">09 - Youngtimer / Collectible (2000-2010)</t>
        </is>
      </c>
      <c r="M263" s="35">
        <v>905000</v>
      </c>
      <c r="N263" s="32" t="inlineStr">
        <is>
          <t xml:space="preserve">Personal</t>
        </is>
      </c>
      <c r="O263" s="30" t="inlineStr">
        <is>
          <t xml:space="preserve">Personal - regular use</t>
        </is>
      </c>
      <c r="P263" s="30" t="inlineStr">
        <is>
          <t xml:space="preserve">2,500 - 5,000</t>
        </is>
      </c>
      <c r="Q263" s="30" t="inlineStr">
        <is>
          <t xml:space="preserve">Ohio</t>
        </is>
      </c>
      <c r="R263" s="30" t="inlineStr">
        <is>
          <t xml:space="preserve">43215</t>
        </is>
      </c>
      <c r="S263" s="32" t="inlineStr">
        <is>
          <t xml:space="preserve">Severe convective - hail / tornado (moderate)</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8476.09</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CANON-202604-006934</t>
        </is>
      </c>
      <c r="B264" s="46" t="inlineStr">
        <is>
          <t xml:space="preserve">Cassius Whitlock</t>
        </is>
      </c>
      <c r="C264" s="47">
        <v>46121</v>
      </c>
      <c r="D264" s="48" t="inlineStr">
        <is>
          <t xml:space="preserve">Bound - within authority</t>
        </is>
      </c>
      <c r="E264" s="48" t="inlineStr">
        <is>
          <t xml:space="preserve">New business</t>
        </is>
      </c>
      <c r="F264" s="46" t="inlineStr">
        <is>
          <t xml:space="preserve">B1234EXOTIC26</t>
        </is>
      </c>
      <c r="G264" s="33">
        <f>IF($A264="","",IF($C264="","",YEAR($C264)))</f>
      </c>
      <c r="H264" s="49">
        <v>1967</v>
      </c>
      <c r="I264" s="46" t="inlineStr">
        <is>
          <t xml:space="preserve">Mercedes-Benz</t>
        </is>
      </c>
      <c r="J264" s="46" t="inlineStr">
        <is>
          <t xml:space="preserve">AMG GT</t>
        </is>
      </c>
      <c r="K264" s="46" t="inlineStr">
        <is>
          <t xml:space="preserve">LX73FR1989W93X1MT</t>
        </is>
      </c>
      <c r="L264" s="48" t="inlineStr">
        <is>
          <t xml:space="preserve">02 - Sports / GT</t>
        </is>
      </c>
      <c r="M264" s="50">
        <v>1215000</v>
      </c>
      <c r="N264" s="48" t="inlineStr">
        <is>
          <t xml:space="preserve">Personal</t>
        </is>
      </c>
      <c r="O264" s="46" t="inlineStr">
        <is>
          <t xml:space="preserve">Personal - regular use</t>
        </is>
      </c>
      <c r="P264" s="46" t="inlineStr">
        <is>
          <t xml:space="preserve">Under 1,000</t>
        </is>
      </c>
      <c r="Q264" s="46" t="inlineStr">
        <is>
          <t xml:space="preserve">Texas</t>
        </is>
      </c>
      <c r="R264" s="46" t="inlineStr">
        <is>
          <t xml:space="preserve">75201</t>
        </is>
      </c>
      <c r="S264" s="48" t="inlineStr">
        <is>
          <t xml:space="preserve">Tier 2 - Coastal wind (1-25 miles)</t>
        </is>
      </c>
      <c r="T264" s="36">
        <f>IF($A264="","",IF($S264="","",IFERROR(INDEX('[1]natural catastrophe'!$D$6:$D$17,MATCH($S264,'[1]natural catastrophe'!$B$6:$B$17,0)),"?")))</f>
      </c>
      <c r="U264" s="46" t="inlineStr">
        <is>
          <t xml:space="preserve">2% of agreed value, minimum $10,000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12042.05</v>
      </c>
      <c r="AC264" s="51">
        <v>0</v>
      </c>
      <c r="AD264" s="38">
        <f>IF(ISNUMBER($AB264),$AB264*(1+N($AC264)),"")</f>
      </c>
      <c r="AE264" s="50">
        <v>350</v>
      </c>
      <c r="AF264" s="50">
        <v>250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CANON-202604-006935</t>
        </is>
      </c>
      <c r="B265" s="30" t="inlineStr">
        <is>
          <t xml:space="preserve">Lorenzo Rourke</t>
        </is>
      </c>
      <c r="C265" s="31">
        <v>46119</v>
      </c>
      <c r="D265" s="32" t="inlineStr">
        <is>
          <t xml:space="preserve">Bound - within authority</t>
        </is>
      </c>
      <c r="E265" s="32" t="inlineStr">
        <is>
          <t xml:space="preserve">New business</t>
        </is>
      </c>
      <c r="F265" s="30" t="inlineStr">
        <is>
          <t xml:space="preserve">B1234EXOTIC26</t>
        </is>
      </c>
      <c r="G265" s="33">
        <f>IF($A265="","",IF($C265="","",YEAR($C265)))</f>
      </c>
      <c r="H265" s="34">
        <v>1956</v>
      </c>
      <c r="I265" s="30" t="inlineStr">
        <is>
          <t xml:space="preserve">Bentley</t>
        </is>
      </c>
      <c r="J265" s="30" t="inlineStr">
        <is>
          <t xml:space="preserve">Continental GT</t>
        </is>
      </c>
      <c r="K265" s="30" t="inlineStr">
        <is>
          <t xml:space="preserve">5VH9BMUB5RCLS46JF</t>
        </is>
      </c>
      <c r="L265" s="32" t="inlineStr">
        <is>
          <t xml:space="preserve">02 - Sports / GT</t>
        </is>
      </c>
      <c r="M265" s="35">
        <v>1250000</v>
      </c>
      <c r="N265" s="32" t="inlineStr">
        <is>
          <t xml:space="preserve">Personal</t>
        </is>
      </c>
      <c r="O265" s="30" t="inlineStr">
        <is>
          <t xml:space="preserve">Personal - regular use</t>
        </is>
      </c>
      <c r="P265" s="30" t="inlineStr">
        <is>
          <t xml:space="preserve">1,000 - 2,500</t>
        </is>
      </c>
      <c r="Q265" s="30" t="inlineStr">
        <is>
          <t xml:space="preserve">Colorado</t>
        </is>
      </c>
      <c r="R265" s="30" t="inlineStr">
        <is>
          <t xml:space="preserve">80202</t>
        </is>
      </c>
      <c r="S265" s="32" t="inlineStr">
        <is>
          <t xml:space="preserve">Severe convective - hail alley (high)</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11850.3</v>
      </c>
      <c r="AC265" s="37">
        <v>0</v>
      </c>
      <c r="AD265" s="38">
        <f>IF(ISNUMBER($AB265),$AB265*(1+N($AC265)),"")</f>
      </c>
      <c r="AE265" s="35">
        <v>350</v>
      </c>
      <c r="AF265" s="35">
        <v>250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CANON-202604-006936</t>
        </is>
      </c>
      <c r="B266" s="46" t="inlineStr">
        <is>
          <t xml:space="preserve">Fenwick Vasquez</t>
        </is>
      </c>
      <c r="C266" s="47">
        <v>46129</v>
      </c>
      <c r="D266" s="48" t="inlineStr">
        <is>
          <t xml:space="preserve">Bound - within authority</t>
        </is>
      </c>
      <c r="E266" s="48" t="inlineStr">
        <is>
          <t xml:space="preserve">New business</t>
        </is>
      </c>
      <c r="F266" s="46" t="inlineStr">
        <is>
          <t xml:space="preserve">B1234EXOTIC26</t>
        </is>
      </c>
      <c r="G266" s="33">
        <f>IF($A266="","",IF($C266="","",YEAR($C266)))</f>
      </c>
      <c r="H266" s="49">
        <v>1973</v>
      </c>
      <c r="I266" s="46" t="inlineStr">
        <is>
          <t xml:space="preserve">Bentley</t>
        </is>
      </c>
      <c r="J266" s="46" t="inlineStr">
        <is>
          <t xml:space="preserve">Continental GT</t>
        </is>
      </c>
      <c r="K266" s="46" t="inlineStr">
        <is>
          <t xml:space="preserve">JKJJX47SKY5L5KV1V</t>
        </is>
      </c>
      <c r="L266" s="48" t="inlineStr">
        <is>
          <t xml:space="preserve">02 - Sports / GT</t>
        </is>
      </c>
      <c r="M266" s="50">
        <v>745000</v>
      </c>
      <c r="N266" s="48" t="inlineStr">
        <is>
          <t xml:space="preserve">Personal</t>
        </is>
      </c>
      <c r="O266" s="46" t="inlineStr">
        <is>
          <t xml:space="preserve">Personal - regular use</t>
        </is>
      </c>
      <c r="P266" s="46" t="inlineStr">
        <is>
          <t xml:space="preserve">1,000 - 2,500</t>
        </is>
      </c>
      <c r="Q266" s="46" t="inlineStr">
        <is>
          <t xml:space="preserve">Florida</t>
        </is>
      </c>
      <c r="R266" s="46" t="inlineStr">
        <is>
          <t xml:space="preserve">33139</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10775.11</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CANON-202604-006937</t>
        </is>
      </c>
      <c r="B267" s="30" t="inlineStr">
        <is>
          <t xml:space="preserve">Wilhelmina Chattopadhyay</t>
        </is>
      </c>
      <c r="C267" s="31">
        <v>46134</v>
      </c>
      <c r="D267" s="32" t="inlineStr">
        <is>
          <t xml:space="preserve">Bound - within authority</t>
        </is>
      </c>
      <c r="E267" s="32" t="inlineStr">
        <is>
          <t xml:space="preserve">New business</t>
        </is>
      </c>
      <c r="F267" s="30" t="inlineStr">
        <is>
          <t xml:space="preserve">B1234EXOTIC26</t>
        </is>
      </c>
      <c r="G267" s="33">
        <f>IF($A267="","",IF($C267="","",YEAR($C267)))</f>
      </c>
      <c r="H267" s="34">
        <v>2006</v>
      </c>
      <c r="I267" s="30" t="inlineStr">
        <is>
          <t xml:space="preserve">Bentley</t>
        </is>
      </c>
      <c r="J267" s="30" t="inlineStr">
        <is>
          <t xml:space="preserve">Continental GT</t>
        </is>
      </c>
      <c r="K267" s="30" t="inlineStr">
        <is>
          <t xml:space="preserve">68K1XG89YWDW1R8CH</t>
        </is>
      </c>
      <c r="L267" s="32" t="inlineStr">
        <is>
          <t xml:space="preserve">02 - Sports / GT</t>
        </is>
      </c>
      <c r="M267" s="35">
        <v>850000</v>
      </c>
      <c r="N267" s="32" t="inlineStr">
        <is>
          <t xml:space="preserve">Personal</t>
        </is>
      </c>
      <c r="O267" s="30" t="inlineStr">
        <is>
          <t xml:space="preserve">Personal - regular use</t>
        </is>
      </c>
      <c r="P267" s="30" t="inlineStr">
        <is>
          <t xml:space="preserve">Under 1,000</t>
        </is>
      </c>
      <c r="Q267" s="30" t="inlineStr">
        <is>
          <t xml:space="preserve">California</t>
        </is>
      </c>
      <c r="R267" s="30" t="inlineStr">
        <is>
          <t xml:space="preserve">90012</t>
        </is>
      </c>
      <c r="S267" s="32" t="inlineStr">
        <is>
          <t xml:space="preserve">Earthquake - high (CA, Cascadia, New Madrid)</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11687.72</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CANON-202604-006939</t>
        </is>
      </c>
      <c r="B268" s="46" t="inlineStr">
        <is>
          <t xml:space="preserve">Sunniva Merriweather</t>
        </is>
      </c>
      <c r="C268" s="47">
        <v>46130</v>
      </c>
      <c r="D268" s="48" t="inlineStr">
        <is>
          <t xml:space="preserve">Bound - within authority</t>
        </is>
      </c>
      <c r="E268" s="48" t="inlineStr">
        <is>
          <t xml:space="preserve">New business</t>
        </is>
      </c>
      <c r="F268" s="46" t="inlineStr">
        <is>
          <t xml:space="preserve">B1234EXOTIC26</t>
        </is>
      </c>
      <c r="G268" s="33">
        <f>IF($A268="","",IF($C268="","",YEAR($C268)))</f>
      </c>
      <c r="H268" s="49">
        <v>1997</v>
      </c>
      <c r="I268" s="46" t="inlineStr">
        <is>
          <t xml:space="preserve">Mercedes-Benz</t>
        </is>
      </c>
      <c r="J268" s="46" t="inlineStr">
        <is>
          <t xml:space="preserve">AMG GT</t>
        </is>
      </c>
      <c r="K268" s="46" t="inlineStr">
        <is>
          <t xml:space="preserve">CK6RGDHJX9TB5NW57</t>
        </is>
      </c>
      <c r="L268" s="48" t="inlineStr">
        <is>
          <t xml:space="preserve">02 - Sports / GT</t>
        </is>
      </c>
      <c r="M268" s="50">
        <v>935000</v>
      </c>
      <c r="N268" s="48" t="inlineStr">
        <is>
          <t xml:space="preserve">Personal</t>
        </is>
      </c>
      <c r="O268" s="46" t="inlineStr">
        <is>
          <t xml:space="preserve">Personal - regular use</t>
        </is>
      </c>
      <c r="P268" s="46" t="inlineStr">
        <is>
          <t xml:space="preserve">2,500 - 5,000</t>
        </is>
      </c>
      <c r="Q268" s="46" t="inlineStr">
        <is>
          <t xml:space="preserve">New Hampshire</t>
        </is>
      </c>
      <c r="R268" s="46" t="inlineStr">
        <is>
          <t xml:space="preserve">03301</t>
        </is>
      </c>
      <c r="S268" s="48" t="inlineStr">
        <is>
          <t xml:space="preserve">Tier 3 - Coastal wind (25-100 miles)</t>
        </is>
      </c>
      <c r="T268" s="36">
        <f>IF($A268="","",IF($S268="","",IFERROR(INDEX('[1]natural catastrophe'!$D$6:$D$17,MATCH($S268,'[1]natural catastrophe'!$B$6:$B$17,0)),"?")))</f>
      </c>
      <c r="U268" s="46" t="inlineStr">
        <is>
          <t xml:space="preserve">2% of agreed value, minimum $10,000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9904.26</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CANON-202604-006940</t>
        </is>
      </c>
      <c r="B269" s="30" t="inlineStr">
        <is>
          <t xml:space="preserve">Fenwick Vandermeer</t>
        </is>
      </c>
      <c r="C269" s="31">
        <v>46142</v>
      </c>
      <c r="D269" s="32" t="inlineStr">
        <is>
          <t xml:space="preserve">Bound - within authority</t>
        </is>
      </c>
      <c r="E269" s="32" t="inlineStr">
        <is>
          <t xml:space="preserve">New business</t>
        </is>
      </c>
      <c r="F269" s="30" t="inlineStr">
        <is>
          <t xml:space="preserve">B1234EXOTIC26</t>
        </is>
      </c>
      <c r="G269" s="33">
        <f>IF($A269="","",IF($C269="","",YEAR($C269)))</f>
      </c>
      <c r="H269" s="34">
        <v>2020</v>
      </c>
      <c r="I269" s="30" t="inlineStr">
        <is>
          <t xml:space="preserve">Lamborghini</t>
        </is>
      </c>
      <c r="J269" s="30" t="inlineStr">
        <is>
          <t xml:space="preserve">Huracan EVO</t>
        </is>
      </c>
      <c r="K269" s="30" t="inlineStr">
        <is>
          <t xml:space="preserve">HGRAR0788HCKVAB4R</t>
        </is>
      </c>
      <c r="L269" s="32" t="inlineStr">
        <is>
          <t xml:space="preserve">03 - Supercar</t>
        </is>
      </c>
      <c r="M269" s="35">
        <v>1950000</v>
      </c>
      <c r="N269" s="32" t="inlineStr">
        <is>
          <t xml:space="preserve">Personal</t>
        </is>
      </c>
      <c r="O269" s="30" t="inlineStr">
        <is>
          <t xml:space="preserve">Personal - regular use</t>
        </is>
      </c>
      <c r="P269" s="30" t="inlineStr">
        <is>
          <t xml:space="preserve">Under 1,000</t>
        </is>
      </c>
      <c r="Q269" s="30" t="inlineStr">
        <is>
          <t xml:space="preserve">North Dakota</t>
        </is>
      </c>
      <c r="R269" s="30" t="inlineStr">
        <is>
          <t xml:space="preserve">58501</t>
        </is>
      </c>
      <c r="S269" s="32" t="inlineStr">
        <is>
          <t xml:space="preserve">Severe convective - hail alley (high)</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24933.8</v>
      </c>
      <c r="AC269" s="37">
        <v>0</v>
      </c>
      <c r="AD269" s="38">
        <f>IF(ISNUMBER($AB269),$AB269*(1+N($AC269)),"")</f>
      </c>
      <c r="AE269" s="35">
        <v>350</v>
      </c>
      <c r="AF269" s="35">
        <v>250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CANON-202604-006941</t>
        </is>
      </c>
      <c r="B270" s="46" t="inlineStr">
        <is>
          <t xml:space="preserve">Ottilie Merriweather</t>
        </is>
      </c>
      <c r="C270" s="47">
        <v>46121</v>
      </c>
      <c r="D270" s="48" t="inlineStr">
        <is>
          <t xml:space="preserve">Bound - within authority</t>
        </is>
      </c>
      <c r="E270" s="48" t="inlineStr">
        <is>
          <t xml:space="preserve">New business</t>
        </is>
      </c>
      <c r="F270" s="46" t="inlineStr">
        <is>
          <t xml:space="preserve">B1234EXOTIC26</t>
        </is>
      </c>
      <c r="G270" s="33">
        <f>IF($A270="","",IF($C270="","",YEAR($C270)))</f>
      </c>
      <c r="H270" s="49">
        <v>2020</v>
      </c>
      <c r="I270" s="46" t="inlineStr">
        <is>
          <t xml:space="preserve">Mercedes-Benz</t>
        </is>
      </c>
      <c r="J270" s="46" t="inlineStr">
        <is>
          <t xml:space="preserve">AMG GT</t>
        </is>
      </c>
      <c r="K270" s="46" t="inlineStr">
        <is>
          <t xml:space="preserve">X0BB1KGYPN04WK1ZW</t>
        </is>
      </c>
      <c r="L270" s="48" t="inlineStr">
        <is>
          <t xml:space="preserve">02 - Sports / GT</t>
        </is>
      </c>
      <c r="M270" s="50">
        <v>500000</v>
      </c>
      <c r="N270" s="48" t="inlineStr">
        <is>
          <t xml:space="preserve">Personal</t>
        </is>
      </c>
      <c r="O270" s="46" t="inlineStr">
        <is>
          <t xml:space="preserve">Personal - regular use</t>
        </is>
      </c>
      <c r="P270" s="46" t="inlineStr">
        <is>
          <t xml:space="preserve">1,000 - 2,500</t>
        </is>
      </c>
      <c r="Q270" s="46" t="inlineStr">
        <is>
          <t xml:space="preserve">Indiana</t>
        </is>
      </c>
      <c r="R270" s="46" t="inlineStr">
        <is>
          <t xml:space="preserve">46204</t>
        </is>
      </c>
      <c r="S270" s="48" t="inlineStr">
        <is>
          <t xml:space="preserve">Severe convective - hail / tornado (moderate)</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6264</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CANON-202604-006942</t>
        </is>
      </c>
      <c r="B271" s="30" t="inlineStr">
        <is>
          <t xml:space="preserve">Thaddeus Ashcombe</t>
        </is>
      </c>
      <c r="C271" s="31">
        <v>46120</v>
      </c>
      <c r="D271" s="32" t="inlineStr">
        <is>
          <t xml:space="preserve">Bound - within authority</t>
        </is>
      </c>
      <c r="E271" s="32" t="inlineStr">
        <is>
          <t xml:space="preserve">New business</t>
        </is>
      </c>
      <c r="F271" s="30" t="inlineStr">
        <is>
          <t xml:space="preserve">B1234EXOTIC26</t>
        </is>
      </c>
      <c r="G271" s="33">
        <f>IF($A271="","",IF($C271="","",YEAR($C271)))</f>
      </c>
      <c r="H271" s="34">
        <v>1990</v>
      </c>
      <c r="I271" s="30" t="inlineStr">
        <is>
          <t xml:space="preserve">Porsche</t>
        </is>
      </c>
      <c r="J271" s="30" t="inlineStr">
        <is>
          <t xml:space="preserve">911 Turbo S</t>
        </is>
      </c>
      <c r="K271" s="30" t="inlineStr">
        <is>
          <t xml:space="preserve">X2YR4AH2MHNSDP1P5</t>
        </is>
      </c>
      <c r="L271" s="32" t="inlineStr">
        <is>
          <t xml:space="preserve">02 - Sports / GT</t>
        </is>
      </c>
      <c r="M271" s="35">
        <v>485000</v>
      </c>
      <c r="N271" s="32" t="inlineStr">
        <is>
          <t xml:space="preserve">Personal</t>
        </is>
      </c>
      <c r="O271" s="30" t="inlineStr">
        <is>
          <t xml:space="preserve">Personal - regular use</t>
        </is>
      </c>
      <c r="P271" s="30" t="inlineStr">
        <is>
          <t xml:space="preserve">1,000 - 2,500</t>
        </is>
      </c>
      <c r="Q271" s="30" t="inlineStr">
        <is>
          <t xml:space="preserve">Minnesota</t>
        </is>
      </c>
      <c r="R271" s="30" t="inlineStr">
        <is>
          <t xml:space="preserve">55401</t>
        </is>
      </c>
      <c r="S271" s="32" t="inlineStr">
        <is>
          <t xml:space="preserve">Severe convective - hail / tornado (moderate)</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7523.86</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CANON-202604-006943</t>
        </is>
      </c>
      <c r="B272" s="46" t="inlineStr">
        <is>
          <t xml:space="preserve">Beatrix Vasquez</t>
        </is>
      </c>
      <c r="C272" s="47">
        <v>46119</v>
      </c>
      <c r="D272" s="48" t="inlineStr">
        <is>
          <t xml:space="preserve">Bound - within authority</t>
        </is>
      </c>
      <c r="E272" s="48" t="inlineStr">
        <is>
          <t xml:space="preserve">New business</t>
        </is>
      </c>
      <c r="F272" s="46" t="inlineStr">
        <is>
          <t xml:space="preserve">B1234EXOTIC26</t>
        </is>
      </c>
      <c r="G272" s="33">
        <f>IF($A272="","",IF($C272="","",YEAR($C272)))</f>
      </c>
      <c r="H272" s="49">
        <v>2011</v>
      </c>
      <c r="I272" s="46" t="inlineStr">
        <is>
          <t xml:space="preserve">Bentley</t>
        </is>
      </c>
      <c r="J272" s="46" t="inlineStr">
        <is>
          <t xml:space="preserve">Continental GT</t>
        </is>
      </c>
      <c r="K272" s="46" t="inlineStr">
        <is>
          <t xml:space="preserve">VCZB08R728GLMDRMK</t>
        </is>
      </c>
      <c r="L272" s="48" t="inlineStr">
        <is>
          <t xml:space="preserve">02 - Sports / GT</t>
        </is>
      </c>
      <c r="M272" s="50">
        <v>400000</v>
      </c>
      <c r="N272" s="48" t="inlineStr">
        <is>
          <t xml:space="preserve">Personal</t>
        </is>
      </c>
      <c r="O272" s="46" t="inlineStr">
        <is>
          <t xml:space="preserve">Personal - regular use</t>
        </is>
      </c>
      <c r="P272" s="46" t="inlineStr">
        <is>
          <t xml:space="preserve">Under 1,000</t>
        </is>
      </c>
      <c r="Q272" s="46" t="inlineStr">
        <is>
          <t xml:space="preserve">West Virginia</t>
        </is>
      </c>
      <c r="R272" s="46" t="inlineStr">
        <is>
          <t xml:space="preserve">25301</t>
        </is>
      </c>
      <c r="S272" s="48" t="inlineStr">
        <is>
          <t xml:space="preserve">Low hazard - inland benign</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6252.25</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CANON-202604-006944</t>
        </is>
      </c>
      <c r="B273" s="30" t="inlineStr">
        <is>
          <t xml:space="preserve">Ingrid Whitlock</t>
        </is>
      </c>
      <c r="C273" s="31">
        <v>46136</v>
      </c>
      <c r="D273" s="32" t="inlineStr">
        <is>
          <t xml:space="preserve">Bound - within authority</t>
        </is>
      </c>
      <c r="E273" s="32" t="inlineStr">
        <is>
          <t xml:space="preserve">New business</t>
        </is>
      </c>
      <c r="F273" s="30" t="inlineStr">
        <is>
          <t xml:space="preserve">B1234EXOTIC26</t>
        </is>
      </c>
      <c r="G273" s="33">
        <f>IF($A273="","",IF($C273="","",YEAR($C273)))</f>
      </c>
      <c r="H273" s="34">
        <v>1968</v>
      </c>
      <c r="I273" s="30" t="inlineStr">
        <is>
          <t xml:space="preserve">Bentley</t>
        </is>
      </c>
      <c r="J273" s="30" t="inlineStr">
        <is>
          <t xml:space="preserve">Continental GT</t>
        </is>
      </c>
      <c r="K273" s="30" t="inlineStr">
        <is>
          <t xml:space="preserve">7CDSV4J956XPE6DJK</t>
        </is>
      </c>
      <c r="L273" s="32" t="inlineStr">
        <is>
          <t xml:space="preserve">02 - Sports / GT</t>
        </is>
      </c>
      <c r="M273" s="35">
        <v>485000</v>
      </c>
      <c r="N273" s="32" t="inlineStr">
        <is>
          <t xml:space="preserve">Personal</t>
        </is>
      </c>
      <c r="O273" s="30" t="inlineStr">
        <is>
          <t xml:space="preserve">Personal - regular use</t>
        </is>
      </c>
      <c r="P273" s="30" t="inlineStr">
        <is>
          <t xml:space="preserve">Under 1,000</t>
        </is>
      </c>
      <c r="Q273" s="30" t="inlineStr">
        <is>
          <t xml:space="preserve">New Jersey</t>
        </is>
      </c>
      <c r="R273" s="30" t="inlineStr">
        <is>
          <t xml:space="preserve">07102</t>
        </is>
      </c>
      <c r="S273" s="32" t="inlineStr">
        <is>
          <t xml:space="preserve">Tier 3 - Coastal wind (25-100 miles)</t>
        </is>
      </c>
      <c r="T273" s="36">
        <f>IF($A273="","",IF($S273="","",IFERROR(INDEX('[1]natural catastrophe'!$D$6:$D$17,MATCH($S273,'[1]natural catastrophe'!$B$6:$B$17,0)),"?")))</f>
      </c>
      <c r="U273" s="30" t="inlineStr">
        <is>
          <t xml:space="preserve">2% of agreed value, minimum $10,000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5186.9</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CANON-202604-006945</t>
        </is>
      </c>
      <c r="B274" s="46" t="inlineStr">
        <is>
          <t xml:space="preserve">Noor Thistlewood</t>
        </is>
      </c>
      <c r="C274" s="47">
        <v>46127</v>
      </c>
      <c r="D274" s="48" t="inlineStr">
        <is>
          <t xml:space="preserve">Bound - within authority</t>
        </is>
      </c>
      <c r="E274" s="48" t="inlineStr">
        <is>
          <t xml:space="preserve">New business</t>
        </is>
      </c>
      <c r="F274" s="46" t="inlineStr">
        <is>
          <t xml:space="preserve">B1234EXOTIC26</t>
        </is>
      </c>
      <c r="G274" s="33">
        <f>IF($A274="","",IF($C274="","",YEAR($C274)))</f>
      </c>
      <c r="H274" s="49">
        <v>2014</v>
      </c>
      <c r="I274" s="46" t="inlineStr">
        <is>
          <t xml:space="preserve">Bentley</t>
        </is>
      </c>
      <c r="J274" s="46" t="inlineStr">
        <is>
          <t xml:space="preserve">Continental GT</t>
        </is>
      </c>
      <c r="K274" s="46" t="inlineStr">
        <is>
          <t xml:space="preserve">SPY36EH9KPTRVND8A</t>
        </is>
      </c>
      <c r="L274" s="48" t="inlineStr">
        <is>
          <t xml:space="preserve">02 - Sports / GT</t>
        </is>
      </c>
      <c r="M274" s="50">
        <v>155000</v>
      </c>
      <c r="N274" s="48" t="inlineStr">
        <is>
          <t xml:space="preserve">Personal</t>
        </is>
      </c>
      <c r="O274" s="46" t="inlineStr">
        <is>
          <t xml:space="preserve">Personal - regular use</t>
        </is>
      </c>
      <c r="P274" s="46" t="inlineStr">
        <is>
          <t xml:space="preserve">1,000 - 2,500</t>
        </is>
      </c>
      <c r="Q274" s="46" t="inlineStr">
        <is>
          <t xml:space="preserve">Arizona</t>
        </is>
      </c>
      <c r="R274" s="46" t="inlineStr">
        <is>
          <t xml:space="preserve">85001</t>
        </is>
      </c>
      <c r="S274" s="48" t="inlineStr">
        <is>
          <t xml:space="preserve">Wildfire - WUI high hazard</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2256.86</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CANON-202604-006946</t>
        </is>
      </c>
      <c r="B275" s="30" t="inlineStr">
        <is>
          <t xml:space="preserve">Marisol Whitlock</t>
        </is>
      </c>
      <c r="C275" s="31">
        <v>46129</v>
      </c>
      <c r="D275" s="32" t="inlineStr">
        <is>
          <t xml:space="preserve">Bound - within authority</t>
        </is>
      </c>
      <c r="E275" s="32" t="inlineStr">
        <is>
          <t xml:space="preserve">New business</t>
        </is>
      </c>
      <c r="F275" s="30" t="inlineStr">
        <is>
          <t xml:space="preserve">B1234EXOTIC26</t>
        </is>
      </c>
      <c r="G275" s="33">
        <f>IF($A275="","",IF($C275="","",YEAR($C275)))</f>
      </c>
      <c r="H275" s="34">
        <v>1995</v>
      </c>
      <c r="I275" s="30" t="inlineStr">
        <is>
          <t xml:space="preserve">Mercedes-Benz</t>
        </is>
      </c>
      <c r="J275" s="30" t="inlineStr">
        <is>
          <t xml:space="preserve">280SL Pagoda</t>
        </is>
      </c>
      <c r="K275" s="30" t="inlineStr">
        <is>
          <t xml:space="preserve">588SYCPPVXKZ1MUNL</t>
        </is>
      </c>
      <c r="L275" s="32" t="inlineStr">
        <is>
          <t xml:space="preserve">08 - Modern Classic (1973-1999)</t>
        </is>
      </c>
      <c r="M275" s="35">
        <v>495000</v>
      </c>
      <c r="N275" s="32" t="inlineStr">
        <is>
          <t xml:space="preserve">Personal</t>
        </is>
      </c>
      <c r="O275" s="30" t="inlineStr">
        <is>
          <t xml:space="preserve">Personal - regular use</t>
        </is>
      </c>
      <c r="P275" s="30" t="inlineStr">
        <is>
          <t xml:space="preserve">1,000 - 2,500</t>
        </is>
      </c>
      <c r="Q275" s="30" t="inlineStr">
        <is>
          <t xml:space="preserve">Illinois</t>
        </is>
      </c>
      <c r="R275" s="30" t="inlineStr">
        <is>
          <t xml:space="preserve">60601</t>
        </is>
      </c>
      <c r="S275" s="32" t="inlineStr">
        <is>
          <t xml:space="preserve">Severe convective - hail / tornado (moderate)</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5063.48</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CANON-202604-006947</t>
        </is>
      </c>
      <c r="B276" s="46" t="inlineStr">
        <is>
          <t xml:space="preserve">Ottilie Kingsford</t>
        </is>
      </c>
      <c r="C276" s="47">
        <v>46126</v>
      </c>
      <c r="D276" s="48" t="inlineStr">
        <is>
          <t xml:space="preserve">Bound - within authority</t>
        </is>
      </c>
      <c r="E276" s="48" t="inlineStr">
        <is>
          <t xml:space="preserve">New business</t>
        </is>
      </c>
      <c r="F276" s="46" t="inlineStr">
        <is>
          <t xml:space="preserve">B1234EXOTIC26</t>
        </is>
      </c>
      <c r="G276" s="33">
        <f>IF($A276="","",IF($C276="","",YEAR($C276)))</f>
      </c>
      <c r="H276" s="49">
        <v>1966</v>
      </c>
      <c r="I276" s="46" t="inlineStr">
        <is>
          <t xml:space="preserve">Maserati</t>
        </is>
      </c>
      <c r="J276" s="46" t="inlineStr">
        <is>
          <t xml:space="preserve">GranTurismo</t>
        </is>
      </c>
      <c r="K276" s="46" t="inlineStr">
        <is>
          <t xml:space="preserve">SCA78F2W0VHPCN719</t>
        </is>
      </c>
      <c r="L276" s="48" t="inlineStr">
        <is>
          <t xml:space="preserve">02 - Sports / GT</t>
        </is>
      </c>
      <c r="M276" s="50">
        <v>295000</v>
      </c>
      <c r="N276" s="48" t="inlineStr">
        <is>
          <t xml:space="preserve">Personal</t>
        </is>
      </c>
      <c r="O276" s="46" t="inlineStr">
        <is>
          <t xml:space="preserve">Personal - regular use</t>
        </is>
      </c>
      <c r="P276" s="46" t="inlineStr">
        <is>
          <t xml:space="preserve">1,000 - 2,500</t>
        </is>
      </c>
      <c r="Q276" s="46" t="inlineStr">
        <is>
          <t xml:space="preserve">Texas</t>
        </is>
      </c>
      <c r="R276" s="46" t="inlineStr">
        <is>
          <t xml:space="preserve">75201</t>
        </is>
      </c>
      <c r="S276" s="48" t="inlineStr">
        <is>
          <t xml:space="preserve">Tier 2 - Coastal wind (1-25 miles)</t>
        </is>
      </c>
      <c r="T276" s="36">
        <f>IF($A276="","",IF($S276="","",IFERROR(INDEX('[1]natural catastrophe'!$D$6:$D$17,MATCH($S276,'[1]natural catastrophe'!$B$6:$B$17,0)),"?")))</f>
      </c>
      <c r="U276" s="46" t="inlineStr">
        <is>
          <t xml:space="preserve">2% of agreed value, minimum $10,000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3986.99</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CANON-202604-006948</t>
        </is>
      </c>
      <c r="B277" s="30" t="inlineStr">
        <is>
          <t xml:space="preserve">Marisol Vasquez</t>
        </is>
      </c>
      <c r="C277" s="31">
        <v>46139</v>
      </c>
      <c r="D277" s="32" t="inlineStr">
        <is>
          <t xml:space="preserve">Bound - within authority</t>
        </is>
      </c>
      <c r="E277" s="32" t="inlineStr">
        <is>
          <t xml:space="preserve">New business</t>
        </is>
      </c>
      <c r="F277" s="30" t="inlineStr">
        <is>
          <t xml:space="preserve">B1234EXOTIC26</t>
        </is>
      </c>
      <c r="G277" s="33">
        <f>IF($A277="","",IF($C277="","",YEAR($C277)))</f>
      </c>
      <c r="H277" s="34">
        <v>1964</v>
      </c>
      <c r="I277" s="30" t="inlineStr">
        <is>
          <t xml:space="preserve">Lamborghini</t>
        </is>
      </c>
      <c r="J277" s="30" t="inlineStr">
        <is>
          <t xml:space="preserve">Huracan EVO</t>
        </is>
      </c>
      <c r="K277" s="30" t="inlineStr">
        <is>
          <t xml:space="preserve">XUMJT0ZLAV48HSYML</t>
        </is>
      </c>
      <c r="L277" s="32" t="inlineStr">
        <is>
          <t xml:space="preserve">03 - Supercar</t>
        </is>
      </c>
      <c r="M277" s="35">
        <v>755000</v>
      </c>
      <c r="N277" s="32" t="inlineStr">
        <is>
          <t xml:space="preserve">Personal</t>
        </is>
      </c>
      <c r="O277" s="30" t="inlineStr">
        <is>
          <t xml:space="preserve">Personal - regular use</t>
        </is>
      </c>
      <c r="P277" s="30" t="inlineStr">
        <is>
          <t xml:space="preserve">1,000 - 2,500</t>
        </is>
      </c>
      <c r="Q277" s="30" t="inlineStr">
        <is>
          <t xml:space="preserve">Florida</t>
        </is>
      </c>
      <c r="R277" s="30" t="inlineStr">
        <is>
          <t xml:space="preserve">33139</t>
        </is>
      </c>
      <c r="S277" s="32" t="inlineStr">
        <is>
          <t xml:space="preserve">Tier 2 - Coastal wind (1-25 miles)</t>
        </is>
      </c>
      <c r="T277" s="36">
        <f>IF($A277="","",IF($S277="","",IFERROR(INDEX('[1]natural catastrophe'!$D$6:$D$17,MATCH($S277,'[1]natural catastrophe'!$B$6:$B$17,0)),"?")))</f>
      </c>
      <c r="U277" s="30" t="inlineStr">
        <is>
          <t xml:space="preserve">2% of agreed value, minimum $10,000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15959.63</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CANON-202604-006950</t>
        </is>
      </c>
      <c r="B278" s="46" t="inlineStr">
        <is>
          <t xml:space="preserve">Wilhelmina Blackwood</t>
        </is>
      </c>
      <c r="C278" s="47">
        <v>46128</v>
      </c>
      <c r="D278" s="48" t="inlineStr">
        <is>
          <t xml:space="preserve">Bound - within authority</t>
        </is>
      </c>
      <c r="E278" s="48" t="inlineStr">
        <is>
          <t xml:space="preserve">New business</t>
        </is>
      </c>
      <c r="F278" s="46" t="inlineStr">
        <is>
          <t xml:space="preserve">B1234EXOTIC26</t>
        </is>
      </c>
      <c r="G278" s="33">
        <f>IF($A278="","",IF($C278="","",YEAR($C278)))</f>
      </c>
      <c r="H278" s="49">
        <v>2014</v>
      </c>
      <c r="I278" s="46" t="inlineStr">
        <is>
          <t xml:space="preserve">Porsche</t>
        </is>
      </c>
      <c r="J278" s="46" t="inlineStr">
        <is>
          <t xml:space="preserve">911 Turbo S</t>
        </is>
      </c>
      <c r="K278" s="46" t="inlineStr">
        <is>
          <t xml:space="preserve">RFPPDU1JHY0GK2EAE</t>
        </is>
      </c>
      <c r="L278" s="48" t="inlineStr">
        <is>
          <t xml:space="preserve">02 - Sports / GT</t>
        </is>
      </c>
      <c r="M278" s="50">
        <v>755000</v>
      </c>
      <c r="N278" s="48" t="inlineStr">
        <is>
          <t xml:space="preserve">Personal</t>
        </is>
      </c>
      <c r="O278" s="46" t="inlineStr">
        <is>
          <t xml:space="preserve">Personal - regular use</t>
        </is>
      </c>
      <c r="P278" s="46" t="inlineStr">
        <is>
          <t xml:space="preserve">Under 1,000</t>
        </is>
      </c>
      <c r="Q278" s="46" t="inlineStr">
        <is>
          <t xml:space="preserve">Alaska</t>
        </is>
      </c>
      <c r="R278" s="46" t="inlineStr">
        <is>
          <t xml:space="preserve">99501</t>
        </is>
      </c>
      <c r="S278" s="48" t="inlineStr">
        <is>
          <t xml:space="preserve">Earthquake - high (CA, Cascadia, New Madrid)</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8766.55</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CANON-202604-006951</t>
        </is>
      </c>
      <c r="B279" s="30" t="inlineStr">
        <is>
          <t xml:space="preserve">Anouk Thistlewood</t>
        </is>
      </c>
      <c r="C279" s="31">
        <v>46133</v>
      </c>
      <c r="D279" s="32" t="inlineStr">
        <is>
          <t xml:space="preserve">Bound - within authority</t>
        </is>
      </c>
      <c r="E279" s="32" t="inlineStr">
        <is>
          <t xml:space="preserve">New business</t>
        </is>
      </c>
      <c r="F279" s="30" t="inlineStr">
        <is>
          <t xml:space="preserve">B1234EXOTIC26</t>
        </is>
      </c>
      <c r="G279" s="33">
        <f>IF($A279="","",IF($C279="","",YEAR($C279)))</f>
      </c>
      <c r="H279" s="34">
        <v>2002</v>
      </c>
      <c r="I279" s="30" t="inlineStr">
        <is>
          <t xml:space="preserve">Bentley</t>
        </is>
      </c>
      <c r="J279" s="30" t="inlineStr">
        <is>
          <t xml:space="preserve">Continental GT</t>
        </is>
      </c>
      <c r="K279" s="30" t="inlineStr">
        <is>
          <t xml:space="preserve">FHSR7AP0RVUBT762P</t>
        </is>
      </c>
      <c r="L279" s="32" t="inlineStr">
        <is>
          <t xml:space="preserve">02 - Sports / GT</t>
        </is>
      </c>
      <c r="M279" s="35">
        <v>450000</v>
      </c>
      <c r="N279" s="32" t="inlineStr">
        <is>
          <t xml:space="preserve">Personal</t>
        </is>
      </c>
      <c r="O279" s="30" t="inlineStr">
        <is>
          <t xml:space="preserve">Personal - regular use</t>
        </is>
      </c>
      <c r="P279" s="30" t="inlineStr">
        <is>
          <t xml:space="preserve">1,000 - 2,500</t>
        </is>
      </c>
      <c r="Q279" s="30" t="inlineStr">
        <is>
          <t xml:space="preserve">California</t>
        </is>
      </c>
      <c r="R279" s="30" t="inlineStr">
        <is>
          <t xml:space="preserve">90012</t>
        </is>
      </c>
      <c r="S279" s="32" t="inlineStr">
        <is>
          <t xml:space="preserve">Earthquake - high (CA, Cascadia, New Madrid)</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7139.56</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CANON-202604-006952</t>
        </is>
      </c>
      <c r="B280" s="46" t="inlineStr">
        <is>
          <t xml:space="preserve">Ramona Merriweather</t>
        </is>
      </c>
      <c r="C280" s="47">
        <v>46118</v>
      </c>
      <c r="D280" s="48" t="inlineStr">
        <is>
          <t xml:space="preserve">Bound - within authority</t>
        </is>
      </c>
      <c r="E280" s="48" t="inlineStr">
        <is>
          <t xml:space="preserve">New business</t>
        </is>
      </c>
      <c r="F280" s="46" t="inlineStr">
        <is>
          <t xml:space="preserve">B1234EXOTIC26</t>
        </is>
      </c>
      <c r="G280" s="33">
        <f>IF($A280="","",IF($C280="","",YEAR($C280)))</f>
      </c>
      <c r="H280" s="49">
        <v>1991</v>
      </c>
      <c r="I280" s="46" t="inlineStr">
        <is>
          <t xml:space="preserve">Maserati</t>
        </is>
      </c>
      <c r="J280" s="46" t="inlineStr">
        <is>
          <t xml:space="preserve">GranTurismo</t>
        </is>
      </c>
      <c r="K280" s="46" t="inlineStr">
        <is>
          <t xml:space="preserve">87MBLC3B5RY2ZXTEE</t>
        </is>
      </c>
      <c r="L280" s="48" t="inlineStr">
        <is>
          <t xml:space="preserve">02 - Sports / GT</t>
        </is>
      </c>
      <c r="M280" s="50">
        <v>560000</v>
      </c>
      <c r="N280" s="48" t="inlineStr">
        <is>
          <t xml:space="preserve">Personal</t>
        </is>
      </c>
      <c r="O280" s="46" t="inlineStr">
        <is>
          <t xml:space="preserve">Personal - regular use</t>
        </is>
      </c>
      <c r="P280" s="46" t="inlineStr">
        <is>
          <t xml:space="preserve">2,500 - 5,000</t>
        </is>
      </c>
      <c r="Q280" s="46" t="inlineStr">
        <is>
          <t xml:space="preserve">California</t>
        </is>
      </c>
      <c r="R280" s="46" t="inlineStr">
        <is>
          <t xml:space="preserve">90012</t>
        </is>
      </c>
      <c r="S280" s="48" t="inlineStr">
        <is>
          <t xml:space="preserve">Earthquake - high (CA, Cascadia, New Madrid)</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7700.15</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CANON-202604-006953</t>
        </is>
      </c>
      <c r="B281" s="30" t="inlineStr">
        <is>
          <t xml:space="preserve">Leopold Pennington</t>
        </is>
      </c>
      <c r="C281" s="31">
        <v>46123</v>
      </c>
      <c r="D281" s="32" t="inlineStr">
        <is>
          <t xml:space="preserve">Bound - within authority</t>
        </is>
      </c>
      <c r="E281" s="32" t="inlineStr">
        <is>
          <t xml:space="preserve">New business</t>
        </is>
      </c>
      <c r="F281" s="30" t="inlineStr">
        <is>
          <t xml:space="preserve">B1234EXOTIC26</t>
        </is>
      </c>
      <c r="G281" s="33">
        <f>IF($A281="","",IF($C281="","",YEAR($C281)))</f>
      </c>
      <c r="H281" s="34">
        <v>1993</v>
      </c>
      <c r="I281" s="30" t="inlineStr">
        <is>
          <t xml:space="preserve">Ferrari</t>
        </is>
      </c>
      <c r="J281" s="30" t="inlineStr">
        <is>
          <t xml:space="preserve">296 GTB</t>
        </is>
      </c>
      <c r="K281" s="30" t="inlineStr">
        <is>
          <t xml:space="preserve">0Y2K0RBP9A4PETDF5</t>
        </is>
      </c>
      <c r="L281" s="32" t="inlineStr">
        <is>
          <t xml:space="preserve">03 - Supercar</t>
        </is>
      </c>
      <c r="M281" s="35">
        <v>695000</v>
      </c>
      <c r="N281" s="32" t="inlineStr">
        <is>
          <t xml:space="preserve">Personal</t>
        </is>
      </c>
      <c r="O281" s="30" t="inlineStr">
        <is>
          <t xml:space="preserve">Personal - regular use</t>
        </is>
      </c>
      <c r="P281" s="30" t="inlineStr">
        <is>
          <t xml:space="preserve">Under 1,000</t>
        </is>
      </c>
      <c r="Q281" s="30" t="inlineStr">
        <is>
          <t xml:space="preserve">Pennsylvania</t>
        </is>
      </c>
      <c r="R281" s="30" t="inlineStr">
        <is>
          <t xml:space="preserve">19103</t>
        </is>
      </c>
      <c r="S281" s="32" t="inlineStr">
        <is>
          <t xml:space="preserve">Low hazard - inland benign</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10346</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CANON-202604-006954</t>
        </is>
      </c>
      <c r="B282" s="46" t="inlineStr">
        <is>
          <t xml:space="preserve">Ottilie Vasquez</t>
        </is>
      </c>
      <c r="C282" s="47">
        <v>46141</v>
      </c>
      <c r="D282" s="48" t="inlineStr">
        <is>
          <t xml:space="preserve">Bound - within authority</t>
        </is>
      </c>
      <c r="E282" s="48" t="inlineStr">
        <is>
          <t xml:space="preserve">New business</t>
        </is>
      </c>
      <c r="F282" s="46" t="inlineStr">
        <is>
          <t xml:space="preserve">B1234EXOTIC26</t>
        </is>
      </c>
      <c r="G282" s="33">
        <f>IF($A282="","",IF($C282="","",YEAR($C282)))</f>
      </c>
      <c r="H282" s="49">
        <v>2014</v>
      </c>
      <c r="I282" s="46" t="inlineStr">
        <is>
          <t xml:space="preserve">Aston Martin</t>
        </is>
      </c>
      <c r="J282" s="46" t="inlineStr">
        <is>
          <t xml:space="preserve">DB5</t>
        </is>
      </c>
      <c r="K282" s="46" t="inlineStr">
        <is>
          <t xml:space="preserve">N864LP0SC6V63N2XN</t>
        </is>
      </c>
      <c r="L282" s="48" t="inlineStr">
        <is>
          <t xml:space="preserve">02 - Sports / GT</t>
        </is>
      </c>
      <c r="M282" s="50">
        <v>600000</v>
      </c>
      <c r="N282" s="48" t="inlineStr">
        <is>
          <t xml:space="preserve">Personal</t>
        </is>
      </c>
      <c r="O282" s="46" t="inlineStr">
        <is>
          <t xml:space="preserve">Personal - regular use</t>
        </is>
      </c>
      <c r="P282" s="46" t="inlineStr">
        <is>
          <t xml:space="preserve">1,000 - 2,500</t>
        </is>
      </c>
      <c r="Q282" s="46" t="inlineStr">
        <is>
          <t xml:space="preserve">New Jersey</t>
        </is>
      </c>
      <c r="R282" s="46" t="inlineStr">
        <is>
          <t xml:space="preserve">07102</t>
        </is>
      </c>
      <c r="S282" s="48" t="inlineStr">
        <is>
          <t xml:space="preserve">Tier 3 - Coastal wind (25-100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3678.96</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CANON-202604-006958</t>
        </is>
      </c>
      <c r="B283" s="30" t="inlineStr">
        <is>
          <t xml:space="preserve">Anouk Farkas</t>
        </is>
      </c>
      <c r="C283" s="31">
        <v>46127</v>
      </c>
      <c r="D283" s="32" t="inlineStr">
        <is>
          <t xml:space="preserve">Bound - within authority</t>
        </is>
      </c>
      <c r="E283" s="32" t="inlineStr">
        <is>
          <t xml:space="preserve">New business</t>
        </is>
      </c>
      <c r="F283" s="30" t="inlineStr">
        <is>
          <t xml:space="preserve">B1234EXOTIC26</t>
        </is>
      </c>
      <c r="G283" s="33">
        <f>IF($A283="","",IF($C283="","",YEAR($C283)))</f>
      </c>
      <c r="H283" s="34">
        <v>1995</v>
      </c>
      <c r="I283" s="30" t="inlineStr">
        <is>
          <t xml:space="preserve">Bentley</t>
        </is>
      </c>
      <c r="J283" s="30" t="inlineStr">
        <is>
          <t xml:space="preserve">4.5 Litre</t>
        </is>
      </c>
      <c r="K283" s="30" t="inlineStr">
        <is>
          <t xml:space="preserve">9CNTLL4AJJE2GWCT7</t>
        </is>
      </c>
      <c r="L283" s="32" t="inlineStr">
        <is>
          <t xml:space="preserve">08 - Modern Classic (1973-1999)</t>
        </is>
      </c>
      <c r="M283" s="35">
        <v>1600000</v>
      </c>
      <c r="N283" s="32" t="inlineStr">
        <is>
          <t xml:space="preserve">Personal</t>
        </is>
      </c>
      <c r="O283" s="30" t="inlineStr">
        <is>
          <t xml:space="preserve">Personal - regular use</t>
        </is>
      </c>
      <c r="P283" s="30" t="inlineStr">
        <is>
          <t xml:space="preserve">1,000 - 2,500</t>
        </is>
      </c>
      <c r="Q283" s="30" t="inlineStr">
        <is>
          <t xml:space="preserve">California</t>
        </is>
      </c>
      <c r="R283" s="30" t="inlineStr">
        <is>
          <t xml:space="preserve">90012</t>
        </is>
      </c>
      <c r="S283" s="32" t="inlineStr">
        <is>
          <t xml:space="preserve">Earthquake - high (CA, Cascadia, New Madrid)</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11507.91</v>
      </c>
      <c r="AC283" s="37">
        <v>0</v>
      </c>
      <c r="AD283" s="38">
        <f>IF(ISNUMBER($AB283),$AB283*(1+N($AC283)),"")</f>
      </c>
      <c r="AE283" s="35">
        <v>350</v>
      </c>
      <c r="AF283" s="35">
        <v>250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CANON-202604-006960</t>
        </is>
      </c>
      <c r="B284" s="46" t="inlineStr">
        <is>
          <t xml:space="preserve">Anouk Larsson</t>
        </is>
      </c>
      <c r="C284" s="47">
        <v>46115</v>
      </c>
      <c r="D284" s="48" t="inlineStr">
        <is>
          <t xml:space="preserve">Bound - within authority</t>
        </is>
      </c>
      <c r="E284" s="48" t="inlineStr">
        <is>
          <t xml:space="preserve">New business</t>
        </is>
      </c>
      <c r="F284" s="46" t="inlineStr">
        <is>
          <t xml:space="preserve">B1234EXOTIC26</t>
        </is>
      </c>
      <c r="G284" s="33">
        <f>IF($A284="","",IF($C284="","",YEAR($C284)))</f>
      </c>
      <c r="H284" s="49">
        <v>2015</v>
      </c>
      <c r="I284" s="46" t="inlineStr">
        <is>
          <t xml:space="preserve">BMW</t>
        </is>
      </c>
      <c r="J284" s="46" t="inlineStr">
        <is>
          <t xml:space="preserve">M8 Competition</t>
        </is>
      </c>
      <c r="K284" s="46" t="inlineStr">
        <is>
          <t xml:space="preserve">121PY3PSZK44WGPA4</t>
        </is>
      </c>
      <c r="L284" s="48" t="inlineStr">
        <is>
          <t xml:space="preserve">02 - Sports / GT</t>
        </is>
      </c>
      <c r="M284" s="50">
        <v>180000</v>
      </c>
      <c r="N284" s="48" t="inlineStr">
        <is>
          <t xml:space="preserve">Personal</t>
        </is>
      </c>
      <c r="O284" s="46" t="inlineStr">
        <is>
          <t xml:space="preserve">Personal - regular use</t>
        </is>
      </c>
      <c r="P284" s="46" t="inlineStr">
        <is>
          <t xml:space="preserve">Under 1,000</t>
        </is>
      </c>
      <c r="Q284" s="46" t="inlineStr">
        <is>
          <t xml:space="preserve">Missouri</t>
        </is>
      </c>
      <c r="R284" s="46" t="inlineStr">
        <is>
          <t xml:space="preserve">63101</t>
        </is>
      </c>
      <c r="S284" s="48" t="inlineStr">
        <is>
          <t xml:space="preserve">Severe convective - hail / tornado (moderate)</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2750.62</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CANON-202604-006961</t>
        </is>
      </c>
      <c r="B285" s="30" t="inlineStr">
        <is>
          <t xml:space="preserve">Desmond Ashcombe</t>
        </is>
      </c>
      <c r="C285" s="31">
        <v>46141</v>
      </c>
      <c r="D285" s="32" t="inlineStr">
        <is>
          <t xml:space="preserve">Bound - within authority</t>
        </is>
      </c>
      <c r="E285" s="32" t="inlineStr">
        <is>
          <t xml:space="preserve">New business</t>
        </is>
      </c>
      <c r="F285" s="30" t="inlineStr">
        <is>
          <t xml:space="preserve">B1234EXOTIC26</t>
        </is>
      </c>
      <c r="G285" s="33">
        <f>IF($A285="","",IF($C285="","",YEAR($C285)))</f>
      </c>
      <c r="H285" s="34">
        <v>2018</v>
      </c>
      <c r="I285" s="30" t="inlineStr">
        <is>
          <t xml:space="preserve">McLaren</t>
        </is>
      </c>
      <c r="J285" s="30" t="inlineStr">
        <is>
          <t xml:space="preserve">750S</t>
        </is>
      </c>
      <c r="K285" s="30" t="inlineStr">
        <is>
          <t xml:space="preserve">504B6UT97K04WYGTZ</t>
        </is>
      </c>
      <c r="L285" s="32" t="inlineStr">
        <is>
          <t xml:space="preserve">03 - Supercar</t>
        </is>
      </c>
      <c r="M285" s="35">
        <v>1950000</v>
      </c>
      <c r="N285" s="32" t="inlineStr">
        <is>
          <t xml:space="preserve">Personal</t>
        </is>
      </c>
      <c r="O285" s="30" t="inlineStr">
        <is>
          <t xml:space="preserve">Personal - regular use</t>
        </is>
      </c>
      <c r="P285" s="30" t="inlineStr">
        <is>
          <t xml:space="preserve">1,000 - 2,500</t>
        </is>
      </c>
      <c r="Q285" s="30" t="inlineStr">
        <is>
          <t xml:space="preserve">Michigan</t>
        </is>
      </c>
      <c r="R285" s="30" t="inlineStr">
        <is>
          <t xml:space="preserve">48226</t>
        </is>
      </c>
      <c r="S285" s="32" t="inlineStr">
        <is>
          <t xml:space="preserve">Severe convective - hail / tornado (moderate)</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37889.6</v>
      </c>
      <c r="AC285" s="37">
        <v>0</v>
      </c>
      <c r="AD285" s="38">
        <f>IF(ISNUMBER($AB285),$AB285*(1+N($AC285)),"")</f>
      </c>
      <c r="AE285" s="35">
        <v>350</v>
      </c>
      <c r="AF285" s="35">
        <v>250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CANON-202604-006962</t>
        </is>
      </c>
      <c r="B286" s="46" t="inlineStr">
        <is>
          <t xml:space="preserve">Horace Underwood</t>
        </is>
      </c>
      <c r="C286" s="47">
        <v>46132</v>
      </c>
      <c r="D286" s="48" t="inlineStr">
        <is>
          <t xml:space="preserve">Bound - within authority</t>
        </is>
      </c>
      <c r="E286" s="48" t="inlineStr">
        <is>
          <t xml:space="preserve">New business</t>
        </is>
      </c>
      <c r="F286" s="46" t="inlineStr">
        <is>
          <t xml:space="preserve">B1234EXOTIC26</t>
        </is>
      </c>
      <c r="G286" s="33">
        <f>IF($A286="","",IF($C286="","",YEAR($C286)))</f>
      </c>
      <c r="H286" s="49">
        <v>1974</v>
      </c>
      <c r="I286" s="46" t="inlineStr">
        <is>
          <t xml:space="preserve">Maserati</t>
        </is>
      </c>
      <c r="J286" s="46" t="inlineStr">
        <is>
          <t xml:space="preserve">GranTurismo</t>
        </is>
      </c>
      <c r="K286" s="46" t="inlineStr">
        <is>
          <t xml:space="preserve">4Y1CMSYXCK0A2V2BU</t>
        </is>
      </c>
      <c r="L286" s="48" t="inlineStr">
        <is>
          <t xml:space="preserve">02 - Sports / GT</t>
        </is>
      </c>
      <c r="M286" s="50">
        <v>1325000</v>
      </c>
      <c r="N286" s="48" t="inlineStr">
        <is>
          <t xml:space="preserve">Personal</t>
        </is>
      </c>
      <c r="O286" s="46" t="inlineStr">
        <is>
          <t xml:space="preserve">Personal - regular use</t>
        </is>
      </c>
      <c r="P286" s="46" t="inlineStr">
        <is>
          <t xml:space="preserve">1,000 - 2,500</t>
        </is>
      </c>
      <c r="Q286" s="46" t="inlineStr">
        <is>
          <t xml:space="preserve">Wyoming</t>
        </is>
      </c>
      <c r="R286" s="46" t="inlineStr">
        <is>
          <t xml:space="preserve">82001</t>
        </is>
      </c>
      <c r="S286" s="48" t="inlineStr">
        <is>
          <t xml:space="preserve">Severe convective - hail alley (high)</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12218.73</v>
      </c>
      <c r="AC286" s="51">
        <v>0</v>
      </c>
      <c r="AD286" s="38">
        <f>IF(ISNUMBER($AB286),$AB286*(1+N($AC286)),"")</f>
      </c>
      <c r="AE286" s="50">
        <v>350</v>
      </c>
      <c r="AF286" s="50">
        <v>250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CANON-202604-006963</t>
        </is>
      </c>
      <c r="B287" s="30" t="inlineStr">
        <is>
          <t xml:space="preserve">Ottilie Ashcombe</t>
        </is>
      </c>
      <c r="C287" s="31">
        <v>46137</v>
      </c>
      <c r="D287" s="32" t="inlineStr">
        <is>
          <t xml:space="preserve">Bound - within authority</t>
        </is>
      </c>
      <c r="E287" s="32" t="inlineStr">
        <is>
          <t xml:space="preserve">New business</t>
        </is>
      </c>
      <c r="F287" s="30" t="inlineStr">
        <is>
          <t xml:space="preserve">B1234EXOTIC26</t>
        </is>
      </c>
      <c r="G287" s="33">
        <f>IF($A287="","",IF($C287="","",YEAR($C287)))</f>
      </c>
      <c r="H287" s="34">
        <v>1955</v>
      </c>
      <c r="I287" s="30" t="inlineStr">
        <is>
          <t xml:space="preserve">Mercedes-Benz</t>
        </is>
      </c>
      <c r="J287" s="30" t="inlineStr">
        <is>
          <t xml:space="preserve">AMG GT</t>
        </is>
      </c>
      <c r="K287" s="30" t="inlineStr">
        <is>
          <t xml:space="preserve">JRZVLNCRRZ5G9MRRM</t>
        </is>
      </c>
      <c r="L287" s="32" t="inlineStr">
        <is>
          <t xml:space="preserve">02 - Sports / GT</t>
        </is>
      </c>
      <c r="M287" s="35">
        <v>535000</v>
      </c>
      <c r="N287" s="32" t="inlineStr">
        <is>
          <t xml:space="preserve">Personal</t>
        </is>
      </c>
      <c r="O287" s="30" t="inlineStr">
        <is>
          <t xml:space="preserve">Personal - regular use</t>
        </is>
      </c>
      <c r="P287" s="30" t="inlineStr">
        <is>
          <t xml:space="preserve">2,500 - 5,000</t>
        </is>
      </c>
      <c r="Q287" s="30" t="inlineStr">
        <is>
          <t xml:space="preserve">Indiana</t>
        </is>
      </c>
      <c r="R287" s="30" t="inlineStr">
        <is>
          <t xml:space="preserve">46204</t>
        </is>
      </c>
      <c r="S287" s="32" t="inlineStr">
        <is>
          <t xml:space="preserve">Severe convective - hail / tornado (moderate)</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6702.48</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CANON-202604-006965</t>
        </is>
      </c>
      <c r="B288" s="46" t="inlineStr">
        <is>
          <t xml:space="preserve">Callum Okonkwo</t>
        </is>
      </c>
      <c r="C288" s="47">
        <v>46136</v>
      </c>
      <c r="D288" s="48" t="inlineStr">
        <is>
          <t xml:space="preserve">Bound - within authority</t>
        </is>
      </c>
      <c r="E288" s="48" t="inlineStr">
        <is>
          <t xml:space="preserve">New business</t>
        </is>
      </c>
      <c r="F288" s="46" t="inlineStr">
        <is>
          <t xml:space="preserve">B1234EXOTIC26</t>
        </is>
      </c>
      <c r="G288" s="33">
        <f>IF($A288="","",IF($C288="","",YEAR($C288)))</f>
      </c>
      <c r="H288" s="49">
        <v>1999</v>
      </c>
      <c r="I288" s="46" t="inlineStr">
        <is>
          <t xml:space="preserve">Jaguar</t>
        </is>
      </c>
      <c r="J288" s="46" t="inlineStr">
        <is>
          <t xml:space="preserve">E-Type Series 1</t>
        </is>
      </c>
      <c r="K288" s="46" t="inlineStr">
        <is>
          <t xml:space="preserve">VJ48P0YVXGUB22087</t>
        </is>
      </c>
      <c r="L288" s="48" t="inlineStr">
        <is>
          <t xml:space="preserve">08 - Modern Classic (1973-1999)</t>
        </is>
      </c>
      <c r="M288" s="50">
        <v>1615000</v>
      </c>
      <c r="N288" s="48" t="inlineStr">
        <is>
          <t xml:space="preserve">Personal</t>
        </is>
      </c>
      <c r="O288" s="46" t="inlineStr">
        <is>
          <t xml:space="preserve">Personal - regular use</t>
        </is>
      </c>
      <c r="P288" s="46" t="inlineStr">
        <is>
          <t xml:space="preserve">Under 1,000</t>
        </is>
      </c>
      <c r="Q288" s="46" t="inlineStr">
        <is>
          <t xml:space="preserve">New York</t>
        </is>
      </c>
      <c r="R288" s="46" t="inlineStr">
        <is>
          <t xml:space="preserve">10022</t>
        </is>
      </c>
      <c r="S288" s="48" t="inlineStr">
        <is>
          <t xml:space="preserve">Tier 3 - Coastal wind (25-100 miles)</t>
        </is>
      </c>
      <c r="T288" s="36">
        <f>IF($A288="","",IF($S288="","",IFERROR(INDEX('[1]natural catastrophe'!$D$6:$D$17,MATCH($S288,'[1]natural catastrophe'!$B$6:$B$17,0)),"?")))</f>
      </c>
      <c r="U288" s="46" t="inlineStr">
        <is>
          <t xml:space="preserve">2% of agreed value, minimum $10,000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12309.2</v>
      </c>
      <c r="AC288" s="51">
        <v>0</v>
      </c>
      <c r="AD288" s="38">
        <f>IF(ISNUMBER($AB288),$AB288*(1+N($AC288)),"")</f>
      </c>
      <c r="AE288" s="50">
        <v>350</v>
      </c>
      <c r="AF288" s="50">
        <v>250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CANON-202604-006967</t>
        </is>
      </c>
      <c r="B289" s="30" t="inlineStr">
        <is>
          <t xml:space="preserve">Fitzgerald Vandermeer</t>
        </is>
      </c>
      <c r="C289" s="31">
        <v>46128</v>
      </c>
      <c r="D289" s="32" t="inlineStr">
        <is>
          <t xml:space="preserve">Bound - within authority</t>
        </is>
      </c>
      <c r="E289" s="32" t="inlineStr">
        <is>
          <t xml:space="preserve">New business</t>
        </is>
      </c>
      <c r="F289" s="30" t="inlineStr">
        <is>
          <t xml:space="preserve">B1234EXOTIC26</t>
        </is>
      </c>
      <c r="G289" s="33">
        <f>IF($A289="","",IF($C289="","",YEAR($C289)))</f>
      </c>
      <c r="H289" s="34">
        <v>2005</v>
      </c>
      <c r="I289" s="30" t="inlineStr">
        <is>
          <t xml:space="preserve">Mercedes-Benz</t>
        </is>
      </c>
      <c r="J289" s="30" t="inlineStr">
        <is>
          <t xml:space="preserve">AMG GT</t>
        </is>
      </c>
      <c r="K289" s="30" t="inlineStr">
        <is>
          <t xml:space="preserve">BR252GNKE8RL6483C</t>
        </is>
      </c>
      <c r="L289" s="32" t="inlineStr">
        <is>
          <t xml:space="preserve">02 - Sports / GT</t>
        </is>
      </c>
      <c r="M289" s="35">
        <v>410000</v>
      </c>
      <c r="N289" s="32" t="inlineStr">
        <is>
          <t xml:space="preserve">Personal</t>
        </is>
      </c>
      <c r="O289" s="30" t="inlineStr">
        <is>
          <t xml:space="preserve">Personal - regular use</t>
        </is>
      </c>
      <c r="P289" s="30" t="inlineStr">
        <is>
          <t xml:space="preserve">2,500 - 5,000</t>
        </is>
      </c>
      <c r="Q289" s="30" t="inlineStr">
        <is>
          <t xml:space="preserve">Virginia</t>
        </is>
      </c>
      <c r="R289" s="30" t="inlineStr">
        <is>
          <t xml:space="preserve">23219</t>
        </is>
      </c>
      <c r="S289" s="32" t="inlineStr">
        <is>
          <t xml:space="preserve">Tier 3 - Coastal wind (25-100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5252.13</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CANON-202604-006968</t>
        </is>
      </c>
      <c r="B290" s="46" t="inlineStr">
        <is>
          <t xml:space="preserve">Marisol Harrington</t>
        </is>
      </c>
      <c r="C290" s="47">
        <v>46120</v>
      </c>
      <c r="D290" s="48" t="inlineStr">
        <is>
          <t xml:space="preserve">Bound - within authority</t>
        </is>
      </c>
      <c r="E290" s="48" t="inlineStr">
        <is>
          <t xml:space="preserve">New business</t>
        </is>
      </c>
      <c r="F290" s="46" t="inlineStr">
        <is>
          <t xml:space="preserve">B1234EXOTIC26</t>
        </is>
      </c>
      <c r="G290" s="33">
        <f>IF($A290="","",IF($C290="","",YEAR($C290)))</f>
      </c>
      <c r="H290" s="49">
        <v>1957</v>
      </c>
      <c r="I290" s="46" t="inlineStr">
        <is>
          <t xml:space="preserve">Ferrari</t>
        </is>
      </c>
      <c r="J290" s="46" t="inlineStr">
        <is>
          <t xml:space="preserve">296 GTB</t>
        </is>
      </c>
      <c r="K290" s="46" t="inlineStr">
        <is>
          <t xml:space="preserve">2GMJWYJS6WR8US4H9</t>
        </is>
      </c>
      <c r="L290" s="48" t="inlineStr">
        <is>
          <t xml:space="preserve">03 - Supercar</t>
        </is>
      </c>
      <c r="M290" s="50">
        <v>1120000</v>
      </c>
      <c r="N290" s="48" t="inlineStr">
        <is>
          <t xml:space="preserve">Personal</t>
        </is>
      </c>
      <c r="O290" s="46" t="inlineStr">
        <is>
          <t xml:space="preserve">Personal - regular use</t>
        </is>
      </c>
      <c r="P290" s="46" t="inlineStr">
        <is>
          <t xml:space="preserve">2,500 - 5,000</t>
        </is>
      </c>
      <c r="Q290" s="46" t="inlineStr">
        <is>
          <t xml:space="preserve">Kentucky</t>
        </is>
      </c>
      <c r="R290" s="46" t="inlineStr">
        <is>
          <t xml:space="preserve">40202</t>
        </is>
      </c>
      <c r="S290" s="48" t="inlineStr">
        <is>
          <t xml:space="preserve">Severe convective - hail / tornado (moderate)</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18813.8</v>
      </c>
      <c r="AC290" s="51">
        <v>0</v>
      </c>
      <c r="AD290" s="38">
        <f>IF(ISNUMBER($AB290),$AB290*(1+N($AC290)),"")</f>
      </c>
      <c r="AE290" s="50">
        <v>350</v>
      </c>
      <c r="AF290" s="50">
        <v>250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CANON-202604-006969</t>
        </is>
      </c>
      <c r="B291" s="30" t="inlineStr">
        <is>
          <t xml:space="preserve">Wilhelmina Bellandi</t>
        </is>
      </c>
      <c r="C291" s="31">
        <v>46117</v>
      </c>
      <c r="D291" s="32" t="inlineStr">
        <is>
          <t xml:space="preserve">Bound - within authority</t>
        </is>
      </c>
      <c r="E291" s="32" t="inlineStr">
        <is>
          <t xml:space="preserve">New business</t>
        </is>
      </c>
      <c r="F291" s="30" t="inlineStr">
        <is>
          <t xml:space="preserve">B1234EXOTIC26</t>
        </is>
      </c>
      <c r="G291" s="33">
        <f>IF($A291="","",IF($C291="","",YEAR($C291)))</f>
      </c>
      <c r="H291" s="34">
        <v>1985</v>
      </c>
      <c r="I291" s="30" t="inlineStr">
        <is>
          <t xml:space="preserve">Ferrari</t>
        </is>
      </c>
      <c r="J291" s="30" t="inlineStr">
        <is>
          <t xml:space="preserve">SF90 Stradale</t>
        </is>
      </c>
      <c r="K291" s="30" t="inlineStr">
        <is>
          <t xml:space="preserve">LX5ESSSAFR90VR35K</t>
        </is>
      </c>
      <c r="L291" s="32" t="inlineStr">
        <is>
          <t xml:space="preserve">03 - Supercar</t>
        </is>
      </c>
      <c r="M291" s="35">
        <v>855000</v>
      </c>
      <c r="N291" s="32" t="inlineStr">
        <is>
          <t xml:space="preserve">Personal</t>
        </is>
      </c>
      <c r="O291" s="30" t="inlineStr">
        <is>
          <t xml:space="preserve">Personal - regular use</t>
        </is>
      </c>
      <c r="P291" s="30" t="inlineStr">
        <is>
          <t xml:space="preserve">Under 1,000</t>
        </is>
      </c>
      <c r="Q291" s="30" t="inlineStr">
        <is>
          <t xml:space="preserve">South Carolina</t>
        </is>
      </c>
      <c r="R291" s="30" t="inlineStr">
        <is>
          <t xml:space="preserve">29401</t>
        </is>
      </c>
      <c r="S291" s="32" t="inlineStr">
        <is>
          <t xml:space="preserve">Tier 2 - Coastal wind (1-25 miles)</t>
        </is>
      </c>
      <c r="T291" s="36">
        <f>IF($A291="","",IF($S291="","",IFERROR(INDEX('[1]natural catastrophe'!$D$6:$D$17,MATCH($S291,'[1]natural catastrophe'!$B$6:$B$17,0)),"?")))</f>
      </c>
      <c r="U291" s="30" t="inlineStr">
        <is>
          <t xml:space="preserve">2% of agreed value, minimum $10,000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15782.47</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CANON-202604-006970</t>
        </is>
      </c>
      <c r="B292" s="46" t="inlineStr">
        <is>
          <t xml:space="preserve">Anouk Chattopadhyay</t>
        </is>
      </c>
      <c r="C292" s="47">
        <v>46126</v>
      </c>
      <c r="D292" s="48" t="inlineStr">
        <is>
          <t xml:space="preserve">Bound - within authority</t>
        </is>
      </c>
      <c r="E292" s="48" t="inlineStr">
        <is>
          <t xml:space="preserve">New business</t>
        </is>
      </c>
      <c r="F292" s="46" t="inlineStr">
        <is>
          <t xml:space="preserve">B1234EXOTIC26</t>
        </is>
      </c>
      <c r="G292" s="33">
        <f>IF($A292="","",IF($C292="","",YEAR($C292)))</f>
      </c>
      <c r="H292" s="49">
        <v>1991</v>
      </c>
      <c r="I292" s="46" t="inlineStr">
        <is>
          <t xml:space="preserve">Aston Martin</t>
        </is>
      </c>
      <c r="J292" s="46" t="inlineStr">
        <is>
          <t xml:space="preserve">DB12</t>
        </is>
      </c>
      <c r="K292" s="46" t="inlineStr">
        <is>
          <t xml:space="preserve">606CSDYRXLG1Z2S28</t>
        </is>
      </c>
      <c r="L292" s="48" t="inlineStr">
        <is>
          <t xml:space="preserve">02 - Sports / GT</t>
        </is>
      </c>
      <c r="M292" s="50">
        <v>230000</v>
      </c>
      <c r="N292" s="48" t="inlineStr">
        <is>
          <t xml:space="preserve">Personal</t>
        </is>
      </c>
      <c r="O292" s="46" t="inlineStr">
        <is>
          <t xml:space="preserve">Personal - regular use</t>
        </is>
      </c>
      <c r="P292" s="46" t="inlineStr">
        <is>
          <t xml:space="preserve">2,500 - 5,000</t>
        </is>
      </c>
      <c r="Q292" s="46" t="inlineStr">
        <is>
          <t xml:space="preserve">Minnesota</t>
        </is>
      </c>
      <c r="R292" s="46" t="inlineStr">
        <is>
          <t xml:space="preserve">55401</t>
        </is>
      </c>
      <c r="S292" s="48" t="inlineStr">
        <is>
          <t xml:space="preserve">Severe convective - hail / tornado (moderate)</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4376.77</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CANON-202604-006971</t>
        </is>
      </c>
      <c r="B293" s="30" t="inlineStr">
        <is>
          <t xml:space="preserve">Cassius Kingsford</t>
        </is>
      </c>
      <c r="C293" s="31">
        <v>46135</v>
      </c>
      <c r="D293" s="32" t="inlineStr">
        <is>
          <t xml:space="preserve">Bound - within authority</t>
        </is>
      </c>
      <c r="E293" s="32" t="inlineStr">
        <is>
          <t xml:space="preserve">New business</t>
        </is>
      </c>
      <c r="F293" s="30" t="inlineStr">
        <is>
          <t xml:space="preserve">B1234EXOTIC26</t>
        </is>
      </c>
      <c r="G293" s="33">
        <f>IF($A293="","",IF($C293="","",YEAR($C293)))</f>
      </c>
      <c r="H293" s="34">
        <v>1985</v>
      </c>
      <c r="I293" s="30" t="inlineStr">
        <is>
          <t xml:space="preserve">Ferrari</t>
        </is>
      </c>
      <c r="J293" s="30" t="inlineStr">
        <is>
          <t xml:space="preserve">SF90 Stradale</t>
        </is>
      </c>
      <c r="K293" s="30" t="inlineStr">
        <is>
          <t xml:space="preserve">UD7BV1D17RFLZ1NSR</t>
        </is>
      </c>
      <c r="L293" s="32" t="inlineStr">
        <is>
          <t xml:space="preserve">03 - Supercar</t>
        </is>
      </c>
      <c r="M293" s="35">
        <v>600000</v>
      </c>
      <c r="N293" s="32" t="inlineStr">
        <is>
          <t xml:space="preserve">Personal</t>
        </is>
      </c>
      <c r="O293" s="30" t="inlineStr">
        <is>
          <t xml:space="preserve">Personal - regular use</t>
        </is>
      </c>
      <c r="P293" s="30" t="inlineStr">
        <is>
          <t xml:space="preserve">2,500 - 5,000</t>
        </is>
      </c>
      <c r="Q293" s="30" t="inlineStr">
        <is>
          <t xml:space="preserve">Alabama</t>
        </is>
      </c>
      <c r="R293" s="30" t="inlineStr">
        <is>
          <t xml:space="preserve">35203</t>
        </is>
      </c>
      <c r="S293" s="32" t="inlineStr">
        <is>
          <t xml:space="preserve">Tier 2 - Coastal wind (1-25 miles)</t>
        </is>
      </c>
      <c r="T293" s="36">
        <f>IF($A293="","",IF($S293="","",IFERROR(INDEX('[1]natural catastrophe'!$D$6:$D$17,MATCH($S293,'[1]natural catastrophe'!$B$6:$B$17,0)),"?")))</f>
      </c>
      <c r="U293" s="30" t="inlineStr">
        <is>
          <t xml:space="preserve">2% of agreed value, minimum $10,000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11343.38</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CANON-202604-006972</t>
        </is>
      </c>
      <c r="B294" s="46" t="inlineStr">
        <is>
          <t xml:space="preserve">Priya Fairweather</t>
        </is>
      </c>
      <c r="C294" s="47">
        <v>46125</v>
      </c>
      <c r="D294" s="48" t="inlineStr">
        <is>
          <t xml:space="preserve">Bound - within authority</t>
        </is>
      </c>
      <c r="E294" s="48" t="inlineStr">
        <is>
          <t xml:space="preserve">New business</t>
        </is>
      </c>
      <c r="F294" s="46" t="inlineStr">
        <is>
          <t xml:space="preserve">B1234EXOTIC26</t>
        </is>
      </c>
      <c r="G294" s="33">
        <f>IF($A294="","",IF($C294="","",YEAR($C294)))</f>
      </c>
      <c r="H294" s="49">
        <v>1984</v>
      </c>
      <c r="I294" s="46" t="inlineStr">
        <is>
          <t xml:space="preserve">Maserati</t>
        </is>
      </c>
      <c r="J294" s="46" t="inlineStr">
        <is>
          <t xml:space="preserve">GranTurismo</t>
        </is>
      </c>
      <c r="K294" s="46" t="inlineStr">
        <is>
          <t xml:space="preserve">YYHP5W0KECMV971TC</t>
        </is>
      </c>
      <c r="L294" s="48" t="inlineStr">
        <is>
          <t xml:space="preserve">02 - Sports / GT</t>
        </is>
      </c>
      <c r="M294" s="50">
        <v>560000</v>
      </c>
      <c r="N294" s="48" t="inlineStr">
        <is>
          <t xml:space="preserve">Personal</t>
        </is>
      </c>
      <c r="O294" s="46" t="inlineStr">
        <is>
          <t xml:space="preserve">Personal - regular use</t>
        </is>
      </c>
      <c r="P294" s="46" t="inlineStr">
        <is>
          <t xml:space="preserve">Under 1,000</t>
        </is>
      </c>
      <c r="Q294" s="46" t="inlineStr">
        <is>
          <t xml:space="preserve">Delaware</t>
        </is>
      </c>
      <c r="R294" s="46" t="inlineStr">
        <is>
          <t xml:space="preserve">19801</t>
        </is>
      </c>
      <c r="S294" s="48" t="inlineStr">
        <is>
          <t xml:space="preserve">Tier 3 - Coastal wind (25-100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7129.77</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CANON-202604-006975</t>
        </is>
      </c>
      <c r="B295" s="30" t="inlineStr">
        <is>
          <t xml:space="preserve">Fenwick Blackwood</t>
        </is>
      </c>
      <c r="C295" s="31">
        <v>46142</v>
      </c>
      <c r="D295" s="32" t="inlineStr">
        <is>
          <t xml:space="preserve">Bound - within authority</t>
        </is>
      </c>
      <c r="E295" s="32" t="inlineStr">
        <is>
          <t xml:space="preserve">New business</t>
        </is>
      </c>
      <c r="F295" s="30" t="inlineStr">
        <is>
          <t xml:space="preserve">B1234EXOTIC26</t>
        </is>
      </c>
      <c r="G295" s="33">
        <f>IF($A295="","",IF($C295="","",YEAR($C295)))</f>
      </c>
      <c r="H295" s="34">
        <v>1969</v>
      </c>
      <c r="I295" s="30" t="inlineStr">
        <is>
          <t xml:space="preserve">Ferrari</t>
        </is>
      </c>
      <c r="J295" s="30" t="inlineStr">
        <is>
          <t xml:space="preserve">275 GTB/4</t>
        </is>
      </c>
      <c r="K295" s="30" t="inlineStr">
        <is>
          <t xml:space="preserve">ZK39HPD98UY0C47MB</t>
        </is>
      </c>
      <c r="L295" s="32" t="inlineStr">
        <is>
          <t xml:space="preserve">07 - Post-War Classic (1946-1972)</t>
        </is>
      </c>
      <c r="M295" s="35">
        <v>1865000</v>
      </c>
      <c r="N295" s="32" t="inlineStr">
        <is>
          <t xml:space="preserve">Personal</t>
        </is>
      </c>
      <c r="O295" s="30" t="inlineStr">
        <is>
          <t xml:space="preserve">Personal - regular use</t>
        </is>
      </c>
      <c r="P295" s="30" t="inlineStr">
        <is>
          <t xml:space="preserve">Under 1,000</t>
        </is>
      </c>
      <c r="Q295" s="30" t="inlineStr">
        <is>
          <t xml:space="preserve">West Virginia</t>
        </is>
      </c>
      <c r="R295" s="30" t="inlineStr">
        <is>
          <t xml:space="preserve">25301</t>
        </is>
      </c>
      <c r="S295" s="32" t="inlineStr">
        <is>
          <t xml:space="preserve">Low hazard - inland benign</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14769.91</v>
      </c>
      <c r="AC295" s="37">
        <v>0</v>
      </c>
      <c r="AD295" s="38">
        <f>IF(ISNUMBER($AB295),$AB295*(1+N($AC295)),"")</f>
      </c>
      <c r="AE295" s="35">
        <v>350</v>
      </c>
      <c r="AF295" s="35">
        <v>250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CANON-202604-006976</t>
        </is>
      </c>
      <c r="B296" s="46" t="inlineStr">
        <is>
          <t xml:space="preserve">Saoirse Merriweather</t>
        </is>
      </c>
      <c r="C296" s="47">
        <v>46134</v>
      </c>
      <c r="D296" s="48" t="inlineStr">
        <is>
          <t xml:space="preserve">Bound - within authority</t>
        </is>
      </c>
      <c r="E296" s="48" t="inlineStr">
        <is>
          <t xml:space="preserve">New business</t>
        </is>
      </c>
      <c r="F296" s="46" t="inlineStr">
        <is>
          <t xml:space="preserve">B1234EXOTIC26</t>
        </is>
      </c>
      <c r="G296" s="33">
        <f>IF($A296="","",IF($C296="","",YEAR($C296)))</f>
      </c>
      <c r="H296" s="49">
        <v>1989</v>
      </c>
      <c r="I296" s="46" t="inlineStr">
        <is>
          <t xml:space="preserve">Mercedes-Benz</t>
        </is>
      </c>
      <c r="J296" s="46" t="inlineStr">
        <is>
          <t xml:space="preserve">AMG GT</t>
        </is>
      </c>
      <c r="K296" s="46" t="inlineStr">
        <is>
          <t xml:space="preserve">3EAHSVBHXVJ4W2S1V</t>
        </is>
      </c>
      <c r="L296" s="48" t="inlineStr">
        <is>
          <t xml:space="preserve">02 - Sports / GT</t>
        </is>
      </c>
      <c r="M296" s="50">
        <v>950000</v>
      </c>
      <c r="N296" s="48" t="inlineStr">
        <is>
          <t xml:space="preserve">Personal</t>
        </is>
      </c>
      <c r="O296" s="46" t="inlineStr">
        <is>
          <t xml:space="preserve">Personal - regular use</t>
        </is>
      </c>
      <c r="P296" s="46" t="inlineStr">
        <is>
          <t xml:space="preserve">2,500 - 5,000</t>
        </is>
      </c>
      <c r="Q296" s="46" t="inlineStr">
        <is>
          <t xml:space="preserve">Illinois</t>
        </is>
      </c>
      <c r="R296" s="46" t="inlineStr">
        <is>
          <t xml:space="preserve">60601</t>
        </is>
      </c>
      <c r="S296" s="48" t="inlineStr">
        <is>
          <t xml:space="preserve">Severe convective - hail / tornado (moderate)</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13159.51</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CANON-202604-006977</t>
        </is>
      </c>
      <c r="B297" s="30" t="inlineStr">
        <is>
          <t xml:space="preserve">Horace Fairweather</t>
        </is>
      </c>
      <c r="C297" s="31">
        <v>46139</v>
      </c>
      <c r="D297" s="32" t="inlineStr">
        <is>
          <t xml:space="preserve">Bound - within authority</t>
        </is>
      </c>
      <c r="E297" s="32" t="inlineStr">
        <is>
          <t xml:space="preserve">New business</t>
        </is>
      </c>
      <c r="F297" s="30" t="inlineStr">
        <is>
          <t xml:space="preserve">B1234EXOTIC26</t>
        </is>
      </c>
      <c r="G297" s="33">
        <f>IF($A297="","",IF($C297="","",YEAR($C297)))</f>
      </c>
      <c r="H297" s="34">
        <v>1969</v>
      </c>
      <c r="I297" s="30" t="inlineStr">
        <is>
          <t xml:space="preserve">BMW</t>
        </is>
      </c>
      <c r="J297" s="30" t="inlineStr">
        <is>
          <t xml:space="preserve">M8 Competition</t>
        </is>
      </c>
      <c r="K297" s="30" t="inlineStr">
        <is>
          <t xml:space="preserve">PLEDB4CKSC8UNT81M</t>
        </is>
      </c>
      <c r="L297" s="32" t="inlineStr">
        <is>
          <t xml:space="preserve">02 - Sports / GT</t>
        </is>
      </c>
      <c r="M297" s="35">
        <v>505000</v>
      </c>
      <c r="N297" s="32" t="inlineStr">
        <is>
          <t xml:space="preserve">Personal</t>
        </is>
      </c>
      <c r="O297" s="30" t="inlineStr">
        <is>
          <t xml:space="preserve">Personal - regular use</t>
        </is>
      </c>
      <c r="P297" s="30" t="inlineStr">
        <is>
          <t xml:space="preserve">Under 1,000</t>
        </is>
      </c>
      <c r="Q297" s="30" t="inlineStr">
        <is>
          <t xml:space="preserve">Pennsylvania</t>
        </is>
      </c>
      <c r="R297" s="30" t="inlineStr">
        <is>
          <t xml:space="preserve">19103</t>
        </is>
      </c>
      <c r="S297" s="32" t="inlineStr">
        <is>
          <t xml:space="preserve">Low hazard - inland benign</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5143.62</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CANON-202604-006980</t>
        </is>
      </c>
      <c r="B298" s="46" t="inlineStr">
        <is>
          <t xml:space="preserve">Saoirse Castellanos</t>
        </is>
      </c>
      <c r="C298" s="47">
        <v>46117</v>
      </c>
      <c r="D298" s="48" t="inlineStr">
        <is>
          <t xml:space="preserve">Bound - within authority</t>
        </is>
      </c>
      <c r="E298" s="48" t="inlineStr">
        <is>
          <t xml:space="preserve">New business</t>
        </is>
      </c>
      <c r="F298" s="46" t="inlineStr">
        <is>
          <t xml:space="preserve">B1234EXOTIC26</t>
        </is>
      </c>
      <c r="G298" s="33">
        <f>IF($A298="","",IF($C298="","",YEAR($C298)))</f>
      </c>
      <c r="H298" s="49">
        <v>1957</v>
      </c>
      <c r="I298" s="46" t="inlineStr">
        <is>
          <t xml:space="preserve">Ferrari</t>
        </is>
      </c>
      <c r="J298" s="46" t="inlineStr">
        <is>
          <t xml:space="preserve">296 GTB</t>
        </is>
      </c>
      <c r="K298" s="46" t="inlineStr">
        <is>
          <t xml:space="preserve">KD1C9CZ04TN74P20A</t>
        </is>
      </c>
      <c r="L298" s="48" t="inlineStr">
        <is>
          <t xml:space="preserve">03 - Supercar</t>
        </is>
      </c>
      <c r="M298" s="50">
        <v>625000</v>
      </c>
      <c r="N298" s="48" t="inlineStr">
        <is>
          <t xml:space="preserve">Personal</t>
        </is>
      </c>
      <c r="O298" s="46" t="inlineStr">
        <is>
          <t xml:space="preserve">Personal - regular use</t>
        </is>
      </c>
      <c r="P298" s="46" t="inlineStr">
        <is>
          <t xml:space="preserve">2,500 - 5,000</t>
        </is>
      </c>
      <c r="Q298" s="46" t="inlineStr">
        <is>
          <t xml:space="preserve">Ohio</t>
        </is>
      </c>
      <c r="R298" s="46" t="inlineStr">
        <is>
          <t xml:space="preserve">43215</t>
        </is>
      </c>
      <c r="S298" s="48" t="inlineStr">
        <is>
          <t xml:space="preserve">Severe convective - hail / tornado (moderate)</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12932.49</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CANON-202604-006981</t>
        </is>
      </c>
      <c r="B299" s="30" t="inlineStr">
        <is>
          <t xml:space="preserve">Noor Harrington</t>
        </is>
      </c>
      <c r="C299" s="31">
        <v>46128</v>
      </c>
      <c r="D299" s="32" t="inlineStr">
        <is>
          <t xml:space="preserve">Bound - within authority</t>
        </is>
      </c>
      <c r="E299" s="32" t="inlineStr">
        <is>
          <t xml:space="preserve">New business</t>
        </is>
      </c>
      <c r="F299" s="30" t="inlineStr">
        <is>
          <t xml:space="preserve">B1234EXOTIC26</t>
        </is>
      </c>
      <c r="G299" s="33">
        <f>IF($A299="","",IF($C299="","",YEAR($C299)))</f>
      </c>
      <c r="H299" s="34">
        <v>1981</v>
      </c>
      <c r="I299" s="30" t="inlineStr">
        <is>
          <t xml:space="preserve">Jaguar</t>
        </is>
      </c>
      <c r="J299" s="30" t="inlineStr">
        <is>
          <t xml:space="preserve">E-Type Series 1</t>
        </is>
      </c>
      <c r="K299" s="30" t="inlineStr">
        <is>
          <t xml:space="preserve">00JN327BEW9VUV1JA</t>
        </is>
      </c>
      <c r="L299" s="32" t="inlineStr">
        <is>
          <t xml:space="preserve">08 - Modern Classic (1973-1999)</t>
        </is>
      </c>
      <c r="M299" s="35">
        <v>1165000</v>
      </c>
      <c r="N299" s="32" t="inlineStr">
        <is>
          <t xml:space="preserve">Personal</t>
        </is>
      </c>
      <c r="O299" s="30" t="inlineStr">
        <is>
          <t xml:space="preserve">Personal - regular use</t>
        </is>
      </c>
      <c r="P299" s="30" t="inlineStr">
        <is>
          <t xml:space="preserve">1,000 - 2,500</t>
        </is>
      </c>
      <c r="Q299" s="30" t="inlineStr">
        <is>
          <t xml:space="preserve">Louisiana</t>
        </is>
      </c>
      <c r="R299" s="30" t="inlineStr">
        <is>
          <t xml:space="preserve">70112</t>
        </is>
      </c>
      <c r="S299" s="32" t="inlineStr">
        <is>
          <t xml:space="preserve">Tier 2 - Coastal wind (1-25 miles)</t>
        </is>
      </c>
      <c r="T299" s="36">
        <f>IF($A299="","",IF($S299="","",IFERROR(INDEX('[1]natural catastrophe'!$D$6:$D$17,MATCH($S299,'[1]natural catastrophe'!$B$6:$B$17,0)),"?")))</f>
      </c>
      <c r="U299" s="30" t="inlineStr">
        <is>
          <t xml:space="preserve">2% of agreed value, minimum $10,000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8393.8</v>
      </c>
      <c r="AC299" s="37">
        <v>0</v>
      </c>
      <c r="AD299" s="38">
        <f>IF(ISNUMBER($AB299),$AB299*(1+N($AC299)),"")</f>
      </c>
      <c r="AE299" s="35">
        <v>350</v>
      </c>
      <c r="AF299" s="35">
        <v>250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CANON-202604-006983</t>
        </is>
      </c>
      <c r="B300" s="46" t="inlineStr">
        <is>
          <t xml:space="preserve">Noor Rourke</t>
        </is>
      </c>
      <c r="C300" s="47">
        <v>46137</v>
      </c>
      <c r="D300" s="48" t="inlineStr">
        <is>
          <t xml:space="preserve">Bound - within authority</t>
        </is>
      </c>
      <c r="E300" s="48" t="inlineStr">
        <is>
          <t xml:space="preserve">New business</t>
        </is>
      </c>
      <c r="F300" s="46" t="inlineStr">
        <is>
          <t xml:space="preserve">B1234EXOTIC26</t>
        </is>
      </c>
      <c r="G300" s="33">
        <f>IF($A300="","",IF($C300="","",YEAR($C300)))</f>
      </c>
      <c r="H300" s="49">
        <v>1980</v>
      </c>
      <c r="I300" s="46" t="inlineStr">
        <is>
          <t xml:space="preserve">Bentley</t>
        </is>
      </c>
      <c r="J300" s="46" t="inlineStr">
        <is>
          <t xml:space="preserve">Continental GT</t>
        </is>
      </c>
      <c r="K300" s="46" t="inlineStr">
        <is>
          <t xml:space="preserve">CG8G818G5995C4TVC</t>
        </is>
      </c>
      <c r="L300" s="48" t="inlineStr">
        <is>
          <t xml:space="preserve">02 - Sports / GT</t>
        </is>
      </c>
      <c r="M300" s="50">
        <v>650000</v>
      </c>
      <c r="N300" s="48" t="inlineStr">
        <is>
          <t xml:space="preserve">Personal</t>
        </is>
      </c>
      <c r="O300" s="46" t="inlineStr">
        <is>
          <t xml:space="preserve">Personal - regular use</t>
        </is>
      </c>
      <c r="P300" s="46" t="inlineStr">
        <is>
          <t xml:space="preserve">Under 1,000</t>
        </is>
      </c>
      <c r="Q300" s="46" t="inlineStr">
        <is>
          <t xml:space="preserve">Illinois</t>
        </is>
      </c>
      <c r="R300" s="46" t="inlineStr">
        <is>
          <t xml:space="preserve">60601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9003.87</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CANON-202604-006985</t>
        </is>
      </c>
      <c r="B301" s="30" t="inlineStr">
        <is>
          <t xml:space="preserve">Leopold Nakashima</t>
        </is>
      </c>
      <c r="C301" s="31">
        <v>46132</v>
      </c>
      <c r="D301" s="32" t="inlineStr">
        <is>
          <t xml:space="preserve">Bound - within authority</t>
        </is>
      </c>
      <c r="E301" s="32" t="inlineStr">
        <is>
          <t xml:space="preserve">New business</t>
        </is>
      </c>
      <c r="F301" s="30" t="inlineStr">
        <is>
          <t xml:space="preserve">B1234EXOTIC26</t>
        </is>
      </c>
      <c r="G301" s="33">
        <f>IF($A301="","",IF($C301="","",YEAR($C301)))</f>
      </c>
      <c r="H301" s="34">
        <v>2015</v>
      </c>
      <c r="I301" s="30" t="inlineStr">
        <is>
          <t xml:space="preserve">Lamborghini</t>
        </is>
      </c>
      <c r="J301" s="30" t="inlineStr">
        <is>
          <t xml:space="preserve">Huracan EVO</t>
        </is>
      </c>
      <c r="K301" s="30" t="inlineStr">
        <is>
          <t xml:space="preserve">FXER9Y1DZD0PHRU2X</t>
        </is>
      </c>
      <c r="L301" s="32" t="inlineStr">
        <is>
          <t xml:space="preserve">03 - Supercar</t>
        </is>
      </c>
      <c r="M301" s="35">
        <v>505000</v>
      </c>
      <c r="N301" s="32" t="inlineStr">
        <is>
          <t xml:space="preserve">Personal</t>
        </is>
      </c>
      <c r="O301" s="30" t="inlineStr">
        <is>
          <t xml:space="preserve">Personal - regular use</t>
        </is>
      </c>
      <c r="P301" s="30" t="inlineStr">
        <is>
          <t xml:space="preserve">Under 1,000</t>
        </is>
      </c>
      <c r="Q301" s="30" t="inlineStr">
        <is>
          <t xml:space="preserve">Ohio</t>
        </is>
      </c>
      <c r="R301" s="30" t="inlineStr">
        <is>
          <t xml:space="preserve">43215</t>
        </is>
      </c>
      <c r="S301" s="32" t="inlineStr">
        <is>
          <t xml:space="preserve">Severe convective - hail / tornado (moderate)</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10449.45</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CANON-202604-006987</t>
        </is>
      </c>
      <c r="B302" s="46" t="inlineStr">
        <is>
          <t xml:space="preserve">Aurelio Harrington</t>
        </is>
      </c>
      <c r="C302" s="47">
        <v>46127</v>
      </c>
      <c r="D302" s="48" t="inlineStr">
        <is>
          <t xml:space="preserve">Bound - within authority</t>
        </is>
      </c>
      <c r="E302" s="48" t="inlineStr">
        <is>
          <t xml:space="preserve">New business</t>
        </is>
      </c>
      <c r="F302" s="46" t="inlineStr">
        <is>
          <t xml:space="preserve">B1234EXOTIC26</t>
        </is>
      </c>
      <c r="G302" s="33">
        <f>IF($A302="","",IF($C302="","",YEAR($C302)))</f>
      </c>
      <c r="H302" s="49">
        <v>1972</v>
      </c>
      <c r="I302" s="46" t="inlineStr">
        <is>
          <t xml:space="preserve">Aston Martin</t>
        </is>
      </c>
      <c r="J302" s="46" t="inlineStr">
        <is>
          <t xml:space="preserve">DB12</t>
        </is>
      </c>
      <c r="K302" s="46" t="inlineStr">
        <is>
          <t xml:space="preserve">4BDTBTHLG2GAALWV2</t>
        </is>
      </c>
      <c r="L302" s="48" t="inlineStr">
        <is>
          <t xml:space="preserve">02 - Sports / GT</t>
        </is>
      </c>
      <c r="M302" s="50">
        <v>545000</v>
      </c>
      <c r="N302" s="48" t="inlineStr">
        <is>
          <t xml:space="preserve">Personal</t>
        </is>
      </c>
      <c r="O302" s="46" t="inlineStr">
        <is>
          <t xml:space="preserve">Personal - regular use</t>
        </is>
      </c>
      <c r="P302" s="46" t="inlineStr">
        <is>
          <t xml:space="preserve">1,000 - 2,500</t>
        </is>
      </c>
      <c r="Q302" s="46" t="inlineStr">
        <is>
          <t xml:space="preserve">New Hampshire</t>
        </is>
      </c>
      <c r="R302" s="46" t="inlineStr">
        <is>
          <t xml:space="preserve">03301</t>
        </is>
      </c>
      <c r="S302" s="48" t="inlineStr">
        <is>
          <t xml:space="preserve">Tier 3 - Coastal wind (25-100 miles)</t>
        </is>
      </c>
      <c r="T302" s="36">
        <f>IF($A302="","",IF($S302="","",IFERROR(INDEX('[1]natural catastrophe'!$D$6:$D$17,MATCH($S302,'[1]natural catastrophe'!$B$6:$B$17,0)),"?")))</f>
      </c>
      <c r="U302" s="46" t="inlineStr">
        <is>
          <t xml:space="preserve">2% of agreed value, minimum $10,000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5773.07</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CANON-202604-006989</t>
        </is>
      </c>
      <c r="B303" s="30" t="inlineStr">
        <is>
          <t xml:space="preserve">Lorenzo Larsson</t>
        </is>
      </c>
      <c r="C303" s="31">
        <v>46138</v>
      </c>
      <c r="D303" s="32" t="inlineStr">
        <is>
          <t xml:space="preserve">Bound - within authority</t>
        </is>
      </c>
      <c r="E303" s="32" t="inlineStr">
        <is>
          <t xml:space="preserve">New business</t>
        </is>
      </c>
      <c r="F303" s="30" t="inlineStr">
        <is>
          <t xml:space="preserve">B1234EXOTIC26</t>
        </is>
      </c>
      <c r="G303" s="33">
        <f>IF($A303="","",IF($C303="","",YEAR($C303)))</f>
      </c>
      <c r="H303" s="34">
        <v>2009</v>
      </c>
      <c r="I303" s="30" t="inlineStr">
        <is>
          <t xml:space="preserve">Aston Martin</t>
        </is>
      </c>
      <c r="J303" s="30" t="inlineStr">
        <is>
          <t xml:space="preserve">DB12</t>
        </is>
      </c>
      <c r="K303" s="30" t="inlineStr">
        <is>
          <t xml:space="preserve">HTKYN7V7NLNUMJA24</t>
        </is>
      </c>
      <c r="L303" s="32" t="inlineStr">
        <is>
          <t xml:space="preserve">02 - Sports / GT</t>
        </is>
      </c>
      <c r="M303" s="35">
        <v>740000</v>
      </c>
      <c r="N303" s="32" t="inlineStr">
        <is>
          <t xml:space="preserve">Personal</t>
        </is>
      </c>
      <c r="O303" s="30" t="inlineStr">
        <is>
          <t xml:space="preserve">Personal - regular use</t>
        </is>
      </c>
      <c r="P303" s="30" t="inlineStr">
        <is>
          <t xml:space="preserve">Under 1,000</t>
        </is>
      </c>
      <c r="Q303" s="30" t="inlineStr">
        <is>
          <t xml:space="preserve">Florida</t>
        </is>
      </c>
      <c r="R303" s="30" t="inlineStr">
        <is>
          <t xml:space="preserve">33139</t>
        </is>
      </c>
      <c r="S303" s="32" t="inlineStr">
        <is>
          <t xml:space="preserve">Tier 2 - Coastal wind (1-25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10702.79</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CANON-202604-006990</t>
        </is>
      </c>
      <c r="B304" s="46" t="inlineStr">
        <is>
          <t xml:space="preserve">Priya Delacroix</t>
        </is>
      </c>
      <c r="C304" s="47">
        <v>46127</v>
      </c>
      <c r="D304" s="48" t="inlineStr">
        <is>
          <t xml:space="preserve">Bound - within authority</t>
        </is>
      </c>
      <c r="E304" s="48" t="inlineStr">
        <is>
          <t xml:space="preserve">New business</t>
        </is>
      </c>
      <c r="F304" s="46" t="inlineStr">
        <is>
          <t xml:space="preserve">B1234EXOTIC26</t>
        </is>
      </c>
      <c r="G304" s="33">
        <f>IF($A304="","",IF($C304="","",YEAR($C304)))</f>
      </c>
      <c r="H304" s="49">
        <v>1969</v>
      </c>
      <c r="I304" s="46" t="inlineStr">
        <is>
          <t xml:space="preserve">Lamborghini</t>
        </is>
      </c>
      <c r="J304" s="46" t="inlineStr">
        <is>
          <t xml:space="preserve">Huracan EVO</t>
        </is>
      </c>
      <c r="K304" s="46" t="inlineStr">
        <is>
          <t xml:space="preserve">2ZPXW8DF0010Y4SEP</t>
        </is>
      </c>
      <c r="L304" s="48" t="inlineStr">
        <is>
          <t xml:space="preserve">03 - Supercar</t>
        </is>
      </c>
      <c r="M304" s="50">
        <v>1950000</v>
      </c>
      <c r="N304" s="48" t="inlineStr">
        <is>
          <t xml:space="preserve">Personal</t>
        </is>
      </c>
      <c r="O304" s="46" t="inlineStr">
        <is>
          <t xml:space="preserve">Personal - regular use</t>
        </is>
      </c>
      <c r="P304" s="46" t="inlineStr">
        <is>
          <t xml:space="preserve">2,500 - 5,000</t>
        </is>
      </c>
      <c r="Q304" s="46" t="inlineStr">
        <is>
          <t xml:space="preserve">Texas</t>
        </is>
      </c>
      <c r="R304" s="46" t="inlineStr">
        <is>
          <t xml:space="preserve">75201</t>
        </is>
      </c>
      <c r="S304" s="48" t="inlineStr">
        <is>
          <t xml:space="preserve">Tier 2 - Coastal wind (1-25 miles)</t>
        </is>
      </c>
      <c r="T304" s="36">
        <f>IF($A304="","",IF($S304="","",IFERROR(INDEX('[1]natural catastrophe'!$D$6:$D$17,MATCH($S304,'[1]natural catastrophe'!$B$6:$B$17,0)),"?")))</f>
      </c>
      <c r="U304" s="46" t="inlineStr">
        <is>
          <t xml:space="preserve">2% of agreed value, minimum $10,000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28111.64</v>
      </c>
      <c r="AC304" s="51">
        <v>0</v>
      </c>
      <c r="AD304" s="38">
        <f>IF(ISNUMBER($AB304),$AB304*(1+N($AC304)),"")</f>
      </c>
      <c r="AE304" s="50">
        <v>350</v>
      </c>
      <c r="AF304" s="50">
        <v>250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CANON-202604-006991</t>
        </is>
      </c>
      <c r="B305" s="30" t="inlineStr">
        <is>
          <t xml:space="preserve">Fenwick Ashcombe</t>
        </is>
      </c>
      <c r="C305" s="31">
        <v>46125</v>
      </c>
      <c r="D305" s="32" t="inlineStr">
        <is>
          <t xml:space="preserve">Bound - within authority</t>
        </is>
      </c>
      <c r="E305" s="32" t="inlineStr">
        <is>
          <t xml:space="preserve">New business</t>
        </is>
      </c>
      <c r="F305" s="30" t="inlineStr">
        <is>
          <t xml:space="preserve">B1234EXOTIC26</t>
        </is>
      </c>
      <c r="G305" s="33">
        <f>IF($A305="","",IF($C305="","",YEAR($C305)))</f>
      </c>
      <c r="H305" s="34">
        <v>1961</v>
      </c>
      <c r="I305" s="30" t="inlineStr">
        <is>
          <t xml:space="preserve">Mercedes-Benz</t>
        </is>
      </c>
      <c r="J305" s="30" t="inlineStr">
        <is>
          <t xml:space="preserve">AMG GT</t>
        </is>
      </c>
      <c r="K305" s="30" t="inlineStr">
        <is>
          <t xml:space="preserve">R3U92ZTK7E4HBV0X7</t>
        </is>
      </c>
      <c r="L305" s="32" t="inlineStr">
        <is>
          <t xml:space="preserve">02 - Sports / GT</t>
        </is>
      </c>
      <c r="M305" s="35">
        <v>170000</v>
      </c>
      <c r="N305" s="32" t="inlineStr">
        <is>
          <t xml:space="preserve">Personal</t>
        </is>
      </c>
      <c r="O305" s="30" t="inlineStr">
        <is>
          <t xml:space="preserve">Personal - regular use</t>
        </is>
      </c>
      <c r="P305" s="30" t="inlineStr">
        <is>
          <t xml:space="preserve">2,500 - 5,000</t>
        </is>
      </c>
      <c r="Q305" s="30" t="inlineStr">
        <is>
          <t xml:space="preserve">Missouri</t>
        </is>
      </c>
      <c r="R305" s="30" t="inlineStr">
        <is>
          <t xml:space="preserve">63101</t>
        </is>
      </c>
      <c r="S305" s="32" t="inlineStr">
        <is>
          <t xml:space="preserve">Severe convective - hail / tornado (moderate)</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2597.8</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CANON-202604-006992</t>
        </is>
      </c>
      <c r="B306" s="46" t="inlineStr">
        <is>
          <t xml:space="preserve">Delphine Rourke</t>
        </is>
      </c>
      <c r="C306" s="47">
        <v>46139</v>
      </c>
      <c r="D306" s="48" t="inlineStr">
        <is>
          <t xml:space="preserve">Bound - within authority</t>
        </is>
      </c>
      <c r="E306" s="48" t="inlineStr">
        <is>
          <t xml:space="preserve">New business</t>
        </is>
      </c>
      <c r="F306" s="46" t="inlineStr">
        <is>
          <t xml:space="preserve">B1234EXOTIC26</t>
        </is>
      </c>
      <c r="G306" s="33">
        <f>IF($A306="","",IF($C306="","",YEAR($C306)))</f>
      </c>
      <c r="H306" s="49">
        <v>1990</v>
      </c>
      <c r="I306" s="46" t="inlineStr">
        <is>
          <t xml:space="preserve">Ferrari</t>
        </is>
      </c>
      <c r="J306" s="46" t="inlineStr">
        <is>
          <t xml:space="preserve">SF90 Stradale</t>
        </is>
      </c>
      <c r="K306" s="46" t="inlineStr">
        <is>
          <t xml:space="preserve">JAKCRV90UM69TALAJ</t>
        </is>
      </c>
      <c r="L306" s="48" t="inlineStr">
        <is>
          <t xml:space="preserve">03 - Supercar</t>
        </is>
      </c>
      <c r="M306" s="50">
        <v>610000</v>
      </c>
      <c r="N306" s="48" t="inlineStr">
        <is>
          <t xml:space="preserve">Personal</t>
        </is>
      </c>
      <c r="O306" s="46" t="inlineStr">
        <is>
          <t xml:space="preserve">Personal - regular use</t>
        </is>
      </c>
      <c r="P306" s="46" t="inlineStr">
        <is>
          <t xml:space="preserve">2,500 - 5,000</t>
        </is>
      </c>
      <c r="Q306" s="46" t="inlineStr">
        <is>
          <t xml:space="preserve">Missouri</t>
        </is>
      </c>
      <c r="R306" s="46" t="inlineStr">
        <is>
          <t xml:space="preserve">63101</t>
        </is>
      </c>
      <c r="S306" s="48" t="inlineStr">
        <is>
          <t xml:space="preserve">Severe convective - hail / tornado (moderate)</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9625.5</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CANON-202604-006994</t>
        </is>
      </c>
      <c r="B307" s="30" t="inlineStr">
        <is>
          <t xml:space="preserve">Mireille Vasquez</t>
        </is>
      </c>
      <c r="C307" s="31">
        <v>46127</v>
      </c>
      <c r="D307" s="32" t="inlineStr">
        <is>
          <t xml:space="preserve">Bound - within authority</t>
        </is>
      </c>
      <c r="E307" s="32" t="inlineStr">
        <is>
          <t xml:space="preserve">New business</t>
        </is>
      </c>
      <c r="F307" s="30" t="inlineStr">
        <is>
          <t xml:space="preserve">B1234EXOTIC26</t>
        </is>
      </c>
      <c r="G307" s="33">
        <f>IF($A307="","",IF($C307="","",YEAR($C307)))</f>
      </c>
      <c r="H307" s="34">
        <v>1997</v>
      </c>
      <c r="I307" s="30" t="inlineStr">
        <is>
          <t xml:space="preserve">Aston Martin</t>
        </is>
      </c>
      <c r="J307" s="30" t="inlineStr">
        <is>
          <t xml:space="preserve">DB12</t>
        </is>
      </c>
      <c r="K307" s="30" t="inlineStr">
        <is>
          <t xml:space="preserve">JHTU50M358ZW403WW</t>
        </is>
      </c>
      <c r="L307" s="32" t="inlineStr">
        <is>
          <t xml:space="preserve">02 - Sports / GT</t>
        </is>
      </c>
      <c r="M307" s="35">
        <v>665000</v>
      </c>
      <c r="N307" s="32" t="inlineStr">
        <is>
          <t xml:space="preserve">Personal</t>
        </is>
      </c>
      <c r="O307" s="30" t="inlineStr">
        <is>
          <t xml:space="preserve">Personal - regular use</t>
        </is>
      </c>
      <c r="P307" s="30" t="inlineStr">
        <is>
          <t xml:space="preserve">1,000 - 2,500</t>
        </is>
      </c>
      <c r="Q307" s="30" t="inlineStr">
        <is>
          <t xml:space="preserve">Washington</t>
        </is>
      </c>
      <c r="R307" s="30" t="inlineStr">
        <is>
          <t xml:space="preserve">98101</t>
        </is>
      </c>
      <c r="S307" s="32" t="inlineStr">
        <is>
          <t xml:space="preserve">Earthquake - high (CA, Cascadia, New Madrid)</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6502.34</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CANON-202604-006995</t>
        </is>
      </c>
      <c r="B308" s="46" t="inlineStr">
        <is>
          <t xml:space="preserve">Leopold Bellandi</t>
        </is>
      </c>
      <c r="C308" s="47">
        <v>46132</v>
      </c>
      <c r="D308" s="48" t="inlineStr">
        <is>
          <t xml:space="preserve">Bound - within authority</t>
        </is>
      </c>
      <c r="E308" s="48" t="inlineStr">
        <is>
          <t xml:space="preserve">New business</t>
        </is>
      </c>
      <c r="F308" s="46" t="inlineStr">
        <is>
          <t xml:space="preserve">B1234EXOTIC26</t>
        </is>
      </c>
      <c r="G308" s="33">
        <f>IF($A308="","",IF($C308="","",YEAR($C308)))</f>
      </c>
      <c r="H308" s="49">
        <v>1964</v>
      </c>
      <c r="I308" s="46" t="inlineStr">
        <is>
          <t xml:space="preserve">Mercedes-Benz</t>
        </is>
      </c>
      <c r="J308" s="46" t="inlineStr">
        <is>
          <t xml:space="preserve">AMG GT</t>
        </is>
      </c>
      <c r="K308" s="46" t="inlineStr">
        <is>
          <t xml:space="preserve">GT878GU056VJNBCBM</t>
        </is>
      </c>
      <c r="L308" s="48" t="inlineStr">
        <is>
          <t xml:space="preserve">02 - Sports / GT</t>
        </is>
      </c>
      <c r="M308" s="50">
        <v>540000</v>
      </c>
      <c r="N308" s="48" t="inlineStr">
        <is>
          <t xml:space="preserve">Personal</t>
        </is>
      </c>
      <c r="O308" s="46" t="inlineStr">
        <is>
          <t xml:space="preserve">Personal - regular use</t>
        </is>
      </c>
      <c r="P308" s="46" t="inlineStr">
        <is>
          <t xml:space="preserve">1,000 - 2,500</t>
        </is>
      </c>
      <c r="Q308" s="46" t="inlineStr">
        <is>
          <t xml:space="preserve">Florida</t>
        </is>
      </c>
      <c r="R308" s="46" t="inlineStr">
        <is>
          <t xml:space="preserve">33139</t>
        </is>
      </c>
      <c r="S308" s="48" t="inlineStr">
        <is>
          <t xml:space="preserve">Tier 2 - Coastal wind (1-25 miles)</t>
        </is>
      </c>
      <c r="T308" s="36">
        <f>IF($A308="","",IF($S308="","",IFERROR(INDEX('[1]natural catastrophe'!$D$6:$D$17,MATCH($S308,'[1]natural catastrophe'!$B$6:$B$17,0)),"?")))</f>
      </c>
      <c r="U308" s="46" t="inlineStr">
        <is>
          <t xml:space="preserve">2% of agreed value, minimum $10,000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7810.15</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CANON-202604-006996</t>
        </is>
      </c>
      <c r="B309" s="30" t="inlineStr">
        <is>
          <t xml:space="preserve">Everett Kingsford</t>
        </is>
      </c>
      <c r="C309" s="31">
        <v>46117</v>
      </c>
      <c r="D309" s="32" t="inlineStr">
        <is>
          <t xml:space="preserve">Bound - within authority</t>
        </is>
      </c>
      <c r="E309" s="32" t="inlineStr">
        <is>
          <t xml:space="preserve">New business</t>
        </is>
      </c>
      <c r="F309" s="30" t="inlineStr">
        <is>
          <t xml:space="preserve">B1234EXOTIC26</t>
        </is>
      </c>
      <c r="G309" s="33">
        <f>IF($A309="","",IF($C309="","",YEAR($C309)))</f>
      </c>
      <c r="H309" s="34">
        <v>2010</v>
      </c>
      <c r="I309" s="30" t="inlineStr">
        <is>
          <t xml:space="preserve">Ferrari</t>
        </is>
      </c>
      <c r="J309" s="30" t="inlineStr">
        <is>
          <t xml:space="preserve">275 GTB/4</t>
        </is>
      </c>
      <c r="K309" s="30" t="inlineStr">
        <is>
          <t xml:space="preserve">J21ZUL2UETTLYG8NJ</t>
        </is>
      </c>
      <c r="L309" s="32" t="inlineStr">
        <is>
          <t xml:space="preserve">09 - Youngtimer / Collectible (2000-2010)</t>
        </is>
      </c>
      <c r="M309" s="35">
        <v>270000</v>
      </c>
      <c r="N309" s="32" t="inlineStr">
        <is>
          <t xml:space="preserve">Personal</t>
        </is>
      </c>
      <c r="O309" s="30" t="inlineStr">
        <is>
          <t xml:space="preserve">Personal - regular use</t>
        </is>
      </c>
      <c r="P309" s="30" t="inlineStr">
        <is>
          <t xml:space="preserve">Under 1,000</t>
        </is>
      </c>
      <c r="Q309" s="30" t="inlineStr">
        <is>
          <t xml:space="preserve">Washington</t>
        </is>
      </c>
      <c r="R309" s="30" t="inlineStr">
        <is>
          <t xml:space="preserve">98101</t>
        </is>
      </c>
      <c r="S309" s="32" t="inlineStr">
        <is>
          <t xml:space="preserve">Earthquake - high (CA, Cascadia, New Madrid)</t>
        </is>
      </c>
      <c r="T309" s="36">
        <f>IF($A309="","",IF($S309="","",IFERROR(INDEX('[1]natural catastrophe'!$D$6:$D$17,MATCH($S309,'[1]natural catastrophe'!$B$6:$B$17,0)),"?")))</f>
      </c>
      <c r="U309" s="30" t="inlineStr">
        <is>
          <t xml:space="preserve">$5,000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1949.57</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CANON-202604-006998</t>
        </is>
      </c>
      <c r="B310" s="46" t="inlineStr">
        <is>
          <t xml:space="preserve">Everett Larsson</t>
        </is>
      </c>
      <c r="C310" s="47">
        <v>46129</v>
      </c>
      <c r="D310" s="48" t="inlineStr">
        <is>
          <t xml:space="preserve">Bound - within authority</t>
        </is>
      </c>
      <c r="E310" s="48" t="inlineStr">
        <is>
          <t xml:space="preserve">New business</t>
        </is>
      </c>
      <c r="F310" s="46" t="inlineStr">
        <is>
          <t xml:space="preserve">B1234EXOTIC26</t>
        </is>
      </c>
      <c r="G310" s="33">
        <f>IF($A310="","",IF($C310="","",YEAR($C310)))</f>
      </c>
      <c r="H310" s="49">
        <v>1972</v>
      </c>
      <c r="I310" s="46" t="inlineStr">
        <is>
          <t xml:space="preserve">BMW</t>
        </is>
      </c>
      <c r="J310" s="46" t="inlineStr">
        <is>
          <t xml:space="preserve">M8 Competition</t>
        </is>
      </c>
      <c r="K310" s="46" t="inlineStr">
        <is>
          <t xml:space="preserve">U8TG2TSJKVLKSP15D</t>
        </is>
      </c>
      <c r="L310" s="48" t="inlineStr">
        <is>
          <t xml:space="preserve">02 - Sports / GT</t>
        </is>
      </c>
      <c r="M310" s="50">
        <v>165000</v>
      </c>
      <c r="N310" s="48" t="inlineStr">
        <is>
          <t xml:space="preserve">Personal</t>
        </is>
      </c>
      <c r="O310" s="46" t="inlineStr">
        <is>
          <t xml:space="preserve">Personal - regular use</t>
        </is>
      </c>
      <c r="P310" s="46" t="inlineStr">
        <is>
          <t xml:space="preserve">1,000 - 2,500</t>
        </is>
      </c>
      <c r="Q310" s="46" t="inlineStr">
        <is>
          <t xml:space="preserve">New Mexico</t>
        </is>
      </c>
      <c r="R310" s="46" t="inlineStr">
        <is>
          <t xml:space="preserve">87501</t>
        </is>
      </c>
      <c r="S310" s="48" t="inlineStr">
        <is>
          <t xml:space="preserve">Wildfire - WUI high hazard</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3044.7</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CANON-202604-007002</t>
        </is>
      </c>
      <c r="B311" s="30" t="inlineStr">
        <is>
          <t xml:space="preserve">Sunniva Merriweather</t>
        </is>
      </c>
      <c r="C311" s="31">
        <v>46131</v>
      </c>
      <c r="D311" s="32" t="inlineStr">
        <is>
          <t xml:space="preserve">Bound - within authority</t>
        </is>
      </c>
      <c r="E311" s="32" t="inlineStr">
        <is>
          <t xml:space="preserve">New business</t>
        </is>
      </c>
      <c r="F311" s="30" t="inlineStr">
        <is>
          <t xml:space="preserve">B1234EXOTIC26</t>
        </is>
      </c>
      <c r="G311" s="33">
        <f>IF($A311="","",IF($C311="","",YEAR($C311)))</f>
      </c>
      <c r="H311" s="34">
        <v>1967</v>
      </c>
      <c r="I311" s="30" t="inlineStr">
        <is>
          <t xml:space="preserve">BMW</t>
        </is>
      </c>
      <c r="J311" s="30" t="inlineStr">
        <is>
          <t xml:space="preserve">M8 Competition</t>
        </is>
      </c>
      <c r="K311" s="30" t="inlineStr">
        <is>
          <t xml:space="preserve">FFC0CZ4EVB9462YDH</t>
        </is>
      </c>
      <c r="L311" s="32" t="inlineStr">
        <is>
          <t xml:space="preserve">02 - Sports / GT</t>
        </is>
      </c>
      <c r="M311" s="35">
        <v>305000</v>
      </c>
      <c r="N311" s="32" t="inlineStr">
        <is>
          <t xml:space="preserve">Personal</t>
        </is>
      </c>
      <c r="O311" s="30" t="inlineStr">
        <is>
          <t xml:space="preserve">Personal - regular use</t>
        </is>
      </c>
      <c r="P311" s="30" t="inlineStr">
        <is>
          <t xml:space="preserve">1,000 - 2,500</t>
        </is>
      </c>
      <c r="Q311" s="30" t="inlineStr">
        <is>
          <t xml:space="preserve">Maine</t>
        </is>
      </c>
      <c r="R311" s="30" t="inlineStr">
        <is>
          <t xml:space="preserve">04101</t>
        </is>
      </c>
      <c r="S311" s="32" t="inlineStr">
        <is>
          <t xml:space="preserve">Tier 3 - Coastal wind (25-100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3871.23</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CANON-202604-007003</t>
        </is>
      </c>
      <c r="B312" s="46" t="inlineStr">
        <is>
          <t xml:space="preserve">Anouk Bellandi</t>
        </is>
      </c>
      <c r="C312" s="47">
        <v>46120</v>
      </c>
      <c r="D312" s="48" t="inlineStr">
        <is>
          <t xml:space="preserve">Bound - within authority</t>
        </is>
      </c>
      <c r="E312" s="48" t="inlineStr">
        <is>
          <t xml:space="preserve">New business</t>
        </is>
      </c>
      <c r="F312" s="46" t="inlineStr">
        <is>
          <t xml:space="preserve">B1234EXOTIC26</t>
        </is>
      </c>
      <c r="G312" s="33">
        <f>IF($A312="","",IF($C312="","",YEAR($C312)))</f>
      </c>
      <c r="H312" s="49">
        <v>1956</v>
      </c>
      <c r="I312" s="46" t="inlineStr">
        <is>
          <t xml:space="preserve">BMW</t>
        </is>
      </c>
      <c r="J312" s="46" t="inlineStr">
        <is>
          <t xml:space="preserve">M8 Competition</t>
        </is>
      </c>
      <c r="K312" s="46" t="inlineStr">
        <is>
          <t xml:space="preserve">7NYWDE2D3BV0R08KV</t>
        </is>
      </c>
      <c r="L312" s="48" t="inlineStr">
        <is>
          <t xml:space="preserve">02 - Sports / GT</t>
        </is>
      </c>
      <c r="M312" s="50">
        <v>460000</v>
      </c>
      <c r="N312" s="48" t="inlineStr">
        <is>
          <t xml:space="preserve">Personal</t>
        </is>
      </c>
      <c r="O312" s="46" t="inlineStr">
        <is>
          <t xml:space="preserve">Personal - regular use</t>
        </is>
      </c>
      <c r="P312" s="46" t="inlineStr">
        <is>
          <t xml:space="preserve">1,000 - 2,500</t>
        </is>
      </c>
      <c r="Q312" s="46" t="inlineStr">
        <is>
          <t xml:space="preserve">Florida</t>
        </is>
      </c>
      <c r="R312" s="46" t="inlineStr">
        <is>
          <t xml:space="preserve">33139</t>
        </is>
      </c>
      <c r="S312" s="48" t="inlineStr">
        <is>
          <t xml:space="preserve">Tier 2 - Coastal wind (1-25 miles)</t>
        </is>
      </c>
      <c r="T312" s="36">
        <f>IF($A312="","",IF($S312="","",IFERROR(INDEX('[1]natural catastrophe'!$D$6:$D$17,MATCH($S312,'[1]natural catastrophe'!$B$6:$B$17,0)),"?")))</f>
      </c>
      <c r="U312" s="46" t="inlineStr">
        <is>
          <t xml:space="preserve">2% of agreed value, minimum $10,000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7676.64</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CANON-202604-007004</t>
        </is>
      </c>
      <c r="B313" s="30" t="inlineStr">
        <is>
          <t xml:space="preserve">Aurelio Farkas</t>
        </is>
      </c>
      <c r="C313" s="31">
        <v>46122</v>
      </c>
      <c r="D313" s="32" t="inlineStr">
        <is>
          <t xml:space="preserve">Bound - within authority</t>
        </is>
      </c>
      <c r="E313" s="32" t="inlineStr">
        <is>
          <t xml:space="preserve">New business</t>
        </is>
      </c>
      <c r="F313" s="30" t="inlineStr">
        <is>
          <t xml:space="preserve">B1234EXOTIC26</t>
        </is>
      </c>
      <c r="G313" s="33">
        <f>IF($A313="","",IF($C313="","",YEAR($C313)))</f>
      </c>
      <c r="H313" s="34">
        <v>1965</v>
      </c>
      <c r="I313" s="30" t="inlineStr">
        <is>
          <t xml:space="preserve">Porsche</t>
        </is>
      </c>
      <c r="J313" s="30" t="inlineStr">
        <is>
          <t xml:space="preserve">911 Turbo S</t>
        </is>
      </c>
      <c r="K313" s="30" t="inlineStr">
        <is>
          <t xml:space="preserve">7KZU4Z6K0ZMP86TXV</t>
        </is>
      </c>
      <c r="L313" s="32" t="inlineStr">
        <is>
          <t xml:space="preserve">02 - Sports / GT</t>
        </is>
      </c>
      <c r="M313" s="35">
        <v>390000</v>
      </c>
      <c r="N313" s="32" t="inlineStr">
        <is>
          <t xml:space="preserve">Personal</t>
        </is>
      </c>
      <c r="O313" s="30" t="inlineStr">
        <is>
          <t xml:space="preserve">Personal - regular use</t>
        </is>
      </c>
      <c r="P313" s="30" t="inlineStr">
        <is>
          <t xml:space="preserve">2,500 - 5,000</t>
        </is>
      </c>
      <c r="Q313" s="30" t="inlineStr">
        <is>
          <t xml:space="preserve">Nevada</t>
        </is>
      </c>
      <c r="R313" s="30" t="inlineStr">
        <is>
          <t xml:space="preserve">89101</t>
        </is>
      </c>
      <c r="S313" s="32" t="inlineStr">
        <is>
          <t xml:space="preserve">Wildfire - WUI high hazard</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5362.6</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CANON-202604-007005</t>
        </is>
      </c>
      <c r="B314" s="46" t="inlineStr">
        <is>
          <t xml:space="preserve">Cassius Larsson</t>
        </is>
      </c>
      <c r="C314" s="47">
        <v>46140</v>
      </c>
      <c r="D314" s="48" t="inlineStr">
        <is>
          <t xml:space="preserve">Bound - within authority</t>
        </is>
      </c>
      <c r="E314" s="48" t="inlineStr">
        <is>
          <t xml:space="preserve">New business</t>
        </is>
      </c>
      <c r="F314" s="46" t="inlineStr">
        <is>
          <t xml:space="preserve">B1234EXOTIC26</t>
        </is>
      </c>
      <c r="G314" s="33">
        <f>IF($A314="","",IF($C314="","",YEAR($C314)))</f>
      </c>
      <c r="H314" s="49">
        <v>1961</v>
      </c>
      <c r="I314" s="46" t="inlineStr">
        <is>
          <t xml:space="preserve">Aston Martin</t>
        </is>
      </c>
      <c r="J314" s="46" t="inlineStr">
        <is>
          <t xml:space="preserve">DB12</t>
        </is>
      </c>
      <c r="K314" s="46" t="inlineStr">
        <is>
          <t xml:space="preserve">7HS9ZY9ECSUZ1FF6H</t>
        </is>
      </c>
      <c r="L314" s="48" t="inlineStr">
        <is>
          <t xml:space="preserve">02 - Sports / GT</t>
        </is>
      </c>
      <c r="M314" s="50">
        <v>1030000</v>
      </c>
      <c r="N314" s="48" t="inlineStr">
        <is>
          <t xml:space="preserve">Personal</t>
        </is>
      </c>
      <c r="O314" s="46" t="inlineStr">
        <is>
          <t xml:space="preserve">Personal - regular use</t>
        </is>
      </c>
      <c r="P314" s="46" t="inlineStr">
        <is>
          <t xml:space="preserve">1,000 - 2,500</t>
        </is>
      </c>
      <c r="Q314" s="46" t="inlineStr">
        <is>
          <t xml:space="preserve">Pennsylvania</t>
        </is>
      </c>
      <c r="R314" s="46" t="inlineStr">
        <is>
          <t xml:space="preserve">19103</t>
        </is>
      </c>
      <c r="S314" s="48" t="inlineStr">
        <is>
          <t xml:space="preserve">Low hazard - inland benign</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8876.95</v>
      </c>
      <c r="AC314" s="51">
        <v>0</v>
      </c>
      <c r="AD314" s="38">
        <f>IF(ISNUMBER($AB314),$AB314*(1+N($AC314)),"")</f>
      </c>
      <c r="AE314" s="50">
        <v>350</v>
      </c>
      <c r="AF314" s="50">
        <v>250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CANON-202604-007006</t>
        </is>
      </c>
      <c r="B315" s="30" t="inlineStr">
        <is>
          <t xml:space="preserve">Lorenzo Larsson</t>
        </is>
      </c>
      <c r="C315" s="31">
        <v>46133</v>
      </c>
      <c r="D315" s="32" t="inlineStr">
        <is>
          <t xml:space="preserve">Bound - within authority</t>
        </is>
      </c>
      <c r="E315" s="32" t="inlineStr">
        <is>
          <t xml:space="preserve">New business</t>
        </is>
      </c>
      <c r="F315" s="30" t="inlineStr">
        <is>
          <t xml:space="preserve">B1234EXOTIC26</t>
        </is>
      </c>
      <c r="G315" s="33">
        <f>IF($A315="","",IF($C315="","",YEAR($C315)))</f>
      </c>
      <c r="H315" s="34">
        <v>1992</v>
      </c>
      <c r="I315" s="30" t="inlineStr">
        <is>
          <t xml:space="preserve">Mercedes-Benz</t>
        </is>
      </c>
      <c r="J315" s="30" t="inlineStr">
        <is>
          <t xml:space="preserve">280SL Pagoda</t>
        </is>
      </c>
      <c r="K315" s="30" t="inlineStr">
        <is>
          <t xml:space="preserve">NR2JWCJ7Y4DR6DHSC</t>
        </is>
      </c>
      <c r="L315" s="32" t="inlineStr">
        <is>
          <t xml:space="preserve">08 - Modern Classic (1973-1999)</t>
        </is>
      </c>
      <c r="M315" s="35">
        <v>445000</v>
      </c>
      <c r="N315" s="32" t="inlineStr">
        <is>
          <t xml:space="preserve">Personal</t>
        </is>
      </c>
      <c r="O315" s="30" t="inlineStr">
        <is>
          <t xml:space="preserve">Personal - regular use</t>
        </is>
      </c>
      <c r="P315" s="30" t="inlineStr">
        <is>
          <t xml:space="preserve">Under 1,000</t>
        </is>
      </c>
      <c r="Q315" s="30" t="inlineStr">
        <is>
          <t xml:space="preserve">Texas</t>
        </is>
      </c>
      <c r="R315" s="30" t="inlineStr">
        <is>
          <t xml:space="preserve">75201</t>
        </is>
      </c>
      <c r="S315" s="32" t="inlineStr">
        <is>
          <t xml:space="preserve">Tier 2 - Coastal wind (1-25 miles)</t>
        </is>
      </c>
      <c r="T315" s="36">
        <f>IF($A315="","",IF($S315="","",IFERROR(INDEX('[1]natural catastrophe'!$D$6:$D$17,MATCH($S315,'[1]natural catastrophe'!$B$6:$B$17,0)),"?")))</f>
      </c>
      <c r="U315" s="30" t="inlineStr">
        <is>
          <t xml:space="preserve">2% of agreed value, minimum $10,000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3849.13</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CANON-202604-007007</t>
        </is>
      </c>
      <c r="B316" s="46" t="inlineStr">
        <is>
          <t xml:space="preserve">Fenwick Blackwood</t>
        </is>
      </c>
      <c r="C316" s="47">
        <v>46136</v>
      </c>
      <c r="D316" s="48" t="inlineStr">
        <is>
          <t xml:space="preserve">Bound - within authority</t>
        </is>
      </c>
      <c r="E316" s="48" t="inlineStr">
        <is>
          <t xml:space="preserve">New business</t>
        </is>
      </c>
      <c r="F316" s="46" t="inlineStr">
        <is>
          <t xml:space="preserve">B1234EXOTIC26</t>
        </is>
      </c>
      <c r="G316" s="33">
        <f>IF($A316="","",IF($C316="","",YEAR($C316)))</f>
      </c>
      <c r="H316" s="49">
        <v>2010</v>
      </c>
      <c r="I316" s="46" t="inlineStr">
        <is>
          <t xml:space="preserve">Ferrari</t>
        </is>
      </c>
      <c r="J316" s="46" t="inlineStr">
        <is>
          <t xml:space="preserve">SF90 Stradale</t>
        </is>
      </c>
      <c r="K316" s="46" t="inlineStr">
        <is>
          <t xml:space="preserve">4S1GRBXWS99H6CHGX</t>
        </is>
      </c>
      <c r="L316" s="48" t="inlineStr">
        <is>
          <t xml:space="preserve">03 - Supercar</t>
        </is>
      </c>
      <c r="M316" s="50">
        <v>730000</v>
      </c>
      <c r="N316" s="48" t="inlineStr">
        <is>
          <t xml:space="preserve">Personal</t>
        </is>
      </c>
      <c r="O316" s="46" t="inlineStr">
        <is>
          <t xml:space="preserve">Personal - regular use</t>
        </is>
      </c>
      <c r="P316" s="46" t="inlineStr">
        <is>
          <t xml:space="preserve">1,000 - 2,500</t>
        </is>
      </c>
      <c r="Q316" s="46" t="inlineStr">
        <is>
          <t xml:space="preserve">Texas</t>
        </is>
      </c>
      <c r="R316" s="46" t="inlineStr">
        <is>
          <t xml:space="preserve">75201</t>
        </is>
      </c>
      <c r="S316" s="48" t="inlineStr">
        <is>
          <t xml:space="preserve">Tier 2 - Coastal wind (1-25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12497.07</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CANON-202604-007008</t>
        </is>
      </c>
      <c r="B317" s="30" t="inlineStr">
        <is>
          <t xml:space="preserve">Priya Rourke</t>
        </is>
      </c>
      <c r="C317" s="31">
        <v>46124</v>
      </c>
      <c r="D317" s="32" t="inlineStr">
        <is>
          <t xml:space="preserve">Bound - within authority</t>
        </is>
      </c>
      <c r="E317" s="32" t="inlineStr">
        <is>
          <t xml:space="preserve">New business</t>
        </is>
      </c>
      <c r="F317" s="30" t="inlineStr">
        <is>
          <t xml:space="preserve">B1234EXOTIC26</t>
        </is>
      </c>
      <c r="G317" s="33">
        <f>IF($A317="","",IF($C317="","",YEAR($C317)))</f>
      </c>
      <c r="H317" s="34">
        <v>1976</v>
      </c>
      <c r="I317" s="30" t="inlineStr">
        <is>
          <t xml:space="preserve">BMW</t>
        </is>
      </c>
      <c r="J317" s="30" t="inlineStr">
        <is>
          <t xml:space="preserve">M8 Competition</t>
        </is>
      </c>
      <c r="K317" s="30" t="inlineStr">
        <is>
          <t xml:space="preserve">43603F668F4JXL6AA</t>
        </is>
      </c>
      <c r="L317" s="32" t="inlineStr">
        <is>
          <t xml:space="preserve">02 - Sports / GT</t>
        </is>
      </c>
      <c r="M317" s="35">
        <v>305000</v>
      </c>
      <c r="N317" s="32" t="inlineStr">
        <is>
          <t xml:space="preserve">Personal</t>
        </is>
      </c>
      <c r="O317" s="30" t="inlineStr">
        <is>
          <t xml:space="preserve">Personal - regular use</t>
        </is>
      </c>
      <c r="P317" s="30" t="inlineStr">
        <is>
          <t xml:space="preserve">2,500 - 5,000</t>
        </is>
      </c>
      <c r="Q317" s="30" t="inlineStr">
        <is>
          <t xml:space="preserve">New Hampshire</t>
        </is>
      </c>
      <c r="R317" s="30" t="inlineStr">
        <is>
          <t xml:space="preserve">03301</t>
        </is>
      </c>
      <c r="S317" s="32" t="inlineStr">
        <is>
          <t xml:space="preserve">Tier 3 - Coastal wind (25-100 miles)</t>
        </is>
      </c>
      <c r="T317" s="36">
        <f>IF($A317="","",IF($S317="","",IFERROR(INDEX('[1]natural catastrophe'!$D$6:$D$17,MATCH($S317,'[1]natural catastrophe'!$B$6:$B$17,0)),"?")))</f>
      </c>
      <c r="U317" s="30" t="inlineStr">
        <is>
          <t xml:space="preserve">2% of agreed value, minimum $10,000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3727.85</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CANON-202604-007010</t>
        </is>
      </c>
      <c r="B318" s="46" t="inlineStr">
        <is>
          <t xml:space="preserve">Ottilie Thistlewood</t>
        </is>
      </c>
      <c r="C318" s="47">
        <v>46116</v>
      </c>
      <c r="D318" s="48" t="inlineStr">
        <is>
          <t xml:space="preserve">Bound - within authority</t>
        </is>
      </c>
      <c r="E318" s="48" t="inlineStr">
        <is>
          <t xml:space="preserve">New business</t>
        </is>
      </c>
      <c r="F318" s="46" t="inlineStr">
        <is>
          <t xml:space="preserve">B1234EXOTIC26</t>
        </is>
      </c>
      <c r="G318" s="33">
        <f>IF($A318="","",IF($C318="","",YEAR($C318)))</f>
      </c>
      <c r="H318" s="49">
        <v>1958</v>
      </c>
      <c r="I318" s="46" t="inlineStr">
        <is>
          <t xml:space="preserve">Mercedes-Benz</t>
        </is>
      </c>
      <c r="J318" s="46" t="inlineStr">
        <is>
          <t xml:space="preserve">280SL Pagoda</t>
        </is>
      </c>
      <c r="K318" s="46" t="inlineStr">
        <is>
          <t xml:space="preserve">8D1DMDYLG6PNNX6WK</t>
        </is>
      </c>
      <c r="L318" s="48" t="inlineStr">
        <is>
          <t xml:space="preserve">07 - Post-War Classic (1946-1972)</t>
        </is>
      </c>
      <c r="M318" s="50">
        <v>740000</v>
      </c>
      <c r="N318" s="48" t="inlineStr">
        <is>
          <t xml:space="preserve">Personal</t>
        </is>
      </c>
      <c r="O318" s="46" t="inlineStr">
        <is>
          <t xml:space="preserve">Personal - regular use</t>
        </is>
      </c>
      <c r="P318" s="46" t="inlineStr">
        <is>
          <t xml:space="preserve">1,000 - 2,500</t>
        </is>
      </c>
      <c r="Q318" s="46" t="inlineStr">
        <is>
          <t xml:space="preserve">North Carolina</t>
        </is>
      </c>
      <c r="R318" s="46" t="inlineStr">
        <is>
          <t xml:space="preserve">28202</t>
        </is>
      </c>
      <c r="S318" s="48" t="inlineStr">
        <is>
          <t xml:space="preserve">Tier 2 - Coastal wind (1-25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5734.05</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CANON-202604-007011</t>
        </is>
      </c>
      <c r="B319" s="30" t="inlineStr">
        <is>
          <t xml:space="preserve">Anouk Rourke</t>
        </is>
      </c>
      <c r="C319" s="31">
        <v>46134</v>
      </c>
      <c r="D319" s="32" t="inlineStr">
        <is>
          <t xml:space="preserve">Bound - within authority</t>
        </is>
      </c>
      <c r="E319" s="32" t="inlineStr">
        <is>
          <t xml:space="preserve">New business</t>
        </is>
      </c>
      <c r="F319" s="30" t="inlineStr">
        <is>
          <t xml:space="preserve">B1234EXOTIC26</t>
        </is>
      </c>
      <c r="G319" s="33">
        <f>IF($A319="","",IF($C319="","",YEAR($C319)))</f>
      </c>
      <c r="H319" s="34">
        <v>2002</v>
      </c>
      <c r="I319" s="30" t="inlineStr">
        <is>
          <t xml:space="preserve">Jaguar</t>
        </is>
      </c>
      <c r="J319" s="30" t="inlineStr">
        <is>
          <t xml:space="preserve">E-Type Series 1</t>
        </is>
      </c>
      <c r="K319" s="30" t="inlineStr">
        <is>
          <t xml:space="preserve">65LVE091A3JHK4BZA</t>
        </is>
      </c>
      <c r="L319" s="32" t="inlineStr">
        <is>
          <t xml:space="preserve">09 - Youngtimer / Collectible (2000-2010)</t>
        </is>
      </c>
      <c r="M319" s="35">
        <v>890000</v>
      </c>
      <c r="N319" s="32" t="inlineStr">
        <is>
          <t xml:space="preserve">Personal</t>
        </is>
      </c>
      <c r="O319" s="30" t="inlineStr">
        <is>
          <t xml:space="preserve">Personal - regular use</t>
        </is>
      </c>
      <c r="P319" s="30" t="inlineStr">
        <is>
          <t xml:space="preserve">Under 1,000</t>
        </is>
      </c>
      <c r="Q319" s="30" t="inlineStr">
        <is>
          <t xml:space="preserve">Michigan</t>
        </is>
      </c>
      <c r="R319" s="30" t="inlineStr">
        <is>
          <t xml:space="preserve">48226</t>
        </is>
      </c>
      <c r="S319" s="32" t="inlineStr">
        <is>
          <t xml:space="preserve">Severe convective - hail / tornado (moderate)</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9295.1</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CANON-202604-007013</t>
        </is>
      </c>
      <c r="B320" s="46" t="inlineStr">
        <is>
          <t xml:space="preserve">Saoirse Kingsford</t>
        </is>
      </c>
      <c r="C320" s="47">
        <v>46115</v>
      </c>
      <c r="D320" s="48" t="inlineStr">
        <is>
          <t xml:space="preserve">Bound - within authority</t>
        </is>
      </c>
      <c r="E320" s="48" t="inlineStr">
        <is>
          <t xml:space="preserve">New business</t>
        </is>
      </c>
      <c r="F320" s="46" t="inlineStr">
        <is>
          <t xml:space="preserve">B1234EXOTIC26</t>
        </is>
      </c>
      <c r="G320" s="33">
        <f>IF($A320="","",IF($C320="","",YEAR($C320)))</f>
      </c>
      <c r="H320" s="49">
        <v>1967</v>
      </c>
      <c r="I320" s="46" t="inlineStr">
        <is>
          <t xml:space="preserve">BMW</t>
        </is>
      </c>
      <c r="J320" s="46" t="inlineStr">
        <is>
          <t xml:space="preserve">M8 Competition</t>
        </is>
      </c>
      <c r="K320" s="46" t="inlineStr">
        <is>
          <t xml:space="preserve">YYAPMV8DSGMCAZPCX</t>
        </is>
      </c>
      <c r="L320" s="48" t="inlineStr">
        <is>
          <t xml:space="preserve">02 - Sports / GT</t>
        </is>
      </c>
      <c r="M320" s="50">
        <v>740000</v>
      </c>
      <c r="N320" s="48" t="inlineStr">
        <is>
          <t xml:space="preserve">Personal</t>
        </is>
      </c>
      <c r="O320" s="46" t="inlineStr">
        <is>
          <t xml:space="preserve">Personal - regular use</t>
        </is>
      </c>
      <c r="P320" s="46" t="inlineStr">
        <is>
          <t xml:space="preserve">1,000 - 2,500</t>
        </is>
      </c>
      <c r="Q320" s="46" t="inlineStr">
        <is>
          <t xml:space="preserve">South Dakota</t>
        </is>
      </c>
      <c r="R320" s="46" t="inlineStr">
        <is>
          <t xml:space="preserve">57501</t>
        </is>
      </c>
      <c r="S320" s="48" t="inlineStr">
        <is>
          <t xml:space="preserve">Severe convective - hail alley (high)</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8366.27</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CANON-202604-007017</t>
        </is>
      </c>
      <c r="B321" s="30" t="inlineStr">
        <is>
          <t xml:space="preserve">Ingrid Merriweather</t>
        </is>
      </c>
      <c r="C321" s="31">
        <v>46137</v>
      </c>
      <c r="D321" s="32" t="inlineStr">
        <is>
          <t xml:space="preserve">Bound - within authority</t>
        </is>
      </c>
      <c r="E321" s="32" t="inlineStr">
        <is>
          <t xml:space="preserve">New business</t>
        </is>
      </c>
      <c r="F321" s="30" t="inlineStr">
        <is>
          <t xml:space="preserve">B1234EXOTIC26</t>
        </is>
      </c>
      <c r="G321" s="33">
        <f>IF($A321="","",IF($C321="","",YEAR($C321)))</f>
      </c>
      <c r="H321" s="34">
        <v>2022</v>
      </c>
      <c r="I321" s="30" t="inlineStr">
        <is>
          <t xml:space="preserve">McLaren</t>
        </is>
      </c>
      <c r="J321" s="30" t="inlineStr">
        <is>
          <t xml:space="preserve">750S</t>
        </is>
      </c>
      <c r="K321" s="30" t="inlineStr">
        <is>
          <t xml:space="preserve">1RXKYKDCDCRYDR4H1</t>
        </is>
      </c>
      <c r="L321" s="32" t="inlineStr">
        <is>
          <t xml:space="preserve">03 - Supercar</t>
        </is>
      </c>
      <c r="M321" s="35">
        <v>770000</v>
      </c>
      <c r="N321" s="32" t="inlineStr">
        <is>
          <t xml:space="preserve">Personal</t>
        </is>
      </c>
      <c r="O321" s="30" t="inlineStr">
        <is>
          <t xml:space="preserve">Personal - regular use</t>
        </is>
      </c>
      <c r="P321" s="30" t="inlineStr">
        <is>
          <t xml:space="preserve">1,000 - 2,500</t>
        </is>
      </c>
      <c r="Q321" s="30" t="inlineStr">
        <is>
          <t xml:space="preserve">Massachusetts</t>
        </is>
      </c>
      <c r="R321" s="30" t="inlineStr">
        <is>
          <t xml:space="preserve">02108</t>
        </is>
      </c>
      <c r="S321" s="32" t="inlineStr">
        <is>
          <t xml:space="preserve">Tier 3 - Coastal wind (25-100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14328.08</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CANON-202604-007018</t>
        </is>
      </c>
      <c r="B322" s="46" t="inlineStr">
        <is>
          <t xml:space="preserve">Aurelio Whitlock</t>
        </is>
      </c>
      <c r="C322" s="47">
        <v>46134</v>
      </c>
      <c r="D322" s="48" t="inlineStr">
        <is>
          <t xml:space="preserve">Bound - within authority</t>
        </is>
      </c>
      <c r="E322" s="48" t="inlineStr">
        <is>
          <t xml:space="preserve">New business</t>
        </is>
      </c>
      <c r="F322" s="46" t="inlineStr">
        <is>
          <t xml:space="preserve">B1234EXOTIC26</t>
        </is>
      </c>
      <c r="G322" s="33">
        <f>IF($A322="","",IF($C322="","",YEAR($C322)))</f>
      </c>
      <c r="H322" s="49">
        <v>2010</v>
      </c>
      <c r="I322" s="46" t="inlineStr">
        <is>
          <t xml:space="preserve">Mercedes-Benz</t>
        </is>
      </c>
      <c r="J322" s="46" t="inlineStr">
        <is>
          <t xml:space="preserve">AMG GT</t>
        </is>
      </c>
      <c r="K322" s="46" t="inlineStr">
        <is>
          <t xml:space="preserve">K0A3WM6UVT7SXV5XG</t>
        </is>
      </c>
      <c r="L322" s="48" t="inlineStr">
        <is>
          <t xml:space="preserve">02 - Sports / GT</t>
        </is>
      </c>
      <c r="M322" s="50">
        <v>1285000</v>
      </c>
      <c r="N322" s="48" t="inlineStr">
        <is>
          <t xml:space="preserve">Personal</t>
        </is>
      </c>
      <c r="O322" s="46" t="inlineStr">
        <is>
          <t xml:space="preserve">Personal - regular use</t>
        </is>
      </c>
      <c r="P322" s="46" t="inlineStr">
        <is>
          <t xml:space="preserve">2,500 - 5,000</t>
        </is>
      </c>
      <c r="Q322" s="46" t="inlineStr">
        <is>
          <t xml:space="preserve">New Hampshire</t>
        </is>
      </c>
      <c r="R322" s="46" t="inlineStr">
        <is>
          <t xml:space="preserve">03301</t>
        </is>
      </c>
      <c r="S322" s="48" t="inlineStr">
        <is>
          <t xml:space="preserve">Tier 3 - Coastal wind (25-100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11517.62</v>
      </c>
      <c r="AC322" s="51">
        <v>0</v>
      </c>
      <c r="AD322" s="38">
        <f>IF(ISNUMBER($AB322),$AB322*(1+N($AC322)),"")</f>
      </c>
      <c r="AE322" s="50">
        <v>350</v>
      </c>
      <c r="AF322" s="50">
        <v>250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CANON-202604-007019</t>
        </is>
      </c>
      <c r="B323" s="30" t="inlineStr">
        <is>
          <t xml:space="preserve">Priya Delacroix</t>
        </is>
      </c>
      <c r="C323" s="31">
        <v>46127</v>
      </c>
      <c r="D323" s="32" t="inlineStr">
        <is>
          <t xml:space="preserve">Bound - within authority</t>
        </is>
      </c>
      <c r="E323" s="32" t="inlineStr">
        <is>
          <t xml:space="preserve">New business</t>
        </is>
      </c>
      <c r="F323" s="30" t="inlineStr">
        <is>
          <t xml:space="preserve">B1234EXOTIC26</t>
        </is>
      </c>
      <c r="G323" s="33">
        <f>IF($A323="","",IF($C323="","",YEAR($C323)))</f>
      </c>
      <c r="H323" s="34">
        <v>2007</v>
      </c>
      <c r="I323" s="30" t="inlineStr">
        <is>
          <t xml:space="preserve">Mercedes-Benz</t>
        </is>
      </c>
      <c r="J323" s="30" t="inlineStr">
        <is>
          <t xml:space="preserve">AMG GT</t>
        </is>
      </c>
      <c r="K323" s="30" t="inlineStr">
        <is>
          <t xml:space="preserve">5996RW8P9NPVSHA6P</t>
        </is>
      </c>
      <c r="L323" s="32" t="inlineStr">
        <is>
          <t xml:space="preserve">02 - Sports / GT</t>
        </is>
      </c>
      <c r="M323" s="35">
        <v>570000</v>
      </c>
      <c r="N323" s="32" t="inlineStr">
        <is>
          <t xml:space="preserve">Personal</t>
        </is>
      </c>
      <c r="O323" s="30" t="inlineStr">
        <is>
          <t xml:space="preserve">Personal - regular use</t>
        </is>
      </c>
      <c r="P323" s="30" t="inlineStr">
        <is>
          <t xml:space="preserve">2,500 - 5,000</t>
        </is>
      </c>
      <c r="Q323" s="30" t="inlineStr">
        <is>
          <t xml:space="preserve">Texas</t>
        </is>
      </c>
      <c r="R323" s="30" t="inlineStr">
        <is>
          <t xml:space="preserve">75201</t>
        </is>
      </c>
      <c r="S323" s="32" t="inlineStr">
        <is>
          <t xml:space="preserve">Tier 2 - Coastal wind (1-25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6676.51</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CANON-202604-007020</t>
        </is>
      </c>
      <c r="B324" s="46" t="inlineStr">
        <is>
          <t xml:space="preserve">Emiliano Nakashima</t>
        </is>
      </c>
      <c r="C324" s="47">
        <v>46119</v>
      </c>
      <c r="D324" s="48" t="inlineStr">
        <is>
          <t xml:space="preserve">Bound - within authority</t>
        </is>
      </c>
      <c r="E324" s="48" t="inlineStr">
        <is>
          <t xml:space="preserve">New business</t>
        </is>
      </c>
      <c r="F324" s="46" t="inlineStr">
        <is>
          <t xml:space="preserve">B1234EXOTIC26</t>
        </is>
      </c>
      <c r="G324" s="33">
        <f>IF($A324="","",IF($C324="","",YEAR($C324)))</f>
      </c>
      <c r="H324" s="49">
        <v>2012</v>
      </c>
      <c r="I324" s="46" t="inlineStr">
        <is>
          <t xml:space="preserve">Mercedes-Benz</t>
        </is>
      </c>
      <c r="J324" s="46" t="inlineStr">
        <is>
          <t xml:space="preserve">AMG GT</t>
        </is>
      </c>
      <c r="K324" s="46" t="inlineStr">
        <is>
          <t xml:space="preserve">S661J3YAWTX4CP18G</t>
        </is>
      </c>
      <c r="L324" s="48" t="inlineStr">
        <is>
          <t xml:space="preserve">02 - Sports / GT</t>
        </is>
      </c>
      <c r="M324" s="50">
        <v>450000</v>
      </c>
      <c r="N324" s="48" t="inlineStr">
        <is>
          <t xml:space="preserve">Personal</t>
        </is>
      </c>
      <c r="O324" s="46" t="inlineStr">
        <is>
          <t xml:space="preserve">Personal - regular use</t>
        </is>
      </c>
      <c r="P324" s="46" t="inlineStr">
        <is>
          <t xml:space="preserve">Under 1,000</t>
        </is>
      </c>
      <c r="Q324" s="46" t="inlineStr">
        <is>
          <t xml:space="preserve">Georgia</t>
        </is>
      </c>
      <c r="R324" s="46" t="inlineStr">
        <is>
          <t xml:space="preserve">30303</t>
        </is>
      </c>
      <c r="S324" s="48" t="inlineStr">
        <is>
          <t xml:space="preserve">Tier 2 - Coastal wind (1-25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5923.19</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CANON-202604-007023</t>
        </is>
      </c>
      <c r="B325" s="30" t="inlineStr">
        <is>
          <t xml:space="preserve">Anouk Thistlewood</t>
        </is>
      </c>
      <c r="C325" s="31">
        <v>46135</v>
      </c>
      <c r="D325" s="32" t="inlineStr">
        <is>
          <t xml:space="preserve">Bound - within authority</t>
        </is>
      </c>
      <c r="E325" s="32" t="inlineStr">
        <is>
          <t xml:space="preserve">New business</t>
        </is>
      </c>
      <c r="F325" s="30" t="inlineStr">
        <is>
          <t xml:space="preserve">B1234EXOTIC26</t>
        </is>
      </c>
      <c r="G325" s="33">
        <f>IF($A325="","",IF($C325="","",YEAR($C325)))</f>
      </c>
      <c r="H325" s="34">
        <v>1985</v>
      </c>
      <c r="I325" s="30" t="inlineStr">
        <is>
          <t xml:space="preserve">Aston Martin</t>
        </is>
      </c>
      <c r="J325" s="30" t="inlineStr">
        <is>
          <t xml:space="preserve">DB12</t>
        </is>
      </c>
      <c r="K325" s="30" t="inlineStr">
        <is>
          <t xml:space="preserve">W3KCT91NUTYXU0AN1</t>
        </is>
      </c>
      <c r="L325" s="32" t="inlineStr">
        <is>
          <t xml:space="preserve">02 - Sports / GT</t>
        </is>
      </c>
      <c r="M325" s="35">
        <v>280000</v>
      </c>
      <c r="N325" s="32" t="inlineStr">
        <is>
          <t xml:space="preserve">Personal</t>
        </is>
      </c>
      <c r="O325" s="30" t="inlineStr">
        <is>
          <t xml:space="preserve">Personal - regular use</t>
        </is>
      </c>
      <c r="P325" s="30" t="inlineStr">
        <is>
          <t xml:space="preserve">1,000 - 2,500</t>
        </is>
      </c>
      <c r="Q325" s="30" t="inlineStr">
        <is>
          <t xml:space="preserve">Texas</t>
        </is>
      </c>
      <c r="R325" s="30" t="inlineStr">
        <is>
          <t xml:space="preserve">75201</t>
        </is>
      </c>
      <c r="S325" s="32" t="inlineStr">
        <is>
          <t xml:space="preserve">Tier 2 - Coastal wind (1-25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3784.26</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CANON-202604-007024</t>
        </is>
      </c>
      <c r="B326" s="46" t="inlineStr">
        <is>
          <t xml:space="preserve">Marisol Vandermeer</t>
        </is>
      </c>
      <c r="C326" s="47">
        <v>46139</v>
      </c>
      <c r="D326" s="48" t="inlineStr">
        <is>
          <t xml:space="preserve">Bound - within authority</t>
        </is>
      </c>
      <c r="E326" s="48" t="inlineStr">
        <is>
          <t xml:space="preserve">New business</t>
        </is>
      </c>
      <c r="F326" s="46" t="inlineStr">
        <is>
          <t xml:space="preserve">B1234EXOTIC26</t>
        </is>
      </c>
      <c r="G326" s="33">
        <f>IF($A326="","",IF($C326="","",YEAR($C326)))</f>
      </c>
      <c r="H326" s="49">
        <v>1976</v>
      </c>
      <c r="I326" s="46" t="inlineStr">
        <is>
          <t xml:space="preserve">Ferrari</t>
        </is>
      </c>
      <c r="J326" s="46" t="inlineStr">
        <is>
          <t xml:space="preserve">SF90 Stradale</t>
        </is>
      </c>
      <c r="K326" s="46" t="inlineStr">
        <is>
          <t xml:space="preserve">7L3YHXSV5EPY42TEY</t>
        </is>
      </c>
      <c r="L326" s="48" t="inlineStr">
        <is>
          <t xml:space="preserve">03 - Supercar</t>
        </is>
      </c>
      <c r="M326" s="50">
        <v>795000</v>
      </c>
      <c r="N326" s="48" t="inlineStr">
        <is>
          <t xml:space="preserve">Personal</t>
        </is>
      </c>
      <c r="O326" s="46" t="inlineStr">
        <is>
          <t xml:space="preserve">Personal - regular use</t>
        </is>
      </c>
      <c r="P326" s="46" t="inlineStr">
        <is>
          <t xml:space="preserve">1,000 - 2,500</t>
        </is>
      </c>
      <c r="Q326" s="46" t="inlineStr">
        <is>
          <t xml:space="preserve">Florida</t>
        </is>
      </c>
      <c r="R326" s="46" t="inlineStr">
        <is>
          <t xml:space="preserve">33139</t>
        </is>
      </c>
      <c r="S326" s="48" t="inlineStr">
        <is>
          <t xml:space="preserve">Tier 2 - Coastal wind (1-25 miles)</t>
        </is>
      </c>
      <c r="T326" s="36">
        <f>IF($A326="","",IF($S326="","",IFERROR(INDEX('[1]natural catastrophe'!$D$6:$D$17,MATCH($S326,'[1]natural catastrophe'!$B$6:$B$17,0)),"?")))</f>
      </c>
      <c r="U326" s="46" t="inlineStr">
        <is>
          <t xml:space="preserve">2% of agreed value, minimum $10,000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16805.17</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CANON-202604-007025</t>
        </is>
      </c>
      <c r="B327" s="30" t="inlineStr">
        <is>
          <t xml:space="preserve">Mireille Fairweather</t>
        </is>
      </c>
      <c r="C327" s="31">
        <v>46116</v>
      </c>
      <c r="D327" s="32" t="inlineStr">
        <is>
          <t xml:space="preserve">Bound - within authority</t>
        </is>
      </c>
      <c r="E327" s="32" t="inlineStr">
        <is>
          <t xml:space="preserve">New business</t>
        </is>
      </c>
      <c r="F327" s="30" t="inlineStr">
        <is>
          <t xml:space="preserve">B1234EXOTIC26</t>
        </is>
      </c>
      <c r="G327" s="33">
        <f>IF($A327="","",IF($C327="","",YEAR($C327)))</f>
      </c>
      <c r="H327" s="34">
        <v>2012</v>
      </c>
      <c r="I327" s="30" t="inlineStr">
        <is>
          <t xml:space="preserve">Mercedes-Benz</t>
        </is>
      </c>
      <c r="J327" s="30" t="inlineStr">
        <is>
          <t xml:space="preserve">AMG GT</t>
        </is>
      </c>
      <c r="K327" s="30" t="inlineStr">
        <is>
          <t xml:space="preserve">ELKF3S74KRB01UXZC</t>
        </is>
      </c>
      <c r="L327" s="32" t="inlineStr">
        <is>
          <t xml:space="preserve">02 - Sports / GT</t>
        </is>
      </c>
      <c r="M327" s="35">
        <v>1260000</v>
      </c>
      <c r="N327" s="32" t="inlineStr">
        <is>
          <t xml:space="preserve">Personal</t>
        </is>
      </c>
      <c r="O327" s="30" t="inlineStr">
        <is>
          <t xml:space="preserve">Personal - regular use</t>
        </is>
      </c>
      <c r="P327" s="30" t="inlineStr">
        <is>
          <t xml:space="preserve">2,500 - 5,000</t>
        </is>
      </c>
      <c r="Q327" s="30" t="inlineStr">
        <is>
          <t xml:space="preserve">New Jersey</t>
        </is>
      </c>
      <c r="R327" s="30" t="inlineStr">
        <is>
          <t xml:space="preserve">07102</t>
        </is>
      </c>
      <c r="S327" s="32" t="inlineStr">
        <is>
          <t xml:space="preserve">Tier 3 - Coastal wind (25-100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9881.85</v>
      </c>
      <c r="AC327" s="37">
        <v>0</v>
      </c>
      <c r="AD327" s="38">
        <f>IF(ISNUMBER($AB327),$AB327*(1+N($AC327)),"")</f>
      </c>
      <c r="AE327" s="35">
        <v>350</v>
      </c>
      <c r="AF327" s="35">
        <v>250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CANON-202604-007026</t>
        </is>
      </c>
      <c r="B328" s="46" t="inlineStr">
        <is>
          <t xml:space="preserve">Thaddeus Vasquez</t>
        </is>
      </c>
      <c r="C328" s="47">
        <v>46140</v>
      </c>
      <c r="D328" s="48" t="inlineStr">
        <is>
          <t xml:space="preserve">Bound - within authority</t>
        </is>
      </c>
      <c r="E328" s="48" t="inlineStr">
        <is>
          <t xml:space="preserve">New business</t>
        </is>
      </c>
      <c r="F328" s="46" t="inlineStr">
        <is>
          <t xml:space="preserve">B1234EXOTIC26</t>
        </is>
      </c>
      <c r="G328" s="33">
        <f>IF($A328="","",IF($C328="","",YEAR($C328)))</f>
      </c>
      <c r="H328" s="49">
        <v>1986</v>
      </c>
      <c r="I328" s="46" t="inlineStr">
        <is>
          <t xml:space="preserve">Maserati</t>
        </is>
      </c>
      <c r="J328" s="46" t="inlineStr">
        <is>
          <t xml:space="preserve">GranTurismo</t>
        </is>
      </c>
      <c r="K328" s="46" t="inlineStr">
        <is>
          <t xml:space="preserve">A8K2L0Z1VV2M5AXGD</t>
        </is>
      </c>
      <c r="L328" s="48" t="inlineStr">
        <is>
          <t xml:space="preserve">02 - Sports / GT</t>
        </is>
      </c>
      <c r="M328" s="50">
        <v>365000</v>
      </c>
      <c r="N328" s="48" t="inlineStr">
        <is>
          <t xml:space="preserve">Personal</t>
        </is>
      </c>
      <c r="O328" s="46" t="inlineStr">
        <is>
          <t xml:space="preserve">Personal - regular use</t>
        </is>
      </c>
      <c r="P328" s="46" t="inlineStr">
        <is>
          <t xml:space="preserve">Under 1,000</t>
        </is>
      </c>
      <c r="Q328" s="46" t="inlineStr">
        <is>
          <t xml:space="preserve">Vermont</t>
        </is>
      </c>
      <c r="R328" s="46" t="inlineStr">
        <is>
          <t xml:space="preserve">05601</t>
        </is>
      </c>
      <c r="S328" s="48" t="inlineStr">
        <is>
          <t xml:space="preserve">Low hazard - inland benign</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5233.33</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CANON-202604-007027</t>
        </is>
      </c>
      <c r="B329" s="30" t="inlineStr">
        <is>
          <t xml:space="preserve">Delphine Castellanos</t>
        </is>
      </c>
      <c r="C329" s="31">
        <v>46113</v>
      </c>
      <c r="D329" s="32" t="inlineStr">
        <is>
          <t xml:space="preserve">Bound - within authority</t>
        </is>
      </c>
      <c r="E329" s="32" t="inlineStr">
        <is>
          <t xml:space="preserve">New business</t>
        </is>
      </c>
      <c r="F329" s="30" t="inlineStr">
        <is>
          <t xml:space="preserve">B1234EXOTIC26</t>
        </is>
      </c>
      <c r="G329" s="33">
        <f>IF($A329="","",IF($C329="","",YEAR($C329)))</f>
      </c>
      <c r="H329" s="34">
        <v>1979</v>
      </c>
      <c r="I329" s="30" t="inlineStr">
        <is>
          <t xml:space="preserve">McLaren</t>
        </is>
      </c>
      <c r="J329" s="30" t="inlineStr">
        <is>
          <t xml:space="preserve">750S</t>
        </is>
      </c>
      <c r="K329" s="30" t="inlineStr">
        <is>
          <t xml:space="preserve">0N3XC21WZ89TTTT4V</t>
        </is>
      </c>
      <c r="L329" s="32" t="inlineStr">
        <is>
          <t xml:space="preserve">03 - Supercar</t>
        </is>
      </c>
      <c r="M329" s="35">
        <v>890000</v>
      </c>
      <c r="N329" s="32" t="inlineStr">
        <is>
          <t xml:space="preserve">Personal</t>
        </is>
      </c>
      <c r="O329" s="30" t="inlineStr">
        <is>
          <t xml:space="preserve">Personal - regular use</t>
        </is>
      </c>
      <c r="P329" s="30" t="inlineStr">
        <is>
          <t xml:space="preserve">2,500 - 5,000</t>
        </is>
      </c>
      <c r="Q329" s="30" t="inlineStr">
        <is>
          <t xml:space="preserve">Massachusetts</t>
        </is>
      </c>
      <c r="R329" s="30" t="inlineStr">
        <is>
          <t xml:space="preserve">02108</t>
        </is>
      </c>
      <c r="S329" s="32" t="inlineStr">
        <is>
          <t xml:space="preserve">Tier 3 - Coastal wind (25-100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16561.03</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CANON-202604-007029</t>
        </is>
      </c>
      <c r="B330" s="46" t="inlineStr">
        <is>
          <t xml:space="preserve">Anouk Vasquez</t>
        </is>
      </c>
      <c r="C330" s="47">
        <v>46129</v>
      </c>
      <c r="D330" s="48" t="inlineStr">
        <is>
          <t xml:space="preserve">Bound - within authority</t>
        </is>
      </c>
      <c r="E330" s="48" t="inlineStr">
        <is>
          <t xml:space="preserve">New business</t>
        </is>
      </c>
      <c r="F330" s="46" t="inlineStr">
        <is>
          <t xml:space="preserve">B1234EXOTIC26</t>
        </is>
      </c>
      <c r="G330" s="33">
        <f>IF($A330="","",IF($C330="","",YEAR($C330)))</f>
      </c>
      <c r="H330" s="49">
        <v>2024</v>
      </c>
      <c r="I330" s="46" t="inlineStr">
        <is>
          <t xml:space="preserve">Mercedes-Benz</t>
        </is>
      </c>
      <c r="J330" s="46" t="inlineStr">
        <is>
          <t xml:space="preserve">AMG GT</t>
        </is>
      </c>
      <c r="K330" s="46" t="inlineStr">
        <is>
          <t xml:space="preserve">BAX8R3817CGD3PJGB</t>
        </is>
      </c>
      <c r="L330" s="48" t="inlineStr">
        <is>
          <t xml:space="preserve">02 - Sports / GT</t>
        </is>
      </c>
      <c r="M330" s="50">
        <v>155000</v>
      </c>
      <c r="N330" s="48" t="inlineStr">
        <is>
          <t xml:space="preserve">Personal</t>
        </is>
      </c>
      <c r="O330" s="46" t="inlineStr">
        <is>
          <t xml:space="preserve">Personal - regular use</t>
        </is>
      </c>
      <c r="P330" s="46" t="inlineStr">
        <is>
          <t xml:space="preserve">1,000 - 2,500</t>
        </is>
      </c>
      <c r="Q330" s="46" t="inlineStr">
        <is>
          <t xml:space="preserve">Colorado</t>
        </is>
      </c>
      <c r="R330" s="46" t="inlineStr">
        <is>
          <t xml:space="preserve">80202</t>
        </is>
      </c>
      <c r="S330" s="48" t="inlineStr">
        <is>
          <t xml:space="preserve">Severe convective - hail alley (high)</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2457.96</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CANON-202604-007031</t>
        </is>
      </c>
      <c r="B331" s="30" t="inlineStr">
        <is>
          <t xml:space="preserve">Priya Farkas</t>
        </is>
      </c>
      <c r="C331" s="31">
        <v>46124</v>
      </c>
      <c r="D331" s="32" t="inlineStr">
        <is>
          <t xml:space="preserve">Bound - within authority</t>
        </is>
      </c>
      <c r="E331" s="32" t="inlineStr">
        <is>
          <t xml:space="preserve">New business</t>
        </is>
      </c>
      <c r="F331" s="30" t="inlineStr">
        <is>
          <t xml:space="preserve">B1234EXOTIC26</t>
        </is>
      </c>
      <c r="G331" s="33">
        <f>IF($A331="","",IF($C331="","",YEAR($C331)))</f>
      </c>
      <c r="H331" s="34">
        <v>1962</v>
      </c>
      <c r="I331" s="30" t="inlineStr">
        <is>
          <t xml:space="preserve">Mercedes-Benz</t>
        </is>
      </c>
      <c r="J331" s="30" t="inlineStr">
        <is>
          <t xml:space="preserve">AMG GT</t>
        </is>
      </c>
      <c r="K331" s="30" t="inlineStr">
        <is>
          <t xml:space="preserve">50SHUPJ7289PVHRWY</t>
        </is>
      </c>
      <c r="L331" s="32" t="inlineStr">
        <is>
          <t xml:space="preserve">02 - Sports / GT</t>
        </is>
      </c>
      <c r="M331" s="35">
        <v>575000</v>
      </c>
      <c r="N331" s="32" t="inlineStr">
        <is>
          <t xml:space="preserve">Personal</t>
        </is>
      </c>
      <c r="O331" s="30" t="inlineStr">
        <is>
          <t xml:space="preserve">Personal - regular use</t>
        </is>
      </c>
      <c r="P331" s="30" t="inlineStr">
        <is>
          <t xml:space="preserve">2,500 - 5,000</t>
        </is>
      </c>
      <c r="Q331" s="30" t="inlineStr">
        <is>
          <t xml:space="preserve">California</t>
        </is>
      </c>
      <c r="R331" s="30" t="inlineStr">
        <is>
          <t xml:space="preserve">90012</t>
        </is>
      </c>
      <c r="S331" s="32" t="inlineStr">
        <is>
          <t xml:space="preserve">Earthquake - high (CA, Cascadia, New Madrid)</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7906.4</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CANON-202604-007032</t>
        </is>
      </c>
      <c r="B332" s="46" t="inlineStr">
        <is>
          <t xml:space="preserve">Fenwick Harrington</t>
        </is>
      </c>
      <c r="C332" s="47">
        <v>46132</v>
      </c>
      <c r="D332" s="48" t="inlineStr">
        <is>
          <t xml:space="preserve">Bound - within authority</t>
        </is>
      </c>
      <c r="E332" s="48" t="inlineStr">
        <is>
          <t xml:space="preserve">New business</t>
        </is>
      </c>
      <c r="F332" s="46" t="inlineStr">
        <is>
          <t xml:space="preserve">B1234EXOTIC26</t>
        </is>
      </c>
      <c r="G332" s="33">
        <f>IF($A332="","",IF($C332="","",YEAR($C332)))</f>
      </c>
      <c r="H332" s="49">
        <v>1961</v>
      </c>
      <c r="I332" s="46" t="inlineStr">
        <is>
          <t xml:space="preserve">Maserati</t>
        </is>
      </c>
      <c r="J332" s="46" t="inlineStr">
        <is>
          <t xml:space="preserve">GranTurismo</t>
        </is>
      </c>
      <c r="K332" s="46" t="inlineStr">
        <is>
          <t xml:space="preserve">BHSRJDALXZ87224D6</t>
        </is>
      </c>
      <c r="L332" s="48" t="inlineStr">
        <is>
          <t xml:space="preserve">02 - Sports / GT</t>
        </is>
      </c>
      <c r="M332" s="50">
        <v>315000</v>
      </c>
      <c r="N332" s="48" t="inlineStr">
        <is>
          <t xml:space="preserve">Personal</t>
        </is>
      </c>
      <c r="O332" s="46" t="inlineStr">
        <is>
          <t xml:space="preserve">Personal - regular use</t>
        </is>
      </c>
      <c r="P332" s="46" t="inlineStr">
        <is>
          <t xml:space="preserve">2,500 - 5,000</t>
        </is>
      </c>
      <c r="Q332" s="46" t="inlineStr">
        <is>
          <t xml:space="preserve">Oregon</t>
        </is>
      </c>
      <c r="R332" s="46" t="inlineStr">
        <is>
          <t xml:space="preserve">97204</t>
        </is>
      </c>
      <c r="S332" s="48" t="inlineStr">
        <is>
          <t xml:space="preserve">Earthquake - high (CA, Cascadia, New Madrid)</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4183.25</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CANON-202604-007034</t>
        </is>
      </c>
      <c r="B333" s="30" t="inlineStr">
        <is>
          <t xml:space="preserve">Everett Montoya</t>
        </is>
      </c>
      <c r="C333" s="31">
        <v>46137</v>
      </c>
      <c r="D333" s="32" t="inlineStr">
        <is>
          <t xml:space="preserve">Bound - within authority</t>
        </is>
      </c>
      <c r="E333" s="32" t="inlineStr">
        <is>
          <t xml:space="preserve">New business</t>
        </is>
      </c>
      <c r="F333" s="30" t="inlineStr">
        <is>
          <t xml:space="preserve">B1234EXOTIC26</t>
        </is>
      </c>
      <c r="G333" s="33">
        <f>IF($A333="","",IF($C333="","",YEAR($C333)))</f>
      </c>
      <c r="H333" s="34">
        <v>1993</v>
      </c>
      <c r="I333" s="30" t="inlineStr">
        <is>
          <t xml:space="preserve">Aston Martin</t>
        </is>
      </c>
      <c r="J333" s="30" t="inlineStr">
        <is>
          <t xml:space="preserve">DB12</t>
        </is>
      </c>
      <c r="K333" s="30" t="inlineStr">
        <is>
          <t xml:space="preserve">PXSGAL42DDBYNF3CH</t>
        </is>
      </c>
      <c r="L333" s="32" t="inlineStr">
        <is>
          <t xml:space="preserve">02 - Sports / GT</t>
        </is>
      </c>
      <c r="M333" s="35">
        <v>320000</v>
      </c>
      <c r="N333" s="32" t="inlineStr">
        <is>
          <t xml:space="preserve">Personal</t>
        </is>
      </c>
      <c r="O333" s="30" t="inlineStr">
        <is>
          <t xml:space="preserve">Personal - regular use</t>
        </is>
      </c>
      <c r="P333" s="30" t="inlineStr">
        <is>
          <t xml:space="preserve">Under 1,000</t>
        </is>
      </c>
      <c r="Q333" s="30" t="inlineStr">
        <is>
          <t xml:space="preserve">Illinois</t>
        </is>
      </c>
      <c r="R333" s="30" t="inlineStr">
        <is>
          <t xml:space="preserve">60601</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5114.63</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CANON-202604-007035</t>
        </is>
      </c>
      <c r="B334" s="46" t="inlineStr">
        <is>
          <t xml:space="preserve">Lorenzo Blackwood</t>
        </is>
      </c>
      <c r="C334" s="47">
        <v>46131</v>
      </c>
      <c r="D334" s="48" t="inlineStr">
        <is>
          <t xml:space="preserve">Bound - within authority</t>
        </is>
      </c>
      <c r="E334" s="48" t="inlineStr">
        <is>
          <t xml:space="preserve">New business</t>
        </is>
      </c>
      <c r="F334" s="46" t="inlineStr">
        <is>
          <t xml:space="preserve">B1234EXOTIC26</t>
        </is>
      </c>
      <c r="G334" s="33">
        <f>IF($A334="","",IF($C334="","",YEAR($C334)))</f>
      </c>
      <c r="H334" s="49">
        <v>1978</v>
      </c>
      <c r="I334" s="46" t="inlineStr">
        <is>
          <t xml:space="preserve">Lamborghini</t>
        </is>
      </c>
      <c r="J334" s="46" t="inlineStr">
        <is>
          <t xml:space="preserve">Huracan EVO</t>
        </is>
      </c>
      <c r="K334" s="46" t="inlineStr">
        <is>
          <t xml:space="preserve">JB730XTVKUFP7ME8R</t>
        </is>
      </c>
      <c r="L334" s="48" t="inlineStr">
        <is>
          <t xml:space="preserve">03 - Supercar</t>
        </is>
      </c>
      <c r="M334" s="50">
        <v>785000</v>
      </c>
      <c r="N334" s="48" t="inlineStr">
        <is>
          <t xml:space="preserve">Personal</t>
        </is>
      </c>
      <c r="O334" s="46" t="inlineStr">
        <is>
          <t xml:space="preserve">Personal - regular use</t>
        </is>
      </c>
      <c r="P334" s="46" t="inlineStr">
        <is>
          <t xml:space="preserve">1,000 - 2,500</t>
        </is>
      </c>
      <c r="Q334" s="46" t="inlineStr">
        <is>
          <t xml:space="preserve">Washington</t>
        </is>
      </c>
      <c r="R334" s="46" t="inlineStr">
        <is>
          <t xml:space="preserve">98101</t>
        </is>
      </c>
      <c r="S334" s="48" t="inlineStr">
        <is>
          <t xml:space="preserve">Earthquake - high (CA, Cascadia, New Madrid)</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11218.33</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CANON-202604-007037</t>
        </is>
      </c>
      <c r="B335" s="30" t="inlineStr">
        <is>
          <t xml:space="preserve">Sunniva Farkas</t>
        </is>
      </c>
      <c r="C335" s="31">
        <v>46128</v>
      </c>
      <c r="D335" s="32" t="inlineStr">
        <is>
          <t xml:space="preserve">Bound - within authority</t>
        </is>
      </c>
      <c r="E335" s="32" t="inlineStr">
        <is>
          <t xml:space="preserve">New business</t>
        </is>
      </c>
      <c r="F335" s="30" t="inlineStr">
        <is>
          <t xml:space="preserve">B1234EXOTIC26</t>
        </is>
      </c>
      <c r="G335" s="33">
        <f>IF($A335="","",IF($C335="","",YEAR($C335)))</f>
      </c>
      <c r="H335" s="34">
        <v>1966</v>
      </c>
      <c r="I335" s="30" t="inlineStr">
        <is>
          <t xml:space="preserve">Jaguar</t>
        </is>
      </c>
      <c r="J335" s="30" t="inlineStr">
        <is>
          <t xml:space="preserve">E-Type Series 1</t>
        </is>
      </c>
      <c r="K335" s="30" t="inlineStr">
        <is>
          <t xml:space="preserve">R5M6KY2SHJMMHCWWX</t>
        </is>
      </c>
      <c r="L335" s="32" t="inlineStr">
        <is>
          <t xml:space="preserve">07 - Post-War Classic (1946-1972)</t>
        </is>
      </c>
      <c r="M335" s="35">
        <v>755000</v>
      </c>
      <c r="N335" s="32" t="inlineStr">
        <is>
          <t xml:space="preserve">Personal</t>
        </is>
      </c>
      <c r="O335" s="30" t="inlineStr">
        <is>
          <t xml:space="preserve">Personal - regular use</t>
        </is>
      </c>
      <c r="P335" s="30" t="inlineStr">
        <is>
          <t xml:space="preserve">Under 1,000</t>
        </is>
      </c>
      <c r="Q335" s="30" t="inlineStr">
        <is>
          <t xml:space="preserve">Mississippi</t>
        </is>
      </c>
      <c r="R335" s="30" t="inlineStr">
        <is>
          <t xml:space="preserve">39201</t>
        </is>
      </c>
      <c r="S335" s="32" t="inlineStr">
        <is>
          <t xml:space="preserve">Tier 2 - Coastal wind (1-25 miles)</t>
        </is>
      </c>
      <c r="T335" s="36">
        <f>IF($A335="","",IF($S335="","",IFERROR(INDEX('[1]natural catastrophe'!$D$6:$D$17,MATCH($S335,'[1]natural catastrophe'!$B$6:$B$17,0)),"?")))</f>
      </c>
      <c r="U335" s="30" t="inlineStr">
        <is>
          <t xml:space="preserve">2% of agreed value, minimum $10,000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6053.77</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CANON-202604-007038</t>
        </is>
      </c>
      <c r="B336" s="46" t="inlineStr">
        <is>
          <t xml:space="preserve">Ramona Delacroix</t>
        </is>
      </c>
      <c r="C336" s="47">
        <v>46117</v>
      </c>
      <c r="D336" s="48" t="inlineStr">
        <is>
          <t xml:space="preserve">Bound - within authority</t>
        </is>
      </c>
      <c r="E336" s="48" t="inlineStr">
        <is>
          <t xml:space="preserve">New business</t>
        </is>
      </c>
      <c r="F336" s="46" t="inlineStr">
        <is>
          <t xml:space="preserve">B1234EXOTIC26</t>
        </is>
      </c>
      <c r="G336" s="33">
        <f>IF($A336="","",IF($C336="","",YEAR($C336)))</f>
      </c>
      <c r="H336" s="49">
        <v>1966</v>
      </c>
      <c r="I336" s="46" t="inlineStr">
        <is>
          <t xml:space="preserve">Ferrari</t>
        </is>
      </c>
      <c r="J336" s="46" t="inlineStr">
        <is>
          <t xml:space="preserve">SF90 Stradale</t>
        </is>
      </c>
      <c r="K336" s="46" t="inlineStr">
        <is>
          <t xml:space="preserve">0D7VP48L9KCFP3XTX</t>
        </is>
      </c>
      <c r="L336" s="48" t="inlineStr">
        <is>
          <t xml:space="preserve">03 - Supercar</t>
        </is>
      </c>
      <c r="M336" s="50">
        <v>390000</v>
      </c>
      <c r="N336" s="48" t="inlineStr">
        <is>
          <t xml:space="preserve">Personal</t>
        </is>
      </c>
      <c r="O336" s="46" t="inlineStr">
        <is>
          <t xml:space="preserve">Personal - regular use</t>
        </is>
      </c>
      <c r="P336" s="46" t="inlineStr">
        <is>
          <t xml:space="preserve">Under 1,000</t>
        </is>
      </c>
      <c r="Q336" s="46" t="inlineStr">
        <is>
          <t xml:space="preserve">Maine</t>
        </is>
      </c>
      <c r="R336" s="46" t="inlineStr">
        <is>
          <t xml:space="preserve">04101</t>
        </is>
      </c>
      <c r="S336" s="48" t="inlineStr">
        <is>
          <t xml:space="preserve">Tier 3 - Coastal wind (25-100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7590.15</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CANON-202604-007041</t>
        </is>
      </c>
      <c r="B337" s="30" t="inlineStr">
        <is>
          <t xml:space="preserve">Sunniva Rourke</t>
        </is>
      </c>
      <c r="C337" s="31">
        <v>46114</v>
      </c>
      <c r="D337" s="32" t="inlineStr">
        <is>
          <t xml:space="preserve">Bound - within authority</t>
        </is>
      </c>
      <c r="E337" s="32" t="inlineStr">
        <is>
          <t xml:space="preserve">New business</t>
        </is>
      </c>
      <c r="F337" s="30" t="inlineStr">
        <is>
          <t xml:space="preserve">B1234EXOTIC26</t>
        </is>
      </c>
      <c r="G337" s="33">
        <f>IF($A337="","",IF($C337="","",YEAR($C337)))</f>
      </c>
      <c r="H337" s="34">
        <v>2012</v>
      </c>
      <c r="I337" s="30" t="inlineStr">
        <is>
          <t xml:space="preserve">Mercedes-Benz</t>
        </is>
      </c>
      <c r="J337" s="30" t="inlineStr">
        <is>
          <t xml:space="preserve">AMG GT</t>
        </is>
      </c>
      <c r="K337" s="30" t="inlineStr">
        <is>
          <t xml:space="preserve">WP3Y5E93HP08CM7EN</t>
        </is>
      </c>
      <c r="L337" s="32" t="inlineStr">
        <is>
          <t xml:space="preserve">02 - Sports / GT</t>
        </is>
      </c>
      <c r="M337" s="35">
        <v>490000</v>
      </c>
      <c r="N337" s="32" t="inlineStr">
        <is>
          <t xml:space="preserve">Personal</t>
        </is>
      </c>
      <c r="O337" s="30" t="inlineStr">
        <is>
          <t xml:space="preserve">Personal - regular use</t>
        </is>
      </c>
      <c r="P337" s="30" t="inlineStr">
        <is>
          <t xml:space="preserve">Under 1,000</t>
        </is>
      </c>
      <c r="Q337" s="30" t="inlineStr">
        <is>
          <t xml:space="preserve">Nebraska</t>
        </is>
      </c>
      <c r="R337" s="30" t="inlineStr">
        <is>
          <t xml:space="preserve">68102</t>
        </is>
      </c>
      <c r="S337" s="32" t="inlineStr">
        <is>
          <t xml:space="preserve">Severe convective - hail alley (high)</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7486.25</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CANON-202604-007043</t>
        </is>
      </c>
      <c r="B338" s="46" t="inlineStr">
        <is>
          <t xml:space="preserve">Horace Nakashima</t>
        </is>
      </c>
      <c r="C338" s="47">
        <v>46121</v>
      </c>
      <c r="D338" s="48" t="inlineStr">
        <is>
          <t xml:space="preserve">Bound - within authority</t>
        </is>
      </c>
      <c r="E338" s="48" t="inlineStr">
        <is>
          <t xml:space="preserve">New business</t>
        </is>
      </c>
      <c r="F338" s="46" t="inlineStr">
        <is>
          <t xml:space="preserve">B1234EXOTIC26</t>
        </is>
      </c>
      <c r="G338" s="33">
        <f>IF($A338="","",IF($C338="","",YEAR($C338)))</f>
      </c>
      <c r="H338" s="49">
        <v>1998</v>
      </c>
      <c r="I338" s="46" t="inlineStr">
        <is>
          <t xml:space="preserve">Mercedes-Benz</t>
        </is>
      </c>
      <c r="J338" s="46" t="inlineStr">
        <is>
          <t xml:space="preserve">280SL Pagoda</t>
        </is>
      </c>
      <c r="K338" s="46" t="inlineStr">
        <is>
          <t xml:space="preserve">XXPWFRNE0U4TDB8RK</t>
        </is>
      </c>
      <c r="L338" s="48" t="inlineStr">
        <is>
          <t xml:space="preserve">08 - Modern Classic (1973-1999)</t>
        </is>
      </c>
      <c r="M338" s="50">
        <v>1010000</v>
      </c>
      <c r="N338" s="48" t="inlineStr">
        <is>
          <t xml:space="preserve">Personal</t>
        </is>
      </c>
      <c r="O338" s="46" t="inlineStr">
        <is>
          <t xml:space="preserve">Personal - regular use</t>
        </is>
      </c>
      <c r="P338" s="46" t="inlineStr">
        <is>
          <t xml:space="preserve">1,000 - 2,500</t>
        </is>
      </c>
      <c r="Q338" s="46" t="inlineStr">
        <is>
          <t xml:space="preserve">New Mexico</t>
        </is>
      </c>
      <c r="R338" s="46" t="inlineStr">
        <is>
          <t xml:space="preserve">87501</t>
        </is>
      </c>
      <c r="S338" s="48" t="inlineStr">
        <is>
          <t xml:space="preserve">Wildfire - WUI high hazard</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7698.01</v>
      </c>
      <c r="AC338" s="51">
        <v>0</v>
      </c>
      <c r="AD338" s="38">
        <f>IF(ISNUMBER($AB338),$AB338*(1+N($AC338)),"")</f>
      </c>
      <c r="AE338" s="50">
        <v>350</v>
      </c>
      <c r="AF338" s="50">
        <v>250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CANON-202604-007044</t>
        </is>
      </c>
      <c r="B339" s="30" t="inlineStr">
        <is>
          <t xml:space="preserve">Wilhelmina Whitlock</t>
        </is>
      </c>
      <c r="C339" s="31">
        <v>46128</v>
      </c>
      <c r="D339" s="32" t="inlineStr">
        <is>
          <t xml:space="preserve">Bound - within authority</t>
        </is>
      </c>
      <c r="E339" s="32" t="inlineStr">
        <is>
          <t xml:space="preserve">New business</t>
        </is>
      </c>
      <c r="F339" s="30" t="inlineStr">
        <is>
          <t xml:space="preserve">B1234EXOTIC26</t>
        </is>
      </c>
      <c r="G339" s="33">
        <f>IF($A339="","",IF($C339="","",YEAR($C339)))</f>
      </c>
      <c r="H339" s="34">
        <v>2022</v>
      </c>
      <c r="I339" s="30" t="inlineStr">
        <is>
          <t xml:space="preserve">Bentley</t>
        </is>
      </c>
      <c r="J339" s="30" t="inlineStr">
        <is>
          <t xml:space="preserve">Continental GT</t>
        </is>
      </c>
      <c r="K339" s="30" t="inlineStr">
        <is>
          <t xml:space="preserve">BS38X1U1S0UJAZSE1</t>
        </is>
      </c>
      <c r="L339" s="32" t="inlineStr">
        <is>
          <t xml:space="preserve">02 - Sports / GT</t>
        </is>
      </c>
      <c r="M339" s="35">
        <v>335000</v>
      </c>
      <c r="N339" s="32" t="inlineStr">
        <is>
          <t xml:space="preserve">Personal</t>
        </is>
      </c>
      <c r="O339" s="30" t="inlineStr">
        <is>
          <t xml:space="preserve">Personal - regular use</t>
        </is>
      </c>
      <c r="P339" s="30" t="inlineStr">
        <is>
          <t xml:space="preserve">1,000 - 2,500</t>
        </is>
      </c>
      <c r="Q339" s="30" t="inlineStr">
        <is>
          <t xml:space="preserve">Wisconsin</t>
        </is>
      </c>
      <c r="R339" s="30" t="inlineStr">
        <is>
          <t xml:space="preserve">53202</t>
        </is>
      </c>
      <c r="S339" s="32" t="inlineStr">
        <is>
          <t xml:space="preserve">Severe convective - hail / tornado (moderate)</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4724.45</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CANON-202604-007045</t>
        </is>
      </c>
      <c r="B340" s="46" t="inlineStr">
        <is>
          <t xml:space="preserve">Beatrix Farkas</t>
        </is>
      </c>
      <c r="C340" s="47">
        <v>46133</v>
      </c>
      <c r="D340" s="48" t="inlineStr">
        <is>
          <t xml:space="preserve">Bound - within authority</t>
        </is>
      </c>
      <c r="E340" s="48" t="inlineStr">
        <is>
          <t xml:space="preserve">New business</t>
        </is>
      </c>
      <c r="F340" s="46" t="inlineStr">
        <is>
          <t xml:space="preserve">B1234EXOTIC26</t>
        </is>
      </c>
      <c r="G340" s="33">
        <f>IF($A340="","",IF($C340="","",YEAR($C340)))</f>
      </c>
      <c r="H340" s="49">
        <v>1988</v>
      </c>
      <c r="I340" s="46" t="inlineStr">
        <is>
          <t xml:space="preserve">BMW</t>
        </is>
      </c>
      <c r="J340" s="46" t="inlineStr">
        <is>
          <t xml:space="preserve">M8 Competition</t>
        </is>
      </c>
      <c r="K340" s="46" t="inlineStr">
        <is>
          <t xml:space="preserve">HD7X27JWT7VG364UR</t>
        </is>
      </c>
      <c r="L340" s="48" t="inlineStr">
        <is>
          <t xml:space="preserve">02 - Sports / GT</t>
        </is>
      </c>
      <c r="M340" s="50">
        <v>665000</v>
      </c>
      <c r="N340" s="48" t="inlineStr">
        <is>
          <t xml:space="preserve">Personal</t>
        </is>
      </c>
      <c r="O340" s="46" t="inlineStr">
        <is>
          <t xml:space="preserve">Personal - regular use</t>
        </is>
      </c>
      <c r="P340" s="46" t="inlineStr">
        <is>
          <t xml:space="preserve">1,000 - 2,500</t>
        </is>
      </c>
      <c r="Q340" s="46" t="inlineStr">
        <is>
          <t xml:space="preserve">Delaware</t>
        </is>
      </c>
      <c r="R340" s="46" t="inlineStr">
        <is>
          <t xml:space="preserve">19801</t>
        </is>
      </c>
      <c r="S340" s="48" t="inlineStr">
        <is>
          <t xml:space="preserve">Tier 3 - Coastal wind (25-100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8466.6</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CANON-202604-007046</t>
        </is>
      </c>
      <c r="B341" s="30" t="inlineStr">
        <is>
          <t xml:space="preserve">Priya Underwood</t>
        </is>
      </c>
      <c r="C341" s="31">
        <v>46125</v>
      </c>
      <c r="D341" s="32" t="inlineStr">
        <is>
          <t xml:space="preserve">Bound - within authority</t>
        </is>
      </c>
      <c r="E341" s="32" t="inlineStr">
        <is>
          <t xml:space="preserve">New business</t>
        </is>
      </c>
      <c r="F341" s="30" t="inlineStr">
        <is>
          <t xml:space="preserve">B1234EXOTIC26</t>
        </is>
      </c>
      <c r="G341" s="33">
        <f>IF($A341="","",IF($C341="","",YEAR($C341)))</f>
      </c>
      <c r="H341" s="34">
        <v>2007</v>
      </c>
      <c r="I341" s="30" t="inlineStr">
        <is>
          <t xml:space="preserve">Bentley</t>
        </is>
      </c>
      <c r="J341" s="30" t="inlineStr">
        <is>
          <t xml:space="preserve">Continental GT</t>
        </is>
      </c>
      <c r="K341" s="30" t="inlineStr">
        <is>
          <t xml:space="preserve">99XEEWX641L2JND9Z</t>
        </is>
      </c>
      <c r="L341" s="32" t="inlineStr">
        <is>
          <t xml:space="preserve">02 - Sports / GT</t>
        </is>
      </c>
      <c r="M341" s="35">
        <v>550000</v>
      </c>
      <c r="N341" s="32" t="inlineStr">
        <is>
          <t xml:space="preserve">Personal</t>
        </is>
      </c>
      <c r="O341" s="30" t="inlineStr">
        <is>
          <t xml:space="preserve">Personal - regular use</t>
        </is>
      </c>
      <c r="P341" s="30" t="inlineStr">
        <is>
          <t xml:space="preserve">2,500 - 5,000</t>
        </is>
      </c>
      <c r="Q341" s="30" t="inlineStr">
        <is>
          <t xml:space="preserve">Colorado</t>
        </is>
      </c>
      <c r="R341" s="30" t="inlineStr">
        <is>
          <t xml:space="preserve">80202</t>
        </is>
      </c>
      <c r="S341" s="32" t="inlineStr">
        <is>
          <t xml:space="preserve">Severe convective - hail alley (high)</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6162.15</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CANON-202604-007047</t>
        </is>
      </c>
      <c r="B342" s="46" t="inlineStr">
        <is>
          <t xml:space="preserve">Noor Whitlock</t>
        </is>
      </c>
      <c r="C342" s="47">
        <v>46132</v>
      </c>
      <c r="D342" s="48" t="inlineStr">
        <is>
          <t xml:space="preserve">Bound - within authority</t>
        </is>
      </c>
      <c r="E342" s="48" t="inlineStr">
        <is>
          <t xml:space="preserve">New business</t>
        </is>
      </c>
      <c r="F342" s="46" t="inlineStr">
        <is>
          <t xml:space="preserve">B1234EXOTIC26</t>
        </is>
      </c>
      <c r="G342" s="33">
        <f>IF($A342="","",IF($C342="","",YEAR($C342)))</f>
      </c>
      <c r="H342" s="49">
        <v>1957</v>
      </c>
      <c r="I342" s="46" t="inlineStr">
        <is>
          <t xml:space="preserve">Ferrari</t>
        </is>
      </c>
      <c r="J342" s="46" t="inlineStr">
        <is>
          <t xml:space="preserve">SF90 Stradale</t>
        </is>
      </c>
      <c r="K342" s="46" t="inlineStr">
        <is>
          <t xml:space="preserve">L4Y5BDA74DJGAYMSH</t>
        </is>
      </c>
      <c r="L342" s="48" t="inlineStr">
        <is>
          <t xml:space="preserve">03 - Supercar</t>
        </is>
      </c>
      <c r="M342" s="50">
        <v>900000</v>
      </c>
      <c r="N342" s="48" t="inlineStr">
        <is>
          <t xml:space="preserve">Personal</t>
        </is>
      </c>
      <c r="O342" s="46" t="inlineStr">
        <is>
          <t xml:space="preserve">Personal - regular use</t>
        </is>
      </c>
      <c r="P342" s="46" t="inlineStr">
        <is>
          <t xml:space="preserve">Under 1,000</t>
        </is>
      </c>
      <c r="Q342" s="46" t="inlineStr">
        <is>
          <t xml:space="preserve">Missouri</t>
        </is>
      </c>
      <c r="R342" s="46" t="inlineStr">
        <is>
          <t xml:space="preserve">63101</t>
        </is>
      </c>
      <c r="S342" s="48" t="inlineStr">
        <is>
          <t xml:space="preserve">Severe convective - hail / tornado (moderate)</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14201.55</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CANON-202604-007048</t>
        </is>
      </c>
      <c r="B343" s="30" t="inlineStr">
        <is>
          <t xml:space="preserve">Saoirse Kingsford</t>
        </is>
      </c>
      <c r="C343" s="31">
        <v>46113</v>
      </c>
      <c r="D343" s="32" t="inlineStr">
        <is>
          <t xml:space="preserve">Bound - within authority</t>
        </is>
      </c>
      <c r="E343" s="32" t="inlineStr">
        <is>
          <t xml:space="preserve">New business</t>
        </is>
      </c>
      <c r="F343" s="30" t="inlineStr">
        <is>
          <t xml:space="preserve">B1234EXOTIC26</t>
        </is>
      </c>
      <c r="G343" s="33">
        <f>IF($A343="","",IF($C343="","",YEAR($C343)))</f>
      </c>
      <c r="H343" s="34">
        <v>1969</v>
      </c>
      <c r="I343" s="30" t="inlineStr">
        <is>
          <t xml:space="preserve">Ferrari</t>
        </is>
      </c>
      <c r="J343" s="30" t="inlineStr">
        <is>
          <t xml:space="preserve">SF90 Stradale</t>
        </is>
      </c>
      <c r="K343" s="30" t="inlineStr">
        <is>
          <t xml:space="preserve">7E7C58SB61EYJDVFL</t>
        </is>
      </c>
      <c r="L343" s="32" t="inlineStr">
        <is>
          <t xml:space="preserve">03 - Supercar</t>
        </is>
      </c>
      <c r="M343" s="35">
        <v>665000</v>
      </c>
      <c r="N343" s="32" t="inlineStr">
        <is>
          <t xml:space="preserve">Personal</t>
        </is>
      </c>
      <c r="O343" s="30" t="inlineStr">
        <is>
          <t xml:space="preserve">Personal - regular use</t>
        </is>
      </c>
      <c r="P343" s="30" t="inlineStr">
        <is>
          <t xml:space="preserve">2,500 - 5,000</t>
        </is>
      </c>
      <c r="Q343" s="30" t="inlineStr">
        <is>
          <t xml:space="preserve">Pennsylvania</t>
        </is>
      </c>
      <c r="R343" s="30" t="inlineStr">
        <is>
          <t xml:space="preserve">19103</t>
        </is>
      </c>
      <c r="S343" s="32" t="inlineStr">
        <is>
          <t xml:space="preserve">Low hazard - inland benign</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9899.4</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CANON-202604-007049</t>
        </is>
      </c>
      <c r="B344" s="46" t="inlineStr">
        <is>
          <t xml:space="preserve">Mireille Montoya</t>
        </is>
      </c>
      <c r="C344" s="47">
        <v>46126</v>
      </c>
      <c r="D344" s="48" t="inlineStr">
        <is>
          <t xml:space="preserve">Bound - within authority</t>
        </is>
      </c>
      <c r="E344" s="48" t="inlineStr">
        <is>
          <t xml:space="preserve">New business</t>
        </is>
      </c>
      <c r="F344" s="46" t="inlineStr">
        <is>
          <t xml:space="preserve">B1234EXOTIC26</t>
        </is>
      </c>
      <c r="G344" s="33">
        <f>IF($A344="","",IF($C344="","",YEAR($C344)))</f>
      </c>
      <c r="H344" s="49">
        <v>1995</v>
      </c>
      <c r="I344" s="46" t="inlineStr">
        <is>
          <t xml:space="preserve">Bentley</t>
        </is>
      </c>
      <c r="J344" s="46" t="inlineStr">
        <is>
          <t xml:space="preserve">Continental GT</t>
        </is>
      </c>
      <c r="K344" s="46" t="inlineStr">
        <is>
          <t xml:space="preserve">FLLC91SPTF7ULHJKK</t>
        </is>
      </c>
      <c r="L344" s="48" t="inlineStr">
        <is>
          <t xml:space="preserve">02 - Sports / GT</t>
        </is>
      </c>
      <c r="M344" s="50">
        <v>375000</v>
      </c>
      <c r="N344" s="48" t="inlineStr">
        <is>
          <t xml:space="preserve">Personal</t>
        </is>
      </c>
      <c r="O344" s="46" t="inlineStr">
        <is>
          <t xml:space="preserve">Personal - regular use</t>
        </is>
      </c>
      <c r="P344" s="46" t="inlineStr">
        <is>
          <t xml:space="preserve">2,500 - 5,000</t>
        </is>
      </c>
      <c r="Q344" s="46" t="inlineStr">
        <is>
          <t xml:space="preserve">Indiana</t>
        </is>
      </c>
      <c r="R344" s="46" t="inlineStr">
        <is>
          <t xml:space="preserve">46204</t>
        </is>
      </c>
      <c r="S344" s="48" t="inlineStr">
        <is>
          <t xml:space="preserve">Severe convective - hail / tornado (moderate)</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5420.77</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CANON-202604-007050</t>
        </is>
      </c>
      <c r="B345" s="30" t="inlineStr">
        <is>
          <t xml:space="preserve">Ottilie Castellanos</t>
        </is>
      </c>
      <c r="C345" s="31">
        <v>46113</v>
      </c>
      <c r="D345" s="32" t="inlineStr">
        <is>
          <t xml:space="preserve">Bound - within authority</t>
        </is>
      </c>
      <c r="E345" s="32" t="inlineStr">
        <is>
          <t xml:space="preserve">New business</t>
        </is>
      </c>
      <c r="F345" s="30" t="inlineStr">
        <is>
          <t xml:space="preserve">B1234EXOTIC26</t>
        </is>
      </c>
      <c r="G345" s="33">
        <f>IF($A345="","",IF($C345="","",YEAR($C345)))</f>
      </c>
      <c r="H345" s="34">
        <v>1971</v>
      </c>
      <c r="I345" s="30" t="inlineStr">
        <is>
          <t xml:space="preserve">Ferrari</t>
        </is>
      </c>
      <c r="J345" s="30" t="inlineStr">
        <is>
          <t xml:space="preserve">SF90 Stradale</t>
        </is>
      </c>
      <c r="K345" s="30" t="inlineStr">
        <is>
          <t xml:space="preserve">ETR5D0YWL89LV338U</t>
        </is>
      </c>
      <c r="L345" s="32" t="inlineStr">
        <is>
          <t xml:space="preserve">03 - Supercar</t>
        </is>
      </c>
      <c r="M345" s="35">
        <v>370000</v>
      </c>
      <c r="N345" s="32" t="inlineStr">
        <is>
          <t xml:space="preserve">Personal</t>
        </is>
      </c>
      <c r="O345" s="30" t="inlineStr">
        <is>
          <t xml:space="preserve">Personal - regular use</t>
        </is>
      </c>
      <c r="P345" s="30" t="inlineStr">
        <is>
          <t xml:space="preserve">2,500 - 5,000</t>
        </is>
      </c>
      <c r="Q345" s="30" t="inlineStr">
        <is>
          <t xml:space="preserve">Nevada</t>
        </is>
      </c>
      <c r="R345" s="30" t="inlineStr">
        <is>
          <t xml:space="preserve">89101</t>
        </is>
      </c>
      <c r="S345" s="32" t="inlineStr">
        <is>
          <t xml:space="preserve">Wildfire - WUI high hazard</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7800.98</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CANON-202604-007052</t>
        </is>
      </c>
      <c r="B346" s="46" t="inlineStr">
        <is>
          <t xml:space="preserve">Leopold Nakashima</t>
        </is>
      </c>
      <c r="C346" s="47">
        <v>46130</v>
      </c>
      <c r="D346" s="48" t="inlineStr">
        <is>
          <t xml:space="preserve">Bound - within authority</t>
        </is>
      </c>
      <c r="E346" s="48" t="inlineStr">
        <is>
          <t xml:space="preserve">New business</t>
        </is>
      </c>
      <c r="F346" s="46" t="inlineStr">
        <is>
          <t xml:space="preserve">B1234EXOTIC26</t>
        </is>
      </c>
      <c r="G346" s="33">
        <f>IF($A346="","",IF($C346="","",YEAR($C346)))</f>
      </c>
      <c r="H346" s="49">
        <v>1992</v>
      </c>
      <c r="I346" s="46" t="inlineStr">
        <is>
          <t xml:space="preserve">BMW</t>
        </is>
      </c>
      <c r="J346" s="46" t="inlineStr">
        <is>
          <t xml:space="preserve">M8 Competition</t>
        </is>
      </c>
      <c r="K346" s="46" t="inlineStr">
        <is>
          <t xml:space="preserve">D5B2VNLT7ASLDAR6K</t>
        </is>
      </c>
      <c r="L346" s="48" t="inlineStr">
        <is>
          <t xml:space="preserve">02 - Sports / GT</t>
        </is>
      </c>
      <c r="M346" s="50">
        <v>335000</v>
      </c>
      <c r="N346" s="48" t="inlineStr">
        <is>
          <t xml:space="preserve">Personal</t>
        </is>
      </c>
      <c r="O346" s="46" t="inlineStr">
        <is>
          <t xml:space="preserve">Personal - regular use</t>
        </is>
      </c>
      <c r="P346" s="46" t="inlineStr">
        <is>
          <t xml:space="preserve">Under 1,000</t>
        </is>
      </c>
      <c r="Q346" s="46" t="inlineStr">
        <is>
          <t xml:space="preserve">Louisiana</t>
        </is>
      </c>
      <c r="R346" s="46" t="inlineStr">
        <is>
          <t xml:space="preserve">70112</t>
        </is>
      </c>
      <c r="S346" s="48" t="inlineStr">
        <is>
          <t xml:space="preserve">Tier 2 - Coastal wind (1-25 miles)</t>
        </is>
      </c>
      <c r="T346" s="36">
        <f>IF($A346="","",IF($S346="","",IFERROR(INDEX('[1]natural catastrophe'!$D$6:$D$17,MATCH($S346,'[1]natural catastrophe'!$B$6:$B$17,0)),"?")))</f>
      </c>
      <c r="U346" s="46" t="inlineStr">
        <is>
          <t xml:space="preserve">2% of agreed value, minimum $10,000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4763.81</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CANON-202604-007053</t>
        </is>
      </c>
      <c r="B347" s="30" t="inlineStr">
        <is>
          <t xml:space="preserve">Sunniva Underwood</t>
        </is>
      </c>
      <c r="C347" s="31">
        <v>46133</v>
      </c>
      <c r="D347" s="32" t="inlineStr">
        <is>
          <t xml:space="preserve">Bound - within authority</t>
        </is>
      </c>
      <c r="E347" s="32" t="inlineStr">
        <is>
          <t xml:space="preserve">New business</t>
        </is>
      </c>
      <c r="F347" s="30" t="inlineStr">
        <is>
          <t xml:space="preserve">B1234EXOTIC26</t>
        </is>
      </c>
      <c r="G347" s="33">
        <f>IF($A347="","",IF($C347="","",YEAR($C347)))</f>
      </c>
      <c r="H347" s="34">
        <v>1978</v>
      </c>
      <c r="I347" s="30" t="inlineStr">
        <is>
          <t xml:space="preserve">Singer</t>
        </is>
      </c>
      <c r="J347" s="30" t="inlineStr">
        <is>
          <t xml:space="preserve">911 Reimagined</t>
        </is>
      </c>
      <c r="K347" s="30" t="inlineStr">
        <is>
          <t xml:space="preserve">UM2B961ZAPPC92W6U</t>
        </is>
      </c>
      <c r="L347" s="32" t="inlineStr">
        <is>
          <t xml:space="preserve">11 - Restomod / Coachbuilt / Bespoke</t>
        </is>
      </c>
      <c r="M347" s="35">
        <v>480000</v>
      </c>
      <c r="N347" s="32" t="inlineStr">
        <is>
          <t xml:space="preserve">Personal</t>
        </is>
      </c>
      <c r="O347" s="30" t="inlineStr">
        <is>
          <t xml:space="preserve">Personal - regular use</t>
        </is>
      </c>
      <c r="P347" s="30" t="inlineStr">
        <is>
          <t xml:space="preserve">2,500 - 5,000</t>
        </is>
      </c>
      <c r="Q347" s="30" t="inlineStr">
        <is>
          <t xml:space="preserve">Tennessee</t>
        </is>
      </c>
      <c r="R347" s="30" t="inlineStr">
        <is>
          <t xml:space="preserve">37203</t>
        </is>
      </c>
      <c r="S347" s="32" t="inlineStr">
        <is>
          <t xml:space="preserve">Severe convective - hail / tornado (moderate)</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6486.55</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CANON-202604-007054</t>
        </is>
      </c>
      <c r="B348" s="46" t="inlineStr">
        <is>
          <t xml:space="preserve">Leopold Ashcombe</t>
        </is>
      </c>
      <c r="C348" s="47">
        <v>46116</v>
      </c>
      <c r="D348" s="48" t="inlineStr">
        <is>
          <t xml:space="preserve">Bound - within authority</t>
        </is>
      </c>
      <c r="E348" s="48" t="inlineStr">
        <is>
          <t xml:space="preserve">New business</t>
        </is>
      </c>
      <c r="F348" s="46" t="inlineStr">
        <is>
          <t xml:space="preserve">B1234EXOTIC26</t>
        </is>
      </c>
      <c r="G348" s="33">
        <f>IF($A348="","",IF($C348="","",YEAR($C348)))</f>
      </c>
      <c r="H348" s="49">
        <v>2011</v>
      </c>
      <c r="I348" s="46" t="inlineStr">
        <is>
          <t xml:space="preserve">McLaren</t>
        </is>
      </c>
      <c r="J348" s="46" t="inlineStr">
        <is>
          <t xml:space="preserve">750S</t>
        </is>
      </c>
      <c r="K348" s="46" t="inlineStr">
        <is>
          <t xml:space="preserve">LW89XFU724J1E3MLA</t>
        </is>
      </c>
      <c r="L348" s="48" t="inlineStr">
        <is>
          <t xml:space="preserve">03 - Supercar</t>
        </is>
      </c>
      <c r="M348" s="50">
        <v>485000</v>
      </c>
      <c r="N348" s="48" t="inlineStr">
        <is>
          <t xml:space="preserve">Personal</t>
        </is>
      </c>
      <c r="O348" s="46" t="inlineStr">
        <is>
          <t xml:space="preserve">Personal - regular use</t>
        </is>
      </c>
      <c r="P348" s="46" t="inlineStr">
        <is>
          <t xml:space="preserve">Under 1,000</t>
        </is>
      </c>
      <c r="Q348" s="46" t="inlineStr">
        <is>
          <t xml:space="preserve">Florida</t>
        </is>
      </c>
      <c r="R348" s="46" t="inlineStr">
        <is>
          <t xml:space="preserve">33139</t>
        </is>
      </c>
      <c r="S348" s="48" t="inlineStr">
        <is>
          <t xml:space="preserve">Tier 2 - Coastal wind (1-25 miles)</t>
        </is>
      </c>
      <c r="T348" s="36">
        <f>IF($A348="","",IF($S348="","",IFERROR(INDEX('[1]natural catastrophe'!$D$6:$D$17,MATCH($S348,'[1]natural catastrophe'!$B$6:$B$17,0)),"?")))</f>
      </c>
      <c r="U348" s="46" t="inlineStr">
        <is>
          <t xml:space="preserve">2% of agreed value, minimum $10,000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12410.57</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CANON-202604-007057</t>
        </is>
      </c>
      <c r="B349" s="30" t="inlineStr">
        <is>
          <t xml:space="preserve">Cassius Farkas</t>
        </is>
      </c>
      <c r="C349" s="31">
        <v>46142</v>
      </c>
      <c r="D349" s="32" t="inlineStr">
        <is>
          <t xml:space="preserve">Bound - within authority</t>
        </is>
      </c>
      <c r="E349" s="32" t="inlineStr">
        <is>
          <t xml:space="preserve">New business</t>
        </is>
      </c>
      <c r="F349" s="30" t="inlineStr">
        <is>
          <t xml:space="preserve">B1234EXOTIC26</t>
        </is>
      </c>
      <c r="G349" s="33">
        <f>IF($A349="","",IF($C349="","",YEAR($C349)))</f>
      </c>
      <c r="H349" s="34">
        <v>1984</v>
      </c>
      <c r="I349" s="30" t="inlineStr">
        <is>
          <t xml:space="preserve">Ferrari</t>
        </is>
      </c>
      <c r="J349" s="30" t="inlineStr">
        <is>
          <t xml:space="preserve">SF90 Stradale</t>
        </is>
      </c>
      <c r="K349" s="30" t="inlineStr">
        <is>
          <t xml:space="preserve">WKS1T05ZVFU2U1282</t>
        </is>
      </c>
      <c r="L349" s="32" t="inlineStr">
        <is>
          <t xml:space="preserve">03 - Supercar</t>
        </is>
      </c>
      <c r="M349" s="35">
        <v>1295000</v>
      </c>
      <c r="N349" s="32" t="inlineStr">
        <is>
          <t xml:space="preserve">Personal</t>
        </is>
      </c>
      <c r="O349" s="30" t="inlineStr">
        <is>
          <t xml:space="preserve">Personal - regular use</t>
        </is>
      </c>
      <c r="P349" s="30" t="inlineStr">
        <is>
          <t xml:space="preserve">Under 1,000</t>
        </is>
      </c>
      <c r="Q349" s="30" t="inlineStr">
        <is>
          <t xml:space="preserve">Colorado</t>
        </is>
      </c>
      <c r="R349" s="30" t="inlineStr">
        <is>
          <t xml:space="preserve">80202</t>
        </is>
      </c>
      <c r="S349" s="32" t="inlineStr">
        <is>
          <t xml:space="preserve">Severe convective - hail alley (high)</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17857.32</v>
      </c>
      <c r="AC349" s="37">
        <v>0</v>
      </c>
      <c r="AD349" s="38">
        <f>IF(ISNUMBER($AB349),$AB349*(1+N($AC349)),"")</f>
      </c>
      <c r="AE349" s="35">
        <v>350</v>
      </c>
      <c r="AF349" s="35">
        <v>250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CANON-202604-007058</t>
        </is>
      </c>
      <c r="B350" s="46" t="inlineStr">
        <is>
          <t xml:space="preserve">Ingrid Farkas</t>
        </is>
      </c>
      <c r="C350" s="47">
        <v>46134</v>
      </c>
      <c r="D350" s="48" t="inlineStr">
        <is>
          <t xml:space="preserve">Bound - within authority</t>
        </is>
      </c>
      <c r="E350" s="48" t="inlineStr">
        <is>
          <t xml:space="preserve">New business</t>
        </is>
      </c>
      <c r="F350" s="46" t="inlineStr">
        <is>
          <t xml:space="preserve">B1234EXOTIC26</t>
        </is>
      </c>
      <c r="G350" s="33">
        <f>IF($A350="","",IF($C350="","",YEAR($C350)))</f>
      </c>
      <c r="H350" s="49">
        <v>2014</v>
      </c>
      <c r="I350" s="46" t="inlineStr">
        <is>
          <t xml:space="preserve">Ferrari</t>
        </is>
      </c>
      <c r="J350" s="46" t="inlineStr">
        <is>
          <t xml:space="preserve">275 GTB/4</t>
        </is>
      </c>
      <c r="K350" s="46" t="inlineStr">
        <is>
          <t xml:space="preserve">UYTH44PU200U9YBK8</t>
        </is>
      </c>
      <c r="L350" s="48" t="inlineStr">
        <is>
          <t xml:space="preserve">02 - Sports / GT</t>
        </is>
      </c>
      <c r="M350" s="50">
        <v>610000</v>
      </c>
      <c r="N350" s="48" t="inlineStr">
        <is>
          <t xml:space="preserve">Personal</t>
        </is>
      </c>
      <c r="O350" s="46" t="inlineStr">
        <is>
          <t xml:space="preserve">Personal - regular use</t>
        </is>
      </c>
      <c r="P350" s="46" t="inlineStr">
        <is>
          <t xml:space="preserve">2,500 - 5,000</t>
        </is>
      </c>
      <c r="Q350" s="46" t="inlineStr">
        <is>
          <t xml:space="preserve">South Dakota</t>
        </is>
      </c>
      <c r="R350" s="46" t="inlineStr">
        <is>
          <t xml:space="preserve">57501</t>
        </is>
      </c>
      <c r="S350" s="48" t="inlineStr">
        <is>
          <t xml:space="preserve">Severe convective - hail alley (high)</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4562.31</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CANON-202604-007059</t>
        </is>
      </c>
      <c r="B351" s="30" t="inlineStr">
        <is>
          <t xml:space="preserve">Noor Fairweather</t>
        </is>
      </c>
      <c r="C351" s="31">
        <v>46127</v>
      </c>
      <c r="D351" s="32" t="inlineStr">
        <is>
          <t xml:space="preserve">Bound - within authority</t>
        </is>
      </c>
      <c r="E351" s="32" t="inlineStr">
        <is>
          <t xml:space="preserve">New business</t>
        </is>
      </c>
      <c r="F351" s="30" t="inlineStr">
        <is>
          <t xml:space="preserve">B1234EXOTIC26</t>
        </is>
      </c>
      <c r="G351" s="33">
        <f>IF($A351="","",IF($C351="","",YEAR($C351)))</f>
      </c>
      <c r="H351" s="34">
        <v>1965</v>
      </c>
      <c r="I351" s="30" t="inlineStr">
        <is>
          <t xml:space="preserve">Maserati</t>
        </is>
      </c>
      <c r="J351" s="30" t="inlineStr">
        <is>
          <t xml:space="preserve">GranTurismo</t>
        </is>
      </c>
      <c r="K351" s="30" t="inlineStr">
        <is>
          <t xml:space="preserve">6DX3ST7RY88P6A9HK</t>
        </is>
      </c>
      <c r="L351" s="32" t="inlineStr">
        <is>
          <t xml:space="preserve">02 - Sports / GT</t>
        </is>
      </c>
      <c r="M351" s="35">
        <v>375000</v>
      </c>
      <c r="N351" s="32" t="inlineStr">
        <is>
          <t xml:space="preserve">Personal</t>
        </is>
      </c>
      <c r="O351" s="30" t="inlineStr">
        <is>
          <t xml:space="preserve">Personal - regular use</t>
        </is>
      </c>
      <c r="P351" s="30" t="inlineStr">
        <is>
          <t xml:space="preserve">2,500 - 5,000</t>
        </is>
      </c>
      <c r="Q351" s="30" t="inlineStr">
        <is>
          <t xml:space="preserve">Colorado</t>
        </is>
      </c>
      <c r="R351" s="30" t="inlineStr">
        <is>
          <t xml:space="preserve">80202</t>
        </is>
      </c>
      <c r="S351" s="32" t="inlineStr">
        <is>
          <t xml:space="preserve">Severe convective - hail alley (high)</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4847.84</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CANON-202604-007060</t>
        </is>
      </c>
      <c r="B352" s="46" t="inlineStr">
        <is>
          <t xml:space="preserve">Noor Underwood</t>
        </is>
      </c>
      <c r="C352" s="47">
        <v>46135</v>
      </c>
      <c r="D352" s="48" t="inlineStr">
        <is>
          <t xml:space="preserve">Bound - within authority</t>
        </is>
      </c>
      <c r="E352" s="48" t="inlineStr">
        <is>
          <t xml:space="preserve">New business</t>
        </is>
      </c>
      <c r="F352" s="46" t="inlineStr">
        <is>
          <t xml:space="preserve">B1234EXOTIC26</t>
        </is>
      </c>
      <c r="G352" s="33">
        <f>IF($A352="","",IF($C352="","",YEAR($C352)))</f>
      </c>
      <c r="H352" s="49">
        <v>1984</v>
      </c>
      <c r="I352" s="46" t="inlineStr">
        <is>
          <t xml:space="preserve">Ferrari</t>
        </is>
      </c>
      <c r="J352" s="46" t="inlineStr">
        <is>
          <t xml:space="preserve">SF90 Stradale</t>
        </is>
      </c>
      <c r="K352" s="46" t="inlineStr">
        <is>
          <t xml:space="preserve">Z742J156897TDDJLF</t>
        </is>
      </c>
      <c r="L352" s="48" t="inlineStr">
        <is>
          <t xml:space="preserve">03 - Supercar</t>
        </is>
      </c>
      <c r="M352" s="50">
        <v>1795000</v>
      </c>
      <c r="N352" s="48" t="inlineStr">
        <is>
          <t xml:space="preserve">Personal</t>
        </is>
      </c>
      <c r="O352" s="46" t="inlineStr">
        <is>
          <t xml:space="preserve">Personal - regular use</t>
        </is>
      </c>
      <c r="P352" s="46" t="inlineStr">
        <is>
          <t xml:space="preserve">2,500 - 5,000</t>
        </is>
      </c>
      <c r="Q352" s="46" t="inlineStr">
        <is>
          <t xml:space="preserve">Texas</t>
        </is>
      </c>
      <c r="R352" s="46" t="inlineStr">
        <is>
          <t xml:space="preserve">75201</t>
        </is>
      </c>
      <c r="S352" s="48" t="inlineStr">
        <is>
          <t xml:space="preserve">Tier 2 - Coastal wind (1-25 miles)</t>
        </is>
      </c>
      <c r="T352" s="36">
        <f>IF($A352="","",IF($S352="","",IFERROR(INDEX('[1]natural catastrophe'!$D$6:$D$17,MATCH($S352,'[1]natural catastrophe'!$B$6:$B$17,0)),"?")))</f>
      </c>
      <c r="U352" s="46" t="inlineStr">
        <is>
          <t xml:space="preserve">2% of agreed value, minimum $10,000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25877.13</v>
      </c>
      <c r="AC352" s="51">
        <v>0</v>
      </c>
      <c r="AD352" s="38">
        <f>IF(ISNUMBER($AB352),$AB352*(1+N($AC352)),"")</f>
      </c>
      <c r="AE352" s="50">
        <v>350</v>
      </c>
      <c r="AF352" s="50">
        <v>250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CANON-202604-007061</t>
        </is>
      </c>
      <c r="B353" s="30" t="inlineStr">
        <is>
          <t xml:space="preserve">Cassius Thistlewood</t>
        </is>
      </c>
      <c r="C353" s="31">
        <v>46132</v>
      </c>
      <c r="D353" s="32" t="inlineStr">
        <is>
          <t xml:space="preserve">Bound - within authority</t>
        </is>
      </c>
      <c r="E353" s="32" t="inlineStr">
        <is>
          <t xml:space="preserve">New business</t>
        </is>
      </c>
      <c r="F353" s="30" t="inlineStr">
        <is>
          <t xml:space="preserve">B1234EXOTIC26</t>
        </is>
      </c>
      <c r="G353" s="33">
        <f>IF($A353="","",IF($C353="","",YEAR($C353)))</f>
      </c>
      <c r="H353" s="34">
        <v>1963</v>
      </c>
      <c r="I353" s="30" t="inlineStr">
        <is>
          <t xml:space="preserve">Aston Martin</t>
        </is>
      </c>
      <c r="J353" s="30" t="inlineStr">
        <is>
          <t xml:space="preserve">DB12</t>
        </is>
      </c>
      <c r="K353" s="30" t="inlineStr">
        <is>
          <t xml:space="preserve">S7WE7XJ8B7RMK1BSV</t>
        </is>
      </c>
      <c r="L353" s="32" t="inlineStr">
        <is>
          <t xml:space="preserve">02 - Sports / GT</t>
        </is>
      </c>
      <c r="M353" s="35">
        <v>765000</v>
      </c>
      <c r="N353" s="32" t="inlineStr">
        <is>
          <t xml:space="preserve">Personal</t>
        </is>
      </c>
      <c r="O353" s="30" t="inlineStr">
        <is>
          <t xml:space="preserve">Personal - regular use</t>
        </is>
      </c>
      <c r="P353" s="30" t="inlineStr">
        <is>
          <t xml:space="preserve">1,000 - 2,500</t>
        </is>
      </c>
      <c r="Q353" s="30" t="inlineStr">
        <is>
          <t xml:space="preserve">Utah</t>
        </is>
      </c>
      <c r="R353" s="30" t="inlineStr">
        <is>
          <t xml:space="preserve">84101</t>
        </is>
      </c>
      <c r="S353" s="32" t="inlineStr">
        <is>
          <t xml:space="preserve">Wildfire - WUI high hazard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10518.95</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CANON-202604-007063</t>
        </is>
      </c>
      <c r="B354" s="46" t="inlineStr">
        <is>
          <t xml:space="preserve">Delphine Castellanos</t>
        </is>
      </c>
      <c r="C354" s="47">
        <v>46120</v>
      </c>
      <c r="D354" s="48" t="inlineStr">
        <is>
          <t xml:space="preserve">Bound - within authority</t>
        </is>
      </c>
      <c r="E354" s="48" t="inlineStr">
        <is>
          <t xml:space="preserve">New business</t>
        </is>
      </c>
      <c r="F354" s="46" t="inlineStr">
        <is>
          <t xml:space="preserve">B1234EXOTIC26</t>
        </is>
      </c>
      <c r="G354" s="33">
        <f>IF($A354="","",IF($C354="","",YEAR($C354)))</f>
      </c>
      <c r="H354" s="49">
        <v>1958</v>
      </c>
      <c r="I354" s="46" t="inlineStr">
        <is>
          <t xml:space="preserve">Ferrari</t>
        </is>
      </c>
      <c r="J354" s="46" t="inlineStr">
        <is>
          <t xml:space="preserve">296 GTB</t>
        </is>
      </c>
      <c r="K354" s="46" t="inlineStr">
        <is>
          <t xml:space="preserve">835JMRRC08RRGRFJJ</t>
        </is>
      </c>
      <c r="L354" s="48" t="inlineStr">
        <is>
          <t xml:space="preserve">03 - Supercar</t>
        </is>
      </c>
      <c r="M354" s="50">
        <v>1815000</v>
      </c>
      <c r="N354" s="48" t="inlineStr">
        <is>
          <t xml:space="preserve">Personal</t>
        </is>
      </c>
      <c r="O354" s="46" t="inlineStr">
        <is>
          <t xml:space="preserve">Personal - regular use</t>
        </is>
      </c>
      <c r="P354" s="46" t="inlineStr">
        <is>
          <t xml:space="preserve">Under 1,000</t>
        </is>
      </c>
      <c r="Q354" s="46" t="inlineStr">
        <is>
          <t xml:space="preserve">Oklahoma</t>
        </is>
      </c>
      <c r="R354" s="46" t="inlineStr">
        <is>
          <t xml:space="preserve">73102</t>
        </is>
      </c>
      <c r="S354" s="48" t="inlineStr">
        <is>
          <t xml:space="preserve">Severe convective - hail alley (high)</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28668.24</v>
      </c>
      <c r="AC354" s="51">
        <v>0</v>
      </c>
      <c r="AD354" s="38">
        <f>IF(ISNUMBER($AB354),$AB354*(1+N($AC354)),"")</f>
      </c>
      <c r="AE354" s="50">
        <v>350</v>
      </c>
      <c r="AF354" s="50">
        <v>250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CANON-202604-007066</t>
        </is>
      </c>
      <c r="B355" s="30" t="inlineStr">
        <is>
          <t xml:space="preserve">Fitzgerald Okonkwo</t>
        </is>
      </c>
      <c r="C355" s="31">
        <v>46136</v>
      </c>
      <c r="D355" s="32" t="inlineStr">
        <is>
          <t xml:space="preserve">Bound - within authority</t>
        </is>
      </c>
      <c r="E355" s="32" t="inlineStr">
        <is>
          <t xml:space="preserve">New business</t>
        </is>
      </c>
      <c r="F355" s="30" t="inlineStr">
        <is>
          <t xml:space="preserve">B1234EXOTIC26</t>
        </is>
      </c>
      <c r="G355" s="33">
        <f>IF($A355="","",IF($C355="","",YEAR($C355)))</f>
      </c>
      <c r="H355" s="34">
        <v>1972</v>
      </c>
      <c r="I355" s="30" t="inlineStr">
        <is>
          <t xml:space="preserve">Bentley</t>
        </is>
      </c>
      <c r="J355" s="30" t="inlineStr">
        <is>
          <t xml:space="preserve">Continental GT</t>
        </is>
      </c>
      <c r="K355" s="30" t="inlineStr">
        <is>
          <t xml:space="preserve">JYJA7YSCNLU1ZGSTE</t>
        </is>
      </c>
      <c r="L355" s="32" t="inlineStr">
        <is>
          <t xml:space="preserve">02 - Sports / GT</t>
        </is>
      </c>
      <c r="M355" s="35">
        <v>550000</v>
      </c>
      <c r="N355" s="32" t="inlineStr">
        <is>
          <t xml:space="preserve">Personal</t>
        </is>
      </c>
      <c r="O355" s="30" t="inlineStr">
        <is>
          <t xml:space="preserve">Personal - regular use</t>
        </is>
      </c>
      <c r="P355" s="30" t="inlineStr">
        <is>
          <t xml:space="preserve">2,500 - 5,000</t>
        </is>
      </c>
      <c r="Q355" s="30" t="inlineStr">
        <is>
          <t xml:space="preserve">Iowa</t>
        </is>
      </c>
      <c r="R355" s="30" t="inlineStr">
        <is>
          <t xml:space="preserve">50309</t>
        </is>
      </c>
      <c r="S355" s="32" t="inlineStr">
        <is>
          <t xml:space="preserve">Severe convective - hail alley (high)</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6162.15</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CANON-202604-007067</t>
        </is>
      </c>
      <c r="B356" s="46" t="inlineStr">
        <is>
          <t xml:space="preserve">Delphine Merriweather</t>
        </is>
      </c>
      <c r="C356" s="47">
        <v>46138</v>
      </c>
      <c r="D356" s="48" t="inlineStr">
        <is>
          <t xml:space="preserve">Bound - within authority</t>
        </is>
      </c>
      <c r="E356" s="48" t="inlineStr">
        <is>
          <t xml:space="preserve">New business</t>
        </is>
      </c>
      <c r="F356" s="46" t="inlineStr">
        <is>
          <t xml:space="preserve">B1234EXOTIC26</t>
        </is>
      </c>
      <c r="G356" s="33">
        <f>IF($A356="","",IF($C356="","",YEAR($C356)))</f>
      </c>
      <c r="H356" s="49">
        <v>1986</v>
      </c>
      <c r="I356" s="46" t="inlineStr">
        <is>
          <t xml:space="preserve">Lamborghini</t>
        </is>
      </c>
      <c r="J356" s="46" t="inlineStr">
        <is>
          <t xml:space="preserve">Huracan EVO</t>
        </is>
      </c>
      <c r="K356" s="46" t="inlineStr">
        <is>
          <t xml:space="preserve">V3FULTSY3EHTUYL3J</t>
        </is>
      </c>
      <c r="L356" s="48" t="inlineStr">
        <is>
          <t xml:space="preserve">03 - Supercar</t>
        </is>
      </c>
      <c r="M356" s="50">
        <v>190000</v>
      </c>
      <c r="N356" s="48" t="inlineStr">
        <is>
          <t xml:space="preserve">Personal</t>
        </is>
      </c>
      <c r="O356" s="46" t="inlineStr">
        <is>
          <t xml:space="preserve">Personal - regular use</t>
        </is>
      </c>
      <c r="P356" s="46" t="inlineStr">
        <is>
          <t xml:space="preserve">Under 1,000</t>
        </is>
      </c>
      <c r="Q356" s="46" t="inlineStr">
        <is>
          <t xml:space="preserve">New York</t>
        </is>
      </c>
      <c r="R356" s="46" t="inlineStr">
        <is>
          <t xml:space="preserve">10022</t>
        </is>
      </c>
      <c r="S356" s="48" t="inlineStr">
        <is>
          <t xml:space="preserve">Tier 3 - Coastal wind (25-100 miles)</t>
        </is>
      </c>
      <c r="T356" s="36">
        <f>IF($A356="","",IF($S356="","",IFERROR(INDEX('[1]natural catastrophe'!$D$6:$D$17,MATCH($S356,'[1]natural catastrophe'!$B$6:$B$17,0)),"?")))</f>
      </c>
      <c r="U356" s="46" t="inlineStr">
        <is>
          <t xml:space="preserve">2% of agreed value, minimum $10,000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5411.47</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CANON-202604-007069</t>
        </is>
      </c>
      <c r="B357" s="30" t="inlineStr">
        <is>
          <t xml:space="preserve">Wilhelmina Rourke</t>
        </is>
      </c>
      <c r="C357" s="31">
        <v>46114</v>
      </c>
      <c r="D357" s="32" t="inlineStr">
        <is>
          <t xml:space="preserve">Bound - within authority</t>
        </is>
      </c>
      <c r="E357" s="32" t="inlineStr">
        <is>
          <t xml:space="preserve">New business</t>
        </is>
      </c>
      <c r="F357" s="30" t="inlineStr">
        <is>
          <t xml:space="preserve">B1234EXOTIC26</t>
        </is>
      </c>
      <c r="G357" s="33">
        <f>IF($A357="","",IF($C357="","",YEAR($C357)))</f>
      </c>
      <c r="H357" s="34">
        <v>1977</v>
      </c>
      <c r="I357" s="30" t="inlineStr">
        <is>
          <t xml:space="preserve">Mercedes-Benz</t>
        </is>
      </c>
      <c r="J357" s="30" t="inlineStr">
        <is>
          <t xml:space="preserve">AMG GT</t>
        </is>
      </c>
      <c r="K357" s="30" t="inlineStr">
        <is>
          <t xml:space="preserve">GUGGE1VVG6E6ES9LW</t>
        </is>
      </c>
      <c r="L357" s="32" t="inlineStr">
        <is>
          <t xml:space="preserve">02 - Sports / GT</t>
        </is>
      </c>
      <c r="M357" s="35">
        <v>560000</v>
      </c>
      <c r="N357" s="32" t="inlineStr">
        <is>
          <t xml:space="preserve">Personal</t>
        </is>
      </c>
      <c r="O357" s="30" t="inlineStr">
        <is>
          <t xml:space="preserve">Personal - regular use</t>
        </is>
      </c>
      <c r="P357" s="30" t="inlineStr">
        <is>
          <t xml:space="preserve">1,000 - 2,500</t>
        </is>
      </c>
      <c r="Q357" s="30" t="inlineStr">
        <is>
          <t xml:space="preserve">Oklahoma</t>
        </is>
      </c>
      <c r="R357" s="30" t="inlineStr">
        <is>
          <t xml:space="preserve">73102</t>
        </is>
      </c>
      <c r="S357" s="32" t="inlineStr">
        <is>
          <t xml:space="preserve">Severe convective - hail alley (high)</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7186.8</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CANON-202604-007070</t>
        </is>
      </c>
      <c r="B358" s="46" t="inlineStr">
        <is>
          <t xml:space="preserve">Fitzgerald Okonkwo</t>
        </is>
      </c>
      <c r="C358" s="47">
        <v>46129</v>
      </c>
      <c r="D358" s="48" t="inlineStr">
        <is>
          <t xml:space="preserve">Bound - within authority</t>
        </is>
      </c>
      <c r="E358" s="48" t="inlineStr">
        <is>
          <t xml:space="preserve">New business</t>
        </is>
      </c>
      <c r="F358" s="46" t="inlineStr">
        <is>
          <t xml:space="preserve">B1234EXOTIC26</t>
        </is>
      </c>
      <c r="G358" s="33">
        <f>IF($A358="","",IF($C358="","",YEAR($C358)))</f>
      </c>
      <c r="H358" s="49">
        <v>1997</v>
      </c>
      <c r="I358" s="46" t="inlineStr">
        <is>
          <t xml:space="preserve">Mercedes-Benz</t>
        </is>
      </c>
      <c r="J358" s="46" t="inlineStr">
        <is>
          <t xml:space="preserve">AMG GT</t>
        </is>
      </c>
      <c r="K358" s="46" t="inlineStr">
        <is>
          <t xml:space="preserve">29RTJ8TN4G17LC1BX</t>
        </is>
      </c>
      <c r="L358" s="48" t="inlineStr">
        <is>
          <t xml:space="preserve">02 - Sports / GT</t>
        </is>
      </c>
      <c r="M358" s="50">
        <v>1285000</v>
      </c>
      <c r="N358" s="48" t="inlineStr">
        <is>
          <t xml:space="preserve">Personal</t>
        </is>
      </c>
      <c r="O358" s="46" t="inlineStr">
        <is>
          <t xml:space="preserve">Personal - regular use</t>
        </is>
      </c>
      <c r="P358" s="46" t="inlineStr">
        <is>
          <t xml:space="preserve">Under 1,000</t>
        </is>
      </c>
      <c r="Q358" s="46" t="inlineStr">
        <is>
          <t xml:space="preserve">Arizona</t>
        </is>
      </c>
      <c r="R358" s="46" t="inlineStr">
        <is>
          <t xml:space="preserve">85001</t>
        </is>
      </c>
      <c r="S358" s="48" t="inlineStr">
        <is>
          <t xml:space="preserve">Wildfire - WUI high hazard</t>
        </is>
      </c>
      <c r="T358" s="36">
        <f>IF($A358="","",IF($S358="","",IFERROR(INDEX('[1]natural catastrophe'!$D$6:$D$17,MATCH($S358,'[1]natural catastrophe'!$B$6:$B$17,0)),"?")))</f>
      </c>
      <c r="U358" s="46" t="inlineStr">
        <is>
          <t xml:space="preserve">$5,000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11185.38</v>
      </c>
      <c r="AC358" s="51">
        <v>0</v>
      </c>
      <c r="AD358" s="38">
        <f>IF(ISNUMBER($AB358),$AB358*(1+N($AC358)),"")</f>
      </c>
      <c r="AE358" s="50">
        <v>350</v>
      </c>
      <c r="AF358" s="50">
        <v>250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CANON-202604-007071</t>
        </is>
      </c>
      <c r="B359" s="30" t="inlineStr">
        <is>
          <t xml:space="preserve">Ottilie Rourke</t>
        </is>
      </c>
      <c r="C359" s="31">
        <v>46128</v>
      </c>
      <c r="D359" s="32" t="inlineStr">
        <is>
          <t xml:space="preserve">Bound - within authority</t>
        </is>
      </c>
      <c r="E359" s="32" t="inlineStr">
        <is>
          <t xml:space="preserve">New business</t>
        </is>
      </c>
      <c r="F359" s="30" t="inlineStr">
        <is>
          <t xml:space="preserve">B1234EXOTIC26</t>
        </is>
      </c>
      <c r="G359" s="33">
        <f>IF($A359="","",IF($C359="","",YEAR($C359)))</f>
      </c>
      <c r="H359" s="34">
        <v>1996</v>
      </c>
      <c r="I359" s="30" t="inlineStr">
        <is>
          <t xml:space="preserve">Mercedes-Benz</t>
        </is>
      </c>
      <c r="J359" s="30" t="inlineStr">
        <is>
          <t xml:space="preserve">AMG GT</t>
        </is>
      </c>
      <c r="K359" s="30" t="inlineStr">
        <is>
          <t xml:space="preserve">K695ZLGLRA9VT1MF2</t>
        </is>
      </c>
      <c r="L359" s="32" t="inlineStr">
        <is>
          <t xml:space="preserve">02 - Sports / GT</t>
        </is>
      </c>
      <c r="M359" s="35">
        <v>755000</v>
      </c>
      <c r="N359" s="32" t="inlineStr">
        <is>
          <t xml:space="preserve">Personal</t>
        </is>
      </c>
      <c r="O359" s="30" t="inlineStr">
        <is>
          <t xml:space="preserve">Personal - regular use</t>
        </is>
      </c>
      <c r="P359" s="30" t="inlineStr">
        <is>
          <t xml:space="preserve">1,000 - 2,500</t>
        </is>
      </c>
      <c r="Q359" s="30" t="inlineStr">
        <is>
          <t xml:space="preserve">Delaware</t>
        </is>
      </c>
      <c r="R359" s="30" t="inlineStr">
        <is>
          <t xml:space="preserve">19801</t>
        </is>
      </c>
      <c r="S359" s="32" t="inlineStr">
        <is>
          <t xml:space="preserve">Tier 3 - Coastal wind (25-100 miles)</t>
        </is>
      </c>
      <c r="T359" s="36">
        <f>IF($A359="","",IF($S359="","",IFERROR(INDEX('[1]natural catastrophe'!$D$6:$D$17,MATCH($S359,'[1]natural catastrophe'!$B$6:$B$17,0)),"?")))</f>
      </c>
      <c r="U359" s="30" t="inlineStr">
        <is>
          <t xml:space="preserve">2% of agreed value, minimum $10,000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9612.45</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CANON-202604-007072</t>
        </is>
      </c>
      <c r="B360" s="46" t="inlineStr">
        <is>
          <t xml:space="preserve">Mireille Pennington</t>
        </is>
      </c>
      <c r="C360" s="47">
        <v>46136</v>
      </c>
      <c r="D360" s="48" t="inlineStr">
        <is>
          <t xml:space="preserve">Bound - within authority</t>
        </is>
      </c>
      <c r="E360" s="48" t="inlineStr">
        <is>
          <t xml:space="preserve">New business</t>
        </is>
      </c>
      <c r="F360" s="46" t="inlineStr">
        <is>
          <t xml:space="preserve">B1234EXOTIC26</t>
        </is>
      </c>
      <c r="G360" s="33">
        <f>IF($A360="","",IF($C360="","",YEAR($C360)))</f>
      </c>
      <c r="H360" s="49">
        <v>2017</v>
      </c>
      <c r="I360" s="46" t="inlineStr">
        <is>
          <t xml:space="preserve">Ferrari</t>
        </is>
      </c>
      <c r="J360" s="46" t="inlineStr">
        <is>
          <t xml:space="preserve">296 GTB</t>
        </is>
      </c>
      <c r="K360" s="46" t="inlineStr">
        <is>
          <t xml:space="preserve">95AXFT35A4JV5FRKF</t>
        </is>
      </c>
      <c r="L360" s="48" t="inlineStr">
        <is>
          <t xml:space="preserve">03 - Supercar</t>
        </is>
      </c>
      <c r="M360" s="50">
        <v>1950000</v>
      </c>
      <c r="N360" s="48" t="inlineStr">
        <is>
          <t xml:space="preserve">Personal</t>
        </is>
      </c>
      <c r="O360" s="46" t="inlineStr">
        <is>
          <t xml:space="preserve">Personal - regular use</t>
        </is>
      </c>
      <c r="P360" s="46" t="inlineStr">
        <is>
          <t xml:space="preserve">2,500 - 5,000</t>
        </is>
      </c>
      <c r="Q360" s="46" t="inlineStr">
        <is>
          <t xml:space="preserve">Indiana</t>
        </is>
      </c>
      <c r="R360" s="46" t="inlineStr">
        <is>
          <t xml:space="preserve">46204</t>
        </is>
      </c>
      <c r="S360" s="48" t="inlineStr">
        <is>
          <t xml:space="preserve">Severe convective - hail / tornado (moderate)</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30067.23</v>
      </c>
      <c r="AC360" s="51">
        <v>0</v>
      </c>
      <c r="AD360" s="38">
        <f>IF(ISNUMBER($AB360),$AB360*(1+N($AC360)),"")</f>
      </c>
      <c r="AE360" s="50">
        <v>350</v>
      </c>
      <c r="AF360" s="50">
        <v>250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CANON-202604-007073</t>
        </is>
      </c>
      <c r="B361" s="30" t="inlineStr">
        <is>
          <t xml:space="preserve">Emiliano Rourke</t>
        </is>
      </c>
      <c r="C361" s="31">
        <v>46126</v>
      </c>
      <c r="D361" s="32" t="inlineStr">
        <is>
          <t xml:space="preserve">Bound - within authority</t>
        </is>
      </c>
      <c r="E361" s="32" t="inlineStr">
        <is>
          <t xml:space="preserve">New business</t>
        </is>
      </c>
      <c r="F361" s="30" t="inlineStr">
        <is>
          <t xml:space="preserve">B1234EXOTIC26</t>
        </is>
      </c>
      <c r="G361" s="33">
        <f>IF($A361="","",IF($C361="","",YEAR($C361)))</f>
      </c>
      <c r="H361" s="34">
        <v>2006</v>
      </c>
      <c r="I361" s="30" t="inlineStr">
        <is>
          <t xml:space="preserve">BMW</t>
        </is>
      </c>
      <c r="J361" s="30" t="inlineStr">
        <is>
          <t xml:space="preserve">M8 Competition</t>
        </is>
      </c>
      <c r="K361" s="30" t="inlineStr">
        <is>
          <t xml:space="preserve">4ZK37B8N87V3261B5</t>
        </is>
      </c>
      <c r="L361" s="32" t="inlineStr">
        <is>
          <t xml:space="preserve">02 - Sports / GT</t>
        </is>
      </c>
      <c r="M361" s="35">
        <v>305000</v>
      </c>
      <c r="N361" s="32" t="inlineStr">
        <is>
          <t xml:space="preserve">Personal</t>
        </is>
      </c>
      <c r="O361" s="30" t="inlineStr">
        <is>
          <t xml:space="preserve">Personal - regular use</t>
        </is>
      </c>
      <c r="P361" s="30" t="inlineStr">
        <is>
          <t xml:space="preserve">Under 1,000</t>
        </is>
      </c>
      <c r="Q361" s="30" t="inlineStr">
        <is>
          <t xml:space="preserve">Delaware</t>
        </is>
      </c>
      <c r="R361" s="30" t="inlineStr">
        <is>
          <t xml:space="preserve">19801</t>
        </is>
      </c>
      <c r="S361" s="32" t="inlineStr">
        <is>
          <t xml:space="preserve">Tier 3 - Coastal wind (25-100 miles)</t>
        </is>
      </c>
      <c r="T361" s="36">
        <f>IF($A361="","",IF($S361="","",IFERROR(INDEX('[1]natural catastrophe'!$D$6:$D$17,MATCH($S361,'[1]natural catastrophe'!$B$6:$B$17,0)),"?")))</f>
      </c>
      <c r="U361" s="30" t="inlineStr">
        <is>
          <t xml:space="preserve">2% of agreed value, minimum $10,000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4480.59</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CANON-202604-007076</t>
        </is>
      </c>
      <c r="B362" s="46" t="inlineStr">
        <is>
          <t xml:space="preserve">Callum Thistlewood</t>
        </is>
      </c>
      <c r="C362" s="47">
        <v>46134</v>
      </c>
      <c r="D362" s="48" t="inlineStr">
        <is>
          <t xml:space="preserve">Bound - within authority</t>
        </is>
      </c>
      <c r="E362" s="48" t="inlineStr">
        <is>
          <t xml:space="preserve">New business</t>
        </is>
      </c>
      <c r="F362" s="46" t="inlineStr">
        <is>
          <t xml:space="preserve">B1234EXOTIC26</t>
        </is>
      </c>
      <c r="G362" s="33">
        <f>IF($A362="","",IF($C362="","",YEAR($C362)))</f>
      </c>
      <c r="H362" s="49">
        <v>1957</v>
      </c>
      <c r="I362" s="46" t="inlineStr">
        <is>
          <t xml:space="preserve">Mercedes-Benz</t>
        </is>
      </c>
      <c r="J362" s="46" t="inlineStr">
        <is>
          <t xml:space="preserve">AMG GT</t>
        </is>
      </c>
      <c r="K362" s="46" t="inlineStr">
        <is>
          <t xml:space="preserve">DZKZ1ADM0THWX2X06</t>
        </is>
      </c>
      <c r="L362" s="48" t="inlineStr">
        <is>
          <t xml:space="preserve">02 - Sports / GT</t>
        </is>
      </c>
      <c r="M362" s="50">
        <v>995000</v>
      </c>
      <c r="N362" s="48" t="inlineStr">
        <is>
          <t xml:space="preserve">Personal</t>
        </is>
      </c>
      <c r="O362" s="46" t="inlineStr">
        <is>
          <t xml:space="preserve">Personal - regular use</t>
        </is>
      </c>
      <c r="P362" s="46" t="inlineStr">
        <is>
          <t xml:space="preserve">Under 1,000</t>
        </is>
      </c>
      <c r="Q362" s="46" t="inlineStr">
        <is>
          <t xml:space="preserve">Pennsylvania</t>
        </is>
      </c>
      <c r="R362" s="46" t="inlineStr">
        <is>
          <t xml:space="preserve">19103</t>
        </is>
      </c>
      <c r="S362" s="48" t="inlineStr">
        <is>
          <t xml:space="preserve">Low hazard - inland benign</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10134.45</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CANON-202604-007077</t>
        </is>
      </c>
      <c r="B363" s="30" t="inlineStr">
        <is>
          <t xml:space="preserve">Emiliano Rourke</t>
        </is>
      </c>
      <c r="C363" s="31">
        <v>46115</v>
      </c>
      <c r="D363" s="32" t="inlineStr">
        <is>
          <t xml:space="preserve">Bound - within authority</t>
        </is>
      </c>
      <c r="E363" s="32" t="inlineStr">
        <is>
          <t xml:space="preserve">New business</t>
        </is>
      </c>
      <c r="F363" s="30" t="inlineStr">
        <is>
          <t xml:space="preserve">B1234EXOTIC26</t>
        </is>
      </c>
      <c r="G363" s="33">
        <f>IF($A363="","",IF($C363="","",YEAR($C363)))</f>
      </c>
      <c r="H363" s="34">
        <v>2013</v>
      </c>
      <c r="I363" s="30" t="inlineStr">
        <is>
          <t xml:space="preserve">Mercedes-Benz</t>
        </is>
      </c>
      <c r="J363" s="30" t="inlineStr">
        <is>
          <t xml:space="preserve">280SL Pagoda</t>
        </is>
      </c>
      <c r="K363" s="30" t="inlineStr">
        <is>
          <t xml:space="preserve">PT0ALKLP8G0NEDEY0</t>
        </is>
      </c>
      <c r="L363" s="32" t="inlineStr">
        <is>
          <t xml:space="preserve">02 - Sports / GT</t>
        </is>
      </c>
      <c r="M363" s="35">
        <v>1135000</v>
      </c>
      <c r="N363" s="32" t="inlineStr">
        <is>
          <t xml:space="preserve">Personal</t>
        </is>
      </c>
      <c r="O363" s="30" t="inlineStr">
        <is>
          <t xml:space="preserve">Personal - regular use</t>
        </is>
      </c>
      <c r="P363" s="30" t="inlineStr">
        <is>
          <t xml:space="preserve">1,000 - 2,500</t>
        </is>
      </c>
      <c r="Q363" s="30" t="inlineStr">
        <is>
          <t xml:space="preserve">Pennsylvania</t>
        </is>
      </c>
      <c r="R363" s="30" t="inlineStr">
        <is>
          <t xml:space="preserve">19103</t>
        </is>
      </c>
      <c r="S363" s="32" t="inlineStr">
        <is>
          <t xml:space="preserve">Low hazard - inland benign</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6758.39</v>
      </c>
      <c r="AC363" s="37">
        <v>0</v>
      </c>
      <c r="AD363" s="38">
        <f>IF(ISNUMBER($AB363),$AB363*(1+N($AC363)),"")</f>
      </c>
      <c r="AE363" s="35">
        <v>350</v>
      </c>
      <c r="AF363" s="35">
        <v>250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CANON-202604-007079</t>
        </is>
      </c>
      <c r="B364" s="46" t="inlineStr">
        <is>
          <t xml:space="preserve">Noor Rourke</t>
        </is>
      </c>
      <c r="C364" s="47">
        <v>46124</v>
      </c>
      <c r="D364" s="48" t="inlineStr">
        <is>
          <t xml:space="preserve">Bound - within authority</t>
        </is>
      </c>
      <c r="E364" s="48" t="inlineStr">
        <is>
          <t xml:space="preserve">New business</t>
        </is>
      </c>
      <c r="F364" s="46" t="inlineStr">
        <is>
          <t xml:space="preserve">B1234EXOTIC26</t>
        </is>
      </c>
      <c r="G364" s="33">
        <f>IF($A364="","",IF($C364="","",YEAR($C364)))</f>
      </c>
      <c r="H364" s="49">
        <v>2014</v>
      </c>
      <c r="I364" s="46" t="inlineStr">
        <is>
          <t xml:space="preserve">Porsche</t>
        </is>
      </c>
      <c r="J364" s="46" t="inlineStr">
        <is>
          <t xml:space="preserve">911 Turbo S</t>
        </is>
      </c>
      <c r="K364" s="46" t="inlineStr">
        <is>
          <t xml:space="preserve">UC7W4ZKJJ5JE0FSGP</t>
        </is>
      </c>
      <c r="L364" s="48" t="inlineStr">
        <is>
          <t xml:space="preserve">02 - Sports / GT</t>
        </is>
      </c>
      <c r="M364" s="50">
        <v>490000</v>
      </c>
      <c r="N364" s="48" t="inlineStr">
        <is>
          <t xml:space="preserve">Personal</t>
        </is>
      </c>
      <c r="O364" s="46" t="inlineStr">
        <is>
          <t xml:space="preserve">Personal - regular use</t>
        </is>
      </c>
      <c r="P364" s="46" t="inlineStr">
        <is>
          <t xml:space="preserve">2,500 - 5,000</t>
        </is>
      </c>
      <c r="Q364" s="46" t="inlineStr">
        <is>
          <t xml:space="preserve">Michigan</t>
        </is>
      </c>
      <c r="R364" s="46" t="inlineStr">
        <is>
          <t xml:space="preserve">48226</t>
        </is>
      </c>
      <c r="S364" s="48" t="inlineStr">
        <is>
          <t xml:space="preserve">Severe convective - hail / tornado (moderate)</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8925.92</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CANON-202604-007080</t>
        </is>
      </c>
      <c r="B365" s="30" t="inlineStr">
        <is>
          <t xml:space="preserve">Anouk Okonkwo</t>
        </is>
      </c>
      <c r="C365" s="31">
        <v>46113</v>
      </c>
      <c r="D365" s="32" t="inlineStr">
        <is>
          <t xml:space="preserve">Bound - within authority</t>
        </is>
      </c>
      <c r="E365" s="32" t="inlineStr">
        <is>
          <t xml:space="preserve">New business</t>
        </is>
      </c>
      <c r="F365" s="30" t="inlineStr">
        <is>
          <t xml:space="preserve">B1234EXOTIC26</t>
        </is>
      </c>
      <c r="G365" s="33">
        <f>IF($A365="","",IF($C365="","",YEAR($C365)))</f>
      </c>
      <c r="H365" s="34">
        <v>1999</v>
      </c>
      <c r="I365" s="30" t="inlineStr">
        <is>
          <t xml:space="preserve">Ferrari</t>
        </is>
      </c>
      <c r="J365" s="30" t="inlineStr">
        <is>
          <t xml:space="preserve">SF90 Stradale</t>
        </is>
      </c>
      <c r="K365" s="30" t="inlineStr">
        <is>
          <t xml:space="preserve">8ZJKDGDA20B1NEVM3</t>
        </is>
      </c>
      <c r="L365" s="32" t="inlineStr">
        <is>
          <t xml:space="preserve">03 - Supercar</t>
        </is>
      </c>
      <c r="M365" s="35">
        <v>775000</v>
      </c>
      <c r="N365" s="32" t="inlineStr">
        <is>
          <t xml:space="preserve">Personal</t>
        </is>
      </c>
      <c r="O365" s="30" t="inlineStr">
        <is>
          <t xml:space="preserve">Personal - regular use</t>
        </is>
      </c>
      <c r="P365" s="30" t="inlineStr">
        <is>
          <t xml:space="preserve">2,500 - 5,000</t>
        </is>
      </c>
      <c r="Q365" s="30" t="inlineStr">
        <is>
          <t xml:space="preserve">Ohio</t>
        </is>
      </c>
      <c r="R365" s="30" t="inlineStr">
        <is>
          <t xml:space="preserve">43215</t>
        </is>
      </c>
      <c r="S365" s="32" t="inlineStr">
        <is>
          <t xml:space="preserve">Severe convective - hail / tornado (moderate)</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16036.29</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CANON-202604-007081</t>
        </is>
      </c>
      <c r="B366" s="46" t="inlineStr">
        <is>
          <t xml:space="preserve">Everett Okonkwo</t>
        </is>
      </c>
      <c r="C366" s="47">
        <v>46140</v>
      </c>
      <c r="D366" s="48" t="inlineStr">
        <is>
          <t xml:space="preserve">Bound - within authority</t>
        </is>
      </c>
      <c r="E366" s="48" t="inlineStr">
        <is>
          <t xml:space="preserve">New business</t>
        </is>
      </c>
      <c r="F366" s="46" t="inlineStr">
        <is>
          <t xml:space="preserve">B1234EXOTIC26</t>
        </is>
      </c>
      <c r="G366" s="33">
        <f>IF($A366="","",IF($C366="","",YEAR($C366)))</f>
      </c>
      <c r="H366" s="49">
        <v>1997</v>
      </c>
      <c r="I366" s="46" t="inlineStr">
        <is>
          <t xml:space="preserve">Ferrari</t>
        </is>
      </c>
      <c r="J366" s="46" t="inlineStr">
        <is>
          <t xml:space="preserve">296 GTB</t>
        </is>
      </c>
      <c r="K366" s="46" t="inlineStr">
        <is>
          <t xml:space="preserve">CY1YJDMJDJSE93TBB</t>
        </is>
      </c>
      <c r="L366" s="48" t="inlineStr">
        <is>
          <t xml:space="preserve">03 - Supercar</t>
        </is>
      </c>
      <c r="M366" s="50">
        <v>245000</v>
      </c>
      <c r="N366" s="48" t="inlineStr">
        <is>
          <t xml:space="preserve">Personal</t>
        </is>
      </c>
      <c r="O366" s="46" t="inlineStr">
        <is>
          <t xml:space="preserve">Personal - regular use</t>
        </is>
      </c>
      <c r="P366" s="46" t="inlineStr">
        <is>
          <t xml:space="preserve">2,500 - 5,000</t>
        </is>
      </c>
      <c r="Q366" s="46" t="inlineStr">
        <is>
          <t xml:space="preserve">New Mexico</t>
        </is>
      </c>
      <c r="R366" s="46" t="inlineStr">
        <is>
          <t xml:space="preserve">87501</t>
        </is>
      </c>
      <c r="S366" s="48" t="inlineStr">
        <is>
          <t xml:space="preserve">Wildfire - WUI high hazard</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6977.95</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CANON-202604-007082</t>
        </is>
      </c>
      <c r="B367" s="30" t="inlineStr">
        <is>
          <t xml:space="preserve">Leopold Kingsford</t>
        </is>
      </c>
      <c r="C367" s="31">
        <v>46122</v>
      </c>
      <c r="D367" s="32" t="inlineStr">
        <is>
          <t xml:space="preserve">Bound - within authority</t>
        </is>
      </c>
      <c r="E367" s="32" t="inlineStr">
        <is>
          <t xml:space="preserve">New business</t>
        </is>
      </c>
      <c r="F367" s="30" t="inlineStr">
        <is>
          <t xml:space="preserve">B1234EXOTIC26</t>
        </is>
      </c>
      <c r="G367" s="33">
        <f>IF($A367="","",IF($C367="","",YEAR($C367)))</f>
      </c>
      <c r="H367" s="34">
        <v>1981</v>
      </c>
      <c r="I367" s="30" t="inlineStr">
        <is>
          <t xml:space="preserve">Mercedes-Benz</t>
        </is>
      </c>
      <c r="J367" s="30" t="inlineStr">
        <is>
          <t xml:space="preserve">AMG GT</t>
        </is>
      </c>
      <c r="K367" s="30" t="inlineStr">
        <is>
          <t xml:space="preserve">PF1JPFZN46UTAPK06</t>
        </is>
      </c>
      <c r="L367" s="32" t="inlineStr">
        <is>
          <t xml:space="preserve">02 - Sports / GT</t>
        </is>
      </c>
      <c r="M367" s="35">
        <v>705000</v>
      </c>
      <c r="N367" s="32" t="inlineStr">
        <is>
          <t xml:space="preserve">Personal</t>
        </is>
      </c>
      <c r="O367" s="30" t="inlineStr">
        <is>
          <t xml:space="preserve">Personal - regular use</t>
        </is>
      </c>
      <c r="P367" s="30" t="inlineStr">
        <is>
          <t xml:space="preserve">Under 1,000</t>
        </is>
      </c>
      <c r="Q367" s="30" t="inlineStr">
        <is>
          <t xml:space="preserve">Alabama</t>
        </is>
      </c>
      <c r="R367" s="30" t="inlineStr">
        <is>
          <t xml:space="preserve">35203</t>
        </is>
      </c>
      <c r="S367" s="32" t="inlineStr">
        <is>
          <t xml:space="preserve">Tier 2 - Coastal wind (1-25 miles)</t>
        </is>
      </c>
      <c r="T367" s="36">
        <f>IF($A367="","",IF($S367="","",IFERROR(INDEX('[1]natural catastrophe'!$D$6:$D$17,MATCH($S367,'[1]natural catastrophe'!$B$6:$B$17,0)),"?")))</f>
      </c>
      <c r="U367" s="30" t="inlineStr">
        <is>
          <t xml:space="preserve">2% of agreed value, minimum $10,000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9119.48</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CANON-202604-007084</t>
        </is>
      </c>
      <c r="B368" s="46" t="inlineStr">
        <is>
          <t xml:space="preserve">Ingrid Okonkwo</t>
        </is>
      </c>
      <c r="C368" s="47">
        <v>46128</v>
      </c>
      <c r="D368" s="48" t="inlineStr">
        <is>
          <t xml:space="preserve">Bound - within authority</t>
        </is>
      </c>
      <c r="E368" s="48" t="inlineStr">
        <is>
          <t xml:space="preserve">New business</t>
        </is>
      </c>
      <c r="F368" s="46" t="inlineStr">
        <is>
          <t xml:space="preserve">B1234EXOTIC26</t>
        </is>
      </c>
      <c r="G368" s="33">
        <f>IF($A368="","",IF($C368="","",YEAR($C368)))</f>
      </c>
      <c r="H368" s="49">
        <v>2020</v>
      </c>
      <c r="I368" s="46" t="inlineStr">
        <is>
          <t xml:space="preserve">Porsche</t>
        </is>
      </c>
      <c r="J368" s="46" t="inlineStr">
        <is>
          <t xml:space="preserve">911 Turbo S</t>
        </is>
      </c>
      <c r="K368" s="46" t="inlineStr">
        <is>
          <t xml:space="preserve">EEUC46PN9PD66SA9E</t>
        </is>
      </c>
      <c r="L368" s="48" t="inlineStr">
        <is>
          <t xml:space="preserve">02 - Sports / GT</t>
        </is>
      </c>
      <c r="M368" s="50">
        <v>695000</v>
      </c>
      <c r="N368" s="48" t="inlineStr">
        <is>
          <t xml:space="preserve">Personal</t>
        </is>
      </c>
      <c r="O368" s="46" t="inlineStr">
        <is>
          <t xml:space="preserve">Personal - regular use</t>
        </is>
      </c>
      <c r="P368" s="46" t="inlineStr">
        <is>
          <t xml:space="preserve">Under 1,000</t>
        </is>
      </c>
      <c r="Q368" s="46" t="inlineStr">
        <is>
          <t xml:space="preserve">Nebraska</t>
        </is>
      </c>
      <c r="R368" s="46" t="inlineStr">
        <is>
          <t xml:space="preserve">68102</t>
        </is>
      </c>
      <c r="S368" s="48" t="inlineStr">
        <is>
          <t xml:space="preserve">Severe convective - hail alley (high)</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9202.49</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CANON-202604-007085</t>
        </is>
      </c>
      <c r="B369" s="30" t="inlineStr">
        <is>
          <t xml:space="preserve">Fenwick Merriweather</t>
        </is>
      </c>
      <c r="C369" s="31">
        <v>46141</v>
      </c>
      <c r="D369" s="32" t="inlineStr">
        <is>
          <t xml:space="preserve">Bound - within authority</t>
        </is>
      </c>
      <c r="E369" s="32" t="inlineStr">
        <is>
          <t xml:space="preserve">New business</t>
        </is>
      </c>
      <c r="F369" s="30" t="inlineStr">
        <is>
          <t xml:space="preserve">B1234EXOTIC26</t>
        </is>
      </c>
      <c r="G369" s="33">
        <f>IF($A369="","",IF($C369="","",YEAR($C369)))</f>
      </c>
      <c r="H369" s="34">
        <v>2010</v>
      </c>
      <c r="I369" s="30" t="inlineStr">
        <is>
          <t xml:space="preserve">McLaren</t>
        </is>
      </c>
      <c r="J369" s="30" t="inlineStr">
        <is>
          <t xml:space="preserve">750S</t>
        </is>
      </c>
      <c r="K369" s="30" t="inlineStr">
        <is>
          <t xml:space="preserve">ZUYJXK6688UEF9J3B</t>
        </is>
      </c>
      <c r="L369" s="32" t="inlineStr">
        <is>
          <t xml:space="preserve">03 - Supercar</t>
        </is>
      </c>
      <c r="M369" s="35">
        <v>535000</v>
      </c>
      <c r="N369" s="32" t="inlineStr">
        <is>
          <t xml:space="preserve">Personal</t>
        </is>
      </c>
      <c r="O369" s="30" t="inlineStr">
        <is>
          <t xml:space="preserve">Personal - regular use</t>
        </is>
      </c>
      <c r="P369" s="30" t="inlineStr">
        <is>
          <t xml:space="preserve">2,500 - 5,000</t>
        </is>
      </c>
      <c r="Q369" s="30" t="inlineStr">
        <is>
          <t xml:space="preserve">Washington</t>
        </is>
      </c>
      <c r="R369" s="30" t="inlineStr">
        <is>
          <t xml:space="preserve">98101</t>
        </is>
      </c>
      <c r="S369" s="32" t="inlineStr">
        <is>
          <t xml:space="preserve">Earthquake - high (CA, Cascadia, New Madrid)</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7645.62</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CANON-202604-007086</t>
        </is>
      </c>
      <c r="B370" s="46" t="inlineStr">
        <is>
          <t xml:space="preserve">Delphine Vandermeer</t>
        </is>
      </c>
      <c r="C370" s="47">
        <v>46121</v>
      </c>
      <c r="D370" s="48" t="inlineStr">
        <is>
          <t xml:space="preserve">Bound - within authority</t>
        </is>
      </c>
      <c r="E370" s="48" t="inlineStr">
        <is>
          <t xml:space="preserve">New business</t>
        </is>
      </c>
      <c r="F370" s="46" t="inlineStr">
        <is>
          <t xml:space="preserve">B1234EXOTIC26</t>
        </is>
      </c>
      <c r="G370" s="33">
        <f>IF($A370="","",IF($C370="","",YEAR($C370)))</f>
      </c>
      <c r="H370" s="49">
        <v>1976</v>
      </c>
      <c r="I370" s="46" t="inlineStr">
        <is>
          <t xml:space="preserve">Singer</t>
        </is>
      </c>
      <c r="J370" s="46" t="inlineStr">
        <is>
          <t xml:space="preserve">911 Reimagined</t>
        </is>
      </c>
      <c r="K370" s="46" t="inlineStr">
        <is>
          <t xml:space="preserve">NFP9NW2RLUWRZD5WB</t>
        </is>
      </c>
      <c r="L370" s="48" t="inlineStr">
        <is>
          <t xml:space="preserve">11 - Restomod / Coachbuilt / Bespoke</t>
        </is>
      </c>
      <c r="M370" s="50">
        <v>1200000</v>
      </c>
      <c r="N370" s="48" t="inlineStr">
        <is>
          <t xml:space="preserve">Personal</t>
        </is>
      </c>
      <c r="O370" s="46" t="inlineStr">
        <is>
          <t xml:space="preserve">Personal - regular use</t>
        </is>
      </c>
      <c r="P370" s="46" t="inlineStr">
        <is>
          <t xml:space="preserve">Under 1,000</t>
        </is>
      </c>
      <c r="Q370" s="46" t="inlineStr">
        <is>
          <t xml:space="preserve">West Virginia</t>
        </is>
      </c>
      <c r="R370" s="46" t="inlineStr">
        <is>
          <t xml:space="preserve">25301</t>
        </is>
      </c>
      <c r="S370" s="48" t="inlineStr">
        <is>
          <t xml:space="preserve">Low hazard - inland benign</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17006.13</v>
      </c>
      <c r="AC370" s="51">
        <v>0</v>
      </c>
      <c r="AD370" s="38">
        <f>IF(ISNUMBER($AB370),$AB370*(1+N($AC370)),"")</f>
      </c>
      <c r="AE370" s="50">
        <v>350</v>
      </c>
      <c r="AF370" s="50">
        <v>250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CANON-202604-007088</t>
        </is>
      </c>
      <c r="B371" s="30" t="inlineStr">
        <is>
          <t xml:space="preserve">Ramona Fairweather</t>
        </is>
      </c>
      <c r="C371" s="31">
        <v>46135</v>
      </c>
      <c r="D371" s="32" t="inlineStr">
        <is>
          <t xml:space="preserve">Bound - within authority</t>
        </is>
      </c>
      <c r="E371" s="32" t="inlineStr">
        <is>
          <t xml:space="preserve">New business</t>
        </is>
      </c>
      <c r="F371" s="30" t="inlineStr">
        <is>
          <t xml:space="preserve">B1234EXOTIC26</t>
        </is>
      </c>
      <c r="G371" s="33">
        <f>IF($A371="","",IF($C371="","",YEAR($C371)))</f>
      </c>
      <c r="H371" s="34">
        <v>1972</v>
      </c>
      <c r="I371" s="30" t="inlineStr">
        <is>
          <t xml:space="preserve">Bentley</t>
        </is>
      </c>
      <c r="J371" s="30" t="inlineStr">
        <is>
          <t xml:space="preserve">Continental GT</t>
        </is>
      </c>
      <c r="K371" s="30" t="inlineStr">
        <is>
          <t xml:space="preserve">1GWYDCVHAZE3RTKZU</t>
        </is>
      </c>
      <c r="L371" s="32" t="inlineStr">
        <is>
          <t xml:space="preserve">02 - Sports / GT</t>
        </is>
      </c>
      <c r="M371" s="35">
        <v>220000</v>
      </c>
      <c r="N371" s="32" t="inlineStr">
        <is>
          <t xml:space="preserve">Personal</t>
        </is>
      </c>
      <c r="O371" s="30" t="inlineStr">
        <is>
          <t xml:space="preserve">Personal - regular use</t>
        </is>
      </c>
      <c r="P371" s="30" t="inlineStr">
        <is>
          <t xml:space="preserve">Under 1,000</t>
        </is>
      </c>
      <c r="Q371" s="30" t="inlineStr">
        <is>
          <t xml:space="preserve">Pennsylvania</t>
        </is>
      </c>
      <c r="R371" s="30" t="inlineStr">
        <is>
          <t xml:space="preserve">19103</t>
        </is>
      </c>
      <c r="S371" s="32" t="inlineStr">
        <is>
          <t xml:space="preserve">Low hazard - inland benign</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3171.57</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CANON-202604-007089</t>
        </is>
      </c>
      <c r="B372" s="46" t="inlineStr">
        <is>
          <t xml:space="preserve">Everett Bellandi</t>
        </is>
      </c>
      <c r="C372" s="47">
        <v>46132</v>
      </c>
      <c r="D372" s="48" t="inlineStr">
        <is>
          <t xml:space="preserve">Bound - within authority</t>
        </is>
      </c>
      <c r="E372" s="48" t="inlineStr">
        <is>
          <t xml:space="preserve">New business</t>
        </is>
      </c>
      <c r="F372" s="46" t="inlineStr">
        <is>
          <t xml:space="preserve">B1234EXOTIC26</t>
        </is>
      </c>
      <c r="G372" s="33">
        <f>IF($A372="","",IF($C372="","",YEAR($C372)))</f>
      </c>
      <c r="H372" s="49">
        <v>1996</v>
      </c>
      <c r="I372" s="46" t="inlineStr">
        <is>
          <t xml:space="preserve">Ferrari</t>
        </is>
      </c>
      <c r="J372" s="46" t="inlineStr">
        <is>
          <t xml:space="preserve">296 GTB</t>
        </is>
      </c>
      <c r="K372" s="46" t="inlineStr">
        <is>
          <t xml:space="preserve">K9XGXW2E6E7C159ZV</t>
        </is>
      </c>
      <c r="L372" s="48" t="inlineStr">
        <is>
          <t xml:space="preserve">03 - Supercar</t>
        </is>
      </c>
      <c r="M372" s="50">
        <v>1070000</v>
      </c>
      <c r="N372" s="48" t="inlineStr">
        <is>
          <t xml:space="preserve">Personal</t>
        </is>
      </c>
      <c r="O372" s="46" t="inlineStr">
        <is>
          <t xml:space="preserve">Personal - regular use</t>
        </is>
      </c>
      <c r="P372" s="46" t="inlineStr">
        <is>
          <t xml:space="preserve">1,000 - 2,500</t>
        </is>
      </c>
      <c r="Q372" s="46" t="inlineStr">
        <is>
          <t xml:space="preserve">Mississippi</t>
        </is>
      </c>
      <c r="R372" s="46" t="inlineStr">
        <is>
          <t xml:space="preserve">39201</t>
        </is>
      </c>
      <c r="S372" s="48" t="inlineStr">
        <is>
          <t xml:space="preserve">Tier 2 - Coastal wind (1-25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15961.89</v>
      </c>
      <c r="AC372" s="51">
        <v>0</v>
      </c>
      <c r="AD372" s="38">
        <f>IF(ISNUMBER($AB372),$AB372*(1+N($AC372)),"")</f>
      </c>
      <c r="AE372" s="50">
        <v>350</v>
      </c>
      <c r="AF372" s="50">
        <v>250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CANON-202604-007090</t>
        </is>
      </c>
      <c r="B373" s="30" t="inlineStr">
        <is>
          <t xml:space="preserve">Lorenzo Vasquez</t>
        </is>
      </c>
      <c r="C373" s="31">
        <v>46139</v>
      </c>
      <c r="D373" s="32" t="inlineStr">
        <is>
          <t xml:space="preserve">Bound - within authority</t>
        </is>
      </c>
      <c r="E373" s="32" t="inlineStr">
        <is>
          <t xml:space="preserve">New business</t>
        </is>
      </c>
      <c r="F373" s="30" t="inlineStr">
        <is>
          <t xml:space="preserve">B1234EXOTIC26</t>
        </is>
      </c>
      <c r="G373" s="33">
        <f>IF($A373="","",IF($C373="","",YEAR($C373)))</f>
      </c>
      <c r="H373" s="34">
        <v>1988</v>
      </c>
      <c r="I373" s="30" t="inlineStr">
        <is>
          <t xml:space="preserve">Maserati</t>
        </is>
      </c>
      <c r="J373" s="30" t="inlineStr">
        <is>
          <t xml:space="preserve">GranTurismo</t>
        </is>
      </c>
      <c r="K373" s="30" t="inlineStr">
        <is>
          <t xml:space="preserve">G30BWU8Z4PJ5H1UNY</t>
        </is>
      </c>
      <c r="L373" s="32" t="inlineStr">
        <is>
          <t xml:space="preserve">02 - Sports / GT</t>
        </is>
      </c>
      <c r="M373" s="35">
        <v>1210000</v>
      </c>
      <c r="N373" s="32" t="inlineStr">
        <is>
          <t xml:space="preserve">Personal</t>
        </is>
      </c>
      <c r="O373" s="30" t="inlineStr">
        <is>
          <t xml:space="preserve">Personal - regular use</t>
        </is>
      </c>
      <c r="P373" s="30" t="inlineStr">
        <is>
          <t xml:space="preserve">2,500 - 5,000</t>
        </is>
      </c>
      <c r="Q373" s="30" t="inlineStr">
        <is>
          <t xml:space="preserve">Illinois</t>
        </is>
      </c>
      <c r="R373" s="30" t="inlineStr">
        <is>
          <t xml:space="preserve">60601</t>
        </is>
      </c>
      <c r="S373" s="32" t="inlineStr">
        <is>
          <t xml:space="preserve">Severe convective - hail / tornado (moderate)</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14182.43</v>
      </c>
      <c r="AC373" s="37">
        <v>0</v>
      </c>
      <c r="AD373" s="38">
        <f>IF(ISNUMBER($AB373),$AB373*(1+N($AC373)),"")</f>
      </c>
      <c r="AE373" s="35">
        <v>350</v>
      </c>
      <c r="AF373" s="35">
        <v>250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CANON-202604-007091</t>
        </is>
      </c>
      <c r="B374" s="46" t="inlineStr">
        <is>
          <t xml:space="preserve">Mireille Whitlock</t>
        </is>
      </c>
      <c r="C374" s="47">
        <v>46133</v>
      </c>
      <c r="D374" s="48" t="inlineStr">
        <is>
          <t xml:space="preserve">Bound - within authority</t>
        </is>
      </c>
      <c r="E374" s="48" t="inlineStr">
        <is>
          <t xml:space="preserve">New business</t>
        </is>
      </c>
      <c r="F374" s="46" t="inlineStr">
        <is>
          <t xml:space="preserve">B1234EXOTIC26</t>
        </is>
      </c>
      <c r="G374" s="33">
        <f>IF($A374="","",IF($C374="","",YEAR($C374)))</f>
      </c>
      <c r="H374" s="49">
        <v>1959</v>
      </c>
      <c r="I374" s="46" t="inlineStr">
        <is>
          <t xml:space="preserve">Ferrari</t>
        </is>
      </c>
      <c r="J374" s="46" t="inlineStr">
        <is>
          <t xml:space="preserve">275 GTB/4</t>
        </is>
      </c>
      <c r="K374" s="46" t="inlineStr">
        <is>
          <t xml:space="preserve">PMJ402K0DY6T1W5RW</t>
        </is>
      </c>
      <c r="L374" s="48" t="inlineStr">
        <is>
          <t xml:space="preserve">07 - Post-War Classic (1946-1972)</t>
        </is>
      </c>
      <c r="M374" s="50">
        <v>505000</v>
      </c>
      <c r="N374" s="48" t="inlineStr">
        <is>
          <t xml:space="preserve">Personal</t>
        </is>
      </c>
      <c r="O374" s="46" t="inlineStr">
        <is>
          <t xml:space="preserve">Personal - regular use</t>
        </is>
      </c>
      <c r="P374" s="46" t="inlineStr">
        <is>
          <t xml:space="preserve">2,500 - 5,000</t>
        </is>
      </c>
      <c r="Q374" s="46" t="inlineStr">
        <is>
          <t xml:space="preserve">Idaho</t>
        </is>
      </c>
      <c r="R374" s="46" t="inlineStr">
        <is>
          <t xml:space="preserve">83702</t>
        </is>
      </c>
      <c r="S374" s="48" t="inlineStr">
        <is>
          <t xml:space="preserve">Wildfire - WUI high hazard</t>
        </is>
      </c>
      <c r="T374" s="36">
        <f>IF($A374="","",IF($S374="","",IFERROR(INDEX('[1]natural catastrophe'!$D$6:$D$17,MATCH($S374,'[1]natural catastrophe'!$B$6:$B$17,0)),"?")))</f>
      </c>
      <c r="U374" s="46" t="inlineStr">
        <is>
          <t xml:space="preserve">$5,000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3368.67</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CANON-202604-007092</t>
        </is>
      </c>
      <c r="B375" s="30" t="inlineStr">
        <is>
          <t xml:space="preserve">Horace Whitlock</t>
        </is>
      </c>
      <c r="C375" s="31">
        <v>46138</v>
      </c>
      <c r="D375" s="32" t="inlineStr">
        <is>
          <t xml:space="preserve">Bound - within authority</t>
        </is>
      </c>
      <c r="E375" s="32" t="inlineStr">
        <is>
          <t xml:space="preserve">New business</t>
        </is>
      </c>
      <c r="F375" s="30" t="inlineStr">
        <is>
          <t xml:space="preserve">B1234EXOTIC26</t>
        </is>
      </c>
      <c r="G375" s="33">
        <f>IF($A375="","",IF($C375="","",YEAR($C375)))</f>
      </c>
      <c r="H375" s="34">
        <v>1987</v>
      </c>
      <c r="I375" s="30" t="inlineStr">
        <is>
          <t xml:space="preserve">Porsche</t>
        </is>
      </c>
      <c r="J375" s="30" t="inlineStr">
        <is>
          <t xml:space="preserve">911 Turbo S</t>
        </is>
      </c>
      <c r="K375" s="30" t="inlineStr">
        <is>
          <t xml:space="preserve">G9EB7MLWVSGL7T2L2</t>
        </is>
      </c>
      <c r="L375" s="32" t="inlineStr">
        <is>
          <t xml:space="preserve">02 - Sports / GT</t>
        </is>
      </c>
      <c r="M375" s="35">
        <v>395000</v>
      </c>
      <c r="N375" s="32" t="inlineStr">
        <is>
          <t xml:space="preserve">Personal</t>
        </is>
      </c>
      <c r="O375" s="30" t="inlineStr">
        <is>
          <t xml:space="preserve">Personal - regular use</t>
        </is>
      </c>
      <c r="P375" s="30" t="inlineStr">
        <is>
          <t xml:space="preserve">2,500 - 5,000</t>
        </is>
      </c>
      <c r="Q375" s="30" t="inlineStr">
        <is>
          <t xml:space="preserve">Virginia</t>
        </is>
      </c>
      <c r="R375" s="30" t="inlineStr">
        <is>
          <t xml:space="preserve">23219</t>
        </is>
      </c>
      <c r="S375" s="32" t="inlineStr">
        <is>
          <t xml:space="preserve">Tier 3 - Coastal wind (25-100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5059.98</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CANON-202604-007093</t>
        </is>
      </c>
      <c r="B376" s="46" t="inlineStr">
        <is>
          <t xml:space="preserve">Fitzgerald Farkas</t>
        </is>
      </c>
      <c r="C376" s="47">
        <v>46119</v>
      </c>
      <c r="D376" s="48" t="inlineStr">
        <is>
          <t xml:space="preserve">Bound - within authority</t>
        </is>
      </c>
      <c r="E376" s="48" t="inlineStr">
        <is>
          <t xml:space="preserve">New business</t>
        </is>
      </c>
      <c r="F376" s="46" t="inlineStr">
        <is>
          <t xml:space="preserve">B1234EXOTIC26</t>
        </is>
      </c>
      <c r="G376" s="33">
        <f>IF($A376="","",IF($C376="","",YEAR($C376)))</f>
      </c>
      <c r="H376" s="49">
        <v>1957</v>
      </c>
      <c r="I376" s="46" t="inlineStr">
        <is>
          <t xml:space="preserve">Maserati</t>
        </is>
      </c>
      <c r="J376" s="46" t="inlineStr">
        <is>
          <t xml:space="preserve">GranTurismo</t>
        </is>
      </c>
      <c r="K376" s="46" t="inlineStr">
        <is>
          <t xml:space="preserve">C2XYW6899ZYF6LUK8</t>
        </is>
      </c>
      <c r="L376" s="48" t="inlineStr">
        <is>
          <t xml:space="preserve">02 - Sports / GT</t>
        </is>
      </c>
      <c r="M376" s="50">
        <v>435000</v>
      </c>
      <c r="N376" s="48" t="inlineStr">
        <is>
          <t xml:space="preserve">Personal</t>
        </is>
      </c>
      <c r="O376" s="46" t="inlineStr">
        <is>
          <t xml:space="preserve">Personal - regular use</t>
        </is>
      </c>
      <c r="P376" s="46" t="inlineStr">
        <is>
          <t xml:space="preserve">1,000 - 2,500</t>
        </is>
      </c>
      <c r="Q376" s="46" t="inlineStr">
        <is>
          <t xml:space="preserve">New Jersey</t>
        </is>
      </c>
      <c r="R376" s="46" t="inlineStr">
        <is>
          <t xml:space="preserve">07102</t>
        </is>
      </c>
      <c r="S376" s="48" t="inlineStr">
        <is>
          <t xml:space="preserve">Tier 3 - Coastal wind (25-100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4652.17</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CANON-202604-007095</t>
        </is>
      </c>
      <c r="B377" s="30" t="inlineStr">
        <is>
          <t xml:space="preserve">Horace Delacroix</t>
        </is>
      </c>
      <c r="C377" s="31">
        <v>46125</v>
      </c>
      <c r="D377" s="32" t="inlineStr">
        <is>
          <t xml:space="preserve">Bound - within authority</t>
        </is>
      </c>
      <c r="E377" s="32" t="inlineStr">
        <is>
          <t xml:space="preserve">New business</t>
        </is>
      </c>
      <c r="F377" s="30" t="inlineStr">
        <is>
          <t xml:space="preserve">B1234EXOTIC26</t>
        </is>
      </c>
      <c r="G377" s="33">
        <f>IF($A377="","",IF($C377="","",YEAR($C377)))</f>
      </c>
      <c r="H377" s="34">
        <v>2005</v>
      </c>
      <c r="I377" s="30" t="inlineStr">
        <is>
          <t xml:space="preserve">Mercedes-Benz</t>
        </is>
      </c>
      <c r="J377" s="30" t="inlineStr">
        <is>
          <t xml:space="preserve">AMG GT</t>
        </is>
      </c>
      <c r="K377" s="30" t="inlineStr">
        <is>
          <t xml:space="preserve">JH2HCM4VY9RPSB3CZ</t>
        </is>
      </c>
      <c r="L377" s="32" t="inlineStr">
        <is>
          <t xml:space="preserve">02 - Sports / GT</t>
        </is>
      </c>
      <c r="M377" s="35">
        <v>325000</v>
      </c>
      <c r="N377" s="32" t="inlineStr">
        <is>
          <t xml:space="preserve">Personal</t>
        </is>
      </c>
      <c r="O377" s="30" t="inlineStr">
        <is>
          <t xml:space="preserve">Personal - regular use</t>
        </is>
      </c>
      <c r="P377" s="30" t="inlineStr">
        <is>
          <t xml:space="preserve">Under 1,000</t>
        </is>
      </c>
      <c r="Q377" s="30" t="inlineStr">
        <is>
          <t xml:space="preserve">New Jersey</t>
        </is>
      </c>
      <c r="R377" s="30" t="inlineStr">
        <is>
          <t xml:space="preserve">07102</t>
        </is>
      </c>
      <c r="S377" s="32" t="inlineStr">
        <is>
          <t xml:space="preserve">Tier 3 - Coastal wind (25-100 miles)</t>
        </is>
      </c>
      <c r="T377" s="36">
        <f>IF($A377="","",IF($S377="","",IFERROR(INDEX('[1]natural catastrophe'!$D$6:$D$17,MATCH($S377,'[1]natural catastrophe'!$B$6:$B$17,0)),"?")))</f>
      </c>
      <c r="U377" s="30" t="inlineStr">
        <is>
          <t xml:space="preserve">2% of agreed value, minimum $10,000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3475.76</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CANON-202604-007097</t>
        </is>
      </c>
      <c r="B378" s="46" t="inlineStr">
        <is>
          <t xml:space="preserve">Leopold Fairweather</t>
        </is>
      </c>
      <c r="C378" s="47">
        <v>46122</v>
      </c>
      <c r="D378" s="48" t="inlineStr">
        <is>
          <t xml:space="preserve">Bound - within authority</t>
        </is>
      </c>
      <c r="E378" s="48" t="inlineStr">
        <is>
          <t xml:space="preserve">New business</t>
        </is>
      </c>
      <c r="F378" s="46" t="inlineStr">
        <is>
          <t xml:space="preserve">B1234EXOTIC26</t>
        </is>
      </c>
      <c r="G378" s="33">
        <f>IF($A378="","",IF($C378="","",YEAR($C378)))</f>
      </c>
      <c r="H378" s="49">
        <v>1969</v>
      </c>
      <c r="I378" s="46" t="inlineStr">
        <is>
          <t xml:space="preserve">Maserati</t>
        </is>
      </c>
      <c r="J378" s="46" t="inlineStr">
        <is>
          <t xml:space="preserve">GranTurismo</t>
        </is>
      </c>
      <c r="K378" s="46" t="inlineStr">
        <is>
          <t xml:space="preserve">XPYMW5ZER1VW8LLKA</t>
        </is>
      </c>
      <c r="L378" s="48" t="inlineStr">
        <is>
          <t xml:space="preserve">02 - Sports / GT</t>
        </is>
      </c>
      <c r="M378" s="50">
        <v>300000</v>
      </c>
      <c r="N378" s="48" t="inlineStr">
        <is>
          <t xml:space="preserve">Personal</t>
        </is>
      </c>
      <c r="O378" s="46" t="inlineStr">
        <is>
          <t xml:space="preserve">Personal - regular use</t>
        </is>
      </c>
      <c r="P378" s="46" t="inlineStr">
        <is>
          <t xml:space="preserve">2,500 - 5,000</t>
        </is>
      </c>
      <c r="Q378" s="46" t="inlineStr">
        <is>
          <t xml:space="preserve">Michigan</t>
        </is>
      </c>
      <c r="R378" s="46" t="inlineStr">
        <is>
          <t xml:space="preserve">48226</t>
        </is>
      </c>
      <c r="S378" s="48" t="inlineStr">
        <is>
          <t xml:space="preserve">Severe convective - hail / tornado (moderate)</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5464.85</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CANON-202604-007098</t>
        </is>
      </c>
      <c r="B379" s="30" t="inlineStr">
        <is>
          <t xml:space="preserve">Aurelio Blackwood</t>
        </is>
      </c>
      <c r="C379" s="31">
        <v>46133</v>
      </c>
      <c r="D379" s="32" t="inlineStr">
        <is>
          <t xml:space="preserve">Bound - within authority</t>
        </is>
      </c>
      <c r="E379" s="32" t="inlineStr">
        <is>
          <t xml:space="preserve">New business</t>
        </is>
      </c>
      <c r="F379" s="30" t="inlineStr">
        <is>
          <t xml:space="preserve">B1234EXOTIC26</t>
        </is>
      </c>
      <c r="G379" s="33">
        <f>IF($A379="","",IF($C379="","",YEAR($C379)))</f>
      </c>
      <c r="H379" s="34">
        <v>2002</v>
      </c>
      <c r="I379" s="30" t="inlineStr">
        <is>
          <t xml:space="preserve">BMW</t>
        </is>
      </c>
      <c r="J379" s="30" t="inlineStr">
        <is>
          <t xml:space="preserve">M8 Competition</t>
        </is>
      </c>
      <c r="K379" s="30" t="inlineStr">
        <is>
          <t xml:space="preserve">P92FEVCXFRYNRD6LN</t>
        </is>
      </c>
      <c r="L379" s="32" t="inlineStr">
        <is>
          <t xml:space="preserve">02 - Sports / GT</t>
        </is>
      </c>
      <c r="M379" s="35">
        <v>345000</v>
      </c>
      <c r="N379" s="32" t="inlineStr">
        <is>
          <t xml:space="preserve">Personal</t>
        </is>
      </c>
      <c r="O379" s="30" t="inlineStr">
        <is>
          <t xml:space="preserve">Personal - regular use</t>
        </is>
      </c>
      <c r="P379" s="30" t="inlineStr">
        <is>
          <t xml:space="preserve">2,500 - 5,000</t>
        </is>
      </c>
      <c r="Q379" s="30" t="inlineStr">
        <is>
          <t xml:space="preserve">Wyoming</t>
        </is>
      </c>
      <c r="R379" s="30" t="inlineStr">
        <is>
          <t xml:space="preserve">82001</t>
        </is>
      </c>
      <c r="S379" s="32" t="inlineStr">
        <is>
          <t xml:space="preserve">Severe convective - hail alley (high)</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4338.38</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CANON-202604-007099</t>
        </is>
      </c>
      <c r="B380" s="46" t="inlineStr">
        <is>
          <t xml:space="preserve">Leopold Merriweather</t>
        </is>
      </c>
      <c r="C380" s="47">
        <v>46115</v>
      </c>
      <c r="D380" s="48" t="inlineStr">
        <is>
          <t xml:space="preserve">Bound - within authority</t>
        </is>
      </c>
      <c r="E380" s="48" t="inlineStr">
        <is>
          <t xml:space="preserve">New business</t>
        </is>
      </c>
      <c r="F380" s="46" t="inlineStr">
        <is>
          <t xml:space="preserve">B1234EXOTIC26</t>
        </is>
      </c>
      <c r="G380" s="33">
        <f>IF($A380="","",IF($C380="","",YEAR($C380)))</f>
      </c>
      <c r="H380" s="49">
        <v>1956</v>
      </c>
      <c r="I380" s="46" t="inlineStr">
        <is>
          <t xml:space="preserve">Ringbrothers</t>
        </is>
      </c>
      <c r="J380" s="46" t="inlineStr">
        <is>
          <t xml:space="preserve">Mustang</t>
        </is>
      </c>
      <c r="K380" s="46" t="inlineStr">
        <is>
          <t xml:space="preserve">N07LRTPGWFSZFHWE3</t>
        </is>
      </c>
      <c r="L380" s="48" t="inlineStr">
        <is>
          <t xml:space="preserve">11 - Restomod / Coachbuilt / Bespoke</t>
        </is>
      </c>
      <c r="M380" s="50">
        <v>395000</v>
      </c>
      <c r="N380" s="48" t="inlineStr">
        <is>
          <t xml:space="preserve">Personal</t>
        </is>
      </c>
      <c r="O380" s="46" t="inlineStr">
        <is>
          <t xml:space="preserve">Personal - regular use</t>
        </is>
      </c>
      <c r="P380" s="46" t="inlineStr">
        <is>
          <t xml:space="preserve">2,500 - 5,000</t>
        </is>
      </c>
      <c r="Q380" s="46" t="inlineStr">
        <is>
          <t xml:space="preserve">Massachusetts</t>
        </is>
      </c>
      <c r="R380" s="46" t="inlineStr">
        <is>
          <t xml:space="preserve">02108</t>
        </is>
      </c>
      <c r="S380" s="48" t="inlineStr">
        <is>
          <t xml:space="preserve">Tier 3 - Coastal wind (25-100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6808.53</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CANON-202604-007100</t>
        </is>
      </c>
      <c r="B381" s="30" t="inlineStr">
        <is>
          <t xml:space="preserve">Aurelio Thistlewood</t>
        </is>
      </c>
      <c r="C381" s="31">
        <v>46136</v>
      </c>
      <c r="D381" s="32" t="inlineStr">
        <is>
          <t xml:space="preserve">Bound - within authority</t>
        </is>
      </c>
      <c r="E381" s="32" t="inlineStr">
        <is>
          <t xml:space="preserve">New business</t>
        </is>
      </c>
      <c r="F381" s="30" t="inlineStr">
        <is>
          <t xml:space="preserve">B1234EXOTIC26</t>
        </is>
      </c>
      <c r="G381" s="33">
        <f>IF($A381="","",IF($C381="","",YEAR($C381)))</f>
      </c>
      <c r="H381" s="34">
        <v>1999</v>
      </c>
      <c r="I381" s="30" t="inlineStr">
        <is>
          <t xml:space="preserve">Ferrari</t>
        </is>
      </c>
      <c r="J381" s="30" t="inlineStr">
        <is>
          <t xml:space="preserve">SF90 Stradale</t>
        </is>
      </c>
      <c r="K381" s="30" t="inlineStr">
        <is>
          <t xml:space="preserve">ZAS22PXD9DNPFT6WT</t>
        </is>
      </c>
      <c r="L381" s="32" t="inlineStr">
        <is>
          <t xml:space="preserve">03 - Supercar</t>
        </is>
      </c>
      <c r="M381" s="35">
        <v>585000</v>
      </c>
      <c r="N381" s="32" t="inlineStr">
        <is>
          <t xml:space="preserve">Personal</t>
        </is>
      </c>
      <c r="O381" s="30" t="inlineStr">
        <is>
          <t xml:space="preserve">Personal - regular use</t>
        </is>
      </c>
      <c r="P381" s="30" t="inlineStr">
        <is>
          <t xml:space="preserve">2,500 - 5,000</t>
        </is>
      </c>
      <c r="Q381" s="30" t="inlineStr">
        <is>
          <t xml:space="preserve">Pennsylvania</t>
        </is>
      </c>
      <c r="R381" s="30" t="inlineStr">
        <is>
          <t xml:space="preserve">19103</t>
        </is>
      </c>
      <c r="S381" s="32" t="inlineStr">
        <is>
          <t xml:space="preserve">Low hazard - inland benign</t>
        </is>
      </c>
      <c r="T381" s="36">
        <f>IF($A381="","",IF($S381="","",IFERROR(INDEX('[1]natural catastrophe'!$D$6:$D$17,MATCH($S381,'[1]natural catastrophe'!$B$6:$B$17,0)),"?")))</f>
      </c>
      <c r="U381" s="30" t="inlineStr">
        <is>
          <t xml:space="preserve">$5,000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8708.5</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CANON-202604-007102</t>
        </is>
      </c>
      <c r="B382" s="46" t="inlineStr">
        <is>
          <t xml:space="preserve">Emiliano Okonkwo</t>
        </is>
      </c>
      <c r="C382" s="47">
        <v>46133</v>
      </c>
      <c r="D382" s="48" t="inlineStr">
        <is>
          <t xml:space="preserve">Bound - within authority</t>
        </is>
      </c>
      <c r="E382" s="48" t="inlineStr">
        <is>
          <t xml:space="preserve">New business</t>
        </is>
      </c>
      <c r="F382" s="46" t="inlineStr">
        <is>
          <t xml:space="preserve">B1234EXOTIC26</t>
        </is>
      </c>
      <c r="G382" s="33">
        <f>IF($A382="","",IF($C382="","",YEAR($C382)))</f>
      </c>
      <c r="H382" s="49">
        <v>1973</v>
      </c>
      <c r="I382" s="46" t="inlineStr">
        <is>
          <t xml:space="preserve">Bentley</t>
        </is>
      </c>
      <c r="J382" s="46" t="inlineStr">
        <is>
          <t xml:space="preserve">Continental GT</t>
        </is>
      </c>
      <c r="K382" s="46" t="inlineStr">
        <is>
          <t xml:space="preserve">4ANZEACYRKC9GFKHY</t>
        </is>
      </c>
      <c r="L382" s="48" t="inlineStr">
        <is>
          <t xml:space="preserve">02 - Sports / GT</t>
        </is>
      </c>
      <c r="M382" s="50">
        <v>390000</v>
      </c>
      <c r="N382" s="48" t="inlineStr">
        <is>
          <t xml:space="preserve">Personal</t>
        </is>
      </c>
      <c r="O382" s="46" t="inlineStr">
        <is>
          <t xml:space="preserve">Personal - regular use</t>
        </is>
      </c>
      <c r="P382" s="46" t="inlineStr">
        <is>
          <t xml:space="preserve">2,500 - 5,000</t>
        </is>
      </c>
      <c r="Q382" s="46" t="inlineStr">
        <is>
          <t xml:space="preserve">Kansas</t>
        </is>
      </c>
      <c r="R382" s="46" t="inlineStr">
        <is>
          <t xml:space="preserve">66603</t>
        </is>
      </c>
      <c r="S382" s="48" t="inlineStr">
        <is>
          <t xml:space="preserve">Severe convective - hail alley (high)</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4445.92</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CANON-202604-007104</t>
        </is>
      </c>
      <c r="B383" s="30" t="inlineStr">
        <is>
          <t xml:space="preserve">Priya Chattopadhyay</t>
        </is>
      </c>
      <c r="C383" s="31">
        <v>46142</v>
      </c>
      <c r="D383" s="32" t="inlineStr">
        <is>
          <t xml:space="preserve">Bound - within authority</t>
        </is>
      </c>
      <c r="E383" s="32" t="inlineStr">
        <is>
          <t xml:space="preserve">New business</t>
        </is>
      </c>
      <c r="F383" s="30" t="inlineStr">
        <is>
          <t xml:space="preserve">B1234EXOTIC26</t>
        </is>
      </c>
      <c r="G383" s="33">
        <f>IF($A383="","",IF($C383="","",YEAR($C383)))</f>
      </c>
      <c r="H383" s="34">
        <v>2001</v>
      </c>
      <c r="I383" s="30" t="inlineStr">
        <is>
          <t xml:space="preserve">Ferrari</t>
        </is>
      </c>
      <c r="J383" s="30" t="inlineStr">
        <is>
          <t xml:space="preserve">SF90 Stradale</t>
        </is>
      </c>
      <c r="K383" s="30" t="inlineStr">
        <is>
          <t xml:space="preserve">4YVZUVZ2K16U29554</t>
        </is>
      </c>
      <c r="L383" s="32" t="inlineStr">
        <is>
          <t xml:space="preserve">03 - Supercar</t>
        </is>
      </c>
      <c r="M383" s="35">
        <v>555000</v>
      </c>
      <c r="N383" s="32" t="inlineStr">
        <is>
          <t xml:space="preserve">Personal</t>
        </is>
      </c>
      <c r="O383" s="30" t="inlineStr">
        <is>
          <t xml:space="preserve">Personal - regular use</t>
        </is>
      </c>
      <c r="P383" s="30" t="inlineStr">
        <is>
          <t xml:space="preserve">Under 1,000</t>
        </is>
      </c>
      <c r="Q383" s="30" t="inlineStr">
        <is>
          <t xml:space="preserve">Texas</t>
        </is>
      </c>
      <c r="R383" s="30" t="inlineStr">
        <is>
          <t xml:space="preserve">75201</t>
        </is>
      </c>
      <c r="S383" s="32" t="inlineStr">
        <is>
          <t xml:space="preserve">Tier 2 - Coastal wind (1-25 miles)</t>
        </is>
      </c>
      <c r="T383" s="36">
        <f>IF($A383="","",IF($S383="","",IFERROR(INDEX('[1]natural catastrophe'!$D$6:$D$17,MATCH($S383,'[1]natural catastrophe'!$B$6:$B$17,0)),"?")))</f>
      </c>
      <c r="U383" s="30" t="inlineStr">
        <is>
          <t xml:space="preserve">2% of agreed value, minimum $10,000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9501.19</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CANON-202604-007105</t>
        </is>
      </c>
      <c r="B384" s="46" t="inlineStr">
        <is>
          <t xml:space="preserve">Cassius Delacroix</t>
        </is>
      </c>
      <c r="C384" s="47">
        <v>46123</v>
      </c>
      <c r="D384" s="48" t="inlineStr">
        <is>
          <t xml:space="preserve">Bound - within authority</t>
        </is>
      </c>
      <c r="E384" s="48" t="inlineStr">
        <is>
          <t xml:space="preserve">New business</t>
        </is>
      </c>
      <c r="F384" s="46" t="inlineStr">
        <is>
          <t xml:space="preserve">B1234EXOTIC26</t>
        </is>
      </c>
      <c r="G384" s="33">
        <f>IF($A384="","",IF($C384="","",YEAR($C384)))</f>
      </c>
      <c r="H384" s="49">
        <v>2002</v>
      </c>
      <c r="I384" s="46" t="inlineStr">
        <is>
          <t xml:space="preserve">Jaguar</t>
        </is>
      </c>
      <c r="J384" s="46" t="inlineStr">
        <is>
          <t xml:space="preserve">E-Type Series 1</t>
        </is>
      </c>
      <c r="K384" s="46" t="inlineStr">
        <is>
          <t xml:space="preserve">DE4XXZ8K3VAVBA36H</t>
        </is>
      </c>
      <c r="L384" s="48" t="inlineStr">
        <is>
          <t xml:space="preserve">09 - Youngtimer / Collectible (2000-2010)</t>
        </is>
      </c>
      <c r="M384" s="50">
        <v>580000</v>
      </c>
      <c r="N384" s="48" t="inlineStr">
        <is>
          <t xml:space="preserve">Personal</t>
        </is>
      </c>
      <c r="O384" s="46" t="inlineStr">
        <is>
          <t xml:space="preserve">Personal - regular use</t>
        </is>
      </c>
      <c r="P384" s="46" t="inlineStr">
        <is>
          <t xml:space="preserve">2,500 - 5,000</t>
        </is>
      </c>
      <c r="Q384" s="46" t="inlineStr">
        <is>
          <t xml:space="preserve">Georgia</t>
        </is>
      </c>
      <c r="R384" s="46" t="inlineStr">
        <is>
          <t xml:space="preserve">30303</t>
        </is>
      </c>
      <c r="S384" s="48" t="inlineStr">
        <is>
          <t xml:space="preserve">Tier 2 - Coastal wind (1-25 miles)</t>
        </is>
      </c>
      <c r="T384" s="36">
        <f>IF($A384="","",IF($S384="","",IFERROR(INDEX('[1]natural catastrophe'!$D$6:$D$17,MATCH($S384,'[1]natural catastrophe'!$B$6:$B$17,0)),"?")))</f>
      </c>
      <c r="U384" s="46" t="inlineStr">
        <is>
          <t xml:space="preserve">2% of agreed value, minimum $10,000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4377.02</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CANON-202604-007107</t>
        </is>
      </c>
      <c r="B385" s="30" t="inlineStr">
        <is>
          <t xml:space="preserve">Desmond Okonkwo</t>
        </is>
      </c>
      <c r="C385" s="31">
        <v>46141</v>
      </c>
      <c r="D385" s="32" t="inlineStr">
        <is>
          <t xml:space="preserve">Bound - within authority</t>
        </is>
      </c>
      <c r="E385" s="32" t="inlineStr">
        <is>
          <t xml:space="preserve">New business</t>
        </is>
      </c>
      <c r="F385" s="30" t="inlineStr">
        <is>
          <t xml:space="preserve">B1234EXOTIC26</t>
        </is>
      </c>
      <c r="G385" s="33">
        <f>IF($A385="","",IF($C385="","",YEAR($C385)))</f>
      </c>
      <c r="H385" s="34">
        <v>1978</v>
      </c>
      <c r="I385" s="30" t="inlineStr">
        <is>
          <t xml:space="preserve">Bentley</t>
        </is>
      </c>
      <c r="J385" s="30" t="inlineStr">
        <is>
          <t xml:space="preserve">4.5 Litre</t>
        </is>
      </c>
      <c r="K385" s="30" t="inlineStr">
        <is>
          <t xml:space="preserve">AZPWCG22564YYTFUN</t>
        </is>
      </c>
      <c r="L385" s="32" t="inlineStr">
        <is>
          <t xml:space="preserve">08 - Modern Classic (1973-1999)</t>
        </is>
      </c>
      <c r="M385" s="35">
        <v>455000</v>
      </c>
      <c r="N385" s="32" t="inlineStr">
        <is>
          <t xml:space="preserve">Personal</t>
        </is>
      </c>
      <c r="O385" s="30" t="inlineStr">
        <is>
          <t xml:space="preserve">Personal - regular use</t>
        </is>
      </c>
      <c r="P385" s="30" t="inlineStr">
        <is>
          <t xml:space="preserve">1,000 - 2,500</t>
        </is>
      </c>
      <c r="Q385" s="30" t="inlineStr">
        <is>
          <t xml:space="preserve">North Carolina</t>
        </is>
      </c>
      <c r="R385" s="30" t="inlineStr">
        <is>
          <t xml:space="preserve">28202</t>
        </is>
      </c>
      <c r="S385" s="32" t="inlineStr">
        <is>
          <t xml:space="preserve">Tier 2 - Coastal wind (1-25 miles)</t>
        </is>
      </c>
      <c r="T385" s="36">
        <f>IF($A385="","",IF($S385="","",IFERROR(INDEX('[1]natural catastrophe'!$D$6:$D$17,MATCH($S385,'[1]natural catastrophe'!$B$6:$B$17,0)),"?")))</f>
      </c>
      <c r="U385" s="30" t="inlineStr">
        <is>
          <t xml:space="preserve">2% of agreed value, minimum $10,000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3443.68</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CANON-202604-007108</t>
        </is>
      </c>
      <c r="B386" s="46" t="inlineStr">
        <is>
          <t xml:space="preserve">Ramona Okonkwo</t>
        </is>
      </c>
      <c r="C386" s="47">
        <v>46135</v>
      </c>
      <c r="D386" s="48" t="inlineStr">
        <is>
          <t xml:space="preserve">Bound - within authority</t>
        </is>
      </c>
      <c r="E386" s="48" t="inlineStr">
        <is>
          <t xml:space="preserve">New business</t>
        </is>
      </c>
      <c r="F386" s="46" t="inlineStr">
        <is>
          <t xml:space="preserve">B1234EXOTIC26</t>
        </is>
      </c>
      <c r="G386" s="33">
        <f>IF($A386="","",IF($C386="","",YEAR($C386)))</f>
      </c>
      <c r="H386" s="49">
        <v>1999</v>
      </c>
      <c r="I386" s="46" t="inlineStr">
        <is>
          <t xml:space="preserve">Maserati</t>
        </is>
      </c>
      <c r="J386" s="46" t="inlineStr">
        <is>
          <t xml:space="preserve">GranTurismo</t>
        </is>
      </c>
      <c r="K386" s="46" t="inlineStr">
        <is>
          <t xml:space="preserve">9RJT7G1BHYWHEKVT4</t>
        </is>
      </c>
      <c r="L386" s="48" t="inlineStr">
        <is>
          <t xml:space="preserve">02 - Sports / GT</t>
        </is>
      </c>
      <c r="M386" s="50">
        <v>970000</v>
      </c>
      <c r="N386" s="48" t="inlineStr">
        <is>
          <t xml:space="preserve">Personal</t>
        </is>
      </c>
      <c r="O386" s="46" t="inlineStr">
        <is>
          <t xml:space="preserve">Personal - regular use</t>
        </is>
      </c>
      <c r="P386" s="46" t="inlineStr">
        <is>
          <t xml:space="preserve">Under 1,000</t>
        </is>
      </c>
      <c r="Q386" s="46" t="inlineStr">
        <is>
          <t xml:space="preserve">New Jersey</t>
        </is>
      </c>
      <c r="R386" s="46" t="inlineStr">
        <is>
          <t xml:space="preserve">07102</t>
        </is>
      </c>
      <c r="S386" s="48" t="inlineStr">
        <is>
          <t xml:space="preserve">Tier 3 - Coastal wind (25-100 miles)</t>
        </is>
      </c>
      <c r="T386" s="36">
        <f>IF($A386="","",IF($S386="","",IFERROR(INDEX('[1]natural catastrophe'!$D$6:$D$17,MATCH($S386,'[1]natural catastrophe'!$B$6:$B$17,0)),"?")))</f>
      </c>
      <c r="U386" s="46" t="inlineStr">
        <is>
          <t xml:space="preserve">2% of agreed value, minimum $10,000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8990.64</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CANON-202604-007109</t>
        </is>
      </c>
      <c r="B387" s="30" t="inlineStr">
        <is>
          <t xml:space="preserve">Beatrix Chattopadhyay</t>
        </is>
      </c>
      <c r="C387" s="31">
        <v>46113</v>
      </c>
      <c r="D387" s="32" t="inlineStr">
        <is>
          <t xml:space="preserve">Bound - within authority</t>
        </is>
      </c>
      <c r="E387" s="32" t="inlineStr">
        <is>
          <t xml:space="preserve">New business</t>
        </is>
      </c>
      <c r="F387" s="30" t="inlineStr">
        <is>
          <t xml:space="preserve">B1234EXOTIC26</t>
        </is>
      </c>
      <c r="G387" s="33">
        <f>IF($A387="","",IF($C387="","",YEAR($C387)))</f>
      </c>
      <c r="H387" s="34">
        <v>1981</v>
      </c>
      <c r="I387" s="30" t="inlineStr">
        <is>
          <t xml:space="preserve">Maserati</t>
        </is>
      </c>
      <c r="J387" s="30" t="inlineStr">
        <is>
          <t xml:space="preserve">GranTurismo</t>
        </is>
      </c>
      <c r="K387" s="30" t="inlineStr">
        <is>
          <t xml:space="preserve">YLKY8F14D44BE8WE3</t>
        </is>
      </c>
      <c r="L387" s="32" t="inlineStr">
        <is>
          <t xml:space="preserve">02 - Sports / GT</t>
        </is>
      </c>
      <c r="M387" s="35">
        <v>430000</v>
      </c>
      <c r="N387" s="32" t="inlineStr">
        <is>
          <t xml:space="preserve">Personal</t>
        </is>
      </c>
      <c r="O387" s="30" t="inlineStr">
        <is>
          <t xml:space="preserve">Personal - regular use</t>
        </is>
      </c>
      <c r="P387" s="30" t="inlineStr">
        <is>
          <t xml:space="preserve">1,000 - 2,500</t>
        </is>
      </c>
      <c r="Q387" s="30" t="inlineStr">
        <is>
          <t xml:space="preserve">Michigan</t>
        </is>
      </c>
      <c r="R387" s="30" t="inlineStr">
        <is>
          <t xml:space="preserve">48226</t>
        </is>
      </c>
      <c r="S387" s="32" t="inlineStr">
        <is>
          <t xml:space="preserve">Severe convective - hail / tornado (moderate)</t>
        </is>
      </c>
      <c r="T387" s="36">
        <f>IF($A387="","",IF($S387="","",IFERROR(INDEX('[1]natural catastrophe'!$D$6:$D$17,MATCH($S387,'[1]natural catastrophe'!$B$6:$B$17,0)),"?")))</f>
      </c>
      <c r="U387" s="30" t="inlineStr">
        <is>
          <t xml:space="preserve">$5,000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7832.94</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CANON-202604-007110</t>
        </is>
      </c>
      <c r="B388" s="46" t="inlineStr">
        <is>
          <t xml:space="preserve">Marisol Merriweather</t>
        </is>
      </c>
      <c r="C388" s="47">
        <v>46129</v>
      </c>
      <c r="D388" s="48" t="inlineStr">
        <is>
          <t xml:space="preserve">Bound - within authority</t>
        </is>
      </c>
      <c r="E388" s="48" t="inlineStr">
        <is>
          <t xml:space="preserve">New business</t>
        </is>
      </c>
      <c r="F388" s="46" t="inlineStr">
        <is>
          <t xml:space="preserve">B1234EXOTIC26</t>
        </is>
      </c>
      <c r="G388" s="33">
        <f>IF($A388="","",IF($C388="","",YEAR($C388)))</f>
      </c>
      <c r="H388" s="49">
        <v>1963</v>
      </c>
      <c r="I388" s="46" t="inlineStr">
        <is>
          <t xml:space="preserve">Lamborghini</t>
        </is>
      </c>
      <c r="J388" s="46" t="inlineStr">
        <is>
          <t xml:space="preserve">Huracan EVO</t>
        </is>
      </c>
      <c r="K388" s="46" t="inlineStr">
        <is>
          <t xml:space="preserve">H6H1CA29FSYF4ZE6D</t>
        </is>
      </c>
      <c r="L388" s="48" t="inlineStr">
        <is>
          <t xml:space="preserve">03 - Supercar</t>
        </is>
      </c>
      <c r="M388" s="50">
        <v>385000</v>
      </c>
      <c r="N388" s="48" t="inlineStr">
        <is>
          <t xml:space="preserve">Personal</t>
        </is>
      </c>
      <c r="O388" s="46" t="inlineStr">
        <is>
          <t xml:space="preserve">Personal - regular use</t>
        </is>
      </c>
      <c r="P388" s="46" t="inlineStr">
        <is>
          <t xml:space="preserve">1,000 - 2,500</t>
        </is>
      </c>
      <c r="Q388" s="46" t="inlineStr">
        <is>
          <t xml:space="preserve">Rhode Island</t>
        </is>
      </c>
      <c r="R388" s="46" t="inlineStr">
        <is>
          <t xml:space="preserve">02903</t>
        </is>
      </c>
      <c r="S388" s="48" t="inlineStr">
        <is>
          <t xml:space="preserve">Tier 3 - Coastal wind (25-100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9504.8</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CANON-202604-007111</t>
        </is>
      </c>
      <c r="B389" s="30" t="inlineStr">
        <is>
          <t xml:space="preserve">Cassius Ashcombe</t>
        </is>
      </c>
      <c r="C389" s="31">
        <v>46120</v>
      </c>
      <c r="D389" s="32" t="inlineStr">
        <is>
          <t xml:space="preserve">Bound - within authority</t>
        </is>
      </c>
      <c r="E389" s="32" t="inlineStr">
        <is>
          <t xml:space="preserve">New business</t>
        </is>
      </c>
      <c r="F389" s="30" t="inlineStr">
        <is>
          <t xml:space="preserve">B1234EXOTIC26</t>
        </is>
      </c>
      <c r="G389" s="33">
        <f>IF($A389="","",IF($C389="","",YEAR($C389)))</f>
      </c>
      <c r="H389" s="34">
        <v>1964</v>
      </c>
      <c r="I389" s="30" t="inlineStr">
        <is>
          <t xml:space="preserve">Maserati</t>
        </is>
      </c>
      <c r="J389" s="30" t="inlineStr">
        <is>
          <t xml:space="preserve">GranTurismo</t>
        </is>
      </c>
      <c r="K389" s="30" t="inlineStr">
        <is>
          <t xml:space="preserve">2VVJSALXVKTHS9XHN</t>
        </is>
      </c>
      <c r="L389" s="32" t="inlineStr">
        <is>
          <t xml:space="preserve">02 - Sports / GT</t>
        </is>
      </c>
      <c r="M389" s="35">
        <v>500000</v>
      </c>
      <c r="N389" s="32" t="inlineStr">
        <is>
          <t xml:space="preserve">Personal</t>
        </is>
      </c>
      <c r="O389" s="30" t="inlineStr">
        <is>
          <t xml:space="preserve">Personal - regular use</t>
        </is>
      </c>
      <c r="P389" s="30" t="inlineStr">
        <is>
          <t xml:space="preserve">2,500 - 5,000</t>
        </is>
      </c>
      <c r="Q389" s="30" t="inlineStr">
        <is>
          <t xml:space="preserve">New York</t>
        </is>
      </c>
      <c r="R389" s="30" t="inlineStr">
        <is>
          <t xml:space="preserve">10022</t>
        </is>
      </c>
      <c r="S389" s="32" t="inlineStr">
        <is>
          <t xml:space="preserve">Tier 3 - Coastal wind (25-100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6518.64</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CANON-202604-007112</t>
        </is>
      </c>
      <c r="B390" s="46" t="inlineStr">
        <is>
          <t xml:space="preserve">Priya Okonkwo</t>
        </is>
      </c>
      <c r="C390" s="47">
        <v>46116</v>
      </c>
      <c r="D390" s="48" t="inlineStr">
        <is>
          <t xml:space="preserve">Bound - within authority</t>
        </is>
      </c>
      <c r="E390" s="48" t="inlineStr">
        <is>
          <t xml:space="preserve">New business</t>
        </is>
      </c>
      <c r="F390" s="46" t="inlineStr">
        <is>
          <t xml:space="preserve">B1234EXOTIC26</t>
        </is>
      </c>
      <c r="G390" s="33">
        <f>IF($A390="","",IF($C390="","",YEAR($C390)))</f>
      </c>
      <c r="H390" s="49">
        <v>1961</v>
      </c>
      <c r="I390" s="46" t="inlineStr">
        <is>
          <t xml:space="preserve">Ferrari</t>
        </is>
      </c>
      <c r="J390" s="46" t="inlineStr">
        <is>
          <t xml:space="preserve">SF90 Stradale</t>
        </is>
      </c>
      <c r="K390" s="46" t="inlineStr">
        <is>
          <t xml:space="preserve">G42HBRKPP7SMC1BUX</t>
        </is>
      </c>
      <c r="L390" s="48" t="inlineStr">
        <is>
          <t xml:space="preserve">03 - Supercar</t>
        </is>
      </c>
      <c r="M390" s="50">
        <v>550000</v>
      </c>
      <c r="N390" s="48" t="inlineStr">
        <is>
          <t xml:space="preserve">Personal</t>
        </is>
      </c>
      <c r="O390" s="46" t="inlineStr">
        <is>
          <t xml:space="preserve">Personal - regular use</t>
        </is>
      </c>
      <c r="P390" s="46" t="inlineStr">
        <is>
          <t xml:space="preserve">Under 1,000</t>
        </is>
      </c>
      <c r="Q390" s="46" t="inlineStr">
        <is>
          <t xml:space="preserve">California</t>
        </is>
      </c>
      <c r="R390" s="46" t="inlineStr">
        <is>
          <t xml:space="preserve">90012</t>
        </is>
      </c>
      <c r="S390" s="48" t="inlineStr">
        <is>
          <t xml:space="preserve">Earthquake - high (CA, Cascadia, New Madrid)</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11053.09</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CANON-202604-007113</t>
        </is>
      </c>
      <c r="B391" s="30" t="inlineStr">
        <is>
          <t xml:space="preserve">Emiliano Rourke</t>
        </is>
      </c>
      <c r="C391" s="31">
        <v>46119</v>
      </c>
      <c r="D391" s="32" t="inlineStr">
        <is>
          <t xml:space="preserve">Bound - within authority</t>
        </is>
      </c>
      <c r="E391" s="32" t="inlineStr">
        <is>
          <t xml:space="preserve">New business</t>
        </is>
      </c>
      <c r="F391" s="30" t="inlineStr">
        <is>
          <t xml:space="preserve">B1234EXOTIC26</t>
        </is>
      </c>
      <c r="G391" s="33">
        <f>IF($A391="","",IF($C391="","",YEAR($C391)))</f>
      </c>
      <c r="H391" s="34">
        <v>1972</v>
      </c>
      <c r="I391" s="30" t="inlineStr">
        <is>
          <t xml:space="preserve">McLaren</t>
        </is>
      </c>
      <c r="J391" s="30" t="inlineStr">
        <is>
          <t xml:space="preserve">750S</t>
        </is>
      </c>
      <c r="K391" s="30" t="inlineStr">
        <is>
          <t xml:space="preserve">6WXC2JHJX9C4L7HEK</t>
        </is>
      </c>
      <c r="L391" s="32" t="inlineStr">
        <is>
          <t xml:space="preserve">03 - Supercar</t>
        </is>
      </c>
      <c r="M391" s="35">
        <v>275000</v>
      </c>
      <c r="N391" s="32" t="inlineStr">
        <is>
          <t xml:space="preserve">Personal</t>
        </is>
      </c>
      <c r="O391" s="30" t="inlineStr">
        <is>
          <t xml:space="preserve">Personal - regular use</t>
        </is>
      </c>
      <c r="P391" s="30" t="inlineStr">
        <is>
          <t xml:space="preserve">2,500 - 5,000</t>
        </is>
      </c>
      <c r="Q391" s="30" t="inlineStr">
        <is>
          <t xml:space="preserve">Arizona</t>
        </is>
      </c>
      <c r="R391" s="30" t="inlineStr">
        <is>
          <t xml:space="preserve">85001</t>
        </is>
      </c>
      <c r="S391" s="32" t="inlineStr">
        <is>
          <t xml:space="preserve">Wildfire - WUI high hazard</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5005.13</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CANON-202604-007114</t>
        </is>
      </c>
      <c r="B392" s="46" t="inlineStr">
        <is>
          <t xml:space="preserve">Lorenzo Chattopadhyay</t>
        </is>
      </c>
      <c r="C392" s="47">
        <v>46125</v>
      </c>
      <c r="D392" s="48" t="inlineStr">
        <is>
          <t xml:space="preserve">Bound - within authority</t>
        </is>
      </c>
      <c r="E392" s="48" t="inlineStr">
        <is>
          <t xml:space="preserve">New business</t>
        </is>
      </c>
      <c r="F392" s="46" t="inlineStr">
        <is>
          <t xml:space="preserve">B1234EXOTIC26</t>
        </is>
      </c>
      <c r="G392" s="33">
        <f>IF($A392="","",IF($C392="","",YEAR($C392)))</f>
      </c>
      <c r="H392" s="49">
        <v>2001</v>
      </c>
      <c r="I392" s="46" t="inlineStr">
        <is>
          <t xml:space="preserve">McLaren</t>
        </is>
      </c>
      <c r="J392" s="46" t="inlineStr">
        <is>
          <t xml:space="preserve">750S</t>
        </is>
      </c>
      <c r="K392" s="46" t="inlineStr">
        <is>
          <t xml:space="preserve">TMCXGEFKWHYHUP2PV</t>
        </is>
      </c>
      <c r="L392" s="48" t="inlineStr">
        <is>
          <t xml:space="preserve">03 - Supercar</t>
        </is>
      </c>
      <c r="M392" s="50">
        <v>650000</v>
      </c>
      <c r="N392" s="48" t="inlineStr">
        <is>
          <t xml:space="preserve">Personal</t>
        </is>
      </c>
      <c r="O392" s="46" t="inlineStr">
        <is>
          <t xml:space="preserve">Personal - regular use</t>
        </is>
      </c>
      <c r="P392" s="46" t="inlineStr">
        <is>
          <t xml:space="preserve">Under 1,000</t>
        </is>
      </c>
      <c r="Q392" s="46" t="inlineStr">
        <is>
          <t xml:space="preserve">Colorado</t>
        </is>
      </c>
      <c r="R392" s="46" t="inlineStr">
        <is>
          <t xml:space="preserve">80202</t>
        </is>
      </c>
      <c r="S392" s="48" t="inlineStr">
        <is>
          <t xml:space="preserve">Severe convective - hail alley (high)</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10643.72</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CANON-202604-007115</t>
        </is>
      </c>
      <c r="B393" s="30" t="inlineStr">
        <is>
          <t xml:space="preserve">Callum Blackwood</t>
        </is>
      </c>
      <c r="C393" s="31">
        <v>46126</v>
      </c>
      <c r="D393" s="32" t="inlineStr">
        <is>
          <t xml:space="preserve">Bound - within authority</t>
        </is>
      </c>
      <c r="E393" s="32" t="inlineStr">
        <is>
          <t xml:space="preserve">New business</t>
        </is>
      </c>
      <c r="F393" s="30" t="inlineStr">
        <is>
          <t xml:space="preserve">B1234EXOTIC26</t>
        </is>
      </c>
      <c r="G393" s="33">
        <f>IF($A393="","",IF($C393="","",YEAR($C393)))</f>
      </c>
      <c r="H393" s="34">
        <v>1988</v>
      </c>
      <c r="I393" s="30" t="inlineStr">
        <is>
          <t xml:space="preserve">Mercedes-Benz</t>
        </is>
      </c>
      <c r="J393" s="30" t="inlineStr">
        <is>
          <t xml:space="preserve">AMG GT</t>
        </is>
      </c>
      <c r="K393" s="30" t="inlineStr">
        <is>
          <t xml:space="preserve">0KT3LFDF2TTCVT6SK</t>
        </is>
      </c>
      <c r="L393" s="32" t="inlineStr">
        <is>
          <t xml:space="preserve">02 - Sports / GT</t>
        </is>
      </c>
      <c r="M393" s="35">
        <v>1310000</v>
      </c>
      <c r="N393" s="32" t="inlineStr">
        <is>
          <t xml:space="preserve">Personal</t>
        </is>
      </c>
      <c r="O393" s="30" t="inlineStr">
        <is>
          <t xml:space="preserve">Personal - regular use</t>
        </is>
      </c>
      <c r="P393" s="30" t="inlineStr">
        <is>
          <t xml:space="preserve">Under 1,000</t>
        </is>
      </c>
      <c r="Q393" s="30" t="inlineStr">
        <is>
          <t xml:space="preserve">Colorado</t>
        </is>
      </c>
      <c r="R393" s="30" t="inlineStr">
        <is>
          <t xml:space="preserve">80202</t>
        </is>
      </c>
      <c r="S393" s="32" t="inlineStr">
        <is>
          <t xml:space="preserve">Severe convective - hail alley (high)</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12419.11</v>
      </c>
      <c r="AC393" s="37">
        <v>0</v>
      </c>
      <c r="AD393" s="38">
        <f>IF(ISNUMBER($AB393),$AB393*(1+N($AC393)),"")</f>
      </c>
      <c r="AE393" s="35">
        <v>350</v>
      </c>
      <c r="AF393" s="35">
        <v>250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CANON-202604-007117</t>
        </is>
      </c>
      <c r="B394" s="46" t="inlineStr">
        <is>
          <t xml:space="preserve">Leopold Rourke</t>
        </is>
      </c>
      <c r="C394" s="47">
        <v>46114</v>
      </c>
      <c r="D394" s="48" t="inlineStr">
        <is>
          <t xml:space="preserve">Bound - within authority</t>
        </is>
      </c>
      <c r="E394" s="48" t="inlineStr">
        <is>
          <t xml:space="preserve">New business</t>
        </is>
      </c>
      <c r="F394" s="46" t="inlineStr">
        <is>
          <t xml:space="preserve">B1234EXOTIC26</t>
        </is>
      </c>
      <c r="G394" s="33">
        <f>IF($A394="","",IF($C394="","",YEAR($C394)))</f>
      </c>
      <c r="H394" s="49">
        <v>2020</v>
      </c>
      <c r="I394" s="46" t="inlineStr">
        <is>
          <t xml:space="preserve">Aston Martin</t>
        </is>
      </c>
      <c r="J394" s="46" t="inlineStr">
        <is>
          <t xml:space="preserve">DB12</t>
        </is>
      </c>
      <c r="K394" s="46" t="inlineStr">
        <is>
          <t xml:space="preserve">SXY0KA7TFTMH0TF11</t>
        </is>
      </c>
      <c r="L394" s="48" t="inlineStr">
        <is>
          <t xml:space="preserve">02 - Sports / GT</t>
        </is>
      </c>
      <c r="M394" s="50">
        <v>695000</v>
      </c>
      <c r="N394" s="48" t="inlineStr">
        <is>
          <t xml:space="preserve">Personal</t>
        </is>
      </c>
      <c r="O394" s="46" t="inlineStr">
        <is>
          <t xml:space="preserve">Personal - regular use</t>
        </is>
      </c>
      <c r="P394" s="46" t="inlineStr">
        <is>
          <t xml:space="preserve">Under 1,000</t>
        </is>
      </c>
      <c r="Q394" s="46" t="inlineStr">
        <is>
          <t xml:space="preserve">Illinois</t>
        </is>
      </c>
      <c r="R394" s="46" t="inlineStr">
        <is>
          <t xml:space="preserve">60601</t>
        </is>
      </c>
      <c r="S394" s="48" t="inlineStr">
        <is>
          <t xml:space="preserve">Severe convective - hail / tornado (moderate)</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9627.22</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CANON-202604-007118</t>
        </is>
      </c>
      <c r="B395" s="30" t="inlineStr">
        <is>
          <t xml:space="preserve">Ottilie Harrington</t>
        </is>
      </c>
      <c r="C395" s="31">
        <v>46117</v>
      </c>
      <c r="D395" s="32" t="inlineStr">
        <is>
          <t xml:space="preserve">Bound - within authority</t>
        </is>
      </c>
      <c r="E395" s="32" t="inlineStr">
        <is>
          <t xml:space="preserve">New business</t>
        </is>
      </c>
      <c r="F395" s="30" t="inlineStr">
        <is>
          <t xml:space="preserve">B1234EXOTIC26</t>
        </is>
      </c>
      <c r="G395" s="33">
        <f>IF($A395="","",IF($C395="","",YEAR($C395)))</f>
      </c>
      <c r="H395" s="34">
        <v>2013</v>
      </c>
      <c r="I395" s="30" t="inlineStr">
        <is>
          <t xml:space="preserve">Ferrari</t>
        </is>
      </c>
      <c r="J395" s="30" t="inlineStr">
        <is>
          <t xml:space="preserve">SF90 Stradale</t>
        </is>
      </c>
      <c r="K395" s="30" t="inlineStr">
        <is>
          <t xml:space="preserve">3PW37P0XFLBEB7PS9</t>
        </is>
      </c>
      <c r="L395" s="32" t="inlineStr">
        <is>
          <t xml:space="preserve">03 - Supercar</t>
        </is>
      </c>
      <c r="M395" s="35">
        <v>685000</v>
      </c>
      <c r="N395" s="32" t="inlineStr">
        <is>
          <t xml:space="preserve">Personal</t>
        </is>
      </c>
      <c r="O395" s="30" t="inlineStr">
        <is>
          <t xml:space="preserve">Personal - regular use</t>
        </is>
      </c>
      <c r="P395" s="30" t="inlineStr">
        <is>
          <t xml:space="preserve">2,500 - 5,000</t>
        </is>
      </c>
      <c r="Q395" s="30" t="inlineStr">
        <is>
          <t xml:space="preserve">Oregon</t>
        </is>
      </c>
      <c r="R395" s="30" t="inlineStr">
        <is>
          <t xml:space="preserve">97204</t>
        </is>
      </c>
      <c r="S395" s="32" t="inlineStr">
        <is>
          <t xml:space="preserve">Earthquake - high (CA, Cascadia, New Madrid)</t>
        </is>
      </c>
      <c r="T395" s="36">
        <f>IF($A395="","",IF($S395="","",IFERROR(INDEX('[1]natural catastrophe'!$D$6:$D$17,MATCH($S395,'[1]natural catastrophe'!$B$6:$B$17,0)),"?")))</f>
      </c>
      <c r="U395" s="30" t="inlineStr">
        <is>
          <t xml:space="preserve">$5,000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11522.76</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CANON-202604-007119</t>
        </is>
      </c>
      <c r="B396" s="46" t="inlineStr">
        <is>
          <t xml:space="preserve">Mireille Rourke</t>
        </is>
      </c>
      <c r="C396" s="47">
        <v>46142</v>
      </c>
      <c r="D396" s="48" t="inlineStr">
        <is>
          <t xml:space="preserve">Bound - within authority</t>
        </is>
      </c>
      <c r="E396" s="48" t="inlineStr">
        <is>
          <t xml:space="preserve">New business</t>
        </is>
      </c>
      <c r="F396" s="46" t="inlineStr">
        <is>
          <t xml:space="preserve">B1234EXOTIC26</t>
        </is>
      </c>
      <c r="G396" s="33">
        <f>IF($A396="","",IF($C396="","",YEAR($C396)))</f>
      </c>
      <c r="H396" s="49">
        <v>2021</v>
      </c>
      <c r="I396" s="46" t="inlineStr">
        <is>
          <t xml:space="preserve">BMW</t>
        </is>
      </c>
      <c r="J396" s="46" t="inlineStr">
        <is>
          <t xml:space="preserve">M8 Competition</t>
        </is>
      </c>
      <c r="K396" s="46" t="inlineStr">
        <is>
          <t xml:space="preserve">SGPK7ZH2C73SXZBY7</t>
        </is>
      </c>
      <c r="L396" s="48" t="inlineStr">
        <is>
          <t xml:space="preserve">02 - Sports / GT</t>
        </is>
      </c>
      <c r="M396" s="50">
        <v>530000</v>
      </c>
      <c r="N396" s="48" t="inlineStr">
        <is>
          <t xml:space="preserve">Personal</t>
        </is>
      </c>
      <c r="O396" s="46" t="inlineStr">
        <is>
          <t xml:space="preserve">Personal - regular use</t>
        </is>
      </c>
      <c r="P396" s="46" t="inlineStr">
        <is>
          <t xml:space="preserve">2,500 - 5,000</t>
        </is>
      </c>
      <c r="Q396" s="46" t="inlineStr">
        <is>
          <t xml:space="preserve">Texas</t>
        </is>
      </c>
      <c r="R396" s="46" t="inlineStr">
        <is>
          <t xml:space="preserve">75201</t>
        </is>
      </c>
      <c r="S396" s="48" t="inlineStr">
        <is>
          <t xml:space="preserve">Tier 2 - Coastal wind (1-25 miles)</t>
        </is>
      </c>
      <c r="T396" s="36">
        <f>IF($A396="","",IF($S396="","",IFERROR(INDEX('[1]natural catastrophe'!$D$6:$D$17,MATCH($S396,'[1]natural catastrophe'!$B$6:$B$17,0)),"?")))</f>
      </c>
      <c r="U396" s="46" t="inlineStr">
        <is>
          <t xml:space="preserve">2% of agreed value, minimum $10,000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6207.99</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CANON-202604-007120</t>
        </is>
      </c>
      <c r="B397" s="30" t="inlineStr">
        <is>
          <t xml:space="preserve">Marisol Harrington</t>
        </is>
      </c>
      <c r="C397" s="31">
        <v>46122</v>
      </c>
      <c r="D397" s="32" t="inlineStr">
        <is>
          <t xml:space="preserve">Bound - within authority</t>
        </is>
      </c>
      <c r="E397" s="32" t="inlineStr">
        <is>
          <t xml:space="preserve">New business</t>
        </is>
      </c>
      <c r="F397" s="30" t="inlineStr">
        <is>
          <t xml:space="preserve">B1234EXOTIC26</t>
        </is>
      </c>
      <c r="G397" s="33">
        <f>IF($A397="","",IF($C397="","",YEAR($C397)))</f>
      </c>
      <c r="H397" s="34">
        <v>1956</v>
      </c>
      <c r="I397" s="30" t="inlineStr">
        <is>
          <t xml:space="preserve">Aston Martin</t>
        </is>
      </c>
      <c r="J397" s="30" t="inlineStr">
        <is>
          <t xml:space="preserve">DB12</t>
        </is>
      </c>
      <c r="K397" s="30" t="inlineStr">
        <is>
          <t xml:space="preserve">SM8ESM7NACCUE1LLY</t>
        </is>
      </c>
      <c r="L397" s="32" t="inlineStr">
        <is>
          <t xml:space="preserve">02 - Sports / GT</t>
        </is>
      </c>
      <c r="M397" s="35">
        <v>810000</v>
      </c>
      <c r="N397" s="32" t="inlineStr">
        <is>
          <t xml:space="preserve">Personal</t>
        </is>
      </c>
      <c r="O397" s="30" t="inlineStr">
        <is>
          <t xml:space="preserve">Personal - regular use</t>
        </is>
      </c>
      <c r="P397" s="30" t="inlineStr">
        <is>
          <t xml:space="preserve">1,000 - 2,500</t>
        </is>
      </c>
      <c r="Q397" s="30" t="inlineStr">
        <is>
          <t xml:space="preserve">Iowa</t>
        </is>
      </c>
      <c r="R397" s="30" t="inlineStr">
        <is>
          <t xml:space="preserve">50309</t>
        </is>
      </c>
      <c r="S397" s="32" t="inlineStr">
        <is>
          <t xml:space="preserve">Severe convective - hail alley (high)</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9075.17</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CANON-202604-007121</t>
        </is>
      </c>
      <c r="B398" s="46" t="inlineStr">
        <is>
          <t xml:space="preserve">Leopold Underwood</t>
        </is>
      </c>
      <c r="C398" s="47">
        <v>46135</v>
      </c>
      <c r="D398" s="48" t="inlineStr">
        <is>
          <t xml:space="preserve">Bound - within authority</t>
        </is>
      </c>
      <c r="E398" s="48" t="inlineStr">
        <is>
          <t xml:space="preserve">New business</t>
        </is>
      </c>
      <c r="F398" s="46" t="inlineStr">
        <is>
          <t xml:space="preserve">B1234EXOTIC26</t>
        </is>
      </c>
      <c r="G398" s="33">
        <f>IF($A398="","",IF($C398="","",YEAR($C398)))</f>
      </c>
      <c r="H398" s="49">
        <v>1963</v>
      </c>
      <c r="I398" s="46" t="inlineStr">
        <is>
          <t xml:space="preserve">Lamborghini</t>
        </is>
      </c>
      <c r="J398" s="46" t="inlineStr">
        <is>
          <t xml:space="preserve">Huracan EVO</t>
        </is>
      </c>
      <c r="K398" s="46" t="inlineStr">
        <is>
          <t xml:space="preserve">V29H7BSDLDXWXW0UR</t>
        </is>
      </c>
      <c r="L398" s="48" t="inlineStr">
        <is>
          <t xml:space="preserve">03 - Supercar</t>
        </is>
      </c>
      <c r="M398" s="50">
        <v>955000</v>
      </c>
      <c r="N398" s="48" t="inlineStr">
        <is>
          <t xml:space="preserve">Personal</t>
        </is>
      </c>
      <c r="O398" s="46" t="inlineStr">
        <is>
          <t xml:space="preserve">Personal - regular use</t>
        </is>
      </c>
      <c r="P398" s="46" t="inlineStr">
        <is>
          <t xml:space="preserve">1,000 - 2,500</t>
        </is>
      </c>
      <c r="Q398" s="46" t="inlineStr">
        <is>
          <t xml:space="preserve">Illinois</t>
        </is>
      </c>
      <c r="R398" s="46" t="inlineStr">
        <is>
          <t xml:space="preserve">60601</t>
        </is>
      </c>
      <c r="S398" s="48" t="inlineStr">
        <is>
          <t xml:space="preserve">Severe convective - hail / tornado (moderate)</t>
        </is>
      </c>
      <c r="T398" s="36">
        <f>IF($A398="","",IF($S398="","",IFERROR(INDEX('[1]natural catastrophe'!$D$6:$D$17,MATCH($S398,'[1]natural catastrophe'!$B$6:$B$17,0)),"?")))</f>
      </c>
      <c r="U398" s="46" t="inlineStr">
        <is>
          <t xml:space="preserve">$5,000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19334.36</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CANON-202604-007123</t>
        </is>
      </c>
      <c r="B399" s="30" t="inlineStr">
        <is>
          <t xml:space="preserve">Aurelio Delacroix</t>
        </is>
      </c>
      <c r="C399" s="31">
        <v>46130</v>
      </c>
      <c r="D399" s="32" t="inlineStr">
        <is>
          <t xml:space="preserve">Bound - within authority</t>
        </is>
      </c>
      <c r="E399" s="32" t="inlineStr">
        <is>
          <t xml:space="preserve">New business</t>
        </is>
      </c>
      <c r="F399" s="30" t="inlineStr">
        <is>
          <t xml:space="preserve">B1234EXOTIC26</t>
        </is>
      </c>
      <c r="G399" s="33">
        <f>IF($A399="","",IF($C399="","",YEAR($C399)))</f>
      </c>
      <c r="H399" s="34">
        <v>1997</v>
      </c>
      <c r="I399" s="30" t="inlineStr">
        <is>
          <t xml:space="preserve">Ringbrothers</t>
        </is>
      </c>
      <c r="J399" s="30" t="inlineStr">
        <is>
          <t xml:space="preserve">Mustang</t>
        </is>
      </c>
      <c r="K399" s="30" t="inlineStr">
        <is>
          <t xml:space="preserve">BGXMW7YD352UUVGBZ</t>
        </is>
      </c>
      <c r="L399" s="32" t="inlineStr">
        <is>
          <t xml:space="preserve">11 - Restomod / Coachbuilt / Bespoke</t>
        </is>
      </c>
      <c r="M399" s="35">
        <v>465000</v>
      </c>
      <c r="N399" s="32" t="inlineStr">
        <is>
          <t xml:space="preserve">Personal</t>
        </is>
      </c>
      <c r="O399" s="30" t="inlineStr">
        <is>
          <t xml:space="preserve">Personal - regular use</t>
        </is>
      </c>
      <c r="P399" s="30" t="inlineStr">
        <is>
          <t xml:space="preserve">Under 1,000</t>
        </is>
      </c>
      <c r="Q399" s="30" t="inlineStr">
        <is>
          <t xml:space="preserve">Texas</t>
        </is>
      </c>
      <c r="R399" s="30" t="inlineStr">
        <is>
          <t xml:space="preserve">75201</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7373.9</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CANON-202604-007124</t>
        </is>
      </c>
      <c r="B400" s="46" t="inlineStr">
        <is>
          <t xml:space="preserve">Leopold Blackwood</t>
        </is>
      </c>
      <c r="C400" s="47">
        <v>46126</v>
      </c>
      <c r="D400" s="48" t="inlineStr">
        <is>
          <t xml:space="preserve">Bound - within authority</t>
        </is>
      </c>
      <c r="E400" s="48" t="inlineStr">
        <is>
          <t xml:space="preserve">New business</t>
        </is>
      </c>
      <c r="F400" s="46" t="inlineStr">
        <is>
          <t xml:space="preserve">B1234EXOTIC26</t>
        </is>
      </c>
      <c r="G400" s="33">
        <f>IF($A400="","",IF($C400="","",YEAR($C400)))</f>
      </c>
      <c r="H400" s="49">
        <v>2000</v>
      </c>
      <c r="I400" s="46" t="inlineStr">
        <is>
          <t xml:space="preserve">Ferrari</t>
        </is>
      </c>
      <c r="J400" s="46" t="inlineStr">
        <is>
          <t xml:space="preserve">275 GTB/4</t>
        </is>
      </c>
      <c r="K400" s="46" t="inlineStr">
        <is>
          <t xml:space="preserve">9GP8TA11ZXL82DE10</t>
        </is>
      </c>
      <c r="L400" s="48" t="inlineStr">
        <is>
          <t xml:space="preserve">09 - Youngtimer / Collectible (2000-2010)</t>
        </is>
      </c>
      <c r="M400" s="50">
        <v>255000</v>
      </c>
      <c r="N400" s="48" t="inlineStr">
        <is>
          <t xml:space="preserve">Personal</t>
        </is>
      </c>
      <c r="O400" s="46" t="inlineStr">
        <is>
          <t xml:space="preserve">Personal - regular use</t>
        </is>
      </c>
      <c r="P400" s="46" t="inlineStr">
        <is>
          <t xml:space="preserve">1,000 - 2,500</t>
        </is>
      </c>
      <c r="Q400" s="46" t="inlineStr">
        <is>
          <t xml:space="preserve">Rhode Island</t>
        </is>
      </c>
      <c r="R400" s="46" t="inlineStr">
        <is>
          <t xml:space="preserve">02903</t>
        </is>
      </c>
      <c r="S400" s="48" t="inlineStr">
        <is>
          <t xml:space="preserve">Tier 3 - Coastal wind (25-100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2627.64</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CANON-202604-007126</t>
        </is>
      </c>
      <c r="B401" s="30" t="inlineStr">
        <is>
          <t xml:space="preserve">Ingrid Larsson</t>
        </is>
      </c>
      <c r="C401" s="31">
        <v>46127</v>
      </c>
      <c r="D401" s="32" t="inlineStr">
        <is>
          <t xml:space="preserve">Bound - within authority</t>
        </is>
      </c>
      <c r="E401" s="32" t="inlineStr">
        <is>
          <t xml:space="preserve">New business</t>
        </is>
      </c>
      <c r="F401" s="30" t="inlineStr">
        <is>
          <t xml:space="preserve">B1234EXOTIC26</t>
        </is>
      </c>
      <c r="G401" s="33">
        <f>IF($A401="","",IF($C401="","",YEAR($C401)))</f>
      </c>
      <c r="H401" s="34">
        <v>1963</v>
      </c>
      <c r="I401" s="30" t="inlineStr">
        <is>
          <t xml:space="preserve">Maserati</t>
        </is>
      </c>
      <c r="J401" s="30" t="inlineStr">
        <is>
          <t xml:space="preserve">GranTurismo</t>
        </is>
      </c>
      <c r="K401" s="30" t="inlineStr">
        <is>
          <t xml:space="preserve">NDH07KTM0X5AE3E06</t>
        </is>
      </c>
      <c r="L401" s="32" t="inlineStr">
        <is>
          <t xml:space="preserve">02 - Sports / GT</t>
        </is>
      </c>
      <c r="M401" s="35">
        <v>1950000</v>
      </c>
      <c r="N401" s="32" t="inlineStr">
        <is>
          <t xml:space="preserve">Personal</t>
        </is>
      </c>
      <c r="O401" s="30" t="inlineStr">
        <is>
          <t xml:space="preserve">Personal - regular use</t>
        </is>
      </c>
      <c r="P401" s="30" t="inlineStr">
        <is>
          <t xml:space="preserve">2,500 - 5,000</t>
        </is>
      </c>
      <c r="Q401" s="30" t="inlineStr">
        <is>
          <t xml:space="preserve">Missouri</t>
        </is>
      </c>
      <c r="R401" s="30" t="inlineStr">
        <is>
          <t xml:space="preserve">63101</t>
        </is>
      </c>
      <c r="S401" s="32" t="inlineStr">
        <is>
          <t xml:space="preserve">Severe convective - hail / tornado (moderate)</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17814.22</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CANON-202604-007128</t>
        </is>
      </c>
      <c r="B402" s="46" t="inlineStr">
        <is>
          <t xml:space="preserve">Horace Vandermeer</t>
        </is>
      </c>
      <c r="C402" s="47">
        <v>46131</v>
      </c>
      <c r="D402" s="48" t="inlineStr">
        <is>
          <t xml:space="preserve">Bound - within authority</t>
        </is>
      </c>
      <c r="E402" s="48" t="inlineStr">
        <is>
          <t xml:space="preserve">New business</t>
        </is>
      </c>
      <c r="F402" s="46" t="inlineStr">
        <is>
          <t xml:space="preserve">B1234EXOTIC26</t>
        </is>
      </c>
      <c r="G402" s="33">
        <f>IF($A402="","",IF($C402="","",YEAR($C402)))</f>
      </c>
      <c r="H402" s="49">
        <v>2018</v>
      </c>
      <c r="I402" s="46" t="inlineStr">
        <is>
          <t xml:space="preserve">BMW</t>
        </is>
      </c>
      <c r="J402" s="46" t="inlineStr">
        <is>
          <t xml:space="preserve">M8 Competition</t>
        </is>
      </c>
      <c r="K402" s="46" t="inlineStr">
        <is>
          <t xml:space="preserve">LZFED7X0RW35KLMGE</t>
        </is>
      </c>
      <c r="L402" s="48" t="inlineStr">
        <is>
          <t xml:space="preserve">02 - Sports / GT</t>
        </is>
      </c>
      <c r="M402" s="50">
        <v>950000</v>
      </c>
      <c r="N402" s="48" t="inlineStr">
        <is>
          <t xml:space="preserve">Personal</t>
        </is>
      </c>
      <c r="O402" s="46" t="inlineStr">
        <is>
          <t xml:space="preserve">Personal - regular use</t>
        </is>
      </c>
      <c r="P402" s="46" t="inlineStr">
        <is>
          <t xml:space="preserve">2,500 - 5,000</t>
        </is>
      </c>
      <c r="Q402" s="46" t="inlineStr">
        <is>
          <t xml:space="preserve">Wisconsin</t>
        </is>
      </c>
      <c r="R402" s="46" t="inlineStr">
        <is>
          <t xml:space="preserve">53202</t>
        </is>
      </c>
      <c r="S402" s="48" t="inlineStr">
        <is>
          <t xml:space="preserve">Severe convective - hail / tornado (moderate)</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11611.33</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CANON-202604-007129</t>
        </is>
      </c>
      <c r="B403" s="30" t="inlineStr">
        <is>
          <t xml:space="preserve">Ingrid Delacroix</t>
        </is>
      </c>
      <c r="C403" s="31">
        <v>46113</v>
      </c>
      <c r="D403" s="32" t="inlineStr">
        <is>
          <t xml:space="preserve">Bound - within authority</t>
        </is>
      </c>
      <c r="E403" s="32" t="inlineStr">
        <is>
          <t xml:space="preserve">New business</t>
        </is>
      </c>
      <c r="F403" s="30" t="inlineStr">
        <is>
          <t xml:space="preserve">B1234EXOTIC26</t>
        </is>
      </c>
      <c r="G403" s="33">
        <f>IF($A403="","",IF($C403="","",YEAR($C403)))</f>
      </c>
      <c r="H403" s="34">
        <v>1980</v>
      </c>
      <c r="I403" s="30" t="inlineStr">
        <is>
          <t xml:space="preserve">Porsche</t>
        </is>
      </c>
      <c r="J403" s="30" t="inlineStr">
        <is>
          <t xml:space="preserve">911 Turbo S</t>
        </is>
      </c>
      <c r="K403" s="30" t="inlineStr">
        <is>
          <t xml:space="preserve">BF3MYM7BTLCTUFUS9</t>
        </is>
      </c>
      <c r="L403" s="32" t="inlineStr">
        <is>
          <t xml:space="preserve">02 - Sports / GT</t>
        </is>
      </c>
      <c r="M403" s="35">
        <v>660000</v>
      </c>
      <c r="N403" s="32" t="inlineStr">
        <is>
          <t xml:space="preserve">Personal</t>
        </is>
      </c>
      <c r="O403" s="30" t="inlineStr">
        <is>
          <t xml:space="preserve">Personal - regular use</t>
        </is>
      </c>
      <c r="P403" s="30" t="inlineStr">
        <is>
          <t xml:space="preserve">1,000 - 2,500</t>
        </is>
      </c>
      <c r="Q403" s="30" t="inlineStr">
        <is>
          <t xml:space="preserve">Pennsylvania</t>
        </is>
      </c>
      <c r="R403" s="30" t="inlineStr">
        <is>
          <t xml:space="preserve">19103</t>
        </is>
      </c>
      <c r="S403" s="32" t="inlineStr">
        <is>
          <t xml:space="preserve">Low hazard - inland benign</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6722.35</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CANON-202604-007130</t>
        </is>
      </c>
      <c r="B404" s="46" t="inlineStr">
        <is>
          <t xml:space="preserve">Anouk Farkas</t>
        </is>
      </c>
      <c r="C404" s="47">
        <v>46121</v>
      </c>
      <c r="D404" s="48" t="inlineStr">
        <is>
          <t xml:space="preserve">Bound - within authority</t>
        </is>
      </c>
      <c r="E404" s="48" t="inlineStr">
        <is>
          <t xml:space="preserve">New business</t>
        </is>
      </c>
      <c r="F404" s="46" t="inlineStr">
        <is>
          <t xml:space="preserve">B1234EXOTIC26</t>
        </is>
      </c>
      <c r="G404" s="33">
        <f>IF($A404="","",IF($C404="","",YEAR($C404)))</f>
      </c>
      <c r="H404" s="49">
        <v>2014</v>
      </c>
      <c r="I404" s="46" t="inlineStr">
        <is>
          <t xml:space="preserve">Lamborghini</t>
        </is>
      </c>
      <c r="J404" s="46" t="inlineStr">
        <is>
          <t xml:space="preserve">Huracan EVO</t>
        </is>
      </c>
      <c r="K404" s="46" t="inlineStr">
        <is>
          <t xml:space="preserve">WUBN3NHEKT4B5EV66</t>
        </is>
      </c>
      <c r="L404" s="48" t="inlineStr">
        <is>
          <t xml:space="preserve">03 - Supercar</t>
        </is>
      </c>
      <c r="M404" s="50">
        <v>710000</v>
      </c>
      <c r="N404" s="48" t="inlineStr">
        <is>
          <t xml:space="preserve">Personal</t>
        </is>
      </c>
      <c r="O404" s="46" t="inlineStr">
        <is>
          <t xml:space="preserve">Personal - regular use</t>
        </is>
      </c>
      <c r="P404" s="46" t="inlineStr">
        <is>
          <t xml:space="preserve">2,500 - 5,000</t>
        </is>
      </c>
      <c r="Q404" s="46" t="inlineStr">
        <is>
          <t xml:space="preserve">Florida</t>
        </is>
      </c>
      <c r="R404" s="46" t="inlineStr">
        <is>
          <t xml:space="preserve">33139</t>
        </is>
      </c>
      <c r="S404" s="48" t="inlineStr">
        <is>
          <t xml:space="preserve">Tier 2 - Coastal wind (1-25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15008.39</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CANON-202604-007132</t>
        </is>
      </c>
      <c r="B405" s="30" t="inlineStr">
        <is>
          <t xml:space="preserve">Noor Pennington</t>
        </is>
      </c>
      <c r="C405" s="31">
        <v>46134</v>
      </c>
      <c r="D405" s="32" t="inlineStr">
        <is>
          <t xml:space="preserve">Bound - within authority</t>
        </is>
      </c>
      <c r="E405" s="32" t="inlineStr">
        <is>
          <t xml:space="preserve">New business</t>
        </is>
      </c>
      <c r="F405" s="30" t="inlineStr">
        <is>
          <t xml:space="preserve">B1234EXOTIC26</t>
        </is>
      </c>
      <c r="G405" s="33">
        <f>IF($A405="","",IF($C405="","",YEAR($C405)))</f>
      </c>
      <c r="H405" s="34">
        <v>2015</v>
      </c>
      <c r="I405" s="30" t="inlineStr">
        <is>
          <t xml:space="preserve">Bentley</t>
        </is>
      </c>
      <c r="J405" s="30" t="inlineStr">
        <is>
          <t xml:space="preserve">Continental GT</t>
        </is>
      </c>
      <c r="K405" s="30" t="inlineStr">
        <is>
          <t xml:space="preserve">P7CNKEU030BTJX2ZU</t>
        </is>
      </c>
      <c r="L405" s="32" t="inlineStr">
        <is>
          <t xml:space="preserve">02 - Sports / GT</t>
        </is>
      </c>
      <c r="M405" s="35">
        <v>905000</v>
      </c>
      <c r="N405" s="32" t="inlineStr">
        <is>
          <t xml:space="preserve">Personal</t>
        </is>
      </c>
      <c r="O405" s="30" t="inlineStr">
        <is>
          <t xml:space="preserve">Personal - regular use</t>
        </is>
      </c>
      <c r="P405" s="30" t="inlineStr">
        <is>
          <t xml:space="preserve">Under 1,000</t>
        </is>
      </c>
      <c r="Q405" s="30" t="inlineStr">
        <is>
          <t xml:space="preserve">Nebraska</t>
        </is>
      </c>
      <c r="R405" s="30" t="inlineStr">
        <is>
          <t xml:space="preserve">68102</t>
        </is>
      </c>
      <c r="S405" s="32" t="inlineStr">
        <is>
          <t xml:space="preserve">Severe convective - hail alley (high)</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11983.09</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CANON-202604-007133</t>
        </is>
      </c>
      <c r="B406" s="46" t="inlineStr">
        <is>
          <t xml:space="preserve">Emiliano Harrington</t>
        </is>
      </c>
      <c r="C406" s="47">
        <v>46114</v>
      </c>
      <c r="D406" s="48" t="inlineStr">
        <is>
          <t xml:space="preserve">Bound - within authority</t>
        </is>
      </c>
      <c r="E406" s="48" t="inlineStr">
        <is>
          <t xml:space="preserve">New business</t>
        </is>
      </c>
      <c r="F406" s="46" t="inlineStr">
        <is>
          <t xml:space="preserve">B1234EXOTIC26</t>
        </is>
      </c>
      <c r="G406" s="33">
        <f>IF($A406="","",IF($C406="","",YEAR($C406)))</f>
      </c>
      <c r="H406" s="49">
        <v>2001</v>
      </c>
      <c r="I406" s="46" t="inlineStr">
        <is>
          <t xml:space="preserve">Maserati</t>
        </is>
      </c>
      <c r="J406" s="46" t="inlineStr">
        <is>
          <t xml:space="preserve">GranTurismo</t>
        </is>
      </c>
      <c r="K406" s="46" t="inlineStr">
        <is>
          <t xml:space="preserve">J63KTB9W6G2RSED55</t>
        </is>
      </c>
      <c r="L406" s="48" t="inlineStr">
        <is>
          <t xml:space="preserve">02 - Sports / GT</t>
        </is>
      </c>
      <c r="M406" s="50">
        <v>465000</v>
      </c>
      <c r="N406" s="48" t="inlineStr">
        <is>
          <t xml:space="preserve">Personal</t>
        </is>
      </c>
      <c r="O406" s="46" t="inlineStr">
        <is>
          <t xml:space="preserve">Personal - regular use</t>
        </is>
      </c>
      <c r="P406" s="46" t="inlineStr">
        <is>
          <t xml:space="preserve">1,000 - 2,500</t>
        </is>
      </c>
      <c r="Q406" s="46" t="inlineStr">
        <is>
          <t xml:space="preserve">Pennsylvania</t>
        </is>
      </c>
      <c r="R406" s="46" t="inlineStr">
        <is>
          <t xml:space="preserve">19103</t>
        </is>
      </c>
      <c r="S406" s="48" t="inlineStr">
        <is>
          <t xml:space="preserve">Low hazard - inland benign</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5464.85</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CANON-202604-007134</t>
        </is>
      </c>
      <c r="B407" s="30" t="inlineStr">
        <is>
          <t xml:space="preserve">Marisol Thistlewood</t>
        </is>
      </c>
      <c r="C407" s="31">
        <v>46128</v>
      </c>
      <c r="D407" s="32" t="inlineStr">
        <is>
          <t xml:space="preserve">Bound - within authority</t>
        </is>
      </c>
      <c r="E407" s="32" t="inlineStr">
        <is>
          <t xml:space="preserve">New business</t>
        </is>
      </c>
      <c r="F407" s="30" t="inlineStr">
        <is>
          <t xml:space="preserve">B1234EXOTIC26</t>
        </is>
      </c>
      <c r="G407" s="33">
        <f>IF($A407="","",IF($C407="","",YEAR($C407)))</f>
      </c>
      <c r="H407" s="34">
        <v>1991</v>
      </c>
      <c r="I407" s="30" t="inlineStr">
        <is>
          <t xml:space="preserve">Aston Martin</t>
        </is>
      </c>
      <c r="J407" s="30" t="inlineStr">
        <is>
          <t xml:space="preserve">DB5</t>
        </is>
      </c>
      <c r="K407" s="30" t="inlineStr">
        <is>
          <t xml:space="preserve">J4CJ8PE04AZ4LMF3V</t>
        </is>
      </c>
      <c r="L407" s="32" t="inlineStr">
        <is>
          <t xml:space="preserve">08 - Modern Classic (1973-1999)</t>
        </is>
      </c>
      <c r="M407" s="35">
        <v>1950000</v>
      </c>
      <c r="N407" s="32" t="inlineStr">
        <is>
          <t xml:space="preserve">Personal</t>
        </is>
      </c>
      <c r="O407" s="30" t="inlineStr">
        <is>
          <t xml:space="preserve">Personal - regular use</t>
        </is>
      </c>
      <c r="P407" s="30" t="inlineStr">
        <is>
          <t xml:space="preserve">2,500 - 5,000</t>
        </is>
      </c>
      <c r="Q407" s="30" t="inlineStr">
        <is>
          <t xml:space="preserve">Texas</t>
        </is>
      </c>
      <c r="R407" s="30" t="inlineStr">
        <is>
          <t xml:space="preserve">75201</t>
        </is>
      </c>
      <c r="S407" s="32" t="inlineStr">
        <is>
          <t xml:space="preserve">Tier 2 - Coastal wind (1-25 miles)</t>
        </is>
      </c>
      <c r="T407" s="36">
        <f>IF($A407="","",IF($S407="","",IFERROR(INDEX('[1]natural catastrophe'!$D$6:$D$17,MATCH($S407,'[1]natural catastrophe'!$B$6:$B$17,0)),"?")))</f>
      </c>
      <c r="U407" s="30" t="inlineStr">
        <is>
          <t xml:space="preserve">2% of agreed value, minimum $10,000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13353.03</v>
      </c>
      <c r="AC407" s="37">
        <v>0</v>
      </c>
      <c r="AD407" s="38">
        <f>IF(ISNUMBER($AB407),$AB407*(1+N($AC407)),"")</f>
      </c>
      <c r="AE407" s="35">
        <v>350</v>
      </c>
      <c r="AF407" s="35">
        <v>250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CANON-202604-007135</t>
        </is>
      </c>
      <c r="B408" s="46" t="inlineStr">
        <is>
          <t xml:space="preserve">Delphine Whitlock</t>
        </is>
      </c>
      <c r="C408" s="47">
        <v>46116</v>
      </c>
      <c r="D408" s="48" t="inlineStr">
        <is>
          <t xml:space="preserve">Bound - within authority</t>
        </is>
      </c>
      <c r="E408" s="48" t="inlineStr">
        <is>
          <t xml:space="preserve">New business</t>
        </is>
      </c>
      <c r="F408" s="46" t="inlineStr">
        <is>
          <t xml:space="preserve">B1234EXOTIC26</t>
        </is>
      </c>
      <c r="G408" s="33">
        <f>IF($A408="","",IF($C408="","",YEAR($C408)))</f>
      </c>
      <c r="H408" s="49">
        <v>1965</v>
      </c>
      <c r="I408" s="46" t="inlineStr">
        <is>
          <t xml:space="preserve">Ferrari</t>
        </is>
      </c>
      <c r="J408" s="46" t="inlineStr">
        <is>
          <t xml:space="preserve">275 GTB/4</t>
        </is>
      </c>
      <c r="K408" s="46" t="inlineStr">
        <is>
          <t xml:space="preserve">9ZKBJTWTFAGXRS8TR</t>
        </is>
      </c>
      <c r="L408" s="48" t="inlineStr">
        <is>
          <t xml:space="preserve">07 - Post-War Classic (1946-1972)</t>
        </is>
      </c>
      <c r="M408" s="50">
        <v>320000</v>
      </c>
      <c r="N408" s="48" t="inlineStr">
        <is>
          <t xml:space="preserve">Personal</t>
        </is>
      </c>
      <c r="O408" s="46" t="inlineStr">
        <is>
          <t xml:space="preserve">Personal - regular use</t>
        </is>
      </c>
      <c r="P408" s="46" t="inlineStr">
        <is>
          <t xml:space="preserve">1,000 - 2,500</t>
        </is>
      </c>
      <c r="Q408" s="46" t="inlineStr">
        <is>
          <t xml:space="preserve">Michigan</t>
        </is>
      </c>
      <c r="R408" s="46" t="inlineStr">
        <is>
          <t xml:space="preserve">48226</t>
        </is>
      </c>
      <c r="S408" s="48" t="inlineStr">
        <is>
          <t xml:space="preserve">Severe convective - hail / tornado (moderate)</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3730.67</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CANON-202604-007136</t>
        </is>
      </c>
      <c r="B409" s="30" t="inlineStr">
        <is>
          <t xml:space="preserve">Wilhelmina Fairweather</t>
        </is>
      </c>
      <c r="C409" s="31">
        <v>46124</v>
      </c>
      <c r="D409" s="32" t="inlineStr">
        <is>
          <t xml:space="preserve">Bound - within authority</t>
        </is>
      </c>
      <c r="E409" s="32" t="inlineStr">
        <is>
          <t xml:space="preserve">New business</t>
        </is>
      </c>
      <c r="F409" s="30" t="inlineStr">
        <is>
          <t xml:space="preserve">B1234EXOTIC26</t>
        </is>
      </c>
      <c r="G409" s="33">
        <f>IF($A409="","",IF($C409="","",YEAR($C409)))</f>
      </c>
      <c r="H409" s="34">
        <v>1980</v>
      </c>
      <c r="I409" s="30" t="inlineStr">
        <is>
          <t xml:space="preserve">Maserati</t>
        </is>
      </c>
      <c r="J409" s="30" t="inlineStr">
        <is>
          <t xml:space="preserve">GranTurismo</t>
        </is>
      </c>
      <c r="K409" s="30" t="inlineStr">
        <is>
          <t xml:space="preserve">0S136PX8GBYFBUGZN</t>
        </is>
      </c>
      <c r="L409" s="32" t="inlineStr">
        <is>
          <t xml:space="preserve">02 - Sports / GT</t>
        </is>
      </c>
      <c r="M409" s="35">
        <v>570000</v>
      </c>
      <c r="N409" s="32" t="inlineStr">
        <is>
          <t xml:space="preserve">Personal</t>
        </is>
      </c>
      <c r="O409" s="30" t="inlineStr">
        <is>
          <t xml:space="preserve">Personal - regular use</t>
        </is>
      </c>
      <c r="P409" s="30" t="inlineStr">
        <is>
          <t xml:space="preserve">1,000 - 2,500</t>
        </is>
      </c>
      <c r="Q409" s="30" t="inlineStr">
        <is>
          <t xml:space="preserve">Idaho</t>
        </is>
      </c>
      <c r="R409" s="30" t="inlineStr">
        <is>
          <t xml:space="preserve">83702</t>
        </is>
      </c>
      <c r="S409" s="32" t="inlineStr">
        <is>
          <t xml:space="preserve">Wildfire - WUI high hazard</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5747.61</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CANON-202604-007137</t>
        </is>
      </c>
      <c r="B410" s="46" t="inlineStr">
        <is>
          <t xml:space="preserve">Beatrix Vasquez</t>
        </is>
      </c>
      <c r="C410" s="47">
        <v>46133</v>
      </c>
      <c r="D410" s="48" t="inlineStr">
        <is>
          <t xml:space="preserve">Bound - within authority</t>
        </is>
      </c>
      <c r="E410" s="48" t="inlineStr">
        <is>
          <t xml:space="preserve">New business</t>
        </is>
      </c>
      <c r="F410" s="46" t="inlineStr">
        <is>
          <t xml:space="preserve">B1234EXOTIC26</t>
        </is>
      </c>
      <c r="G410" s="33">
        <f>IF($A410="","",IF($C410="","",YEAR($C410)))</f>
      </c>
      <c r="H410" s="49">
        <v>1993</v>
      </c>
      <c r="I410" s="46" t="inlineStr">
        <is>
          <t xml:space="preserve">Ferrari</t>
        </is>
      </c>
      <c r="J410" s="46" t="inlineStr">
        <is>
          <t xml:space="preserve">296 GTB</t>
        </is>
      </c>
      <c r="K410" s="46" t="inlineStr">
        <is>
          <t xml:space="preserve">U5S25GZHV0WCWSJ1C</t>
        </is>
      </c>
      <c r="L410" s="48" t="inlineStr">
        <is>
          <t xml:space="preserve">03 - Supercar</t>
        </is>
      </c>
      <c r="M410" s="50">
        <v>610000</v>
      </c>
      <c r="N410" s="48" t="inlineStr">
        <is>
          <t xml:space="preserve">Personal</t>
        </is>
      </c>
      <c r="O410" s="46" t="inlineStr">
        <is>
          <t xml:space="preserve">Personal - regular use</t>
        </is>
      </c>
      <c r="P410" s="46" t="inlineStr">
        <is>
          <t xml:space="preserve">Under 1,000</t>
        </is>
      </c>
      <c r="Q410" s="46" t="inlineStr">
        <is>
          <t xml:space="preserve">Michigan</t>
        </is>
      </c>
      <c r="R410" s="46" t="inlineStr">
        <is>
          <t xml:space="preserve">48226</t>
        </is>
      </c>
      <c r="S410" s="48" t="inlineStr">
        <is>
          <t xml:space="preserve">Severe convective - hail / tornado (moderate)</t>
        </is>
      </c>
      <c r="T410" s="36">
        <f>IF($A410="","",IF($S410="","",IFERROR(INDEX('[1]natural catastrophe'!$D$6:$D$17,MATCH($S410,'[1]natural catastrophe'!$B$6:$B$17,0)),"?")))</f>
      </c>
      <c r="U410" s="46" t="inlineStr">
        <is>
          <t xml:space="preserve">$5,000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14075.02</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CANON-202604-007138</t>
        </is>
      </c>
      <c r="B411" s="30" t="inlineStr">
        <is>
          <t xml:space="preserve">Ottilie Montoya</t>
        </is>
      </c>
      <c r="C411" s="31">
        <v>46115</v>
      </c>
      <c r="D411" s="32" t="inlineStr">
        <is>
          <t xml:space="preserve">Bound - within authority</t>
        </is>
      </c>
      <c r="E411" s="32" t="inlineStr">
        <is>
          <t xml:space="preserve">New business</t>
        </is>
      </c>
      <c r="F411" s="30" t="inlineStr">
        <is>
          <t xml:space="preserve">B1234EXOTIC26</t>
        </is>
      </c>
      <c r="G411" s="33">
        <f>IF($A411="","",IF($C411="","",YEAR($C411)))</f>
      </c>
      <c r="H411" s="34">
        <v>2019</v>
      </c>
      <c r="I411" s="30" t="inlineStr">
        <is>
          <t xml:space="preserve">Lamborghini</t>
        </is>
      </c>
      <c r="J411" s="30" t="inlineStr">
        <is>
          <t xml:space="preserve">Huracan EVO</t>
        </is>
      </c>
      <c r="K411" s="30" t="inlineStr">
        <is>
          <t xml:space="preserve">NYD28YFSD7FBK2FVL</t>
        </is>
      </c>
      <c r="L411" s="32" t="inlineStr">
        <is>
          <t xml:space="preserve">03 - Supercar</t>
        </is>
      </c>
      <c r="M411" s="35">
        <v>365000</v>
      </c>
      <c r="N411" s="32" t="inlineStr">
        <is>
          <t xml:space="preserve">Personal</t>
        </is>
      </c>
      <c r="O411" s="30" t="inlineStr">
        <is>
          <t xml:space="preserve">Personal - regular use</t>
        </is>
      </c>
      <c r="P411" s="30" t="inlineStr">
        <is>
          <t xml:space="preserve">1,000 - 2,500</t>
        </is>
      </c>
      <c r="Q411" s="30" t="inlineStr">
        <is>
          <t xml:space="preserve">Massachusetts</t>
        </is>
      </c>
      <c r="R411" s="30" t="inlineStr">
        <is>
          <t xml:space="preserve">02108</t>
        </is>
      </c>
      <c r="S411" s="32" t="inlineStr">
        <is>
          <t xml:space="preserve">Tier 3 - Coastal wind (25-100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8221.75</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CANON-202604-007139</t>
        </is>
      </c>
      <c r="B412" s="46" t="inlineStr">
        <is>
          <t xml:space="preserve">Fenwick Pennington</t>
        </is>
      </c>
      <c r="C412" s="47">
        <v>46116</v>
      </c>
      <c r="D412" s="48" t="inlineStr">
        <is>
          <t xml:space="preserve">Bound - within authority</t>
        </is>
      </c>
      <c r="E412" s="48" t="inlineStr">
        <is>
          <t xml:space="preserve">New business</t>
        </is>
      </c>
      <c r="F412" s="46" t="inlineStr">
        <is>
          <t xml:space="preserve">B1234EXOTIC26</t>
        </is>
      </c>
      <c r="G412" s="33">
        <f>IF($A412="","",IF($C412="","",YEAR($C412)))</f>
      </c>
      <c r="H412" s="49">
        <v>1965</v>
      </c>
      <c r="I412" s="46" t="inlineStr">
        <is>
          <t xml:space="preserve">Mercedes-Benz</t>
        </is>
      </c>
      <c r="J412" s="46" t="inlineStr">
        <is>
          <t xml:space="preserve">280SL Pagoda</t>
        </is>
      </c>
      <c r="K412" s="46" t="inlineStr">
        <is>
          <t xml:space="preserve">AFJU6U6ZM08CDDF15</t>
        </is>
      </c>
      <c r="L412" s="48" t="inlineStr">
        <is>
          <t xml:space="preserve">07 - Post-War Classic (1946-1972)</t>
        </is>
      </c>
      <c r="M412" s="50">
        <v>390000</v>
      </c>
      <c r="N412" s="48" t="inlineStr">
        <is>
          <t xml:space="preserve">Personal</t>
        </is>
      </c>
      <c r="O412" s="46" t="inlineStr">
        <is>
          <t xml:space="preserve">Personal - regular use</t>
        </is>
      </c>
      <c r="P412" s="46" t="inlineStr">
        <is>
          <t xml:space="preserve">2,500 - 5,000</t>
        </is>
      </c>
      <c r="Q412" s="46" t="inlineStr">
        <is>
          <t xml:space="preserve">Texas</t>
        </is>
      </c>
      <c r="R412" s="46" t="inlineStr">
        <is>
          <t xml:space="preserve">75201</t>
        </is>
      </c>
      <c r="S412" s="48" t="inlineStr">
        <is>
          <t xml:space="preserve">Tier 2 - Coastal wind (1-25 miles)</t>
        </is>
      </c>
      <c r="T412" s="36">
        <f>IF($A412="","",IF($S412="","",IFERROR(INDEX('[1]natural catastrophe'!$D$6:$D$17,MATCH($S412,'[1]natural catastrophe'!$B$6:$B$17,0)),"?")))</f>
      </c>
      <c r="U412" s="46" t="inlineStr">
        <is>
          <t xml:space="preserve">2% of agreed value, minimum $10,000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3373.4</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CANON-202604-007141</t>
        </is>
      </c>
      <c r="B413" s="30" t="inlineStr">
        <is>
          <t xml:space="preserve">Aurelio Underwood</t>
        </is>
      </c>
      <c r="C413" s="31">
        <v>46118</v>
      </c>
      <c r="D413" s="32" t="inlineStr">
        <is>
          <t xml:space="preserve">Bound - within authority</t>
        </is>
      </c>
      <c r="E413" s="32" t="inlineStr">
        <is>
          <t xml:space="preserve">New business</t>
        </is>
      </c>
      <c r="F413" s="30" t="inlineStr">
        <is>
          <t xml:space="preserve">B1234EXOTIC26</t>
        </is>
      </c>
      <c r="G413" s="33">
        <f>IF($A413="","",IF($C413="","",YEAR($C413)))</f>
      </c>
      <c r="H413" s="34">
        <v>1963</v>
      </c>
      <c r="I413" s="30" t="inlineStr">
        <is>
          <t xml:space="preserve">Porsche</t>
        </is>
      </c>
      <c r="J413" s="30" t="inlineStr">
        <is>
          <t xml:space="preserve">911 Turbo S</t>
        </is>
      </c>
      <c r="K413" s="30" t="inlineStr">
        <is>
          <t xml:space="preserve">LE8TV3DG87N0X26DX</t>
        </is>
      </c>
      <c r="L413" s="32" t="inlineStr">
        <is>
          <t xml:space="preserve">02 - Sports / GT</t>
        </is>
      </c>
      <c r="M413" s="35">
        <v>325000</v>
      </c>
      <c r="N413" s="32" t="inlineStr">
        <is>
          <t xml:space="preserve">Personal</t>
        </is>
      </c>
      <c r="O413" s="30" t="inlineStr">
        <is>
          <t xml:space="preserve">Personal - regular use</t>
        </is>
      </c>
      <c r="P413" s="30" t="inlineStr">
        <is>
          <t xml:space="preserve">1,000 - 2,500</t>
        </is>
      </c>
      <c r="Q413" s="30" t="inlineStr">
        <is>
          <t xml:space="preserve">Texas</t>
        </is>
      </c>
      <c r="R413" s="30" t="inlineStr">
        <is>
          <t xml:space="preserve">75201</t>
        </is>
      </c>
      <c r="S413" s="32" t="inlineStr">
        <is>
          <t xml:space="preserve">Tier 2 - Coastal wind (1-25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4392.45</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CANON-202604-007142</t>
        </is>
      </c>
      <c r="B414" s="46" t="inlineStr">
        <is>
          <t xml:space="preserve">Priya Vasquez</t>
        </is>
      </c>
      <c r="C414" s="47">
        <v>46142</v>
      </c>
      <c r="D414" s="48" t="inlineStr">
        <is>
          <t xml:space="preserve">Bound - within authority</t>
        </is>
      </c>
      <c r="E414" s="48" t="inlineStr">
        <is>
          <t xml:space="preserve">New business</t>
        </is>
      </c>
      <c r="F414" s="46" t="inlineStr">
        <is>
          <t xml:space="preserve">B1234EXOTIC26</t>
        </is>
      </c>
      <c r="G414" s="33">
        <f>IF($A414="","",IF($C414="","",YEAR($C414)))</f>
      </c>
      <c r="H414" s="49">
        <v>1973</v>
      </c>
      <c r="I414" s="46" t="inlineStr">
        <is>
          <t xml:space="preserve">BMW</t>
        </is>
      </c>
      <c r="J414" s="46" t="inlineStr">
        <is>
          <t xml:space="preserve">M8 Competition</t>
        </is>
      </c>
      <c r="K414" s="46" t="inlineStr">
        <is>
          <t xml:space="preserve">49PSS79DB8Z871RNC</t>
        </is>
      </c>
      <c r="L414" s="48" t="inlineStr">
        <is>
          <t xml:space="preserve">02 - Sports / GT</t>
        </is>
      </c>
      <c r="M414" s="50">
        <v>865000</v>
      </c>
      <c r="N414" s="48" t="inlineStr">
        <is>
          <t xml:space="preserve">Personal</t>
        </is>
      </c>
      <c r="O414" s="46" t="inlineStr">
        <is>
          <t xml:space="preserve">Personal - regular use</t>
        </is>
      </c>
      <c r="P414" s="46" t="inlineStr">
        <is>
          <t xml:space="preserve">1,000 - 2,500</t>
        </is>
      </c>
      <c r="Q414" s="46" t="inlineStr">
        <is>
          <t xml:space="preserve">Alabama</t>
        </is>
      </c>
      <c r="R414" s="46" t="inlineStr">
        <is>
          <t xml:space="preserve">35203</t>
        </is>
      </c>
      <c r="S414" s="48" t="inlineStr">
        <is>
          <t xml:space="preserve">Tier 2 - Coastal wind (1-25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11189.14</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CANON-202604-007143</t>
        </is>
      </c>
      <c r="B415" s="30" t="inlineStr">
        <is>
          <t xml:space="preserve">Leopold Nakashima</t>
        </is>
      </c>
      <c r="C415" s="31">
        <v>46130</v>
      </c>
      <c r="D415" s="32" t="inlineStr">
        <is>
          <t xml:space="preserve">Bound - within authority</t>
        </is>
      </c>
      <c r="E415" s="32" t="inlineStr">
        <is>
          <t xml:space="preserve">New business</t>
        </is>
      </c>
      <c r="F415" s="30" t="inlineStr">
        <is>
          <t xml:space="preserve">B1234EXOTIC26</t>
        </is>
      </c>
      <c r="G415" s="33">
        <f>IF($A415="","",IF($C415="","",YEAR($C415)))</f>
      </c>
      <c r="H415" s="34">
        <v>2001</v>
      </c>
      <c r="I415" s="30" t="inlineStr">
        <is>
          <t xml:space="preserve">Ferrari</t>
        </is>
      </c>
      <c r="J415" s="30" t="inlineStr">
        <is>
          <t xml:space="preserve">275 GTB/4</t>
        </is>
      </c>
      <c r="K415" s="30" t="inlineStr">
        <is>
          <t xml:space="preserve">TA1T19L97YTYSM0WN</t>
        </is>
      </c>
      <c r="L415" s="32" t="inlineStr">
        <is>
          <t xml:space="preserve">09 - Youngtimer / Collectible (2000-2010)</t>
        </is>
      </c>
      <c r="M415" s="35">
        <v>845000</v>
      </c>
      <c r="N415" s="32" t="inlineStr">
        <is>
          <t xml:space="preserve">Personal</t>
        </is>
      </c>
      <c r="O415" s="30" t="inlineStr">
        <is>
          <t xml:space="preserve">Personal - regular use</t>
        </is>
      </c>
      <c r="P415" s="30" t="inlineStr">
        <is>
          <t xml:space="preserve">Under 1,000</t>
        </is>
      </c>
      <c r="Q415" s="30" t="inlineStr">
        <is>
          <t xml:space="preserve">Florida</t>
        </is>
      </c>
      <c r="R415" s="30" t="inlineStr">
        <is>
          <t xml:space="preserve">33139</t>
        </is>
      </c>
      <c r="S415" s="32" t="inlineStr">
        <is>
          <t xml:space="preserve">Tier 2 - Coastal wind (1-25 miles)</t>
        </is>
      </c>
      <c r="T415" s="36">
        <f>IF($A415="","",IF($S415="","",IFERROR(INDEX('[1]natural catastrophe'!$D$6:$D$17,MATCH($S415,'[1]natural catastrophe'!$B$6:$B$17,0)),"?")))</f>
      </c>
      <c r="U415" s="30" t="inlineStr">
        <is>
          <t xml:space="preserve">2% of agreed value, minimum $10,000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8084.95</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CANON-202604-007144</t>
        </is>
      </c>
      <c r="B416" s="46" t="inlineStr">
        <is>
          <t xml:space="preserve">Marisol Whitlock</t>
        </is>
      </c>
      <c r="C416" s="47">
        <v>46136</v>
      </c>
      <c r="D416" s="48" t="inlineStr">
        <is>
          <t xml:space="preserve">Bound - within authority</t>
        </is>
      </c>
      <c r="E416" s="48" t="inlineStr">
        <is>
          <t xml:space="preserve">New business</t>
        </is>
      </c>
      <c r="F416" s="46" t="inlineStr">
        <is>
          <t xml:space="preserve">B1234EXOTIC26</t>
        </is>
      </c>
      <c r="G416" s="33">
        <f>IF($A416="","",IF($C416="","",YEAR($C416)))</f>
      </c>
      <c r="H416" s="49">
        <v>1999</v>
      </c>
      <c r="I416" s="46" t="inlineStr">
        <is>
          <t xml:space="preserve">McLaren</t>
        </is>
      </c>
      <c r="J416" s="46" t="inlineStr">
        <is>
          <t xml:space="preserve">750S</t>
        </is>
      </c>
      <c r="K416" s="46" t="inlineStr">
        <is>
          <t xml:space="preserve">EPABYPBJ5TN44K63X</t>
        </is>
      </c>
      <c r="L416" s="48" t="inlineStr">
        <is>
          <t xml:space="preserve">03 - Supercar</t>
        </is>
      </c>
      <c r="M416" s="50">
        <v>1195000</v>
      </c>
      <c r="N416" s="48" t="inlineStr">
        <is>
          <t xml:space="preserve">Personal</t>
        </is>
      </c>
      <c r="O416" s="46" t="inlineStr">
        <is>
          <t xml:space="preserve">Personal - regular use</t>
        </is>
      </c>
      <c r="P416" s="46" t="inlineStr">
        <is>
          <t xml:space="preserve">1,000 - 2,500</t>
        </is>
      </c>
      <c r="Q416" s="46" t="inlineStr">
        <is>
          <t xml:space="preserve">Alabama</t>
        </is>
      </c>
      <c r="R416" s="46" t="inlineStr">
        <is>
          <t xml:space="preserve">35203</t>
        </is>
      </c>
      <c r="S416" s="48" t="inlineStr">
        <is>
          <t xml:space="preserve">Tier 2 - Coastal wind (1-25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19025.03</v>
      </c>
      <c r="AC416" s="51">
        <v>0</v>
      </c>
      <c r="AD416" s="38">
        <f>IF(ISNUMBER($AB416),$AB416*(1+N($AC416)),"")</f>
      </c>
      <c r="AE416" s="50">
        <v>350</v>
      </c>
      <c r="AF416" s="50">
        <v>250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CANON-202604-007145</t>
        </is>
      </c>
      <c r="B417" s="30" t="inlineStr">
        <is>
          <t xml:space="preserve">Callum Vasquez</t>
        </is>
      </c>
      <c r="C417" s="31">
        <v>46124</v>
      </c>
      <c r="D417" s="32" t="inlineStr">
        <is>
          <t xml:space="preserve">Bound - within authority</t>
        </is>
      </c>
      <c r="E417" s="32" t="inlineStr">
        <is>
          <t xml:space="preserve">New business</t>
        </is>
      </c>
      <c r="F417" s="30" t="inlineStr">
        <is>
          <t xml:space="preserve">B1234EXOTIC26</t>
        </is>
      </c>
      <c r="G417" s="33">
        <f>IF($A417="","",IF($C417="","",YEAR($C417)))</f>
      </c>
      <c r="H417" s="34">
        <v>2015</v>
      </c>
      <c r="I417" s="30" t="inlineStr">
        <is>
          <t xml:space="preserve">Mercedes-Benz</t>
        </is>
      </c>
      <c r="J417" s="30" t="inlineStr">
        <is>
          <t xml:space="preserve">AMG GT</t>
        </is>
      </c>
      <c r="K417" s="30" t="inlineStr">
        <is>
          <t xml:space="preserve">S97ZUN3XXD08MTXEC</t>
        </is>
      </c>
      <c r="L417" s="32" t="inlineStr">
        <is>
          <t xml:space="preserve">02 - Sports / GT</t>
        </is>
      </c>
      <c r="M417" s="35">
        <v>225000</v>
      </c>
      <c r="N417" s="32" t="inlineStr">
        <is>
          <t xml:space="preserve">Personal</t>
        </is>
      </c>
      <c r="O417" s="30" t="inlineStr">
        <is>
          <t xml:space="preserve">Personal - regular use</t>
        </is>
      </c>
      <c r="P417" s="30" t="inlineStr">
        <is>
          <t xml:space="preserve">1,000 - 2,500</t>
        </is>
      </c>
      <c r="Q417" s="30" t="inlineStr">
        <is>
          <t xml:space="preserve">Texas</t>
        </is>
      </c>
      <c r="R417" s="30" t="inlineStr">
        <is>
          <t xml:space="preserve">75201</t>
        </is>
      </c>
      <c r="S417" s="32" t="inlineStr">
        <is>
          <t xml:space="preserve">Tier 2 - Coastal wind (1-25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3730.2</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CANON-202604-007146</t>
        </is>
      </c>
      <c r="B418" s="46" t="inlineStr">
        <is>
          <t xml:space="preserve">Sunniva Okonkwo</t>
        </is>
      </c>
      <c r="C418" s="47">
        <v>46115</v>
      </c>
      <c r="D418" s="48" t="inlineStr">
        <is>
          <t xml:space="preserve">Bound - within authority</t>
        </is>
      </c>
      <c r="E418" s="48" t="inlineStr">
        <is>
          <t xml:space="preserve">New business</t>
        </is>
      </c>
      <c r="F418" s="46" t="inlineStr">
        <is>
          <t xml:space="preserve">B1234EXOTIC26</t>
        </is>
      </c>
      <c r="G418" s="33">
        <f>IF($A418="","",IF($C418="","",YEAR($C418)))</f>
      </c>
      <c r="H418" s="49">
        <v>1986</v>
      </c>
      <c r="I418" s="46" t="inlineStr">
        <is>
          <t xml:space="preserve">Ferrari</t>
        </is>
      </c>
      <c r="J418" s="46" t="inlineStr">
        <is>
          <t xml:space="preserve">SF90 Stradale</t>
        </is>
      </c>
      <c r="K418" s="46" t="inlineStr">
        <is>
          <t xml:space="preserve">S9E2S2RPPR962ZXD6</t>
        </is>
      </c>
      <c r="L418" s="48" t="inlineStr">
        <is>
          <t xml:space="preserve">03 - Supercar</t>
        </is>
      </c>
      <c r="M418" s="50">
        <v>1270000</v>
      </c>
      <c r="N418" s="48" t="inlineStr">
        <is>
          <t xml:space="preserve">Personal</t>
        </is>
      </c>
      <c r="O418" s="46" t="inlineStr">
        <is>
          <t xml:space="preserve">Personal - regular use</t>
        </is>
      </c>
      <c r="P418" s="46" t="inlineStr">
        <is>
          <t xml:space="preserve">1,000 - 2,500</t>
        </is>
      </c>
      <c r="Q418" s="46" t="inlineStr">
        <is>
          <t xml:space="preserve">Connecticut</t>
        </is>
      </c>
      <c r="R418" s="46" t="inlineStr">
        <is>
          <t xml:space="preserve">06103</t>
        </is>
      </c>
      <c r="S418" s="48" t="inlineStr">
        <is>
          <t xml:space="preserve">Tier 3 - Coastal wind (25-100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17830.99</v>
      </c>
      <c r="AC418" s="51">
        <v>0</v>
      </c>
      <c r="AD418" s="38">
        <f>IF(ISNUMBER($AB418),$AB418*(1+N($AC418)),"")</f>
      </c>
      <c r="AE418" s="50">
        <v>350</v>
      </c>
      <c r="AF418" s="50">
        <v>250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CANON-202604-007147</t>
        </is>
      </c>
      <c r="B419" s="30" t="inlineStr">
        <is>
          <t xml:space="preserve">Ramona Pennington</t>
        </is>
      </c>
      <c r="C419" s="31">
        <v>46129</v>
      </c>
      <c r="D419" s="32" t="inlineStr">
        <is>
          <t xml:space="preserve">Bound - within authority</t>
        </is>
      </c>
      <c r="E419" s="32" t="inlineStr">
        <is>
          <t xml:space="preserve">New business</t>
        </is>
      </c>
      <c r="F419" s="30" t="inlineStr">
        <is>
          <t xml:space="preserve">B1234EXOTIC26</t>
        </is>
      </c>
      <c r="G419" s="33">
        <f>IF($A419="","",IF($C419="","",YEAR($C419)))</f>
      </c>
      <c r="H419" s="34">
        <v>1987</v>
      </c>
      <c r="I419" s="30" t="inlineStr">
        <is>
          <t xml:space="preserve">BMW</t>
        </is>
      </c>
      <c r="J419" s="30" t="inlineStr">
        <is>
          <t xml:space="preserve">M8 Competition</t>
        </is>
      </c>
      <c r="K419" s="30" t="inlineStr">
        <is>
          <t xml:space="preserve">5GYURLN0MGU5P9KEF</t>
        </is>
      </c>
      <c r="L419" s="32" t="inlineStr">
        <is>
          <t xml:space="preserve">02 - Sports / GT</t>
        </is>
      </c>
      <c r="M419" s="35">
        <v>755000</v>
      </c>
      <c r="N419" s="32" t="inlineStr">
        <is>
          <t xml:space="preserve">Personal</t>
        </is>
      </c>
      <c r="O419" s="30" t="inlineStr">
        <is>
          <t xml:space="preserve">Personal - regular use</t>
        </is>
      </c>
      <c r="P419" s="30" t="inlineStr">
        <is>
          <t xml:space="preserve">Under 1,000</t>
        </is>
      </c>
      <c r="Q419" s="30" t="inlineStr">
        <is>
          <t xml:space="preserve">Massachusetts</t>
        </is>
      </c>
      <c r="R419" s="30" t="inlineStr">
        <is>
          <t xml:space="preserve">02108</t>
        </is>
      </c>
      <c r="S419" s="32" t="inlineStr">
        <is>
          <t xml:space="preserve">Tier 3 - Coastal wind (25-100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9612.45</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CANON-202604-007148</t>
        </is>
      </c>
      <c r="B420" s="46" t="inlineStr">
        <is>
          <t xml:space="preserve">Sunniva Whitlock</t>
        </is>
      </c>
      <c r="C420" s="47">
        <v>46129</v>
      </c>
      <c r="D420" s="48" t="inlineStr">
        <is>
          <t xml:space="preserve">Bound - within authority</t>
        </is>
      </c>
      <c r="E420" s="48" t="inlineStr">
        <is>
          <t xml:space="preserve">New business</t>
        </is>
      </c>
      <c r="F420" s="46" t="inlineStr">
        <is>
          <t xml:space="preserve">B1234EXOTIC26</t>
        </is>
      </c>
      <c r="G420" s="33">
        <f>IF($A420="","",IF($C420="","",YEAR($C420)))</f>
      </c>
      <c r="H420" s="49">
        <v>1992</v>
      </c>
      <c r="I420" s="46" t="inlineStr">
        <is>
          <t xml:space="preserve">Aston Martin</t>
        </is>
      </c>
      <c r="J420" s="46" t="inlineStr">
        <is>
          <t xml:space="preserve">DB12</t>
        </is>
      </c>
      <c r="K420" s="46" t="inlineStr">
        <is>
          <t xml:space="preserve">MPB1L4UMSCET80U6U</t>
        </is>
      </c>
      <c r="L420" s="48" t="inlineStr">
        <is>
          <t xml:space="preserve">02 - Sports / GT</t>
        </is>
      </c>
      <c r="M420" s="50">
        <v>1605000</v>
      </c>
      <c r="N420" s="48" t="inlineStr">
        <is>
          <t xml:space="preserve">Personal</t>
        </is>
      </c>
      <c r="O420" s="46" t="inlineStr">
        <is>
          <t xml:space="preserve">Personal - regular use</t>
        </is>
      </c>
      <c r="P420" s="46" t="inlineStr">
        <is>
          <t xml:space="preserve">Under 1,000</t>
        </is>
      </c>
      <c r="Q420" s="46" t="inlineStr">
        <is>
          <t xml:space="preserve">Illinois</t>
        </is>
      </c>
      <c r="R420" s="46" t="inlineStr">
        <is>
          <t xml:space="preserve">60601</t>
        </is>
      </c>
      <c r="S420" s="48" t="inlineStr">
        <is>
          <t xml:space="preserve">Severe convective - hail / tornado (moderate)</t>
        </is>
      </c>
      <c r="T420" s="36">
        <f>IF($A420="","",IF($S420="","",IFERROR(INDEX('[1]natural catastrophe'!$D$6:$D$17,MATCH($S420,'[1]natural catastrophe'!$B$6:$B$17,0)),"?")))</f>
      </c>
      <c r="U420" s="46" t="inlineStr">
        <is>
          <t xml:space="preserve">$5,000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18812.24</v>
      </c>
      <c r="AC420" s="51">
        <v>0</v>
      </c>
      <c r="AD420" s="38">
        <f>IF(ISNUMBER($AB420),$AB420*(1+N($AC420)),"")</f>
      </c>
      <c r="AE420" s="50">
        <v>350</v>
      </c>
      <c r="AF420" s="50">
        <v>250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CANON-202604-007149</t>
        </is>
      </c>
      <c r="B421" s="30" t="inlineStr">
        <is>
          <t xml:space="preserve">Fitzgerald Merriweather</t>
        </is>
      </c>
      <c r="C421" s="31">
        <v>46132</v>
      </c>
      <c r="D421" s="32" t="inlineStr">
        <is>
          <t xml:space="preserve">Bound - within authority</t>
        </is>
      </c>
      <c r="E421" s="32" t="inlineStr">
        <is>
          <t xml:space="preserve">New business</t>
        </is>
      </c>
      <c r="F421" s="30" t="inlineStr">
        <is>
          <t xml:space="preserve">B1234EXOTIC26</t>
        </is>
      </c>
      <c r="G421" s="33">
        <f>IF($A421="","",IF($C421="","",YEAR($C421)))</f>
      </c>
      <c r="H421" s="34">
        <v>2005</v>
      </c>
      <c r="I421" s="30" t="inlineStr">
        <is>
          <t xml:space="preserve">Ferrari</t>
        </is>
      </c>
      <c r="J421" s="30" t="inlineStr">
        <is>
          <t xml:space="preserve">296 GTB</t>
        </is>
      </c>
      <c r="K421" s="30" t="inlineStr">
        <is>
          <t xml:space="preserve">4WB21R6ZS80AYJMDP</t>
        </is>
      </c>
      <c r="L421" s="32" t="inlineStr">
        <is>
          <t xml:space="preserve">03 - Supercar</t>
        </is>
      </c>
      <c r="M421" s="35">
        <v>375000</v>
      </c>
      <c r="N421" s="32" t="inlineStr">
        <is>
          <t xml:space="preserve">Personal</t>
        </is>
      </c>
      <c r="O421" s="30" t="inlineStr">
        <is>
          <t xml:space="preserve">Personal - regular use</t>
        </is>
      </c>
      <c r="P421" s="30" t="inlineStr">
        <is>
          <t xml:space="preserve">Under 1,000</t>
        </is>
      </c>
      <c r="Q421" s="30" t="inlineStr">
        <is>
          <t xml:space="preserve">Idaho</t>
        </is>
      </c>
      <c r="R421" s="30" t="inlineStr">
        <is>
          <t xml:space="preserve">83702</t>
        </is>
      </c>
      <c r="S421" s="32" t="inlineStr">
        <is>
          <t xml:space="preserve">Wildfire - WUI high hazard</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6690.03</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CANON-202604-007152</t>
        </is>
      </c>
      <c r="B422" s="46" t="inlineStr">
        <is>
          <t xml:space="preserve">Ottilie Fairweather</t>
        </is>
      </c>
      <c r="C422" s="47">
        <v>46140</v>
      </c>
      <c r="D422" s="48" t="inlineStr">
        <is>
          <t xml:space="preserve">Bound - within authority</t>
        </is>
      </c>
      <c r="E422" s="48" t="inlineStr">
        <is>
          <t xml:space="preserve">New business</t>
        </is>
      </c>
      <c r="F422" s="46" t="inlineStr">
        <is>
          <t xml:space="preserve">B1234EXOTIC26</t>
        </is>
      </c>
      <c r="G422" s="33">
        <f>IF($A422="","",IF($C422="","",YEAR($C422)))</f>
      </c>
      <c r="H422" s="49">
        <v>2024</v>
      </c>
      <c r="I422" s="46" t="inlineStr">
        <is>
          <t xml:space="preserve">Bentley</t>
        </is>
      </c>
      <c r="J422" s="46" t="inlineStr">
        <is>
          <t xml:space="preserve">Continental GT</t>
        </is>
      </c>
      <c r="K422" s="46" t="inlineStr">
        <is>
          <t xml:space="preserve">BX7XYZX78UY1T6U5P</t>
        </is>
      </c>
      <c r="L422" s="48" t="inlineStr">
        <is>
          <t xml:space="preserve">02 - Sports / GT</t>
        </is>
      </c>
      <c r="M422" s="50">
        <v>595000</v>
      </c>
      <c r="N422" s="48" t="inlineStr">
        <is>
          <t xml:space="preserve">Personal</t>
        </is>
      </c>
      <c r="O422" s="46" t="inlineStr">
        <is>
          <t xml:space="preserve">Personal - regular use</t>
        </is>
      </c>
      <c r="P422" s="46" t="inlineStr">
        <is>
          <t xml:space="preserve">2,500 - 5,000</t>
        </is>
      </c>
      <c r="Q422" s="46" t="inlineStr">
        <is>
          <t xml:space="preserve">California</t>
        </is>
      </c>
      <c r="R422" s="46" t="inlineStr">
        <is>
          <t xml:space="preserve">90012</t>
        </is>
      </c>
      <c r="S422" s="48" t="inlineStr">
        <is>
          <t xml:space="preserve">Earthquake - high (CA, Cascadia, New Madrid)</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8181.4</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CANON-202604-007155</t>
        </is>
      </c>
      <c r="B423" s="30" t="inlineStr">
        <is>
          <t xml:space="preserve">Saoirse Merriweather</t>
        </is>
      </c>
      <c r="C423" s="31">
        <v>46131</v>
      </c>
      <c r="D423" s="32" t="inlineStr">
        <is>
          <t xml:space="preserve">Bound - within authority</t>
        </is>
      </c>
      <c r="E423" s="32" t="inlineStr">
        <is>
          <t xml:space="preserve">New business</t>
        </is>
      </c>
      <c r="F423" s="30" t="inlineStr">
        <is>
          <t xml:space="preserve">B1234EXOTIC26</t>
        </is>
      </c>
      <c r="G423" s="33">
        <f>IF($A423="","",IF($C423="","",YEAR($C423)))</f>
      </c>
      <c r="H423" s="34">
        <v>2002</v>
      </c>
      <c r="I423" s="30" t="inlineStr">
        <is>
          <t xml:space="preserve">Lamborghini</t>
        </is>
      </c>
      <c r="J423" s="30" t="inlineStr">
        <is>
          <t xml:space="preserve">Huracan EVO</t>
        </is>
      </c>
      <c r="K423" s="30" t="inlineStr">
        <is>
          <t xml:space="preserve">BS14SJTSW9GJ8H89S</t>
        </is>
      </c>
      <c r="L423" s="32" t="inlineStr">
        <is>
          <t xml:space="preserve">03 - Supercar</t>
        </is>
      </c>
      <c r="M423" s="35">
        <v>750000</v>
      </c>
      <c r="N423" s="32" t="inlineStr">
        <is>
          <t xml:space="preserve">Personal</t>
        </is>
      </c>
      <c r="O423" s="30" t="inlineStr">
        <is>
          <t xml:space="preserve">Personal - regular use</t>
        </is>
      </c>
      <c r="P423" s="30" t="inlineStr">
        <is>
          <t xml:space="preserve">2,500 - 5,000</t>
        </is>
      </c>
      <c r="Q423" s="30" t="inlineStr">
        <is>
          <t xml:space="preserve">Wyoming</t>
        </is>
      </c>
      <c r="R423" s="30" t="inlineStr">
        <is>
          <t xml:space="preserve">82001</t>
        </is>
      </c>
      <c r="S423" s="32" t="inlineStr">
        <is>
          <t xml:space="preserve">Severe convective - hail alley (high)</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11946.27</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CANON-202604-007156</t>
        </is>
      </c>
      <c r="B424" s="46" t="inlineStr">
        <is>
          <t xml:space="preserve">Fenwick Montoya</t>
        </is>
      </c>
      <c r="C424" s="47">
        <v>46136</v>
      </c>
      <c r="D424" s="48" t="inlineStr">
        <is>
          <t xml:space="preserve">Bound - within authority</t>
        </is>
      </c>
      <c r="E424" s="48" t="inlineStr">
        <is>
          <t xml:space="preserve">New business</t>
        </is>
      </c>
      <c r="F424" s="46" t="inlineStr">
        <is>
          <t xml:space="preserve">B1234EXOTIC26</t>
        </is>
      </c>
      <c r="G424" s="33">
        <f>IF($A424="","",IF($C424="","",YEAR($C424)))</f>
      </c>
      <c r="H424" s="49">
        <v>2021</v>
      </c>
      <c r="I424" s="46" t="inlineStr">
        <is>
          <t xml:space="preserve">BMW</t>
        </is>
      </c>
      <c r="J424" s="46" t="inlineStr">
        <is>
          <t xml:space="preserve">M8 Competition</t>
        </is>
      </c>
      <c r="K424" s="46" t="inlineStr">
        <is>
          <t xml:space="preserve">K17WMYNRH2W64MB0C</t>
        </is>
      </c>
      <c r="L424" s="48" t="inlineStr">
        <is>
          <t xml:space="preserve">02 - Sports / GT</t>
        </is>
      </c>
      <c r="M424" s="50">
        <v>660000</v>
      </c>
      <c r="N424" s="48" t="inlineStr">
        <is>
          <t xml:space="preserve">Personal</t>
        </is>
      </c>
      <c r="O424" s="46" t="inlineStr">
        <is>
          <t xml:space="preserve">Personal - regular use</t>
        </is>
      </c>
      <c r="P424" s="46" t="inlineStr">
        <is>
          <t xml:space="preserve">2,500 - 5,000</t>
        </is>
      </c>
      <c r="Q424" s="46" t="inlineStr">
        <is>
          <t xml:space="preserve">Mississippi</t>
        </is>
      </c>
      <c r="R424" s="46" t="inlineStr">
        <is>
          <t xml:space="preserve">39201</t>
        </is>
      </c>
      <c r="S424" s="48" t="inlineStr">
        <is>
          <t xml:space="preserve">Tier 2 - Coastal wind (1-25 miles)</t>
        </is>
      </c>
      <c r="T424" s="36">
        <f>IF($A424="","",IF($S424="","",IFERROR(INDEX('[1]natural catastrophe'!$D$6:$D$17,MATCH($S424,'[1]natural catastrophe'!$B$6:$B$17,0)),"?")))</f>
      </c>
      <c r="U424" s="46" t="inlineStr">
        <is>
          <t xml:space="preserve">2% of agreed value, minimum $10,000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7999.59</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CANON-202604-007157</t>
        </is>
      </c>
      <c r="B425" s="30" t="inlineStr">
        <is>
          <t xml:space="preserve">Priya Blackwood</t>
        </is>
      </c>
      <c r="C425" s="31">
        <v>46118</v>
      </c>
      <c r="D425" s="32" t="inlineStr">
        <is>
          <t xml:space="preserve">Bound - within authority</t>
        </is>
      </c>
      <c r="E425" s="32" t="inlineStr">
        <is>
          <t xml:space="preserve">New business</t>
        </is>
      </c>
      <c r="F425" s="30" t="inlineStr">
        <is>
          <t xml:space="preserve">B1234EXOTIC26</t>
        </is>
      </c>
      <c r="G425" s="33">
        <f>IF($A425="","",IF($C425="","",YEAR($C425)))</f>
      </c>
      <c r="H425" s="34">
        <v>1998</v>
      </c>
      <c r="I425" s="30" t="inlineStr">
        <is>
          <t xml:space="preserve">Aston Martin</t>
        </is>
      </c>
      <c r="J425" s="30" t="inlineStr">
        <is>
          <t xml:space="preserve">DB12</t>
        </is>
      </c>
      <c r="K425" s="30" t="inlineStr">
        <is>
          <t xml:space="preserve">26H00G2YKRZ7ZTNJB</t>
        </is>
      </c>
      <c r="L425" s="32" t="inlineStr">
        <is>
          <t xml:space="preserve">02 - Sports / GT</t>
        </is>
      </c>
      <c r="M425" s="35">
        <v>665000</v>
      </c>
      <c r="N425" s="32" t="inlineStr">
        <is>
          <t xml:space="preserve">Personal</t>
        </is>
      </c>
      <c r="O425" s="30" t="inlineStr">
        <is>
          <t xml:space="preserve">Personal - regular use</t>
        </is>
      </c>
      <c r="P425" s="30" t="inlineStr">
        <is>
          <t xml:space="preserve">1,000 - 2,500</t>
        </is>
      </c>
      <c r="Q425" s="30" t="inlineStr">
        <is>
          <t xml:space="preserve">New Jersey</t>
        </is>
      </c>
      <c r="R425" s="30" t="inlineStr">
        <is>
          <t xml:space="preserve">07102</t>
        </is>
      </c>
      <c r="S425" s="32" t="inlineStr">
        <is>
          <t xml:space="preserve">Tier 3 - Coastal wind (25-100 miles)</t>
        </is>
      </c>
      <c r="T425" s="36">
        <f>IF($A425="","",IF($S425="","",IFERROR(INDEX('[1]natural catastrophe'!$D$6:$D$17,MATCH($S425,'[1]natural catastrophe'!$B$6:$B$17,0)),"?")))</f>
      </c>
      <c r="U425" s="30" t="inlineStr">
        <is>
          <t xml:space="preserve">2% of agreed value, minimum $10,000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6163.68</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CANON-202604-007158</t>
        </is>
      </c>
      <c r="B426" s="46" t="inlineStr">
        <is>
          <t xml:space="preserve">Callum Blackwood</t>
        </is>
      </c>
      <c r="C426" s="47">
        <v>46119</v>
      </c>
      <c r="D426" s="48" t="inlineStr">
        <is>
          <t xml:space="preserve">Bound - within authority</t>
        </is>
      </c>
      <c r="E426" s="48" t="inlineStr">
        <is>
          <t xml:space="preserve">New business</t>
        </is>
      </c>
      <c r="F426" s="46" t="inlineStr">
        <is>
          <t xml:space="preserve">B1234EXOTIC26</t>
        </is>
      </c>
      <c r="G426" s="33">
        <f>IF($A426="","",IF($C426="","",YEAR($C426)))</f>
      </c>
      <c r="H426" s="49">
        <v>1964</v>
      </c>
      <c r="I426" s="46" t="inlineStr">
        <is>
          <t xml:space="preserve">Ferrari</t>
        </is>
      </c>
      <c r="J426" s="46" t="inlineStr">
        <is>
          <t xml:space="preserve">296 GTB</t>
        </is>
      </c>
      <c r="K426" s="46" t="inlineStr">
        <is>
          <t xml:space="preserve">1GR2XH2LHMH5XYP83</t>
        </is>
      </c>
      <c r="L426" s="48" t="inlineStr">
        <is>
          <t xml:space="preserve">03 - Supercar</t>
        </is>
      </c>
      <c r="M426" s="50">
        <v>1330000</v>
      </c>
      <c r="N426" s="48" t="inlineStr">
        <is>
          <t xml:space="preserve">Personal</t>
        </is>
      </c>
      <c r="O426" s="46" t="inlineStr">
        <is>
          <t xml:space="preserve">Personal - regular use</t>
        </is>
      </c>
      <c r="P426" s="46" t="inlineStr">
        <is>
          <t xml:space="preserve">1,000 - 2,500</t>
        </is>
      </c>
      <c r="Q426" s="46" t="inlineStr">
        <is>
          <t xml:space="preserve">California</t>
        </is>
      </c>
      <c r="R426" s="46" t="inlineStr">
        <is>
          <t xml:space="preserve">90012</t>
        </is>
      </c>
      <c r="S426" s="48" t="inlineStr">
        <is>
          <t xml:space="preserve">Earthquake - high (CA, Cascadia, New Madrid)</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22508.12</v>
      </c>
      <c r="AC426" s="51">
        <v>0</v>
      </c>
      <c r="AD426" s="38">
        <f>IF(ISNUMBER($AB426),$AB426*(1+N($AC426)),"")</f>
      </c>
      <c r="AE426" s="50">
        <v>350</v>
      </c>
      <c r="AF426" s="50">
        <v>250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CANON-202604-007159</t>
        </is>
      </c>
      <c r="B427" s="30" t="inlineStr">
        <is>
          <t xml:space="preserve">Sunniva Montoya</t>
        </is>
      </c>
      <c r="C427" s="31">
        <v>46135</v>
      </c>
      <c r="D427" s="32" t="inlineStr">
        <is>
          <t xml:space="preserve">Bound - within authority</t>
        </is>
      </c>
      <c r="E427" s="32" t="inlineStr">
        <is>
          <t xml:space="preserve">New business</t>
        </is>
      </c>
      <c r="F427" s="30" t="inlineStr">
        <is>
          <t xml:space="preserve">B1234EXOTIC26</t>
        </is>
      </c>
      <c r="G427" s="33">
        <f>IF($A427="","",IF($C427="","",YEAR($C427)))</f>
      </c>
      <c r="H427" s="34">
        <v>1983</v>
      </c>
      <c r="I427" s="30" t="inlineStr">
        <is>
          <t xml:space="preserve">Ferrari</t>
        </is>
      </c>
      <c r="J427" s="30" t="inlineStr">
        <is>
          <t xml:space="preserve">296 GTB</t>
        </is>
      </c>
      <c r="K427" s="30" t="inlineStr">
        <is>
          <t xml:space="preserve">H90FT9WPYS80LLY7Z</t>
        </is>
      </c>
      <c r="L427" s="32" t="inlineStr">
        <is>
          <t xml:space="preserve">03 - Supercar</t>
        </is>
      </c>
      <c r="M427" s="35">
        <v>1080000</v>
      </c>
      <c r="N427" s="32" t="inlineStr">
        <is>
          <t xml:space="preserve">Personal</t>
        </is>
      </c>
      <c r="O427" s="30" t="inlineStr">
        <is>
          <t xml:space="preserve">Personal - regular use</t>
        </is>
      </c>
      <c r="P427" s="30" t="inlineStr">
        <is>
          <t xml:space="preserve">Under 1,000</t>
        </is>
      </c>
      <c r="Q427" s="30" t="inlineStr">
        <is>
          <t xml:space="preserve">New Hampshire</t>
        </is>
      </c>
      <c r="R427" s="30" t="inlineStr">
        <is>
          <t xml:space="preserve">03301</t>
        </is>
      </c>
      <c r="S427" s="32" t="inlineStr">
        <is>
          <t xml:space="preserve">Tier 3 - Coastal wind (25-100 miles)</t>
        </is>
      </c>
      <c r="T427" s="36">
        <f>IF($A427="","",IF($S427="","",IFERROR(INDEX('[1]natural catastrophe'!$D$6:$D$17,MATCH($S427,'[1]natural catastrophe'!$B$6:$B$17,0)),"?")))</f>
      </c>
      <c r="U427" s="30" t="inlineStr">
        <is>
          <t xml:space="preserve">2% of agreed value, minimum $10,000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14080.26</v>
      </c>
      <c r="AC427" s="37">
        <v>0</v>
      </c>
      <c r="AD427" s="38">
        <f>IF(ISNUMBER($AB427),$AB427*(1+N($AC427)),"")</f>
      </c>
      <c r="AE427" s="35">
        <v>350</v>
      </c>
      <c r="AF427" s="35">
        <v>250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CANON-202604-007160</t>
        </is>
      </c>
      <c r="B428" s="46" t="inlineStr">
        <is>
          <t xml:space="preserve">Delphine Rourke</t>
        </is>
      </c>
      <c r="C428" s="47">
        <v>46115</v>
      </c>
      <c r="D428" s="48" t="inlineStr">
        <is>
          <t xml:space="preserve">Bound - within authority</t>
        </is>
      </c>
      <c r="E428" s="48" t="inlineStr">
        <is>
          <t xml:space="preserve">New business</t>
        </is>
      </c>
      <c r="F428" s="46" t="inlineStr">
        <is>
          <t xml:space="preserve">B1234EXOTIC26</t>
        </is>
      </c>
      <c r="G428" s="33">
        <f>IF($A428="","",IF($C428="","",YEAR($C428)))</f>
      </c>
      <c r="H428" s="49">
        <v>1988</v>
      </c>
      <c r="I428" s="46" t="inlineStr">
        <is>
          <t xml:space="preserve">Jaguar</t>
        </is>
      </c>
      <c r="J428" s="46" t="inlineStr">
        <is>
          <t xml:space="preserve">E-Type Series 1</t>
        </is>
      </c>
      <c r="K428" s="46" t="inlineStr">
        <is>
          <t xml:space="preserve">Z3ZH66UH2DUMA76EM</t>
        </is>
      </c>
      <c r="L428" s="48" t="inlineStr">
        <is>
          <t xml:space="preserve">08 - Modern Classic (1973-1999)</t>
        </is>
      </c>
      <c r="M428" s="50">
        <v>1175000</v>
      </c>
      <c r="N428" s="48" t="inlineStr">
        <is>
          <t xml:space="preserve">Personal</t>
        </is>
      </c>
      <c r="O428" s="46" t="inlineStr">
        <is>
          <t xml:space="preserve">Personal - regular use</t>
        </is>
      </c>
      <c r="P428" s="46" t="inlineStr">
        <is>
          <t xml:space="preserve">2,500 - 5,000</t>
        </is>
      </c>
      <c r="Q428" s="46" t="inlineStr">
        <is>
          <t xml:space="preserve">Missouri</t>
        </is>
      </c>
      <c r="R428" s="46" t="inlineStr">
        <is>
          <t xml:space="preserve">63101</t>
        </is>
      </c>
      <c r="S428" s="48" t="inlineStr">
        <is>
          <t xml:space="preserve">Severe convective - hail / tornado (moderate)</t>
        </is>
      </c>
      <c r="T428" s="36">
        <f>IF($A428="","",IF($S428="","",IFERROR(INDEX('[1]natural catastrophe'!$D$6:$D$17,MATCH($S428,'[1]natural catastrophe'!$B$6:$B$17,0)),"?")))</f>
      </c>
      <c r="U428" s="46" t="inlineStr">
        <is>
          <t xml:space="preserve">$5,000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7416.36</v>
      </c>
      <c r="AC428" s="51">
        <v>0</v>
      </c>
      <c r="AD428" s="38">
        <f>IF(ISNUMBER($AB428),$AB428*(1+N($AC428)),"")</f>
      </c>
      <c r="AE428" s="50">
        <v>350</v>
      </c>
      <c r="AF428" s="50">
        <v>250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CANON-202604-007161</t>
        </is>
      </c>
      <c r="B429" s="30" t="inlineStr">
        <is>
          <t xml:space="preserve">Delphine Farkas</t>
        </is>
      </c>
      <c r="C429" s="31">
        <v>46134</v>
      </c>
      <c r="D429" s="32" t="inlineStr">
        <is>
          <t xml:space="preserve">Bound - within authority</t>
        </is>
      </c>
      <c r="E429" s="32" t="inlineStr">
        <is>
          <t xml:space="preserve">New business</t>
        </is>
      </c>
      <c r="F429" s="30" t="inlineStr">
        <is>
          <t xml:space="preserve">B1234EXOTIC26</t>
        </is>
      </c>
      <c r="G429" s="33">
        <f>IF($A429="","",IF($C429="","",YEAR($C429)))</f>
      </c>
      <c r="H429" s="34">
        <v>1988</v>
      </c>
      <c r="I429" s="30" t="inlineStr">
        <is>
          <t xml:space="preserve">Aston Martin</t>
        </is>
      </c>
      <c r="J429" s="30" t="inlineStr">
        <is>
          <t xml:space="preserve">DB12</t>
        </is>
      </c>
      <c r="K429" s="30" t="inlineStr">
        <is>
          <t xml:space="preserve">GFKCDGF033NBACHP1</t>
        </is>
      </c>
      <c r="L429" s="32" t="inlineStr">
        <is>
          <t xml:space="preserve">02 - Sports / GT</t>
        </is>
      </c>
      <c r="M429" s="35">
        <v>385000</v>
      </c>
      <c r="N429" s="32" t="inlineStr">
        <is>
          <t xml:space="preserve">Personal</t>
        </is>
      </c>
      <c r="O429" s="30" t="inlineStr">
        <is>
          <t xml:space="preserve">Personal - regular use</t>
        </is>
      </c>
      <c r="P429" s="30" t="inlineStr">
        <is>
          <t xml:space="preserve">2,500 - 5,000</t>
        </is>
      </c>
      <c r="Q429" s="30" t="inlineStr">
        <is>
          <t xml:space="preserve">Mississippi</t>
        </is>
      </c>
      <c r="R429" s="30" t="inlineStr">
        <is>
          <t xml:space="preserve">39201</t>
        </is>
      </c>
      <c r="S429" s="32" t="inlineStr">
        <is>
          <t xml:space="preserve">Tier 2 - Coastal wind (1-25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5384.34</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CANON-202604-007162</t>
        </is>
      </c>
      <c r="B430" s="46" t="inlineStr">
        <is>
          <t xml:space="preserve">Everett Castellanos</t>
        </is>
      </c>
      <c r="C430" s="47">
        <v>46133</v>
      </c>
      <c r="D430" s="48" t="inlineStr">
        <is>
          <t xml:space="preserve">Bound - within authority</t>
        </is>
      </c>
      <c r="E430" s="48" t="inlineStr">
        <is>
          <t xml:space="preserve">New business</t>
        </is>
      </c>
      <c r="F430" s="46" t="inlineStr">
        <is>
          <t xml:space="preserve">B1234EXOTIC26</t>
        </is>
      </c>
      <c r="G430" s="33">
        <f>IF($A430="","",IF($C430="","",YEAR($C430)))</f>
      </c>
      <c r="H430" s="49">
        <v>1986</v>
      </c>
      <c r="I430" s="46" t="inlineStr">
        <is>
          <t xml:space="preserve">Mercedes-Benz</t>
        </is>
      </c>
      <c r="J430" s="46" t="inlineStr">
        <is>
          <t xml:space="preserve">280SL Pagoda</t>
        </is>
      </c>
      <c r="K430" s="46" t="inlineStr">
        <is>
          <t xml:space="preserve">RH4ZK9LN6P2N622E4</t>
        </is>
      </c>
      <c r="L430" s="48" t="inlineStr">
        <is>
          <t xml:space="preserve">08 - Modern Classic (1973-1999)</t>
        </is>
      </c>
      <c r="M430" s="50">
        <v>1425000</v>
      </c>
      <c r="N430" s="48" t="inlineStr">
        <is>
          <t xml:space="preserve">Personal</t>
        </is>
      </c>
      <c r="O430" s="46" t="inlineStr">
        <is>
          <t xml:space="preserve">Personal - regular use</t>
        </is>
      </c>
      <c r="P430" s="46" t="inlineStr">
        <is>
          <t xml:space="preserve">Under 1,000</t>
        </is>
      </c>
      <c r="Q430" s="46" t="inlineStr">
        <is>
          <t xml:space="preserve">North Carolina</t>
        </is>
      </c>
      <c r="R430" s="46" t="inlineStr">
        <is>
          <t xml:space="preserve">28202</t>
        </is>
      </c>
      <c r="S430" s="48" t="inlineStr">
        <is>
          <t xml:space="preserve">Tier 2 - Coastal wind (1-25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9757.98</v>
      </c>
      <c r="AC430" s="51">
        <v>0</v>
      </c>
      <c r="AD430" s="38">
        <f>IF(ISNUMBER($AB430),$AB430*(1+N($AC430)),"")</f>
      </c>
      <c r="AE430" s="50">
        <v>350</v>
      </c>
      <c r="AF430" s="50">
        <v>250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CANON-202604-007163</t>
        </is>
      </c>
      <c r="B431" s="30" t="inlineStr">
        <is>
          <t xml:space="preserve">Priya Castellanos</t>
        </is>
      </c>
      <c r="C431" s="31">
        <v>46136</v>
      </c>
      <c r="D431" s="32" t="inlineStr">
        <is>
          <t xml:space="preserve">Bound - within authority</t>
        </is>
      </c>
      <c r="E431" s="32" t="inlineStr">
        <is>
          <t xml:space="preserve">New business</t>
        </is>
      </c>
      <c r="F431" s="30" t="inlineStr">
        <is>
          <t xml:space="preserve">B1234EXOTIC26</t>
        </is>
      </c>
      <c r="G431" s="33">
        <f>IF($A431="","",IF($C431="","",YEAR($C431)))</f>
      </c>
      <c r="H431" s="34">
        <v>2005</v>
      </c>
      <c r="I431" s="30" t="inlineStr">
        <is>
          <t xml:space="preserve">Ferrari</t>
        </is>
      </c>
      <c r="J431" s="30" t="inlineStr">
        <is>
          <t xml:space="preserve">296 GTB</t>
        </is>
      </c>
      <c r="K431" s="30" t="inlineStr">
        <is>
          <t xml:space="preserve">KX8LJWL5JCT4RUZKC</t>
        </is>
      </c>
      <c r="L431" s="32" t="inlineStr">
        <is>
          <t xml:space="preserve">03 - Supercar</t>
        </is>
      </c>
      <c r="M431" s="35">
        <v>590000</v>
      </c>
      <c r="N431" s="32" t="inlineStr">
        <is>
          <t xml:space="preserve">Personal</t>
        </is>
      </c>
      <c r="O431" s="30" t="inlineStr">
        <is>
          <t xml:space="preserve">Personal - regular use</t>
        </is>
      </c>
      <c r="P431" s="30" t="inlineStr">
        <is>
          <t xml:space="preserve">1,000 - 2,500</t>
        </is>
      </c>
      <c r="Q431" s="30" t="inlineStr">
        <is>
          <t xml:space="preserve">Florida</t>
        </is>
      </c>
      <c r="R431" s="30" t="inlineStr">
        <is>
          <t xml:space="preserve">33139</t>
        </is>
      </c>
      <c r="S431" s="32" t="inlineStr">
        <is>
          <t xml:space="preserve">Tier 2 - Coastal wind (1-25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12471.76</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CANON-202604-007164</t>
        </is>
      </c>
      <c r="B432" s="46" t="inlineStr">
        <is>
          <t xml:space="preserve">Cassius Farkas</t>
        </is>
      </c>
      <c r="C432" s="47">
        <v>46119</v>
      </c>
      <c r="D432" s="48" t="inlineStr">
        <is>
          <t xml:space="preserve">Bound - within authority</t>
        </is>
      </c>
      <c r="E432" s="48" t="inlineStr">
        <is>
          <t xml:space="preserve">New business</t>
        </is>
      </c>
      <c r="F432" s="46" t="inlineStr">
        <is>
          <t xml:space="preserve">B1234EXOTIC26</t>
        </is>
      </c>
      <c r="G432" s="33">
        <f>IF($A432="","",IF($C432="","",YEAR($C432)))</f>
      </c>
      <c r="H432" s="49">
        <v>1973</v>
      </c>
      <c r="I432" s="46" t="inlineStr">
        <is>
          <t xml:space="preserve">Lamborghini</t>
        </is>
      </c>
      <c r="J432" s="46" t="inlineStr">
        <is>
          <t xml:space="preserve">Huracan EVO</t>
        </is>
      </c>
      <c r="K432" s="46" t="inlineStr">
        <is>
          <t xml:space="preserve">UX65658XNCS8SR8VY</t>
        </is>
      </c>
      <c r="L432" s="48" t="inlineStr">
        <is>
          <t xml:space="preserve">03 - Supercar</t>
        </is>
      </c>
      <c r="M432" s="50">
        <v>290000</v>
      </c>
      <c r="N432" s="48" t="inlineStr">
        <is>
          <t xml:space="preserve">Personal</t>
        </is>
      </c>
      <c r="O432" s="46" t="inlineStr">
        <is>
          <t xml:space="preserve">Personal - regular use</t>
        </is>
      </c>
      <c r="P432" s="46" t="inlineStr">
        <is>
          <t xml:space="preserve">2,500 - 5,000</t>
        </is>
      </c>
      <c r="Q432" s="46" t="inlineStr">
        <is>
          <t xml:space="preserve">Pennsylvania</t>
        </is>
      </c>
      <c r="R432" s="46" t="inlineStr">
        <is>
          <t xml:space="preserve">19103</t>
        </is>
      </c>
      <c r="S432" s="48" t="inlineStr">
        <is>
          <t xml:space="preserve">Low hazard - inland benign</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5225.88</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CANON-202604-007166</t>
        </is>
      </c>
      <c r="B433" s="30" t="inlineStr">
        <is>
          <t xml:space="preserve">Horace Ashcombe</t>
        </is>
      </c>
      <c r="C433" s="31">
        <v>46129</v>
      </c>
      <c r="D433" s="32" t="inlineStr">
        <is>
          <t xml:space="preserve">Bound - within authority</t>
        </is>
      </c>
      <c r="E433" s="32" t="inlineStr">
        <is>
          <t xml:space="preserve">New business</t>
        </is>
      </c>
      <c r="F433" s="30" t="inlineStr">
        <is>
          <t xml:space="preserve">B1234EXOTIC26</t>
        </is>
      </c>
      <c r="G433" s="33">
        <f>IF($A433="","",IF($C433="","",YEAR($C433)))</f>
      </c>
      <c r="H433" s="34">
        <v>2009</v>
      </c>
      <c r="I433" s="30" t="inlineStr">
        <is>
          <t xml:space="preserve">Bentley</t>
        </is>
      </c>
      <c r="J433" s="30" t="inlineStr">
        <is>
          <t xml:space="preserve">Continental GT</t>
        </is>
      </c>
      <c r="K433" s="30" t="inlineStr">
        <is>
          <t xml:space="preserve">7TSZGWP4CEGD864D3</t>
        </is>
      </c>
      <c r="L433" s="32" t="inlineStr">
        <is>
          <t xml:space="preserve">02 - Sports / GT</t>
        </is>
      </c>
      <c r="M433" s="35">
        <v>685000</v>
      </c>
      <c r="N433" s="32" t="inlineStr">
        <is>
          <t xml:space="preserve">Personal</t>
        </is>
      </c>
      <c r="O433" s="30" t="inlineStr">
        <is>
          <t xml:space="preserve">Personal - regular use</t>
        </is>
      </c>
      <c r="P433" s="30" t="inlineStr">
        <is>
          <t xml:space="preserve">1,000 - 2,500</t>
        </is>
      </c>
      <c r="Q433" s="30" t="inlineStr">
        <is>
          <t xml:space="preserve">South Carolina</t>
        </is>
      </c>
      <c r="R433" s="30" t="inlineStr">
        <is>
          <t xml:space="preserve">29401</t>
        </is>
      </c>
      <c r="S433" s="32" t="inlineStr">
        <is>
          <t xml:space="preserve">Tier 2 - Coastal wind (1-25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8651.46</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CANON-202604-007167</t>
        </is>
      </c>
      <c r="B434" s="46" t="inlineStr">
        <is>
          <t xml:space="preserve">Callum Underwood</t>
        </is>
      </c>
      <c r="C434" s="47">
        <v>46127</v>
      </c>
      <c r="D434" s="48" t="inlineStr">
        <is>
          <t xml:space="preserve">Bound - within authority</t>
        </is>
      </c>
      <c r="E434" s="48" t="inlineStr">
        <is>
          <t xml:space="preserve">New business</t>
        </is>
      </c>
      <c r="F434" s="46" t="inlineStr">
        <is>
          <t xml:space="preserve">B1234EXOTIC26</t>
        </is>
      </c>
      <c r="G434" s="33">
        <f>IF($A434="","",IF($C434="","",YEAR($C434)))</f>
      </c>
      <c r="H434" s="49">
        <v>1989</v>
      </c>
      <c r="I434" s="46" t="inlineStr">
        <is>
          <t xml:space="preserve">Porsche</t>
        </is>
      </c>
      <c r="J434" s="46" t="inlineStr">
        <is>
          <t xml:space="preserve">911 Turbo S</t>
        </is>
      </c>
      <c r="K434" s="46" t="inlineStr">
        <is>
          <t xml:space="preserve">17KP5PFC9BG9XVC8Y</t>
        </is>
      </c>
      <c r="L434" s="48" t="inlineStr">
        <is>
          <t xml:space="preserve">02 - Sports / GT</t>
        </is>
      </c>
      <c r="M434" s="50">
        <v>265000</v>
      </c>
      <c r="N434" s="48" t="inlineStr">
        <is>
          <t xml:space="preserve">Personal</t>
        </is>
      </c>
      <c r="O434" s="46" t="inlineStr">
        <is>
          <t xml:space="preserve">Personal - regular use</t>
        </is>
      </c>
      <c r="P434" s="46" t="inlineStr">
        <is>
          <t xml:space="preserve">2,500 - 5,000</t>
        </is>
      </c>
      <c r="Q434" s="46" t="inlineStr">
        <is>
          <t xml:space="preserve">Minnesota</t>
        </is>
      </c>
      <c r="R434" s="46" t="inlineStr">
        <is>
          <t xml:space="preserve">55401</t>
        </is>
      </c>
      <c r="S434" s="48" t="inlineStr">
        <is>
          <t xml:space="preserve">Severe convective - hail / tornado (moderate)</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4110.98</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CANON-202604-007169</t>
        </is>
      </c>
      <c r="B435" s="30" t="inlineStr">
        <is>
          <t xml:space="preserve">Everett Whitlock</t>
        </is>
      </c>
      <c r="C435" s="31">
        <v>46134</v>
      </c>
      <c r="D435" s="32" t="inlineStr">
        <is>
          <t xml:space="preserve">Bound - within authority</t>
        </is>
      </c>
      <c r="E435" s="32" t="inlineStr">
        <is>
          <t xml:space="preserve">New business</t>
        </is>
      </c>
      <c r="F435" s="30" t="inlineStr">
        <is>
          <t xml:space="preserve">B1234EXOTIC26</t>
        </is>
      </c>
      <c r="G435" s="33">
        <f>IF($A435="","",IF($C435="","",YEAR($C435)))</f>
      </c>
      <c r="H435" s="34">
        <v>2004</v>
      </c>
      <c r="I435" s="30" t="inlineStr">
        <is>
          <t xml:space="preserve">Aston Martin</t>
        </is>
      </c>
      <c r="J435" s="30" t="inlineStr">
        <is>
          <t xml:space="preserve">DB12</t>
        </is>
      </c>
      <c r="K435" s="30" t="inlineStr">
        <is>
          <t xml:space="preserve">WKM2AX2PZL1993KDV</t>
        </is>
      </c>
      <c r="L435" s="32" t="inlineStr">
        <is>
          <t xml:space="preserve">02 - Sports / GT</t>
        </is>
      </c>
      <c r="M435" s="35">
        <v>295000</v>
      </c>
      <c r="N435" s="32" t="inlineStr">
        <is>
          <t xml:space="preserve">Personal</t>
        </is>
      </c>
      <c r="O435" s="30" t="inlineStr">
        <is>
          <t xml:space="preserve">Personal - regular use</t>
        </is>
      </c>
      <c r="P435" s="30" t="inlineStr">
        <is>
          <t xml:space="preserve">1,000 - 2,500</t>
        </is>
      </c>
      <c r="Q435" s="30" t="inlineStr">
        <is>
          <t xml:space="preserve">Utah</t>
        </is>
      </c>
      <c r="R435" s="30" t="inlineStr">
        <is>
          <t xml:space="preserve">84101</t>
        </is>
      </c>
      <c r="S435" s="32" t="inlineStr">
        <is>
          <t xml:space="preserve">Wildfire - WUI high hazard</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4680.37</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CANON-202604-007170</t>
        </is>
      </c>
      <c r="B436" s="46" t="inlineStr">
        <is>
          <t xml:space="preserve">Leopold Delacroix</t>
        </is>
      </c>
      <c r="C436" s="47">
        <v>46135</v>
      </c>
      <c r="D436" s="48" t="inlineStr">
        <is>
          <t xml:space="preserve">Bound - within authority</t>
        </is>
      </c>
      <c r="E436" s="48" t="inlineStr">
        <is>
          <t xml:space="preserve">New business</t>
        </is>
      </c>
      <c r="F436" s="46" t="inlineStr">
        <is>
          <t xml:space="preserve">B1234EXOTIC26</t>
        </is>
      </c>
      <c r="G436" s="33">
        <f>IF($A436="","",IF($C436="","",YEAR($C436)))</f>
      </c>
      <c r="H436" s="49">
        <v>2019</v>
      </c>
      <c r="I436" s="46" t="inlineStr">
        <is>
          <t xml:space="preserve">Ferrari</t>
        </is>
      </c>
      <c r="J436" s="46" t="inlineStr">
        <is>
          <t xml:space="preserve">SF90 Stradale</t>
        </is>
      </c>
      <c r="K436" s="46" t="inlineStr">
        <is>
          <t xml:space="preserve">MPYVY9V0ZL50XES5C</t>
        </is>
      </c>
      <c r="L436" s="48" t="inlineStr">
        <is>
          <t xml:space="preserve">03 - Supercar</t>
        </is>
      </c>
      <c r="M436" s="50">
        <v>1280000</v>
      </c>
      <c r="N436" s="48" t="inlineStr">
        <is>
          <t xml:space="preserve">Personal</t>
        </is>
      </c>
      <c r="O436" s="46" t="inlineStr">
        <is>
          <t xml:space="preserve">Personal - regular use</t>
        </is>
      </c>
      <c r="P436" s="46" t="inlineStr">
        <is>
          <t xml:space="preserve">2,500 - 5,000</t>
        </is>
      </c>
      <c r="Q436" s="46" t="inlineStr">
        <is>
          <t xml:space="preserve">Montana</t>
        </is>
      </c>
      <c r="R436" s="46" t="inlineStr">
        <is>
          <t xml:space="preserve">59601</t>
        </is>
      </c>
      <c r="S436" s="48" t="inlineStr">
        <is>
          <t xml:space="preserve">Wildfire - WUI high hazard</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14922.67</v>
      </c>
      <c r="AC436" s="51">
        <v>0</v>
      </c>
      <c r="AD436" s="38">
        <f>IF(ISNUMBER($AB436),$AB436*(1+N($AC436)),"")</f>
      </c>
      <c r="AE436" s="50">
        <v>350</v>
      </c>
      <c r="AF436" s="50">
        <v>250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CANON-202604-007173</t>
        </is>
      </c>
      <c r="B437" s="30" t="inlineStr">
        <is>
          <t xml:space="preserve">Marisol Pennington</t>
        </is>
      </c>
      <c r="C437" s="31">
        <v>46124</v>
      </c>
      <c r="D437" s="32" t="inlineStr">
        <is>
          <t xml:space="preserve">Bound - within authority</t>
        </is>
      </c>
      <c r="E437" s="32" t="inlineStr">
        <is>
          <t xml:space="preserve">New business</t>
        </is>
      </c>
      <c r="F437" s="30" t="inlineStr">
        <is>
          <t xml:space="preserve">B1234EXOTIC26</t>
        </is>
      </c>
      <c r="G437" s="33">
        <f>IF($A437="","",IF($C437="","",YEAR($C437)))</f>
      </c>
      <c r="H437" s="34">
        <v>1958</v>
      </c>
      <c r="I437" s="30" t="inlineStr">
        <is>
          <t xml:space="preserve">Mercedes-Benz</t>
        </is>
      </c>
      <c r="J437" s="30" t="inlineStr">
        <is>
          <t xml:space="preserve">AMG GT</t>
        </is>
      </c>
      <c r="K437" s="30" t="inlineStr">
        <is>
          <t xml:space="preserve">ZZM3RPPB4D54L4K56</t>
        </is>
      </c>
      <c r="L437" s="32" t="inlineStr">
        <is>
          <t xml:space="preserve">02 - Sports / GT</t>
        </is>
      </c>
      <c r="M437" s="35">
        <v>495000</v>
      </c>
      <c r="N437" s="32" t="inlineStr">
        <is>
          <t xml:space="preserve">Personal</t>
        </is>
      </c>
      <c r="O437" s="30" t="inlineStr">
        <is>
          <t xml:space="preserve">Personal - regular use</t>
        </is>
      </c>
      <c r="P437" s="30" t="inlineStr">
        <is>
          <t xml:space="preserve">2,500 - 5,000</t>
        </is>
      </c>
      <c r="Q437" s="30" t="inlineStr">
        <is>
          <t xml:space="preserve">Alabama</t>
        </is>
      </c>
      <c r="R437" s="30" t="inlineStr">
        <is>
          <t xml:space="preserve">35203</t>
        </is>
      </c>
      <c r="S437" s="32" t="inlineStr">
        <is>
          <t xml:space="preserve">Tier 2 - Coastal wind (1-25 miles)</t>
        </is>
      </c>
      <c r="T437" s="36">
        <f>IF($A437="","",IF($S437="","",IFERROR(INDEX('[1]natural catastrophe'!$D$6:$D$17,MATCH($S437,'[1]natural catastrophe'!$B$6:$B$17,0)),"?")))</f>
      </c>
      <c r="U437" s="30" t="inlineStr">
        <is>
          <t xml:space="preserve">2% of agreed value, minimum $10,000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7388.12</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CANON-202604-007174</t>
        </is>
      </c>
      <c r="B438" s="46" t="inlineStr">
        <is>
          <t xml:space="preserve">Thaddeus Fairweather</t>
        </is>
      </c>
      <c r="C438" s="47">
        <v>46116</v>
      </c>
      <c r="D438" s="48" t="inlineStr">
        <is>
          <t xml:space="preserve">Bound - within authority</t>
        </is>
      </c>
      <c r="E438" s="48" t="inlineStr">
        <is>
          <t xml:space="preserve">New business</t>
        </is>
      </c>
      <c r="F438" s="46" t="inlineStr">
        <is>
          <t xml:space="preserve">B1234EXOTIC26</t>
        </is>
      </c>
      <c r="G438" s="33">
        <f>IF($A438="","",IF($C438="","",YEAR($C438)))</f>
      </c>
      <c r="H438" s="49">
        <v>1981</v>
      </c>
      <c r="I438" s="46" t="inlineStr">
        <is>
          <t xml:space="preserve">Bentley</t>
        </is>
      </c>
      <c r="J438" s="46" t="inlineStr">
        <is>
          <t xml:space="preserve">Continental GT</t>
        </is>
      </c>
      <c r="K438" s="46" t="inlineStr">
        <is>
          <t xml:space="preserve">VSMBTSMZKKG3TCW73</t>
        </is>
      </c>
      <c r="L438" s="48" t="inlineStr">
        <is>
          <t xml:space="preserve">02 - Sports / GT</t>
        </is>
      </c>
      <c r="M438" s="50">
        <v>1170000</v>
      </c>
      <c r="N438" s="48" t="inlineStr">
        <is>
          <t xml:space="preserve">Personal</t>
        </is>
      </c>
      <c r="O438" s="46" t="inlineStr">
        <is>
          <t xml:space="preserve">Personal - regular use</t>
        </is>
      </c>
      <c r="P438" s="46" t="inlineStr">
        <is>
          <t xml:space="preserve">Under 1,000</t>
        </is>
      </c>
      <c r="Q438" s="46" t="inlineStr">
        <is>
          <t xml:space="preserve">Alaska</t>
        </is>
      </c>
      <c r="R438" s="46" t="inlineStr">
        <is>
          <t xml:space="preserve">99501</t>
        </is>
      </c>
      <c r="S438" s="48" t="inlineStr">
        <is>
          <t xml:space="preserve">Earthquake - high (CA, Cascadia, New Madrid)</t>
        </is>
      </c>
      <c r="T438" s="36">
        <f>IF($A438="","",IF($S438="","",IFERROR(INDEX('[1]natural catastrophe'!$D$6:$D$17,MATCH($S438,'[1]natural catastrophe'!$B$6:$B$17,0)),"?")))</f>
      </c>
      <c r="U438" s="46" t="inlineStr">
        <is>
          <t xml:space="preserve">$5,000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11495.22</v>
      </c>
      <c r="AC438" s="51">
        <v>0</v>
      </c>
      <c r="AD438" s="38">
        <f>IF(ISNUMBER($AB438),$AB438*(1+N($AC438)),"")</f>
      </c>
      <c r="AE438" s="50">
        <v>350</v>
      </c>
      <c r="AF438" s="50">
        <v>250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CANON-202604-007175</t>
        </is>
      </c>
      <c r="B439" s="30" t="inlineStr">
        <is>
          <t xml:space="preserve">Desmond Vasquez</t>
        </is>
      </c>
      <c r="C439" s="31">
        <v>46130</v>
      </c>
      <c r="D439" s="32" t="inlineStr">
        <is>
          <t xml:space="preserve">Bound - within authority</t>
        </is>
      </c>
      <c r="E439" s="32" t="inlineStr">
        <is>
          <t xml:space="preserve">New business</t>
        </is>
      </c>
      <c r="F439" s="30" t="inlineStr">
        <is>
          <t xml:space="preserve">B1234EXOTIC26</t>
        </is>
      </c>
      <c r="G439" s="33">
        <f>IF($A439="","",IF($C439="","",YEAR($C439)))</f>
      </c>
      <c r="H439" s="34">
        <v>1983</v>
      </c>
      <c r="I439" s="30" t="inlineStr">
        <is>
          <t xml:space="preserve">Singer</t>
        </is>
      </c>
      <c r="J439" s="30" t="inlineStr">
        <is>
          <t xml:space="preserve">911 Reimagined</t>
        </is>
      </c>
      <c r="K439" s="30" t="inlineStr">
        <is>
          <t xml:space="preserve">183M5MEN87ULUWE7L</t>
        </is>
      </c>
      <c r="L439" s="32" t="inlineStr">
        <is>
          <t xml:space="preserve">11 - Restomod / Coachbuilt / Bespoke</t>
        </is>
      </c>
      <c r="M439" s="35">
        <v>240000</v>
      </c>
      <c r="N439" s="32" t="inlineStr">
        <is>
          <t xml:space="preserve">Personal</t>
        </is>
      </c>
      <c r="O439" s="30" t="inlineStr">
        <is>
          <t xml:space="preserve">Personal - regular use</t>
        </is>
      </c>
      <c r="P439" s="30" t="inlineStr">
        <is>
          <t xml:space="preserve">1,000 - 2,500</t>
        </is>
      </c>
      <c r="Q439" s="30" t="inlineStr">
        <is>
          <t xml:space="preserve">Illinois</t>
        </is>
      </c>
      <c r="R439" s="30" t="inlineStr">
        <is>
          <t xml:space="preserve">60601</t>
        </is>
      </c>
      <c r="S439" s="32" t="inlineStr">
        <is>
          <t xml:space="preserve">Severe convective - hail / tornado (moderate)</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5370.36</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CANON-202604-007176</t>
        </is>
      </c>
      <c r="B440" s="46" t="inlineStr">
        <is>
          <t xml:space="preserve">Ramona Vasquez</t>
        </is>
      </c>
      <c r="C440" s="47">
        <v>46128</v>
      </c>
      <c r="D440" s="48" t="inlineStr">
        <is>
          <t xml:space="preserve">Bound - within authority</t>
        </is>
      </c>
      <c r="E440" s="48" t="inlineStr">
        <is>
          <t xml:space="preserve">New business</t>
        </is>
      </c>
      <c r="F440" s="46" t="inlineStr">
        <is>
          <t xml:space="preserve">B1234EXOTIC26</t>
        </is>
      </c>
      <c r="G440" s="33">
        <f>IF($A440="","",IF($C440="","",YEAR($C440)))</f>
      </c>
      <c r="H440" s="49">
        <v>1988</v>
      </c>
      <c r="I440" s="46" t="inlineStr">
        <is>
          <t xml:space="preserve">Porsche</t>
        </is>
      </c>
      <c r="J440" s="46" t="inlineStr">
        <is>
          <t xml:space="preserve">911 Turbo S</t>
        </is>
      </c>
      <c r="K440" s="46" t="inlineStr">
        <is>
          <t xml:space="preserve">LE53MTHPZYJ64E7EM</t>
        </is>
      </c>
      <c r="L440" s="48" t="inlineStr">
        <is>
          <t xml:space="preserve">02 - Sports / GT</t>
        </is>
      </c>
      <c r="M440" s="50">
        <v>870000</v>
      </c>
      <c r="N440" s="48" t="inlineStr">
        <is>
          <t xml:space="preserve">Personal</t>
        </is>
      </c>
      <c r="O440" s="46" t="inlineStr">
        <is>
          <t xml:space="preserve">Personal - regular use</t>
        </is>
      </c>
      <c r="P440" s="46" t="inlineStr">
        <is>
          <t xml:space="preserve">2,500 - 5,000</t>
        </is>
      </c>
      <c r="Q440" s="46" t="inlineStr">
        <is>
          <t xml:space="preserve">Florida</t>
        </is>
      </c>
      <c r="R440" s="46" t="inlineStr">
        <is>
          <t xml:space="preserve">33139</t>
        </is>
      </c>
      <c r="S440" s="48" t="inlineStr">
        <is>
          <t xml:space="preserve">Tier 2 - Coastal wind (1-25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12583.01</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CANON-202604-007177</t>
        </is>
      </c>
      <c r="B441" s="30" t="inlineStr">
        <is>
          <t xml:space="preserve">Wilhelmina Kingsford</t>
        </is>
      </c>
      <c r="C441" s="31">
        <v>46122</v>
      </c>
      <c r="D441" s="32" t="inlineStr">
        <is>
          <t xml:space="preserve">Bound - within authority</t>
        </is>
      </c>
      <c r="E441" s="32" t="inlineStr">
        <is>
          <t xml:space="preserve">New business</t>
        </is>
      </c>
      <c r="F441" s="30" t="inlineStr">
        <is>
          <t xml:space="preserve">B1234EXOTIC26</t>
        </is>
      </c>
      <c r="G441" s="33">
        <f>IF($A441="","",IF($C441="","",YEAR($C441)))</f>
      </c>
      <c r="H441" s="34">
        <v>1982</v>
      </c>
      <c r="I441" s="30" t="inlineStr">
        <is>
          <t xml:space="preserve">Mercedes-Benz</t>
        </is>
      </c>
      <c r="J441" s="30" t="inlineStr">
        <is>
          <t xml:space="preserve">AMG GT</t>
        </is>
      </c>
      <c r="K441" s="30" t="inlineStr">
        <is>
          <t xml:space="preserve">SDF70ZLG038B7UVKS</t>
        </is>
      </c>
      <c r="L441" s="32" t="inlineStr">
        <is>
          <t xml:space="preserve">02 - Sports / GT</t>
        </is>
      </c>
      <c r="M441" s="35">
        <v>245000</v>
      </c>
      <c r="N441" s="32" t="inlineStr">
        <is>
          <t xml:space="preserve">Personal</t>
        </is>
      </c>
      <c r="O441" s="30" t="inlineStr">
        <is>
          <t xml:space="preserve">Personal - regular use</t>
        </is>
      </c>
      <c r="P441" s="30" t="inlineStr">
        <is>
          <t xml:space="preserve">1,000 - 2,500</t>
        </is>
      </c>
      <c r="Q441" s="30" t="inlineStr">
        <is>
          <t xml:space="preserve">North Carolina</t>
        </is>
      </c>
      <c r="R441" s="30" t="inlineStr">
        <is>
          <t xml:space="preserve">28202</t>
        </is>
      </c>
      <c r="S441" s="32" t="inlineStr">
        <is>
          <t xml:space="preserve">Tier 2 - Coastal wind (1-25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4061.77</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CANON-202604-007178</t>
        </is>
      </c>
      <c r="B442" s="46" t="inlineStr">
        <is>
          <t xml:space="preserve">Cassius Whitlock</t>
        </is>
      </c>
      <c r="C442" s="47">
        <v>46142</v>
      </c>
      <c r="D442" s="48" t="inlineStr">
        <is>
          <t xml:space="preserve">Bound - within authority</t>
        </is>
      </c>
      <c r="E442" s="48" t="inlineStr">
        <is>
          <t xml:space="preserve">New business</t>
        </is>
      </c>
      <c r="F442" s="46" t="inlineStr">
        <is>
          <t xml:space="preserve">B1234EXOTIC26</t>
        </is>
      </c>
      <c r="G442" s="33">
        <f>IF($A442="","",IF($C442="","",YEAR($C442)))</f>
      </c>
      <c r="H442" s="49">
        <v>2007</v>
      </c>
      <c r="I442" s="46" t="inlineStr">
        <is>
          <t xml:space="preserve">Aston Martin</t>
        </is>
      </c>
      <c r="J442" s="46" t="inlineStr">
        <is>
          <t xml:space="preserve">DB5</t>
        </is>
      </c>
      <c r="K442" s="46" t="inlineStr">
        <is>
          <t xml:space="preserve">A0ZR1LV2VVVZBJPHS</t>
        </is>
      </c>
      <c r="L442" s="48" t="inlineStr">
        <is>
          <t xml:space="preserve">09 - Youngtimer / Collectible (2000-2010)</t>
        </is>
      </c>
      <c r="M442" s="50">
        <v>1840000</v>
      </c>
      <c r="N442" s="48" t="inlineStr">
        <is>
          <t xml:space="preserve">Personal</t>
        </is>
      </c>
      <c r="O442" s="46" t="inlineStr">
        <is>
          <t xml:space="preserve">Personal - regular use</t>
        </is>
      </c>
      <c r="P442" s="46" t="inlineStr">
        <is>
          <t xml:space="preserve">Under 1,000</t>
        </is>
      </c>
      <c r="Q442" s="46" t="inlineStr">
        <is>
          <t xml:space="preserve">Florida</t>
        </is>
      </c>
      <c r="R442" s="46" t="inlineStr">
        <is>
          <t xml:space="preserve">33139</t>
        </is>
      </c>
      <c r="S442" s="48" t="inlineStr">
        <is>
          <t xml:space="preserve">Tier 2 - Coastal wind (1-25 miles)</t>
        </is>
      </c>
      <c r="T442" s="36">
        <f>IF($A442="","",IF($S442="","",IFERROR(INDEX('[1]natural catastrophe'!$D$6:$D$17,MATCH($S442,'[1]natural catastrophe'!$B$6:$B$17,0)),"?")))</f>
      </c>
      <c r="U442" s="46" t="inlineStr">
        <is>
          <t xml:space="preserve">2% of agreed value, minimum $10,000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15557.99</v>
      </c>
      <c r="AC442" s="51">
        <v>0</v>
      </c>
      <c r="AD442" s="38">
        <f>IF(ISNUMBER($AB442),$AB442*(1+N($AC442)),"")</f>
      </c>
      <c r="AE442" s="50">
        <v>350</v>
      </c>
      <c r="AF442" s="50">
        <v>250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CANON-202604-007179</t>
        </is>
      </c>
      <c r="B443" s="30" t="inlineStr">
        <is>
          <t xml:space="preserve">Mireille Fairweather</t>
        </is>
      </c>
      <c r="C443" s="31">
        <v>46122</v>
      </c>
      <c r="D443" s="32" t="inlineStr">
        <is>
          <t xml:space="preserve">Bound - within authority</t>
        </is>
      </c>
      <c r="E443" s="32" t="inlineStr">
        <is>
          <t xml:space="preserve">New business</t>
        </is>
      </c>
      <c r="F443" s="30" t="inlineStr">
        <is>
          <t xml:space="preserve">B1234EXOTIC26</t>
        </is>
      </c>
      <c r="G443" s="33">
        <f>IF($A443="","",IF($C443="","",YEAR($C443)))</f>
      </c>
      <c r="H443" s="34">
        <v>2007</v>
      </c>
      <c r="I443" s="30" t="inlineStr">
        <is>
          <t xml:space="preserve">Aston Martin</t>
        </is>
      </c>
      <c r="J443" s="30" t="inlineStr">
        <is>
          <t xml:space="preserve">DB12</t>
        </is>
      </c>
      <c r="K443" s="30" t="inlineStr">
        <is>
          <t xml:space="preserve">Y2CSEZS9J6FMRMSDC</t>
        </is>
      </c>
      <c r="L443" s="32" t="inlineStr">
        <is>
          <t xml:space="preserve">02 - Sports / GT</t>
        </is>
      </c>
      <c r="M443" s="35">
        <v>350000</v>
      </c>
      <c r="N443" s="32" t="inlineStr">
        <is>
          <t xml:space="preserve">Personal</t>
        </is>
      </c>
      <c r="O443" s="30" t="inlineStr">
        <is>
          <t xml:space="preserve">Personal - regular use</t>
        </is>
      </c>
      <c r="P443" s="30" t="inlineStr">
        <is>
          <t xml:space="preserve">1,000 - 2,500</t>
        </is>
      </c>
      <c r="Q443" s="30" t="inlineStr">
        <is>
          <t xml:space="preserve">North Carolina</t>
        </is>
      </c>
      <c r="R443" s="30" t="inlineStr">
        <is>
          <t xml:space="preserve">28202</t>
        </is>
      </c>
      <c r="S443" s="32" t="inlineStr">
        <is>
          <t xml:space="preserve">Tier 2 - Coastal wind (1-25 miles)</t>
        </is>
      </c>
      <c r="T443" s="36">
        <f>IF($A443="","",IF($S443="","",IFERROR(INDEX('[1]natural catastrophe'!$D$6:$D$17,MATCH($S443,'[1]natural catastrophe'!$B$6:$B$17,0)),"?")))</f>
      </c>
      <c r="U443" s="30" t="inlineStr">
        <is>
          <t xml:space="preserve">2% of agreed value, minimum $10,000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4730.32</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CANON-202604-007180</t>
        </is>
      </c>
      <c r="B444" s="46" t="inlineStr">
        <is>
          <t xml:space="preserve">Fenwick Nakashima</t>
        </is>
      </c>
      <c r="C444" s="47">
        <v>46125</v>
      </c>
      <c r="D444" s="48" t="inlineStr">
        <is>
          <t xml:space="preserve">Bound - within authority</t>
        </is>
      </c>
      <c r="E444" s="48" t="inlineStr">
        <is>
          <t xml:space="preserve">New business</t>
        </is>
      </c>
      <c r="F444" s="46" t="inlineStr">
        <is>
          <t xml:space="preserve">B1234EXOTIC26</t>
        </is>
      </c>
      <c r="G444" s="33">
        <f>IF($A444="","",IF($C444="","",YEAR($C444)))</f>
      </c>
      <c r="H444" s="49">
        <v>1961</v>
      </c>
      <c r="I444" s="46" t="inlineStr">
        <is>
          <t xml:space="preserve">Bentley</t>
        </is>
      </c>
      <c r="J444" s="46" t="inlineStr">
        <is>
          <t xml:space="preserve">Continental GT</t>
        </is>
      </c>
      <c r="K444" s="46" t="inlineStr">
        <is>
          <t xml:space="preserve">3Y38X439X10FCGALL</t>
        </is>
      </c>
      <c r="L444" s="48" t="inlineStr">
        <is>
          <t xml:space="preserve">02 - Sports / GT</t>
        </is>
      </c>
      <c r="M444" s="50">
        <v>1235000</v>
      </c>
      <c r="N444" s="48" t="inlineStr">
        <is>
          <t xml:space="preserve">Personal</t>
        </is>
      </c>
      <c r="O444" s="46" t="inlineStr">
        <is>
          <t xml:space="preserve">Personal - regular use</t>
        </is>
      </c>
      <c r="P444" s="46" t="inlineStr">
        <is>
          <t xml:space="preserve">1,000 - 2,500</t>
        </is>
      </c>
      <c r="Q444" s="46" t="inlineStr">
        <is>
          <t xml:space="preserve">Tennessee</t>
        </is>
      </c>
      <c r="R444" s="46" t="inlineStr">
        <is>
          <t xml:space="preserve">37203</t>
        </is>
      </c>
      <c r="S444" s="48" t="inlineStr">
        <is>
          <t xml:space="preserve">Severe convective - hail / tornado (moderate)</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10430.85</v>
      </c>
      <c r="AC444" s="51">
        <v>0</v>
      </c>
      <c r="AD444" s="38">
        <f>IF(ISNUMBER($AB444),$AB444*(1+N($AC444)),"")</f>
      </c>
      <c r="AE444" s="50">
        <v>350</v>
      </c>
      <c r="AF444" s="50">
        <v>250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CANON-202604-007181</t>
        </is>
      </c>
      <c r="B445" s="30" t="inlineStr">
        <is>
          <t xml:space="preserve">Lorenzo Ashcombe</t>
        </is>
      </c>
      <c r="C445" s="31">
        <v>46117</v>
      </c>
      <c r="D445" s="32" t="inlineStr">
        <is>
          <t xml:space="preserve">Bound - within authority</t>
        </is>
      </c>
      <c r="E445" s="32" t="inlineStr">
        <is>
          <t xml:space="preserve">New business</t>
        </is>
      </c>
      <c r="F445" s="30" t="inlineStr">
        <is>
          <t xml:space="preserve">B1234EXOTIC26</t>
        </is>
      </c>
      <c r="G445" s="33">
        <f>IF($A445="","",IF($C445="","",YEAR($C445)))</f>
      </c>
      <c r="H445" s="34">
        <v>1973</v>
      </c>
      <c r="I445" s="30" t="inlineStr">
        <is>
          <t xml:space="preserve">Porsche</t>
        </is>
      </c>
      <c r="J445" s="30" t="inlineStr">
        <is>
          <t xml:space="preserve">911 Turbo S</t>
        </is>
      </c>
      <c r="K445" s="30" t="inlineStr">
        <is>
          <t xml:space="preserve">J5Y7DD9T7APDWF8Z5</t>
        </is>
      </c>
      <c r="L445" s="32" t="inlineStr">
        <is>
          <t xml:space="preserve">02 - Sports / GT</t>
        </is>
      </c>
      <c r="M445" s="35">
        <v>1745000</v>
      </c>
      <c r="N445" s="32" t="inlineStr">
        <is>
          <t xml:space="preserve">Personal</t>
        </is>
      </c>
      <c r="O445" s="30" t="inlineStr">
        <is>
          <t xml:space="preserve">Personal - regular use</t>
        </is>
      </c>
      <c r="P445" s="30" t="inlineStr">
        <is>
          <t xml:space="preserve">Under 1,000</t>
        </is>
      </c>
      <c r="Q445" s="30" t="inlineStr">
        <is>
          <t xml:space="preserve">West Virginia</t>
        </is>
      </c>
      <c r="R445" s="30" t="inlineStr">
        <is>
          <t xml:space="preserve">25301</t>
        </is>
      </c>
      <c r="S445" s="32" t="inlineStr">
        <is>
          <t xml:space="preserve">Low hazard - inland benign</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20002</v>
      </c>
      <c r="AC445" s="37">
        <v>0</v>
      </c>
      <c r="AD445" s="38">
        <f>IF(ISNUMBER($AB445),$AB445*(1+N($AC445)),"")</f>
      </c>
      <c r="AE445" s="35">
        <v>350</v>
      </c>
      <c r="AF445" s="35">
        <v>250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CANON-202604-007182</t>
        </is>
      </c>
      <c r="B446" s="46" t="inlineStr">
        <is>
          <t xml:space="preserve">Marisol Delacroix</t>
        </is>
      </c>
      <c r="C446" s="47">
        <v>46137</v>
      </c>
      <c r="D446" s="48" t="inlineStr">
        <is>
          <t xml:space="preserve">Bound - within authority</t>
        </is>
      </c>
      <c r="E446" s="48" t="inlineStr">
        <is>
          <t xml:space="preserve">New business</t>
        </is>
      </c>
      <c r="F446" s="46" t="inlineStr">
        <is>
          <t xml:space="preserve">B1234EXOTIC26</t>
        </is>
      </c>
      <c r="G446" s="33">
        <f>IF($A446="","",IF($C446="","",YEAR($C446)))</f>
      </c>
      <c r="H446" s="49">
        <v>2005</v>
      </c>
      <c r="I446" s="46" t="inlineStr">
        <is>
          <t xml:space="preserve">Porsche</t>
        </is>
      </c>
      <c r="J446" s="46" t="inlineStr">
        <is>
          <t xml:space="preserve">911 Turbo S</t>
        </is>
      </c>
      <c r="K446" s="46" t="inlineStr">
        <is>
          <t xml:space="preserve">7CEHHTG2XJ4Z2FL5Y</t>
        </is>
      </c>
      <c r="L446" s="48" t="inlineStr">
        <is>
          <t xml:space="preserve">02 - Sports / GT</t>
        </is>
      </c>
      <c r="M446" s="50">
        <v>150000</v>
      </c>
      <c r="N446" s="48" t="inlineStr">
        <is>
          <t xml:space="preserve">Personal</t>
        </is>
      </c>
      <c r="O446" s="46" t="inlineStr">
        <is>
          <t xml:space="preserve">Personal - regular use</t>
        </is>
      </c>
      <c r="P446" s="46" t="inlineStr">
        <is>
          <t xml:space="preserve">Under 1,000</t>
        </is>
      </c>
      <c r="Q446" s="46" t="inlineStr">
        <is>
          <t xml:space="preserve">Florida</t>
        </is>
      </c>
      <c r="R446" s="46" t="inlineStr">
        <is>
          <t xml:space="preserve">33139</t>
        </is>
      </c>
      <c r="S446" s="48" t="inlineStr">
        <is>
          <t xml:space="preserve">Tier 2 - Coastal wind (1-25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3070.66</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CANON-202604-007183</t>
        </is>
      </c>
      <c r="B447" s="30" t="inlineStr">
        <is>
          <t xml:space="preserve">Beatrix Vasquez</t>
        </is>
      </c>
      <c r="C447" s="31">
        <v>46141</v>
      </c>
      <c r="D447" s="32" t="inlineStr">
        <is>
          <t xml:space="preserve">Bound - within authority</t>
        </is>
      </c>
      <c r="E447" s="32" t="inlineStr">
        <is>
          <t xml:space="preserve">New business</t>
        </is>
      </c>
      <c r="F447" s="30" t="inlineStr">
        <is>
          <t xml:space="preserve">B1234EXOTIC26</t>
        </is>
      </c>
      <c r="G447" s="33">
        <f>IF($A447="","",IF($C447="","",YEAR($C447)))</f>
      </c>
      <c r="H447" s="34">
        <v>2008</v>
      </c>
      <c r="I447" s="30" t="inlineStr">
        <is>
          <t xml:space="preserve">Porsche</t>
        </is>
      </c>
      <c r="J447" s="30" t="inlineStr">
        <is>
          <t xml:space="preserve">911 Turbo S</t>
        </is>
      </c>
      <c r="K447" s="30" t="inlineStr">
        <is>
          <t xml:space="preserve">V1U4U7D2PGZ23C1PG</t>
        </is>
      </c>
      <c r="L447" s="32" t="inlineStr">
        <is>
          <t xml:space="preserve">02 - Sports / GT</t>
        </is>
      </c>
      <c r="M447" s="35">
        <v>1015000</v>
      </c>
      <c r="N447" s="32" t="inlineStr">
        <is>
          <t xml:space="preserve">Personal</t>
        </is>
      </c>
      <c r="O447" s="30" t="inlineStr">
        <is>
          <t xml:space="preserve">Personal - regular use</t>
        </is>
      </c>
      <c r="P447" s="30" t="inlineStr">
        <is>
          <t xml:space="preserve">2,500 - 5,000</t>
        </is>
      </c>
      <c r="Q447" s="30" t="inlineStr">
        <is>
          <t xml:space="preserve">Texas</t>
        </is>
      </c>
      <c r="R447" s="30" t="inlineStr">
        <is>
          <t xml:space="preserve">75201</t>
        </is>
      </c>
      <c r="S447" s="32" t="inlineStr">
        <is>
          <t xml:space="preserve">Tier 2 - Coastal wind (1-25 miles)</t>
        </is>
      </c>
      <c r="T447" s="36">
        <f>IF($A447="","",IF($S447="","",IFERROR(INDEX('[1]natural catastrophe'!$D$6:$D$17,MATCH($S447,'[1]natural catastrophe'!$B$6:$B$17,0)),"?")))</f>
      </c>
      <c r="U447" s="30" t="inlineStr">
        <is>
          <t xml:space="preserve">2% of agreed value, minimum $10,000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10059.82</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CANON-202604-007184</t>
        </is>
      </c>
      <c r="B448" s="46" t="inlineStr">
        <is>
          <t xml:space="preserve">Anouk Harrington</t>
        </is>
      </c>
      <c r="C448" s="47">
        <v>46133</v>
      </c>
      <c r="D448" s="48" t="inlineStr">
        <is>
          <t xml:space="preserve">Bound - within authority</t>
        </is>
      </c>
      <c r="E448" s="48" t="inlineStr">
        <is>
          <t xml:space="preserve">New business</t>
        </is>
      </c>
      <c r="F448" s="46" t="inlineStr">
        <is>
          <t xml:space="preserve">B1234EXOTIC26</t>
        </is>
      </c>
      <c r="G448" s="33">
        <f>IF($A448="","",IF($C448="","",YEAR($C448)))</f>
      </c>
      <c r="H448" s="49">
        <v>2007</v>
      </c>
      <c r="I448" s="46" t="inlineStr">
        <is>
          <t xml:space="preserve">Jaguar</t>
        </is>
      </c>
      <c r="J448" s="46" t="inlineStr">
        <is>
          <t xml:space="preserve">E-Type Series 1</t>
        </is>
      </c>
      <c r="K448" s="46" t="inlineStr">
        <is>
          <t xml:space="preserve">75B50GYJLVFYJNE88</t>
        </is>
      </c>
      <c r="L448" s="48" t="inlineStr">
        <is>
          <t xml:space="preserve">09 - Youngtimer / Collectible (2000-2010)</t>
        </is>
      </c>
      <c r="M448" s="50">
        <v>865000</v>
      </c>
      <c r="N448" s="48" t="inlineStr">
        <is>
          <t xml:space="preserve">Personal</t>
        </is>
      </c>
      <c r="O448" s="46" t="inlineStr">
        <is>
          <t xml:space="preserve">Personal - regular use</t>
        </is>
      </c>
      <c r="P448" s="46" t="inlineStr">
        <is>
          <t xml:space="preserve">Under 1,000</t>
        </is>
      </c>
      <c r="Q448" s="46" t="inlineStr">
        <is>
          <t xml:space="preserve">Michigan</t>
        </is>
      </c>
      <c r="R448" s="46" t="inlineStr">
        <is>
          <t xml:space="preserve">48226</t>
        </is>
      </c>
      <c r="S448" s="48" t="inlineStr">
        <is>
          <t xml:space="preserve">Severe convective - hail / tornado (moderate)</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9034</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CANON-202604-007185</t>
        </is>
      </c>
      <c r="B449" s="30" t="inlineStr">
        <is>
          <t xml:space="preserve">Saoirse Blackwood</t>
        </is>
      </c>
      <c r="C449" s="31">
        <v>46137</v>
      </c>
      <c r="D449" s="32" t="inlineStr">
        <is>
          <t xml:space="preserve">Bound - within authority</t>
        </is>
      </c>
      <c r="E449" s="32" t="inlineStr">
        <is>
          <t xml:space="preserve">New business</t>
        </is>
      </c>
      <c r="F449" s="30" t="inlineStr">
        <is>
          <t xml:space="preserve">B1234EXOTIC26</t>
        </is>
      </c>
      <c r="G449" s="33">
        <f>IF($A449="","",IF($C449="","",YEAR($C449)))</f>
      </c>
      <c r="H449" s="34">
        <v>2022</v>
      </c>
      <c r="I449" s="30" t="inlineStr">
        <is>
          <t xml:space="preserve">Mercedes-Benz</t>
        </is>
      </c>
      <c r="J449" s="30" t="inlineStr">
        <is>
          <t xml:space="preserve">AMG GT</t>
        </is>
      </c>
      <c r="K449" s="30" t="inlineStr">
        <is>
          <t xml:space="preserve">WCE0BXVCJKVMTMVKA</t>
        </is>
      </c>
      <c r="L449" s="32" t="inlineStr">
        <is>
          <t xml:space="preserve">02 - Sports / GT</t>
        </is>
      </c>
      <c r="M449" s="35">
        <v>515000</v>
      </c>
      <c r="N449" s="32" t="inlineStr">
        <is>
          <t xml:space="preserve">Personal</t>
        </is>
      </c>
      <c r="O449" s="30" t="inlineStr">
        <is>
          <t xml:space="preserve">Personal - regular use</t>
        </is>
      </c>
      <c r="P449" s="30" t="inlineStr">
        <is>
          <t xml:space="preserve">Under 1,000</t>
        </is>
      </c>
      <c r="Q449" s="30" t="inlineStr">
        <is>
          <t xml:space="preserve">Utah</t>
        </is>
      </c>
      <c r="R449" s="30" t="inlineStr">
        <is>
          <t xml:space="preserve">84101</t>
        </is>
      </c>
      <c r="S449" s="32" t="inlineStr">
        <is>
          <t xml:space="preserve">Wildfire - WUI high hazard</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7081.38</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CANON-202604-007186</t>
        </is>
      </c>
      <c r="B450" s="46" t="inlineStr">
        <is>
          <t xml:space="preserve">Aurelio Whitlock</t>
        </is>
      </c>
      <c r="C450" s="47">
        <v>46133</v>
      </c>
      <c r="D450" s="48" t="inlineStr">
        <is>
          <t xml:space="preserve">Bound - within authority</t>
        </is>
      </c>
      <c r="E450" s="48" t="inlineStr">
        <is>
          <t xml:space="preserve">New business</t>
        </is>
      </c>
      <c r="F450" s="46" t="inlineStr">
        <is>
          <t xml:space="preserve">B1234EXOTIC26</t>
        </is>
      </c>
      <c r="G450" s="33">
        <f>IF($A450="","",IF($C450="","",YEAR($C450)))</f>
      </c>
      <c r="H450" s="49">
        <v>2016</v>
      </c>
      <c r="I450" s="46" t="inlineStr">
        <is>
          <t xml:space="preserve">Mercedes-Benz</t>
        </is>
      </c>
      <c r="J450" s="46" t="inlineStr">
        <is>
          <t xml:space="preserve">280SL Pagoda</t>
        </is>
      </c>
      <c r="K450" s="46" t="inlineStr">
        <is>
          <t xml:space="preserve">AF9MUHE2ZTAT6P8A2</t>
        </is>
      </c>
      <c r="L450" s="48" t="inlineStr">
        <is>
          <t xml:space="preserve">02 - Sports / GT</t>
        </is>
      </c>
      <c r="M450" s="50">
        <v>505000</v>
      </c>
      <c r="N450" s="48" t="inlineStr">
        <is>
          <t xml:space="preserve">Personal</t>
        </is>
      </c>
      <c r="O450" s="46" t="inlineStr">
        <is>
          <t xml:space="preserve">Personal - regular use</t>
        </is>
      </c>
      <c r="P450" s="46" t="inlineStr">
        <is>
          <t xml:space="preserve">2,500 - 5,000</t>
        </is>
      </c>
      <c r="Q450" s="46" t="inlineStr">
        <is>
          <t xml:space="preserve">Ohio</t>
        </is>
      </c>
      <c r="R450" s="46" t="inlineStr">
        <is>
          <t xml:space="preserve">43215</t>
        </is>
      </c>
      <c r="S450" s="48" t="inlineStr">
        <is>
          <t xml:space="preserve">Severe convective - hail / tornado (moderate)</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4729.76</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CANON-202604-007187</t>
        </is>
      </c>
      <c r="B451" s="30" t="inlineStr">
        <is>
          <t xml:space="preserve">Fitzgerald Ashcombe</t>
        </is>
      </c>
      <c r="C451" s="31">
        <v>46142</v>
      </c>
      <c r="D451" s="32" t="inlineStr">
        <is>
          <t xml:space="preserve">Bound - within authority</t>
        </is>
      </c>
      <c r="E451" s="32" t="inlineStr">
        <is>
          <t xml:space="preserve">New business</t>
        </is>
      </c>
      <c r="F451" s="30" t="inlineStr">
        <is>
          <t xml:space="preserve">B1234EXOTIC26</t>
        </is>
      </c>
      <c r="G451" s="33">
        <f>IF($A451="","",IF($C451="","",YEAR($C451)))</f>
      </c>
      <c r="H451" s="34">
        <v>1995</v>
      </c>
      <c r="I451" s="30" t="inlineStr">
        <is>
          <t xml:space="preserve">Ferrari</t>
        </is>
      </c>
      <c r="J451" s="30" t="inlineStr">
        <is>
          <t xml:space="preserve">275 GTB/4</t>
        </is>
      </c>
      <c r="K451" s="30" t="inlineStr">
        <is>
          <t xml:space="preserve">YG1FV2BHNL58GYCZE</t>
        </is>
      </c>
      <c r="L451" s="32" t="inlineStr">
        <is>
          <t xml:space="preserve">08 - Modern Classic (1973-1999)</t>
        </is>
      </c>
      <c r="M451" s="35">
        <v>675000</v>
      </c>
      <c r="N451" s="32" t="inlineStr">
        <is>
          <t xml:space="preserve">Personal</t>
        </is>
      </c>
      <c r="O451" s="30" t="inlineStr">
        <is>
          <t xml:space="preserve">Personal - regular use</t>
        </is>
      </c>
      <c r="P451" s="30" t="inlineStr">
        <is>
          <t xml:space="preserve">1,000 - 2,500</t>
        </is>
      </c>
      <c r="Q451" s="30" t="inlineStr">
        <is>
          <t xml:space="preserve">Texas</t>
        </is>
      </c>
      <c r="R451" s="30" t="inlineStr">
        <is>
          <t xml:space="preserve">75201</t>
        </is>
      </c>
      <c r="S451" s="32" t="inlineStr">
        <is>
          <t xml:space="preserve">Tier 2 - Coastal wind (1-25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5230.39</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CANON-202604-007188</t>
        </is>
      </c>
      <c r="B452" s="46" t="inlineStr">
        <is>
          <t xml:space="preserve">Desmond Merriweather</t>
        </is>
      </c>
      <c r="C452" s="47">
        <v>46118</v>
      </c>
      <c r="D452" s="48" t="inlineStr">
        <is>
          <t xml:space="preserve">Bound - within authority</t>
        </is>
      </c>
      <c r="E452" s="48" t="inlineStr">
        <is>
          <t xml:space="preserve">New business</t>
        </is>
      </c>
      <c r="F452" s="46" t="inlineStr">
        <is>
          <t xml:space="preserve">B1234EXOTIC26</t>
        </is>
      </c>
      <c r="G452" s="33">
        <f>IF($A452="","",IF($C452="","",YEAR($C452)))</f>
      </c>
      <c r="H452" s="49">
        <v>1956</v>
      </c>
      <c r="I452" s="46" t="inlineStr">
        <is>
          <t xml:space="preserve">Bentley</t>
        </is>
      </c>
      <c r="J452" s="46" t="inlineStr">
        <is>
          <t xml:space="preserve">Continental GT</t>
        </is>
      </c>
      <c r="K452" s="46" t="inlineStr">
        <is>
          <t xml:space="preserve">HS3GHGGEHCNYRV70N</t>
        </is>
      </c>
      <c r="L452" s="48" t="inlineStr">
        <is>
          <t xml:space="preserve">02 - Sports / GT</t>
        </is>
      </c>
      <c r="M452" s="50">
        <v>530000</v>
      </c>
      <c r="N452" s="48" t="inlineStr">
        <is>
          <t xml:space="preserve">Personal</t>
        </is>
      </c>
      <c r="O452" s="46" t="inlineStr">
        <is>
          <t xml:space="preserve">Personal - regular use</t>
        </is>
      </c>
      <c r="P452" s="46" t="inlineStr">
        <is>
          <t xml:space="preserve">Under 1,000</t>
        </is>
      </c>
      <c r="Q452" s="46" t="inlineStr">
        <is>
          <t xml:space="preserve">North Dakota</t>
        </is>
      </c>
      <c r="R452" s="46" t="inlineStr">
        <is>
          <t xml:space="preserve">58501</t>
        </is>
      </c>
      <c r="S452" s="48" t="inlineStr">
        <is>
          <t xml:space="preserve">Severe convective - hail alley (high)</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5506.22</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CANON-202604-007190</t>
        </is>
      </c>
      <c r="B453" s="30" t="inlineStr">
        <is>
          <t xml:space="preserve">Lorenzo Vandermeer</t>
        </is>
      </c>
      <c r="C453" s="31">
        <v>46119</v>
      </c>
      <c r="D453" s="32" t="inlineStr">
        <is>
          <t xml:space="preserve">Bound - within authority</t>
        </is>
      </c>
      <c r="E453" s="32" t="inlineStr">
        <is>
          <t xml:space="preserve">New business</t>
        </is>
      </c>
      <c r="F453" s="30" t="inlineStr">
        <is>
          <t xml:space="preserve">B1234EXOTIC26</t>
        </is>
      </c>
      <c r="G453" s="33">
        <f>IF($A453="","",IF($C453="","",YEAR($C453)))</f>
      </c>
      <c r="H453" s="34">
        <v>1964</v>
      </c>
      <c r="I453" s="30" t="inlineStr">
        <is>
          <t xml:space="preserve">Aston Martin</t>
        </is>
      </c>
      <c r="J453" s="30" t="inlineStr">
        <is>
          <t xml:space="preserve">DB12</t>
        </is>
      </c>
      <c r="K453" s="30" t="inlineStr">
        <is>
          <t xml:space="preserve">7R43KG7BFUBTMP5E6</t>
        </is>
      </c>
      <c r="L453" s="32" t="inlineStr">
        <is>
          <t xml:space="preserve">02 - Sports / GT</t>
        </is>
      </c>
      <c r="M453" s="35">
        <v>825000</v>
      </c>
      <c r="N453" s="32" t="inlineStr">
        <is>
          <t xml:space="preserve">Personal</t>
        </is>
      </c>
      <c r="O453" s="30" t="inlineStr">
        <is>
          <t xml:space="preserve">Personal - regular use</t>
        </is>
      </c>
      <c r="P453" s="30" t="inlineStr">
        <is>
          <t xml:space="preserve">1,000 - 2,500</t>
        </is>
      </c>
      <c r="Q453" s="30" t="inlineStr">
        <is>
          <t xml:space="preserve">Texas</t>
        </is>
      </c>
      <c r="R453" s="30" t="inlineStr">
        <is>
          <t xml:space="preserve">75201</t>
        </is>
      </c>
      <c r="S453" s="32" t="inlineStr">
        <is>
          <t xml:space="preserve">Tier 2 - Coastal wind (1-25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9663.37</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CANON-202604-007192</t>
        </is>
      </c>
      <c r="B454" s="46" t="inlineStr">
        <is>
          <t xml:space="preserve">Everett Chattopadhyay</t>
        </is>
      </c>
      <c r="C454" s="47">
        <v>46135</v>
      </c>
      <c r="D454" s="48" t="inlineStr">
        <is>
          <t xml:space="preserve">Bound - within authority</t>
        </is>
      </c>
      <c r="E454" s="48" t="inlineStr">
        <is>
          <t xml:space="preserve">New business</t>
        </is>
      </c>
      <c r="F454" s="46" t="inlineStr">
        <is>
          <t xml:space="preserve">B1234EXOTIC26</t>
        </is>
      </c>
      <c r="G454" s="33">
        <f>IF($A454="","",IF($C454="","",YEAR($C454)))</f>
      </c>
      <c r="H454" s="49">
        <v>1992</v>
      </c>
      <c r="I454" s="46" t="inlineStr">
        <is>
          <t xml:space="preserve">Maserati</t>
        </is>
      </c>
      <c r="J454" s="46" t="inlineStr">
        <is>
          <t xml:space="preserve">GranTurismo</t>
        </is>
      </c>
      <c r="K454" s="46" t="inlineStr">
        <is>
          <t xml:space="preserve">X0T4C943DWYVCZ72C</t>
        </is>
      </c>
      <c r="L454" s="48" t="inlineStr">
        <is>
          <t xml:space="preserve">02 - Sports / GT</t>
        </is>
      </c>
      <c r="M454" s="50">
        <v>955000</v>
      </c>
      <c r="N454" s="48" t="inlineStr">
        <is>
          <t xml:space="preserve">Personal</t>
        </is>
      </c>
      <c r="O454" s="46" t="inlineStr">
        <is>
          <t xml:space="preserve">Personal - regular use</t>
        </is>
      </c>
      <c r="P454" s="46" t="inlineStr">
        <is>
          <t xml:space="preserve">2,500 - 5,000</t>
        </is>
      </c>
      <c r="Q454" s="46" t="inlineStr">
        <is>
          <t xml:space="preserve">Arkansas</t>
        </is>
      </c>
      <c r="R454" s="46" t="inlineStr">
        <is>
          <t xml:space="preserve">72201</t>
        </is>
      </c>
      <c r="S454" s="48" t="inlineStr">
        <is>
          <t xml:space="preserve">Severe convective - hail / tornado (moderate)</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13423.31</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CANON-202604-007193</t>
        </is>
      </c>
      <c r="B455" s="30" t="inlineStr">
        <is>
          <t xml:space="preserve">Aurelio Castellanos</t>
        </is>
      </c>
      <c r="C455" s="31">
        <v>46133</v>
      </c>
      <c r="D455" s="32" t="inlineStr">
        <is>
          <t xml:space="preserve">Bound - within authority</t>
        </is>
      </c>
      <c r="E455" s="32" t="inlineStr">
        <is>
          <t xml:space="preserve">New business</t>
        </is>
      </c>
      <c r="F455" s="30" t="inlineStr">
        <is>
          <t xml:space="preserve">B1234EXOTIC26</t>
        </is>
      </c>
      <c r="G455" s="33">
        <f>IF($A455="","",IF($C455="","",YEAR($C455)))</f>
      </c>
      <c r="H455" s="34">
        <v>1989</v>
      </c>
      <c r="I455" s="30" t="inlineStr">
        <is>
          <t xml:space="preserve">Porsche</t>
        </is>
      </c>
      <c r="J455" s="30" t="inlineStr">
        <is>
          <t xml:space="preserve">911 Turbo S</t>
        </is>
      </c>
      <c r="K455" s="30" t="inlineStr">
        <is>
          <t xml:space="preserve">E6F71UHLRXGA8CX8Y</t>
        </is>
      </c>
      <c r="L455" s="32" t="inlineStr">
        <is>
          <t xml:space="preserve">02 - Sports / GT</t>
        </is>
      </c>
      <c r="M455" s="35">
        <v>1120000</v>
      </c>
      <c r="N455" s="32" t="inlineStr">
        <is>
          <t xml:space="preserve">Personal</t>
        </is>
      </c>
      <c r="O455" s="30" t="inlineStr">
        <is>
          <t xml:space="preserve">Personal - regular use</t>
        </is>
      </c>
      <c r="P455" s="30" t="inlineStr">
        <is>
          <t xml:space="preserve">Under 1,000</t>
        </is>
      </c>
      <c r="Q455" s="30" t="inlineStr">
        <is>
          <t xml:space="preserve">California</t>
        </is>
      </c>
      <c r="R455" s="30" t="inlineStr">
        <is>
          <t xml:space="preserve">90012</t>
        </is>
      </c>
      <c r="S455" s="32" t="inlineStr">
        <is>
          <t xml:space="preserve">Earthquake - high (CA, Cascadia, New Madrid)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13031.02</v>
      </c>
      <c r="AC455" s="37">
        <v>0</v>
      </c>
      <c r="AD455" s="38">
        <f>IF(ISNUMBER($AB455),$AB455*(1+N($AC455)),"")</f>
      </c>
      <c r="AE455" s="35">
        <v>350</v>
      </c>
      <c r="AF455" s="35">
        <v>250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CANON-202604-007195</t>
        </is>
      </c>
      <c r="B456" s="46" t="inlineStr">
        <is>
          <t xml:space="preserve">Fenwick Harrington</t>
        </is>
      </c>
      <c r="C456" s="47">
        <v>46114</v>
      </c>
      <c r="D456" s="48" t="inlineStr">
        <is>
          <t xml:space="preserve">Bound - within authority</t>
        </is>
      </c>
      <c r="E456" s="48" t="inlineStr">
        <is>
          <t xml:space="preserve">New business</t>
        </is>
      </c>
      <c r="F456" s="46" t="inlineStr">
        <is>
          <t xml:space="preserve">B1234EXOTIC26</t>
        </is>
      </c>
      <c r="G456" s="33">
        <f>IF($A456="","",IF($C456="","",YEAR($C456)))</f>
      </c>
      <c r="H456" s="49">
        <v>2018</v>
      </c>
      <c r="I456" s="46" t="inlineStr">
        <is>
          <t xml:space="preserve">BMW</t>
        </is>
      </c>
      <c r="J456" s="46" t="inlineStr">
        <is>
          <t xml:space="preserve">M8 Competition</t>
        </is>
      </c>
      <c r="K456" s="46" t="inlineStr">
        <is>
          <t xml:space="preserve">JH1KNRARG95R76AL8</t>
        </is>
      </c>
      <c r="L456" s="48" t="inlineStr">
        <is>
          <t xml:space="preserve">02 - Sports / GT</t>
        </is>
      </c>
      <c r="M456" s="50">
        <v>490000</v>
      </c>
      <c r="N456" s="48" t="inlineStr">
        <is>
          <t xml:space="preserve">Personal</t>
        </is>
      </c>
      <c r="O456" s="46" t="inlineStr">
        <is>
          <t xml:space="preserve">Personal - regular use</t>
        </is>
      </c>
      <c r="P456" s="46" t="inlineStr">
        <is>
          <t xml:space="preserve">1,000 - 2,500</t>
        </is>
      </c>
      <c r="Q456" s="46" t="inlineStr">
        <is>
          <t xml:space="preserve">Rhode Island</t>
        </is>
      </c>
      <c r="R456" s="46" t="inlineStr">
        <is>
          <t xml:space="preserve">02903</t>
        </is>
      </c>
      <c r="S456" s="48" t="inlineStr">
        <is>
          <t xml:space="preserve">Tier 3 - Coastal wind (25-100 miles)</t>
        </is>
      </c>
      <c r="T456" s="36">
        <f>IF($A456="","",IF($S456="","",IFERROR(INDEX('[1]natural catastrophe'!$D$6:$D$17,MATCH($S456,'[1]natural catastrophe'!$B$6:$B$17,0)),"?")))</f>
      </c>
      <c r="U456" s="46" t="inlineStr">
        <is>
          <t xml:space="preserve">2% of agreed value, minimum $10,000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7889.36</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CANON-202604-007196</t>
        </is>
      </c>
      <c r="B457" s="30" t="inlineStr">
        <is>
          <t xml:space="preserve">Fitzgerald Underwood</t>
        </is>
      </c>
      <c r="C457" s="31">
        <v>46135</v>
      </c>
      <c r="D457" s="32" t="inlineStr">
        <is>
          <t xml:space="preserve">Bound - within authority</t>
        </is>
      </c>
      <c r="E457" s="32" t="inlineStr">
        <is>
          <t xml:space="preserve">New business</t>
        </is>
      </c>
      <c r="F457" s="30" t="inlineStr">
        <is>
          <t xml:space="preserve">B1234EXOTIC26</t>
        </is>
      </c>
      <c r="G457" s="33">
        <f>IF($A457="","",IF($C457="","",YEAR($C457)))</f>
      </c>
      <c r="H457" s="34">
        <v>2012</v>
      </c>
      <c r="I457" s="30" t="inlineStr">
        <is>
          <t xml:space="preserve">Mercedes-Benz</t>
        </is>
      </c>
      <c r="J457" s="30" t="inlineStr">
        <is>
          <t xml:space="preserve">AMG GT</t>
        </is>
      </c>
      <c r="K457" s="30" t="inlineStr">
        <is>
          <t xml:space="preserve">RDX0XW34ATKL2NXHC</t>
        </is>
      </c>
      <c r="L457" s="32" t="inlineStr">
        <is>
          <t xml:space="preserve">02 - Sports / GT</t>
        </is>
      </c>
      <c r="M457" s="35">
        <v>180000</v>
      </c>
      <c r="N457" s="32" t="inlineStr">
        <is>
          <t xml:space="preserve">Personal</t>
        </is>
      </c>
      <c r="O457" s="30" t="inlineStr">
        <is>
          <t xml:space="preserve">Personal - regular use</t>
        </is>
      </c>
      <c r="P457" s="30" t="inlineStr">
        <is>
          <t xml:space="preserve">Under 1,000</t>
        </is>
      </c>
      <c r="Q457" s="30" t="inlineStr">
        <is>
          <t xml:space="preserve">Maine</t>
        </is>
      </c>
      <c r="R457" s="30" t="inlineStr">
        <is>
          <t xml:space="preserve">04101</t>
        </is>
      </c>
      <c r="S457" s="32" t="inlineStr">
        <is>
          <t xml:space="preserve">Tier 3 - Coastal wind (25-100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2802.51</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CANON-202604-007197</t>
        </is>
      </c>
      <c r="B458" s="46" t="inlineStr">
        <is>
          <t xml:space="preserve">Cassius Whitlock</t>
        </is>
      </c>
      <c r="C458" s="47">
        <v>46116</v>
      </c>
      <c r="D458" s="48" t="inlineStr">
        <is>
          <t xml:space="preserve">Bound - within authority</t>
        </is>
      </c>
      <c r="E458" s="48" t="inlineStr">
        <is>
          <t xml:space="preserve">New business</t>
        </is>
      </c>
      <c r="F458" s="46" t="inlineStr">
        <is>
          <t xml:space="preserve">B1234EXOTIC26</t>
        </is>
      </c>
      <c r="G458" s="33">
        <f>IF($A458="","",IF($C458="","",YEAR($C458)))</f>
      </c>
      <c r="H458" s="49">
        <v>1968</v>
      </c>
      <c r="I458" s="46" t="inlineStr">
        <is>
          <t xml:space="preserve">Bentley</t>
        </is>
      </c>
      <c r="J458" s="46" t="inlineStr">
        <is>
          <t xml:space="preserve">Continental GT</t>
        </is>
      </c>
      <c r="K458" s="46" t="inlineStr">
        <is>
          <t xml:space="preserve">VUSL5LE9SM5KWMST1</t>
        </is>
      </c>
      <c r="L458" s="48" t="inlineStr">
        <is>
          <t xml:space="preserve">02 - Sports / GT</t>
        </is>
      </c>
      <c r="M458" s="50">
        <v>285000</v>
      </c>
      <c r="N458" s="48" t="inlineStr">
        <is>
          <t xml:space="preserve">Personal</t>
        </is>
      </c>
      <c r="O458" s="46" t="inlineStr">
        <is>
          <t xml:space="preserve">Personal - regular use</t>
        </is>
      </c>
      <c r="P458" s="46" t="inlineStr">
        <is>
          <t xml:space="preserve">1,000 - 2,500</t>
        </is>
      </c>
      <c r="Q458" s="46" t="inlineStr">
        <is>
          <t xml:space="preserve">Idaho</t>
        </is>
      </c>
      <c r="R458" s="46" t="inlineStr">
        <is>
          <t xml:space="preserve">83702</t>
        </is>
      </c>
      <c r="S458" s="48" t="inlineStr">
        <is>
          <t xml:space="preserve">Wildfire - WUI high hazard</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3315.93</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CANON-202604-007198</t>
        </is>
      </c>
      <c r="B459" s="30" t="inlineStr">
        <is>
          <t xml:space="preserve">Saoirse Bellandi</t>
        </is>
      </c>
      <c r="C459" s="31">
        <v>46121</v>
      </c>
      <c r="D459" s="32" t="inlineStr">
        <is>
          <t xml:space="preserve">Bound - within authority</t>
        </is>
      </c>
      <c r="E459" s="32" t="inlineStr">
        <is>
          <t xml:space="preserve">New business</t>
        </is>
      </c>
      <c r="F459" s="30" t="inlineStr">
        <is>
          <t xml:space="preserve">B1234EXOTIC26</t>
        </is>
      </c>
      <c r="G459" s="33">
        <f>IF($A459="","",IF($C459="","",YEAR($C459)))</f>
      </c>
      <c r="H459" s="34">
        <v>1999</v>
      </c>
      <c r="I459" s="30" t="inlineStr">
        <is>
          <t xml:space="preserve">Porsche</t>
        </is>
      </c>
      <c r="J459" s="30" t="inlineStr">
        <is>
          <t xml:space="preserve">911 Turbo S</t>
        </is>
      </c>
      <c r="K459" s="30" t="inlineStr">
        <is>
          <t xml:space="preserve">0A7YHJ5TJEM5SW2H1</t>
        </is>
      </c>
      <c r="L459" s="32" t="inlineStr">
        <is>
          <t xml:space="preserve">02 - Sports / GT</t>
        </is>
      </c>
      <c r="M459" s="35">
        <v>125000</v>
      </c>
      <c r="N459" s="32" t="inlineStr">
        <is>
          <t xml:space="preserve">Personal</t>
        </is>
      </c>
      <c r="O459" s="30" t="inlineStr">
        <is>
          <t xml:space="preserve">Personal - regular use</t>
        </is>
      </c>
      <c r="P459" s="30" t="inlineStr">
        <is>
          <t xml:space="preserve">Under 1,000</t>
        </is>
      </c>
      <c r="Q459" s="30" t="inlineStr">
        <is>
          <t xml:space="preserve">Texas</t>
        </is>
      </c>
      <c r="R459" s="30" t="inlineStr">
        <is>
          <t xml:space="preserve">75201</t>
        </is>
      </c>
      <c r="S459" s="32" t="inlineStr">
        <is>
          <t xml:space="preserve">Tier 2 - Coastal wind (1-25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2072.33</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CANON-202604-007199</t>
        </is>
      </c>
      <c r="B460" s="46" t="inlineStr">
        <is>
          <t xml:space="preserve">Cassius Montoya</t>
        </is>
      </c>
      <c r="C460" s="47">
        <v>46119</v>
      </c>
      <c r="D460" s="48" t="inlineStr">
        <is>
          <t xml:space="preserve">Bound - within authority</t>
        </is>
      </c>
      <c r="E460" s="48" t="inlineStr">
        <is>
          <t xml:space="preserve">New business</t>
        </is>
      </c>
      <c r="F460" s="46" t="inlineStr">
        <is>
          <t xml:space="preserve">B1234EXOTIC26</t>
        </is>
      </c>
      <c r="G460" s="33">
        <f>IF($A460="","",IF($C460="","",YEAR($C460)))</f>
      </c>
      <c r="H460" s="49">
        <v>1972</v>
      </c>
      <c r="I460" s="46" t="inlineStr">
        <is>
          <t xml:space="preserve">BMW</t>
        </is>
      </c>
      <c r="J460" s="46" t="inlineStr">
        <is>
          <t xml:space="preserve">M8 Competition</t>
        </is>
      </c>
      <c r="K460" s="46" t="inlineStr">
        <is>
          <t xml:space="preserve">RJ4WKMAJFZR5R9VBF</t>
        </is>
      </c>
      <c r="L460" s="48" t="inlineStr">
        <is>
          <t xml:space="preserve">02 - Sports / GT</t>
        </is>
      </c>
      <c r="M460" s="50">
        <v>585000</v>
      </c>
      <c r="N460" s="48" t="inlineStr">
        <is>
          <t xml:space="preserve">Personal</t>
        </is>
      </c>
      <c r="O460" s="46" t="inlineStr">
        <is>
          <t xml:space="preserve">Personal - regular use</t>
        </is>
      </c>
      <c r="P460" s="46" t="inlineStr">
        <is>
          <t xml:space="preserve">2,500 - 5,000</t>
        </is>
      </c>
      <c r="Q460" s="46" t="inlineStr">
        <is>
          <t xml:space="preserve">Kentucky</t>
        </is>
      </c>
      <c r="R460" s="46" t="inlineStr">
        <is>
          <t xml:space="preserve">40202</t>
        </is>
      </c>
      <c r="S460" s="48" t="inlineStr">
        <is>
          <t xml:space="preserve">Severe convective - hail / tornado (moderate)</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7984.32</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CANON-202604-007200</t>
        </is>
      </c>
      <c r="B461" s="30" t="inlineStr">
        <is>
          <t xml:space="preserve">Mireille Kingsford</t>
        </is>
      </c>
      <c r="C461" s="31">
        <v>46128</v>
      </c>
      <c r="D461" s="32" t="inlineStr">
        <is>
          <t xml:space="preserve">Bound - within authority</t>
        </is>
      </c>
      <c r="E461" s="32" t="inlineStr">
        <is>
          <t xml:space="preserve">New business</t>
        </is>
      </c>
      <c r="F461" s="30" t="inlineStr">
        <is>
          <t xml:space="preserve">B1234EXOTIC26</t>
        </is>
      </c>
      <c r="G461" s="33">
        <f>IF($A461="","",IF($C461="","",YEAR($C461)))</f>
      </c>
      <c r="H461" s="34">
        <v>2006</v>
      </c>
      <c r="I461" s="30" t="inlineStr">
        <is>
          <t xml:space="preserve">Lamborghini</t>
        </is>
      </c>
      <c r="J461" s="30" t="inlineStr">
        <is>
          <t xml:space="preserve">Huracan EVO</t>
        </is>
      </c>
      <c r="K461" s="30" t="inlineStr">
        <is>
          <t xml:space="preserve">9GAZVY2P0UET2MDPT</t>
        </is>
      </c>
      <c r="L461" s="32" t="inlineStr">
        <is>
          <t xml:space="preserve">03 - Supercar</t>
        </is>
      </c>
      <c r="M461" s="35">
        <v>1620000</v>
      </c>
      <c r="N461" s="32" t="inlineStr">
        <is>
          <t xml:space="preserve">Personal</t>
        </is>
      </c>
      <c r="O461" s="30" t="inlineStr">
        <is>
          <t xml:space="preserve">Personal - regular use</t>
        </is>
      </c>
      <c r="P461" s="30" t="inlineStr">
        <is>
          <t xml:space="preserve">2,500 - 5,000</t>
        </is>
      </c>
      <c r="Q461" s="30" t="inlineStr">
        <is>
          <t xml:space="preserve">Minnesota</t>
        </is>
      </c>
      <c r="R461" s="30" t="inlineStr">
        <is>
          <t xml:space="preserve">55401</t>
        </is>
      </c>
      <c r="S461" s="32" t="inlineStr">
        <is>
          <t xml:space="preserve">Severe convective - hail / tornado (moderate)</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26806.66</v>
      </c>
      <c r="AC461" s="37">
        <v>0</v>
      </c>
      <c r="AD461" s="38">
        <f>IF(ISNUMBER($AB461),$AB461*(1+N($AC461)),"")</f>
      </c>
      <c r="AE461" s="35">
        <v>350</v>
      </c>
      <c r="AF461" s="35">
        <v>250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CANON-202604-007203</t>
        </is>
      </c>
      <c r="B462" s="46" t="inlineStr">
        <is>
          <t xml:space="preserve">Marisol Blackwood</t>
        </is>
      </c>
      <c r="C462" s="47">
        <v>46116</v>
      </c>
      <c r="D462" s="48" t="inlineStr">
        <is>
          <t xml:space="preserve">Bound - within authority</t>
        </is>
      </c>
      <c r="E462" s="48" t="inlineStr">
        <is>
          <t xml:space="preserve">New business</t>
        </is>
      </c>
      <c r="F462" s="46" t="inlineStr">
        <is>
          <t xml:space="preserve">B1234EXOTIC26</t>
        </is>
      </c>
      <c r="G462" s="33">
        <f>IF($A462="","",IF($C462="","",YEAR($C462)))</f>
      </c>
      <c r="H462" s="49">
        <v>2014</v>
      </c>
      <c r="I462" s="46" t="inlineStr">
        <is>
          <t xml:space="preserve">Ferrari</t>
        </is>
      </c>
      <c r="J462" s="46" t="inlineStr">
        <is>
          <t xml:space="preserve">296 GTB</t>
        </is>
      </c>
      <c r="K462" s="46" t="inlineStr">
        <is>
          <t xml:space="preserve">VWPST72ND8UV3V7LN</t>
        </is>
      </c>
      <c r="L462" s="48" t="inlineStr">
        <is>
          <t xml:space="preserve">03 - Supercar</t>
        </is>
      </c>
      <c r="M462" s="50">
        <v>485000</v>
      </c>
      <c r="N462" s="48" t="inlineStr">
        <is>
          <t xml:space="preserve">Personal</t>
        </is>
      </c>
      <c r="O462" s="46" t="inlineStr">
        <is>
          <t xml:space="preserve">Personal - regular use</t>
        </is>
      </c>
      <c r="P462" s="46" t="inlineStr">
        <is>
          <t xml:space="preserve">Under 1,000</t>
        </is>
      </c>
      <c r="Q462" s="46" t="inlineStr">
        <is>
          <t xml:space="preserve">South Dakota</t>
        </is>
      </c>
      <c r="R462" s="46" t="inlineStr">
        <is>
          <t xml:space="preserve">57501</t>
        </is>
      </c>
      <c r="S462" s="48" t="inlineStr">
        <is>
          <t xml:space="preserve">Severe convective - hail alley (high)</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9701.22</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CANON-202604-007206</t>
        </is>
      </c>
      <c r="B463" s="30" t="inlineStr">
        <is>
          <t xml:space="preserve">Wilhelmina Nakashima</t>
        </is>
      </c>
      <c r="C463" s="31">
        <v>46140</v>
      </c>
      <c r="D463" s="32" t="inlineStr">
        <is>
          <t xml:space="preserve">Bound - within authority</t>
        </is>
      </c>
      <c r="E463" s="32" t="inlineStr">
        <is>
          <t xml:space="preserve">New business</t>
        </is>
      </c>
      <c r="F463" s="30" t="inlineStr">
        <is>
          <t xml:space="preserve">B1234EXOTIC26</t>
        </is>
      </c>
      <c r="G463" s="33">
        <f>IF($A463="","",IF($C463="","",YEAR($C463)))</f>
      </c>
      <c r="H463" s="34">
        <v>2024</v>
      </c>
      <c r="I463" s="30" t="inlineStr">
        <is>
          <t xml:space="preserve">Ferrari</t>
        </is>
      </c>
      <c r="J463" s="30" t="inlineStr">
        <is>
          <t xml:space="preserve">275 GTB/4</t>
        </is>
      </c>
      <c r="K463" s="30" t="inlineStr">
        <is>
          <t xml:space="preserve">GZ7NVE9WBVJJ0H9CL</t>
        </is>
      </c>
      <c r="L463" s="32" t="inlineStr">
        <is>
          <t xml:space="preserve">02 - Sports / GT</t>
        </is>
      </c>
      <c r="M463" s="35">
        <v>1300000</v>
      </c>
      <c r="N463" s="32" t="inlineStr">
        <is>
          <t xml:space="preserve">Personal</t>
        </is>
      </c>
      <c r="O463" s="30" t="inlineStr">
        <is>
          <t xml:space="preserve">Personal - regular use</t>
        </is>
      </c>
      <c r="P463" s="30" t="inlineStr">
        <is>
          <t xml:space="preserve">Under 1,000</t>
        </is>
      </c>
      <c r="Q463" s="30" t="inlineStr">
        <is>
          <t xml:space="preserve">Michigan</t>
        </is>
      </c>
      <c r="R463" s="30" t="inlineStr">
        <is>
          <t xml:space="preserve">48226</t>
        </is>
      </c>
      <c r="S463" s="32" t="inlineStr">
        <is>
          <t xml:space="preserve">Severe convective - hail / tornado (moderate)</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11998.37</v>
      </c>
      <c r="AC463" s="37">
        <v>0</v>
      </c>
      <c r="AD463" s="38">
        <f>IF(ISNUMBER($AB463),$AB463*(1+N($AC463)),"")</f>
      </c>
      <c r="AE463" s="35">
        <v>350</v>
      </c>
      <c r="AF463" s="35">
        <v>250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CANON-202604-007207</t>
        </is>
      </c>
      <c r="B464" s="46" t="inlineStr">
        <is>
          <t xml:space="preserve">Fitzgerald Larsson</t>
        </is>
      </c>
      <c r="C464" s="47">
        <v>46122</v>
      </c>
      <c r="D464" s="48" t="inlineStr">
        <is>
          <t xml:space="preserve">Bound - within authority</t>
        </is>
      </c>
      <c r="E464" s="48" t="inlineStr">
        <is>
          <t xml:space="preserve">New business</t>
        </is>
      </c>
      <c r="F464" s="46" t="inlineStr">
        <is>
          <t xml:space="preserve">B1234EXOTIC26</t>
        </is>
      </c>
      <c r="G464" s="33">
        <f>IF($A464="","",IF($C464="","",YEAR($C464)))</f>
      </c>
      <c r="H464" s="49">
        <v>2014</v>
      </c>
      <c r="I464" s="46" t="inlineStr">
        <is>
          <t xml:space="preserve">Mercedes-Benz</t>
        </is>
      </c>
      <c r="J464" s="46" t="inlineStr">
        <is>
          <t xml:space="preserve">AMG GT</t>
        </is>
      </c>
      <c r="K464" s="46" t="inlineStr">
        <is>
          <t xml:space="preserve">E9CTM8BV3N5SUGHFL</t>
        </is>
      </c>
      <c r="L464" s="48" t="inlineStr">
        <is>
          <t xml:space="preserve">02 - Sports / GT</t>
        </is>
      </c>
      <c r="M464" s="50">
        <v>300000</v>
      </c>
      <c r="N464" s="48" t="inlineStr">
        <is>
          <t xml:space="preserve">Personal</t>
        </is>
      </c>
      <c r="O464" s="46" t="inlineStr">
        <is>
          <t xml:space="preserve">Personal - regular use</t>
        </is>
      </c>
      <c r="P464" s="46" t="inlineStr">
        <is>
          <t xml:space="preserve">2,500 - 5,000</t>
        </is>
      </c>
      <c r="Q464" s="46" t="inlineStr">
        <is>
          <t xml:space="preserve">North Carolina</t>
        </is>
      </c>
      <c r="R464" s="46" t="inlineStr">
        <is>
          <t xml:space="preserve">28202</t>
        </is>
      </c>
      <c r="S464" s="48" t="inlineStr">
        <is>
          <t xml:space="preserve">Tier 2 - Coastal wind (1-25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4054.57</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CANON-202604-007210</t>
        </is>
      </c>
      <c r="B465" s="30" t="inlineStr">
        <is>
          <t xml:space="preserve">Cassius Blackwood</t>
        </is>
      </c>
      <c r="C465" s="31">
        <v>46124</v>
      </c>
      <c r="D465" s="32" t="inlineStr">
        <is>
          <t xml:space="preserve">Bound - within authority</t>
        </is>
      </c>
      <c r="E465" s="32" t="inlineStr">
        <is>
          <t xml:space="preserve">New business</t>
        </is>
      </c>
      <c r="F465" s="30" t="inlineStr">
        <is>
          <t xml:space="preserve">B1234EXOTIC26</t>
        </is>
      </c>
      <c r="G465" s="33">
        <f>IF($A465="","",IF($C465="","",YEAR($C465)))</f>
      </c>
      <c r="H465" s="34">
        <v>1997</v>
      </c>
      <c r="I465" s="30" t="inlineStr">
        <is>
          <t xml:space="preserve">Porsche</t>
        </is>
      </c>
      <c r="J465" s="30" t="inlineStr">
        <is>
          <t xml:space="preserve">911 Turbo S</t>
        </is>
      </c>
      <c r="K465" s="30" t="inlineStr">
        <is>
          <t xml:space="preserve">N0ME7P4SSJAVZTVS7</t>
        </is>
      </c>
      <c r="L465" s="32" t="inlineStr">
        <is>
          <t xml:space="preserve">02 - Sports / GT</t>
        </is>
      </c>
      <c r="M465" s="35">
        <v>960000</v>
      </c>
      <c r="N465" s="32" t="inlineStr">
        <is>
          <t xml:space="preserve">Personal</t>
        </is>
      </c>
      <c r="O465" s="30" t="inlineStr">
        <is>
          <t xml:space="preserve">Personal - regular use</t>
        </is>
      </c>
      <c r="P465" s="30" t="inlineStr">
        <is>
          <t xml:space="preserve">2,500 - 5,000</t>
        </is>
      </c>
      <c r="Q465" s="30" t="inlineStr">
        <is>
          <t xml:space="preserve">Illinois</t>
        </is>
      </c>
      <c r="R465" s="30" t="inlineStr">
        <is>
          <t xml:space="preserve">60601</t>
        </is>
      </c>
      <c r="S465" s="32" t="inlineStr">
        <is>
          <t xml:space="preserve">Severe convective - hail / tornado (moderate)</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13298.03</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CANON-202604-007211</t>
        </is>
      </c>
      <c r="B466" s="46" t="inlineStr">
        <is>
          <t xml:space="preserve">Wilhelmina Rourke</t>
        </is>
      </c>
      <c r="C466" s="47">
        <v>46131</v>
      </c>
      <c r="D466" s="48" t="inlineStr">
        <is>
          <t xml:space="preserve">Bound - within authority</t>
        </is>
      </c>
      <c r="E466" s="48" t="inlineStr">
        <is>
          <t xml:space="preserve">New business</t>
        </is>
      </c>
      <c r="F466" s="46" t="inlineStr">
        <is>
          <t xml:space="preserve">B1234EXOTIC26</t>
        </is>
      </c>
      <c r="G466" s="33">
        <f>IF($A466="","",IF($C466="","",YEAR($C466)))</f>
      </c>
      <c r="H466" s="49">
        <v>1963</v>
      </c>
      <c r="I466" s="46" t="inlineStr">
        <is>
          <t xml:space="preserve">Ferrari</t>
        </is>
      </c>
      <c r="J466" s="46" t="inlineStr">
        <is>
          <t xml:space="preserve">275 GTB/4</t>
        </is>
      </c>
      <c r="K466" s="46" t="inlineStr">
        <is>
          <t xml:space="preserve">Y8J4JE1TUM83T213M</t>
        </is>
      </c>
      <c r="L466" s="48" t="inlineStr">
        <is>
          <t xml:space="preserve">07 - Post-War Classic (1946-1972)</t>
        </is>
      </c>
      <c r="M466" s="50">
        <v>805000</v>
      </c>
      <c r="N466" s="48" t="inlineStr">
        <is>
          <t xml:space="preserve">Personal</t>
        </is>
      </c>
      <c r="O466" s="46" t="inlineStr">
        <is>
          <t xml:space="preserve">Personal - regular use</t>
        </is>
      </c>
      <c r="P466" s="46" t="inlineStr">
        <is>
          <t xml:space="preserve">1,000 - 2,500</t>
        </is>
      </c>
      <c r="Q466" s="46" t="inlineStr">
        <is>
          <t xml:space="preserve">Mississippi</t>
        </is>
      </c>
      <c r="R466" s="46" t="inlineStr">
        <is>
          <t xml:space="preserve">39201</t>
        </is>
      </c>
      <c r="S466" s="48" t="inlineStr">
        <is>
          <t xml:space="preserve">Tier 2 - Coastal wind (1-25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6454.69</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CANON-202604-007213</t>
        </is>
      </c>
      <c r="B467" s="30" t="inlineStr">
        <is>
          <t xml:space="preserve">Priya Whitlock</t>
        </is>
      </c>
      <c r="C467" s="31">
        <v>46120</v>
      </c>
      <c r="D467" s="32" t="inlineStr">
        <is>
          <t xml:space="preserve">Bound - within authority</t>
        </is>
      </c>
      <c r="E467" s="32" t="inlineStr">
        <is>
          <t xml:space="preserve">New business</t>
        </is>
      </c>
      <c r="F467" s="30" t="inlineStr">
        <is>
          <t xml:space="preserve">B1234EXOTIC26</t>
        </is>
      </c>
      <c r="G467" s="33">
        <f>IF($A467="","",IF($C467="","",YEAR($C467)))</f>
      </c>
      <c r="H467" s="34">
        <v>2004</v>
      </c>
      <c r="I467" s="30" t="inlineStr">
        <is>
          <t xml:space="preserve">Bentley</t>
        </is>
      </c>
      <c r="J467" s="30" t="inlineStr">
        <is>
          <t xml:space="preserve">Continental GT</t>
        </is>
      </c>
      <c r="K467" s="30" t="inlineStr">
        <is>
          <t xml:space="preserve">RVYSELXKPZ2H03JVL</t>
        </is>
      </c>
      <c r="L467" s="32" t="inlineStr">
        <is>
          <t xml:space="preserve">02 - Sports / GT</t>
        </is>
      </c>
      <c r="M467" s="35">
        <v>315000</v>
      </c>
      <c r="N467" s="32" t="inlineStr">
        <is>
          <t xml:space="preserve">Personal</t>
        </is>
      </c>
      <c r="O467" s="30" t="inlineStr">
        <is>
          <t xml:space="preserve">Personal - regular use</t>
        </is>
      </c>
      <c r="P467" s="30" t="inlineStr">
        <is>
          <t xml:space="preserve">Under 1,000</t>
        </is>
      </c>
      <c r="Q467" s="30" t="inlineStr">
        <is>
          <t xml:space="preserve">Vermont</t>
        </is>
      </c>
      <c r="R467" s="30" t="inlineStr">
        <is>
          <t xml:space="preserve">05601</t>
        </is>
      </c>
      <c r="S467" s="32" t="inlineStr">
        <is>
          <t xml:space="preserve">Low hazard - inland benign</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4516.43</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CANON-202604-007214</t>
        </is>
      </c>
      <c r="B468" s="46" t="inlineStr">
        <is>
          <t xml:space="preserve">Ingrid Kingsford</t>
        </is>
      </c>
      <c r="C468" s="47">
        <v>46123</v>
      </c>
      <c r="D468" s="48" t="inlineStr">
        <is>
          <t xml:space="preserve">Bound - within authority</t>
        </is>
      </c>
      <c r="E468" s="48" t="inlineStr">
        <is>
          <t xml:space="preserve">New business</t>
        </is>
      </c>
      <c r="F468" s="46" t="inlineStr">
        <is>
          <t xml:space="preserve">B1234EXOTIC26</t>
        </is>
      </c>
      <c r="G468" s="33">
        <f>IF($A468="","",IF($C468="","",YEAR($C468)))</f>
      </c>
      <c r="H468" s="49">
        <v>1976</v>
      </c>
      <c r="I468" s="46" t="inlineStr">
        <is>
          <t xml:space="preserve">Bugatti</t>
        </is>
      </c>
      <c r="J468" s="46" t="inlineStr">
        <is>
          <t xml:space="preserve">Type 57</t>
        </is>
      </c>
      <c r="K468" s="46" t="inlineStr">
        <is>
          <t xml:space="preserve">0EEU7PUMUFMSLNP4M</t>
        </is>
      </c>
      <c r="L468" s="48" t="inlineStr">
        <is>
          <t xml:space="preserve">08 - Modern Classic (1973-1999)</t>
        </is>
      </c>
      <c r="M468" s="50">
        <v>1950000</v>
      </c>
      <c r="N468" s="48" t="inlineStr">
        <is>
          <t xml:space="preserve">Personal</t>
        </is>
      </c>
      <c r="O468" s="46" t="inlineStr">
        <is>
          <t xml:space="preserve">Personal - regular use</t>
        </is>
      </c>
      <c r="P468" s="46" t="inlineStr">
        <is>
          <t xml:space="preserve">Under 1,000</t>
        </is>
      </c>
      <c r="Q468" s="46" t="inlineStr">
        <is>
          <t xml:space="preserve">North Carolina</t>
        </is>
      </c>
      <c r="R468" s="46" t="inlineStr">
        <is>
          <t xml:space="preserve">28202</t>
        </is>
      </c>
      <c r="S468" s="48" t="inlineStr">
        <is>
          <t xml:space="preserve">Tier 2 - Coastal wind (1-25 miles)</t>
        </is>
      </c>
      <c r="T468" s="36">
        <f>IF($A468="","",IF($S468="","",IFERROR(INDEX('[1]natural catastrophe'!$D$6:$D$17,MATCH($S468,'[1]natural catastrophe'!$B$6:$B$17,0)),"?")))</f>
      </c>
      <c r="U468" s="46" t="inlineStr">
        <is>
          <t xml:space="preserve">2% of agreed value, minimum $10,000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11947.45</v>
      </c>
      <c r="AC468" s="51">
        <v>0</v>
      </c>
      <c r="AD468" s="38">
        <f>IF(ISNUMBER($AB468),$AB468*(1+N($AC468)),"")</f>
      </c>
      <c r="AE468" s="50">
        <v>350</v>
      </c>
      <c r="AF468" s="50">
        <v>250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CANON-202604-007215</t>
        </is>
      </c>
      <c r="B469" s="30" t="inlineStr">
        <is>
          <t xml:space="preserve">Marisol Farkas</t>
        </is>
      </c>
      <c r="C469" s="31">
        <v>46128</v>
      </c>
      <c r="D469" s="32" t="inlineStr">
        <is>
          <t xml:space="preserve">Bound - within authority</t>
        </is>
      </c>
      <c r="E469" s="32" t="inlineStr">
        <is>
          <t xml:space="preserve">New business</t>
        </is>
      </c>
      <c r="F469" s="30" t="inlineStr">
        <is>
          <t xml:space="preserve">B1234EXOTIC26</t>
        </is>
      </c>
      <c r="G469" s="33">
        <f>IF($A469="","",IF($C469="","",YEAR($C469)))</f>
      </c>
      <c r="H469" s="34">
        <v>2006</v>
      </c>
      <c r="I469" s="30" t="inlineStr">
        <is>
          <t xml:space="preserve">Mercedes-Benz</t>
        </is>
      </c>
      <c r="J469" s="30" t="inlineStr">
        <is>
          <t xml:space="preserve">AMG GT</t>
        </is>
      </c>
      <c r="K469" s="30" t="inlineStr">
        <is>
          <t xml:space="preserve">6M812VTX8X0ALEZ7R</t>
        </is>
      </c>
      <c r="L469" s="32" t="inlineStr">
        <is>
          <t xml:space="preserve">02 - Sports / GT</t>
        </is>
      </c>
      <c r="M469" s="35">
        <v>395000</v>
      </c>
      <c r="N469" s="32" t="inlineStr">
        <is>
          <t xml:space="preserve">Personal</t>
        </is>
      </c>
      <c r="O469" s="30" t="inlineStr">
        <is>
          <t xml:space="preserve">Personal - regular use</t>
        </is>
      </c>
      <c r="P469" s="30" t="inlineStr">
        <is>
          <t xml:space="preserve">Under 1,000</t>
        </is>
      </c>
      <c r="Q469" s="30" t="inlineStr">
        <is>
          <t xml:space="preserve">Nebraska</t>
        </is>
      </c>
      <c r="R469" s="30" t="inlineStr">
        <is>
          <t xml:space="preserve">68102</t>
        </is>
      </c>
      <c r="S469" s="32" t="inlineStr">
        <is>
          <t xml:space="preserve">Severe convective - hail alley (high)</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6034.84</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CANON-202604-007216</t>
        </is>
      </c>
      <c r="B470" s="46" t="inlineStr">
        <is>
          <t xml:space="preserve">Priya Rourke</t>
        </is>
      </c>
      <c r="C470" s="47">
        <v>46123</v>
      </c>
      <c r="D470" s="48" t="inlineStr">
        <is>
          <t xml:space="preserve">Bound - within authority</t>
        </is>
      </c>
      <c r="E470" s="48" t="inlineStr">
        <is>
          <t xml:space="preserve">New business</t>
        </is>
      </c>
      <c r="F470" s="46" t="inlineStr">
        <is>
          <t xml:space="preserve">B1234EXOTIC26</t>
        </is>
      </c>
      <c r="G470" s="33">
        <f>IF($A470="","",IF($C470="","",YEAR($C470)))</f>
      </c>
      <c r="H470" s="49">
        <v>1986</v>
      </c>
      <c r="I470" s="46" t="inlineStr">
        <is>
          <t xml:space="preserve">BMW</t>
        </is>
      </c>
      <c r="J470" s="46" t="inlineStr">
        <is>
          <t xml:space="preserve">M8 Competition</t>
        </is>
      </c>
      <c r="K470" s="46" t="inlineStr">
        <is>
          <t xml:space="preserve">TRF06EMZF0SDBGJJG</t>
        </is>
      </c>
      <c r="L470" s="48" t="inlineStr">
        <is>
          <t xml:space="preserve">02 - Sports / GT</t>
        </is>
      </c>
      <c r="M470" s="50">
        <v>360000</v>
      </c>
      <c r="N470" s="48" t="inlineStr">
        <is>
          <t xml:space="preserve">Personal</t>
        </is>
      </c>
      <c r="O470" s="46" t="inlineStr">
        <is>
          <t xml:space="preserve">Personal - regular use</t>
        </is>
      </c>
      <c r="P470" s="46" t="inlineStr">
        <is>
          <t xml:space="preserve">2,500 - 5,000</t>
        </is>
      </c>
      <c r="Q470" s="46" t="inlineStr">
        <is>
          <t xml:space="preserve">Delaware</t>
        </is>
      </c>
      <c r="R470" s="46" t="inlineStr">
        <is>
          <t xml:space="preserve">19801</t>
        </is>
      </c>
      <c r="S470" s="48" t="inlineStr">
        <is>
          <t xml:space="preserve">Tier 3 - Coastal wind (25-100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5288.56</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CANON-202604-007217</t>
        </is>
      </c>
      <c r="B471" s="30" t="inlineStr">
        <is>
          <t xml:space="preserve">Thaddeus Pennington</t>
        </is>
      </c>
      <c r="C471" s="31">
        <v>46114</v>
      </c>
      <c r="D471" s="32" t="inlineStr">
        <is>
          <t xml:space="preserve">Bound - within authority</t>
        </is>
      </c>
      <c r="E471" s="32" t="inlineStr">
        <is>
          <t xml:space="preserve">New business</t>
        </is>
      </c>
      <c r="F471" s="30" t="inlineStr">
        <is>
          <t xml:space="preserve">B1234EXOTIC26</t>
        </is>
      </c>
      <c r="G471" s="33">
        <f>IF($A471="","",IF($C471="","",YEAR($C471)))</f>
      </c>
      <c r="H471" s="34">
        <v>2015</v>
      </c>
      <c r="I471" s="30" t="inlineStr">
        <is>
          <t xml:space="preserve">Mercedes-Benz</t>
        </is>
      </c>
      <c r="J471" s="30" t="inlineStr">
        <is>
          <t xml:space="preserve">AMG GT</t>
        </is>
      </c>
      <c r="K471" s="30" t="inlineStr">
        <is>
          <t xml:space="preserve">8YABRYMA254KB9V8D</t>
        </is>
      </c>
      <c r="L471" s="32" t="inlineStr">
        <is>
          <t xml:space="preserve">02 - Sports / GT</t>
        </is>
      </c>
      <c r="M471" s="35">
        <v>375000</v>
      </c>
      <c r="N471" s="32" t="inlineStr">
        <is>
          <t xml:space="preserve">Personal</t>
        </is>
      </c>
      <c r="O471" s="30" t="inlineStr">
        <is>
          <t xml:space="preserve">Personal - regular use</t>
        </is>
      </c>
      <c r="P471" s="30" t="inlineStr">
        <is>
          <t xml:space="preserve">2,500 - 5,000</t>
        </is>
      </c>
      <c r="Q471" s="30" t="inlineStr">
        <is>
          <t xml:space="preserve">Oregon</t>
        </is>
      </c>
      <c r="R471" s="30" t="inlineStr">
        <is>
          <t xml:space="preserve">97204</t>
        </is>
      </c>
      <c r="S471" s="32" t="inlineStr">
        <is>
          <t xml:space="preserve">Earthquake - high (CA, Cascadia, New Madrid)</t>
        </is>
      </c>
      <c r="T471" s="36">
        <f>IF($A471="","",IF($S471="","",IFERROR(INDEX('[1]natural catastrophe'!$D$6:$D$17,MATCH($S471,'[1]natural catastrophe'!$B$6:$B$17,0)),"?")))</f>
      </c>
      <c r="U471" s="30" t="inlineStr">
        <is>
          <t xml:space="preserve">$5,000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4980.06</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CANON-202604-007218</t>
        </is>
      </c>
      <c r="B472" s="46" t="inlineStr">
        <is>
          <t xml:space="preserve">Thaddeus Okonkwo</t>
        </is>
      </c>
      <c r="C472" s="47">
        <v>46119</v>
      </c>
      <c r="D472" s="48" t="inlineStr">
        <is>
          <t xml:space="preserve">Bound - within authority</t>
        </is>
      </c>
      <c r="E472" s="48" t="inlineStr">
        <is>
          <t xml:space="preserve">New business</t>
        </is>
      </c>
      <c r="F472" s="46" t="inlineStr">
        <is>
          <t xml:space="preserve">B1234EXOTIC26</t>
        </is>
      </c>
      <c r="G472" s="33">
        <f>IF($A472="","",IF($C472="","",YEAR($C472)))</f>
      </c>
      <c r="H472" s="49">
        <v>1965</v>
      </c>
      <c r="I472" s="46" t="inlineStr">
        <is>
          <t xml:space="preserve">Mercedes-Benz</t>
        </is>
      </c>
      <c r="J472" s="46" t="inlineStr">
        <is>
          <t xml:space="preserve">280SL Pagoda</t>
        </is>
      </c>
      <c r="K472" s="46" t="inlineStr">
        <is>
          <t xml:space="preserve">27E8CY8EN63LZAZNZ</t>
        </is>
      </c>
      <c r="L472" s="48" t="inlineStr">
        <is>
          <t xml:space="preserve">07 - Post-War Classic (1946-1972)</t>
        </is>
      </c>
      <c r="M472" s="50">
        <v>1320000</v>
      </c>
      <c r="N472" s="48" t="inlineStr">
        <is>
          <t xml:space="preserve">Personal</t>
        </is>
      </c>
      <c r="O472" s="46" t="inlineStr">
        <is>
          <t xml:space="preserve">Personal - regular use</t>
        </is>
      </c>
      <c r="P472" s="46" t="inlineStr">
        <is>
          <t xml:space="preserve">2,500 - 5,000</t>
        </is>
      </c>
      <c r="Q472" s="46" t="inlineStr">
        <is>
          <t xml:space="preserve">New York</t>
        </is>
      </c>
      <c r="R472" s="46" t="inlineStr">
        <is>
          <t xml:space="preserve">10022</t>
        </is>
      </c>
      <c r="S472" s="48" t="inlineStr">
        <is>
          <t xml:space="preserve">Tier 3 - Coastal wind (25-100 miles)</t>
        </is>
      </c>
      <c r="T472" s="36">
        <f>IF($A472="","",IF($S472="","",IFERROR(INDEX('[1]natural catastrophe'!$D$6:$D$17,MATCH($S472,'[1]natural catastrophe'!$B$6:$B$17,0)),"?")))</f>
      </c>
      <c r="U472" s="46" t="inlineStr">
        <is>
          <t xml:space="preserve">2% of agreed value, minimum $10,000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10060.77</v>
      </c>
      <c r="AC472" s="51">
        <v>0</v>
      </c>
      <c r="AD472" s="38">
        <f>IF(ISNUMBER($AB472),$AB472*(1+N($AC472)),"")</f>
      </c>
      <c r="AE472" s="50">
        <v>350</v>
      </c>
      <c r="AF472" s="50">
        <v>250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CANON-202604-007219</t>
        </is>
      </c>
      <c r="B473" s="30" t="inlineStr">
        <is>
          <t xml:space="preserve">Cassius Rourke</t>
        </is>
      </c>
      <c r="C473" s="31">
        <v>46139</v>
      </c>
      <c r="D473" s="32" t="inlineStr">
        <is>
          <t xml:space="preserve">Bound - within authority</t>
        </is>
      </c>
      <c r="E473" s="32" t="inlineStr">
        <is>
          <t xml:space="preserve">New business</t>
        </is>
      </c>
      <c r="F473" s="30" t="inlineStr">
        <is>
          <t xml:space="preserve">B1234EXOTIC26</t>
        </is>
      </c>
      <c r="G473" s="33">
        <f>IF($A473="","",IF($C473="","",YEAR($C473)))</f>
      </c>
      <c r="H473" s="34">
        <v>1988</v>
      </c>
      <c r="I473" s="30" t="inlineStr">
        <is>
          <t xml:space="preserve">Porsche</t>
        </is>
      </c>
      <c r="J473" s="30" t="inlineStr">
        <is>
          <t xml:space="preserve">911 Turbo S</t>
        </is>
      </c>
      <c r="K473" s="30" t="inlineStr">
        <is>
          <t xml:space="preserve">JG9BCB4PK7GVUAV6H</t>
        </is>
      </c>
      <c r="L473" s="32" t="inlineStr">
        <is>
          <t xml:space="preserve">02 - Sports / GT</t>
        </is>
      </c>
      <c r="M473" s="35">
        <v>500000</v>
      </c>
      <c r="N473" s="32" t="inlineStr">
        <is>
          <t xml:space="preserve">Personal</t>
        </is>
      </c>
      <c r="O473" s="30" t="inlineStr">
        <is>
          <t xml:space="preserve">Personal - regular use</t>
        </is>
      </c>
      <c r="P473" s="30" t="inlineStr">
        <is>
          <t xml:space="preserve">2,500 - 5,000</t>
        </is>
      </c>
      <c r="Q473" s="30" t="inlineStr">
        <is>
          <t xml:space="preserve">Utah</t>
        </is>
      </c>
      <c r="R473" s="30" t="inlineStr">
        <is>
          <t xml:space="preserve">84101</t>
        </is>
      </c>
      <c r="S473" s="32" t="inlineStr">
        <is>
          <t xml:space="preserve">Wildfire - WUI high hazard</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6875.13</v>
      </c>
      <c r="AC473" s="37">
        <v>0</v>
      </c>
      <c r="AD473" s="38">
        <f>IF(ISNUMBER($AB473),$AB473*(1+N($AC473)),"")</f>
      </c>
      <c r="AE473" s="35">
        <v>350</v>
      </c>
      <c r="AF473" s="35">
        <v>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CANON-202604-007220</t>
        </is>
      </c>
      <c r="B474" s="46" t="inlineStr">
        <is>
          <t xml:space="preserve">Sunniva Vasquez</t>
        </is>
      </c>
      <c r="C474" s="47">
        <v>46134</v>
      </c>
      <c r="D474" s="48" t="inlineStr">
        <is>
          <t xml:space="preserve">Bound - within authority</t>
        </is>
      </c>
      <c r="E474" s="48" t="inlineStr">
        <is>
          <t xml:space="preserve">New business</t>
        </is>
      </c>
      <c r="F474" s="46" t="inlineStr">
        <is>
          <t xml:space="preserve">B1234EXOTIC26</t>
        </is>
      </c>
      <c r="G474" s="33">
        <f>IF($A474="","",IF($C474="","",YEAR($C474)))</f>
      </c>
      <c r="H474" s="49">
        <v>1993</v>
      </c>
      <c r="I474" s="46" t="inlineStr">
        <is>
          <t xml:space="preserve">Lamborghini</t>
        </is>
      </c>
      <c r="J474" s="46" t="inlineStr">
        <is>
          <t xml:space="preserve">Huracan EVO</t>
        </is>
      </c>
      <c r="K474" s="46" t="inlineStr">
        <is>
          <t xml:space="preserve">HWEPTNDEG5B19AFUT</t>
        </is>
      </c>
      <c r="L474" s="48" t="inlineStr">
        <is>
          <t xml:space="preserve">03 - Supercar</t>
        </is>
      </c>
      <c r="M474" s="50">
        <v>1590000</v>
      </c>
      <c r="N474" s="48" t="inlineStr">
        <is>
          <t xml:space="preserve">Personal</t>
        </is>
      </c>
      <c r="O474" s="46" t="inlineStr">
        <is>
          <t xml:space="preserve">Personal - regular use</t>
        </is>
      </c>
      <c r="P474" s="46" t="inlineStr">
        <is>
          <t xml:space="preserve">2,500 - 5,000</t>
        </is>
      </c>
      <c r="Q474" s="46" t="inlineStr">
        <is>
          <t xml:space="preserve">Ohio</t>
        </is>
      </c>
      <c r="R474" s="46" t="inlineStr">
        <is>
          <t xml:space="preserve">43215</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27705.48</v>
      </c>
      <c r="AC474" s="51">
        <v>0</v>
      </c>
      <c r="AD474" s="38">
        <f>IF(ISNUMBER($AB474),$AB474*(1+N($AC474)),"")</f>
      </c>
      <c r="AE474" s="50">
        <v>350</v>
      </c>
      <c r="AF474" s="50">
        <v>250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CANON-202604-007221</t>
        </is>
      </c>
      <c r="B475" s="30" t="inlineStr">
        <is>
          <t xml:space="preserve">Ottilie Kingsford</t>
        </is>
      </c>
      <c r="C475" s="31">
        <v>46136</v>
      </c>
      <c r="D475" s="32" t="inlineStr">
        <is>
          <t xml:space="preserve">Bound - within authority</t>
        </is>
      </c>
      <c r="E475" s="32" t="inlineStr">
        <is>
          <t xml:space="preserve">New business</t>
        </is>
      </c>
      <c r="F475" s="30" t="inlineStr">
        <is>
          <t xml:space="preserve">B1234EXOTIC26</t>
        </is>
      </c>
      <c r="G475" s="33">
        <f>IF($A475="","",IF($C475="","",YEAR($C475)))</f>
      </c>
      <c r="H475" s="34">
        <v>1993</v>
      </c>
      <c r="I475" s="30" t="inlineStr">
        <is>
          <t xml:space="preserve">BMW</t>
        </is>
      </c>
      <c r="J475" s="30" t="inlineStr">
        <is>
          <t xml:space="preserve">M8 Competition</t>
        </is>
      </c>
      <c r="K475" s="30" t="inlineStr">
        <is>
          <t xml:space="preserve">VSAR8UW3DDY64H46P</t>
        </is>
      </c>
      <c r="L475" s="32" t="inlineStr">
        <is>
          <t xml:space="preserve">02 - Sports / GT</t>
        </is>
      </c>
      <c r="M475" s="35">
        <v>390000</v>
      </c>
      <c r="N475" s="32" t="inlineStr">
        <is>
          <t xml:space="preserve">Personal</t>
        </is>
      </c>
      <c r="O475" s="30" t="inlineStr">
        <is>
          <t xml:space="preserve">Personal - regular use</t>
        </is>
      </c>
      <c r="P475" s="30" t="inlineStr">
        <is>
          <t xml:space="preserve">Under 1,000</t>
        </is>
      </c>
      <c r="Q475" s="30" t="inlineStr">
        <is>
          <t xml:space="preserve">Texas</t>
        </is>
      </c>
      <c r="R475" s="30" t="inlineStr">
        <is>
          <t xml:space="preserve">75201</t>
        </is>
      </c>
      <c r="S475" s="32" t="inlineStr">
        <is>
          <t xml:space="preserve">Tier 2 - Coastal wind (1-25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5270.93</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CANON-202604-007222</t>
        </is>
      </c>
      <c r="B476" s="46" t="inlineStr">
        <is>
          <t xml:space="preserve">Saoirse Ashcombe</t>
        </is>
      </c>
      <c r="C476" s="47">
        <v>46127</v>
      </c>
      <c r="D476" s="48" t="inlineStr">
        <is>
          <t xml:space="preserve">Bound - within authority</t>
        </is>
      </c>
      <c r="E476" s="48" t="inlineStr">
        <is>
          <t xml:space="preserve">New business</t>
        </is>
      </c>
      <c r="F476" s="46" t="inlineStr">
        <is>
          <t xml:space="preserve">B1234EXOTIC26</t>
        </is>
      </c>
      <c r="G476" s="33">
        <f>IF($A476="","",IF($C476="","",YEAR($C476)))</f>
      </c>
      <c r="H476" s="49">
        <v>1992</v>
      </c>
      <c r="I476" s="46" t="inlineStr">
        <is>
          <t xml:space="preserve">Maserati</t>
        </is>
      </c>
      <c r="J476" s="46" t="inlineStr">
        <is>
          <t xml:space="preserve">GranTurismo</t>
        </is>
      </c>
      <c r="K476" s="46" t="inlineStr">
        <is>
          <t xml:space="preserve">P6HDXNDD5VC57MEA0</t>
        </is>
      </c>
      <c r="L476" s="48" t="inlineStr">
        <is>
          <t xml:space="preserve">02 - Sports / GT</t>
        </is>
      </c>
      <c r="M476" s="50">
        <v>825000</v>
      </c>
      <c r="N476" s="48" t="inlineStr">
        <is>
          <t xml:space="preserve">Personal</t>
        </is>
      </c>
      <c r="O476" s="46" t="inlineStr">
        <is>
          <t xml:space="preserve">Personal - regular use</t>
        </is>
      </c>
      <c r="P476" s="46" t="inlineStr">
        <is>
          <t xml:space="preserve">1,000 - 2,500</t>
        </is>
      </c>
      <c r="Q476" s="46" t="inlineStr">
        <is>
          <t xml:space="preserve">Arkansas</t>
        </is>
      </c>
      <c r="R476" s="46" t="inlineStr">
        <is>
          <t xml:space="preserve">72201</t>
        </is>
      </c>
      <c r="S476" s="48" t="inlineStr">
        <is>
          <t xml:space="preserve">Severe convective - hail / tornado (moderate)</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11596.06</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CANON-202604-007223</t>
        </is>
      </c>
      <c r="B477" s="30" t="inlineStr">
        <is>
          <t xml:space="preserve">Noor Vandermeer</t>
        </is>
      </c>
      <c r="C477" s="31">
        <v>46121</v>
      </c>
      <c r="D477" s="32" t="inlineStr">
        <is>
          <t xml:space="preserve">Bound - within authority</t>
        </is>
      </c>
      <c r="E477" s="32" t="inlineStr">
        <is>
          <t xml:space="preserve">New business</t>
        </is>
      </c>
      <c r="F477" s="30" t="inlineStr">
        <is>
          <t xml:space="preserve">B1234EXOTIC26</t>
        </is>
      </c>
      <c r="G477" s="33">
        <f>IF($A477="","",IF($C477="","",YEAR($C477)))</f>
      </c>
      <c r="H477" s="34">
        <v>2011</v>
      </c>
      <c r="I477" s="30" t="inlineStr">
        <is>
          <t xml:space="preserve">Bentley</t>
        </is>
      </c>
      <c r="J477" s="30" t="inlineStr">
        <is>
          <t xml:space="preserve">Continental GT</t>
        </is>
      </c>
      <c r="K477" s="30" t="inlineStr">
        <is>
          <t xml:space="preserve">KAP69U05WWV35NZH7</t>
        </is>
      </c>
      <c r="L477" s="32" t="inlineStr">
        <is>
          <t xml:space="preserve">02 - Sports / GT</t>
        </is>
      </c>
      <c r="M477" s="35">
        <v>615000</v>
      </c>
      <c r="N477" s="32" t="inlineStr">
        <is>
          <t xml:space="preserve">Personal</t>
        </is>
      </c>
      <c r="O477" s="30" t="inlineStr">
        <is>
          <t xml:space="preserve">Personal - regular use</t>
        </is>
      </c>
      <c r="P477" s="30" t="inlineStr">
        <is>
          <t xml:space="preserve">2,500 - 5,000</t>
        </is>
      </c>
      <c r="Q477" s="30" t="inlineStr">
        <is>
          <t xml:space="preserve">Pennsylvania</t>
        </is>
      </c>
      <c r="R477" s="30" t="inlineStr">
        <is>
          <t xml:space="preserve">19103</t>
        </is>
      </c>
      <c r="S477" s="32" t="inlineStr">
        <is>
          <t xml:space="preserve">Low hazard - inland benign</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6264</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CANON-202604-007224</t>
        </is>
      </c>
      <c r="B478" s="46" t="inlineStr">
        <is>
          <t xml:space="preserve">Emiliano Blackwood</t>
        </is>
      </c>
      <c r="C478" s="47">
        <v>46115</v>
      </c>
      <c r="D478" s="48" t="inlineStr">
        <is>
          <t xml:space="preserve">Bound - within authority</t>
        </is>
      </c>
      <c r="E478" s="48" t="inlineStr">
        <is>
          <t xml:space="preserve">New business</t>
        </is>
      </c>
      <c r="F478" s="46" t="inlineStr">
        <is>
          <t xml:space="preserve">B1234EXOTIC26</t>
        </is>
      </c>
      <c r="G478" s="33">
        <f>IF($A478="","",IF($C478="","",YEAR($C478)))</f>
      </c>
      <c r="H478" s="49">
        <v>1993</v>
      </c>
      <c r="I478" s="46" t="inlineStr">
        <is>
          <t xml:space="preserve">Ferrari</t>
        </is>
      </c>
      <c r="J478" s="46" t="inlineStr">
        <is>
          <t xml:space="preserve">296 GTB</t>
        </is>
      </c>
      <c r="K478" s="46" t="inlineStr">
        <is>
          <t xml:space="preserve">SKCW4M375TNX25PCE</t>
        </is>
      </c>
      <c r="L478" s="48" t="inlineStr">
        <is>
          <t xml:space="preserve">03 - Supercar</t>
        </is>
      </c>
      <c r="M478" s="50">
        <v>740000</v>
      </c>
      <c r="N478" s="48" t="inlineStr">
        <is>
          <t xml:space="preserve">Personal</t>
        </is>
      </c>
      <c r="O478" s="46" t="inlineStr">
        <is>
          <t xml:space="preserve">Personal - regular use</t>
        </is>
      </c>
      <c r="P478" s="46" t="inlineStr">
        <is>
          <t xml:space="preserve">1,000 - 2,500</t>
        </is>
      </c>
      <c r="Q478" s="46" t="inlineStr">
        <is>
          <t xml:space="preserve">California</t>
        </is>
      </c>
      <c r="R478" s="46" t="inlineStr">
        <is>
          <t xml:space="preserve">90012</t>
        </is>
      </c>
      <c r="S478" s="48" t="inlineStr">
        <is>
          <t xml:space="preserve">Earthquake - high (CA, Cascadia, New Madrid)</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14871.43</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CANON-202604-007226</t>
        </is>
      </c>
      <c r="B479" s="30" t="inlineStr">
        <is>
          <t xml:space="preserve">Desmond Pennington</t>
        </is>
      </c>
      <c r="C479" s="31">
        <v>46137</v>
      </c>
      <c r="D479" s="32" t="inlineStr">
        <is>
          <t xml:space="preserve">Bound - within authority</t>
        </is>
      </c>
      <c r="E479" s="32" t="inlineStr">
        <is>
          <t xml:space="preserve">New business</t>
        </is>
      </c>
      <c r="F479" s="30" t="inlineStr">
        <is>
          <t xml:space="preserve">B1234EXOTIC26</t>
        </is>
      </c>
      <c r="G479" s="33">
        <f>IF($A479="","",IF($C479="","",YEAR($C479)))</f>
      </c>
      <c r="H479" s="34">
        <v>1993</v>
      </c>
      <c r="I479" s="30" t="inlineStr">
        <is>
          <t xml:space="preserve">Aston Martin</t>
        </is>
      </c>
      <c r="J479" s="30" t="inlineStr">
        <is>
          <t xml:space="preserve">DB12</t>
        </is>
      </c>
      <c r="K479" s="30" t="inlineStr">
        <is>
          <t xml:space="preserve">PKCE00V1AHMATSZ68</t>
        </is>
      </c>
      <c r="L479" s="32" t="inlineStr">
        <is>
          <t xml:space="preserve">02 - Sports / GT</t>
        </is>
      </c>
      <c r="M479" s="35">
        <v>710000</v>
      </c>
      <c r="N479" s="32" t="inlineStr">
        <is>
          <t xml:space="preserve">Personal</t>
        </is>
      </c>
      <c r="O479" s="30" t="inlineStr">
        <is>
          <t xml:space="preserve">Personal - regular use</t>
        </is>
      </c>
      <c r="P479" s="30" t="inlineStr">
        <is>
          <t xml:space="preserve">1,000 - 2,500</t>
        </is>
      </c>
      <c r="Q479" s="30" t="inlineStr">
        <is>
          <t xml:space="preserve">Washington</t>
        </is>
      </c>
      <c r="R479" s="30" t="inlineStr">
        <is>
          <t xml:space="preserve">98101</t>
        </is>
      </c>
      <c r="S479" s="32" t="inlineStr">
        <is>
          <t xml:space="preserve">Earthquake - high (CA, Cascadia, New Madrid)</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6942.36</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CANON-202604-007228</t>
        </is>
      </c>
      <c r="B480" s="46" t="inlineStr">
        <is>
          <t xml:space="preserve">Fenwick Ashcombe</t>
        </is>
      </c>
      <c r="C480" s="47">
        <v>46140</v>
      </c>
      <c r="D480" s="48" t="inlineStr">
        <is>
          <t xml:space="preserve">Bound - within authority</t>
        </is>
      </c>
      <c r="E480" s="48" t="inlineStr">
        <is>
          <t xml:space="preserve">New business</t>
        </is>
      </c>
      <c r="F480" s="46" t="inlineStr">
        <is>
          <t xml:space="preserve">B1234EXOTIC26</t>
        </is>
      </c>
      <c r="G480" s="33">
        <f>IF($A480="","",IF($C480="","",YEAR($C480)))</f>
      </c>
      <c r="H480" s="49">
        <v>2012</v>
      </c>
      <c r="I480" s="46" t="inlineStr">
        <is>
          <t xml:space="preserve">Porsche</t>
        </is>
      </c>
      <c r="J480" s="46" t="inlineStr">
        <is>
          <t xml:space="preserve">911 Turbo S</t>
        </is>
      </c>
      <c r="K480" s="46" t="inlineStr">
        <is>
          <t xml:space="preserve">A57PY9EE1RMSK56HW</t>
        </is>
      </c>
      <c r="L480" s="48" t="inlineStr">
        <is>
          <t xml:space="preserve">02 - Sports / GT</t>
        </is>
      </c>
      <c r="M480" s="50">
        <v>195000</v>
      </c>
      <c r="N480" s="48" t="inlineStr">
        <is>
          <t xml:space="preserve">Personal</t>
        </is>
      </c>
      <c r="O480" s="46" t="inlineStr">
        <is>
          <t xml:space="preserve">Personal - regular use</t>
        </is>
      </c>
      <c r="P480" s="46" t="inlineStr">
        <is>
          <t xml:space="preserve">Under 1,000</t>
        </is>
      </c>
      <c r="Q480" s="46" t="inlineStr">
        <is>
          <t xml:space="preserve">Idaho</t>
        </is>
      </c>
      <c r="R480" s="46" t="inlineStr">
        <is>
          <t xml:space="preserve">83702</t>
        </is>
      </c>
      <c r="S480" s="48" t="inlineStr">
        <is>
          <t xml:space="preserve">Wildfire - WUI high hazard</t>
        </is>
      </c>
      <c r="T480" s="36">
        <f>IF($A480="","",IF($S480="","",IFERROR(INDEX('[1]natural catastrophe'!$D$6:$D$17,MATCH($S480,'[1]natural catastrophe'!$B$6:$B$17,0)),"?")))</f>
      </c>
      <c r="U480" s="46" t="inlineStr">
        <is>
          <t xml:space="preserve">$5,000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2783.06</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CANON-202604-007229</t>
        </is>
      </c>
      <c r="B481" s="30" t="inlineStr">
        <is>
          <t xml:space="preserve">Callum Castellanos</t>
        </is>
      </c>
      <c r="C481" s="31">
        <v>46136</v>
      </c>
      <c r="D481" s="32" t="inlineStr">
        <is>
          <t xml:space="preserve">Bound - within authority</t>
        </is>
      </c>
      <c r="E481" s="32" t="inlineStr">
        <is>
          <t xml:space="preserve">New business</t>
        </is>
      </c>
      <c r="F481" s="30" t="inlineStr">
        <is>
          <t xml:space="preserve">B1234EXOTIC26</t>
        </is>
      </c>
      <c r="G481" s="33">
        <f>IF($A481="","",IF($C481="","",YEAR($C481)))</f>
      </c>
      <c r="H481" s="34">
        <v>1972</v>
      </c>
      <c r="I481" s="30" t="inlineStr">
        <is>
          <t xml:space="preserve">BMW</t>
        </is>
      </c>
      <c r="J481" s="30" t="inlineStr">
        <is>
          <t xml:space="preserve">M8 Competition</t>
        </is>
      </c>
      <c r="K481" s="30" t="inlineStr">
        <is>
          <t xml:space="preserve">ZLU6K6AFTSYZ38MDB</t>
        </is>
      </c>
      <c r="L481" s="32" t="inlineStr">
        <is>
          <t xml:space="preserve">02 - Sports / GT</t>
        </is>
      </c>
      <c r="M481" s="35">
        <v>255000</v>
      </c>
      <c r="N481" s="32" t="inlineStr">
        <is>
          <t xml:space="preserve">Personal</t>
        </is>
      </c>
      <c r="O481" s="30" t="inlineStr">
        <is>
          <t xml:space="preserve">Personal - regular use</t>
        </is>
      </c>
      <c r="P481" s="30" t="inlineStr">
        <is>
          <t xml:space="preserve">Under 1,000</t>
        </is>
      </c>
      <c r="Q481" s="30" t="inlineStr">
        <is>
          <t xml:space="preserve">Massachusetts</t>
        </is>
      </c>
      <c r="R481" s="30" t="inlineStr">
        <is>
          <t xml:space="preserve">02108</t>
        </is>
      </c>
      <c r="S481" s="32" t="inlineStr">
        <is>
          <t xml:space="preserve">Tier 3 - Coastal wind (25-100 miles)</t>
        </is>
      </c>
      <c r="T481" s="36">
        <f>IF($A481="","",IF($S481="","",IFERROR(INDEX('[1]natural catastrophe'!$D$6:$D$17,MATCH($S481,'[1]natural catastrophe'!$B$6:$B$17,0)),"?")))</f>
      </c>
      <c r="U481" s="30" t="inlineStr">
        <is>
          <t xml:space="preserve">2% of agreed value, minimum $10,000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3746.06</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CANON-202604-007230</t>
        </is>
      </c>
      <c r="B482" s="46" t="inlineStr">
        <is>
          <t xml:space="preserve">Noor Thistlewood</t>
        </is>
      </c>
      <c r="C482" s="47">
        <v>46126</v>
      </c>
      <c r="D482" s="48" t="inlineStr">
        <is>
          <t xml:space="preserve">Bound - within authority</t>
        </is>
      </c>
      <c r="E482" s="48" t="inlineStr">
        <is>
          <t xml:space="preserve">New business</t>
        </is>
      </c>
      <c r="F482" s="46" t="inlineStr">
        <is>
          <t xml:space="preserve">B1234EXOTIC26</t>
        </is>
      </c>
      <c r="G482" s="33">
        <f>IF($A482="","",IF($C482="","",YEAR($C482)))</f>
      </c>
      <c r="H482" s="49">
        <v>2012</v>
      </c>
      <c r="I482" s="46" t="inlineStr">
        <is>
          <t xml:space="preserve">Aston Martin</t>
        </is>
      </c>
      <c r="J482" s="46" t="inlineStr">
        <is>
          <t xml:space="preserve">DB5</t>
        </is>
      </c>
      <c r="K482" s="46" t="inlineStr">
        <is>
          <t xml:space="preserve">5BFL6FCMYG8VADXGG</t>
        </is>
      </c>
      <c r="L482" s="48" t="inlineStr">
        <is>
          <t xml:space="preserve">02 - Sports / GT</t>
        </is>
      </c>
      <c r="M482" s="50">
        <v>405000</v>
      </c>
      <c r="N482" s="48" t="inlineStr">
        <is>
          <t xml:space="preserve">Personal</t>
        </is>
      </c>
      <c r="O482" s="46" t="inlineStr">
        <is>
          <t xml:space="preserve">Personal - regular use</t>
        </is>
      </c>
      <c r="P482" s="46" t="inlineStr">
        <is>
          <t xml:space="preserve">2,500 - 5,000</t>
        </is>
      </c>
      <c r="Q482" s="46" t="inlineStr">
        <is>
          <t xml:space="preserve">Florida</t>
        </is>
      </c>
      <c r="R482" s="46" t="inlineStr">
        <is>
          <t xml:space="preserve">33139</t>
        </is>
      </c>
      <c r="S482" s="48" t="inlineStr">
        <is>
          <t xml:space="preserve">Tier 2 - Coastal wind (1-25 miles)</t>
        </is>
      </c>
      <c r="T482" s="36">
        <f>IF($A482="","",IF($S482="","",IFERROR(INDEX('[1]natural catastrophe'!$D$6:$D$17,MATCH($S482,'[1]natural catastrophe'!$B$6:$B$17,0)),"?")))</f>
      </c>
      <c r="U482" s="46" t="inlineStr">
        <is>
          <t xml:space="preserve">2% of agreed value, minimum $10,000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4325.62</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CANON-202604-007231</t>
        </is>
      </c>
      <c r="B483" s="30" t="inlineStr">
        <is>
          <t xml:space="preserve">Saoirse Ashcombe</t>
        </is>
      </c>
      <c r="C483" s="31">
        <v>46113</v>
      </c>
      <c r="D483" s="32" t="inlineStr">
        <is>
          <t xml:space="preserve">Bound - within authority</t>
        </is>
      </c>
      <c r="E483" s="32" t="inlineStr">
        <is>
          <t xml:space="preserve">New business</t>
        </is>
      </c>
      <c r="F483" s="30" t="inlineStr">
        <is>
          <t xml:space="preserve">B1234EXOTIC26</t>
        </is>
      </c>
      <c r="G483" s="33">
        <f>IF($A483="","",IF($C483="","",YEAR($C483)))</f>
      </c>
      <c r="H483" s="34">
        <v>1980</v>
      </c>
      <c r="I483" s="30" t="inlineStr">
        <is>
          <t xml:space="preserve">Alfa Romeo</t>
        </is>
      </c>
      <c r="J483" s="30" t="inlineStr">
        <is>
          <t xml:space="preserve">8C 2900</t>
        </is>
      </c>
      <c r="K483" s="30" t="inlineStr">
        <is>
          <t xml:space="preserve">EU04BRGTK5GKB6N53</t>
        </is>
      </c>
      <c r="L483" s="32" t="inlineStr">
        <is>
          <t xml:space="preserve">08 - Modern Classic (1973-1999)</t>
        </is>
      </c>
      <c r="M483" s="35">
        <v>210000</v>
      </c>
      <c r="N483" s="32" t="inlineStr">
        <is>
          <t xml:space="preserve">Personal</t>
        </is>
      </c>
      <c r="O483" s="30" t="inlineStr">
        <is>
          <t xml:space="preserve">Personal - regular use</t>
        </is>
      </c>
      <c r="P483" s="30" t="inlineStr">
        <is>
          <t xml:space="preserve">2,500 - 5,000</t>
        </is>
      </c>
      <c r="Q483" s="30" t="inlineStr">
        <is>
          <t xml:space="preserve">New Jersey</t>
        </is>
      </c>
      <c r="R483" s="30" t="inlineStr">
        <is>
          <t xml:space="preserve">07102</t>
        </is>
      </c>
      <c r="S483" s="32" t="inlineStr">
        <is>
          <t xml:space="preserve">Tier 3 - Coastal wind (25-100 miles)</t>
        </is>
      </c>
      <c r="T483" s="36">
        <f>IF($A483="","",IF($S483="","",IFERROR(INDEX('[1]natural catastrophe'!$D$6:$D$17,MATCH($S483,'[1]natural catastrophe'!$B$6:$B$17,0)),"?")))</f>
      </c>
      <c r="U483" s="30" t="inlineStr">
        <is>
          <t xml:space="preserve">2% of agreed value, minimum $10,000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1497.25</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CANON-202604-007232</t>
        </is>
      </c>
      <c r="B484" s="46" t="inlineStr">
        <is>
          <t xml:space="preserve">Mireille Kingsford</t>
        </is>
      </c>
      <c r="C484" s="47">
        <v>46117</v>
      </c>
      <c r="D484" s="48" t="inlineStr">
        <is>
          <t xml:space="preserve">Bound - within authority</t>
        </is>
      </c>
      <c r="E484" s="48" t="inlineStr">
        <is>
          <t xml:space="preserve">New business</t>
        </is>
      </c>
      <c r="F484" s="46" t="inlineStr">
        <is>
          <t xml:space="preserve">B1234EXOTIC26</t>
        </is>
      </c>
      <c r="G484" s="33">
        <f>IF($A484="","",IF($C484="","",YEAR($C484)))</f>
      </c>
      <c r="H484" s="49">
        <v>1993</v>
      </c>
      <c r="I484" s="46" t="inlineStr">
        <is>
          <t xml:space="preserve">Aston Martin</t>
        </is>
      </c>
      <c r="J484" s="46" t="inlineStr">
        <is>
          <t xml:space="preserve">DB5</t>
        </is>
      </c>
      <c r="K484" s="46" t="inlineStr">
        <is>
          <t xml:space="preserve">CNBAGN166ZE6PCRWH</t>
        </is>
      </c>
      <c r="L484" s="48" t="inlineStr">
        <is>
          <t xml:space="preserve">08 - Modern Classic (1973-1999)</t>
        </is>
      </c>
      <c r="M484" s="50">
        <v>610000</v>
      </c>
      <c r="N484" s="48" t="inlineStr">
        <is>
          <t xml:space="preserve">Personal</t>
        </is>
      </c>
      <c r="O484" s="46" t="inlineStr">
        <is>
          <t xml:space="preserve">Personal - regular use</t>
        </is>
      </c>
      <c r="P484" s="46" t="inlineStr">
        <is>
          <t xml:space="preserve">Under 1,000</t>
        </is>
      </c>
      <c r="Q484" s="46" t="inlineStr">
        <is>
          <t xml:space="preserve">Illinois</t>
        </is>
      </c>
      <c r="R484" s="46" t="inlineStr">
        <is>
          <t xml:space="preserve">60601</t>
        </is>
      </c>
      <c r="S484" s="48" t="inlineStr">
        <is>
          <t xml:space="preserve">Severe convective - hail / tornado (moderate)</t>
        </is>
      </c>
      <c r="T484" s="36">
        <f>IF($A484="","",IF($S484="","",IFERROR(INDEX('[1]natural catastrophe'!$D$6:$D$17,MATCH($S484,'[1]natural catastrophe'!$B$6:$B$17,0)),"?")))</f>
      </c>
      <c r="U484" s="46" t="inlineStr">
        <is>
          <t xml:space="preserve">$5,000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5589.86</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CANON-202604-007233</t>
        </is>
      </c>
      <c r="B485" s="30" t="inlineStr">
        <is>
          <t xml:space="preserve">Leopold Montoya</t>
        </is>
      </c>
      <c r="C485" s="31">
        <v>46124</v>
      </c>
      <c r="D485" s="32" t="inlineStr">
        <is>
          <t xml:space="preserve">Bound - within authority</t>
        </is>
      </c>
      <c r="E485" s="32" t="inlineStr">
        <is>
          <t xml:space="preserve">New business</t>
        </is>
      </c>
      <c r="F485" s="30" t="inlineStr">
        <is>
          <t xml:space="preserve">B1234EXOTIC26</t>
        </is>
      </c>
      <c r="G485" s="33">
        <f>IF($A485="","",IF($C485="","",YEAR($C485)))</f>
      </c>
      <c r="H485" s="34">
        <v>1993</v>
      </c>
      <c r="I485" s="30" t="inlineStr">
        <is>
          <t xml:space="preserve">Aston Martin</t>
        </is>
      </c>
      <c r="J485" s="30" t="inlineStr">
        <is>
          <t xml:space="preserve">DB12</t>
        </is>
      </c>
      <c r="K485" s="30" t="inlineStr">
        <is>
          <t xml:space="preserve">XW9LYYZGL8B684BTL</t>
        </is>
      </c>
      <c r="L485" s="32" t="inlineStr">
        <is>
          <t xml:space="preserve">02 - Sports / GT</t>
        </is>
      </c>
      <c r="M485" s="35">
        <v>265000</v>
      </c>
      <c r="N485" s="32" t="inlineStr">
        <is>
          <t xml:space="preserve">Personal</t>
        </is>
      </c>
      <c r="O485" s="30" t="inlineStr">
        <is>
          <t xml:space="preserve">Personal - regular use</t>
        </is>
      </c>
      <c r="P485" s="30" t="inlineStr">
        <is>
          <t xml:space="preserve">2,500 - 5,000</t>
        </is>
      </c>
      <c r="Q485" s="30" t="inlineStr">
        <is>
          <t xml:space="preserve">Indiana</t>
        </is>
      </c>
      <c r="R485" s="30" t="inlineStr">
        <is>
          <t xml:space="preserve">46204</t>
        </is>
      </c>
      <c r="S485" s="32" t="inlineStr">
        <is>
          <t xml:space="preserve">Severe convective - hail / tornado (moderate)</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3830.68</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CANON-202604-007235</t>
        </is>
      </c>
      <c r="B486" s="46" t="inlineStr">
        <is>
          <t xml:space="preserve">Cassius Blackwood</t>
        </is>
      </c>
      <c r="C486" s="47">
        <v>46138</v>
      </c>
      <c r="D486" s="48" t="inlineStr">
        <is>
          <t xml:space="preserve">Bound - within authority</t>
        </is>
      </c>
      <c r="E486" s="48" t="inlineStr">
        <is>
          <t xml:space="preserve">New business</t>
        </is>
      </c>
      <c r="F486" s="46" t="inlineStr">
        <is>
          <t xml:space="preserve">B1234EXOTIC26</t>
        </is>
      </c>
      <c r="G486" s="33">
        <f>IF($A486="","",IF($C486="","",YEAR($C486)))</f>
      </c>
      <c r="H486" s="49">
        <v>1978</v>
      </c>
      <c r="I486" s="46" t="inlineStr">
        <is>
          <t xml:space="preserve">BMW</t>
        </is>
      </c>
      <c r="J486" s="46" t="inlineStr">
        <is>
          <t xml:space="preserve">M8 Competition</t>
        </is>
      </c>
      <c r="K486" s="46" t="inlineStr">
        <is>
          <t xml:space="preserve">XTX93DWXH52KGB6K2</t>
        </is>
      </c>
      <c r="L486" s="48" t="inlineStr">
        <is>
          <t xml:space="preserve">02 - Sports / GT</t>
        </is>
      </c>
      <c r="M486" s="50">
        <v>715000</v>
      </c>
      <c r="N486" s="48" t="inlineStr">
        <is>
          <t xml:space="preserve">Personal</t>
        </is>
      </c>
      <c r="O486" s="46" t="inlineStr">
        <is>
          <t xml:space="preserve">Personal - regular use</t>
        </is>
      </c>
      <c r="P486" s="46" t="inlineStr">
        <is>
          <t xml:space="preserve">Under 1,000</t>
        </is>
      </c>
      <c r="Q486" s="46" t="inlineStr">
        <is>
          <t xml:space="preserve">Washington</t>
        </is>
      </c>
      <c r="R486" s="46" t="inlineStr">
        <is>
          <t xml:space="preserve">98101</t>
        </is>
      </c>
      <c r="S486" s="48" t="inlineStr">
        <is>
          <t xml:space="preserve">Earthquake - high (CA, Cascadia, New Madrid)</t>
        </is>
      </c>
      <c r="T486" s="36">
        <f>IF($A486="","",IF($S486="","",IFERROR(INDEX('[1]natural catastrophe'!$D$6:$D$17,MATCH($S486,'[1]natural catastrophe'!$B$6:$B$17,0)),"?")))</f>
      </c>
      <c r="U486" s="46" t="inlineStr">
        <is>
          <t xml:space="preserve">$5,000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6991.24</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CANON-202604-007237</t>
        </is>
      </c>
      <c r="B487" s="30" t="inlineStr">
        <is>
          <t xml:space="preserve">Callum Farkas</t>
        </is>
      </c>
      <c r="C487" s="31">
        <v>46125</v>
      </c>
      <c r="D487" s="32" t="inlineStr">
        <is>
          <t xml:space="preserve">Bound - within authority</t>
        </is>
      </c>
      <c r="E487" s="32" t="inlineStr">
        <is>
          <t xml:space="preserve">New business</t>
        </is>
      </c>
      <c r="F487" s="30" t="inlineStr">
        <is>
          <t xml:space="preserve">B1234EXOTIC26</t>
        </is>
      </c>
      <c r="G487" s="33">
        <f>IF($A487="","",IF($C487="","",YEAR($C487)))</f>
      </c>
      <c r="H487" s="34">
        <v>2004</v>
      </c>
      <c r="I487" s="30" t="inlineStr">
        <is>
          <t xml:space="preserve">Ferrari</t>
        </is>
      </c>
      <c r="J487" s="30" t="inlineStr">
        <is>
          <t xml:space="preserve">275 GTB/4</t>
        </is>
      </c>
      <c r="K487" s="30" t="inlineStr">
        <is>
          <t xml:space="preserve">DBJMUNCWYD8ZUCAUU</t>
        </is>
      </c>
      <c r="L487" s="32" t="inlineStr">
        <is>
          <t xml:space="preserve">09 - Youngtimer / Collectible (2000-2010)</t>
        </is>
      </c>
      <c r="M487" s="35">
        <v>900000</v>
      </c>
      <c r="N487" s="32" t="inlineStr">
        <is>
          <t xml:space="preserve">Personal</t>
        </is>
      </c>
      <c r="O487" s="30" t="inlineStr">
        <is>
          <t xml:space="preserve">Personal - regular use</t>
        </is>
      </c>
      <c r="P487" s="30" t="inlineStr">
        <is>
          <t xml:space="preserve">2,500 - 5,000</t>
        </is>
      </c>
      <c r="Q487" s="30" t="inlineStr">
        <is>
          <t xml:space="preserve">California</t>
        </is>
      </c>
      <c r="R487" s="30" t="inlineStr">
        <is>
          <t xml:space="preserve">90012</t>
        </is>
      </c>
      <c r="S487" s="32" t="inlineStr">
        <is>
          <t xml:space="preserve">Earthquake - high (CA, Cascadia, New Madrid)</t>
        </is>
      </c>
      <c r="T487" s="36">
        <f>IF($A487="","",IF($S487="","",IFERROR(INDEX('[1]natural catastrophe'!$D$6:$D$17,MATCH($S487,'[1]natural catastrophe'!$B$6:$B$17,0)),"?")))</f>
      </c>
      <c r="U487" s="30" t="inlineStr">
        <is>
          <t xml:space="preserve">$5,000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8186.7</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CANON-202604-007238</t>
        </is>
      </c>
      <c r="B488" s="46" t="inlineStr">
        <is>
          <t xml:space="preserve">Aurelio Fairweather</t>
        </is>
      </c>
      <c r="C488" s="47">
        <v>46117</v>
      </c>
      <c r="D488" s="48" t="inlineStr">
        <is>
          <t xml:space="preserve">Bound - within authority</t>
        </is>
      </c>
      <c r="E488" s="48" t="inlineStr">
        <is>
          <t xml:space="preserve">New business</t>
        </is>
      </c>
      <c r="F488" s="46" t="inlineStr">
        <is>
          <t xml:space="preserve">B1234EXOTIC26</t>
        </is>
      </c>
      <c r="G488" s="33">
        <f>IF($A488="","",IF($C488="","",YEAR($C488)))</f>
      </c>
      <c r="H488" s="49">
        <v>1994</v>
      </c>
      <c r="I488" s="46" t="inlineStr">
        <is>
          <t xml:space="preserve">Mercedes-Benz</t>
        </is>
      </c>
      <c r="J488" s="46" t="inlineStr">
        <is>
          <t xml:space="preserve">AMG GT</t>
        </is>
      </c>
      <c r="K488" s="46" t="inlineStr">
        <is>
          <t xml:space="preserve">SU1A1VDVZX00Z4HS3</t>
        </is>
      </c>
      <c r="L488" s="48" t="inlineStr">
        <is>
          <t xml:space="preserve">02 - Sports / GT</t>
        </is>
      </c>
      <c r="M488" s="50">
        <v>255000</v>
      </c>
      <c r="N488" s="48" t="inlineStr">
        <is>
          <t xml:space="preserve">Personal</t>
        </is>
      </c>
      <c r="O488" s="46" t="inlineStr">
        <is>
          <t xml:space="preserve">Personal - regular use</t>
        </is>
      </c>
      <c r="P488" s="46" t="inlineStr">
        <is>
          <t xml:space="preserve">Under 1,000</t>
        </is>
      </c>
      <c r="Q488" s="46" t="inlineStr">
        <is>
          <t xml:space="preserve">Iowa</t>
        </is>
      </c>
      <c r="R488" s="46" t="inlineStr">
        <is>
          <t xml:space="preserve">50309</t>
        </is>
      </c>
      <c r="S488" s="48" t="inlineStr">
        <is>
          <t xml:space="preserve">Severe convective - hail alley (high)</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3296.54</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CANON-202604-007239</t>
        </is>
      </c>
      <c r="B489" s="30" t="inlineStr">
        <is>
          <t xml:space="preserve">Lorenzo Farkas</t>
        </is>
      </c>
      <c r="C489" s="31">
        <v>46121</v>
      </c>
      <c r="D489" s="32" t="inlineStr">
        <is>
          <t xml:space="preserve">Bound - within authority</t>
        </is>
      </c>
      <c r="E489" s="32" t="inlineStr">
        <is>
          <t xml:space="preserve">New business</t>
        </is>
      </c>
      <c r="F489" s="30" t="inlineStr">
        <is>
          <t xml:space="preserve">B1234EXOTIC26</t>
        </is>
      </c>
      <c r="G489" s="33">
        <f>IF($A489="","",IF($C489="","",YEAR($C489)))</f>
      </c>
      <c r="H489" s="34">
        <v>1961</v>
      </c>
      <c r="I489" s="30" t="inlineStr">
        <is>
          <t xml:space="preserve">Jaguar</t>
        </is>
      </c>
      <c r="J489" s="30" t="inlineStr">
        <is>
          <t xml:space="preserve">E-Type Series 1</t>
        </is>
      </c>
      <c r="K489" s="30" t="inlineStr">
        <is>
          <t xml:space="preserve">YYGB8W46PESNMG2HP</t>
        </is>
      </c>
      <c r="L489" s="32" t="inlineStr">
        <is>
          <t xml:space="preserve">07 - Post-War Classic (1946-1972)</t>
        </is>
      </c>
      <c r="M489" s="35">
        <v>425000</v>
      </c>
      <c r="N489" s="32" t="inlineStr">
        <is>
          <t xml:space="preserve">Personal</t>
        </is>
      </c>
      <c r="O489" s="30" t="inlineStr">
        <is>
          <t xml:space="preserve">Personal - regular use</t>
        </is>
      </c>
      <c r="P489" s="30" t="inlineStr">
        <is>
          <t xml:space="preserve">Under 1,000</t>
        </is>
      </c>
      <c r="Q489" s="30" t="inlineStr">
        <is>
          <t xml:space="preserve">Washington</t>
        </is>
      </c>
      <c r="R489" s="30" t="inlineStr">
        <is>
          <t xml:space="preserve">98101</t>
        </is>
      </c>
      <c r="S489" s="32" t="inlineStr">
        <is>
          <t xml:space="preserve">Earthquake - high (CA, Cascadia, New Madrid)</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3068.77</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CANON-202604-007240</t>
        </is>
      </c>
      <c r="B490" s="46" t="inlineStr">
        <is>
          <t xml:space="preserve">Ingrid Castellanos</t>
        </is>
      </c>
      <c r="C490" s="47">
        <v>46120</v>
      </c>
      <c r="D490" s="48" t="inlineStr">
        <is>
          <t xml:space="preserve">Bound - within authority</t>
        </is>
      </c>
      <c r="E490" s="48" t="inlineStr">
        <is>
          <t xml:space="preserve">New business</t>
        </is>
      </c>
      <c r="F490" s="46" t="inlineStr">
        <is>
          <t xml:space="preserve">B1234EXOTIC26</t>
        </is>
      </c>
      <c r="G490" s="33">
        <f>IF($A490="","",IF($C490="","",YEAR($C490)))</f>
      </c>
      <c r="H490" s="49">
        <v>2009</v>
      </c>
      <c r="I490" s="46" t="inlineStr">
        <is>
          <t xml:space="preserve">Bentley</t>
        </is>
      </c>
      <c r="J490" s="46" t="inlineStr">
        <is>
          <t xml:space="preserve">Continental GT</t>
        </is>
      </c>
      <c r="K490" s="46" t="inlineStr">
        <is>
          <t xml:space="preserve">SU3VFEC6P78L6MVFV</t>
        </is>
      </c>
      <c r="L490" s="48" t="inlineStr">
        <is>
          <t xml:space="preserve">02 - Sports / GT</t>
        </is>
      </c>
      <c r="M490" s="50">
        <v>405000</v>
      </c>
      <c r="N490" s="48" t="inlineStr">
        <is>
          <t xml:space="preserve">Personal</t>
        </is>
      </c>
      <c r="O490" s="46" t="inlineStr">
        <is>
          <t xml:space="preserve">Personal - regular use</t>
        </is>
      </c>
      <c r="P490" s="46" t="inlineStr">
        <is>
          <t xml:space="preserve">2,500 - 5,000</t>
        </is>
      </c>
      <c r="Q490" s="46" t="inlineStr">
        <is>
          <t xml:space="preserve">Kansas</t>
        </is>
      </c>
      <c r="R490" s="46" t="inlineStr">
        <is>
          <t xml:space="preserve">66603</t>
        </is>
      </c>
      <c r="S490" s="48" t="inlineStr">
        <is>
          <t xml:space="preserve">Severe convective - hail alley (high)</t>
        </is>
      </c>
      <c r="T490" s="36">
        <f>IF($A490="","",IF($S490="","",IFERROR(INDEX('[1]natural catastrophe'!$D$6:$D$17,MATCH($S490,'[1]natural catastrophe'!$B$6:$B$17,0)),"?")))</f>
      </c>
      <c r="U490" s="46" t="inlineStr">
        <is>
          <t xml:space="preserve">$5,000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4616.92</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CANON-202604-007242</t>
        </is>
      </c>
      <c r="B491" s="30" t="inlineStr">
        <is>
          <t xml:space="preserve">Wilhelmina Chattopadhyay</t>
        </is>
      </c>
      <c r="C491" s="31">
        <v>46130</v>
      </c>
      <c r="D491" s="32" t="inlineStr">
        <is>
          <t xml:space="preserve">Bound - within authority</t>
        </is>
      </c>
      <c r="E491" s="32" t="inlineStr">
        <is>
          <t xml:space="preserve">New business</t>
        </is>
      </c>
      <c r="F491" s="30" t="inlineStr">
        <is>
          <t xml:space="preserve">B1234EXOTIC26</t>
        </is>
      </c>
      <c r="G491" s="33">
        <f>IF($A491="","",IF($C491="","",YEAR($C491)))</f>
      </c>
      <c r="H491" s="34">
        <v>1966</v>
      </c>
      <c r="I491" s="30" t="inlineStr">
        <is>
          <t xml:space="preserve">Mercedes-Benz</t>
        </is>
      </c>
      <c r="J491" s="30" t="inlineStr">
        <is>
          <t xml:space="preserve">AMG GT</t>
        </is>
      </c>
      <c r="K491" s="30" t="inlineStr">
        <is>
          <t xml:space="preserve">XFE2297VYBEEA3GFC</t>
        </is>
      </c>
      <c r="L491" s="32" t="inlineStr">
        <is>
          <t xml:space="preserve">02 - Sports / GT</t>
        </is>
      </c>
      <c r="M491" s="35">
        <v>840000</v>
      </c>
      <c r="N491" s="32" t="inlineStr">
        <is>
          <t xml:space="preserve">Personal</t>
        </is>
      </c>
      <c r="O491" s="30" t="inlineStr">
        <is>
          <t xml:space="preserve">Personal - regular use</t>
        </is>
      </c>
      <c r="P491" s="30" t="inlineStr">
        <is>
          <t xml:space="preserve">1,000 - 2,500</t>
        </is>
      </c>
      <c r="Q491" s="30" t="inlineStr">
        <is>
          <t xml:space="preserve">New Mexico</t>
        </is>
      </c>
      <c r="R491" s="30" t="inlineStr">
        <is>
          <t xml:space="preserve">87501</t>
        </is>
      </c>
      <c r="S491" s="32" t="inlineStr">
        <is>
          <t xml:space="preserve">Wildfire - WUI high hazard</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10951.32</v>
      </c>
      <c r="AC491" s="37">
        <v>0</v>
      </c>
      <c r="AD491" s="38">
        <f>IF(ISNUMBER($AB491),$AB491*(1+N($AC491)),"")</f>
      </c>
      <c r="AE491" s="35">
        <v>350</v>
      </c>
      <c r="AF491" s="35">
        <v>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CANON-202604-007246</t>
        </is>
      </c>
      <c r="B492" s="46" t="inlineStr">
        <is>
          <t xml:space="preserve">Saoirse Ashcombe</t>
        </is>
      </c>
      <c r="C492" s="47">
        <v>46118</v>
      </c>
      <c r="D492" s="48" t="inlineStr">
        <is>
          <t xml:space="preserve">Bound - within authority</t>
        </is>
      </c>
      <c r="E492" s="48" t="inlineStr">
        <is>
          <t xml:space="preserve">New business</t>
        </is>
      </c>
      <c r="F492" s="46" t="inlineStr">
        <is>
          <t xml:space="preserve">B1234EXOTIC26</t>
        </is>
      </c>
      <c r="G492" s="33">
        <f>IF($A492="","",IF($C492="","",YEAR($C492)))</f>
      </c>
      <c r="H492" s="49">
        <v>2024</v>
      </c>
      <c r="I492" s="46" t="inlineStr">
        <is>
          <t xml:space="preserve">Aston Martin</t>
        </is>
      </c>
      <c r="J492" s="46" t="inlineStr">
        <is>
          <t xml:space="preserve">DB12</t>
        </is>
      </c>
      <c r="K492" s="46" t="inlineStr">
        <is>
          <t xml:space="preserve">L7RU4Y1A9WS3CZSXK</t>
        </is>
      </c>
      <c r="L492" s="48" t="inlineStr">
        <is>
          <t xml:space="preserve">02 - Sports / GT</t>
        </is>
      </c>
      <c r="M492" s="50">
        <v>1075000</v>
      </c>
      <c r="N492" s="48" t="inlineStr">
        <is>
          <t xml:space="preserve">Personal</t>
        </is>
      </c>
      <c r="O492" s="46" t="inlineStr">
        <is>
          <t xml:space="preserve">Personal - regular use</t>
        </is>
      </c>
      <c r="P492" s="46" t="inlineStr">
        <is>
          <t xml:space="preserve">1,000 - 2,500</t>
        </is>
      </c>
      <c r="Q492" s="46" t="inlineStr">
        <is>
          <t xml:space="preserve">New Jersey</t>
        </is>
      </c>
      <c r="R492" s="46" t="inlineStr">
        <is>
          <t xml:space="preserve">07102</t>
        </is>
      </c>
      <c r="S492" s="48" t="inlineStr">
        <is>
          <t xml:space="preserve">Tier 3 - Coastal wind (25-100 miles)</t>
        </is>
      </c>
      <c r="T492" s="36">
        <f>IF($A492="","",IF($S492="","",IFERROR(INDEX('[1]natural catastrophe'!$D$6:$D$17,MATCH($S492,'[1]natural catastrophe'!$B$6:$B$17,0)),"?")))</f>
      </c>
      <c r="U492" s="46" t="inlineStr">
        <is>
          <t xml:space="preserve">2% of agreed value, minimum $10,000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8430.95</v>
      </c>
      <c r="AC492" s="51">
        <v>0</v>
      </c>
      <c r="AD492" s="38">
        <f>IF(ISNUMBER($AB492),$AB492*(1+N($AC492)),"")</f>
      </c>
      <c r="AE492" s="50">
        <v>350</v>
      </c>
      <c r="AF492" s="50">
        <v>250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CANON-202604-007247</t>
        </is>
      </c>
      <c r="B493" s="30" t="inlineStr">
        <is>
          <t xml:space="preserve">Noor Underwood</t>
        </is>
      </c>
      <c r="C493" s="31">
        <v>46116</v>
      </c>
      <c r="D493" s="32" t="inlineStr">
        <is>
          <t xml:space="preserve">Bound - within authority</t>
        </is>
      </c>
      <c r="E493" s="32" t="inlineStr">
        <is>
          <t xml:space="preserve">New business</t>
        </is>
      </c>
      <c r="F493" s="30" t="inlineStr">
        <is>
          <t xml:space="preserve">B1234EXOTIC26</t>
        </is>
      </c>
      <c r="G493" s="33">
        <f>IF($A493="","",IF($C493="","",YEAR($C493)))</f>
      </c>
      <c r="H493" s="34">
        <v>1975</v>
      </c>
      <c r="I493" s="30" t="inlineStr">
        <is>
          <t xml:space="preserve">Lamborghini</t>
        </is>
      </c>
      <c r="J493" s="30" t="inlineStr">
        <is>
          <t xml:space="preserve">Huracan EVO</t>
        </is>
      </c>
      <c r="K493" s="30" t="inlineStr">
        <is>
          <t xml:space="preserve">4XZJ0PYSXGCGRWE4R</t>
        </is>
      </c>
      <c r="L493" s="32" t="inlineStr">
        <is>
          <t xml:space="preserve">03 - Supercar</t>
        </is>
      </c>
      <c r="M493" s="35">
        <v>310000</v>
      </c>
      <c r="N493" s="32" t="inlineStr">
        <is>
          <t xml:space="preserve">Personal</t>
        </is>
      </c>
      <c r="O493" s="30" t="inlineStr">
        <is>
          <t xml:space="preserve">Personal - regular use</t>
        </is>
      </c>
      <c r="P493" s="30" t="inlineStr">
        <is>
          <t xml:space="preserve">1,000 - 2,500</t>
        </is>
      </c>
      <c r="Q493" s="30" t="inlineStr">
        <is>
          <t xml:space="preserve">Maine</t>
        </is>
      </c>
      <c r="R493" s="30" t="inlineStr">
        <is>
          <t xml:space="preserve">04101</t>
        </is>
      </c>
      <c r="S493" s="32" t="inlineStr">
        <is>
          <t xml:space="preserve">Tier 3 - Coastal wind (25-100 miles)</t>
        </is>
      </c>
      <c r="T493" s="36">
        <f>IF($A493="","",IF($S493="","",IFERROR(INDEX('[1]natural catastrophe'!$D$6:$D$17,MATCH($S493,'[1]natural catastrophe'!$B$6:$B$17,0)),"?")))</f>
      </c>
      <c r="U493" s="30" t="inlineStr">
        <is>
          <t xml:space="preserve">2% of agreed value, minimum $10,000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6033.19</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CANON-202604-007248</t>
        </is>
      </c>
      <c r="B494" s="46" t="inlineStr">
        <is>
          <t xml:space="preserve">Delphine Bellandi</t>
        </is>
      </c>
      <c r="C494" s="47">
        <v>46128</v>
      </c>
      <c r="D494" s="48" t="inlineStr">
        <is>
          <t xml:space="preserve">Bound - within authority</t>
        </is>
      </c>
      <c r="E494" s="48" t="inlineStr">
        <is>
          <t xml:space="preserve">New business</t>
        </is>
      </c>
      <c r="F494" s="46" t="inlineStr">
        <is>
          <t xml:space="preserve">B1234EXOTIC26</t>
        </is>
      </c>
      <c r="G494" s="33">
        <f>IF($A494="","",IF($C494="","",YEAR($C494)))</f>
      </c>
      <c r="H494" s="49">
        <v>1959</v>
      </c>
      <c r="I494" s="46" t="inlineStr">
        <is>
          <t xml:space="preserve">Mercedes-Benz</t>
        </is>
      </c>
      <c r="J494" s="46" t="inlineStr">
        <is>
          <t xml:space="preserve">AMG GT</t>
        </is>
      </c>
      <c r="K494" s="46" t="inlineStr">
        <is>
          <t xml:space="preserve">SNKXMCR6HREZLDGVZ</t>
        </is>
      </c>
      <c r="L494" s="48" t="inlineStr">
        <is>
          <t xml:space="preserve">02 - Sports / GT</t>
        </is>
      </c>
      <c r="M494" s="50">
        <v>1950000</v>
      </c>
      <c r="N494" s="48" t="inlineStr">
        <is>
          <t xml:space="preserve">Personal</t>
        </is>
      </c>
      <c r="O494" s="46" t="inlineStr">
        <is>
          <t xml:space="preserve">Personal - regular use</t>
        </is>
      </c>
      <c r="P494" s="46" t="inlineStr">
        <is>
          <t xml:space="preserve">Under 1,000</t>
        </is>
      </c>
      <c r="Q494" s="46" t="inlineStr">
        <is>
          <t xml:space="preserve">Rhode Island</t>
        </is>
      </c>
      <c r="R494" s="46" t="inlineStr">
        <is>
          <t xml:space="preserve">02903</t>
        </is>
      </c>
      <c r="S494" s="48" t="inlineStr">
        <is>
          <t xml:space="preserve">Tier 3 - Coastal wind (25-100 miles)</t>
        </is>
      </c>
      <c r="T494" s="36">
        <f>IF($A494="","",IF($S494="","",IFERROR(INDEX('[1]natural catastrophe'!$D$6:$D$17,MATCH($S494,'[1]natural catastrophe'!$B$6:$B$17,0)),"?")))</f>
      </c>
      <c r="U494" s="46" t="inlineStr">
        <is>
          <t xml:space="preserve">2% of agreed value, minimum $10,000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23024.04</v>
      </c>
      <c r="AC494" s="51">
        <v>0</v>
      </c>
      <c r="AD494" s="38">
        <f>IF(ISNUMBER($AB494),$AB494*(1+N($AC494)),"")</f>
      </c>
      <c r="AE494" s="50">
        <v>350</v>
      </c>
      <c r="AF494" s="50">
        <v>250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CANON-202604-007249</t>
        </is>
      </c>
      <c r="B495" s="30" t="inlineStr">
        <is>
          <t xml:space="preserve">Emiliano Montoya</t>
        </is>
      </c>
      <c r="C495" s="31">
        <v>46122</v>
      </c>
      <c r="D495" s="32" t="inlineStr">
        <is>
          <t xml:space="preserve">Bound - within authority</t>
        </is>
      </c>
      <c r="E495" s="32" t="inlineStr">
        <is>
          <t xml:space="preserve">New business</t>
        </is>
      </c>
      <c r="F495" s="30" t="inlineStr">
        <is>
          <t xml:space="preserve">B1234EXOTIC26</t>
        </is>
      </c>
      <c r="G495" s="33">
        <f>IF($A495="","",IF($C495="","",YEAR($C495)))</f>
      </c>
      <c r="H495" s="34">
        <v>1959</v>
      </c>
      <c r="I495" s="30" t="inlineStr">
        <is>
          <t xml:space="preserve">Ferrari</t>
        </is>
      </c>
      <c r="J495" s="30" t="inlineStr">
        <is>
          <t xml:space="preserve">296 GTB</t>
        </is>
      </c>
      <c r="K495" s="30" t="inlineStr">
        <is>
          <t xml:space="preserve">MMW36F0D024TCNJD1</t>
        </is>
      </c>
      <c r="L495" s="32" t="inlineStr">
        <is>
          <t xml:space="preserve">03 - Supercar</t>
        </is>
      </c>
      <c r="M495" s="35">
        <v>1705000</v>
      </c>
      <c r="N495" s="32" t="inlineStr">
        <is>
          <t xml:space="preserve">Personal</t>
        </is>
      </c>
      <c r="O495" s="30" t="inlineStr">
        <is>
          <t xml:space="preserve">Personal - regular use</t>
        </is>
      </c>
      <c r="P495" s="30" t="inlineStr">
        <is>
          <t xml:space="preserve">1,000 - 2,500</t>
        </is>
      </c>
      <c r="Q495" s="30" t="inlineStr">
        <is>
          <t xml:space="preserve">Maine</t>
        </is>
      </c>
      <c r="R495" s="30" t="inlineStr">
        <is>
          <t xml:space="preserve">04101</t>
        </is>
      </c>
      <c r="S495" s="32" t="inlineStr">
        <is>
          <t xml:space="preserve">Tier 3 - Coastal wind (25-100 miles)</t>
        </is>
      </c>
      <c r="T495" s="36">
        <f>IF($A495="","",IF($S495="","",IFERROR(INDEX('[1]natural catastrophe'!$D$6:$D$17,MATCH($S495,'[1]natural catastrophe'!$B$6:$B$17,0)),"?")))</f>
      </c>
      <c r="U495" s="30" t="inlineStr">
        <is>
          <t xml:space="preserve">2% of agreed value, minimum $10,000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23083.51</v>
      </c>
      <c r="AC495" s="37">
        <v>0</v>
      </c>
      <c r="AD495" s="38">
        <f>IF(ISNUMBER($AB495),$AB495*(1+N($AC495)),"")</f>
      </c>
      <c r="AE495" s="35">
        <v>350</v>
      </c>
      <c r="AF495" s="35">
        <v>250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CANON-202604-007250</t>
        </is>
      </c>
      <c r="B496" s="46" t="inlineStr">
        <is>
          <t xml:space="preserve">Ottilie Larsson</t>
        </is>
      </c>
      <c r="C496" s="47">
        <v>46131</v>
      </c>
      <c r="D496" s="48" t="inlineStr">
        <is>
          <t xml:space="preserve">Bound - within authority</t>
        </is>
      </c>
      <c r="E496" s="48" t="inlineStr">
        <is>
          <t xml:space="preserve">New business</t>
        </is>
      </c>
      <c r="F496" s="46" t="inlineStr">
        <is>
          <t xml:space="preserve">B1234EXOTIC26</t>
        </is>
      </c>
      <c r="G496" s="33">
        <f>IF($A496="","",IF($C496="","",YEAR($C496)))</f>
      </c>
      <c r="H496" s="49">
        <v>1973</v>
      </c>
      <c r="I496" s="46" t="inlineStr">
        <is>
          <t xml:space="preserve">Mercedes-Benz</t>
        </is>
      </c>
      <c r="J496" s="46" t="inlineStr">
        <is>
          <t xml:space="preserve">AMG GT</t>
        </is>
      </c>
      <c r="K496" s="46" t="inlineStr">
        <is>
          <t xml:space="preserve">Y0AF5LACRW4K7A02B</t>
        </is>
      </c>
      <c r="L496" s="48" t="inlineStr">
        <is>
          <t xml:space="preserve">02 - Sports / GT</t>
        </is>
      </c>
      <c r="M496" s="50">
        <v>625000</v>
      </c>
      <c r="N496" s="48" t="inlineStr">
        <is>
          <t xml:space="preserve">Personal</t>
        </is>
      </c>
      <c r="O496" s="46" t="inlineStr">
        <is>
          <t xml:space="preserve">Personal - regular use</t>
        </is>
      </c>
      <c r="P496" s="46" t="inlineStr">
        <is>
          <t xml:space="preserve">1,000 - 2,500</t>
        </is>
      </c>
      <c r="Q496" s="46" t="inlineStr">
        <is>
          <t xml:space="preserve">Tennessee</t>
        </is>
      </c>
      <c r="R496" s="46" t="inlineStr">
        <is>
          <t xml:space="preserve">37203</t>
        </is>
      </c>
      <c r="S496" s="48" t="inlineStr">
        <is>
          <t xml:space="preserve">Severe convective - hail / tornado (moderate)</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6238.54</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CANON-202604-007251</t>
        </is>
      </c>
      <c r="B497" s="30" t="inlineStr">
        <is>
          <t xml:space="preserve">Lorenzo Harrington</t>
        </is>
      </c>
      <c r="C497" s="31">
        <v>46137</v>
      </c>
      <c r="D497" s="32" t="inlineStr">
        <is>
          <t xml:space="preserve">Bound - within authority</t>
        </is>
      </c>
      <c r="E497" s="32" t="inlineStr">
        <is>
          <t xml:space="preserve">New business</t>
        </is>
      </c>
      <c r="F497" s="30" t="inlineStr">
        <is>
          <t xml:space="preserve">B1234EXOTIC26</t>
        </is>
      </c>
      <c r="G497" s="33">
        <f>IF($A497="","",IF($C497="","",YEAR($C497)))</f>
      </c>
      <c r="H497" s="34">
        <v>1958</v>
      </c>
      <c r="I497" s="30" t="inlineStr">
        <is>
          <t xml:space="preserve">Maserati</t>
        </is>
      </c>
      <c r="J497" s="30" t="inlineStr">
        <is>
          <t xml:space="preserve">GranTurismo</t>
        </is>
      </c>
      <c r="K497" s="30" t="inlineStr">
        <is>
          <t xml:space="preserve">T15SEUT2WJ7S73HBH</t>
        </is>
      </c>
      <c r="L497" s="32" t="inlineStr">
        <is>
          <t xml:space="preserve">02 - Sports / GT</t>
        </is>
      </c>
      <c r="M497" s="35">
        <v>275000</v>
      </c>
      <c r="N497" s="32" t="inlineStr">
        <is>
          <t xml:space="preserve">Personal</t>
        </is>
      </c>
      <c r="O497" s="30" t="inlineStr">
        <is>
          <t xml:space="preserve">Personal - regular use</t>
        </is>
      </c>
      <c r="P497" s="30" t="inlineStr">
        <is>
          <t xml:space="preserve">1,000 - 2,500</t>
        </is>
      </c>
      <c r="Q497" s="30" t="inlineStr">
        <is>
          <t xml:space="preserve">Maryland</t>
        </is>
      </c>
      <c r="R497" s="30" t="inlineStr">
        <is>
          <t xml:space="preserve">21201</t>
        </is>
      </c>
      <c r="S497" s="32" t="inlineStr">
        <is>
          <t xml:space="preserve">Tier 3 - Coastal wind (25-100 miles)</t>
        </is>
      </c>
      <c r="T497" s="36">
        <f>IF($A497="","",IF($S497="","",IFERROR(INDEX('[1]natural catastrophe'!$D$6:$D$17,MATCH($S497,'[1]natural catastrophe'!$B$6:$B$17,0)),"?")))</f>
      </c>
      <c r="U497" s="30" t="inlineStr">
        <is>
          <t xml:space="preserve">2% of agreed value, minimum $10,000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3070.3</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CANON-202604-007252</t>
        </is>
      </c>
      <c r="B498" s="46" t="inlineStr">
        <is>
          <t xml:space="preserve">Mireille Ashcombe</t>
        </is>
      </c>
      <c r="C498" s="47">
        <v>46124</v>
      </c>
      <c r="D498" s="48" t="inlineStr">
        <is>
          <t xml:space="preserve">Bound - within authority</t>
        </is>
      </c>
      <c r="E498" s="48" t="inlineStr">
        <is>
          <t xml:space="preserve">New business</t>
        </is>
      </c>
      <c r="F498" s="46" t="inlineStr">
        <is>
          <t xml:space="preserve">B1234EXOTIC26</t>
        </is>
      </c>
      <c r="G498" s="33">
        <f>IF($A498="","",IF($C498="","",YEAR($C498)))</f>
      </c>
      <c r="H498" s="49">
        <v>1978</v>
      </c>
      <c r="I498" s="46" t="inlineStr">
        <is>
          <t xml:space="preserve">Porsche</t>
        </is>
      </c>
      <c r="J498" s="46" t="inlineStr">
        <is>
          <t xml:space="preserve">911 Turbo S</t>
        </is>
      </c>
      <c r="K498" s="46" t="inlineStr">
        <is>
          <t xml:space="preserve">22YTAPMLG11JW6P2G</t>
        </is>
      </c>
      <c r="L498" s="48" t="inlineStr">
        <is>
          <t xml:space="preserve">02 - Sports / GT</t>
        </is>
      </c>
      <c r="M498" s="50">
        <v>345000</v>
      </c>
      <c r="N498" s="48" t="inlineStr">
        <is>
          <t xml:space="preserve">Personal</t>
        </is>
      </c>
      <c r="O498" s="46" t="inlineStr">
        <is>
          <t xml:space="preserve">Personal - regular use</t>
        </is>
      </c>
      <c r="P498" s="46" t="inlineStr">
        <is>
          <t xml:space="preserve">1,000 - 2,500</t>
        </is>
      </c>
      <c r="Q498" s="46" t="inlineStr">
        <is>
          <t xml:space="preserve">Illinois</t>
        </is>
      </c>
      <c r="R498" s="46" t="inlineStr">
        <is>
          <t xml:space="preserve">60601</t>
        </is>
      </c>
      <c r="S498" s="48" t="inlineStr">
        <is>
          <t xml:space="preserve">Severe convective - hail / tornado (moderate)</t>
        </is>
      </c>
      <c r="T498" s="36">
        <f>IF($A498="","",IF($S498="","",IFERROR(INDEX('[1]natural catastrophe'!$D$6:$D$17,MATCH($S498,'[1]natural catastrophe'!$B$6:$B$17,0)),"?")))</f>
      </c>
      <c r="U498" s="46" t="inlineStr">
        <is>
          <t xml:space="preserve">$5,000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5514.2</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CANON-202604-007253</t>
        </is>
      </c>
      <c r="B499" s="30" t="inlineStr">
        <is>
          <t xml:space="preserve">Ramona Montoya</t>
        </is>
      </c>
      <c r="C499" s="31">
        <v>46120</v>
      </c>
      <c r="D499" s="32" t="inlineStr">
        <is>
          <t xml:space="preserve">Bound - within authority</t>
        </is>
      </c>
      <c r="E499" s="32" t="inlineStr">
        <is>
          <t xml:space="preserve">New business</t>
        </is>
      </c>
      <c r="F499" s="30" t="inlineStr">
        <is>
          <t xml:space="preserve">B1234EXOTIC26</t>
        </is>
      </c>
      <c r="G499" s="33">
        <f>IF($A499="","",IF($C499="","",YEAR($C499)))</f>
      </c>
      <c r="H499" s="34">
        <v>1980</v>
      </c>
      <c r="I499" s="30" t="inlineStr">
        <is>
          <t xml:space="preserve">Aston Martin</t>
        </is>
      </c>
      <c r="J499" s="30" t="inlineStr">
        <is>
          <t xml:space="preserve">DB12</t>
        </is>
      </c>
      <c r="K499" s="30" t="inlineStr">
        <is>
          <t xml:space="preserve">3A9ELMV5ZR6U6NWB8</t>
        </is>
      </c>
      <c r="L499" s="32" t="inlineStr">
        <is>
          <t xml:space="preserve">02 - Sports / GT</t>
        </is>
      </c>
      <c r="M499" s="35">
        <v>300000</v>
      </c>
      <c r="N499" s="32" t="inlineStr">
        <is>
          <t xml:space="preserve">Personal</t>
        </is>
      </c>
      <c r="O499" s="30" t="inlineStr">
        <is>
          <t xml:space="preserve">Personal - regular use</t>
        </is>
      </c>
      <c r="P499" s="30" t="inlineStr">
        <is>
          <t xml:space="preserve">1,000 - 2,500</t>
        </is>
      </c>
      <c r="Q499" s="30" t="inlineStr">
        <is>
          <t xml:space="preserve">New Mexico</t>
        </is>
      </c>
      <c r="R499" s="30" t="inlineStr">
        <is>
          <t xml:space="preserve">87501</t>
        </is>
      </c>
      <c r="S499" s="32" t="inlineStr">
        <is>
          <t xml:space="preserve">Wildfire - WUI high hazard</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4512.9</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CANON-202604-007255</t>
        </is>
      </c>
      <c r="B500" s="46" t="inlineStr">
        <is>
          <t xml:space="preserve">Aurelio Blackwood</t>
        </is>
      </c>
      <c r="C500" s="47">
        <v>46140</v>
      </c>
      <c r="D500" s="48" t="inlineStr">
        <is>
          <t xml:space="preserve">Bound - within authority</t>
        </is>
      </c>
      <c r="E500" s="48" t="inlineStr">
        <is>
          <t xml:space="preserve">New business</t>
        </is>
      </c>
      <c r="F500" s="46" t="inlineStr">
        <is>
          <t xml:space="preserve">B1234EXOTIC26</t>
        </is>
      </c>
      <c r="G500" s="33">
        <f>IF($A500="","",IF($C500="","",YEAR($C500)))</f>
      </c>
      <c r="H500" s="49">
        <v>1982</v>
      </c>
      <c r="I500" s="46" t="inlineStr">
        <is>
          <t xml:space="preserve">Mercedes-Benz</t>
        </is>
      </c>
      <c r="J500" s="46" t="inlineStr">
        <is>
          <t xml:space="preserve">AMG GT</t>
        </is>
      </c>
      <c r="K500" s="46" t="inlineStr">
        <is>
          <t xml:space="preserve">1KHGWXX88KRYR4D04</t>
        </is>
      </c>
      <c r="L500" s="48" t="inlineStr">
        <is>
          <t xml:space="preserve">02 - Sports / GT</t>
        </is>
      </c>
      <c r="M500" s="50">
        <v>650000</v>
      </c>
      <c r="N500" s="48" t="inlineStr">
        <is>
          <t xml:space="preserve">Personal</t>
        </is>
      </c>
      <c r="O500" s="46" t="inlineStr">
        <is>
          <t xml:space="preserve">Personal - regular use</t>
        </is>
      </c>
      <c r="P500" s="46" t="inlineStr">
        <is>
          <t xml:space="preserve">1,000 - 2,500</t>
        </is>
      </c>
      <c r="Q500" s="46" t="inlineStr">
        <is>
          <t xml:space="preserve">Florida</t>
        </is>
      </c>
      <c r="R500" s="46" t="inlineStr">
        <is>
          <t xml:space="preserve">33139</t>
        </is>
      </c>
      <c r="S500" s="48" t="inlineStr">
        <is>
          <t xml:space="preserve">Tier 2 - Coastal wind (1-25 miles)</t>
        </is>
      </c>
      <c r="T500" s="36">
        <f>IF($A500="","",IF($S500="","",IFERROR(INDEX('[1]natural catastrophe'!$D$6:$D$17,MATCH($S500,'[1]natural catastrophe'!$B$6:$B$17,0)),"?")))</f>
      </c>
      <c r="U500" s="46" t="inlineStr">
        <is>
          <t xml:space="preserve">2% of agreed value, minimum $10,000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9401.1</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CANON-202604-007256</t>
        </is>
      </c>
      <c r="B501" s="30" t="inlineStr">
        <is>
          <t xml:space="preserve">Sunniva Fairweather</t>
        </is>
      </c>
      <c r="C501" s="31">
        <v>46139</v>
      </c>
      <c r="D501" s="32" t="inlineStr">
        <is>
          <t xml:space="preserve">Bound - within authority</t>
        </is>
      </c>
      <c r="E501" s="32" t="inlineStr">
        <is>
          <t xml:space="preserve">New business</t>
        </is>
      </c>
      <c r="F501" s="30" t="inlineStr">
        <is>
          <t xml:space="preserve">B1234EXOTIC26</t>
        </is>
      </c>
      <c r="G501" s="33">
        <f>IF($A501="","",IF($C501="","",YEAR($C501)))</f>
      </c>
      <c r="H501" s="34">
        <v>1958</v>
      </c>
      <c r="I501" s="30" t="inlineStr">
        <is>
          <t xml:space="preserve">Maserati</t>
        </is>
      </c>
      <c r="J501" s="30" t="inlineStr">
        <is>
          <t xml:space="preserve">GranTurismo</t>
        </is>
      </c>
      <c r="K501" s="30" t="inlineStr">
        <is>
          <t xml:space="preserve">14FMZTF8YA9HNYJ2H</t>
        </is>
      </c>
      <c r="L501" s="32" t="inlineStr">
        <is>
          <t xml:space="preserve">02 - Sports / GT</t>
        </is>
      </c>
      <c r="M501" s="35">
        <v>585000</v>
      </c>
      <c r="N501" s="32" t="inlineStr">
        <is>
          <t xml:space="preserve">Personal</t>
        </is>
      </c>
      <c r="O501" s="30" t="inlineStr">
        <is>
          <t xml:space="preserve">Personal - regular use</t>
        </is>
      </c>
      <c r="P501" s="30" t="inlineStr">
        <is>
          <t xml:space="preserve">Under 1,000</t>
        </is>
      </c>
      <c r="Q501" s="30" t="inlineStr">
        <is>
          <t xml:space="preserve">New Mexico</t>
        </is>
      </c>
      <c r="R501" s="30" t="inlineStr">
        <is>
          <t xml:space="preserve">87501</t>
        </is>
      </c>
      <c r="S501" s="32" t="inlineStr">
        <is>
          <t xml:space="preserve">Wildfire - WUI high hazard</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7626.81</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CANON-202604-007258</t>
        </is>
      </c>
      <c r="B502" s="46" t="inlineStr">
        <is>
          <t xml:space="preserve">Saoirse Ashcombe</t>
        </is>
      </c>
      <c r="C502" s="47">
        <v>46137</v>
      </c>
      <c r="D502" s="48" t="inlineStr">
        <is>
          <t xml:space="preserve">Bound - within authority</t>
        </is>
      </c>
      <c r="E502" s="48" t="inlineStr">
        <is>
          <t xml:space="preserve">New business</t>
        </is>
      </c>
      <c r="F502" s="46" t="inlineStr">
        <is>
          <t xml:space="preserve">B1234EXOTIC26</t>
        </is>
      </c>
      <c r="G502" s="33">
        <f>IF($A502="","",IF($C502="","",YEAR($C502)))</f>
      </c>
      <c r="H502" s="49">
        <v>1979</v>
      </c>
      <c r="I502" s="46" t="inlineStr">
        <is>
          <t xml:space="preserve">Mercedes-Benz</t>
        </is>
      </c>
      <c r="J502" s="46" t="inlineStr">
        <is>
          <t xml:space="preserve">AMG GT</t>
        </is>
      </c>
      <c r="K502" s="46" t="inlineStr">
        <is>
          <t xml:space="preserve">90ZNZ3Z401CR6SVYT</t>
        </is>
      </c>
      <c r="L502" s="48" t="inlineStr">
        <is>
          <t xml:space="preserve">02 - Sports / GT</t>
        </is>
      </c>
      <c r="M502" s="50">
        <v>700000</v>
      </c>
      <c r="N502" s="48" t="inlineStr">
        <is>
          <t xml:space="preserve">Personal</t>
        </is>
      </c>
      <c r="O502" s="46" t="inlineStr">
        <is>
          <t xml:space="preserve">Personal - regular use</t>
        </is>
      </c>
      <c r="P502" s="46" t="inlineStr">
        <is>
          <t xml:space="preserve">1,000 - 2,500</t>
        </is>
      </c>
      <c r="Q502" s="46" t="inlineStr">
        <is>
          <t xml:space="preserve">Washington</t>
        </is>
      </c>
      <c r="R502" s="46" t="inlineStr">
        <is>
          <t xml:space="preserve">98101</t>
        </is>
      </c>
      <c r="S502" s="48" t="inlineStr">
        <is>
          <t xml:space="preserve">Earthquake - high (CA, Cascadia, New Madrid)</t>
        </is>
      </c>
      <c r="T502" s="36">
        <f>IF($A502="","",IF($S502="","",IFERROR(INDEX('[1]natural catastrophe'!$D$6:$D$17,MATCH($S502,'[1]natural catastrophe'!$B$6:$B$17,0)),"?")))</f>
      </c>
      <c r="U502" s="46" t="inlineStr">
        <is>
          <t xml:space="preserve">$5,000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6844.57</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CANON-202604-007259</t>
        </is>
      </c>
      <c r="B503" s="30" t="inlineStr">
        <is>
          <t xml:space="preserve">Fitzgerald Castellanos</t>
        </is>
      </c>
      <c r="C503" s="31">
        <v>46141</v>
      </c>
      <c r="D503" s="32" t="inlineStr">
        <is>
          <t xml:space="preserve">Bound - within authority</t>
        </is>
      </c>
      <c r="E503" s="32" t="inlineStr">
        <is>
          <t xml:space="preserve">New business</t>
        </is>
      </c>
      <c r="F503" s="30" t="inlineStr">
        <is>
          <t xml:space="preserve">B1234EXOTIC26</t>
        </is>
      </c>
      <c r="G503" s="33">
        <f>IF($A503="","",IF($C503="","",YEAR($C503)))</f>
      </c>
      <c r="H503" s="34">
        <v>1958</v>
      </c>
      <c r="I503" s="30" t="inlineStr">
        <is>
          <t xml:space="preserve">Bentley</t>
        </is>
      </c>
      <c r="J503" s="30" t="inlineStr">
        <is>
          <t xml:space="preserve">4.5 Litre</t>
        </is>
      </c>
      <c r="K503" s="30" t="inlineStr">
        <is>
          <t xml:space="preserve">9AYNNL7KG2KGKTJ8T</t>
        </is>
      </c>
      <c r="L503" s="32" t="inlineStr">
        <is>
          <t xml:space="preserve">07 - Post-War Classic (1946-1972)</t>
        </is>
      </c>
      <c r="M503" s="35">
        <v>1950000</v>
      </c>
      <c r="N503" s="32" t="inlineStr">
        <is>
          <t xml:space="preserve">Personal</t>
        </is>
      </c>
      <c r="O503" s="30" t="inlineStr">
        <is>
          <t xml:space="preserve">Personal - regular use</t>
        </is>
      </c>
      <c r="P503" s="30" t="inlineStr">
        <is>
          <t xml:space="preserve">2,500 - 5,000</t>
        </is>
      </c>
      <c r="Q503" s="30" t="inlineStr">
        <is>
          <t xml:space="preserve">Texas</t>
        </is>
      </c>
      <c r="R503" s="30" t="inlineStr">
        <is>
          <t xml:space="preserve">75201</t>
        </is>
      </c>
      <c r="S503" s="32" t="inlineStr">
        <is>
          <t xml:space="preserve">Tier 2 - Coastal wind (1-25 miles)</t>
        </is>
      </c>
      <c r="T503" s="36">
        <f>IF($A503="","",IF($S503="","",IFERROR(INDEX('[1]natural catastrophe'!$D$6:$D$17,MATCH($S503,'[1]natural catastrophe'!$B$6:$B$17,0)),"?")))</f>
      </c>
      <c r="U503" s="30" t="inlineStr">
        <is>
          <t xml:space="preserve">2% of agreed value, minimum $10,000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11947.45</v>
      </c>
      <c r="AC503" s="37">
        <v>0</v>
      </c>
      <c r="AD503" s="38">
        <f>IF(ISNUMBER($AB503),$AB503*(1+N($AC503)),"")</f>
      </c>
      <c r="AE503" s="35">
        <v>350</v>
      </c>
      <c r="AF503" s="35">
        <v>250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CANON-202604-007260</t>
        </is>
      </c>
      <c r="B504" s="46" t="inlineStr">
        <is>
          <t xml:space="preserve">Cassius Montoya</t>
        </is>
      </c>
      <c r="C504" s="47">
        <v>46137</v>
      </c>
      <c r="D504" s="48" t="inlineStr">
        <is>
          <t xml:space="preserve">Bound - within authority</t>
        </is>
      </c>
      <c r="E504" s="48" t="inlineStr">
        <is>
          <t xml:space="preserve">New business</t>
        </is>
      </c>
      <c r="F504" s="46" t="inlineStr">
        <is>
          <t xml:space="preserve">B1234EXOTIC26</t>
        </is>
      </c>
      <c r="G504" s="33">
        <f>IF($A504="","",IF($C504="","",YEAR($C504)))</f>
      </c>
      <c r="H504" s="49">
        <v>2004</v>
      </c>
      <c r="I504" s="46" t="inlineStr">
        <is>
          <t xml:space="preserve">McLaren</t>
        </is>
      </c>
      <c r="J504" s="46" t="inlineStr">
        <is>
          <t xml:space="preserve">750S</t>
        </is>
      </c>
      <c r="K504" s="46" t="inlineStr">
        <is>
          <t xml:space="preserve">TWK637FWK4TGXDSU7</t>
        </is>
      </c>
      <c r="L504" s="48" t="inlineStr">
        <is>
          <t xml:space="preserve">03 - Supercar</t>
        </is>
      </c>
      <c r="M504" s="50">
        <v>250000</v>
      </c>
      <c r="N504" s="48" t="inlineStr">
        <is>
          <t xml:space="preserve">Personal</t>
        </is>
      </c>
      <c r="O504" s="46" t="inlineStr">
        <is>
          <t xml:space="preserve">Personal - regular use</t>
        </is>
      </c>
      <c r="P504" s="46" t="inlineStr">
        <is>
          <t xml:space="preserve">1,000 - 2,500</t>
        </is>
      </c>
      <c r="Q504" s="46" t="inlineStr">
        <is>
          <t xml:space="preserve">Texas</t>
        </is>
      </c>
      <c r="R504" s="46" t="inlineStr">
        <is>
          <t xml:space="preserve">75201</t>
        </is>
      </c>
      <c r="S504" s="48" t="inlineStr">
        <is>
          <t xml:space="preserve">Tier 2 - Coastal wind (1-25 miles)</t>
        </is>
      </c>
      <c r="T504" s="36">
        <f>IF($A504="","",IF($S504="","",IFERROR(INDEX('[1]natural catastrophe'!$D$6:$D$17,MATCH($S504,'[1]natural catastrophe'!$B$6:$B$17,0)),"?")))</f>
      </c>
      <c r="U504" s="46" t="inlineStr">
        <is>
          <t xml:space="preserve">2% of agreed value, minimum $10,000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5180.83</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CANON-202604-007261</t>
        </is>
      </c>
      <c r="B505" s="30" t="inlineStr">
        <is>
          <t xml:space="preserve">Saoirse Underwood</t>
        </is>
      </c>
      <c r="C505" s="31">
        <v>46126</v>
      </c>
      <c r="D505" s="32" t="inlineStr">
        <is>
          <t xml:space="preserve">Bound - within authority</t>
        </is>
      </c>
      <c r="E505" s="32" t="inlineStr">
        <is>
          <t xml:space="preserve">New business</t>
        </is>
      </c>
      <c r="F505" s="30" t="inlineStr">
        <is>
          <t xml:space="preserve">B1234EXOTIC26</t>
        </is>
      </c>
      <c r="G505" s="33">
        <f>IF($A505="","",IF($C505="","",YEAR($C505)))</f>
      </c>
      <c r="H505" s="34">
        <v>1958</v>
      </c>
      <c r="I505" s="30" t="inlineStr">
        <is>
          <t xml:space="preserve">Aston Martin</t>
        </is>
      </c>
      <c r="J505" s="30" t="inlineStr">
        <is>
          <t xml:space="preserve">DB12</t>
        </is>
      </c>
      <c r="K505" s="30" t="inlineStr">
        <is>
          <t xml:space="preserve">ACPHYVX5WCMH3CZ0X</t>
        </is>
      </c>
      <c r="L505" s="32" t="inlineStr">
        <is>
          <t xml:space="preserve">02 - Sports / GT</t>
        </is>
      </c>
      <c r="M505" s="35">
        <v>730000</v>
      </c>
      <c r="N505" s="32" t="inlineStr">
        <is>
          <t xml:space="preserve">Personal</t>
        </is>
      </c>
      <c r="O505" s="30" t="inlineStr">
        <is>
          <t xml:space="preserve">Personal - regular use</t>
        </is>
      </c>
      <c r="P505" s="30" t="inlineStr">
        <is>
          <t xml:space="preserve">1,000 - 2,500</t>
        </is>
      </c>
      <c r="Q505" s="30" t="inlineStr">
        <is>
          <t xml:space="preserve">Missouri</t>
        </is>
      </c>
      <c r="R505" s="30" t="inlineStr">
        <is>
          <t xml:space="preserve">63101</t>
        </is>
      </c>
      <c r="S505" s="32" t="inlineStr">
        <is>
          <t xml:space="preserve">Severe convective - hail / tornado (moderate)</t>
        </is>
      </c>
      <c r="T505" s="36">
        <f>IF($A505="","",IF($S505="","",IFERROR(INDEX('[1]natural catastrophe'!$D$6:$D$17,MATCH($S505,'[1]natural catastrophe'!$B$6:$B$17,0)),"?")))</f>
      </c>
      <c r="U505" s="30" t="inlineStr">
        <is>
          <t xml:space="preserve">$5,000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7881.44</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CANON-202604-007262</t>
        </is>
      </c>
      <c r="B506" s="46" t="inlineStr">
        <is>
          <t xml:space="preserve">Sunniva Larsson</t>
        </is>
      </c>
      <c r="C506" s="47">
        <v>46124</v>
      </c>
      <c r="D506" s="48" t="inlineStr">
        <is>
          <t xml:space="preserve">Bound - within authority</t>
        </is>
      </c>
      <c r="E506" s="48" t="inlineStr">
        <is>
          <t xml:space="preserve">New business</t>
        </is>
      </c>
      <c r="F506" s="46" t="inlineStr">
        <is>
          <t xml:space="preserve">B1234EXOTIC26</t>
        </is>
      </c>
      <c r="G506" s="33">
        <f>IF($A506="","",IF($C506="","",YEAR($C506)))</f>
      </c>
      <c r="H506" s="49">
        <v>1984</v>
      </c>
      <c r="I506" s="46" t="inlineStr">
        <is>
          <t xml:space="preserve">Ferrari</t>
        </is>
      </c>
      <c r="J506" s="46" t="inlineStr">
        <is>
          <t xml:space="preserve">275 GTB/4</t>
        </is>
      </c>
      <c r="K506" s="46" t="inlineStr">
        <is>
          <t xml:space="preserve">TH4MGFMDMWYSSBCL0</t>
        </is>
      </c>
      <c r="L506" s="48" t="inlineStr">
        <is>
          <t xml:space="preserve">08 - Modern Classic (1973-1999)</t>
        </is>
      </c>
      <c r="M506" s="50">
        <v>660000</v>
      </c>
      <c r="N506" s="48" t="inlineStr">
        <is>
          <t xml:space="preserve">Personal</t>
        </is>
      </c>
      <c r="O506" s="46" t="inlineStr">
        <is>
          <t xml:space="preserve">Personal - regular use</t>
        </is>
      </c>
      <c r="P506" s="46" t="inlineStr">
        <is>
          <t xml:space="preserve">Under 1,000</t>
        </is>
      </c>
      <c r="Q506" s="46" t="inlineStr">
        <is>
          <t xml:space="preserve">Florida</t>
        </is>
      </c>
      <c r="R506" s="46" t="inlineStr">
        <is>
          <t xml:space="preserve">33139</t>
        </is>
      </c>
      <c r="S506" s="48" t="inlineStr">
        <is>
          <t xml:space="preserve">Tier 2 - Coastal wind (1-25 miles)</t>
        </is>
      </c>
      <c r="T506" s="36">
        <f>IF($A506="","",IF($S506="","",IFERROR(INDEX('[1]natural catastrophe'!$D$6:$D$17,MATCH($S506,'[1]natural catastrophe'!$B$6:$B$17,0)),"?")))</f>
      </c>
      <c r="U506" s="46" t="inlineStr">
        <is>
          <t xml:space="preserve">2% of agreed value, minimum $10,000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6314.87</v>
      </c>
      <c r="AC506" s="51">
        <v>0</v>
      </c>
      <c r="AD506" s="38">
        <f>IF(ISNUMBER($AB506),$AB506*(1+N($AC506)),"")</f>
      </c>
      <c r="AE506" s="50">
        <v>350</v>
      </c>
      <c r="AF506" s="50">
        <v>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CANON-202604-007263</t>
        </is>
      </c>
      <c r="B507" s="30" t="inlineStr">
        <is>
          <t xml:space="preserve">Marisol Pennington</t>
        </is>
      </c>
      <c r="C507" s="31">
        <v>46113</v>
      </c>
      <c r="D507" s="32" t="inlineStr">
        <is>
          <t xml:space="preserve">Bound - within authority</t>
        </is>
      </c>
      <c r="E507" s="32" t="inlineStr">
        <is>
          <t xml:space="preserve">New business</t>
        </is>
      </c>
      <c r="F507" s="30" t="inlineStr">
        <is>
          <t xml:space="preserve">B1234EXOTIC26</t>
        </is>
      </c>
      <c r="G507" s="33">
        <f>IF($A507="","",IF($C507="","",YEAR($C507)))</f>
      </c>
      <c r="H507" s="34">
        <v>1996</v>
      </c>
      <c r="I507" s="30" t="inlineStr">
        <is>
          <t xml:space="preserve">Ferrari</t>
        </is>
      </c>
      <c r="J507" s="30" t="inlineStr">
        <is>
          <t xml:space="preserve">296 GTB</t>
        </is>
      </c>
      <c r="K507" s="30" t="inlineStr">
        <is>
          <t xml:space="preserve">27F7K1YU976SVJRG6</t>
        </is>
      </c>
      <c r="L507" s="32" t="inlineStr">
        <is>
          <t xml:space="preserve">03 - Supercar</t>
        </is>
      </c>
      <c r="M507" s="35">
        <v>500000</v>
      </c>
      <c r="N507" s="32" t="inlineStr">
        <is>
          <t xml:space="preserve">Personal</t>
        </is>
      </c>
      <c r="O507" s="30" t="inlineStr">
        <is>
          <t xml:space="preserve">Personal - regular use</t>
        </is>
      </c>
      <c r="P507" s="30" t="inlineStr">
        <is>
          <t xml:space="preserve">1,000 - 2,500</t>
        </is>
      </c>
      <c r="Q507" s="30" t="inlineStr">
        <is>
          <t xml:space="preserve">Ohio</t>
        </is>
      </c>
      <c r="R507" s="30" t="inlineStr">
        <is>
          <t xml:space="preserve">43215</t>
        </is>
      </c>
      <c r="S507" s="32" t="inlineStr">
        <is>
          <t xml:space="preserve">Severe convective - hail / tornado (moderate)</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10346</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CANON-202604-007264</t>
        </is>
      </c>
      <c r="B508" s="46" t="inlineStr">
        <is>
          <t xml:space="preserve">Lorenzo Ashcombe</t>
        </is>
      </c>
      <c r="C508" s="47">
        <v>46139</v>
      </c>
      <c r="D508" s="48" t="inlineStr">
        <is>
          <t xml:space="preserve">Bound - within authority</t>
        </is>
      </c>
      <c r="E508" s="48" t="inlineStr">
        <is>
          <t xml:space="preserve">New business</t>
        </is>
      </c>
      <c r="F508" s="46" t="inlineStr">
        <is>
          <t xml:space="preserve">B1234EXOTIC26</t>
        </is>
      </c>
      <c r="G508" s="33">
        <f>IF($A508="","",IF($C508="","",YEAR($C508)))</f>
      </c>
      <c r="H508" s="49">
        <v>1973</v>
      </c>
      <c r="I508" s="46" t="inlineStr">
        <is>
          <t xml:space="preserve">Bentley</t>
        </is>
      </c>
      <c r="J508" s="46" t="inlineStr">
        <is>
          <t xml:space="preserve">Continental GT</t>
        </is>
      </c>
      <c r="K508" s="46" t="inlineStr">
        <is>
          <t xml:space="preserve">1M439U1VLYYEFBFHV</t>
        </is>
      </c>
      <c r="L508" s="48" t="inlineStr">
        <is>
          <t xml:space="preserve">02 - Sports / GT</t>
        </is>
      </c>
      <c r="M508" s="50">
        <v>480000</v>
      </c>
      <c r="N508" s="48" t="inlineStr">
        <is>
          <t xml:space="preserve">Personal</t>
        </is>
      </c>
      <c r="O508" s="46" t="inlineStr">
        <is>
          <t xml:space="preserve">Personal - regular use</t>
        </is>
      </c>
      <c r="P508" s="46" t="inlineStr">
        <is>
          <t xml:space="preserve">Under 1,000</t>
        </is>
      </c>
      <c r="Q508" s="46" t="inlineStr">
        <is>
          <t xml:space="preserve">Virginia</t>
        </is>
      </c>
      <c r="R508" s="46" t="inlineStr">
        <is>
          <t xml:space="preserve">23219</t>
        </is>
      </c>
      <c r="S508" s="48" t="inlineStr">
        <is>
          <t xml:space="preserve">Tier 3 - Coastal wind (25-100 miles)</t>
        </is>
      </c>
      <c r="T508" s="36">
        <f>IF($A508="","",IF($S508="","",IFERROR(INDEX('[1]natural catastrophe'!$D$6:$D$17,MATCH($S508,'[1]natural catastrophe'!$B$6:$B$17,0)),"?")))</f>
      </c>
      <c r="U508" s="46" t="inlineStr">
        <is>
          <t xml:space="preserve">2% of agreed value, minimum $10,000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6148.83</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CANON-202604-007265</t>
        </is>
      </c>
      <c r="B509" s="30" t="inlineStr">
        <is>
          <t xml:space="preserve">Fenwick Rourke</t>
        </is>
      </c>
      <c r="C509" s="31">
        <v>46115</v>
      </c>
      <c r="D509" s="32" t="inlineStr">
        <is>
          <t xml:space="preserve">Bound - within authority</t>
        </is>
      </c>
      <c r="E509" s="32" t="inlineStr">
        <is>
          <t xml:space="preserve">New business</t>
        </is>
      </c>
      <c r="F509" s="30" t="inlineStr">
        <is>
          <t xml:space="preserve">B1234EXOTIC26</t>
        </is>
      </c>
      <c r="G509" s="33">
        <f>IF($A509="","",IF($C509="","",YEAR($C509)))</f>
      </c>
      <c r="H509" s="34">
        <v>2009</v>
      </c>
      <c r="I509" s="30" t="inlineStr">
        <is>
          <t xml:space="preserve">Alfa Romeo</t>
        </is>
      </c>
      <c r="J509" s="30" t="inlineStr">
        <is>
          <t xml:space="preserve">8C 2900</t>
        </is>
      </c>
      <c r="K509" s="30" t="inlineStr">
        <is>
          <t xml:space="preserve">KL6TVY64AHGL7TZKA</t>
        </is>
      </c>
      <c r="L509" s="32" t="inlineStr">
        <is>
          <t xml:space="preserve">09 - Youngtimer / Collectible (2000-2010)</t>
        </is>
      </c>
      <c r="M509" s="35">
        <v>705000</v>
      </c>
      <c r="N509" s="32" t="inlineStr">
        <is>
          <t xml:space="preserve">Personal</t>
        </is>
      </c>
      <c r="O509" s="30" t="inlineStr">
        <is>
          <t xml:space="preserve">Personal - regular use</t>
        </is>
      </c>
      <c r="P509" s="30" t="inlineStr">
        <is>
          <t xml:space="preserve">1,000 - 2,500</t>
        </is>
      </c>
      <c r="Q509" s="30" t="inlineStr">
        <is>
          <t xml:space="preserve">Minnesota</t>
        </is>
      </c>
      <c r="R509" s="30" t="inlineStr">
        <is>
          <t xml:space="preserve">55401</t>
        </is>
      </c>
      <c r="S509" s="32" t="inlineStr">
        <is>
          <t xml:space="preserve">Severe convective - hail / tornado (moderate)</t>
        </is>
      </c>
      <c r="T509" s="36">
        <f>IF($A509="","",IF($S509="","",IFERROR(INDEX('[1]natural catastrophe'!$D$6:$D$17,MATCH($S509,'[1]natural catastrophe'!$B$6:$B$17,0)),"?")))</f>
      </c>
      <c r="U509" s="30" t="inlineStr">
        <is>
          <t xml:space="preserve">$5,000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5541.29</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CANON-202604-007266</t>
        </is>
      </c>
      <c r="B510" s="46" t="inlineStr">
        <is>
          <t xml:space="preserve">Horace Thistlewood</t>
        </is>
      </c>
      <c r="C510" s="47">
        <v>46115</v>
      </c>
      <c r="D510" s="48" t="inlineStr">
        <is>
          <t xml:space="preserve">Bound - within authority</t>
        </is>
      </c>
      <c r="E510" s="48" t="inlineStr">
        <is>
          <t xml:space="preserve">New business</t>
        </is>
      </c>
      <c r="F510" s="46" t="inlineStr">
        <is>
          <t xml:space="preserve">B1234EXOTIC26</t>
        </is>
      </c>
      <c r="G510" s="33">
        <f>IF($A510="","",IF($C510="","",YEAR($C510)))</f>
      </c>
      <c r="H510" s="49">
        <v>1976</v>
      </c>
      <c r="I510" s="46" t="inlineStr">
        <is>
          <t xml:space="preserve">Jaguar</t>
        </is>
      </c>
      <c r="J510" s="46" t="inlineStr">
        <is>
          <t xml:space="preserve">E-Type Series 1</t>
        </is>
      </c>
      <c r="K510" s="46" t="inlineStr">
        <is>
          <t xml:space="preserve">VULENLTDGZSJZ22GG</t>
        </is>
      </c>
      <c r="L510" s="48" t="inlineStr">
        <is>
          <t xml:space="preserve">08 - Modern Classic (1973-1999)</t>
        </is>
      </c>
      <c r="M510" s="50">
        <v>995000</v>
      </c>
      <c r="N510" s="48" t="inlineStr">
        <is>
          <t xml:space="preserve">Personal</t>
        </is>
      </c>
      <c r="O510" s="46" t="inlineStr">
        <is>
          <t xml:space="preserve">Personal - regular use</t>
        </is>
      </c>
      <c r="P510" s="46" t="inlineStr">
        <is>
          <t xml:space="preserve">Under 1,000</t>
        </is>
      </c>
      <c r="Q510" s="46" t="inlineStr">
        <is>
          <t xml:space="preserve">New York</t>
        </is>
      </c>
      <c r="R510" s="46" t="inlineStr">
        <is>
          <t xml:space="preserve">10022</t>
        </is>
      </c>
      <c r="S510" s="48" t="inlineStr">
        <is>
          <t xml:space="preserve">Tier 3 - Coastal wind (25-100 miles)</t>
        </is>
      </c>
      <c r="T510" s="36">
        <f>IF($A510="","",IF($S510="","",IFERROR(INDEX('[1]natural catastrophe'!$D$6:$D$17,MATCH($S510,'[1]natural catastrophe'!$B$6:$B$17,0)),"?")))</f>
      </c>
      <c r="U510" s="46" t="inlineStr">
        <is>
          <t xml:space="preserve">2% of agreed value, minimum $10,000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8581.54</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CANON-202604-007267</t>
        </is>
      </c>
      <c r="B511" s="30" t="inlineStr">
        <is>
          <t xml:space="preserve">Fitzgerald Fairweather</t>
        </is>
      </c>
      <c r="C511" s="31">
        <v>46126</v>
      </c>
      <c r="D511" s="32" t="inlineStr">
        <is>
          <t xml:space="preserve">Bound - within authority</t>
        </is>
      </c>
      <c r="E511" s="32" t="inlineStr">
        <is>
          <t xml:space="preserve">New business</t>
        </is>
      </c>
      <c r="F511" s="30" t="inlineStr">
        <is>
          <t xml:space="preserve">B1234EXOTIC26</t>
        </is>
      </c>
      <c r="G511" s="33">
        <f>IF($A511="","",IF($C511="","",YEAR($C511)))</f>
      </c>
      <c r="H511" s="34">
        <v>2020</v>
      </c>
      <c r="I511" s="30" t="inlineStr">
        <is>
          <t xml:space="preserve">Ferrari</t>
        </is>
      </c>
      <c r="J511" s="30" t="inlineStr">
        <is>
          <t xml:space="preserve">SF90 Stradale</t>
        </is>
      </c>
      <c r="K511" s="30" t="inlineStr">
        <is>
          <t xml:space="preserve">GNH75JFMWEFMTD5UY</t>
        </is>
      </c>
      <c r="L511" s="32" t="inlineStr">
        <is>
          <t xml:space="preserve">03 - Supercar</t>
        </is>
      </c>
      <c r="M511" s="35">
        <v>1120000</v>
      </c>
      <c r="N511" s="32" t="inlineStr">
        <is>
          <t xml:space="preserve">Personal</t>
        </is>
      </c>
      <c r="O511" s="30" t="inlineStr">
        <is>
          <t xml:space="preserve">Personal - regular use</t>
        </is>
      </c>
      <c r="P511" s="30" t="inlineStr">
        <is>
          <t xml:space="preserve">2,500 - 5,000</t>
        </is>
      </c>
      <c r="Q511" s="30" t="inlineStr">
        <is>
          <t xml:space="preserve">Mississippi</t>
        </is>
      </c>
      <c r="R511" s="30" t="inlineStr">
        <is>
          <t xml:space="preserve">39201</t>
        </is>
      </c>
      <c r="S511" s="32" t="inlineStr">
        <is>
          <t xml:space="preserve">Tier 2 - Coastal wind (1-25 miles)</t>
        </is>
      </c>
      <c r="T511" s="36">
        <f>IF($A511="","",IF($S511="","",IFERROR(INDEX('[1]natural catastrophe'!$D$6:$D$17,MATCH($S511,'[1]natural catastrophe'!$B$6:$B$17,0)),"?")))</f>
      </c>
      <c r="U511" s="30" t="inlineStr">
        <is>
          <t xml:space="preserve">2% of agreed value, minimum $10,000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16707.78</v>
      </c>
      <c r="AC511" s="37">
        <v>0</v>
      </c>
      <c r="AD511" s="38">
        <f>IF(ISNUMBER($AB511),$AB511*(1+N($AC511)),"")</f>
      </c>
      <c r="AE511" s="35">
        <v>350</v>
      </c>
      <c r="AF511" s="35">
        <v>250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CANON-202604-007268</t>
        </is>
      </c>
      <c r="B512" s="46" t="inlineStr">
        <is>
          <t xml:space="preserve">Horace Nakashima</t>
        </is>
      </c>
      <c r="C512" s="47">
        <v>46138</v>
      </c>
      <c r="D512" s="48" t="inlineStr">
        <is>
          <t xml:space="preserve">Bound - within authority</t>
        </is>
      </c>
      <c r="E512" s="48" t="inlineStr">
        <is>
          <t xml:space="preserve">New business</t>
        </is>
      </c>
      <c r="F512" s="46" t="inlineStr">
        <is>
          <t xml:space="preserve">B1234EXOTIC26</t>
        </is>
      </c>
      <c r="G512" s="33">
        <f>IF($A512="","",IF($C512="","",YEAR($C512)))</f>
      </c>
      <c r="H512" s="49">
        <v>1989</v>
      </c>
      <c r="I512" s="46" t="inlineStr">
        <is>
          <t xml:space="preserve">Lamborghini</t>
        </is>
      </c>
      <c r="J512" s="46" t="inlineStr">
        <is>
          <t xml:space="preserve">Huracan EVO</t>
        </is>
      </c>
      <c r="K512" s="46" t="inlineStr">
        <is>
          <t xml:space="preserve">20BDNACTT6XYL949M</t>
        </is>
      </c>
      <c r="L512" s="48" t="inlineStr">
        <is>
          <t xml:space="preserve">03 - Supercar</t>
        </is>
      </c>
      <c r="M512" s="50">
        <v>830000</v>
      </c>
      <c r="N512" s="48" t="inlineStr">
        <is>
          <t xml:space="preserve">Personal</t>
        </is>
      </c>
      <c r="O512" s="46" t="inlineStr">
        <is>
          <t xml:space="preserve">Personal - regular use</t>
        </is>
      </c>
      <c r="P512" s="46" t="inlineStr">
        <is>
          <t xml:space="preserve">1,000 - 2,500</t>
        </is>
      </c>
      <c r="Q512" s="46" t="inlineStr">
        <is>
          <t xml:space="preserve">Kentucky</t>
        </is>
      </c>
      <c r="R512" s="46" t="inlineStr">
        <is>
          <t xml:space="preserve">40202</t>
        </is>
      </c>
      <c r="S512" s="48" t="inlineStr">
        <is>
          <t xml:space="preserve">Severe convective - hail / tornado (moderate)</t>
        </is>
      </c>
      <c r="T512" s="36">
        <f>IF($A512="","",IF($S512="","",IFERROR(INDEX('[1]natural catastrophe'!$D$6:$D$17,MATCH($S512,'[1]natural catastrophe'!$B$6:$B$17,0)),"?")))</f>
      </c>
      <c r="U512" s="46" t="inlineStr">
        <is>
          <t xml:space="preserve">$5,000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16556.57</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CANON-202604-007269</t>
        </is>
      </c>
      <c r="B513" s="30" t="inlineStr">
        <is>
          <t xml:space="preserve">Saoirse Harrington</t>
        </is>
      </c>
      <c r="C513" s="31">
        <v>46126</v>
      </c>
      <c r="D513" s="32" t="inlineStr">
        <is>
          <t xml:space="preserve">Bound - within authority</t>
        </is>
      </c>
      <c r="E513" s="32" t="inlineStr">
        <is>
          <t xml:space="preserve">New business</t>
        </is>
      </c>
      <c r="F513" s="30" t="inlineStr">
        <is>
          <t xml:space="preserve">B1234EXOTIC26</t>
        </is>
      </c>
      <c r="G513" s="33">
        <f>IF($A513="","",IF($C513="","",YEAR($C513)))</f>
      </c>
      <c r="H513" s="34">
        <v>2020</v>
      </c>
      <c r="I513" s="30" t="inlineStr">
        <is>
          <t xml:space="preserve">Mercedes-Benz</t>
        </is>
      </c>
      <c r="J513" s="30" t="inlineStr">
        <is>
          <t xml:space="preserve">AMG GT</t>
        </is>
      </c>
      <c r="K513" s="30" t="inlineStr">
        <is>
          <t xml:space="preserve">ATGETYW7P7EP28J5M</t>
        </is>
      </c>
      <c r="L513" s="32" t="inlineStr">
        <is>
          <t xml:space="preserve">02 - Sports / GT</t>
        </is>
      </c>
      <c r="M513" s="35">
        <v>475000</v>
      </c>
      <c r="N513" s="32" t="inlineStr">
        <is>
          <t xml:space="preserve">Personal</t>
        </is>
      </c>
      <c r="O513" s="30" t="inlineStr">
        <is>
          <t xml:space="preserve">Personal - regular use</t>
        </is>
      </c>
      <c r="P513" s="30" t="inlineStr">
        <is>
          <t xml:space="preserve">2,500 - 5,000</t>
        </is>
      </c>
      <c r="Q513" s="30" t="inlineStr">
        <is>
          <t xml:space="preserve">Kansas</t>
        </is>
      </c>
      <c r="R513" s="30" t="inlineStr">
        <is>
          <t xml:space="preserve">66603</t>
        </is>
      </c>
      <c r="S513" s="32" t="inlineStr">
        <is>
          <t xml:space="preserve">Severe convective - hail alley (high)</t>
        </is>
      </c>
      <c r="T513" s="36">
        <f>IF($A513="","",IF($S513="","",IFERROR(INDEX('[1]natural catastrophe'!$D$6:$D$17,MATCH($S513,'[1]natural catastrophe'!$B$6:$B$17,0)),"?")))</f>
      </c>
      <c r="U513" s="30" t="inlineStr">
        <is>
          <t xml:space="preserve">$5,000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5414.9</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CANON-202604-007271</t>
        </is>
      </c>
      <c r="B514" s="46" t="inlineStr">
        <is>
          <t xml:space="preserve">Marisol Harrington</t>
        </is>
      </c>
      <c r="C514" s="47">
        <v>46122</v>
      </c>
      <c r="D514" s="48" t="inlineStr">
        <is>
          <t xml:space="preserve">Bound - within authority</t>
        </is>
      </c>
      <c r="E514" s="48" t="inlineStr">
        <is>
          <t xml:space="preserve">New business</t>
        </is>
      </c>
      <c r="F514" s="46" t="inlineStr">
        <is>
          <t xml:space="preserve">B1234EXOTIC26</t>
        </is>
      </c>
      <c r="G514" s="33">
        <f>IF($A514="","",IF($C514="","",YEAR($C514)))</f>
      </c>
      <c r="H514" s="49">
        <v>2010</v>
      </c>
      <c r="I514" s="46" t="inlineStr">
        <is>
          <t xml:space="preserve">McLaren</t>
        </is>
      </c>
      <c r="J514" s="46" t="inlineStr">
        <is>
          <t xml:space="preserve">750S</t>
        </is>
      </c>
      <c r="K514" s="46" t="inlineStr">
        <is>
          <t xml:space="preserve">UZ7U8XABCA8NKWEWT</t>
        </is>
      </c>
      <c r="L514" s="48" t="inlineStr">
        <is>
          <t xml:space="preserve">03 - Supercar</t>
        </is>
      </c>
      <c r="M514" s="50">
        <v>670000</v>
      </c>
      <c r="N514" s="48" t="inlineStr">
        <is>
          <t xml:space="preserve">Personal</t>
        </is>
      </c>
      <c r="O514" s="46" t="inlineStr">
        <is>
          <t xml:space="preserve">Personal - regular use</t>
        </is>
      </c>
      <c r="P514" s="46" t="inlineStr">
        <is>
          <t xml:space="preserve">2,500 - 5,000</t>
        </is>
      </c>
      <c r="Q514" s="46" t="inlineStr">
        <is>
          <t xml:space="preserve">Washington</t>
        </is>
      </c>
      <c r="R514" s="46" t="inlineStr">
        <is>
          <t xml:space="preserve">98101</t>
        </is>
      </c>
      <c r="S514" s="48" t="inlineStr">
        <is>
          <t xml:space="preserve">Earthquake - high (CA, Cascadia, New Madrid)</t>
        </is>
      </c>
      <c r="T514" s="36">
        <f>IF($A514="","",IF($S514="","",IFERROR(INDEX('[1]natural catastrophe'!$D$6:$D$17,MATCH($S514,'[1]natural catastrophe'!$B$6:$B$17,0)),"?")))</f>
      </c>
      <c r="U514" s="46" t="inlineStr">
        <is>
          <t xml:space="preserve">$5,000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9574.88</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CANON-202604-007272</t>
        </is>
      </c>
      <c r="B515" s="30" t="inlineStr">
        <is>
          <t xml:space="preserve">Callum Kingsford</t>
        </is>
      </c>
      <c r="C515" s="31">
        <v>46114</v>
      </c>
      <c r="D515" s="32" t="inlineStr">
        <is>
          <t xml:space="preserve">Bound - within authority</t>
        </is>
      </c>
      <c r="E515" s="32" t="inlineStr">
        <is>
          <t xml:space="preserve">New business</t>
        </is>
      </c>
      <c r="F515" s="30" t="inlineStr">
        <is>
          <t xml:space="preserve">B1234EXOTIC26</t>
        </is>
      </c>
      <c r="G515" s="33">
        <f>IF($A515="","",IF($C515="","",YEAR($C515)))</f>
      </c>
      <c r="H515" s="34">
        <v>1998</v>
      </c>
      <c r="I515" s="30" t="inlineStr">
        <is>
          <t xml:space="preserve">BMW</t>
        </is>
      </c>
      <c r="J515" s="30" t="inlineStr">
        <is>
          <t xml:space="preserve">M8 Competition</t>
        </is>
      </c>
      <c r="K515" s="30" t="inlineStr">
        <is>
          <t xml:space="preserve">VK1MTB2AFUVR10ASB</t>
        </is>
      </c>
      <c r="L515" s="32" t="inlineStr">
        <is>
          <t xml:space="preserve">02 - Sports / GT</t>
        </is>
      </c>
      <c r="M515" s="35">
        <v>590000</v>
      </c>
      <c r="N515" s="32" t="inlineStr">
        <is>
          <t xml:space="preserve">Personal</t>
        </is>
      </c>
      <c r="O515" s="30" t="inlineStr">
        <is>
          <t xml:space="preserve">Personal - regular use</t>
        </is>
      </c>
      <c r="P515" s="30" t="inlineStr">
        <is>
          <t xml:space="preserve">2,500 - 5,000</t>
        </is>
      </c>
      <c r="Q515" s="30" t="inlineStr">
        <is>
          <t xml:space="preserve">Washington</t>
        </is>
      </c>
      <c r="R515" s="30" t="inlineStr">
        <is>
          <t xml:space="preserve">98101</t>
        </is>
      </c>
      <c r="S515" s="32" t="inlineStr">
        <is>
          <t xml:space="preserve">Earthquake - high (CA, Cascadia, New Madrid)</t>
        </is>
      </c>
      <c r="T515" s="36">
        <f>IF($A515="","",IF($S515="","",IFERROR(INDEX('[1]natural catastrophe'!$D$6:$D$17,MATCH($S515,'[1]natural catastrophe'!$B$6:$B$17,0)),"?")))</f>
      </c>
      <c r="U515" s="30" t="inlineStr">
        <is>
          <t xml:space="preserve">$5,000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5769</v>
      </c>
      <c r="AC515" s="37">
        <v>0</v>
      </c>
      <c r="AD515" s="38">
        <f>IF(ISNUMBER($AB515),$AB515*(1+N($AC515)),"")</f>
      </c>
      <c r="AE515" s="35">
        <v>350</v>
      </c>
      <c r="AF515" s="35">
        <v>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CANON-202604-007275</t>
        </is>
      </c>
      <c r="B516" s="46" t="inlineStr">
        <is>
          <t xml:space="preserve">Emiliano Bellandi</t>
        </is>
      </c>
      <c r="C516" s="47">
        <v>46115</v>
      </c>
      <c r="D516" s="48" t="inlineStr">
        <is>
          <t xml:space="preserve">Bound - within authority</t>
        </is>
      </c>
      <c r="E516" s="48" t="inlineStr">
        <is>
          <t xml:space="preserve">New business</t>
        </is>
      </c>
      <c r="F516" s="46" t="inlineStr">
        <is>
          <t xml:space="preserve">B1234EXOTIC26</t>
        </is>
      </c>
      <c r="G516" s="33">
        <f>IF($A516="","",IF($C516="","",YEAR($C516)))</f>
      </c>
      <c r="H516" s="49">
        <v>2019</v>
      </c>
      <c r="I516" s="46" t="inlineStr">
        <is>
          <t xml:space="preserve">Lamborghini</t>
        </is>
      </c>
      <c r="J516" s="46" t="inlineStr">
        <is>
          <t xml:space="preserve">Huracan EVO</t>
        </is>
      </c>
      <c r="K516" s="46" t="inlineStr">
        <is>
          <t xml:space="preserve">H7XC9K4XRNL4TZ39U</t>
        </is>
      </c>
      <c r="L516" s="48" t="inlineStr">
        <is>
          <t xml:space="preserve">03 - Supercar</t>
        </is>
      </c>
      <c r="M516" s="50">
        <v>320000</v>
      </c>
      <c r="N516" s="48" t="inlineStr">
        <is>
          <t xml:space="preserve">Personal</t>
        </is>
      </c>
      <c r="O516" s="46" t="inlineStr">
        <is>
          <t xml:space="preserve">Personal - regular use</t>
        </is>
      </c>
      <c r="P516" s="46" t="inlineStr">
        <is>
          <t xml:space="preserve">Under 1,000</t>
        </is>
      </c>
      <c r="Q516" s="46" t="inlineStr">
        <is>
          <t xml:space="preserve">California</t>
        </is>
      </c>
      <c r="R516" s="46" t="inlineStr">
        <is>
          <t xml:space="preserve">90012</t>
        </is>
      </c>
      <c r="S516" s="48" t="inlineStr">
        <is>
          <t xml:space="preserve">Earthquake - high (CA, Cascadia, New Madrid)</t>
        </is>
      </c>
      <c r="T516" s="36">
        <f>IF($A516="","",IF($S516="","",IFERROR(INDEX('[1]natural catastrophe'!$D$6:$D$17,MATCH($S516,'[1]natural catastrophe'!$B$6:$B$17,0)),"?")))</f>
      </c>
      <c r="U516" s="46" t="inlineStr">
        <is>
          <t xml:space="preserve">$5,000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7784.76</v>
      </c>
      <c r="AC516" s="51">
        <v>0</v>
      </c>
      <c r="AD516" s="38">
        <f>IF(ISNUMBER($AB516),$AB516*(1+N($AC516)),"")</f>
      </c>
      <c r="AE516" s="50">
        <v>350</v>
      </c>
      <c r="AF516" s="50">
        <v>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CANON-202604-007278</t>
        </is>
      </c>
      <c r="B517" s="30" t="inlineStr">
        <is>
          <t xml:space="preserve">Ingrid Fairweather</t>
        </is>
      </c>
      <c r="C517" s="31">
        <v>46115</v>
      </c>
      <c r="D517" s="32" t="inlineStr">
        <is>
          <t xml:space="preserve">Bound - within authority</t>
        </is>
      </c>
      <c r="E517" s="32" t="inlineStr">
        <is>
          <t xml:space="preserve">New business</t>
        </is>
      </c>
      <c r="F517" s="30" t="inlineStr">
        <is>
          <t xml:space="preserve">B1234EXOTIC26</t>
        </is>
      </c>
      <c r="G517" s="33">
        <f>IF($A517="","",IF($C517="","",YEAR($C517)))</f>
      </c>
      <c r="H517" s="34">
        <v>1989</v>
      </c>
      <c r="I517" s="30" t="inlineStr">
        <is>
          <t xml:space="preserve">Bentley</t>
        </is>
      </c>
      <c r="J517" s="30" t="inlineStr">
        <is>
          <t xml:space="preserve">Continental GT</t>
        </is>
      </c>
      <c r="K517" s="30" t="inlineStr">
        <is>
          <t xml:space="preserve">VY8FZRE6NVX6LE135</t>
        </is>
      </c>
      <c r="L517" s="32" t="inlineStr">
        <is>
          <t xml:space="preserve">02 - Sports / GT</t>
        </is>
      </c>
      <c r="M517" s="35">
        <v>375000</v>
      </c>
      <c r="N517" s="32" t="inlineStr">
        <is>
          <t xml:space="preserve">Personal</t>
        </is>
      </c>
      <c r="O517" s="30" t="inlineStr">
        <is>
          <t xml:space="preserve">Personal - regular use</t>
        </is>
      </c>
      <c r="P517" s="30" t="inlineStr">
        <is>
          <t xml:space="preserve">Under 1,000</t>
        </is>
      </c>
      <c r="Q517" s="30" t="inlineStr">
        <is>
          <t xml:space="preserve">Missouri</t>
        </is>
      </c>
      <c r="R517" s="30" t="inlineStr">
        <is>
          <t xml:space="preserve">63101</t>
        </is>
      </c>
      <c r="S517" s="32" t="inlineStr">
        <is>
          <t xml:space="preserve">Severe convective - hail / tornado (moderate)</t>
        </is>
      </c>
      <c r="T517" s="36">
        <f>IF($A517="","",IF($S517="","",IFERROR(INDEX('[1]natural catastrophe'!$D$6:$D$17,MATCH($S517,'[1]natural catastrophe'!$B$6:$B$17,0)),"?")))</f>
      </c>
      <c r="U517" s="30" t="inlineStr">
        <is>
          <t xml:space="preserve">$5,000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4671.56</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CANON-202604-007279</t>
        </is>
      </c>
      <c r="B518" s="46" t="inlineStr">
        <is>
          <t xml:space="preserve">Sunniva Farkas</t>
        </is>
      </c>
      <c r="C518" s="47">
        <v>46117</v>
      </c>
      <c r="D518" s="48" t="inlineStr">
        <is>
          <t xml:space="preserve">Bound - within authority</t>
        </is>
      </c>
      <c r="E518" s="48" t="inlineStr">
        <is>
          <t xml:space="preserve">New business</t>
        </is>
      </c>
      <c r="F518" s="46" t="inlineStr">
        <is>
          <t xml:space="preserve">B1234EXOTIC26</t>
        </is>
      </c>
      <c r="G518" s="33">
        <f>IF($A518="","",IF($C518="","",YEAR($C518)))</f>
      </c>
      <c r="H518" s="49">
        <v>1985</v>
      </c>
      <c r="I518" s="46" t="inlineStr">
        <is>
          <t xml:space="preserve">Lamborghini</t>
        </is>
      </c>
      <c r="J518" s="46" t="inlineStr">
        <is>
          <t xml:space="preserve">Huracan EVO</t>
        </is>
      </c>
      <c r="K518" s="46" t="inlineStr">
        <is>
          <t xml:space="preserve">93TTW2FRWTRWV8DDA</t>
        </is>
      </c>
      <c r="L518" s="48" t="inlineStr">
        <is>
          <t xml:space="preserve">03 - Supercar</t>
        </is>
      </c>
      <c r="M518" s="50">
        <v>1710000</v>
      </c>
      <c r="N518" s="48" t="inlineStr">
        <is>
          <t xml:space="preserve">Personal</t>
        </is>
      </c>
      <c r="O518" s="46" t="inlineStr">
        <is>
          <t xml:space="preserve">Personal - regular use</t>
        </is>
      </c>
      <c r="P518" s="46" t="inlineStr">
        <is>
          <t xml:space="preserve">2,500 - 5,000</t>
        </is>
      </c>
      <c r="Q518" s="46" t="inlineStr">
        <is>
          <t xml:space="preserve">Michigan</t>
        </is>
      </c>
      <c r="R518" s="46" t="inlineStr">
        <is>
          <t xml:space="preserve">48226</t>
        </is>
      </c>
      <c r="S518" s="48" t="inlineStr">
        <is>
          <t xml:space="preserve">Severe convective - hail / tornado (moderate)</t>
        </is>
      </c>
      <c r="T518" s="36">
        <f>IF($A518="","",IF($S518="","",IFERROR(INDEX('[1]natural catastrophe'!$D$6:$D$17,MATCH($S518,'[1]natural catastrophe'!$B$6:$B$17,0)),"?")))</f>
      </c>
      <c r="U518" s="46" t="inlineStr">
        <is>
          <t xml:space="preserve">$5,000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33226.27</v>
      </c>
      <c r="AC518" s="51">
        <v>0</v>
      </c>
      <c r="AD518" s="38">
        <f>IF(ISNUMBER($AB518),$AB518*(1+N($AC518)),"")</f>
      </c>
      <c r="AE518" s="50">
        <v>350</v>
      </c>
      <c r="AF518" s="50">
        <v>250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CANON-202604-007280</t>
        </is>
      </c>
      <c r="B519" s="30" t="inlineStr">
        <is>
          <t xml:space="preserve">Fitzgerald Delacroix</t>
        </is>
      </c>
      <c r="C519" s="31">
        <v>46135</v>
      </c>
      <c r="D519" s="32" t="inlineStr">
        <is>
          <t xml:space="preserve">Bound - within authority</t>
        </is>
      </c>
      <c r="E519" s="32" t="inlineStr">
        <is>
          <t xml:space="preserve">New business</t>
        </is>
      </c>
      <c r="F519" s="30" t="inlineStr">
        <is>
          <t xml:space="preserve">B1234EXOTIC26</t>
        </is>
      </c>
      <c r="G519" s="33">
        <f>IF($A519="","",IF($C519="","",YEAR($C519)))</f>
      </c>
      <c r="H519" s="34">
        <v>1984</v>
      </c>
      <c r="I519" s="30" t="inlineStr">
        <is>
          <t xml:space="preserve">BMW</t>
        </is>
      </c>
      <c r="J519" s="30" t="inlineStr">
        <is>
          <t xml:space="preserve">M8 Competition</t>
        </is>
      </c>
      <c r="K519" s="30" t="inlineStr">
        <is>
          <t xml:space="preserve">HABYY5KW3NHFDMY62</t>
        </is>
      </c>
      <c r="L519" s="32" t="inlineStr">
        <is>
          <t xml:space="preserve">02 - Sports / GT</t>
        </is>
      </c>
      <c r="M519" s="35">
        <v>400000</v>
      </c>
      <c r="N519" s="32" t="inlineStr">
        <is>
          <t xml:space="preserve">Personal</t>
        </is>
      </c>
      <c r="O519" s="30" t="inlineStr">
        <is>
          <t xml:space="preserve">Personal - regular use</t>
        </is>
      </c>
      <c r="P519" s="30" t="inlineStr">
        <is>
          <t xml:space="preserve">1,000 - 2,500</t>
        </is>
      </c>
      <c r="Q519" s="30" t="inlineStr">
        <is>
          <t xml:space="preserve">California</t>
        </is>
      </c>
      <c r="R519" s="30" t="inlineStr">
        <is>
          <t xml:space="preserve">90012</t>
        </is>
      </c>
      <c r="S519" s="32" t="inlineStr">
        <is>
          <t xml:space="preserve">Earthquake - high (CA, Cascadia, New Madrid)</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6346.27</v>
      </c>
      <c r="AC519" s="37">
        <v>0</v>
      </c>
      <c r="AD519" s="38">
        <f>IF(ISNUMBER($AB519),$AB519*(1+N($AC519)),"")</f>
      </c>
      <c r="AE519" s="35">
        <v>350</v>
      </c>
      <c r="AF519" s="35">
        <v>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CANON-202604-007281</t>
        </is>
      </c>
      <c r="B520" s="46" t="inlineStr">
        <is>
          <t xml:space="preserve">Ingrid Larsson</t>
        </is>
      </c>
      <c r="C520" s="47">
        <v>46128</v>
      </c>
      <c r="D520" s="48" t="inlineStr">
        <is>
          <t xml:space="preserve">Bound - within authority</t>
        </is>
      </c>
      <c r="E520" s="48" t="inlineStr">
        <is>
          <t xml:space="preserve">New business</t>
        </is>
      </c>
      <c r="F520" s="46" t="inlineStr">
        <is>
          <t xml:space="preserve">B1234EXOTIC26</t>
        </is>
      </c>
      <c r="G520" s="33">
        <f>IF($A520="","",IF($C520="","",YEAR($C520)))</f>
      </c>
      <c r="H520" s="49">
        <v>1971</v>
      </c>
      <c r="I520" s="46" t="inlineStr">
        <is>
          <t xml:space="preserve">Mercedes-Benz</t>
        </is>
      </c>
      <c r="J520" s="46" t="inlineStr">
        <is>
          <t xml:space="preserve">AMG GT</t>
        </is>
      </c>
      <c r="K520" s="46" t="inlineStr">
        <is>
          <t xml:space="preserve">T5B6CWWGGLR67CMJZ</t>
        </is>
      </c>
      <c r="L520" s="48" t="inlineStr">
        <is>
          <t xml:space="preserve">02 - Sports / GT</t>
        </is>
      </c>
      <c r="M520" s="50">
        <v>595000</v>
      </c>
      <c r="N520" s="48" t="inlineStr">
        <is>
          <t xml:space="preserve">Personal</t>
        </is>
      </c>
      <c r="O520" s="46" t="inlineStr">
        <is>
          <t xml:space="preserve">Personal - regular use</t>
        </is>
      </c>
      <c r="P520" s="46" t="inlineStr">
        <is>
          <t xml:space="preserve">1,000 - 2,500</t>
        </is>
      </c>
      <c r="Q520" s="46" t="inlineStr">
        <is>
          <t xml:space="preserve">Kansas</t>
        </is>
      </c>
      <c r="R520" s="46" t="inlineStr">
        <is>
          <t xml:space="preserve">66603</t>
        </is>
      </c>
      <c r="S520" s="48" t="inlineStr">
        <is>
          <t xml:space="preserve">Severe convective - hail alley (high)</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5878.49</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CANON-202604-007286</t>
        </is>
      </c>
      <c r="B521" s="30" t="inlineStr">
        <is>
          <t xml:space="preserve">Fenwick Ashcombe</t>
        </is>
      </c>
      <c r="C521" s="31">
        <v>46128</v>
      </c>
      <c r="D521" s="32" t="inlineStr">
        <is>
          <t xml:space="preserve">Bound - within authority</t>
        </is>
      </c>
      <c r="E521" s="32" t="inlineStr">
        <is>
          <t xml:space="preserve">New business</t>
        </is>
      </c>
      <c r="F521" s="30" t="inlineStr">
        <is>
          <t xml:space="preserve">B1234EXOTIC26</t>
        </is>
      </c>
      <c r="G521" s="33">
        <f>IF($A521="","",IF($C521="","",YEAR($C521)))</f>
      </c>
      <c r="H521" s="34">
        <v>1967</v>
      </c>
      <c r="I521" s="30" t="inlineStr">
        <is>
          <t xml:space="preserve">Maserati</t>
        </is>
      </c>
      <c r="J521" s="30" t="inlineStr">
        <is>
          <t xml:space="preserve">GranTurismo</t>
        </is>
      </c>
      <c r="K521" s="30" t="inlineStr">
        <is>
          <t xml:space="preserve">XRFF3N7TAA8MY9899</t>
        </is>
      </c>
      <c r="L521" s="32" t="inlineStr">
        <is>
          <t xml:space="preserve">02 - Sports / GT</t>
        </is>
      </c>
      <c r="M521" s="35">
        <v>225000</v>
      </c>
      <c r="N521" s="32" t="inlineStr">
        <is>
          <t xml:space="preserve">Personal</t>
        </is>
      </c>
      <c r="O521" s="30" t="inlineStr">
        <is>
          <t xml:space="preserve">Personal - regular use</t>
        </is>
      </c>
      <c r="P521" s="30" t="inlineStr">
        <is>
          <t xml:space="preserve">Under 1,000</t>
        </is>
      </c>
      <c r="Q521" s="30" t="inlineStr">
        <is>
          <t xml:space="preserve">Washington</t>
        </is>
      </c>
      <c r="R521" s="30" t="inlineStr">
        <is>
          <t xml:space="preserve">98101</t>
        </is>
      </c>
      <c r="S521" s="32" t="inlineStr">
        <is>
          <t xml:space="preserve">Earthquake - high (CA, Cascadia, New Madrid)</t>
        </is>
      </c>
      <c r="T521" s="36">
        <f>IF($A521="","",IF($S521="","",IFERROR(INDEX('[1]natural catastrophe'!$D$6:$D$17,MATCH($S521,'[1]natural catastrophe'!$B$6:$B$17,0)),"?")))</f>
      </c>
      <c r="U521" s="30" t="inlineStr">
        <is>
          <t xml:space="preserve">$5,000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3113.9</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CANON-202604-007287</t>
        </is>
      </c>
      <c r="B522" s="46" t="inlineStr">
        <is>
          <t xml:space="preserve">Wilhelmina Fairweather</t>
        </is>
      </c>
      <c r="C522" s="47">
        <v>46127</v>
      </c>
      <c r="D522" s="48" t="inlineStr">
        <is>
          <t xml:space="preserve">Bound - within authority</t>
        </is>
      </c>
      <c r="E522" s="48" t="inlineStr">
        <is>
          <t xml:space="preserve">New business</t>
        </is>
      </c>
      <c r="F522" s="46" t="inlineStr">
        <is>
          <t xml:space="preserve">B1234EXOTIC26</t>
        </is>
      </c>
      <c r="G522" s="33">
        <f>IF($A522="","",IF($C522="","",YEAR($C522)))</f>
      </c>
      <c r="H522" s="49">
        <v>1993</v>
      </c>
      <c r="I522" s="46" t="inlineStr">
        <is>
          <t xml:space="preserve">Mercedes-Benz</t>
        </is>
      </c>
      <c r="J522" s="46" t="inlineStr">
        <is>
          <t xml:space="preserve">AMG GT</t>
        </is>
      </c>
      <c r="K522" s="46" t="inlineStr">
        <is>
          <t xml:space="preserve">HWF7D83TCWC89YP25</t>
        </is>
      </c>
      <c r="L522" s="48" t="inlineStr">
        <is>
          <t xml:space="preserve">02 - Sports / GT</t>
        </is>
      </c>
      <c r="M522" s="50">
        <v>315000</v>
      </c>
      <c r="N522" s="48" t="inlineStr">
        <is>
          <t xml:space="preserve">Personal</t>
        </is>
      </c>
      <c r="O522" s="46" t="inlineStr">
        <is>
          <t xml:space="preserve">Personal - regular use</t>
        </is>
      </c>
      <c r="P522" s="46" t="inlineStr">
        <is>
          <t xml:space="preserve">1,000 - 2,500</t>
        </is>
      </c>
      <c r="Q522" s="46" t="inlineStr">
        <is>
          <t xml:space="preserve">Hawaii</t>
        </is>
      </c>
      <c r="R522" s="46" t="inlineStr">
        <is>
          <t xml:space="preserve">96813</t>
        </is>
      </c>
      <c r="S522" s="48" t="inlineStr">
        <is>
          <t xml:space="preserve">Earthquake - high (CA, Cascadia, New Madrid)</t>
        </is>
      </c>
      <c r="T522" s="36">
        <f>IF($A522="","",IF($S522="","",IFERROR(INDEX('[1]natural catastrophe'!$D$6:$D$17,MATCH($S522,'[1]natural catastrophe'!$B$6:$B$17,0)),"?")))</f>
      </c>
      <c r="U522" s="46" t="inlineStr">
        <is>
          <t xml:space="preserve">$5,000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4812.59</v>
      </c>
      <c r="AC522" s="51">
        <v>0</v>
      </c>
      <c r="AD522" s="38">
        <f>IF(ISNUMBER($AB522),$AB522*(1+N($AC522)),"")</f>
      </c>
      <c r="AE522" s="50">
        <v>350</v>
      </c>
      <c r="AF522" s="50">
        <v>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CANON-202604-007290</t>
        </is>
      </c>
      <c r="B523" s="30" t="inlineStr">
        <is>
          <t xml:space="preserve">Horace Rourke</t>
        </is>
      </c>
      <c r="C523" s="31">
        <v>46139</v>
      </c>
      <c r="D523" s="32" t="inlineStr">
        <is>
          <t xml:space="preserve">Bound - within authority</t>
        </is>
      </c>
      <c r="E523" s="32" t="inlineStr">
        <is>
          <t xml:space="preserve">New business</t>
        </is>
      </c>
      <c r="F523" s="30" t="inlineStr">
        <is>
          <t xml:space="preserve">B1234EXOTIC26</t>
        </is>
      </c>
      <c r="G523" s="33">
        <f>IF($A523="","",IF($C523="","",YEAR($C523)))</f>
      </c>
      <c r="H523" s="34">
        <v>1983</v>
      </c>
      <c r="I523" s="30" t="inlineStr">
        <is>
          <t xml:space="preserve">BMW</t>
        </is>
      </c>
      <c r="J523" s="30" t="inlineStr">
        <is>
          <t xml:space="preserve">M8 Competition</t>
        </is>
      </c>
      <c r="K523" s="30" t="inlineStr">
        <is>
          <t xml:space="preserve">58L0YZUYN0XRXVTB4</t>
        </is>
      </c>
      <c r="L523" s="32" t="inlineStr">
        <is>
          <t xml:space="preserve">02 - Sports / GT</t>
        </is>
      </c>
      <c r="M523" s="35">
        <v>295000</v>
      </c>
      <c r="N523" s="32" t="inlineStr">
        <is>
          <t xml:space="preserve">Personal</t>
        </is>
      </c>
      <c r="O523" s="30" t="inlineStr">
        <is>
          <t xml:space="preserve">Personal - regular use</t>
        </is>
      </c>
      <c r="P523" s="30" t="inlineStr">
        <is>
          <t xml:space="preserve">2,500 - 5,000</t>
        </is>
      </c>
      <c r="Q523" s="30" t="inlineStr">
        <is>
          <t xml:space="preserve">Georgia</t>
        </is>
      </c>
      <c r="R523" s="30" t="inlineStr">
        <is>
          <t xml:space="preserve">30303</t>
        </is>
      </c>
      <c r="S523" s="32" t="inlineStr">
        <is>
          <t xml:space="preserve">Tier 2 - Coastal wind (1-25 miles)</t>
        </is>
      </c>
      <c r="T523" s="36">
        <f>IF($A523="","",IF($S523="","",IFERROR(INDEX('[1]natural catastrophe'!$D$6:$D$17,MATCH($S523,'[1]natural catastrophe'!$B$6:$B$17,0)),"?")))</f>
      </c>
      <c r="U523" s="30" t="inlineStr">
        <is>
          <t xml:space="preserve">2% of agreed value, minimum $10,000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3882.98</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CANON-202604-007292</t>
        </is>
      </c>
      <c r="B524" s="46" t="inlineStr">
        <is>
          <t xml:space="preserve">Beatrix Ashcombe</t>
        </is>
      </c>
      <c r="C524" s="47">
        <v>46139</v>
      </c>
      <c r="D524" s="48" t="inlineStr">
        <is>
          <t xml:space="preserve">Bound - within authority</t>
        </is>
      </c>
      <c r="E524" s="48" t="inlineStr">
        <is>
          <t xml:space="preserve">New business</t>
        </is>
      </c>
      <c r="F524" s="46" t="inlineStr">
        <is>
          <t xml:space="preserve">B1234EXOTIC26</t>
        </is>
      </c>
      <c r="G524" s="33">
        <f>IF($A524="","",IF($C524="","",YEAR($C524)))</f>
      </c>
      <c r="H524" s="49">
        <v>1973</v>
      </c>
      <c r="I524" s="46" t="inlineStr">
        <is>
          <t xml:space="preserve">Porsche</t>
        </is>
      </c>
      <c r="J524" s="46" t="inlineStr">
        <is>
          <t xml:space="preserve">911 Turbo S</t>
        </is>
      </c>
      <c r="K524" s="46" t="inlineStr">
        <is>
          <t xml:space="preserve">TRB1YE3NMX41D68EA</t>
        </is>
      </c>
      <c r="L524" s="48" t="inlineStr">
        <is>
          <t xml:space="preserve">02 - Sports / GT</t>
        </is>
      </c>
      <c r="M524" s="50">
        <v>340000</v>
      </c>
      <c r="N524" s="48" t="inlineStr">
        <is>
          <t xml:space="preserve">Personal</t>
        </is>
      </c>
      <c r="O524" s="46" t="inlineStr">
        <is>
          <t xml:space="preserve">Personal - regular use</t>
        </is>
      </c>
      <c r="P524" s="46" t="inlineStr">
        <is>
          <t xml:space="preserve">Under 1,000</t>
        </is>
      </c>
      <c r="Q524" s="46" t="inlineStr">
        <is>
          <t xml:space="preserve">Massachusetts</t>
        </is>
      </c>
      <c r="R524" s="46" t="inlineStr">
        <is>
          <t xml:space="preserve">02108</t>
        </is>
      </c>
      <c r="S524" s="48" t="inlineStr">
        <is>
          <t xml:space="preserve">Tier 3 - Coastal wind (25-100 miles)</t>
        </is>
      </c>
      <c r="T524" s="36">
        <f>IF($A524="","",IF($S524="","",IFERROR(INDEX('[1]natural catastrophe'!$D$6:$D$17,MATCH($S524,'[1]natural catastrophe'!$B$6:$B$17,0)),"?")))</f>
      </c>
      <c r="U524" s="46" t="inlineStr">
        <is>
          <t xml:space="preserve">2% of agreed value, minimum $10,000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4994.75</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CANON-202604-007293</t>
        </is>
      </c>
      <c r="B525" s="30" t="inlineStr">
        <is>
          <t xml:space="preserve">Noor Vasquez</t>
        </is>
      </c>
      <c r="C525" s="31">
        <v>46137</v>
      </c>
      <c r="D525" s="32" t="inlineStr">
        <is>
          <t xml:space="preserve">Bound - within authority</t>
        </is>
      </c>
      <c r="E525" s="32" t="inlineStr">
        <is>
          <t xml:space="preserve">New business</t>
        </is>
      </c>
      <c r="F525" s="30" t="inlineStr">
        <is>
          <t xml:space="preserve">B1234EXOTIC26</t>
        </is>
      </c>
      <c r="G525" s="33">
        <f>IF($A525="","",IF($C525="","",YEAR($C525)))</f>
      </c>
      <c r="H525" s="34">
        <v>2005</v>
      </c>
      <c r="I525" s="30" t="inlineStr">
        <is>
          <t xml:space="preserve">Mercedes-Benz</t>
        </is>
      </c>
      <c r="J525" s="30" t="inlineStr">
        <is>
          <t xml:space="preserve">AMG GT</t>
        </is>
      </c>
      <c r="K525" s="30" t="inlineStr">
        <is>
          <t xml:space="preserve">RS8PM47A7YNMPDXPP</t>
        </is>
      </c>
      <c r="L525" s="32" t="inlineStr">
        <is>
          <t xml:space="preserve">02 - Sports / GT</t>
        </is>
      </c>
      <c r="M525" s="35">
        <v>565000</v>
      </c>
      <c r="N525" s="32" t="inlineStr">
        <is>
          <t xml:space="preserve">Personal</t>
        </is>
      </c>
      <c r="O525" s="30" t="inlineStr">
        <is>
          <t xml:space="preserve">Personal - regular use</t>
        </is>
      </c>
      <c r="P525" s="30" t="inlineStr">
        <is>
          <t xml:space="preserve">2,500 - 5,000</t>
        </is>
      </c>
      <c r="Q525" s="30" t="inlineStr">
        <is>
          <t xml:space="preserve">West Virginia</t>
        </is>
      </c>
      <c r="R525" s="30" t="inlineStr">
        <is>
          <t xml:space="preserve">25301</t>
        </is>
      </c>
      <c r="S525" s="32" t="inlineStr">
        <is>
          <t xml:space="preserve">Low hazard - inland benign</t>
        </is>
      </c>
      <c r="T525" s="36">
        <f>IF($A525="","",IF($S525="","",IFERROR(INDEX('[1]natural catastrophe'!$D$6:$D$17,MATCH($S525,'[1]natural catastrophe'!$B$6:$B$17,0)),"?")))</f>
      </c>
      <c r="U525" s="30" t="inlineStr">
        <is>
          <t xml:space="preserve">$5,000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7653.8</v>
      </c>
      <c r="AC525" s="37">
        <v>0</v>
      </c>
      <c r="AD525" s="38">
        <f>IF(ISNUMBER($AB525),$AB525*(1+N($AC525)),"")</f>
      </c>
      <c r="AE525" s="35">
        <v>350</v>
      </c>
      <c r="AF525" s="35">
        <v>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CANON-202604-007295</t>
        </is>
      </c>
      <c r="B526" s="46" t="inlineStr">
        <is>
          <t xml:space="preserve">Wilhelmina Merriweather</t>
        </is>
      </c>
      <c r="C526" s="47">
        <v>46124</v>
      </c>
      <c r="D526" s="48" t="inlineStr">
        <is>
          <t xml:space="preserve">Bound - within authority</t>
        </is>
      </c>
      <c r="E526" s="48" t="inlineStr">
        <is>
          <t xml:space="preserve">New business</t>
        </is>
      </c>
      <c r="F526" s="46" t="inlineStr">
        <is>
          <t xml:space="preserve">B1234EXOTIC26</t>
        </is>
      </c>
      <c r="G526" s="33">
        <f>IF($A526="","",IF($C526="","",YEAR($C526)))</f>
      </c>
      <c r="H526" s="49">
        <v>1975</v>
      </c>
      <c r="I526" s="46" t="inlineStr">
        <is>
          <t xml:space="preserve">Aston Martin</t>
        </is>
      </c>
      <c r="J526" s="46" t="inlineStr">
        <is>
          <t xml:space="preserve">DB12</t>
        </is>
      </c>
      <c r="K526" s="46" t="inlineStr">
        <is>
          <t xml:space="preserve">6KJZKXUD4TYUAGT5E</t>
        </is>
      </c>
      <c r="L526" s="48" t="inlineStr">
        <is>
          <t xml:space="preserve">02 - Sports / GT</t>
        </is>
      </c>
      <c r="M526" s="50">
        <v>625000</v>
      </c>
      <c r="N526" s="48" t="inlineStr">
        <is>
          <t xml:space="preserve">Personal</t>
        </is>
      </c>
      <c r="O526" s="46" t="inlineStr">
        <is>
          <t xml:space="preserve">Personal - regular use</t>
        </is>
      </c>
      <c r="P526" s="46" t="inlineStr">
        <is>
          <t xml:space="preserve">1,000 - 2,500</t>
        </is>
      </c>
      <c r="Q526" s="46" t="inlineStr">
        <is>
          <t xml:space="preserve">Mississippi</t>
        </is>
      </c>
      <c r="R526" s="46" t="inlineStr">
        <is>
          <t xml:space="preserve">39201</t>
        </is>
      </c>
      <c r="S526" s="48" t="inlineStr">
        <is>
          <t xml:space="preserve">Tier 2 - Coastal wind (1-25 miles)</t>
        </is>
      </c>
      <c r="T526" s="36">
        <f>IF($A526="","",IF($S526="","",IFERROR(INDEX('[1]natural catastrophe'!$D$6:$D$17,MATCH($S526,'[1]natural catastrophe'!$B$6:$B$17,0)),"?")))</f>
      </c>
      <c r="U526" s="46" t="inlineStr">
        <is>
          <t xml:space="preserve">2% of agreed value, minimum $10,000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7575.37</v>
      </c>
      <c r="AC526" s="51">
        <v>0</v>
      </c>
      <c r="AD526" s="38">
        <f>IF(ISNUMBER($AB526),$AB526*(1+N($AC526)),"")</f>
      </c>
      <c r="AE526" s="50">
        <v>350</v>
      </c>
      <c r="AF526" s="50">
        <v>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CANON-202604-007296</t>
        </is>
      </c>
      <c r="B527" s="30" t="inlineStr">
        <is>
          <t xml:space="preserve">Leopold Harrington</t>
        </is>
      </c>
      <c r="C527" s="31">
        <v>46114</v>
      </c>
      <c r="D527" s="32" t="inlineStr">
        <is>
          <t xml:space="preserve">Bound - within authority</t>
        </is>
      </c>
      <c r="E527" s="32" t="inlineStr">
        <is>
          <t xml:space="preserve">New business</t>
        </is>
      </c>
      <c r="F527" s="30" t="inlineStr">
        <is>
          <t xml:space="preserve">B1234EXOTIC26</t>
        </is>
      </c>
      <c r="G527" s="33">
        <f>IF($A527="","",IF($C527="","",YEAR($C527)))</f>
      </c>
      <c r="H527" s="34">
        <v>1975</v>
      </c>
      <c r="I527" s="30" t="inlineStr">
        <is>
          <t xml:space="preserve">Bentley</t>
        </is>
      </c>
      <c r="J527" s="30" t="inlineStr">
        <is>
          <t xml:space="preserve">Continental GT</t>
        </is>
      </c>
      <c r="K527" s="30" t="inlineStr">
        <is>
          <t xml:space="preserve">L1CS7RB79G2T0VWW0</t>
        </is>
      </c>
      <c r="L527" s="32" t="inlineStr">
        <is>
          <t xml:space="preserve">02 - Sports / GT</t>
        </is>
      </c>
      <c r="M527" s="35">
        <v>265000</v>
      </c>
      <c r="N527" s="32" t="inlineStr">
        <is>
          <t xml:space="preserve">Personal</t>
        </is>
      </c>
      <c r="O527" s="30" t="inlineStr">
        <is>
          <t xml:space="preserve">Personal - regular use</t>
        </is>
      </c>
      <c r="P527" s="30" t="inlineStr">
        <is>
          <t xml:space="preserve">Under 1,000</t>
        </is>
      </c>
      <c r="Q527" s="30" t="inlineStr">
        <is>
          <t xml:space="preserve">Wisconsin</t>
        </is>
      </c>
      <c r="R527" s="30" t="inlineStr">
        <is>
          <t xml:space="preserve">53202</t>
        </is>
      </c>
      <c r="S527" s="32" t="inlineStr">
        <is>
          <t xml:space="preserve">Severe convective - hail / tornado (moderate)</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3737.25</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CANON-202604-007297</t>
        </is>
      </c>
      <c r="B528" s="46" t="inlineStr">
        <is>
          <t xml:space="preserve">Lorenzo Larsson</t>
        </is>
      </c>
      <c r="C528" s="47">
        <v>46116</v>
      </c>
      <c r="D528" s="48" t="inlineStr">
        <is>
          <t xml:space="preserve">Bound - within authority</t>
        </is>
      </c>
      <c r="E528" s="48" t="inlineStr">
        <is>
          <t xml:space="preserve">New business</t>
        </is>
      </c>
      <c r="F528" s="46" t="inlineStr">
        <is>
          <t xml:space="preserve">B1234EXOTIC26</t>
        </is>
      </c>
      <c r="G528" s="33">
        <f>IF($A528="","",IF($C528="","",YEAR($C528)))</f>
      </c>
      <c r="H528" s="49">
        <v>1975</v>
      </c>
      <c r="I528" s="46" t="inlineStr">
        <is>
          <t xml:space="preserve">Ferrari</t>
        </is>
      </c>
      <c r="J528" s="46" t="inlineStr">
        <is>
          <t xml:space="preserve">296 GTB</t>
        </is>
      </c>
      <c r="K528" s="46" t="inlineStr">
        <is>
          <t xml:space="preserve">3EHHMGDM480B1S8GL</t>
        </is>
      </c>
      <c r="L528" s="48" t="inlineStr">
        <is>
          <t xml:space="preserve">03 - Supercar</t>
        </is>
      </c>
      <c r="M528" s="50">
        <v>725000</v>
      </c>
      <c r="N528" s="48" t="inlineStr">
        <is>
          <t xml:space="preserve">Personal</t>
        </is>
      </c>
      <c r="O528" s="46" t="inlineStr">
        <is>
          <t xml:space="preserve">Personal - regular use</t>
        </is>
      </c>
      <c r="P528" s="46" t="inlineStr">
        <is>
          <t xml:space="preserve">Under 1,000</t>
        </is>
      </c>
      <c r="Q528" s="46" t="inlineStr">
        <is>
          <t xml:space="preserve">Maryland</t>
        </is>
      </c>
      <c r="R528" s="46" t="inlineStr">
        <is>
          <t xml:space="preserve">21201</t>
        </is>
      </c>
      <c r="S528" s="48" t="inlineStr">
        <is>
          <t xml:space="preserve">Tier 3 - Coastal wind (25-100 miles)</t>
        </is>
      </c>
      <c r="T528" s="36">
        <f>IF($A528="","",IF($S528="","",IFERROR(INDEX('[1]natural catastrophe'!$D$6:$D$17,MATCH($S528,'[1]natural catastrophe'!$B$6:$B$17,0)),"?")))</f>
      </c>
      <c r="U528" s="46" t="inlineStr">
        <is>
          <t xml:space="preserve">2% of agreed value, minimum $10,000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10252.95</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CANON-202604-007298</t>
        </is>
      </c>
      <c r="B529" s="30" t="inlineStr">
        <is>
          <t xml:space="preserve">Sunniva Bellandi</t>
        </is>
      </c>
      <c r="C529" s="31">
        <v>46127</v>
      </c>
      <c r="D529" s="32" t="inlineStr">
        <is>
          <t xml:space="preserve">Bound - within authority</t>
        </is>
      </c>
      <c r="E529" s="32" t="inlineStr">
        <is>
          <t xml:space="preserve">New business</t>
        </is>
      </c>
      <c r="F529" s="30" t="inlineStr">
        <is>
          <t xml:space="preserve">B1234EXOTIC26</t>
        </is>
      </c>
      <c r="G529" s="33">
        <f>IF($A529="","",IF($C529="","",YEAR($C529)))</f>
      </c>
      <c r="H529" s="34">
        <v>2023</v>
      </c>
      <c r="I529" s="30" t="inlineStr">
        <is>
          <t xml:space="preserve">Ringbrothers</t>
        </is>
      </c>
      <c r="J529" s="30" t="inlineStr">
        <is>
          <t xml:space="preserve">Mustang</t>
        </is>
      </c>
      <c r="K529" s="30" t="inlineStr">
        <is>
          <t xml:space="preserve">NMNY25CT8JAVGSEMT</t>
        </is>
      </c>
      <c r="L529" s="32" t="inlineStr">
        <is>
          <t xml:space="preserve">11 - Restomod / Coachbuilt / Bespoke</t>
        </is>
      </c>
      <c r="M529" s="35">
        <v>580000</v>
      </c>
      <c r="N529" s="32" t="inlineStr">
        <is>
          <t xml:space="preserve">Personal</t>
        </is>
      </c>
      <c r="O529" s="30" t="inlineStr">
        <is>
          <t xml:space="preserve">Personal - regular use</t>
        </is>
      </c>
      <c r="P529" s="30" t="inlineStr">
        <is>
          <t xml:space="preserve">2,500 - 5,000</t>
        </is>
      </c>
      <c r="Q529" s="30" t="inlineStr">
        <is>
          <t xml:space="preserve">Texas</t>
        </is>
      </c>
      <c r="R529" s="30" t="inlineStr">
        <is>
          <t xml:space="preserve">75201</t>
        </is>
      </c>
      <c r="S529" s="32" t="inlineStr">
        <is>
          <t xml:space="preserve">Tier 2 - Coastal wind (1-25 miles)</t>
        </is>
      </c>
      <c r="T529" s="36">
        <f>IF($A529="","",IF($S529="","",IFERROR(INDEX('[1]natural catastrophe'!$D$6:$D$17,MATCH($S529,'[1]natural catastrophe'!$B$6:$B$17,0)),"?")))</f>
      </c>
      <c r="U529" s="30" t="inlineStr">
        <is>
          <t xml:space="preserve">2% of agreed value, minimum $10,000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8152.38</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CANON-202604-007299</t>
        </is>
      </c>
      <c r="B530" s="46" t="inlineStr">
        <is>
          <t xml:space="preserve">Anouk Merriweather</t>
        </is>
      </c>
      <c r="C530" s="47">
        <v>46129</v>
      </c>
      <c r="D530" s="48" t="inlineStr">
        <is>
          <t xml:space="preserve">Bound - within authority</t>
        </is>
      </c>
      <c r="E530" s="48" t="inlineStr">
        <is>
          <t xml:space="preserve">New business</t>
        </is>
      </c>
      <c r="F530" s="46" t="inlineStr">
        <is>
          <t xml:space="preserve">B1234EXOTIC26</t>
        </is>
      </c>
      <c r="G530" s="33">
        <f>IF($A530="","",IF($C530="","",YEAR($C530)))</f>
      </c>
      <c r="H530" s="49">
        <v>2023</v>
      </c>
      <c r="I530" s="46" t="inlineStr">
        <is>
          <t xml:space="preserve">Porsche</t>
        </is>
      </c>
      <c r="J530" s="46" t="inlineStr">
        <is>
          <t xml:space="preserve">911 Turbo S</t>
        </is>
      </c>
      <c r="K530" s="46" t="inlineStr">
        <is>
          <t xml:space="preserve">G3F9YHLT6PE48MCCK</t>
        </is>
      </c>
      <c r="L530" s="48" t="inlineStr">
        <is>
          <t xml:space="preserve">02 - Sports / GT</t>
        </is>
      </c>
      <c r="M530" s="50">
        <v>565000</v>
      </c>
      <c r="N530" s="48" t="inlineStr">
        <is>
          <t xml:space="preserve">Personal</t>
        </is>
      </c>
      <c r="O530" s="46" t="inlineStr">
        <is>
          <t xml:space="preserve">Personal - regular use</t>
        </is>
      </c>
      <c r="P530" s="46" t="inlineStr">
        <is>
          <t xml:space="preserve">2,500 - 5,000</t>
        </is>
      </c>
      <c r="Q530" s="46" t="inlineStr">
        <is>
          <t xml:space="preserve">Illinois</t>
        </is>
      </c>
      <c r="R530" s="46" t="inlineStr">
        <is>
          <t xml:space="preserve">60601</t>
        </is>
      </c>
      <c r="S530" s="48" t="inlineStr">
        <is>
          <t xml:space="preserve">Severe convective - hail / tornado (moderate)</t>
        </is>
      </c>
      <c r="T530" s="36">
        <f>IF($A530="","",IF($S530="","",IFERROR(INDEX('[1]natural catastrophe'!$D$6:$D$17,MATCH($S530,'[1]natural catastrophe'!$B$6:$B$17,0)),"?")))</f>
      </c>
      <c r="U530" s="46" t="inlineStr">
        <is>
          <t xml:space="preserve">$5,000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7826.44</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CANON-202604-007300</t>
        </is>
      </c>
      <c r="B531" s="30" t="inlineStr">
        <is>
          <t xml:space="preserve">Ingrid Whitlock</t>
        </is>
      </c>
      <c r="C531" s="31">
        <v>46130</v>
      </c>
      <c r="D531" s="32" t="inlineStr">
        <is>
          <t xml:space="preserve">Bound - within authority</t>
        </is>
      </c>
      <c r="E531" s="32" t="inlineStr">
        <is>
          <t xml:space="preserve">New business</t>
        </is>
      </c>
      <c r="F531" s="30" t="inlineStr">
        <is>
          <t xml:space="preserve">B1234EXOTIC26</t>
        </is>
      </c>
      <c r="G531" s="33">
        <f>IF($A531="","",IF($C531="","",YEAR($C531)))</f>
      </c>
      <c r="H531" s="34">
        <v>1969</v>
      </c>
      <c r="I531" s="30" t="inlineStr">
        <is>
          <t xml:space="preserve">BMW</t>
        </is>
      </c>
      <c r="J531" s="30" t="inlineStr">
        <is>
          <t xml:space="preserve">M8 Competition</t>
        </is>
      </c>
      <c r="K531" s="30" t="inlineStr">
        <is>
          <t xml:space="preserve">RH4PL93BUEG7XPT8U</t>
        </is>
      </c>
      <c r="L531" s="32" t="inlineStr">
        <is>
          <t xml:space="preserve">02 - Sports / GT</t>
        </is>
      </c>
      <c r="M531" s="35">
        <v>240000</v>
      </c>
      <c r="N531" s="32" t="inlineStr">
        <is>
          <t xml:space="preserve">Personal</t>
        </is>
      </c>
      <c r="O531" s="30" t="inlineStr">
        <is>
          <t xml:space="preserve">Personal - regular use</t>
        </is>
      </c>
      <c r="P531" s="30" t="inlineStr">
        <is>
          <t xml:space="preserve">Under 1,000</t>
        </is>
      </c>
      <c r="Q531" s="30" t="inlineStr">
        <is>
          <t xml:space="preserve">Ohio</t>
        </is>
      </c>
      <c r="R531" s="30" t="inlineStr">
        <is>
          <t xml:space="preserve">43215</t>
        </is>
      </c>
      <c r="S531" s="32" t="inlineStr">
        <is>
          <t xml:space="preserve">Severe convective - hail / tornado (moderate)</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4809.25</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CANON-202604-007301</t>
        </is>
      </c>
      <c r="B532" s="46" t="inlineStr">
        <is>
          <t xml:space="preserve">Everett Vasquez</t>
        </is>
      </c>
      <c r="C532" s="47">
        <v>46130</v>
      </c>
      <c r="D532" s="48" t="inlineStr">
        <is>
          <t xml:space="preserve">Bound - within authority</t>
        </is>
      </c>
      <c r="E532" s="48" t="inlineStr">
        <is>
          <t xml:space="preserve">New business</t>
        </is>
      </c>
      <c r="F532" s="46" t="inlineStr">
        <is>
          <t xml:space="preserve">B1234EXOTIC26</t>
        </is>
      </c>
      <c r="G532" s="33">
        <f>IF($A532="","",IF($C532="","",YEAR($C532)))</f>
      </c>
      <c r="H532" s="49">
        <v>1970</v>
      </c>
      <c r="I532" s="46" t="inlineStr">
        <is>
          <t xml:space="preserve">Mercedes-Benz</t>
        </is>
      </c>
      <c r="J532" s="46" t="inlineStr">
        <is>
          <t xml:space="preserve">AMG GT</t>
        </is>
      </c>
      <c r="K532" s="46" t="inlineStr">
        <is>
          <t xml:space="preserve">HGW0NYVLCU9RAZ3AD</t>
        </is>
      </c>
      <c r="L532" s="48" t="inlineStr">
        <is>
          <t xml:space="preserve">02 - Sports / GT</t>
        </is>
      </c>
      <c r="M532" s="50">
        <v>690000</v>
      </c>
      <c r="N532" s="48" t="inlineStr">
        <is>
          <t xml:space="preserve">Personal</t>
        </is>
      </c>
      <c r="O532" s="46" t="inlineStr">
        <is>
          <t xml:space="preserve">Personal - regular use</t>
        </is>
      </c>
      <c r="P532" s="46" t="inlineStr">
        <is>
          <t xml:space="preserve">Under 1,000</t>
        </is>
      </c>
      <c r="Q532" s="46" t="inlineStr">
        <is>
          <t xml:space="preserve">Mississippi</t>
        </is>
      </c>
      <c r="R532" s="46" t="inlineStr">
        <is>
          <t xml:space="preserve">39201</t>
        </is>
      </c>
      <c r="S532" s="48" t="inlineStr">
        <is>
          <t xml:space="preserve">Tier 2 - Coastal wind (1-25 miles)</t>
        </is>
      </c>
      <c r="T532" s="36">
        <f>IF($A532="","",IF($S532="","",IFERROR(INDEX('[1]natural catastrophe'!$D$6:$D$17,MATCH($S532,'[1]natural catastrophe'!$B$6:$B$17,0)),"?")))</f>
      </c>
      <c r="U532" s="46" t="inlineStr">
        <is>
          <t xml:space="preserve">2% of agreed value, minimum $10,000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8363.21</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CANON-202604-007302</t>
        </is>
      </c>
      <c r="B533" s="30" t="inlineStr">
        <is>
          <t xml:space="preserve">Saoirse Merriweather</t>
        </is>
      </c>
      <c r="C533" s="31">
        <v>46117</v>
      </c>
      <c r="D533" s="32" t="inlineStr">
        <is>
          <t xml:space="preserve">Bound - within authority</t>
        </is>
      </c>
      <c r="E533" s="32" t="inlineStr">
        <is>
          <t xml:space="preserve">New business</t>
        </is>
      </c>
      <c r="F533" s="30" t="inlineStr">
        <is>
          <t xml:space="preserve">B1234EXOTIC26</t>
        </is>
      </c>
      <c r="G533" s="33">
        <f>IF($A533="","",IF($C533="","",YEAR($C533)))</f>
      </c>
      <c r="H533" s="34">
        <v>1987</v>
      </c>
      <c r="I533" s="30" t="inlineStr">
        <is>
          <t xml:space="preserve">Aston Martin</t>
        </is>
      </c>
      <c r="J533" s="30" t="inlineStr">
        <is>
          <t xml:space="preserve">DB12</t>
        </is>
      </c>
      <c r="K533" s="30" t="inlineStr">
        <is>
          <t xml:space="preserve">LBDSYESR873F3NH5W</t>
        </is>
      </c>
      <c r="L533" s="32" t="inlineStr">
        <is>
          <t xml:space="preserve">02 - Sports / GT</t>
        </is>
      </c>
      <c r="M533" s="35">
        <v>245000</v>
      </c>
      <c r="N533" s="32" t="inlineStr">
        <is>
          <t xml:space="preserve">Personal</t>
        </is>
      </c>
      <c r="O533" s="30" t="inlineStr">
        <is>
          <t xml:space="preserve">Personal - regular use</t>
        </is>
      </c>
      <c r="P533" s="30" t="inlineStr">
        <is>
          <t xml:space="preserve">Under 1,000</t>
        </is>
      </c>
      <c r="Q533" s="30" t="inlineStr">
        <is>
          <t xml:space="preserve">Arkansas</t>
        </is>
      </c>
      <c r="R533" s="30" t="inlineStr">
        <is>
          <t xml:space="preserve">72201</t>
        </is>
      </c>
      <c r="S533" s="32" t="inlineStr">
        <is>
          <t xml:space="preserve">Severe convective - hail / tornado (moderate)</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4874.13</v>
      </c>
      <c r="AC533" s="37">
        <v>0</v>
      </c>
      <c r="AD533" s="38">
        <f>IF(ISNUMBER($AB533),$AB533*(1+N($AC533)),"")</f>
      </c>
      <c r="AE533" s="35">
        <v>350</v>
      </c>
      <c r="AF533" s="35">
        <v>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CANON-202604-007303</t>
        </is>
      </c>
      <c r="B534" s="46" t="inlineStr">
        <is>
          <t xml:space="preserve">Ottilie Fairweather</t>
        </is>
      </c>
      <c r="C534" s="47">
        <v>46136</v>
      </c>
      <c r="D534" s="48" t="inlineStr">
        <is>
          <t xml:space="preserve">Bound - within authority</t>
        </is>
      </c>
      <c r="E534" s="48" t="inlineStr">
        <is>
          <t xml:space="preserve">New business</t>
        </is>
      </c>
      <c r="F534" s="46" t="inlineStr">
        <is>
          <t xml:space="preserve">B1234EXOTIC26</t>
        </is>
      </c>
      <c r="G534" s="33">
        <f>IF($A534="","",IF($C534="","",YEAR($C534)))</f>
      </c>
      <c r="H534" s="49">
        <v>1977</v>
      </c>
      <c r="I534" s="46" t="inlineStr">
        <is>
          <t xml:space="preserve">Aston Martin</t>
        </is>
      </c>
      <c r="J534" s="46" t="inlineStr">
        <is>
          <t xml:space="preserve">DB12</t>
        </is>
      </c>
      <c r="K534" s="46" t="inlineStr">
        <is>
          <t xml:space="preserve">K3FAE5UKWCP7EFCND</t>
        </is>
      </c>
      <c r="L534" s="48" t="inlineStr">
        <is>
          <t xml:space="preserve">02 - Sports / GT</t>
        </is>
      </c>
      <c r="M534" s="50">
        <v>710000</v>
      </c>
      <c r="N534" s="48" t="inlineStr">
        <is>
          <t xml:space="preserve">Personal</t>
        </is>
      </c>
      <c r="O534" s="46" t="inlineStr">
        <is>
          <t xml:space="preserve">Personal - regular use</t>
        </is>
      </c>
      <c r="P534" s="46" t="inlineStr">
        <is>
          <t xml:space="preserve">1,000 - 2,500</t>
        </is>
      </c>
      <c r="Q534" s="46" t="inlineStr">
        <is>
          <t xml:space="preserve">Montana</t>
        </is>
      </c>
      <c r="R534" s="46" t="inlineStr">
        <is>
          <t xml:space="preserve">59601</t>
        </is>
      </c>
      <c r="S534" s="48" t="inlineStr">
        <is>
          <t xml:space="preserve">Wildfire - WUI high hazard</t>
        </is>
      </c>
      <c r="T534" s="36">
        <f>IF($A534="","",IF($S534="","",IFERROR(INDEX('[1]natural catastrophe'!$D$6:$D$17,MATCH($S534,'[1]natural catastrophe'!$B$6:$B$17,0)),"?")))</f>
      </c>
      <c r="U534" s="46" t="inlineStr">
        <is>
          <t xml:space="preserve">$5,000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6725.41</v>
      </c>
      <c r="AC534" s="51">
        <v>0</v>
      </c>
      <c r="AD534" s="38">
        <f>IF(ISNUMBER($AB534),$AB534*(1+N($AC534)),"")</f>
      </c>
      <c r="AE534" s="50">
        <v>350</v>
      </c>
      <c r="AF534" s="50">
        <v>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CANON-202604-007304</t>
        </is>
      </c>
      <c r="B535" s="30" t="inlineStr">
        <is>
          <t xml:space="preserve">Desmond Bellandi</t>
        </is>
      </c>
      <c r="C535" s="31">
        <v>46127</v>
      </c>
      <c r="D535" s="32" t="inlineStr">
        <is>
          <t xml:space="preserve">Bound - within authority</t>
        </is>
      </c>
      <c r="E535" s="32" t="inlineStr">
        <is>
          <t xml:space="preserve">New business</t>
        </is>
      </c>
      <c r="F535" s="30" t="inlineStr">
        <is>
          <t xml:space="preserve">B1234EXOTIC26</t>
        </is>
      </c>
      <c r="G535" s="33">
        <f>IF($A535="","",IF($C535="","",YEAR($C535)))</f>
      </c>
      <c r="H535" s="34">
        <v>1974</v>
      </c>
      <c r="I535" s="30" t="inlineStr">
        <is>
          <t xml:space="preserve">Aston Martin</t>
        </is>
      </c>
      <c r="J535" s="30" t="inlineStr">
        <is>
          <t xml:space="preserve">DB12</t>
        </is>
      </c>
      <c r="K535" s="30" t="inlineStr">
        <is>
          <t xml:space="preserve">5687BJFLRUGCM7L11</t>
        </is>
      </c>
      <c r="L535" s="32" t="inlineStr">
        <is>
          <t xml:space="preserve">02 - Sports / GT</t>
        </is>
      </c>
      <c r="M535" s="35">
        <v>365000</v>
      </c>
      <c r="N535" s="32" t="inlineStr">
        <is>
          <t xml:space="preserve">Personal</t>
        </is>
      </c>
      <c r="O535" s="30" t="inlineStr">
        <is>
          <t xml:space="preserve">Personal - regular use</t>
        </is>
      </c>
      <c r="P535" s="30" t="inlineStr">
        <is>
          <t xml:space="preserve">Under 1,000</t>
        </is>
      </c>
      <c r="Q535" s="30" t="inlineStr">
        <is>
          <t xml:space="preserve">Louisiana</t>
        </is>
      </c>
      <c r="R535" s="30" t="inlineStr">
        <is>
          <t xml:space="preserve">70112</t>
        </is>
      </c>
      <c r="S535" s="32" t="inlineStr">
        <is>
          <t xml:space="preserve">Tier 2 - Coastal wind (1-25 miles)</t>
        </is>
      </c>
      <c r="T535" s="36">
        <f>IF($A535="","",IF($S535="","",IFERROR(INDEX('[1]natural catastrophe'!$D$6:$D$17,MATCH($S535,'[1]natural catastrophe'!$B$6:$B$17,0)),"?")))</f>
      </c>
      <c r="U535" s="30" t="inlineStr">
        <is>
          <t xml:space="preserve">2% of agreed value, minimum $10,000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5190.43</v>
      </c>
      <c r="AC535" s="37">
        <v>0</v>
      </c>
      <c r="AD535" s="38">
        <f>IF(ISNUMBER($AB535),$AB535*(1+N($AC535)),"")</f>
      </c>
      <c r="AE535" s="35">
        <v>350</v>
      </c>
      <c r="AF535" s="35">
        <v>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CANON-202604-007307</t>
        </is>
      </c>
      <c r="B536" s="46" t="inlineStr">
        <is>
          <t xml:space="preserve">Callum Delacroix</t>
        </is>
      </c>
      <c r="C536" s="47">
        <v>46141</v>
      </c>
      <c r="D536" s="48" t="inlineStr">
        <is>
          <t xml:space="preserve">Bound - within authority</t>
        </is>
      </c>
      <c r="E536" s="48" t="inlineStr">
        <is>
          <t xml:space="preserve">New business</t>
        </is>
      </c>
      <c r="F536" s="46" t="inlineStr">
        <is>
          <t xml:space="preserve">B1234EXOTIC26</t>
        </is>
      </c>
      <c r="G536" s="33">
        <f>IF($A536="","",IF($C536="","",YEAR($C536)))</f>
      </c>
      <c r="H536" s="49">
        <v>2006</v>
      </c>
      <c r="I536" s="46" t="inlineStr">
        <is>
          <t xml:space="preserve">Aston Martin</t>
        </is>
      </c>
      <c r="J536" s="46" t="inlineStr">
        <is>
          <t xml:space="preserve">DB5</t>
        </is>
      </c>
      <c r="K536" s="46" t="inlineStr">
        <is>
          <t xml:space="preserve">HBTN8595PJLKDD94Y</t>
        </is>
      </c>
      <c r="L536" s="48" t="inlineStr">
        <is>
          <t xml:space="preserve">09 - Youngtimer / Collectible (2000-2010)</t>
        </is>
      </c>
      <c r="M536" s="50">
        <v>565000</v>
      </c>
      <c r="N536" s="48" t="inlineStr">
        <is>
          <t xml:space="preserve">Personal</t>
        </is>
      </c>
      <c r="O536" s="46" t="inlineStr">
        <is>
          <t xml:space="preserve">Personal - regular use</t>
        </is>
      </c>
      <c r="P536" s="46" t="inlineStr">
        <is>
          <t xml:space="preserve">2,500 - 5,000</t>
        </is>
      </c>
      <c r="Q536" s="46" t="inlineStr">
        <is>
          <t xml:space="preserve">Michigan</t>
        </is>
      </c>
      <c r="R536" s="46" t="inlineStr">
        <is>
          <t xml:space="preserve">48226</t>
        </is>
      </c>
      <c r="S536" s="48" t="inlineStr">
        <is>
          <t xml:space="preserve">Severe convective - hail / tornado (moderate)</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5900.82</v>
      </c>
      <c r="AC536" s="51">
        <v>0</v>
      </c>
      <c r="AD536" s="38">
        <f>IF(ISNUMBER($AB536),$AB536*(1+N($AC536)),"")</f>
      </c>
      <c r="AE536" s="50">
        <v>350</v>
      </c>
      <c r="AF536" s="50">
        <v>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CANON-202604-007310</t>
        </is>
      </c>
      <c r="B537" s="30" t="inlineStr">
        <is>
          <t xml:space="preserve">Everett Blackwood</t>
        </is>
      </c>
      <c r="C537" s="31">
        <v>46135</v>
      </c>
      <c r="D537" s="32" t="inlineStr">
        <is>
          <t xml:space="preserve">Bound - within authority</t>
        </is>
      </c>
      <c r="E537" s="32" t="inlineStr">
        <is>
          <t xml:space="preserve">New business</t>
        </is>
      </c>
      <c r="F537" s="30" t="inlineStr">
        <is>
          <t xml:space="preserve">B1234EXOTIC26</t>
        </is>
      </c>
      <c r="G537" s="33">
        <f>IF($A537="","",IF($C537="","",YEAR($C537)))</f>
      </c>
      <c r="H537" s="34">
        <v>1962</v>
      </c>
      <c r="I537" s="30" t="inlineStr">
        <is>
          <t xml:space="preserve">Aston Martin</t>
        </is>
      </c>
      <c r="J537" s="30" t="inlineStr">
        <is>
          <t xml:space="preserve">DB5</t>
        </is>
      </c>
      <c r="K537" s="30" t="inlineStr">
        <is>
          <t xml:space="preserve">3K0U1NAVDGT8T2M63</t>
        </is>
      </c>
      <c r="L537" s="32" t="inlineStr">
        <is>
          <t xml:space="preserve">07 - Post-War Classic (1946-1972)</t>
        </is>
      </c>
      <c r="M537" s="35">
        <v>500000</v>
      </c>
      <c r="N537" s="32" t="inlineStr">
        <is>
          <t xml:space="preserve">Personal</t>
        </is>
      </c>
      <c r="O537" s="30" t="inlineStr">
        <is>
          <t xml:space="preserve">Personal - regular use</t>
        </is>
      </c>
      <c r="P537" s="30" t="inlineStr">
        <is>
          <t xml:space="preserve">2,500 - 5,000</t>
        </is>
      </c>
      <c r="Q537" s="30" t="inlineStr">
        <is>
          <t xml:space="preserve">Illinois</t>
        </is>
      </c>
      <c r="R537" s="30" t="inlineStr">
        <is>
          <t xml:space="preserve">60601</t>
        </is>
      </c>
      <c r="S537" s="32" t="inlineStr">
        <is>
          <t xml:space="preserve">Severe convective - hail / tornado (moderate)</t>
        </is>
      </c>
      <c r="T537" s="36">
        <f>IF($A537="","",IF($S537="","",IFERROR(INDEX('[1]natural catastrophe'!$D$6:$D$17,MATCH($S537,'[1]natural catastrophe'!$B$6:$B$17,0)),"?")))</f>
      </c>
      <c r="U537" s="30" t="inlineStr">
        <is>
          <t xml:space="preserve">$5,000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4581.85</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CANON-202604-007311</t>
        </is>
      </c>
      <c r="B538" s="46" t="inlineStr">
        <is>
          <t xml:space="preserve">Horace Delacroix</t>
        </is>
      </c>
      <c r="C538" s="47">
        <v>46135</v>
      </c>
      <c r="D538" s="48" t="inlineStr">
        <is>
          <t xml:space="preserve">Bound - within authority</t>
        </is>
      </c>
      <c r="E538" s="48" t="inlineStr">
        <is>
          <t xml:space="preserve">New business</t>
        </is>
      </c>
      <c r="F538" s="46" t="inlineStr">
        <is>
          <t xml:space="preserve">B1234EXOTIC26</t>
        </is>
      </c>
      <c r="G538" s="33">
        <f>IF($A538="","",IF($C538="","",YEAR($C538)))</f>
      </c>
      <c r="H538" s="49">
        <v>2024</v>
      </c>
      <c r="I538" s="46" t="inlineStr">
        <is>
          <t xml:space="preserve">Lamborghini</t>
        </is>
      </c>
      <c r="J538" s="46" t="inlineStr">
        <is>
          <t xml:space="preserve">Huracan EVO</t>
        </is>
      </c>
      <c r="K538" s="46" t="inlineStr">
        <is>
          <t xml:space="preserve">Y4M366LCLS7F0C3JM</t>
        </is>
      </c>
      <c r="L538" s="48" t="inlineStr">
        <is>
          <t xml:space="preserve">03 - Supercar</t>
        </is>
      </c>
      <c r="M538" s="50">
        <v>810000</v>
      </c>
      <c r="N538" s="48" t="inlineStr">
        <is>
          <t xml:space="preserve">Personal</t>
        </is>
      </c>
      <c r="O538" s="46" t="inlineStr">
        <is>
          <t xml:space="preserve">Personal - regular use</t>
        </is>
      </c>
      <c r="P538" s="46" t="inlineStr">
        <is>
          <t xml:space="preserve">2,500 - 5,000</t>
        </is>
      </c>
      <c r="Q538" s="46" t="inlineStr">
        <is>
          <t xml:space="preserve">Tennessee</t>
        </is>
      </c>
      <c r="R538" s="46" t="inlineStr">
        <is>
          <t xml:space="preserve">37203</t>
        </is>
      </c>
      <c r="S538" s="48" t="inlineStr">
        <is>
          <t xml:space="preserve">Severe convective - hail / tornado (moderate)</t>
        </is>
      </c>
      <c r="T538" s="36">
        <f>IF($A538="","",IF($S538="","",IFERROR(INDEX('[1]natural catastrophe'!$D$6:$D$17,MATCH($S538,'[1]natural catastrophe'!$B$6:$B$17,0)),"?")))</f>
      </c>
      <c r="U538" s="46" t="inlineStr">
        <is>
          <t xml:space="preserve">$5,000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11816.76</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CANON-202604-007312</t>
        </is>
      </c>
      <c r="B539" s="30" t="inlineStr">
        <is>
          <t xml:space="preserve">Saoirse Harrington</t>
        </is>
      </c>
      <c r="C539" s="31">
        <v>46119</v>
      </c>
      <c r="D539" s="32" t="inlineStr">
        <is>
          <t xml:space="preserve">Bound - within authority</t>
        </is>
      </c>
      <c r="E539" s="32" t="inlineStr">
        <is>
          <t xml:space="preserve">New business</t>
        </is>
      </c>
      <c r="F539" s="30" t="inlineStr">
        <is>
          <t xml:space="preserve">B1234EXOTIC26</t>
        </is>
      </c>
      <c r="G539" s="33">
        <f>IF($A539="","",IF($C539="","",YEAR($C539)))</f>
      </c>
      <c r="H539" s="34">
        <v>2001</v>
      </c>
      <c r="I539" s="30" t="inlineStr">
        <is>
          <t xml:space="preserve">Ferrari</t>
        </is>
      </c>
      <c r="J539" s="30" t="inlineStr">
        <is>
          <t xml:space="preserve">296 GTB</t>
        </is>
      </c>
      <c r="K539" s="30" t="inlineStr">
        <is>
          <t xml:space="preserve">D5J7TWDHDSKPP3KKW</t>
        </is>
      </c>
      <c r="L539" s="32" t="inlineStr">
        <is>
          <t xml:space="preserve">03 - Supercar</t>
        </is>
      </c>
      <c r="M539" s="35">
        <v>390000</v>
      </c>
      <c r="N539" s="32" t="inlineStr">
        <is>
          <t xml:space="preserve">Personal</t>
        </is>
      </c>
      <c r="O539" s="30" t="inlineStr">
        <is>
          <t xml:space="preserve">Personal - regular use</t>
        </is>
      </c>
      <c r="P539" s="30" t="inlineStr">
        <is>
          <t xml:space="preserve">2,500 - 5,000</t>
        </is>
      </c>
      <c r="Q539" s="30" t="inlineStr">
        <is>
          <t xml:space="preserve">Massachusetts</t>
        </is>
      </c>
      <c r="R539" s="30" t="inlineStr">
        <is>
          <t xml:space="preserve">02108</t>
        </is>
      </c>
      <c r="S539" s="32" t="inlineStr">
        <is>
          <t xml:space="preserve">Tier 3 - Coastal wind (25-100 miles)</t>
        </is>
      </c>
      <c r="T539" s="36">
        <f>IF($A539="","",IF($S539="","",IFERROR(INDEX('[1]natural catastrophe'!$D$6:$D$17,MATCH($S539,'[1]natural catastrophe'!$B$6:$B$17,0)),"?")))</f>
      </c>
      <c r="U539" s="30" t="inlineStr">
        <is>
          <t xml:space="preserve">2% of agreed value, minimum $10,000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8784.89</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CANON-202604-007313</t>
        </is>
      </c>
      <c r="B540" s="46" t="inlineStr">
        <is>
          <t xml:space="preserve">Saoirse Rourke</t>
        </is>
      </c>
      <c r="C540" s="47">
        <v>46139</v>
      </c>
      <c r="D540" s="48" t="inlineStr">
        <is>
          <t xml:space="preserve">Bound - within authority</t>
        </is>
      </c>
      <c r="E540" s="48" t="inlineStr">
        <is>
          <t xml:space="preserve">New business</t>
        </is>
      </c>
      <c r="F540" s="46" t="inlineStr">
        <is>
          <t xml:space="preserve">B1234EXOTIC26</t>
        </is>
      </c>
      <c r="G540" s="33">
        <f>IF($A540="","",IF($C540="","",YEAR($C540)))</f>
      </c>
      <c r="H540" s="49">
        <v>1995</v>
      </c>
      <c r="I540" s="46" t="inlineStr">
        <is>
          <t xml:space="preserve">Porsche</t>
        </is>
      </c>
      <c r="J540" s="46" t="inlineStr">
        <is>
          <t xml:space="preserve">911 Turbo S</t>
        </is>
      </c>
      <c r="K540" s="46" t="inlineStr">
        <is>
          <t xml:space="preserve">RLHXFNWNNTGHMBUC9</t>
        </is>
      </c>
      <c r="L540" s="48" t="inlineStr">
        <is>
          <t xml:space="preserve">02 - Sports / GT</t>
        </is>
      </c>
      <c r="M540" s="50">
        <v>420000</v>
      </c>
      <c r="N540" s="48" t="inlineStr">
        <is>
          <t xml:space="preserve">Personal</t>
        </is>
      </c>
      <c r="O540" s="46" t="inlineStr">
        <is>
          <t xml:space="preserve">Personal - regular use</t>
        </is>
      </c>
      <c r="P540" s="46" t="inlineStr">
        <is>
          <t xml:space="preserve">1,000 - 2,500</t>
        </is>
      </c>
      <c r="Q540" s="46" t="inlineStr">
        <is>
          <t xml:space="preserve">Alabama</t>
        </is>
      </c>
      <c r="R540" s="46" t="inlineStr">
        <is>
          <t xml:space="preserve">35203</t>
        </is>
      </c>
      <c r="S540" s="48" t="inlineStr">
        <is>
          <t xml:space="preserve">Tier 2 - Coastal wind (1-25 miles)</t>
        </is>
      </c>
      <c r="T540" s="36">
        <f>IF($A540="","",IF($S540="","",IFERROR(INDEX('[1]natural catastrophe'!$D$6:$D$17,MATCH($S540,'[1]natural catastrophe'!$B$6:$B$17,0)),"?")))</f>
      </c>
      <c r="U540" s="46" t="inlineStr">
        <is>
          <t xml:space="preserve">2% of agreed value, minimum $10,000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6268.71</v>
      </c>
      <c r="AC540" s="51">
        <v>0</v>
      </c>
      <c r="AD540" s="38">
        <f>IF(ISNUMBER($AB540),$AB540*(1+N($AC540)),"")</f>
      </c>
      <c r="AE540" s="50">
        <v>350</v>
      </c>
      <c r="AF540" s="50">
        <v>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CANON-202604-007315</t>
        </is>
      </c>
      <c r="B541" s="30" t="inlineStr">
        <is>
          <t xml:space="preserve">Priya Larsson</t>
        </is>
      </c>
      <c r="C541" s="31">
        <v>46123</v>
      </c>
      <c r="D541" s="32" t="inlineStr">
        <is>
          <t xml:space="preserve">Bound - within authority</t>
        </is>
      </c>
      <c r="E541" s="32" t="inlineStr">
        <is>
          <t xml:space="preserve">New business</t>
        </is>
      </c>
      <c r="F541" s="30" t="inlineStr">
        <is>
          <t xml:space="preserve">B1234EXOTIC26</t>
        </is>
      </c>
      <c r="G541" s="33">
        <f>IF($A541="","",IF($C541="","",YEAR($C541)))</f>
      </c>
      <c r="H541" s="34">
        <v>1983</v>
      </c>
      <c r="I541" s="30" t="inlineStr">
        <is>
          <t xml:space="preserve">BMW</t>
        </is>
      </c>
      <c r="J541" s="30" t="inlineStr">
        <is>
          <t xml:space="preserve">M8 Competition</t>
        </is>
      </c>
      <c r="K541" s="30" t="inlineStr">
        <is>
          <t xml:space="preserve">2HDK5HDKV3W6E6VSK</t>
        </is>
      </c>
      <c r="L541" s="32" t="inlineStr">
        <is>
          <t xml:space="preserve">02 - Sports / GT</t>
        </is>
      </c>
      <c r="M541" s="35">
        <v>1050000</v>
      </c>
      <c r="N541" s="32" t="inlineStr">
        <is>
          <t xml:space="preserve">Personal</t>
        </is>
      </c>
      <c r="O541" s="30" t="inlineStr">
        <is>
          <t xml:space="preserve">Personal - regular use</t>
        </is>
      </c>
      <c r="P541" s="30" t="inlineStr">
        <is>
          <t xml:space="preserve">2,500 - 5,000</t>
        </is>
      </c>
      <c r="Q541" s="30" t="inlineStr">
        <is>
          <t xml:space="preserve">Washington</t>
        </is>
      </c>
      <c r="R541" s="30" t="inlineStr">
        <is>
          <t xml:space="preserve">98101</t>
        </is>
      </c>
      <c r="S541" s="32" t="inlineStr">
        <is>
          <t xml:space="preserve">Earthquake - high (CA, Cascadia, New Madrid)</t>
        </is>
      </c>
      <c r="T541" s="36">
        <f>IF($A541="","",IF($S541="","",IFERROR(INDEX('[1]natural catastrophe'!$D$6:$D$17,MATCH($S541,'[1]natural catastrophe'!$B$6:$B$17,0)),"?")))</f>
      </c>
      <c r="U541" s="30" t="inlineStr">
        <is>
          <t xml:space="preserve">$5,000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8687.35</v>
      </c>
      <c r="AC541" s="37">
        <v>0</v>
      </c>
      <c r="AD541" s="38">
        <f>IF(ISNUMBER($AB541),$AB541*(1+N($AC541)),"")</f>
      </c>
      <c r="AE541" s="35">
        <v>350</v>
      </c>
      <c r="AF541" s="35">
        <v>250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CANON-202604-007318</t>
        </is>
      </c>
      <c r="B542" s="46" t="inlineStr">
        <is>
          <t xml:space="preserve">Everett Ashcombe</t>
        </is>
      </c>
      <c r="C542" s="47">
        <v>46129</v>
      </c>
      <c r="D542" s="48" t="inlineStr">
        <is>
          <t xml:space="preserve">Bound - within authority</t>
        </is>
      </c>
      <c r="E542" s="48" t="inlineStr">
        <is>
          <t xml:space="preserve">New business</t>
        </is>
      </c>
      <c r="F542" s="46" t="inlineStr">
        <is>
          <t xml:space="preserve">B1234EXOTIC26</t>
        </is>
      </c>
      <c r="G542" s="33">
        <f>IF($A542="","",IF($C542="","",YEAR($C542)))</f>
      </c>
      <c r="H542" s="49">
        <v>1996</v>
      </c>
      <c r="I542" s="46" t="inlineStr">
        <is>
          <t xml:space="preserve">Mercedes-Benz</t>
        </is>
      </c>
      <c r="J542" s="46" t="inlineStr">
        <is>
          <t xml:space="preserve">AMG GT</t>
        </is>
      </c>
      <c r="K542" s="46" t="inlineStr">
        <is>
          <t xml:space="preserve">Z7AW7FHT973VVFJY0</t>
        </is>
      </c>
      <c r="L542" s="48" t="inlineStr">
        <is>
          <t xml:space="preserve">02 - Sports / GT</t>
        </is>
      </c>
      <c r="M542" s="50">
        <v>315000</v>
      </c>
      <c r="N542" s="48" t="inlineStr">
        <is>
          <t xml:space="preserve">Personal</t>
        </is>
      </c>
      <c r="O542" s="46" t="inlineStr">
        <is>
          <t xml:space="preserve">Personal - regular use</t>
        </is>
      </c>
      <c r="P542" s="46" t="inlineStr">
        <is>
          <t xml:space="preserve">1,000 - 2,500</t>
        </is>
      </c>
      <c r="Q542" s="46" t="inlineStr">
        <is>
          <t xml:space="preserve">Idaho</t>
        </is>
      </c>
      <c r="R542" s="46" t="inlineStr">
        <is>
          <t xml:space="preserve">83702</t>
        </is>
      </c>
      <c r="S542" s="48" t="inlineStr">
        <is>
          <t xml:space="preserve">Wildfire - WUI high hazard</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3664.97</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CANON-202604-007319</t>
        </is>
      </c>
      <c r="B543" s="30" t="inlineStr">
        <is>
          <t xml:space="preserve">Thaddeus Montoya</t>
        </is>
      </c>
      <c r="C543" s="31">
        <v>46140</v>
      </c>
      <c r="D543" s="32" t="inlineStr">
        <is>
          <t xml:space="preserve">Bound - within authority</t>
        </is>
      </c>
      <c r="E543" s="32" t="inlineStr">
        <is>
          <t xml:space="preserve">New business</t>
        </is>
      </c>
      <c r="F543" s="30" t="inlineStr">
        <is>
          <t xml:space="preserve">B1234EXOTIC26</t>
        </is>
      </c>
      <c r="G543" s="33">
        <f>IF($A543="","",IF($C543="","",YEAR($C543)))</f>
      </c>
      <c r="H543" s="34">
        <v>2008</v>
      </c>
      <c r="I543" s="30" t="inlineStr">
        <is>
          <t xml:space="preserve">Ferrari</t>
        </is>
      </c>
      <c r="J543" s="30" t="inlineStr">
        <is>
          <t xml:space="preserve">296 GTB</t>
        </is>
      </c>
      <c r="K543" s="30" t="inlineStr">
        <is>
          <t xml:space="preserve">LM6GP4G7W7UG6BEWM</t>
        </is>
      </c>
      <c r="L543" s="32" t="inlineStr">
        <is>
          <t xml:space="preserve">03 - Supercar</t>
        </is>
      </c>
      <c r="M543" s="35">
        <v>1315000</v>
      </c>
      <c r="N543" s="32" t="inlineStr">
        <is>
          <t xml:space="preserve">Personal</t>
        </is>
      </c>
      <c r="O543" s="30" t="inlineStr">
        <is>
          <t xml:space="preserve">Personal - regular use</t>
        </is>
      </c>
      <c r="P543" s="30" t="inlineStr">
        <is>
          <t xml:space="preserve">2,500 - 5,000</t>
        </is>
      </c>
      <c r="Q543" s="30" t="inlineStr">
        <is>
          <t xml:space="preserve">Colorado</t>
        </is>
      </c>
      <c r="R543" s="30" t="inlineStr">
        <is>
          <t xml:space="preserve">80202</t>
        </is>
      </c>
      <c r="S543" s="32" t="inlineStr">
        <is>
          <t xml:space="preserve">Severe convective - hail alley (high)</t>
        </is>
      </c>
      <c r="T543" s="36">
        <f>IF($A543="","",IF($S543="","",IFERROR(INDEX('[1]natural catastrophe'!$D$6:$D$17,MATCH($S543,'[1]natural catastrophe'!$B$6:$B$17,0)),"?")))</f>
      </c>
      <c r="U543" s="30" t="inlineStr">
        <is>
          <t xml:space="preserve">$5,000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18133.1</v>
      </c>
      <c r="AC543" s="37">
        <v>0</v>
      </c>
      <c r="AD543" s="38">
        <f>IF(ISNUMBER($AB543),$AB543*(1+N($AC543)),"")</f>
      </c>
      <c r="AE543" s="35">
        <v>350</v>
      </c>
      <c r="AF543" s="35">
        <v>250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CANON-202604-007320</t>
        </is>
      </c>
      <c r="B544" s="46" t="inlineStr">
        <is>
          <t xml:space="preserve">Everett Merriweather</t>
        </is>
      </c>
      <c r="C544" s="47">
        <v>46139</v>
      </c>
      <c r="D544" s="48" t="inlineStr">
        <is>
          <t xml:space="preserve">Bound - within authority</t>
        </is>
      </c>
      <c r="E544" s="48" t="inlineStr">
        <is>
          <t xml:space="preserve">New business</t>
        </is>
      </c>
      <c r="F544" s="46" t="inlineStr">
        <is>
          <t xml:space="preserve">B1234EXOTIC26</t>
        </is>
      </c>
      <c r="G544" s="33">
        <f>IF($A544="","",IF($C544="","",YEAR($C544)))</f>
      </c>
      <c r="H544" s="49">
        <v>2006</v>
      </c>
      <c r="I544" s="46" t="inlineStr">
        <is>
          <t xml:space="preserve">McLaren</t>
        </is>
      </c>
      <c r="J544" s="46" t="inlineStr">
        <is>
          <t xml:space="preserve">750S</t>
        </is>
      </c>
      <c r="K544" s="46" t="inlineStr">
        <is>
          <t xml:space="preserve">808UGJSBA7J4JBNG6</t>
        </is>
      </c>
      <c r="L544" s="48" t="inlineStr">
        <is>
          <t xml:space="preserve">03 - Supercar</t>
        </is>
      </c>
      <c r="M544" s="50">
        <v>960000</v>
      </c>
      <c r="N544" s="48" t="inlineStr">
        <is>
          <t xml:space="preserve">Personal</t>
        </is>
      </c>
      <c r="O544" s="46" t="inlineStr">
        <is>
          <t xml:space="preserve">Personal - regular use</t>
        </is>
      </c>
      <c r="P544" s="46" t="inlineStr">
        <is>
          <t xml:space="preserve">Under 1,000</t>
        </is>
      </c>
      <c r="Q544" s="46" t="inlineStr">
        <is>
          <t xml:space="preserve">Washington</t>
        </is>
      </c>
      <c r="R544" s="46" t="inlineStr">
        <is>
          <t xml:space="preserve">98101</t>
        </is>
      </c>
      <c r="S544" s="48" t="inlineStr">
        <is>
          <t xml:space="preserve">Earthquake - high (CA, Cascadia, New Madrid)</t>
        </is>
      </c>
      <c r="T544" s="36">
        <f>IF($A544="","",IF($S544="","",IFERROR(INDEX('[1]natural catastrophe'!$D$6:$D$17,MATCH($S544,'[1]natural catastrophe'!$B$6:$B$17,0)),"?")))</f>
      </c>
      <c r="U544" s="46" t="inlineStr">
        <is>
          <t xml:space="preserve">$5,000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13719.24</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CANON-202604-007322</t>
        </is>
      </c>
      <c r="B545" s="30" t="inlineStr">
        <is>
          <t xml:space="preserve">Sunniva Whitlock</t>
        </is>
      </c>
      <c r="C545" s="31">
        <v>46124</v>
      </c>
      <c r="D545" s="32" t="inlineStr">
        <is>
          <t xml:space="preserve">Bound - within authority</t>
        </is>
      </c>
      <c r="E545" s="32" t="inlineStr">
        <is>
          <t xml:space="preserve">New business</t>
        </is>
      </c>
      <c r="F545" s="30" t="inlineStr">
        <is>
          <t xml:space="preserve">B1234EXOTIC26</t>
        </is>
      </c>
      <c r="G545" s="33">
        <f>IF($A545="","",IF($C545="","",YEAR($C545)))</f>
      </c>
      <c r="H545" s="34">
        <v>2002</v>
      </c>
      <c r="I545" s="30" t="inlineStr">
        <is>
          <t xml:space="preserve">Ferrari</t>
        </is>
      </c>
      <c r="J545" s="30" t="inlineStr">
        <is>
          <t xml:space="preserve">296 GTB</t>
        </is>
      </c>
      <c r="K545" s="30" t="inlineStr">
        <is>
          <t xml:space="preserve">D85DGBE87CKJLLCF0</t>
        </is>
      </c>
      <c r="L545" s="32" t="inlineStr">
        <is>
          <t xml:space="preserve">03 - Supercar</t>
        </is>
      </c>
      <c r="M545" s="35">
        <v>960000</v>
      </c>
      <c r="N545" s="32" t="inlineStr">
        <is>
          <t xml:space="preserve">Personal</t>
        </is>
      </c>
      <c r="O545" s="30" t="inlineStr">
        <is>
          <t xml:space="preserve">Personal - regular use</t>
        </is>
      </c>
      <c r="P545" s="30" t="inlineStr">
        <is>
          <t xml:space="preserve">2,500 - 5,000</t>
        </is>
      </c>
      <c r="Q545" s="30" t="inlineStr">
        <is>
          <t xml:space="preserve">Alaska</t>
        </is>
      </c>
      <c r="R545" s="30" t="inlineStr">
        <is>
          <t xml:space="preserve">99501</t>
        </is>
      </c>
      <c r="S545" s="32" t="inlineStr">
        <is>
          <t xml:space="preserve">Earthquake - high (CA, Cascadia, New Madrid)</t>
        </is>
      </c>
      <c r="T545" s="36">
        <f>IF($A545="","",IF($S545="","",IFERROR(INDEX('[1]natural catastrophe'!$D$6:$D$17,MATCH($S545,'[1]natural catastrophe'!$B$6:$B$17,0)),"?")))</f>
      </c>
      <c r="U545" s="30" t="inlineStr">
        <is>
          <t xml:space="preserve">$5,000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16291.59</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CANON-202604-007323</t>
        </is>
      </c>
      <c r="B546" s="46" t="inlineStr">
        <is>
          <t xml:space="preserve">Lorenzo Fairweather</t>
        </is>
      </c>
      <c r="C546" s="47">
        <v>46127</v>
      </c>
      <c r="D546" s="48" t="inlineStr">
        <is>
          <t xml:space="preserve">Bound - within authority</t>
        </is>
      </c>
      <c r="E546" s="48" t="inlineStr">
        <is>
          <t xml:space="preserve">New business</t>
        </is>
      </c>
      <c r="F546" s="46" t="inlineStr">
        <is>
          <t xml:space="preserve">B1234EXOTIC26</t>
        </is>
      </c>
      <c r="G546" s="33">
        <f>IF($A546="","",IF($C546="","",YEAR($C546)))</f>
      </c>
      <c r="H546" s="49">
        <v>1988</v>
      </c>
      <c r="I546" s="46" t="inlineStr">
        <is>
          <t xml:space="preserve">Ferrari</t>
        </is>
      </c>
      <c r="J546" s="46" t="inlineStr">
        <is>
          <t xml:space="preserve">296 GTB</t>
        </is>
      </c>
      <c r="K546" s="46" t="inlineStr">
        <is>
          <t xml:space="preserve">9LXB9ZB7FJF4U6RF3</t>
        </is>
      </c>
      <c r="L546" s="48" t="inlineStr">
        <is>
          <t xml:space="preserve">03 - Supercar</t>
        </is>
      </c>
      <c r="M546" s="50">
        <v>615000</v>
      </c>
      <c r="N546" s="48" t="inlineStr">
        <is>
          <t xml:space="preserve">Personal</t>
        </is>
      </c>
      <c r="O546" s="46" t="inlineStr">
        <is>
          <t xml:space="preserve">Personal - regular use</t>
        </is>
      </c>
      <c r="P546" s="46" t="inlineStr">
        <is>
          <t xml:space="preserve">Under 1,000</t>
        </is>
      </c>
      <c r="Q546" s="46" t="inlineStr">
        <is>
          <t xml:space="preserve">Florida</t>
        </is>
      </c>
      <c r="R546" s="46" t="inlineStr">
        <is>
          <t xml:space="preserve">33139</t>
        </is>
      </c>
      <c r="S546" s="48" t="inlineStr">
        <is>
          <t xml:space="preserve">Tier 2 - Coastal wind (1-25 miles)</t>
        </is>
      </c>
      <c r="T546" s="36">
        <f>IF($A546="","",IF($S546="","",IFERROR(INDEX('[1]natural catastrophe'!$D$6:$D$17,MATCH($S546,'[1]natural catastrophe'!$B$6:$B$17,0)),"?")))</f>
      </c>
      <c r="U546" s="46" t="inlineStr">
        <is>
          <t xml:space="preserve">2% of agreed value, minimum $10,000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13000.22</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CANON-202604-007324</t>
        </is>
      </c>
      <c r="B547" s="30" t="inlineStr">
        <is>
          <t xml:space="preserve">Fenwick Farkas</t>
        </is>
      </c>
      <c r="C547" s="31">
        <v>46129</v>
      </c>
      <c r="D547" s="32" t="inlineStr">
        <is>
          <t xml:space="preserve">Bound - within authority</t>
        </is>
      </c>
      <c r="E547" s="32" t="inlineStr">
        <is>
          <t xml:space="preserve">New business</t>
        </is>
      </c>
      <c r="F547" s="30" t="inlineStr">
        <is>
          <t xml:space="preserve">B1234EXOTIC26</t>
        </is>
      </c>
      <c r="G547" s="33">
        <f>IF($A547="","",IF($C547="","",YEAR($C547)))</f>
      </c>
      <c r="H547" s="34">
        <v>2015</v>
      </c>
      <c r="I547" s="30" t="inlineStr">
        <is>
          <t xml:space="preserve">Porsche</t>
        </is>
      </c>
      <c r="J547" s="30" t="inlineStr">
        <is>
          <t xml:space="preserve">911 Turbo S</t>
        </is>
      </c>
      <c r="K547" s="30" t="inlineStr">
        <is>
          <t xml:space="preserve">J1W15CVLWK76P39D3</t>
        </is>
      </c>
      <c r="L547" s="32" t="inlineStr">
        <is>
          <t xml:space="preserve">02 - Sports / GT</t>
        </is>
      </c>
      <c r="M547" s="35">
        <v>525000</v>
      </c>
      <c r="N547" s="32" t="inlineStr">
        <is>
          <t xml:space="preserve">Personal</t>
        </is>
      </c>
      <c r="O547" s="30" t="inlineStr">
        <is>
          <t xml:space="preserve">Personal - regular use</t>
        </is>
      </c>
      <c r="P547" s="30" t="inlineStr">
        <is>
          <t xml:space="preserve">2,500 - 5,000</t>
        </is>
      </c>
      <c r="Q547" s="30" t="inlineStr">
        <is>
          <t xml:space="preserve">Illinois</t>
        </is>
      </c>
      <c r="R547" s="30" t="inlineStr">
        <is>
          <t xml:space="preserve">60601</t>
        </is>
      </c>
      <c r="S547" s="32" t="inlineStr">
        <is>
          <t xml:space="preserve">Severe convective - hail / tornado (moderate)</t>
        </is>
      </c>
      <c r="T547" s="36">
        <f>IF($A547="","",IF($S547="","",IFERROR(INDEX('[1]natural catastrophe'!$D$6:$D$17,MATCH($S547,'[1]natural catastrophe'!$B$6:$B$17,0)),"?")))</f>
      </c>
      <c r="U547" s="30" t="inlineStr">
        <is>
          <t xml:space="preserve">$5,000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7272.36</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CANON-202604-007325</t>
        </is>
      </c>
      <c r="B548" s="46" t="inlineStr">
        <is>
          <t xml:space="preserve">Fenwick Chattopadhyay</t>
        </is>
      </c>
      <c r="C548" s="47">
        <v>46120</v>
      </c>
      <c r="D548" s="48" t="inlineStr">
        <is>
          <t xml:space="preserve">Bound - within authority</t>
        </is>
      </c>
      <c r="E548" s="48" t="inlineStr">
        <is>
          <t xml:space="preserve">New business</t>
        </is>
      </c>
      <c r="F548" s="46" t="inlineStr">
        <is>
          <t xml:space="preserve">B1234EXOTIC26</t>
        </is>
      </c>
      <c r="G548" s="33">
        <f>IF($A548="","",IF($C548="","",YEAR($C548)))</f>
      </c>
      <c r="H548" s="49">
        <v>1965</v>
      </c>
      <c r="I548" s="46" t="inlineStr">
        <is>
          <t xml:space="preserve">Maserati</t>
        </is>
      </c>
      <c r="J548" s="46" t="inlineStr">
        <is>
          <t xml:space="preserve">GranTurismo</t>
        </is>
      </c>
      <c r="K548" s="46" t="inlineStr">
        <is>
          <t xml:space="preserve">XXWL2LJJRRDSX5BVM</t>
        </is>
      </c>
      <c r="L548" s="48" t="inlineStr">
        <is>
          <t xml:space="preserve">02 - Sports / GT</t>
        </is>
      </c>
      <c r="M548" s="50">
        <v>385000</v>
      </c>
      <c r="N548" s="48" t="inlineStr">
        <is>
          <t xml:space="preserve">Personal</t>
        </is>
      </c>
      <c r="O548" s="46" t="inlineStr">
        <is>
          <t xml:space="preserve">Personal - regular use</t>
        </is>
      </c>
      <c r="P548" s="46" t="inlineStr">
        <is>
          <t xml:space="preserve">Under 1,000</t>
        </is>
      </c>
      <c r="Q548" s="46" t="inlineStr">
        <is>
          <t xml:space="preserve">Nevada</t>
        </is>
      </c>
      <c r="R548" s="46" t="inlineStr">
        <is>
          <t xml:space="preserve">89101</t>
        </is>
      </c>
      <c r="S548" s="48" t="inlineStr">
        <is>
          <t xml:space="preserve">Wildfire - WUI high hazard</t>
        </is>
      </c>
      <c r="T548" s="36">
        <f>IF($A548="","",IF($S548="","",IFERROR(INDEX('[1]natural catastrophe'!$D$6:$D$17,MATCH($S548,'[1]natural catastrophe'!$B$6:$B$17,0)),"?")))</f>
      </c>
      <c r="U548" s="46" t="inlineStr">
        <is>
          <t xml:space="preserve">$5,000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5293.85</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CANON-202604-007328</t>
        </is>
      </c>
      <c r="B549" s="30" t="inlineStr">
        <is>
          <t xml:space="preserve">Beatrix Merriweather</t>
        </is>
      </c>
      <c r="C549" s="31">
        <v>46126</v>
      </c>
      <c r="D549" s="32" t="inlineStr">
        <is>
          <t xml:space="preserve">Bound - within authority</t>
        </is>
      </c>
      <c r="E549" s="32" t="inlineStr">
        <is>
          <t xml:space="preserve">New business</t>
        </is>
      </c>
      <c r="F549" s="30" t="inlineStr">
        <is>
          <t xml:space="preserve">B1234EXOTIC26</t>
        </is>
      </c>
      <c r="G549" s="33">
        <f>IF($A549="","",IF($C549="","",YEAR($C549)))</f>
      </c>
      <c r="H549" s="34">
        <v>1979</v>
      </c>
      <c r="I549" s="30" t="inlineStr">
        <is>
          <t xml:space="preserve">Ferrari</t>
        </is>
      </c>
      <c r="J549" s="30" t="inlineStr">
        <is>
          <t xml:space="preserve">296 GTB</t>
        </is>
      </c>
      <c r="K549" s="30" t="inlineStr">
        <is>
          <t xml:space="preserve">ZX20Z2KNBMKA24U9T</t>
        </is>
      </c>
      <c r="L549" s="32" t="inlineStr">
        <is>
          <t xml:space="preserve">03 - Supercar</t>
        </is>
      </c>
      <c r="M549" s="35">
        <v>1950000</v>
      </c>
      <c r="N549" s="32" t="inlineStr">
        <is>
          <t xml:space="preserve">Personal</t>
        </is>
      </c>
      <c r="O549" s="30" t="inlineStr">
        <is>
          <t xml:space="preserve">Personal - regular use</t>
        </is>
      </c>
      <c r="P549" s="30" t="inlineStr">
        <is>
          <t xml:space="preserve">1,000 - 2,500</t>
        </is>
      </c>
      <c r="Q549" s="30" t="inlineStr">
        <is>
          <t xml:space="preserve">New York</t>
        </is>
      </c>
      <c r="R549" s="30" t="inlineStr">
        <is>
          <t xml:space="preserve">10022</t>
        </is>
      </c>
      <c r="S549" s="32" t="inlineStr">
        <is>
          <t xml:space="preserve">Tier 3 - Coastal wind (25-100 miles)</t>
        </is>
      </c>
      <c r="T549" s="36">
        <f>IF($A549="","",IF($S549="","",IFERROR(INDEX('[1]natural catastrophe'!$D$6:$D$17,MATCH($S549,'[1]natural catastrophe'!$B$6:$B$17,0)),"?")))</f>
      </c>
      <c r="U549" s="30" t="inlineStr">
        <is>
          <t xml:space="preserve">2% of agreed value, minimum $10,000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31289.48</v>
      </c>
      <c r="AC549" s="37">
        <v>0</v>
      </c>
      <c r="AD549" s="38">
        <f>IF(ISNUMBER($AB549),$AB549*(1+N($AC549)),"")</f>
      </c>
      <c r="AE549" s="35">
        <v>350</v>
      </c>
      <c r="AF549" s="35">
        <v>250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CANON-202604-007329</t>
        </is>
      </c>
      <c r="B550" s="46" t="inlineStr">
        <is>
          <t xml:space="preserve">Anouk Fairweather</t>
        </is>
      </c>
      <c r="C550" s="47">
        <v>46124</v>
      </c>
      <c r="D550" s="48" t="inlineStr">
        <is>
          <t xml:space="preserve">Bound - within authority</t>
        </is>
      </c>
      <c r="E550" s="48" t="inlineStr">
        <is>
          <t xml:space="preserve">New business</t>
        </is>
      </c>
      <c r="F550" s="46" t="inlineStr">
        <is>
          <t xml:space="preserve">B1234EXOTIC26</t>
        </is>
      </c>
      <c r="G550" s="33">
        <f>IF($A550="","",IF($C550="","",YEAR($C550)))</f>
      </c>
      <c r="H550" s="49">
        <v>2016</v>
      </c>
      <c r="I550" s="46" t="inlineStr">
        <is>
          <t xml:space="preserve">Mercedes-Benz</t>
        </is>
      </c>
      <c r="J550" s="46" t="inlineStr">
        <is>
          <t xml:space="preserve">AMG GT</t>
        </is>
      </c>
      <c r="K550" s="46" t="inlineStr">
        <is>
          <t xml:space="preserve">RUZZ26S652GVUCS9K</t>
        </is>
      </c>
      <c r="L550" s="48" t="inlineStr">
        <is>
          <t xml:space="preserve">02 - Sports / GT</t>
        </is>
      </c>
      <c r="M550" s="50">
        <v>1510000</v>
      </c>
      <c r="N550" s="48" t="inlineStr">
        <is>
          <t xml:space="preserve">Personal</t>
        </is>
      </c>
      <c r="O550" s="46" t="inlineStr">
        <is>
          <t xml:space="preserve">Personal - regular use</t>
        </is>
      </c>
      <c r="P550" s="46" t="inlineStr">
        <is>
          <t xml:space="preserve">Under 1,000</t>
        </is>
      </c>
      <c r="Q550" s="46" t="inlineStr">
        <is>
          <t xml:space="preserve">Florida</t>
        </is>
      </c>
      <c r="R550" s="46" t="inlineStr">
        <is>
          <t xml:space="preserve">33139</t>
        </is>
      </c>
      <c r="S550" s="48" t="inlineStr">
        <is>
          <t xml:space="preserve">Tier 2 - Coastal wind (1-25 miles)</t>
        </is>
      </c>
      <c r="T550" s="36">
        <f>IF($A550="","",IF($S550="","",IFERROR(INDEX('[1]natural catastrophe'!$D$6:$D$17,MATCH($S550,'[1]natural catastrophe'!$B$6:$B$17,0)),"?")))</f>
      </c>
      <c r="U550" s="46" t="inlineStr">
        <is>
          <t xml:space="preserve">2% of agreed value, minimum $10,000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18479.56</v>
      </c>
      <c r="AC550" s="51">
        <v>0</v>
      </c>
      <c r="AD550" s="38">
        <f>IF(ISNUMBER($AB550),$AB550*(1+N($AC550)),"")</f>
      </c>
      <c r="AE550" s="50">
        <v>350</v>
      </c>
      <c r="AF550" s="50">
        <v>250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CANON-202604-007330</t>
        </is>
      </c>
      <c r="B551" s="30" t="inlineStr">
        <is>
          <t xml:space="preserve">Lorenzo Okonkwo</t>
        </is>
      </c>
      <c r="C551" s="31">
        <v>46114</v>
      </c>
      <c r="D551" s="32" t="inlineStr">
        <is>
          <t xml:space="preserve">Bound - within authority</t>
        </is>
      </c>
      <c r="E551" s="32" t="inlineStr">
        <is>
          <t xml:space="preserve">New business</t>
        </is>
      </c>
      <c r="F551" s="30" t="inlineStr">
        <is>
          <t xml:space="preserve">B1234EXOTIC26</t>
        </is>
      </c>
      <c r="G551" s="33">
        <f>IF($A551="","",IF($C551="","",YEAR($C551)))</f>
      </c>
      <c r="H551" s="34">
        <v>2010</v>
      </c>
      <c r="I551" s="30" t="inlineStr">
        <is>
          <t xml:space="preserve">McLaren</t>
        </is>
      </c>
      <c r="J551" s="30" t="inlineStr">
        <is>
          <t xml:space="preserve">750S</t>
        </is>
      </c>
      <c r="K551" s="30" t="inlineStr">
        <is>
          <t xml:space="preserve">803TXFDAAW79GX0T4</t>
        </is>
      </c>
      <c r="L551" s="32" t="inlineStr">
        <is>
          <t xml:space="preserve">03 - Supercar</t>
        </is>
      </c>
      <c r="M551" s="35">
        <v>295000</v>
      </c>
      <c r="N551" s="32" t="inlineStr">
        <is>
          <t xml:space="preserve">Personal</t>
        </is>
      </c>
      <c r="O551" s="30" t="inlineStr">
        <is>
          <t xml:space="preserve">Personal - regular use</t>
        </is>
      </c>
      <c r="P551" s="30" t="inlineStr">
        <is>
          <t xml:space="preserve">1,000 - 2,500</t>
        </is>
      </c>
      <c r="Q551" s="30" t="inlineStr">
        <is>
          <t xml:space="preserve">Texas</t>
        </is>
      </c>
      <c r="R551" s="30" t="inlineStr">
        <is>
          <t xml:space="preserve">75201</t>
        </is>
      </c>
      <c r="S551" s="32" t="inlineStr">
        <is>
          <t xml:space="preserve">Tier 2 - Coastal wind (1-25 miles)</t>
        </is>
      </c>
      <c r="T551" s="36">
        <f>IF($A551="","",IF($S551="","",IFERROR(INDEX('[1]natural catastrophe'!$D$6:$D$17,MATCH($S551,'[1]natural catastrophe'!$B$6:$B$17,0)),"?")))</f>
      </c>
      <c r="U551" s="30" t="inlineStr">
        <is>
          <t xml:space="preserve">2% of agreed value, minimum $10,000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6113.38</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CANON-202604-007331</t>
        </is>
      </c>
      <c r="B552" s="46" t="inlineStr">
        <is>
          <t xml:space="preserve">Fitzgerald Whitlock</t>
        </is>
      </c>
      <c r="C552" s="47">
        <v>46141</v>
      </c>
      <c r="D552" s="48" t="inlineStr">
        <is>
          <t xml:space="preserve">Bound - within authority</t>
        </is>
      </c>
      <c r="E552" s="48" t="inlineStr">
        <is>
          <t xml:space="preserve">New business</t>
        </is>
      </c>
      <c r="F552" s="46" t="inlineStr">
        <is>
          <t xml:space="preserve">B1234EXOTIC26</t>
        </is>
      </c>
      <c r="G552" s="33">
        <f>IF($A552="","",IF($C552="","",YEAR($C552)))</f>
      </c>
      <c r="H552" s="49">
        <v>1979</v>
      </c>
      <c r="I552" s="46" t="inlineStr">
        <is>
          <t xml:space="preserve">Mercedes-Benz</t>
        </is>
      </c>
      <c r="J552" s="46" t="inlineStr">
        <is>
          <t xml:space="preserve">AMG GT</t>
        </is>
      </c>
      <c r="K552" s="46" t="inlineStr">
        <is>
          <t xml:space="preserve">48RT3NNJAX1DZDVLF</t>
        </is>
      </c>
      <c r="L552" s="48" t="inlineStr">
        <is>
          <t xml:space="preserve">02 - Sports / GT</t>
        </is>
      </c>
      <c r="M552" s="50">
        <v>425000</v>
      </c>
      <c r="N552" s="48" t="inlineStr">
        <is>
          <t xml:space="preserve">Personal</t>
        </is>
      </c>
      <c r="O552" s="46" t="inlineStr">
        <is>
          <t xml:space="preserve">Personal - regular use</t>
        </is>
      </c>
      <c r="P552" s="46" t="inlineStr">
        <is>
          <t xml:space="preserve">2,500 - 5,000</t>
        </is>
      </c>
      <c r="Q552" s="46" t="inlineStr">
        <is>
          <t xml:space="preserve">Tennessee</t>
        </is>
      </c>
      <c r="R552" s="46" t="inlineStr">
        <is>
          <t xml:space="preserve">37203</t>
        </is>
      </c>
      <c r="S552" s="48" t="inlineStr">
        <is>
          <t xml:space="preserve">Severe convective - hail / tornado (moderate)</t>
        </is>
      </c>
      <c r="T552" s="36">
        <f>IF($A552="","",IF($S552="","",IFERROR(INDEX('[1]natural catastrophe'!$D$6:$D$17,MATCH($S552,'[1]natural catastrophe'!$B$6:$B$17,0)),"?")))</f>
      </c>
      <c r="U552" s="46" t="inlineStr">
        <is>
          <t xml:space="preserve">$5,000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4894.86</v>
      </c>
      <c r="AC552" s="51">
        <v>0</v>
      </c>
      <c r="AD552" s="38">
        <f>IF(ISNUMBER($AB552),$AB552*(1+N($AC552)),"")</f>
      </c>
      <c r="AE552" s="50">
        <v>350</v>
      </c>
      <c r="AF552" s="50">
        <v>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CANON-202604-007332</t>
        </is>
      </c>
      <c r="B553" s="30" t="inlineStr">
        <is>
          <t xml:space="preserve">Beatrix Farkas</t>
        </is>
      </c>
      <c r="C553" s="31">
        <v>46113</v>
      </c>
      <c r="D553" s="32" t="inlineStr">
        <is>
          <t xml:space="preserve">Bound - within authority</t>
        </is>
      </c>
      <c r="E553" s="32" t="inlineStr">
        <is>
          <t xml:space="preserve">New business</t>
        </is>
      </c>
      <c r="F553" s="30" t="inlineStr">
        <is>
          <t xml:space="preserve">B1234EXOTIC26</t>
        </is>
      </c>
      <c r="G553" s="33">
        <f>IF($A553="","",IF($C553="","",YEAR($C553)))</f>
      </c>
      <c r="H553" s="34">
        <v>1973</v>
      </c>
      <c r="I553" s="30" t="inlineStr">
        <is>
          <t xml:space="preserve">Aston Martin</t>
        </is>
      </c>
      <c r="J553" s="30" t="inlineStr">
        <is>
          <t xml:space="preserve">DB5</t>
        </is>
      </c>
      <c r="K553" s="30" t="inlineStr">
        <is>
          <t xml:space="preserve">Y6RC9N5X5TS66XUXB</t>
        </is>
      </c>
      <c r="L553" s="32" t="inlineStr">
        <is>
          <t xml:space="preserve">08 - Modern Classic (1973-1999)</t>
        </is>
      </c>
      <c r="M553" s="35">
        <v>850000</v>
      </c>
      <c r="N553" s="32" t="inlineStr">
        <is>
          <t xml:space="preserve">Personal</t>
        </is>
      </c>
      <c r="O553" s="30" t="inlineStr">
        <is>
          <t xml:space="preserve">Personal - regular use</t>
        </is>
      </c>
      <c r="P553" s="30" t="inlineStr">
        <is>
          <t xml:space="preserve">Under 1,000</t>
        </is>
      </c>
      <c r="Q553" s="30" t="inlineStr">
        <is>
          <t xml:space="preserve">Arizona</t>
        </is>
      </c>
      <c r="R553" s="30" t="inlineStr">
        <is>
          <t xml:space="preserve">85001</t>
        </is>
      </c>
      <c r="S553" s="32" t="inlineStr">
        <is>
          <t xml:space="preserve">Wildfire - WUI high hazard</t>
        </is>
      </c>
      <c r="T553" s="36">
        <f>IF($A553="","",IF($S553="","",IFERROR(INDEX('[1]natural catastrophe'!$D$6:$D$17,MATCH($S553,'[1]natural catastrophe'!$B$6:$B$17,0)),"?")))</f>
      </c>
      <c r="U553" s="30" t="inlineStr">
        <is>
          <t xml:space="preserve">$5,000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5784.59</v>
      </c>
      <c r="AC553" s="37">
        <v>0</v>
      </c>
      <c r="AD553" s="38">
        <f>IF(ISNUMBER($AB553),$AB553*(1+N($AC553)),"")</f>
      </c>
      <c r="AE553" s="35">
        <v>350</v>
      </c>
      <c r="AF553" s="35">
        <v>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CANON-202604-007333</t>
        </is>
      </c>
      <c r="B554" s="46" t="inlineStr">
        <is>
          <t xml:space="preserve">Ingrid Kingsford</t>
        </is>
      </c>
      <c r="C554" s="47">
        <v>46115</v>
      </c>
      <c r="D554" s="48" t="inlineStr">
        <is>
          <t xml:space="preserve">Bound - within authority</t>
        </is>
      </c>
      <c r="E554" s="48" t="inlineStr">
        <is>
          <t xml:space="preserve">New business</t>
        </is>
      </c>
      <c r="F554" s="46" t="inlineStr">
        <is>
          <t xml:space="preserve">B1234EXOTIC26</t>
        </is>
      </c>
      <c r="G554" s="33">
        <f>IF($A554="","",IF($C554="","",YEAR($C554)))</f>
      </c>
      <c r="H554" s="49">
        <v>2018</v>
      </c>
      <c r="I554" s="46" t="inlineStr">
        <is>
          <t xml:space="preserve">Maserati</t>
        </is>
      </c>
      <c r="J554" s="46" t="inlineStr">
        <is>
          <t xml:space="preserve">GranTurismo</t>
        </is>
      </c>
      <c r="K554" s="46" t="inlineStr">
        <is>
          <t xml:space="preserve">49R6KY20FVS1AW4Z3</t>
        </is>
      </c>
      <c r="L554" s="48" t="inlineStr">
        <is>
          <t xml:space="preserve">02 - Sports / GT</t>
        </is>
      </c>
      <c r="M554" s="50">
        <v>935000</v>
      </c>
      <c r="N554" s="48" t="inlineStr">
        <is>
          <t xml:space="preserve">Personal</t>
        </is>
      </c>
      <c r="O554" s="46" t="inlineStr">
        <is>
          <t xml:space="preserve">Personal - regular use</t>
        </is>
      </c>
      <c r="P554" s="46" t="inlineStr">
        <is>
          <t xml:space="preserve">2,500 - 5,000</t>
        </is>
      </c>
      <c r="Q554" s="46" t="inlineStr">
        <is>
          <t xml:space="preserve">Tennessee</t>
        </is>
      </c>
      <c r="R554" s="46" t="inlineStr">
        <is>
          <t xml:space="preserve">37203</t>
        </is>
      </c>
      <c r="S554" s="48" t="inlineStr">
        <is>
          <t xml:space="preserve">Severe convective - hail / tornado (moderate)</t>
        </is>
      </c>
      <c r="T554" s="36">
        <f>IF($A554="","",IF($S554="","",IFERROR(INDEX('[1]natural catastrophe'!$D$6:$D$17,MATCH($S554,'[1]natural catastrophe'!$B$6:$B$17,0)),"?")))</f>
      </c>
      <c r="U554" s="46" t="inlineStr">
        <is>
          <t xml:space="preserve">$5,000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9332.86</v>
      </c>
      <c r="AC554" s="51">
        <v>0</v>
      </c>
      <c r="AD554" s="38">
        <f>IF(ISNUMBER($AB554),$AB554*(1+N($AC554)),"")</f>
      </c>
      <c r="AE554" s="50">
        <v>350</v>
      </c>
      <c r="AF554" s="50">
        <v>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CANON-202604-007334</t>
        </is>
      </c>
      <c r="B555" s="30" t="inlineStr">
        <is>
          <t xml:space="preserve">Ramona Nakashima</t>
        </is>
      </c>
      <c r="C555" s="31">
        <v>46133</v>
      </c>
      <c r="D555" s="32" t="inlineStr">
        <is>
          <t xml:space="preserve">Bound - within authority</t>
        </is>
      </c>
      <c r="E555" s="32" t="inlineStr">
        <is>
          <t xml:space="preserve">New business</t>
        </is>
      </c>
      <c r="F555" s="30" t="inlineStr">
        <is>
          <t xml:space="preserve">B1234EXOTIC26</t>
        </is>
      </c>
      <c r="G555" s="33">
        <f>IF($A555="","",IF($C555="","",YEAR($C555)))</f>
      </c>
      <c r="H555" s="34">
        <v>1970</v>
      </c>
      <c r="I555" s="30" t="inlineStr">
        <is>
          <t xml:space="preserve">Singer</t>
        </is>
      </c>
      <c r="J555" s="30" t="inlineStr">
        <is>
          <t xml:space="preserve">911 Reimagined</t>
        </is>
      </c>
      <c r="K555" s="30" t="inlineStr">
        <is>
          <t xml:space="preserve">A5BFM0431D766TE0D</t>
        </is>
      </c>
      <c r="L555" s="32" t="inlineStr">
        <is>
          <t xml:space="preserve">11 - Restomod / Coachbuilt / Bespoke</t>
        </is>
      </c>
      <c r="M555" s="35">
        <v>345000</v>
      </c>
      <c r="N555" s="32" t="inlineStr">
        <is>
          <t xml:space="preserve">Personal</t>
        </is>
      </c>
      <c r="O555" s="30" t="inlineStr">
        <is>
          <t xml:space="preserve">Personal - regular use</t>
        </is>
      </c>
      <c r="P555" s="30" t="inlineStr">
        <is>
          <t xml:space="preserve">2,500 - 5,000</t>
        </is>
      </c>
      <c r="Q555" s="30" t="inlineStr">
        <is>
          <t xml:space="preserve">New Mexico</t>
        </is>
      </c>
      <c r="R555" s="30" t="inlineStr">
        <is>
          <t xml:space="preserve">87501</t>
        </is>
      </c>
      <c r="S555" s="32" t="inlineStr">
        <is>
          <t xml:space="preserve">Wildfire - WUI high hazard</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6089.42</v>
      </c>
      <c r="AC555" s="37">
        <v>0</v>
      </c>
      <c r="AD555" s="38">
        <f>IF(ISNUMBER($AB555),$AB555*(1+N($AC555)),"")</f>
      </c>
      <c r="AE555" s="35">
        <v>350</v>
      </c>
      <c r="AF555" s="35">
        <v>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CANON-202604-007335</t>
        </is>
      </c>
      <c r="B556" s="46" t="inlineStr">
        <is>
          <t xml:space="preserve">Noor Castellanos</t>
        </is>
      </c>
      <c r="C556" s="47">
        <v>46132</v>
      </c>
      <c r="D556" s="48" t="inlineStr">
        <is>
          <t xml:space="preserve">Bound - within authority</t>
        </is>
      </c>
      <c r="E556" s="48" t="inlineStr">
        <is>
          <t xml:space="preserve">New business</t>
        </is>
      </c>
      <c r="F556" s="46" t="inlineStr">
        <is>
          <t xml:space="preserve">B1234EXOTIC26</t>
        </is>
      </c>
      <c r="G556" s="33">
        <f>IF($A556="","",IF($C556="","",YEAR($C556)))</f>
      </c>
      <c r="H556" s="49">
        <v>1970</v>
      </c>
      <c r="I556" s="46" t="inlineStr">
        <is>
          <t xml:space="preserve">BMW</t>
        </is>
      </c>
      <c r="J556" s="46" t="inlineStr">
        <is>
          <t xml:space="preserve">M8 Competition</t>
        </is>
      </c>
      <c r="K556" s="46" t="inlineStr">
        <is>
          <t xml:space="preserve">TB6LHC43V6WJV2RCU</t>
        </is>
      </c>
      <c r="L556" s="48" t="inlineStr">
        <is>
          <t xml:space="preserve">02 - Sports / GT</t>
        </is>
      </c>
      <c r="M556" s="50">
        <v>280000</v>
      </c>
      <c r="N556" s="48" t="inlineStr">
        <is>
          <t xml:space="preserve">Personal</t>
        </is>
      </c>
      <c r="O556" s="46" t="inlineStr">
        <is>
          <t xml:space="preserve">Personal - regular use</t>
        </is>
      </c>
      <c r="P556" s="46" t="inlineStr">
        <is>
          <t xml:space="preserve">Under 1,000</t>
        </is>
      </c>
      <c r="Q556" s="46" t="inlineStr">
        <is>
          <t xml:space="preserve">Virginia</t>
        </is>
      </c>
      <c r="R556" s="46" t="inlineStr">
        <is>
          <t xml:space="preserve">23219</t>
        </is>
      </c>
      <c r="S556" s="48" t="inlineStr">
        <is>
          <t xml:space="preserve">Tier 3 - Coastal wind (25-100 miles)</t>
        </is>
      </c>
      <c r="T556" s="36">
        <f>IF($A556="","",IF($S556="","",IFERROR(INDEX('[1]natural catastrophe'!$D$6:$D$17,MATCH($S556,'[1]natural catastrophe'!$B$6:$B$17,0)),"?")))</f>
      </c>
      <c r="U556" s="46" t="inlineStr">
        <is>
          <t xml:space="preserve">2% of agreed value, minimum $10,000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3586.82</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CANON-202604-007336</t>
        </is>
      </c>
      <c r="B557" s="30" t="inlineStr">
        <is>
          <t xml:space="preserve">Everett Merriweather</t>
        </is>
      </c>
      <c r="C557" s="31">
        <v>46141</v>
      </c>
      <c r="D557" s="32" t="inlineStr">
        <is>
          <t xml:space="preserve">Bound - within authority</t>
        </is>
      </c>
      <c r="E557" s="32" t="inlineStr">
        <is>
          <t xml:space="preserve">New business</t>
        </is>
      </c>
      <c r="F557" s="30" t="inlineStr">
        <is>
          <t xml:space="preserve">B1234EXOTIC26</t>
        </is>
      </c>
      <c r="G557" s="33">
        <f>IF($A557="","",IF($C557="","",YEAR($C557)))</f>
      </c>
      <c r="H557" s="34">
        <v>1999</v>
      </c>
      <c r="I557" s="30" t="inlineStr">
        <is>
          <t xml:space="preserve">BMW</t>
        </is>
      </c>
      <c r="J557" s="30" t="inlineStr">
        <is>
          <t xml:space="preserve">M8 Competition</t>
        </is>
      </c>
      <c r="K557" s="30" t="inlineStr">
        <is>
          <t xml:space="preserve">DUTPPP73BXGSEDWAN</t>
        </is>
      </c>
      <c r="L557" s="32" t="inlineStr">
        <is>
          <t xml:space="preserve">02 - Sports / GT</t>
        </is>
      </c>
      <c r="M557" s="35">
        <v>825000</v>
      </c>
      <c r="N557" s="32" t="inlineStr">
        <is>
          <t xml:space="preserve">Personal</t>
        </is>
      </c>
      <c r="O557" s="30" t="inlineStr">
        <is>
          <t xml:space="preserve">Personal - regular use</t>
        </is>
      </c>
      <c r="P557" s="30" t="inlineStr">
        <is>
          <t xml:space="preserve">1,000 - 2,500</t>
        </is>
      </c>
      <c r="Q557" s="30" t="inlineStr">
        <is>
          <t xml:space="preserve">Alaska</t>
        </is>
      </c>
      <c r="R557" s="30" t="inlineStr">
        <is>
          <t xml:space="preserve">99501</t>
        </is>
      </c>
      <c r="S557" s="32" t="inlineStr">
        <is>
          <t xml:space="preserve">Earthquake - high (CA, Cascadia, New Madrid)</t>
        </is>
      </c>
      <c r="T557" s="36">
        <f>IF($A557="","",IF($S557="","",IFERROR(INDEX('[1]natural catastrophe'!$D$6:$D$17,MATCH($S557,'[1]natural catastrophe'!$B$6:$B$17,0)),"?")))</f>
      </c>
      <c r="U557" s="30" t="inlineStr">
        <is>
          <t xml:space="preserve">$5,000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9579.34</v>
      </c>
      <c r="AC557" s="37">
        <v>0</v>
      </c>
      <c r="AD557" s="38">
        <f>IF(ISNUMBER($AB557),$AB557*(1+N($AC557)),"")</f>
      </c>
      <c r="AE557" s="35">
        <v>350</v>
      </c>
      <c r="AF557" s="35">
        <v>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CANON-202604-007337</t>
        </is>
      </c>
      <c r="B558" s="46" t="inlineStr">
        <is>
          <t xml:space="preserve">Mireille Castellanos</t>
        </is>
      </c>
      <c r="C558" s="47">
        <v>46133</v>
      </c>
      <c r="D558" s="48" t="inlineStr">
        <is>
          <t xml:space="preserve">Bound - within authority</t>
        </is>
      </c>
      <c r="E558" s="48" t="inlineStr">
        <is>
          <t xml:space="preserve">New business</t>
        </is>
      </c>
      <c r="F558" s="46" t="inlineStr">
        <is>
          <t xml:space="preserve">B1234EXOTIC26</t>
        </is>
      </c>
      <c r="G558" s="33">
        <f>IF($A558="","",IF($C558="","",YEAR($C558)))</f>
      </c>
      <c r="H558" s="49">
        <v>2002</v>
      </c>
      <c r="I558" s="46" t="inlineStr">
        <is>
          <t xml:space="preserve">BMW</t>
        </is>
      </c>
      <c r="J558" s="46" t="inlineStr">
        <is>
          <t xml:space="preserve">M8 Competition</t>
        </is>
      </c>
      <c r="K558" s="46" t="inlineStr">
        <is>
          <t xml:space="preserve">DYV1HW0MAWJZVV4K1</t>
        </is>
      </c>
      <c r="L558" s="48" t="inlineStr">
        <is>
          <t xml:space="preserve">02 - Sports / GT</t>
        </is>
      </c>
      <c r="M558" s="50">
        <v>665000</v>
      </c>
      <c r="N558" s="48" t="inlineStr">
        <is>
          <t xml:space="preserve">Personal</t>
        </is>
      </c>
      <c r="O558" s="46" t="inlineStr">
        <is>
          <t xml:space="preserve">Personal - regular use</t>
        </is>
      </c>
      <c r="P558" s="46" t="inlineStr">
        <is>
          <t xml:space="preserve">Under 1,000</t>
        </is>
      </c>
      <c r="Q558" s="46" t="inlineStr">
        <is>
          <t xml:space="preserve">New Jersey</t>
        </is>
      </c>
      <c r="R558" s="46" t="inlineStr">
        <is>
          <t xml:space="preserve">07102</t>
        </is>
      </c>
      <c r="S558" s="48" t="inlineStr">
        <is>
          <t xml:space="preserve">Tier 3 - Coastal wind (25-100 miles)</t>
        </is>
      </c>
      <c r="T558" s="36">
        <f>IF($A558="","",IF($S558="","",IFERROR(INDEX('[1]natural catastrophe'!$D$6:$D$17,MATCH($S558,'[1]natural catastrophe'!$B$6:$B$17,0)),"?")))</f>
      </c>
      <c r="U558" s="46" t="inlineStr">
        <is>
          <t xml:space="preserve">2% of agreed value, minimum $10,000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6163.68</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row r="559" spans="1:58" ht="18.75" customHeight="1" x14ac:dyDescent="0.25">
      <c r="A559" s="30" t="inlineStr">
        <is>
          <t xml:space="preserve">CANON-202604-007338</t>
        </is>
      </c>
      <c r="B559" s="30" t="inlineStr">
        <is>
          <t xml:space="preserve">Fenwick Bellandi</t>
        </is>
      </c>
      <c r="C559" s="31">
        <v>46141</v>
      </c>
      <c r="D559" s="32" t="inlineStr">
        <is>
          <t xml:space="preserve">Bound - within authority</t>
        </is>
      </c>
      <c r="E559" s="32" t="inlineStr">
        <is>
          <t xml:space="preserve">New business</t>
        </is>
      </c>
      <c r="F559" s="30" t="inlineStr">
        <is>
          <t xml:space="preserve">B1234EXOTIC26</t>
        </is>
      </c>
      <c r="G559" s="33">
        <f>IF($A559="","",IF($C559="","",YEAR($C559)))</f>
      </c>
      <c r="H559" s="34">
        <v>2016</v>
      </c>
      <c r="I559" s="30" t="inlineStr">
        <is>
          <t xml:space="preserve">BMW</t>
        </is>
      </c>
      <c r="J559" s="30" t="inlineStr">
        <is>
          <t xml:space="preserve">M8 Competition</t>
        </is>
      </c>
      <c r="K559" s="30" t="inlineStr">
        <is>
          <t xml:space="preserve">5SDL8Z93RCUZ10R4V</t>
        </is>
      </c>
      <c r="L559" s="32" t="inlineStr">
        <is>
          <t xml:space="preserve">02 - Sports / GT</t>
        </is>
      </c>
      <c r="M559" s="35">
        <v>180000</v>
      </c>
      <c r="N559" s="32" t="inlineStr">
        <is>
          <t xml:space="preserve">Personal</t>
        </is>
      </c>
      <c r="O559" s="30" t="inlineStr">
        <is>
          <t xml:space="preserve">Personal - regular use</t>
        </is>
      </c>
      <c r="P559" s="30" t="inlineStr">
        <is>
          <t xml:space="preserve">Under 1,000</t>
        </is>
      </c>
      <c r="Q559" s="30" t="inlineStr">
        <is>
          <t xml:space="preserve">Connecticut</t>
        </is>
      </c>
      <c r="R559" s="30" t="inlineStr">
        <is>
          <t xml:space="preserve">06103</t>
        </is>
      </c>
      <c r="S559" s="32" t="inlineStr">
        <is>
          <t xml:space="preserve">Tier 3 - Coastal wind (25-100 miles)</t>
        </is>
      </c>
      <c r="T559" s="36">
        <f>IF($A559="","",IF($S559="","",IFERROR(INDEX('[1]natural catastrophe'!$D$6:$D$17,MATCH($S559,'[1]natural catastrophe'!$B$6:$B$17,0)),"?")))</f>
      </c>
      <c r="U559" s="30" t="inlineStr">
        <is>
          <t xml:space="preserve">2% of agreed value, minimum $10,000</t>
        </is>
      </c>
      <c r="V559" s="32" t="inlineStr">
        <is>
          <t xml:space="preserve">Agreed Value</t>
        </is>
      </c>
      <c r="W559" s="30" t="inlineStr">
        <is>
          <t xml:space="preserve">$1,000</t>
        </is>
      </c>
      <c r="X559" s="32" t="inlineStr">
        <is>
          <t xml:space="preserve">$1,000,000 CSL</t>
        </is>
      </c>
      <c r="Y559" s="30"/>
      <c r="Z559" s="30"/>
      <c r="AA559" s="32" t="inlineStr">
        <is>
          <t xml:space="preserve">Surplus Lines</t>
        </is>
      </c>
      <c r="AB559" s="35">
        <v>2906.31</v>
      </c>
      <c r="AC559" s="37">
        <v>0</v>
      </c>
      <c r="AD559" s="38">
        <f>IF(ISNUMBER($AB559),$AB559*(1+N($AC559)),"")</f>
      </c>
      <c r="AE559" s="35">
        <v>350</v>
      </c>
      <c r="AF559" s="35">
        <v>0</v>
      </c>
      <c r="AG559" s="37"/>
      <c r="AH559" s="39">
        <f>IF(ISNUMBER($AD559),($AD559+$AE559+$AF559)*$AG559,"")</f>
      </c>
      <c r="AI559" s="35"/>
      <c r="AJ559" s="38">
        <f>IF(ISNUMBER($AD559),SUM($AD559:$AH559),"")</f>
      </c>
      <c r="AK559" s="40">
        <f>IF(AND(ISNUMBER($AB559),ISNUMBER($AD559)),IF($AB559&gt;0,$AD559/$AB559,""),"")</f>
      </c>
      <c r="AL559" s="32" t="inlineStr">
        <is>
          <t xml:space="preserve">At technical</t>
        </is>
      </c>
      <c r="AM559" s="41">
        <f>IF(ISNUMBER($AD559),Header!$I$3,"")</f>
      </c>
      <c r="AN559" s="39">
        <f>IF(ISNUMBER($AD559),$AO559+$AP559,"")</f>
      </c>
      <c r="AO559" s="39">
        <f>IF(ISNUMBER($AD559),ROUND($AD559*Header!$K$3,2),"")</f>
      </c>
      <c r="AP559" s="39">
        <f>IF(ISNUMBER($AD559),ROUND($AD559*Header!$M$3,2),"")</f>
      </c>
      <c r="AQ559" s="38">
        <f>IF(ISNUMBER($AD559),ROUND($AD559,2)-$AO559-$AP559,"")</f>
      </c>
      <c r="AR559" s="39">
        <f>IF(ISNUMBER($AD559),IF(Header!$D$34="","?",$AD559*Header!$D$34),"")</f>
      </c>
      <c r="AS559" s="39">
        <f>IF(ISNUMBER($AB559),IF(Header!$D$34="","?",$AB559*Header!$D$34),"")</f>
      </c>
      <c r="AT559" s="42">
        <f>IF(AND(ISNUMBER($AB559),$M559&gt;0),$AB559/$M559*100,"")</f>
      </c>
      <c r="AU559" s="42">
        <f>IF(AND(ISNUMBER($AD559),$M559&gt;0),$AD559/$M559*100,"")</f>
      </c>
      <c r="AV559" s="40">
        <f>IF(AND(ISNUMBER($AB559),ISNUMBER($AD559),ABS($AB559)&gt;0),$AD559/$AB559,"")</f>
      </c>
      <c r="AW559" s="39">
        <f>IF(ISNUMBER($AD559),MAX(0,(1-0.55-Header!$O$3)*Header!$Q$3*$AQ559),"")</f>
      </c>
      <c r="AX559" s="43">
        <f>IF($A559="","",IF(TRIM(IF($A559="","Missing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",""))="","PASS","FAIL: "&amp;TRIM(IF($A559="","Missing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f>
      </c>
      <c r="AY559" s="44">
        <f>IF($M559="","",IF(ISNUMBER($M559),IF($M559&gt;=Header!$C$18,"YES — refer","No"),""))</f>
      </c>
      <c r="AZ559" s="44">
        <f>IF($AD559="","",IF(ISNUMBER($AD559),IF($AD559&lt;Header!$C$20,"BELOW MIN PREMIUM","OK"),""))</f>
      </c>
      <c r="BA559" s="32" t="inlineStr">
        <is>
          <t xml:space="preserve">Yes</t>
        </is>
      </c>
      <c r="BB559" s="32" t="inlineStr">
        <is>
          <t xml:space="preserve">Yes</t>
        </is>
      </c>
      <c r="BC559" s="30" t="inlineStr">
        <is>
          <t xml:space="preserve">Synthetic demo data</t>
        </is>
      </c>
      <c r="BE559" s="45">
        <f>IF(OR($A559="",$L559="",$H559=""),"",IF(AND(LEFT($L559,2)="06",$H559&gt;1945),"FAIL - pre-war class, year "&amp;$H559,IF(AND(LEFT($L559,2)="07",OR($H559&lt;1946,$H559&gt;1972)),"FAIL - 1946-72 class, year "&amp;$H559,IF(AND(LEFT($L559,2)="08",OR($H559&lt;1973,$H559&gt;1999)),"FAIL - 1973-99 class, year "&amp;$H559,IF(AND(LEFT($L559,2)="09",OR($H559&lt;2000,$H559&gt;2010)),"FAIL - 2000-10 class, year "&amp;$H559,"OK")))))</f>
      </c>
      <c r="BF559" s="45">
        <f>IF($AD559="","",IF(ROUND($AO559+$AP559+$AQ559-$AD559,2)=0,"OK","FAIL - out by "&amp;TEXT($AO559+$AP559+$AQ559-$AD559,"$0.00")))</f>
      </c>
    </row>
    <row r="560" spans="1:58" ht="18.75" customHeight="1" x14ac:dyDescent="0.25">
      <c r="A560" s="46" t="inlineStr">
        <is>
          <t xml:space="preserve">CANON-202604-007339</t>
        </is>
      </c>
      <c r="B560" s="46" t="inlineStr">
        <is>
          <t xml:space="preserve">Noor Underwood</t>
        </is>
      </c>
      <c r="C560" s="47">
        <v>46133</v>
      </c>
      <c r="D560" s="48" t="inlineStr">
        <is>
          <t xml:space="preserve">Bound - within authority</t>
        </is>
      </c>
      <c r="E560" s="48" t="inlineStr">
        <is>
          <t xml:space="preserve">New business</t>
        </is>
      </c>
      <c r="F560" s="46" t="inlineStr">
        <is>
          <t xml:space="preserve">B1234EXOTIC26</t>
        </is>
      </c>
      <c r="G560" s="33">
        <f>IF($A560="","",IF($C560="","",YEAR($C560)))</f>
      </c>
      <c r="H560" s="49">
        <v>1979</v>
      </c>
      <c r="I560" s="46" t="inlineStr">
        <is>
          <t xml:space="preserve">Aston Martin</t>
        </is>
      </c>
      <c r="J560" s="46" t="inlineStr">
        <is>
          <t xml:space="preserve">DB12</t>
        </is>
      </c>
      <c r="K560" s="46" t="inlineStr">
        <is>
          <t xml:space="preserve">E92XTEJXCYWXBCCWD</t>
        </is>
      </c>
      <c r="L560" s="48" t="inlineStr">
        <is>
          <t xml:space="preserve">02 - Sports / GT</t>
        </is>
      </c>
      <c r="M560" s="50">
        <v>880000</v>
      </c>
      <c r="N560" s="48" t="inlineStr">
        <is>
          <t xml:space="preserve">Personal</t>
        </is>
      </c>
      <c r="O560" s="46" t="inlineStr">
        <is>
          <t xml:space="preserve">Personal - regular use</t>
        </is>
      </c>
      <c r="P560" s="46" t="inlineStr">
        <is>
          <t xml:space="preserve">Under 1,000</t>
        </is>
      </c>
      <c r="Q560" s="46" t="inlineStr">
        <is>
          <t xml:space="preserve">New Jersey</t>
        </is>
      </c>
      <c r="R560" s="46" t="inlineStr">
        <is>
          <t xml:space="preserve">07102</t>
        </is>
      </c>
      <c r="S560" s="48" t="inlineStr">
        <is>
          <t xml:space="preserve">Tier 3 - Coastal wind (25-100 miles)</t>
        </is>
      </c>
      <c r="T560" s="36">
        <f>IF($A560="","",IF($S560="","",IFERROR(INDEX('[1]natural catastrophe'!$D$6:$D$17,MATCH($S560,'[1]natural catastrophe'!$B$6:$B$17,0)),"?")))</f>
      </c>
      <c r="U560" s="46" t="inlineStr">
        <is>
          <t xml:space="preserve">2% of agreed value, minimum $10,000</t>
        </is>
      </c>
      <c r="V560" s="48" t="inlineStr">
        <is>
          <t xml:space="preserve">Agreed Value</t>
        </is>
      </c>
      <c r="W560" s="46" t="inlineStr">
        <is>
          <t xml:space="preserve">$1,000</t>
        </is>
      </c>
      <c r="X560" s="48" t="inlineStr">
        <is>
          <t xml:space="preserve">$1,000,000 CSL</t>
        </is>
      </c>
      <c r="Y560" s="46"/>
      <c r="Z560" s="46"/>
      <c r="AA560" s="48" t="inlineStr">
        <is>
          <t xml:space="preserve">Surplus Lines</t>
        </is>
      </c>
      <c r="AB560" s="50">
        <v>8156.45</v>
      </c>
      <c r="AC560" s="51">
        <v>0</v>
      </c>
      <c r="AD560" s="38">
        <f>IF(ISNUMBER($AB560),$AB560*(1+N($AC560)),"")</f>
      </c>
      <c r="AE560" s="50">
        <v>350</v>
      </c>
      <c r="AF560" s="50">
        <v>0</v>
      </c>
      <c r="AG560" s="51"/>
      <c r="AH560" s="39">
        <f>IF(ISNUMBER($AD560),($AD560+$AE560+$AF560)*$AG560,"")</f>
      </c>
      <c r="AI560" s="50"/>
      <c r="AJ560" s="38">
        <f>IF(ISNUMBER($AD560),SUM($AD560:$AH560),"")</f>
      </c>
      <c r="AK560" s="40">
        <f>IF(AND(ISNUMBER($AB560),ISNUMBER($AD560)),IF($AB560&gt;0,$AD560/$AB560,""),"")</f>
      </c>
      <c r="AL560" s="48" t="inlineStr">
        <is>
          <t xml:space="preserve">At technical</t>
        </is>
      </c>
      <c r="AM560" s="41">
        <f>IF(ISNUMBER($AD560),Header!$I$3,"")</f>
      </c>
      <c r="AN560" s="39">
        <f>IF(ISNUMBER($AD560),$AO560+$AP560,"")</f>
      </c>
      <c r="AO560" s="39">
        <f>IF(ISNUMBER($AD560),ROUND($AD560*Header!$K$3,2),"")</f>
      </c>
      <c r="AP560" s="39">
        <f>IF(ISNUMBER($AD560),ROUND($AD560*Header!$M$3,2),"")</f>
      </c>
      <c r="AQ560" s="38">
        <f>IF(ISNUMBER($AD560),ROUND($AD560,2)-$AO560-$AP560,"")</f>
      </c>
      <c r="AR560" s="39">
        <f>IF(ISNUMBER($AD560),IF(Header!$D$34="","?",$AD560*Header!$D$34),"")</f>
      </c>
      <c r="AS560" s="39">
        <f>IF(ISNUMBER($AB560),IF(Header!$D$34="","?",$AB560*Header!$D$34),"")</f>
      </c>
      <c r="AT560" s="42">
        <f>IF(AND(ISNUMBER($AB560),$M560&gt;0),$AB560/$M560*100,"")</f>
      </c>
      <c r="AU560" s="42">
        <f>IF(AND(ISNUMBER($AD560),$M560&gt;0),$AD560/$M560*100,"")</f>
      </c>
      <c r="AV560" s="40">
        <f>IF(AND(ISNUMBER($AB560),ISNUMBER($AD560),ABS($AB560)&gt;0),$AD560/$AB560,"")</f>
      </c>
      <c r="AW560" s="39">
        <f>IF(ISNUMBER($AD560),MAX(0,(1-0.55-Header!$O$3)*Header!$Q$3*$AQ560),"")</f>
      </c>
      <c r="AX560" s="43">
        <f>IF($A560="","",IF(TRIM(IF($A560="","Missing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",""))="","PASS","FAIL: "&amp;TRIM(IF($A560="","Missing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f>
      </c>
      <c r="AY560" s="44">
        <f>IF($M560="","",IF(ISNUMBER($M560),IF($M560&gt;=Header!$C$18,"YES — refer","No"),""))</f>
      </c>
      <c r="AZ560" s="44">
        <f>IF($AD560="","",IF(ISNUMBER($AD560),IF($AD560&lt;Header!$C$20,"BELOW MIN PREMIUM","OK"),""))</f>
      </c>
      <c r="BA560" s="48" t="inlineStr">
        <is>
          <t xml:space="preserve">Yes</t>
        </is>
      </c>
      <c r="BB560" s="48" t="inlineStr">
        <is>
          <t xml:space="preserve">Yes</t>
        </is>
      </c>
      <c r="BC560" s="46" t="inlineStr">
        <is>
          <t xml:space="preserve">Synthetic demo data</t>
        </is>
      </c>
      <c r="BE560" s="45">
        <f>IF(OR($A560="",$L560="",$H560=""),"",IF(AND(LEFT($L560,2)="06",$H560&gt;1945),"FAIL - pre-war class, year "&amp;$H560,IF(AND(LEFT($L560,2)="07",OR($H560&lt;1946,$H560&gt;1972)),"FAIL - 1946-72 class, year "&amp;$H560,IF(AND(LEFT($L560,2)="08",OR($H560&lt;1973,$H560&gt;1999)),"FAIL - 1973-99 class, year "&amp;$H560,IF(AND(LEFT($L560,2)="09",OR($H560&lt;2000,$H560&gt;2010)),"FAIL - 2000-10 class, year "&amp;$H560,"OK")))))</f>
      </c>
      <c r="BF560" s="45">
        <f>IF($AD560="","",IF(ROUND($AO560+$AP560+$AQ560-$AD560,2)=0,"OK","FAIL - out by "&amp;TEXT($AO560+$AP560+$AQ560-$AD560,"$0.00")))</f>
      </c>
    </row>
    <row r="561" spans="1:58" ht="18.75" customHeight="1" x14ac:dyDescent="0.25">
      <c r="A561" s="30" t="inlineStr">
        <is>
          <t xml:space="preserve">CANON-202604-007340</t>
        </is>
      </c>
      <c r="B561" s="30" t="inlineStr">
        <is>
          <t xml:space="preserve">Anouk Thistlewood</t>
        </is>
      </c>
      <c r="C561" s="31">
        <v>46136</v>
      </c>
      <c r="D561" s="32" t="inlineStr">
        <is>
          <t xml:space="preserve">Bound - within authority</t>
        </is>
      </c>
      <c r="E561" s="32" t="inlineStr">
        <is>
          <t xml:space="preserve">New business</t>
        </is>
      </c>
      <c r="F561" s="30" t="inlineStr">
        <is>
          <t xml:space="preserve">B1234EXOTIC26</t>
        </is>
      </c>
      <c r="G561" s="33">
        <f>IF($A561="","",IF($C561="","",YEAR($C561)))</f>
      </c>
      <c r="H561" s="34">
        <v>1968</v>
      </c>
      <c r="I561" s="30" t="inlineStr">
        <is>
          <t xml:space="preserve">Ferrari</t>
        </is>
      </c>
      <c r="J561" s="30" t="inlineStr">
        <is>
          <t xml:space="preserve">SF90 Stradale</t>
        </is>
      </c>
      <c r="K561" s="30" t="inlineStr">
        <is>
          <t xml:space="preserve">DJX8GV45HC3YKB54N</t>
        </is>
      </c>
      <c r="L561" s="32" t="inlineStr">
        <is>
          <t xml:space="preserve">03 - Supercar</t>
        </is>
      </c>
      <c r="M561" s="35">
        <v>1460000</v>
      </c>
      <c r="N561" s="32" t="inlineStr">
        <is>
          <t xml:space="preserve">Personal</t>
        </is>
      </c>
      <c r="O561" s="30" t="inlineStr">
        <is>
          <t xml:space="preserve">Personal - regular use</t>
        </is>
      </c>
      <c r="P561" s="30" t="inlineStr">
        <is>
          <t xml:space="preserve">2,500 - 5,000</t>
        </is>
      </c>
      <c r="Q561" s="30" t="inlineStr">
        <is>
          <t xml:space="preserve">Pennsylvania</t>
        </is>
      </c>
      <c r="R561" s="30" t="inlineStr">
        <is>
          <t xml:space="preserve">19103</t>
        </is>
      </c>
      <c r="S561" s="32" t="inlineStr">
        <is>
          <t xml:space="preserve">Low hazard - inland benign</t>
        </is>
      </c>
      <c r="T561" s="36">
        <f>IF($A561="","",IF($S561="","",IFERROR(INDEX('[1]natural catastrophe'!$D$6:$D$17,MATCH($S561,'[1]natural catastrophe'!$B$6:$B$17,0)),"?")))</f>
      </c>
      <c r="U561" s="30" t="inlineStr">
        <is>
          <t xml:space="preserve">$5,000</t>
        </is>
      </c>
      <c r="V561" s="32" t="inlineStr">
        <is>
          <t xml:space="preserve">Agreed Value</t>
        </is>
      </c>
      <c r="W561" s="30" t="inlineStr">
        <is>
          <t xml:space="preserve">$1,000</t>
        </is>
      </c>
      <c r="X561" s="32" t="inlineStr">
        <is>
          <t xml:space="preserve">$1,000,000 CSL</t>
        </is>
      </c>
      <c r="Y561" s="30"/>
      <c r="Z561" s="30"/>
      <c r="AA561" s="32" t="inlineStr">
        <is>
          <t xml:space="preserve">Surplus Lines</t>
        </is>
      </c>
      <c r="AB561" s="35">
        <v>18302.34</v>
      </c>
      <c r="AC561" s="37">
        <v>0</v>
      </c>
      <c r="AD561" s="38">
        <f>IF(ISNUMBER($AB561),$AB561*(1+N($AC561)),"")</f>
      </c>
      <c r="AE561" s="35">
        <v>350</v>
      </c>
      <c r="AF561" s="35">
        <v>250</v>
      </c>
      <c r="AG561" s="37"/>
      <c r="AH561" s="39">
        <f>IF(ISNUMBER($AD561),($AD561+$AE561+$AF561)*$AG561,"")</f>
      </c>
      <c r="AI561" s="35"/>
      <c r="AJ561" s="38">
        <f>IF(ISNUMBER($AD561),SUM($AD561:$AH561),"")</f>
      </c>
      <c r="AK561" s="40">
        <f>IF(AND(ISNUMBER($AB561),ISNUMBER($AD561)),IF($AB561&gt;0,$AD561/$AB561,""),"")</f>
      </c>
      <c r="AL561" s="32" t="inlineStr">
        <is>
          <t xml:space="preserve">At technical</t>
        </is>
      </c>
      <c r="AM561" s="41">
        <f>IF(ISNUMBER($AD561),Header!$I$3,"")</f>
      </c>
      <c r="AN561" s="39">
        <f>IF(ISNUMBER($AD561),$AO561+$AP561,"")</f>
      </c>
      <c r="AO561" s="39">
        <f>IF(ISNUMBER($AD561),ROUND($AD561*Header!$K$3,2),"")</f>
      </c>
      <c r="AP561" s="39">
        <f>IF(ISNUMBER($AD561),ROUND($AD561*Header!$M$3,2),"")</f>
      </c>
      <c r="AQ561" s="38">
        <f>IF(ISNUMBER($AD561),ROUND($AD561,2)-$AO561-$AP561,"")</f>
      </c>
      <c r="AR561" s="39">
        <f>IF(ISNUMBER($AD561),IF(Header!$D$34="","?",$AD561*Header!$D$34),"")</f>
      </c>
      <c r="AS561" s="39">
        <f>IF(ISNUMBER($AB561),IF(Header!$D$34="","?",$AB561*Header!$D$34),"")</f>
      </c>
      <c r="AT561" s="42">
        <f>IF(AND(ISNUMBER($AB561),$M561&gt;0),$AB561/$M561*100,"")</f>
      </c>
      <c r="AU561" s="42">
        <f>IF(AND(ISNUMBER($AD561),$M561&gt;0),$AD561/$M561*100,"")</f>
      </c>
      <c r="AV561" s="40">
        <f>IF(AND(ISNUMBER($AB561),ISNUMBER($AD561),ABS($AB561)&gt;0),$AD561/$AB561,"")</f>
      </c>
      <c r="AW561" s="39">
        <f>IF(ISNUMBER($AD561),MAX(0,(1-0.55-Header!$O$3)*Header!$Q$3*$AQ561),"")</f>
      </c>
      <c r="AX561" s="43">
        <f>IF($A561="","",IF(TRIM(IF($A561="","Missing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",""))="","PASS","FAIL: "&amp;TRIM(IF($A561="","Missing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f>
      </c>
      <c r="AY561" s="44">
        <f>IF($M561="","",IF(ISNUMBER($M561),IF($M561&gt;=Header!$C$18,"YES — refer","No"),""))</f>
      </c>
      <c r="AZ561" s="44">
        <f>IF($AD561="","",IF(ISNUMBER($AD561),IF($AD561&lt;Header!$C$20,"BELOW MIN PREMIUM","OK"),""))</f>
      </c>
      <c r="BA561" s="32" t="inlineStr">
        <is>
          <t xml:space="preserve">Yes</t>
        </is>
      </c>
      <c r="BB561" s="32" t="inlineStr">
        <is>
          <t xml:space="preserve">Yes</t>
        </is>
      </c>
      <c r="BC561" s="30" t="inlineStr">
        <is>
          <t xml:space="preserve">Synthetic demo data</t>
        </is>
      </c>
      <c r="BE561" s="45">
        <f>IF(OR($A561="",$L561="",$H561=""),"",IF(AND(LEFT($L561,2)="06",$H561&gt;1945),"FAIL - pre-war class, year "&amp;$H561,IF(AND(LEFT($L561,2)="07",OR($H561&lt;1946,$H561&gt;1972)),"FAIL - 1946-72 class, year "&amp;$H561,IF(AND(LEFT($L561,2)="08",OR($H561&lt;1973,$H561&gt;1999)),"FAIL - 1973-99 class, year "&amp;$H561,IF(AND(LEFT($L561,2)="09",OR($H561&lt;2000,$H561&gt;2010)),"FAIL - 2000-10 class, year "&amp;$H561,"OK")))))</f>
      </c>
      <c r="BF561" s="45">
        <f>IF($AD561="","",IF(ROUND($AO561+$AP561+$AQ561-$AD561,2)=0,"OK","FAIL - out by "&amp;TEXT($AO561+$AP561+$AQ561-$AD561,"$0.00")))</f>
      </c>
    </row>
    <row r="562" spans="1:58" ht="18.75" customHeight="1" x14ac:dyDescent="0.25">
      <c r="A562" s="46" t="inlineStr">
        <is>
          <t xml:space="preserve">CANON-202604-007341</t>
        </is>
      </c>
      <c r="B562" s="46" t="inlineStr">
        <is>
          <t xml:space="preserve">Fitzgerald Underwood</t>
        </is>
      </c>
      <c r="C562" s="47">
        <v>46117</v>
      </c>
      <c r="D562" s="48" t="inlineStr">
        <is>
          <t xml:space="preserve">Bound - within authority</t>
        </is>
      </c>
      <c r="E562" s="48" t="inlineStr">
        <is>
          <t xml:space="preserve">New business</t>
        </is>
      </c>
      <c r="F562" s="46" t="inlineStr">
        <is>
          <t xml:space="preserve">B1234EXOTIC26</t>
        </is>
      </c>
      <c r="G562" s="33">
        <f>IF($A562="","",IF($C562="","",YEAR($C562)))</f>
      </c>
      <c r="H562" s="49">
        <v>1963</v>
      </c>
      <c r="I562" s="46" t="inlineStr">
        <is>
          <t xml:space="preserve">Porsche</t>
        </is>
      </c>
      <c r="J562" s="46" t="inlineStr">
        <is>
          <t xml:space="preserve">911 Turbo S</t>
        </is>
      </c>
      <c r="K562" s="46" t="inlineStr">
        <is>
          <t xml:space="preserve">HWB0YS1BMKE45WTMD</t>
        </is>
      </c>
      <c r="L562" s="48" t="inlineStr">
        <is>
          <t xml:space="preserve">02 - Sports / GT</t>
        </is>
      </c>
      <c r="M562" s="50">
        <v>260000</v>
      </c>
      <c r="N562" s="48" t="inlineStr">
        <is>
          <t xml:space="preserve">Personal</t>
        </is>
      </c>
      <c r="O562" s="46" t="inlineStr">
        <is>
          <t xml:space="preserve">Personal - regular use</t>
        </is>
      </c>
      <c r="P562" s="46" t="inlineStr">
        <is>
          <t xml:space="preserve">1,000 - 2,500</t>
        </is>
      </c>
      <c r="Q562" s="46" t="inlineStr">
        <is>
          <t xml:space="preserve">Connecticut</t>
        </is>
      </c>
      <c r="R562" s="46" t="inlineStr">
        <is>
          <t xml:space="preserve">06103</t>
        </is>
      </c>
      <c r="S562" s="48" t="inlineStr">
        <is>
          <t xml:space="preserve">Tier 3 - Coastal wind (25-100 miles)</t>
        </is>
      </c>
      <c r="T562" s="36">
        <f>IF($A562="","",IF($S562="","",IFERROR(INDEX('[1]natural catastrophe'!$D$6:$D$17,MATCH($S562,'[1]natural catastrophe'!$B$6:$B$17,0)),"?")))</f>
      </c>
      <c r="U562" s="46" t="inlineStr">
        <is>
          <t xml:space="preserve">2% of agreed value, minimum $10,000</t>
        </is>
      </c>
      <c r="V562" s="48" t="inlineStr">
        <is>
          <t xml:space="preserve">Agreed Value</t>
        </is>
      </c>
      <c r="W562" s="46" t="inlineStr">
        <is>
          <t xml:space="preserve">$1,000</t>
        </is>
      </c>
      <c r="X562" s="48" t="inlineStr">
        <is>
          <t xml:space="preserve">$1,000,000 CSL</t>
        </is>
      </c>
      <c r="Y562" s="46"/>
      <c r="Z562" s="46"/>
      <c r="AA562" s="48" t="inlineStr">
        <is>
          <t xml:space="preserve">Surplus Lines</t>
        </is>
      </c>
      <c r="AB562" s="50">
        <v>3422.28</v>
      </c>
      <c r="AC562" s="51">
        <v>0</v>
      </c>
      <c r="AD562" s="38">
        <f>IF(ISNUMBER($AB562),$AB562*(1+N($AC562)),"")</f>
      </c>
      <c r="AE562" s="50">
        <v>350</v>
      </c>
      <c r="AF562" s="50">
        <v>0</v>
      </c>
      <c r="AG562" s="51"/>
      <c r="AH562" s="39">
        <f>IF(ISNUMBER($AD562),($AD562+$AE562+$AF562)*$AG562,"")</f>
      </c>
      <c r="AI562" s="50"/>
      <c r="AJ562" s="38">
        <f>IF(ISNUMBER($AD562),SUM($AD562:$AH562),"")</f>
      </c>
      <c r="AK562" s="40">
        <f>IF(AND(ISNUMBER($AB562),ISNUMBER($AD562)),IF($AB562&gt;0,$AD562/$AB562,""),"")</f>
      </c>
      <c r="AL562" s="48" t="inlineStr">
        <is>
          <t xml:space="preserve">At technical</t>
        </is>
      </c>
      <c r="AM562" s="41">
        <f>IF(ISNUMBER($AD562),Header!$I$3,"")</f>
      </c>
      <c r="AN562" s="39">
        <f>IF(ISNUMBER($AD562),$AO562+$AP562,"")</f>
      </c>
      <c r="AO562" s="39">
        <f>IF(ISNUMBER($AD562),ROUND($AD562*Header!$K$3,2),"")</f>
      </c>
      <c r="AP562" s="39">
        <f>IF(ISNUMBER($AD562),ROUND($AD562*Header!$M$3,2),"")</f>
      </c>
      <c r="AQ562" s="38">
        <f>IF(ISNUMBER($AD562),ROUND($AD562,2)-$AO562-$AP562,"")</f>
      </c>
      <c r="AR562" s="39">
        <f>IF(ISNUMBER($AD562),IF(Header!$D$34="","?",$AD562*Header!$D$34),"")</f>
      </c>
      <c r="AS562" s="39">
        <f>IF(ISNUMBER($AB562),IF(Header!$D$34="","?",$AB562*Header!$D$34),"")</f>
      </c>
      <c r="AT562" s="42">
        <f>IF(AND(ISNUMBER($AB562),$M562&gt;0),$AB562/$M562*100,"")</f>
      </c>
      <c r="AU562" s="42">
        <f>IF(AND(ISNUMBER($AD562),$M562&gt;0),$AD562/$M562*100,"")</f>
      </c>
      <c r="AV562" s="40">
        <f>IF(AND(ISNUMBER($AB562),ISNUMBER($AD562),ABS($AB562)&gt;0),$AD562/$AB562,"")</f>
      </c>
      <c r="AW562" s="39">
        <f>IF(ISNUMBER($AD562),MAX(0,(1-0.55-Header!$O$3)*Header!$Q$3*$AQ562),"")</f>
      </c>
      <c r="AX562" s="43">
        <f>IF($A562="","",IF(TRIM(IF($A562="","Missing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",""))="","PASS","FAIL: "&amp;TRIM(IF($A562="","Missing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f>
      </c>
      <c r="AY562" s="44">
        <f>IF($M562="","",IF(ISNUMBER($M562),IF($M562&gt;=Header!$C$18,"YES — refer","No"),""))</f>
      </c>
      <c r="AZ562" s="44">
        <f>IF($AD562="","",IF(ISNUMBER($AD562),IF($AD562&lt;Header!$C$20,"BELOW MIN PREMIUM","OK"),""))</f>
      </c>
      <c r="BA562" s="48" t="inlineStr">
        <is>
          <t xml:space="preserve">Yes</t>
        </is>
      </c>
      <c r="BB562" s="48" t="inlineStr">
        <is>
          <t xml:space="preserve">Yes</t>
        </is>
      </c>
      <c r="BC562" s="46" t="inlineStr">
        <is>
          <t xml:space="preserve">Synthetic demo data</t>
        </is>
      </c>
      <c r="BE562" s="45">
        <f>IF(OR($A562="",$L562="",$H562=""),"",IF(AND(LEFT($L562,2)="06",$H562&gt;1945),"FAIL - pre-war class, year "&amp;$H562,IF(AND(LEFT($L562,2)="07",OR($H562&lt;1946,$H562&gt;1972)),"FAIL - 1946-72 class, year "&amp;$H562,IF(AND(LEFT($L562,2)="08",OR($H562&lt;1973,$H562&gt;1999)),"FAIL - 1973-99 class, year "&amp;$H562,IF(AND(LEFT($L562,2)="09",OR($H562&lt;2000,$H562&gt;2010)),"FAIL - 2000-10 class, year "&amp;$H562,"OK")))))</f>
      </c>
      <c r="BF562" s="45">
        <f>IF($AD562="","",IF(ROUND($AO562+$AP562+$AQ562-$AD562,2)=0,"OK","FAIL - out by "&amp;TEXT($AO562+$AP562+$AQ562-$AD562,"$0.00")))</f>
      </c>
    </row>
    <row r="563" spans="1:58" ht="18.75" customHeight="1" x14ac:dyDescent="0.25">
      <c r="A563" s="30" t="inlineStr">
        <is>
          <t xml:space="preserve">CANON-202604-007342</t>
        </is>
      </c>
      <c r="B563" s="30" t="inlineStr">
        <is>
          <t xml:space="preserve">Ingrid Thistlewood</t>
        </is>
      </c>
      <c r="C563" s="31">
        <v>46114</v>
      </c>
      <c r="D563" s="32" t="inlineStr">
        <is>
          <t xml:space="preserve">Bound - within authority</t>
        </is>
      </c>
      <c r="E563" s="32" t="inlineStr">
        <is>
          <t xml:space="preserve">New business</t>
        </is>
      </c>
      <c r="F563" s="30" t="inlineStr">
        <is>
          <t xml:space="preserve">B1234EXOTIC26</t>
        </is>
      </c>
      <c r="G563" s="33">
        <f>IF($A563="","",IF($C563="","",YEAR($C563)))</f>
      </c>
      <c r="H563" s="34">
        <v>1970</v>
      </c>
      <c r="I563" s="30" t="inlineStr">
        <is>
          <t xml:space="preserve">Porsche</t>
        </is>
      </c>
      <c r="J563" s="30" t="inlineStr">
        <is>
          <t xml:space="preserve">911 Turbo S</t>
        </is>
      </c>
      <c r="K563" s="30" t="inlineStr">
        <is>
          <t xml:space="preserve">WJSZJ276J1HYR4X3H</t>
        </is>
      </c>
      <c r="L563" s="32" t="inlineStr">
        <is>
          <t xml:space="preserve">02 - Sports / GT</t>
        </is>
      </c>
      <c r="M563" s="35">
        <v>300000</v>
      </c>
      <c r="N563" s="32" t="inlineStr">
        <is>
          <t xml:space="preserve">Personal</t>
        </is>
      </c>
      <c r="O563" s="30" t="inlineStr">
        <is>
          <t xml:space="preserve">Personal - regular use</t>
        </is>
      </c>
      <c r="P563" s="30" t="inlineStr">
        <is>
          <t xml:space="preserve">2,500 - 5,000</t>
        </is>
      </c>
      <c r="Q563" s="30" t="inlineStr">
        <is>
          <t xml:space="preserve">Ohio</t>
        </is>
      </c>
      <c r="R563" s="30" t="inlineStr">
        <is>
          <t xml:space="preserve">43215</t>
        </is>
      </c>
      <c r="S563" s="32" t="inlineStr">
        <is>
          <t xml:space="preserve">Severe convective - hail / tornado (moderate)</t>
        </is>
      </c>
      <c r="T563" s="36">
        <f>IF($A563="","",IF($S563="","",IFERROR(INDEX('[1]natural catastrophe'!$D$6:$D$17,MATCH($S563,'[1]natural catastrophe'!$B$6:$B$17,0)),"?")))</f>
      </c>
      <c r="U563" s="30" t="inlineStr">
        <is>
          <t xml:space="preserve">$5,000</t>
        </is>
      </c>
      <c r="V563" s="32" t="inlineStr">
        <is>
          <t xml:space="preserve">Agreed Value</t>
        </is>
      </c>
      <c r="W563" s="30" t="inlineStr">
        <is>
          <t xml:space="preserve">$1,000</t>
        </is>
      </c>
      <c r="X563" s="32" t="inlineStr">
        <is>
          <t xml:space="preserve">$1,000,000 CSL</t>
        </is>
      </c>
      <c r="Y563" s="30"/>
      <c r="Z563" s="30"/>
      <c r="AA563" s="32" t="inlineStr">
        <is>
          <t xml:space="preserve">Surplus Lines</t>
        </is>
      </c>
      <c r="AB563" s="35">
        <v>4900.73</v>
      </c>
      <c r="AC563" s="37">
        <v>0</v>
      </c>
      <c r="AD563" s="38">
        <f>IF(ISNUMBER($AB563),$AB563*(1+N($AC563)),"")</f>
      </c>
      <c r="AE563" s="35">
        <v>350</v>
      </c>
      <c r="AF563" s="35">
        <v>0</v>
      </c>
      <c r="AG563" s="37"/>
      <c r="AH563" s="39">
        <f>IF(ISNUMBER($AD563),($AD563+$AE563+$AF563)*$AG563,"")</f>
      </c>
      <c r="AI563" s="35"/>
      <c r="AJ563" s="38">
        <f>IF(ISNUMBER($AD563),SUM($AD563:$AH563),"")</f>
      </c>
      <c r="AK563" s="40">
        <f>IF(AND(ISNUMBER($AB563),ISNUMBER($AD563)),IF($AB563&gt;0,$AD563/$AB563,""),"")</f>
      </c>
      <c r="AL563" s="32" t="inlineStr">
        <is>
          <t xml:space="preserve">At technical</t>
        </is>
      </c>
      <c r="AM563" s="41">
        <f>IF(ISNUMBER($AD563),Header!$I$3,"")</f>
      </c>
      <c r="AN563" s="39">
        <f>IF(ISNUMBER($AD563),$AO563+$AP563,"")</f>
      </c>
      <c r="AO563" s="39">
        <f>IF(ISNUMBER($AD563),ROUND($AD563*Header!$K$3,2),"")</f>
      </c>
      <c r="AP563" s="39">
        <f>IF(ISNUMBER($AD563),ROUND($AD563*Header!$M$3,2),"")</f>
      </c>
      <c r="AQ563" s="38">
        <f>IF(ISNUMBER($AD563),ROUND($AD563,2)-$AO563-$AP563,"")</f>
      </c>
      <c r="AR563" s="39">
        <f>IF(ISNUMBER($AD563),IF(Header!$D$34="","?",$AD563*Header!$D$34),"")</f>
      </c>
      <c r="AS563" s="39">
        <f>IF(ISNUMBER($AB563),IF(Header!$D$34="","?",$AB563*Header!$D$34),"")</f>
      </c>
      <c r="AT563" s="42">
        <f>IF(AND(ISNUMBER($AB563),$M563&gt;0),$AB563/$M563*100,"")</f>
      </c>
      <c r="AU563" s="42">
        <f>IF(AND(ISNUMBER($AD563),$M563&gt;0),$AD563/$M563*100,"")</f>
      </c>
      <c r="AV563" s="40">
        <f>IF(AND(ISNUMBER($AB563),ISNUMBER($AD563),ABS($AB563)&gt;0),$AD563/$AB563,"")</f>
      </c>
      <c r="AW563" s="39">
        <f>IF(ISNUMBER($AD563),MAX(0,(1-0.55-Header!$O$3)*Header!$Q$3*$AQ563),"")</f>
      </c>
      <c r="AX563" s="43">
        <f>IF($A563="","",IF(TRIM(IF($A563="","Missing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",""))="","PASS","FAIL: "&amp;TRIM(IF($A563="","Missing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f>
      </c>
      <c r="AY563" s="44">
        <f>IF($M563="","",IF(ISNUMBER($M563),IF($M563&gt;=Header!$C$18,"YES — refer","No"),""))</f>
      </c>
      <c r="AZ563" s="44">
        <f>IF($AD563="","",IF(ISNUMBER($AD563),IF($AD563&lt;Header!$C$20,"BELOW MIN PREMIUM","OK"),""))</f>
      </c>
      <c r="BA563" s="32" t="inlineStr">
        <is>
          <t xml:space="preserve">Yes</t>
        </is>
      </c>
      <c r="BB563" s="32" t="inlineStr">
        <is>
          <t xml:space="preserve">Yes</t>
        </is>
      </c>
      <c r="BC563" s="30" t="inlineStr">
        <is>
          <t xml:space="preserve">Synthetic demo data</t>
        </is>
      </c>
      <c r="BE563" s="45">
        <f>IF(OR($A563="",$L563="",$H563=""),"",IF(AND(LEFT($L563,2)="06",$H563&gt;1945),"FAIL - pre-war class, year "&amp;$H563,IF(AND(LEFT($L563,2)="07",OR($H563&lt;1946,$H563&gt;1972)),"FAIL - 1946-72 class, year "&amp;$H563,IF(AND(LEFT($L563,2)="08",OR($H563&lt;1973,$H563&gt;1999)),"FAIL - 1973-99 class, year "&amp;$H563,IF(AND(LEFT($L563,2)="09",OR($H563&lt;2000,$H563&gt;2010)),"FAIL - 2000-10 class, year "&amp;$H563,"OK")))))</f>
      </c>
      <c r="BF563" s="45">
        <f>IF($AD563="","",IF(ROUND($AO563+$AP563+$AQ563-$AD563,2)=0,"OK","FAIL - out by "&amp;TEXT($AO563+$AP563+$AQ563-$AD563,"$0.00")))</f>
      </c>
    </row>
    <row r="564" spans="1:58" ht="18.75" customHeight="1" x14ac:dyDescent="0.25">
      <c r="A564" s="46" t="inlineStr">
        <is>
          <t xml:space="preserve">CANON-202604-007343</t>
        </is>
      </c>
      <c r="B564" s="46" t="inlineStr">
        <is>
          <t xml:space="preserve">Sunniva Rourke</t>
        </is>
      </c>
      <c r="C564" s="47">
        <v>46127</v>
      </c>
      <c r="D564" s="48" t="inlineStr">
        <is>
          <t xml:space="preserve">Bound - within authority</t>
        </is>
      </c>
      <c r="E564" s="48" t="inlineStr">
        <is>
          <t xml:space="preserve">New business</t>
        </is>
      </c>
      <c r="F564" s="46" t="inlineStr">
        <is>
          <t xml:space="preserve">B1234EXOTIC26</t>
        </is>
      </c>
      <c r="G564" s="33">
        <f>IF($A564="","",IF($C564="","",YEAR($C564)))</f>
      </c>
      <c r="H564" s="49">
        <v>2004</v>
      </c>
      <c r="I564" s="46" t="inlineStr">
        <is>
          <t xml:space="preserve">Bentley</t>
        </is>
      </c>
      <c r="J564" s="46" t="inlineStr">
        <is>
          <t xml:space="preserve">Continental GT</t>
        </is>
      </c>
      <c r="K564" s="46" t="inlineStr">
        <is>
          <t xml:space="preserve">WU308145Z2VSTNYK4</t>
        </is>
      </c>
      <c r="L564" s="48" t="inlineStr">
        <is>
          <t xml:space="preserve">02 - Sports / GT</t>
        </is>
      </c>
      <c r="M564" s="50">
        <v>725000</v>
      </c>
      <c r="N564" s="48" t="inlineStr">
        <is>
          <t xml:space="preserve">Personal</t>
        </is>
      </c>
      <c r="O564" s="46" t="inlineStr">
        <is>
          <t xml:space="preserve">Personal - regular use</t>
        </is>
      </c>
      <c r="P564" s="46" t="inlineStr">
        <is>
          <t xml:space="preserve">Under 1,000</t>
        </is>
      </c>
      <c r="Q564" s="46" t="inlineStr">
        <is>
          <t xml:space="preserve">California</t>
        </is>
      </c>
      <c r="R564" s="46" t="inlineStr">
        <is>
          <t xml:space="preserve">90012</t>
        </is>
      </c>
      <c r="S564" s="48" t="inlineStr">
        <is>
          <t xml:space="preserve">Earthquake - high (CA, Cascadia, New Madrid)</t>
        </is>
      </c>
      <c r="T564" s="36">
        <f>IF($A564="","",IF($S564="","",IFERROR(INDEX('[1]natural catastrophe'!$D$6:$D$17,MATCH($S564,'[1]natural catastrophe'!$B$6:$B$17,0)),"?")))</f>
      </c>
      <c r="U564" s="46" t="inlineStr">
        <is>
          <t xml:space="preserve">$5,000</t>
        </is>
      </c>
      <c r="V564" s="48" t="inlineStr">
        <is>
          <t xml:space="preserve">Agreed Value</t>
        </is>
      </c>
      <c r="W564" s="46" t="inlineStr">
        <is>
          <t xml:space="preserve">$1,000</t>
        </is>
      </c>
      <c r="X564" s="48" t="inlineStr">
        <is>
          <t xml:space="preserve">$1,000,000 CSL</t>
        </is>
      </c>
      <c r="Y564" s="46"/>
      <c r="Z564" s="46"/>
      <c r="AA564" s="48" t="inlineStr">
        <is>
          <t xml:space="preserve">Surplus Lines</t>
        </is>
      </c>
      <c r="AB564" s="50">
        <v>9968.94</v>
      </c>
      <c r="AC564" s="51">
        <v>0</v>
      </c>
      <c r="AD564" s="38">
        <f>IF(ISNUMBER($AB564),$AB564*(1+N($AC564)),"")</f>
      </c>
      <c r="AE564" s="50">
        <v>350</v>
      </c>
      <c r="AF564" s="50">
        <v>0</v>
      </c>
      <c r="AG564" s="51"/>
      <c r="AH564" s="39">
        <f>IF(ISNUMBER($AD564),($AD564+$AE564+$AF564)*$AG564,"")</f>
      </c>
      <c r="AI564" s="50"/>
      <c r="AJ564" s="38">
        <f>IF(ISNUMBER($AD564),SUM($AD564:$AH564),"")</f>
      </c>
      <c r="AK564" s="40">
        <f>IF(AND(ISNUMBER($AB564),ISNUMBER($AD564)),IF($AB564&gt;0,$AD564/$AB564,""),"")</f>
      </c>
      <c r="AL564" s="48" t="inlineStr">
        <is>
          <t xml:space="preserve">At technical</t>
        </is>
      </c>
      <c r="AM564" s="41">
        <f>IF(ISNUMBER($AD564),Header!$I$3,"")</f>
      </c>
      <c r="AN564" s="39">
        <f>IF(ISNUMBER($AD564),$AO564+$AP564,"")</f>
      </c>
      <c r="AO564" s="39">
        <f>IF(ISNUMBER($AD564),ROUND($AD564*Header!$K$3,2),"")</f>
      </c>
      <c r="AP564" s="39">
        <f>IF(ISNUMBER($AD564),ROUND($AD564*Header!$M$3,2),"")</f>
      </c>
      <c r="AQ564" s="38">
        <f>IF(ISNUMBER($AD564),ROUND($AD564,2)-$AO564-$AP564,"")</f>
      </c>
      <c r="AR564" s="39">
        <f>IF(ISNUMBER($AD564),IF(Header!$D$34="","?",$AD564*Header!$D$34),"")</f>
      </c>
      <c r="AS564" s="39">
        <f>IF(ISNUMBER($AB564),IF(Header!$D$34="","?",$AB564*Header!$D$34),"")</f>
      </c>
      <c r="AT564" s="42">
        <f>IF(AND(ISNUMBER($AB564),$M564&gt;0),$AB564/$M564*100,"")</f>
      </c>
      <c r="AU564" s="42">
        <f>IF(AND(ISNUMBER($AD564),$M564&gt;0),$AD564/$M564*100,"")</f>
      </c>
      <c r="AV564" s="40">
        <f>IF(AND(ISNUMBER($AB564),ISNUMBER($AD564),ABS($AB564)&gt;0),$AD564/$AB564,"")</f>
      </c>
      <c r="AW564" s="39">
        <f>IF(ISNUMBER($AD564),MAX(0,(1-0.55-Header!$O$3)*Header!$Q$3*$AQ564),"")</f>
      </c>
      <c r="AX564" s="43">
        <f>IF($A564="","",IF(TRIM(IF($A564="","Missing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",""))="","PASS","FAIL: "&amp;TRIM(IF($A564="","Missing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f>
      </c>
      <c r="AY564" s="44">
        <f>IF($M564="","",IF(ISNUMBER($M564),IF($M564&gt;=Header!$C$18,"YES — refer","No"),""))</f>
      </c>
      <c r="AZ564" s="44">
        <f>IF($AD564="","",IF(ISNUMBER($AD564),IF($AD564&lt;Header!$C$20,"BELOW MIN PREMIUM","OK"),""))</f>
      </c>
      <c r="BA564" s="48" t="inlineStr">
        <is>
          <t xml:space="preserve">Yes</t>
        </is>
      </c>
      <c r="BB564" s="48" t="inlineStr">
        <is>
          <t xml:space="preserve">Yes</t>
        </is>
      </c>
      <c r="BC564" s="46" t="inlineStr">
        <is>
          <t xml:space="preserve">Synthetic demo data</t>
        </is>
      </c>
      <c r="BE564" s="45">
        <f>IF(OR($A564="",$L564="",$H564=""),"",IF(AND(LEFT($L564,2)="06",$H564&gt;1945),"FAIL - pre-war class, year "&amp;$H564,IF(AND(LEFT($L564,2)="07",OR($H564&lt;1946,$H564&gt;1972)),"FAIL - 1946-72 class, year "&amp;$H564,IF(AND(LEFT($L564,2)="08",OR($H564&lt;1973,$H564&gt;1999)),"FAIL - 1973-99 class, year "&amp;$H564,IF(AND(LEFT($L564,2)="09",OR($H564&lt;2000,$H564&gt;2010)),"FAIL - 2000-10 class, year "&amp;$H564,"OK")))))</f>
      </c>
      <c r="BF564" s="45">
        <f>IF($AD564="","",IF(ROUND($AO564+$AP564+$AQ564-$AD564,2)=0,"OK","FAIL - out by "&amp;TEXT($AO564+$AP564+$AQ564-$AD564,"$0.00")))</f>
      </c>
    </row>
    <row r="565" spans="1:58" ht="18.75" customHeight="1" x14ac:dyDescent="0.25">
      <c r="A565" s="30" t="inlineStr">
        <is>
          <t xml:space="preserve">CANON-202604-007344</t>
        </is>
      </c>
      <c r="B565" s="30" t="inlineStr">
        <is>
          <t xml:space="preserve">Lorenzo Thistlewood</t>
        </is>
      </c>
      <c r="C565" s="31">
        <v>46141</v>
      </c>
      <c r="D565" s="32" t="inlineStr">
        <is>
          <t xml:space="preserve">Bound - within authority</t>
        </is>
      </c>
      <c r="E565" s="32" t="inlineStr">
        <is>
          <t xml:space="preserve">New business</t>
        </is>
      </c>
      <c r="F565" s="30" t="inlineStr">
        <is>
          <t xml:space="preserve">B1234EXOTIC26</t>
        </is>
      </c>
      <c r="G565" s="33">
        <f>IF($A565="","",IF($C565="","",YEAR($C565)))</f>
      </c>
      <c r="H565" s="34">
        <v>1992</v>
      </c>
      <c r="I565" s="30" t="inlineStr">
        <is>
          <t xml:space="preserve">Bentley</t>
        </is>
      </c>
      <c r="J565" s="30" t="inlineStr">
        <is>
          <t xml:space="preserve">Continental GT</t>
        </is>
      </c>
      <c r="K565" s="30" t="inlineStr">
        <is>
          <t xml:space="preserve">TD6PUNTT0NAG28VDX</t>
        </is>
      </c>
      <c r="L565" s="32" t="inlineStr">
        <is>
          <t xml:space="preserve">02 - Sports / GT</t>
        </is>
      </c>
      <c r="M565" s="35">
        <v>445000</v>
      </c>
      <c r="N565" s="32" t="inlineStr">
        <is>
          <t xml:space="preserve">Personal</t>
        </is>
      </c>
      <c r="O565" s="30" t="inlineStr">
        <is>
          <t xml:space="preserve">Personal - regular use</t>
        </is>
      </c>
      <c r="P565" s="30" t="inlineStr">
        <is>
          <t xml:space="preserve">1,000 - 2,500</t>
        </is>
      </c>
      <c r="Q565" s="30" t="inlineStr">
        <is>
          <t xml:space="preserve">West Virginia</t>
        </is>
      </c>
      <c r="R565" s="30" t="inlineStr">
        <is>
          <t xml:space="preserve">25301</t>
        </is>
      </c>
      <c r="S565" s="32" t="inlineStr">
        <is>
          <t xml:space="preserve">Low hazard - inland benign</t>
        </is>
      </c>
      <c r="T565" s="36">
        <f>IF($A565="","",IF($S565="","",IFERROR(INDEX('[1]natural catastrophe'!$D$6:$D$17,MATCH($S565,'[1]natural catastrophe'!$B$6:$B$17,0)),"?")))</f>
      </c>
      <c r="U565" s="30" t="inlineStr">
        <is>
          <t xml:space="preserve">$5,000</t>
        </is>
      </c>
      <c r="V565" s="32" t="inlineStr">
        <is>
          <t xml:space="preserve">Agreed Value</t>
        </is>
      </c>
      <c r="W565" s="30" t="inlineStr">
        <is>
          <t xml:space="preserve">$1,000</t>
        </is>
      </c>
      <c r="X565" s="32" t="inlineStr">
        <is>
          <t xml:space="preserve">$1,000,000 CSL</t>
        </is>
      </c>
      <c r="Y565" s="30"/>
      <c r="Z565" s="30"/>
      <c r="AA565" s="32" t="inlineStr">
        <is>
          <t xml:space="preserve">Surplus Lines</t>
        </is>
      </c>
      <c r="AB565" s="35">
        <v>6955.64</v>
      </c>
      <c r="AC565" s="37">
        <v>0</v>
      </c>
      <c r="AD565" s="38">
        <f>IF(ISNUMBER($AB565),$AB565*(1+N($AC565)),"")</f>
      </c>
      <c r="AE565" s="35">
        <v>350</v>
      </c>
      <c r="AF565" s="35">
        <v>0</v>
      </c>
      <c r="AG565" s="37"/>
      <c r="AH565" s="39">
        <f>IF(ISNUMBER($AD565),($AD565+$AE565+$AF565)*$AG565,"")</f>
      </c>
      <c r="AI565" s="35"/>
      <c r="AJ565" s="38">
        <f>IF(ISNUMBER($AD565),SUM($AD565:$AH565),"")</f>
      </c>
      <c r="AK565" s="40">
        <f>IF(AND(ISNUMBER($AB565),ISNUMBER($AD565)),IF($AB565&gt;0,$AD565/$AB565,""),"")</f>
      </c>
      <c r="AL565" s="32" t="inlineStr">
        <is>
          <t xml:space="preserve">At technical</t>
        </is>
      </c>
      <c r="AM565" s="41">
        <f>IF(ISNUMBER($AD565),Header!$I$3,"")</f>
      </c>
      <c r="AN565" s="39">
        <f>IF(ISNUMBER($AD565),$AO565+$AP565,"")</f>
      </c>
      <c r="AO565" s="39">
        <f>IF(ISNUMBER($AD565),ROUND($AD565*Header!$K$3,2),"")</f>
      </c>
      <c r="AP565" s="39">
        <f>IF(ISNUMBER($AD565),ROUND($AD565*Header!$M$3,2),"")</f>
      </c>
      <c r="AQ565" s="38">
        <f>IF(ISNUMBER($AD565),ROUND($AD565,2)-$AO565-$AP565,"")</f>
      </c>
      <c r="AR565" s="39">
        <f>IF(ISNUMBER($AD565),IF(Header!$D$34="","?",$AD565*Header!$D$34),"")</f>
      </c>
      <c r="AS565" s="39">
        <f>IF(ISNUMBER($AB565),IF(Header!$D$34="","?",$AB565*Header!$D$34),"")</f>
      </c>
      <c r="AT565" s="42">
        <f>IF(AND(ISNUMBER($AB565),$M565&gt;0),$AB565/$M565*100,"")</f>
      </c>
      <c r="AU565" s="42">
        <f>IF(AND(ISNUMBER($AD565),$M565&gt;0),$AD565/$M565*100,"")</f>
      </c>
      <c r="AV565" s="40">
        <f>IF(AND(ISNUMBER($AB565),ISNUMBER($AD565),ABS($AB565)&gt;0),$AD565/$AB565,"")</f>
      </c>
      <c r="AW565" s="39">
        <f>IF(ISNUMBER($AD565),MAX(0,(1-0.55-Header!$O$3)*Header!$Q$3*$AQ565),"")</f>
      </c>
      <c r="AX565" s="43">
        <f>IF($A565="","",IF(TRIM(IF($A565="","Missing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",""))="","PASS","FAIL: "&amp;TRIM(IF($A565="","Missing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f>
      </c>
      <c r="AY565" s="44">
        <f>IF($M565="","",IF(ISNUMBER($M565),IF($M565&gt;=Header!$C$18,"YES — refer","No"),""))</f>
      </c>
      <c r="AZ565" s="44">
        <f>IF($AD565="","",IF(ISNUMBER($AD565),IF($AD565&lt;Header!$C$20,"BELOW MIN PREMIUM","OK"),""))</f>
      </c>
      <c r="BA565" s="32" t="inlineStr">
        <is>
          <t xml:space="preserve">Yes</t>
        </is>
      </c>
      <c r="BB565" s="32" t="inlineStr">
        <is>
          <t xml:space="preserve">Yes</t>
        </is>
      </c>
      <c r="BC565" s="30" t="inlineStr">
        <is>
          <t xml:space="preserve">Synthetic demo data</t>
        </is>
      </c>
      <c r="BE565" s="45">
        <f>IF(OR($A565="",$L565="",$H565=""),"",IF(AND(LEFT($L565,2)="06",$H565&gt;1945),"FAIL - pre-war class, year "&amp;$H565,IF(AND(LEFT($L565,2)="07",OR($H565&lt;1946,$H565&gt;1972)),"FAIL - 1946-72 class, year "&amp;$H565,IF(AND(LEFT($L565,2)="08",OR($H565&lt;1973,$H565&gt;1999)),"FAIL - 1973-99 class, year "&amp;$H565,IF(AND(LEFT($L565,2)="09",OR($H565&lt;2000,$H565&gt;2010)),"FAIL - 2000-10 class, year "&amp;$H565,"OK")))))</f>
      </c>
      <c r="BF565" s="45">
        <f>IF($AD565="","",IF(ROUND($AO565+$AP565+$AQ565-$AD565,2)=0,"OK","FAIL - out by "&amp;TEXT($AO565+$AP565+$AQ565-$AD565,"$0.00")))</f>
      </c>
    </row>
    <row r="566" spans="1:58" ht="18.75" customHeight="1" x14ac:dyDescent="0.25">
      <c r="A566" s="46" t="inlineStr">
        <is>
          <t xml:space="preserve">CANON-202604-007345</t>
        </is>
      </c>
      <c r="B566" s="46" t="inlineStr">
        <is>
          <t xml:space="preserve">Marisol Delacroix</t>
        </is>
      </c>
      <c r="C566" s="47">
        <v>46129</v>
      </c>
      <c r="D566" s="48" t="inlineStr">
        <is>
          <t xml:space="preserve">Bound - within authority</t>
        </is>
      </c>
      <c r="E566" s="48" t="inlineStr">
        <is>
          <t xml:space="preserve">New business</t>
        </is>
      </c>
      <c r="F566" s="46" t="inlineStr">
        <is>
          <t xml:space="preserve">B1234EXOTIC26</t>
        </is>
      </c>
      <c r="G566" s="33">
        <f>IF($A566="","",IF($C566="","",YEAR($C566)))</f>
      </c>
      <c r="H566" s="49">
        <v>2003</v>
      </c>
      <c r="I566" s="46" t="inlineStr">
        <is>
          <t xml:space="preserve">Bentley</t>
        </is>
      </c>
      <c r="J566" s="46" t="inlineStr">
        <is>
          <t xml:space="preserve">4.5 Litre</t>
        </is>
      </c>
      <c r="K566" s="46" t="inlineStr">
        <is>
          <t xml:space="preserve">FD8DWC2YV7UWWXCL1</t>
        </is>
      </c>
      <c r="L566" s="48" t="inlineStr">
        <is>
          <t xml:space="preserve">09 - Youngtimer / Collectible (2000-2010)</t>
        </is>
      </c>
      <c r="M566" s="50">
        <v>1425000</v>
      </c>
      <c r="N566" s="48" t="inlineStr">
        <is>
          <t xml:space="preserve">Personal</t>
        </is>
      </c>
      <c r="O566" s="46" t="inlineStr">
        <is>
          <t xml:space="preserve">Personal - regular use</t>
        </is>
      </c>
      <c r="P566" s="46" t="inlineStr">
        <is>
          <t xml:space="preserve">Under 1,000</t>
        </is>
      </c>
      <c r="Q566" s="46" t="inlineStr">
        <is>
          <t xml:space="preserve">North Dakota</t>
        </is>
      </c>
      <c r="R566" s="46" t="inlineStr">
        <is>
          <t xml:space="preserve">58501</t>
        </is>
      </c>
      <c r="S566" s="48" t="inlineStr">
        <is>
          <t xml:space="preserve">Severe convective - hail alley (high)</t>
        </is>
      </c>
      <c r="T566" s="36">
        <f>IF($A566="","",IF($S566="","",IFERROR(INDEX('[1]natural catastrophe'!$D$6:$D$17,MATCH($S566,'[1]natural catastrophe'!$B$6:$B$17,0)),"?")))</f>
      </c>
      <c r="U566" s="46" t="inlineStr">
        <is>
          <t xml:space="preserve">$5,000</t>
        </is>
      </c>
      <c r="V566" s="48" t="inlineStr">
        <is>
          <t xml:space="preserve">Agreed Value</t>
        </is>
      </c>
      <c r="W566" s="46" t="inlineStr">
        <is>
          <t xml:space="preserve">$1,000</t>
        </is>
      </c>
      <c r="X566" s="48" t="inlineStr">
        <is>
          <t xml:space="preserve">$1,000,000 CSL</t>
        </is>
      </c>
      <c r="Y566" s="46"/>
      <c r="Z566" s="46"/>
      <c r="AA566" s="48" t="inlineStr">
        <is>
          <t xml:space="preserve">Surplus Lines</t>
        </is>
      </c>
      <c r="AB566" s="50">
        <v>7743.86</v>
      </c>
      <c r="AC566" s="51">
        <v>0</v>
      </c>
      <c r="AD566" s="38">
        <f>IF(ISNUMBER($AB566),$AB566*(1+N($AC566)),"")</f>
      </c>
      <c r="AE566" s="50">
        <v>350</v>
      </c>
      <c r="AF566" s="50">
        <v>250</v>
      </c>
      <c r="AG566" s="51"/>
      <c r="AH566" s="39">
        <f>IF(ISNUMBER($AD566),($AD566+$AE566+$AF566)*$AG566,"")</f>
      </c>
      <c r="AI566" s="50"/>
      <c r="AJ566" s="38">
        <f>IF(ISNUMBER($AD566),SUM($AD566:$AH566),"")</f>
      </c>
      <c r="AK566" s="40">
        <f>IF(AND(ISNUMBER($AB566),ISNUMBER($AD566)),IF($AB566&gt;0,$AD566/$AB566,""),"")</f>
      </c>
      <c r="AL566" s="48" t="inlineStr">
        <is>
          <t xml:space="preserve">At technical</t>
        </is>
      </c>
      <c r="AM566" s="41">
        <f>IF(ISNUMBER($AD566),Header!$I$3,"")</f>
      </c>
      <c r="AN566" s="39">
        <f>IF(ISNUMBER($AD566),$AO566+$AP566,"")</f>
      </c>
      <c r="AO566" s="39">
        <f>IF(ISNUMBER($AD566),ROUND($AD566*Header!$K$3,2),"")</f>
      </c>
      <c r="AP566" s="39">
        <f>IF(ISNUMBER($AD566),ROUND($AD566*Header!$M$3,2),"")</f>
      </c>
      <c r="AQ566" s="38">
        <f>IF(ISNUMBER($AD566),ROUND($AD566,2)-$AO566-$AP566,"")</f>
      </c>
      <c r="AR566" s="39">
        <f>IF(ISNUMBER($AD566),IF(Header!$D$34="","?",$AD566*Header!$D$34),"")</f>
      </c>
      <c r="AS566" s="39">
        <f>IF(ISNUMBER($AB566),IF(Header!$D$34="","?",$AB566*Header!$D$34),"")</f>
      </c>
      <c r="AT566" s="42">
        <f>IF(AND(ISNUMBER($AB566),$M566&gt;0),$AB566/$M566*100,"")</f>
      </c>
      <c r="AU566" s="42">
        <f>IF(AND(ISNUMBER($AD566),$M566&gt;0),$AD566/$M566*100,"")</f>
      </c>
      <c r="AV566" s="40">
        <f>IF(AND(ISNUMBER($AB566),ISNUMBER($AD566),ABS($AB566)&gt;0),$AD566/$AB566,"")</f>
      </c>
      <c r="AW566" s="39">
        <f>IF(ISNUMBER($AD566),MAX(0,(1-0.55-Header!$O$3)*Header!$Q$3*$AQ566),"")</f>
      </c>
      <c r="AX566" s="43">
        <f>IF($A566="","",IF(TRIM(IF($A566="","Missing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",""))="","PASS","FAIL: "&amp;TRIM(IF($A566="","Missing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f>
      </c>
      <c r="AY566" s="44">
        <f>IF($M566="","",IF(ISNUMBER($M566),IF($M566&gt;=Header!$C$18,"YES — refer","No"),""))</f>
      </c>
      <c r="AZ566" s="44">
        <f>IF($AD566="","",IF(ISNUMBER($AD566),IF($AD566&lt;Header!$C$20,"BELOW MIN PREMIUM","OK"),""))</f>
      </c>
      <c r="BA566" s="48" t="inlineStr">
        <is>
          <t xml:space="preserve">Yes</t>
        </is>
      </c>
      <c r="BB566" s="48" t="inlineStr">
        <is>
          <t xml:space="preserve">Yes</t>
        </is>
      </c>
      <c r="BC566" s="46" t="inlineStr">
        <is>
          <t xml:space="preserve">Synthetic demo data</t>
        </is>
      </c>
      <c r="BE566" s="45">
        <f>IF(OR($A566="",$L566="",$H566=""),"",IF(AND(LEFT($L566,2)="06",$H566&gt;1945),"FAIL - pre-war class, year "&amp;$H566,IF(AND(LEFT($L566,2)="07",OR($H566&lt;1946,$H566&gt;1972)),"FAIL - 1946-72 class, year "&amp;$H566,IF(AND(LEFT($L566,2)="08",OR($H566&lt;1973,$H566&gt;1999)),"FAIL - 1973-99 class, year "&amp;$H566,IF(AND(LEFT($L566,2)="09",OR($H566&lt;2000,$H566&gt;2010)),"FAIL - 2000-10 class, year "&amp;$H566,"OK")))))</f>
      </c>
      <c r="BF566" s="45">
        <f>IF($AD566="","",IF(ROUND($AO566+$AP566+$AQ566-$AD566,2)=0,"OK","FAIL - out by "&amp;TEXT($AO566+$AP566+$AQ566-$AD566,"$0.00")))</f>
      </c>
    </row>
    <row r="567" spans="1:58" ht="18.75" customHeight="1" x14ac:dyDescent="0.25">
      <c r="A567" s="30" t="inlineStr">
        <is>
          <t xml:space="preserve">CANON-202604-007347</t>
        </is>
      </c>
      <c r="B567" s="30" t="inlineStr">
        <is>
          <t xml:space="preserve">Fenwick Kingsford</t>
        </is>
      </c>
      <c r="C567" s="31">
        <v>46137</v>
      </c>
      <c r="D567" s="32" t="inlineStr">
        <is>
          <t xml:space="preserve">Bound - within authority</t>
        </is>
      </c>
      <c r="E567" s="32" t="inlineStr">
        <is>
          <t xml:space="preserve">New business</t>
        </is>
      </c>
      <c r="F567" s="30" t="inlineStr">
        <is>
          <t xml:space="preserve">B1234EXOTIC26</t>
        </is>
      </c>
      <c r="G567" s="33">
        <f>IF($A567="","",IF($C567="","",YEAR($C567)))</f>
      </c>
      <c r="H567" s="34">
        <v>2018</v>
      </c>
      <c r="I567" s="30" t="inlineStr">
        <is>
          <t xml:space="preserve">Ferrari</t>
        </is>
      </c>
      <c r="J567" s="30" t="inlineStr">
        <is>
          <t xml:space="preserve">296 GTB</t>
        </is>
      </c>
      <c r="K567" s="30" t="inlineStr">
        <is>
          <t xml:space="preserve">J2GYV5410Z1X2U4LB</t>
        </is>
      </c>
      <c r="L567" s="32" t="inlineStr">
        <is>
          <t xml:space="preserve">03 - Supercar</t>
        </is>
      </c>
      <c r="M567" s="35">
        <v>180000</v>
      </c>
      <c r="N567" s="32" t="inlineStr">
        <is>
          <t xml:space="preserve">Personal</t>
        </is>
      </c>
      <c r="O567" s="30" t="inlineStr">
        <is>
          <t xml:space="preserve">Personal - regular use</t>
        </is>
      </c>
      <c r="P567" s="30" t="inlineStr">
        <is>
          <t xml:space="preserve">1,000 - 2,500</t>
        </is>
      </c>
      <c r="Q567" s="30" t="inlineStr">
        <is>
          <t xml:space="preserve">New Hampshire</t>
        </is>
      </c>
      <c r="R567" s="30" t="inlineStr">
        <is>
          <t xml:space="preserve">03301</t>
        </is>
      </c>
      <c r="S567" s="32" t="inlineStr">
        <is>
          <t xml:space="preserve">Tier 3 - Coastal wind (25-100 miles)</t>
        </is>
      </c>
      <c r="T567" s="36">
        <f>IF($A567="","",IF($S567="","",IFERROR(INDEX('[1]natural catastrophe'!$D$6:$D$17,MATCH($S567,'[1]natural catastrophe'!$B$6:$B$17,0)),"?")))</f>
      </c>
      <c r="U567" s="30" t="inlineStr">
        <is>
          <t xml:space="preserve">2% of agreed value, minimum $10,000</t>
        </is>
      </c>
      <c r="V567" s="32" t="inlineStr">
        <is>
          <t xml:space="preserve">Agreed Value</t>
        </is>
      </c>
      <c r="W567" s="30" t="inlineStr">
        <is>
          <t xml:space="preserve">$1,000</t>
        </is>
      </c>
      <c r="X567" s="32" t="inlineStr">
        <is>
          <t xml:space="preserve">$1,000,000 CSL</t>
        </is>
      </c>
      <c r="Y567" s="30"/>
      <c r="Z567" s="30"/>
      <c r="AA567" s="32" t="inlineStr">
        <is>
          <t xml:space="preserve">Surplus Lines</t>
        </is>
      </c>
      <c r="AB567" s="35">
        <v>4165.41</v>
      </c>
      <c r="AC567" s="37">
        <v>0</v>
      </c>
      <c r="AD567" s="38">
        <f>IF(ISNUMBER($AB567),$AB567*(1+N($AC567)),"")</f>
      </c>
      <c r="AE567" s="35">
        <v>350</v>
      </c>
      <c r="AF567" s="35">
        <v>0</v>
      </c>
      <c r="AG567" s="37"/>
      <c r="AH567" s="39">
        <f>IF(ISNUMBER($AD567),($AD567+$AE567+$AF567)*$AG567,"")</f>
      </c>
      <c r="AI567" s="35"/>
      <c r="AJ567" s="38">
        <f>IF(ISNUMBER($AD567),SUM($AD567:$AH567),"")</f>
      </c>
      <c r="AK567" s="40">
        <f>IF(AND(ISNUMBER($AB567),ISNUMBER($AD567)),IF($AB567&gt;0,$AD567/$AB567,""),"")</f>
      </c>
      <c r="AL567" s="32" t="inlineStr">
        <is>
          <t xml:space="preserve">At technical</t>
        </is>
      </c>
      <c r="AM567" s="41">
        <f>IF(ISNUMBER($AD567),Header!$I$3,"")</f>
      </c>
      <c r="AN567" s="39">
        <f>IF(ISNUMBER($AD567),$AO567+$AP567,"")</f>
      </c>
      <c r="AO567" s="39">
        <f>IF(ISNUMBER($AD567),ROUND($AD567*Header!$K$3,2),"")</f>
      </c>
      <c r="AP567" s="39">
        <f>IF(ISNUMBER($AD567),ROUND($AD567*Header!$M$3,2),"")</f>
      </c>
      <c r="AQ567" s="38">
        <f>IF(ISNUMBER($AD567),ROUND($AD567,2)-$AO567-$AP567,"")</f>
      </c>
      <c r="AR567" s="39">
        <f>IF(ISNUMBER($AD567),IF(Header!$D$34="","?",$AD567*Header!$D$34),"")</f>
      </c>
      <c r="AS567" s="39">
        <f>IF(ISNUMBER($AB567),IF(Header!$D$34="","?",$AB567*Header!$D$34),"")</f>
      </c>
      <c r="AT567" s="42">
        <f>IF(AND(ISNUMBER($AB567),$M567&gt;0),$AB567/$M567*100,"")</f>
      </c>
      <c r="AU567" s="42">
        <f>IF(AND(ISNUMBER($AD567),$M567&gt;0),$AD567/$M567*100,"")</f>
      </c>
      <c r="AV567" s="40">
        <f>IF(AND(ISNUMBER($AB567),ISNUMBER($AD567),ABS($AB567)&gt;0),$AD567/$AB567,"")</f>
      </c>
      <c r="AW567" s="39">
        <f>IF(ISNUMBER($AD567),MAX(0,(1-0.55-Header!$O$3)*Header!$Q$3*$AQ567),"")</f>
      </c>
      <c r="AX567" s="43">
        <f>IF($A567="","",IF(TRIM(IF($A567="","Missing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",""))="","PASS","FAIL: "&amp;TRIM(IF($A567="","Missing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f>
      </c>
      <c r="AY567" s="44">
        <f>IF($M567="","",IF(ISNUMBER($M567),IF($M567&gt;=Header!$C$18,"YES — refer","No"),""))</f>
      </c>
      <c r="AZ567" s="44">
        <f>IF($AD567="","",IF(ISNUMBER($AD567),IF($AD567&lt;Header!$C$20,"BELOW MIN PREMIUM","OK"),""))</f>
      </c>
      <c r="BA567" s="32" t="inlineStr">
        <is>
          <t xml:space="preserve">Yes</t>
        </is>
      </c>
      <c r="BB567" s="32" t="inlineStr">
        <is>
          <t xml:space="preserve">Yes</t>
        </is>
      </c>
      <c r="BC567" s="30" t="inlineStr">
        <is>
          <t xml:space="preserve">Synthetic demo data</t>
        </is>
      </c>
      <c r="BE567" s="45">
        <f>IF(OR($A567="",$L567="",$H567=""),"",IF(AND(LEFT($L567,2)="06",$H567&gt;1945),"FAIL - pre-war class, year "&amp;$H567,IF(AND(LEFT($L567,2)="07",OR($H567&lt;1946,$H567&gt;1972)),"FAIL - 1946-72 class, year "&amp;$H567,IF(AND(LEFT($L567,2)="08",OR($H567&lt;1973,$H567&gt;1999)),"FAIL - 1973-99 class, year "&amp;$H567,IF(AND(LEFT($L567,2)="09",OR($H567&lt;2000,$H567&gt;2010)),"FAIL - 2000-10 class, year "&amp;$H567,"OK")))))</f>
      </c>
      <c r="BF567" s="45">
        <f>IF($AD567="","",IF(ROUND($AO567+$AP567+$AQ567-$AD567,2)=0,"OK","FAIL - out by "&amp;TEXT($AO567+$AP567+$AQ567-$AD567,"$0.00")))</f>
      </c>
    </row>
    <row r="568" spans="1:58" ht="18.75" customHeight="1" x14ac:dyDescent="0.25">
      <c r="A568" s="46" t="inlineStr">
        <is>
          <t xml:space="preserve">CANON-202604-007348</t>
        </is>
      </c>
      <c r="B568" s="46" t="inlineStr">
        <is>
          <t xml:space="preserve">Emiliano Montoya</t>
        </is>
      </c>
      <c r="C568" s="47">
        <v>46127</v>
      </c>
      <c r="D568" s="48" t="inlineStr">
        <is>
          <t xml:space="preserve">Bound - within authority</t>
        </is>
      </c>
      <c r="E568" s="48" t="inlineStr">
        <is>
          <t xml:space="preserve">New business</t>
        </is>
      </c>
      <c r="F568" s="46" t="inlineStr">
        <is>
          <t xml:space="preserve">B1234EXOTIC26</t>
        </is>
      </c>
      <c r="G568" s="33">
        <f>IF($A568="","",IF($C568="","",YEAR($C568)))</f>
      </c>
      <c r="H568" s="49">
        <v>2020</v>
      </c>
      <c r="I568" s="46" t="inlineStr">
        <is>
          <t xml:space="preserve">Mercedes-Benz</t>
        </is>
      </c>
      <c r="J568" s="46" t="inlineStr">
        <is>
          <t xml:space="preserve">280SL Pagoda</t>
        </is>
      </c>
      <c r="K568" s="46" t="inlineStr">
        <is>
          <t xml:space="preserve">28HGVWUL5AN331PW2</t>
        </is>
      </c>
      <c r="L568" s="48" t="inlineStr">
        <is>
          <t xml:space="preserve">02 - Sports / GT</t>
        </is>
      </c>
      <c r="M568" s="50">
        <v>170000</v>
      </c>
      <c r="N568" s="48" t="inlineStr">
        <is>
          <t xml:space="preserve">Personal</t>
        </is>
      </c>
      <c r="O568" s="46" t="inlineStr">
        <is>
          <t xml:space="preserve">Personal - regular use</t>
        </is>
      </c>
      <c r="P568" s="46" t="inlineStr">
        <is>
          <t xml:space="preserve">Under 1,000</t>
        </is>
      </c>
      <c r="Q568" s="46" t="inlineStr">
        <is>
          <t xml:space="preserve">Louisiana</t>
        </is>
      </c>
      <c r="R568" s="46" t="inlineStr">
        <is>
          <t xml:space="preserve">70112</t>
        </is>
      </c>
      <c r="S568" s="48" t="inlineStr">
        <is>
          <t xml:space="preserve">Tier 2 - Coastal wind (1-25 miles)</t>
        </is>
      </c>
      <c r="T568" s="36">
        <f>IF($A568="","",IF($S568="","",IFERROR(INDEX('[1]natural catastrophe'!$D$6:$D$17,MATCH($S568,'[1]natural catastrophe'!$B$6:$B$17,0)),"?")))</f>
      </c>
      <c r="U568" s="46" t="inlineStr">
        <is>
          <t xml:space="preserve">2% of agreed value, minimum $10,000</t>
        </is>
      </c>
      <c r="V568" s="48" t="inlineStr">
        <is>
          <t xml:space="preserve">Agreed Value</t>
        </is>
      </c>
      <c r="W568" s="46" t="inlineStr">
        <is>
          <t xml:space="preserve">$1,000</t>
        </is>
      </c>
      <c r="X568" s="48" t="inlineStr">
        <is>
          <t xml:space="preserve">$1,000,000 CSL</t>
        </is>
      </c>
      <c r="Y568" s="46"/>
      <c r="Z568" s="46"/>
      <c r="AA568" s="48" t="inlineStr">
        <is>
          <t xml:space="preserve">Surplus Lines</t>
        </is>
      </c>
      <c r="AB568" s="50">
        <v>1837.27</v>
      </c>
      <c r="AC568" s="51">
        <v>0</v>
      </c>
      <c r="AD568" s="38">
        <f>IF(ISNUMBER($AB568),$AB568*(1+N($AC568)),"")</f>
      </c>
      <c r="AE568" s="50">
        <v>350</v>
      </c>
      <c r="AF568" s="50">
        <v>0</v>
      </c>
      <c r="AG568" s="51"/>
      <c r="AH568" s="39">
        <f>IF(ISNUMBER($AD568),($AD568+$AE568+$AF568)*$AG568,"")</f>
      </c>
      <c r="AI568" s="50"/>
      <c r="AJ568" s="38">
        <f>IF(ISNUMBER($AD568),SUM($AD568:$AH568),"")</f>
      </c>
      <c r="AK568" s="40">
        <f>IF(AND(ISNUMBER($AB568),ISNUMBER($AD568)),IF($AB568&gt;0,$AD568/$AB568,""),"")</f>
      </c>
      <c r="AL568" s="48" t="inlineStr">
        <is>
          <t xml:space="preserve">At technical</t>
        </is>
      </c>
      <c r="AM568" s="41">
        <f>IF(ISNUMBER($AD568),Header!$I$3,"")</f>
      </c>
      <c r="AN568" s="39">
        <f>IF(ISNUMBER($AD568),$AO568+$AP568,"")</f>
      </c>
      <c r="AO568" s="39">
        <f>IF(ISNUMBER($AD568),ROUND($AD568*Header!$K$3,2),"")</f>
      </c>
      <c r="AP568" s="39">
        <f>IF(ISNUMBER($AD568),ROUND($AD568*Header!$M$3,2),"")</f>
      </c>
      <c r="AQ568" s="38">
        <f>IF(ISNUMBER($AD568),ROUND($AD568,2)-$AO568-$AP568,"")</f>
      </c>
      <c r="AR568" s="39">
        <f>IF(ISNUMBER($AD568),IF(Header!$D$34="","?",$AD568*Header!$D$34),"")</f>
      </c>
      <c r="AS568" s="39">
        <f>IF(ISNUMBER($AB568),IF(Header!$D$34="","?",$AB568*Header!$D$34),"")</f>
      </c>
      <c r="AT568" s="42">
        <f>IF(AND(ISNUMBER($AB568),$M568&gt;0),$AB568/$M568*100,"")</f>
      </c>
      <c r="AU568" s="42">
        <f>IF(AND(ISNUMBER($AD568),$M568&gt;0),$AD568/$M568*100,"")</f>
      </c>
      <c r="AV568" s="40">
        <f>IF(AND(ISNUMBER($AB568),ISNUMBER($AD568),ABS($AB568)&gt;0),$AD568/$AB568,"")</f>
      </c>
      <c r="AW568" s="39">
        <f>IF(ISNUMBER($AD568),MAX(0,(1-0.55-Header!$O$3)*Header!$Q$3*$AQ568),"")</f>
      </c>
      <c r="AX568" s="43">
        <f>IF($A568="","",IF(TRIM(IF($A568="","Missing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",""))="","PASS","FAIL: "&amp;TRIM(IF($A568="","Missing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f>
      </c>
      <c r="AY568" s="44">
        <f>IF($M568="","",IF(ISNUMBER($M568),IF($M568&gt;=Header!$C$18,"YES — refer","No"),""))</f>
      </c>
      <c r="AZ568" s="44">
        <f>IF($AD568="","",IF(ISNUMBER($AD568),IF($AD568&lt;Header!$C$20,"BELOW MIN PREMIUM","OK"),""))</f>
      </c>
      <c r="BA568" s="48" t="inlineStr">
        <is>
          <t xml:space="preserve">Yes</t>
        </is>
      </c>
      <c r="BB568" s="48" t="inlineStr">
        <is>
          <t xml:space="preserve">Yes</t>
        </is>
      </c>
      <c r="BC568" s="46" t="inlineStr">
        <is>
          <t xml:space="preserve">Synthetic demo data</t>
        </is>
      </c>
      <c r="BE568" s="45">
        <f>IF(OR($A568="",$L568="",$H568=""),"",IF(AND(LEFT($L568,2)="06",$H568&gt;1945),"FAIL - pre-war class, year "&amp;$H568,IF(AND(LEFT($L568,2)="07",OR($H568&lt;1946,$H568&gt;1972)),"FAIL - 1946-72 class, year "&amp;$H568,IF(AND(LEFT($L568,2)="08",OR($H568&lt;1973,$H568&gt;1999)),"FAIL - 1973-99 class, year "&amp;$H568,IF(AND(LEFT($L568,2)="09",OR($H568&lt;2000,$H568&gt;2010)),"FAIL - 2000-10 class, year "&amp;$H568,"OK")))))</f>
      </c>
      <c r="BF568" s="45">
        <f>IF($AD568="","",IF(ROUND($AO568+$AP568+$AQ568-$AD568,2)=0,"OK","FAIL - out by "&amp;TEXT($AO568+$AP568+$AQ568-$AD568,"$0.00")))</f>
      </c>
    </row>
    <row r="569" spans="1:58" ht="18.75" customHeight="1" x14ac:dyDescent="0.25">
      <c r="A569" s="30" t="inlineStr">
        <is>
          <t xml:space="preserve">CANON-202604-007355</t>
        </is>
      </c>
      <c r="B569" s="30" t="inlineStr">
        <is>
          <t xml:space="preserve">Emiliano Okonkwo</t>
        </is>
      </c>
      <c r="C569" s="31">
        <v>46115</v>
      </c>
      <c r="D569" s="32" t="inlineStr">
        <is>
          <t xml:space="preserve">Bound - within authority</t>
        </is>
      </c>
      <c r="E569" s="32" t="inlineStr">
        <is>
          <t xml:space="preserve">New business</t>
        </is>
      </c>
      <c r="F569" s="30" t="inlineStr">
        <is>
          <t xml:space="preserve">B1234EXOTIC26</t>
        </is>
      </c>
      <c r="G569" s="33">
        <f>IF($A569="","",IF($C569="","",YEAR($C569)))</f>
      </c>
      <c r="H569" s="34">
        <v>1990</v>
      </c>
      <c r="I569" s="30" t="inlineStr">
        <is>
          <t xml:space="preserve">Aston Martin</t>
        </is>
      </c>
      <c r="J569" s="30" t="inlineStr">
        <is>
          <t xml:space="preserve">DB5</t>
        </is>
      </c>
      <c r="K569" s="30" t="inlineStr">
        <is>
          <t xml:space="preserve">CLSR7G3EKEHB1AS9N</t>
        </is>
      </c>
      <c r="L569" s="32" t="inlineStr">
        <is>
          <t xml:space="preserve">08 - Modern Classic (1973-1999)</t>
        </is>
      </c>
      <c r="M569" s="35">
        <v>1120000</v>
      </c>
      <c r="N569" s="32" t="inlineStr">
        <is>
          <t xml:space="preserve">Personal</t>
        </is>
      </c>
      <c r="O569" s="30" t="inlineStr">
        <is>
          <t xml:space="preserve">Personal - regular use</t>
        </is>
      </c>
      <c r="P569" s="30" t="inlineStr">
        <is>
          <t xml:space="preserve">Under 1,000</t>
        </is>
      </c>
      <c r="Q569" s="30" t="inlineStr">
        <is>
          <t xml:space="preserve">New York</t>
        </is>
      </c>
      <c r="R569" s="30" t="inlineStr">
        <is>
          <t xml:space="preserve">10022</t>
        </is>
      </c>
      <c r="S569" s="32" t="inlineStr">
        <is>
          <t xml:space="preserve">Tier 3 - Coastal wind (25-100 miles)</t>
        </is>
      </c>
      <c r="T569" s="36">
        <f>IF($A569="","",IF($S569="","",IFERROR(INDEX('[1]natural catastrophe'!$D$6:$D$17,MATCH($S569,'[1]natural catastrophe'!$B$6:$B$17,0)),"?")))</f>
      </c>
      <c r="U569" s="30" t="inlineStr">
        <is>
          <t xml:space="preserve">2% of agreed value, minimum $10,000</t>
        </is>
      </c>
      <c r="V569" s="32" t="inlineStr">
        <is>
          <t xml:space="preserve">Agreed Value</t>
        </is>
      </c>
      <c r="W569" s="30" t="inlineStr">
        <is>
          <t xml:space="preserve">$1,000</t>
        </is>
      </c>
      <c r="X569" s="32" t="inlineStr">
        <is>
          <t xml:space="preserve">$1,000,000 CSL</t>
        </is>
      </c>
      <c r="Y569" s="30"/>
      <c r="Z569" s="30"/>
      <c r="AA569" s="32" t="inlineStr">
        <is>
          <t xml:space="preserve">Surplus Lines</t>
        </is>
      </c>
      <c r="AB569" s="35">
        <v>8536.41</v>
      </c>
      <c r="AC569" s="37">
        <v>0</v>
      </c>
      <c r="AD569" s="38">
        <f>IF(ISNUMBER($AB569),$AB569*(1+N($AC569)),"")</f>
      </c>
      <c r="AE569" s="35">
        <v>350</v>
      </c>
      <c r="AF569" s="35">
        <v>250</v>
      </c>
      <c r="AG569" s="37"/>
      <c r="AH569" s="39">
        <f>IF(ISNUMBER($AD569),($AD569+$AE569+$AF569)*$AG569,"")</f>
      </c>
      <c r="AI569" s="35"/>
      <c r="AJ569" s="38">
        <f>IF(ISNUMBER($AD569),SUM($AD569:$AH569),"")</f>
      </c>
      <c r="AK569" s="40">
        <f>IF(AND(ISNUMBER($AB569),ISNUMBER($AD569)),IF($AB569&gt;0,$AD569/$AB569,""),"")</f>
      </c>
      <c r="AL569" s="32" t="inlineStr">
        <is>
          <t xml:space="preserve">At technical</t>
        </is>
      </c>
      <c r="AM569" s="41">
        <f>IF(ISNUMBER($AD569),Header!$I$3,"")</f>
      </c>
      <c r="AN569" s="39">
        <f>IF(ISNUMBER($AD569),$AO569+$AP569,"")</f>
      </c>
      <c r="AO569" s="39">
        <f>IF(ISNUMBER($AD569),ROUND($AD569*Header!$K$3,2),"")</f>
      </c>
      <c r="AP569" s="39">
        <f>IF(ISNUMBER($AD569),ROUND($AD569*Header!$M$3,2),"")</f>
      </c>
      <c r="AQ569" s="38">
        <f>IF(ISNUMBER($AD569),ROUND($AD569,2)-$AO569-$AP569,"")</f>
      </c>
      <c r="AR569" s="39">
        <f>IF(ISNUMBER($AD569),IF(Header!$D$34="","?",$AD569*Header!$D$34),"")</f>
      </c>
      <c r="AS569" s="39">
        <f>IF(ISNUMBER($AB569),IF(Header!$D$34="","?",$AB569*Header!$D$34),"")</f>
      </c>
      <c r="AT569" s="42">
        <f>IF(AND(ISNUMBER($AB569),$M569&gt;0),$AB569/$M569*100,"")</f>
      </c>
      <c r="AU569" s="42">
        <f>IF(AND(ISNUMBER($AD569),$M569&gt;0),$AD569/$M569*100,"")</f>
      </c>
      <c r="AV569" s="40">
        <f>IF(AND(ISNUMBER($AB569),ISNUMBER($AD569),ABS($AB569)&gt;0),$AD569/$AB569,"")</f>
      </c>
      <c r="AW569" s="39">
        <f>IF(ISNUMBER($AD569),MAX(0,(1-0.55-Header!$O$3)*Header!$Q$3*$AQ569),"")</f>
      </c>
      <c r="AX569" s="43">
        <f>IF($A569="","",IF(TRIM(IF($A569="","Missing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",""))="","PASS","FAIL: "&amp;TRIM(IF($A569="","Missing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f>
      </c>
      <c r="AY569" s="44">
        <f>IF($M569="","",IF(ISNUMBER($M569),IF($M569&gt;=Header!$C$18,"YES — refer","No"),""))</f>
      </c>
      <c r="AZ569" s="44">
        <f>IF($AD569="","",IF(ISNUMBER($AD569),IF($AD569&lt;Header!$C$20,"BELOW MIN PREMIUM","OK"),""))</f>
      </c>
      <c r="BA569" s="32" t="inlineStr">
        <is>
          <t xml:space="preserve">Yes</t>
        </is>
      </c>
      <c r="BB569" s="32" t="inlineStr">
        <is>
          <t xml:space="preserve">Yes</t>
        </is>
      </c>
      <c r="BC569" s="30" t="inlineStr">
        <is>
          <t xml:space="preserve">Synthetic demo data</t>
        </is>
      </c>
      <c r="BE569" s="45">
        <f>IF(OR($A569="",$L569="",$H569=""),"",IF(AND(LEFT($L569,2)="06",$H569&gt;1945),"FAIL - pre-war class, year "&amp;$H569,IF(AND(LEFT($L569,2)="07",OR($H569&lt;1946,$H569&gt;1972)),"FAIL - 1946-72 class, year "&amp;$H569,IF(AND(LEFT($L569,2)="08",OR($H569&lt;1973,$H569&gt;1999)),"FAIL - 1973-99 class, year "&amp;$H569,IF(AND(LEFT($L569,2)="09",OR($H569&lt;2000,$H569&gt;2010)),"FAIL - 2000-10 class, year "&amp;$H569,"OK")))))</f>
      </c>
      <c r="BF569" s="45">
        <f>IF($AD569="","",IF(ROUND($AO569+$AP569+$AQ569-$AD569,2)=0,"OK","FAIL - out by "&amp;TEXT($AO569+$AP569+$AQ569-$AD569,"$0.00")))</f>
      </c>
    </row>
    <row r="570" spans="1:58" ht="18.75" customHeight="1" x14ac:dyDescent="0.25">
      <c r="A570" s="46" t="inlineStr">
        <is>
          <t xml:space="preserve">CANON-202604-007356</t>
        </is>
      </c>
      <c r="B570" s="46" t="inlineStr">
        <is>
          <t xml:space="preserve">Anouk Merriweather</t>
        </is>
      </c>
      <c r="C570" s="47">
        <v>46125</v>
      </c>
      <c r="D570" s="48" t="inlineStr">
        <is>
          <t xml:space="preserve">Bound - within authority</t>
        </is>
      </c>
      <c r="E570" s="48" t="inlineStr">
        <is>
          <t xml:space="preserve">New business</t>
        </is>
      </c>
      <c r="F570" s="46" t="inlineStr">
        <is>
          <t xml:space="preserve">B1234EXOTIC26</t>
        </is>
      </c>
      <c r="G570" s="33">
        <f>IF($A570="","",IF($C570="","",YEAR($C570)))</f>
      </c>
      <c r="H570" s="49">
        <v>2008</v>
      </c>
      <c r="I570" s="46" t="inlineStr">
        <is>
          <t xml:space="preserve">Bentley</t>
        </is>
      </c>
      <c r="J570" s="46" t="inlineStr">
        <is>
          <t xml:space="preserve">Continental GT</t>
        </is>
      </c>
      <c r="K570" s="46" t="inlineStr">
        <is>
          <t xml:space="preserve">K2FTWPRA1AGAR09J0</t>
        </is>
      </c>
      <c r="L570" s="48" t="inlineStr">
        <is>
          <t xml:space="preserve">02 - Sports / GT</t>
        </is>
      </c>
      <c r="M570" s="50">
        <v>615000</v>
      </c>
      <c r="N570" s="48" t="inlineStr">
        <is>
          <t xml:space="preserve">Personal</t>
        </is>
      </c>
      <c r="O570" s="46" t="inlineStr">
        <is>
          <t xml:space="preserve">Personal - regular use</t>
        </is>
      </c>
      <c r="P570" s="46" t="inlineStr">
        <is>
          <t xml:space="preserve">1,000 - 2,500</t>
        </is>
      </c>
      <c r="Q570" s="46" t="inlineStr">
        <is>
          <t xml:space="preserve">Oklahoma</t>
        </is>
      </c>
      <c r="R570" s="46" t="inlineStr">
        <is>
          <t xml:space="preserve">73102</t>
        </is>
      </c>
      <c r="S570" s="48" t="inlineStr">
        <is>
          <t xml:space="preserve">Severe convective - hail alley (high)</t>
        </is>
      </c>
      <c r="T570" s="36">
        <f>IF($A570="","",IF($S570="","",IFERROR(INDEX('[1]natural catastrophe'!$D$6:$D$17,MATCH($S570,'[1]natural catastrophe'!$B$6:$B$17,0)),"?")))</f>
      </c>
      <c r="U570" s="46" t="inlineStr">
        <is>
          <t xml:space="preserve">$5,000</t>
        </is>
      </c>
      <c r="V570" s="48" t="inlineStr">
        <is>
          <t xml:space="preserve">Agreed Value</t>
        </is>
      </c>
      <c r="W570" s="46" t="inlineStr">
        <is>
          <t xml:space="preserve">$1,000</t>
        </is>
      </c>
      <c r="X570" s="48" t="inlineStr">
        <is>
          <t xml:space="preserve">$1,000,000 CSL</t>
        </is>
      </c>
      <c r="Y570" s="46"/>
      <c r="Z570" s="46"/>
      <c r="AA570" s="48" t="inlineStr">
        <is>
          <t xml:space="preserve">Surplus Lines</t>
        </is>
      </c>
      <c r="AB570" s="50">
        <v>7892.65</v>
      </c>
      <c r="AC570" s="51">
        <v>0</v>
      </c>
      <c r="AD570" s="38">
        <f>IF(ISNUMBER($AB570),$AB570*(1+N($AC570)),"")</f>
      </c>
      <c r="AE570" s="50">
        <v>350</v>
      </c>
      <c r="AF570" s="50">
        <v>0</v>
      </c>
      <c r="AG570" s="51"/>
      <c r="AH570" s="39">
        <f>IF(ISNUMBER($AD570),($AD570+$AE570+$AF570)*$AG570,"")</f>
      </c>
      <c r="AI570" s="50"/>
      <c r="AJ570" s="38">
        <f>IF(ISNUMBER($AD570),SUM($AD570:$AH570),"")</f>
      </c>
      <c r="AK570" s="40">
        <f>IF(AND(ISNUMBER($AB570),ISNUMBER($AD570)),IF($AB570&gt;0,$AD570/$AB570,""),"")</f>
      </c>
      <c r="AL570" s="48" t="inlineStr">
        <is>
          <t xml:space="preserve">At technical</t>
        </is>
      </c>
      <c r="AM570" s="41">
        <f>IF(ISNUMBER($AD570),Header!$I$3,"")</f>
      </c>
      <c r="AN570" s="39">
        <f>IF(ISNUMBER($AD570),$AO570+$AP570,"")</f>
      </c>
      <c r="AO570" s="39">
        <f>IF(ISNUMBER($AD570),ROUND($AD570*Header!$K$3,2),"")</f>
      </c>
      <c r="AP570" s="39">
        <f>IF(ISNUMBER($AD570),ROUND($AD570*Header!$M$3,2),"")</f>
      </c>
      <c r="AQ570" s="38">
        <f>IF(ISNUMBER($AD570),ROUND($AD570,2)-$AO570-$AP570,"")</f>
      </c>
      <c r="AR570" s="39">
        <f>IF(ISNUMBER($AD570),IF(Header!$D$34="","?",$AD570*Header!$D$34),"")</f>
      </c>
      <c r="AS570" s="39">
        <f>IF(ISNUMBER($AB570),IF(Header!$D$34="","?",$AB570*Header!$D$34),"")</f>
      </c>
      <c r="AT570" s="42">
        <f>IF(AND(ISNUMBER($AB570),$M570&gt;0),$AB570/$M570*100,"")</f>
      </c>
      <c r="AU570" s="42">
        <f>IF(AND(ISNUMBER($AD570),$M570&gt;0),$AD570/$M570*100,"")</f>
      </c>
      <c r="AV570" s="40">
        <f>IF(AND(ISNUMBER($AB570),ISNUMBER($AD570),ABS($AB570)&gt;0),$AD570/$AB570,"")</f>
      </c>
      <c r="AW570" s="39">
        <f>IF(ISNUMBER($AD570),MAX(0,(1-0.55-Header!$O$3)*Header!$Q$3*$AQ570),"")</f>
      </c>
      <c r="AX570" s="43">
        <f>IF($A570="","",IF(TRIM(IF($A570="","Missing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",""))="","PASS","FAIL: "&amp;TRIM(IF($A570="","Missing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f>
      </c>
      <c r="AY570" s="44">
        <f>IF($M570="","",IF(ISNUMBER($M570),IF($M570&gt;=Header!$C$18,"YES — refer","No"),""))</f>
      </c>
      <c r="AZ570" s="44">
        <f>IF($AD570="","",IF(ISNUMBER($AD570),IF($AD570&lt;Header!$C$20,"BELOW MIN PREMIUM","OK"),""))</f>
      </c>
      <c r="BA570" s="48" t="inlineStr">
        <is>
          <t xml:space="preserve">Yes</t>
        </is>
      </c>
      <c r="BB570" s="48" t="inlineStr">
        <is>
          <t xml:space="preserve">Yes</t>
        </is>
      </c>
      <c r="BC570" s="46" t="inlineStr">
        <is>
          <t xml:space="preserve">Synthetic demo data</t>
        </is>
      </c>
      <c r="BE570" s="45">
        <f>IF(OR($A570="",$L570="",$H570=""),"",IF(AND(LEFT($L570,2)="06",$H570&gt;1945),"FAIL - pre-war class, year "&amp;$H570,IF(AND(LEFT($L570,2)="07",OR($H570&lt;1946,$H570&gt;1972)),"FAIL - 1946-72 class, year "&amp;$H570,IF(AND(LEFT($L570,2)="08",OR($H570&lt;1973,$H570&gt;1999)),"FAIL - 1973-99 class, year "&amp;$H570,IF(AND(LEFT($L570,2)="09",OR($H570&lt;2000,$H570&gt;2010)),"FAIL - 2000-10 class, year "&amp;$H570,"OK")))))</f>
      </c>
      <c r="BF570" s="45">
        <f>IF($AD570="","",IF(ROUND($AO570+$AP570+$AQ570-$AD570,2)=0,"OK","FAIL - out by "&amp;TEXT($AO570+$AP570+$AQ570-$AD570,"$0.00")))</f>
      </c>
    </row>
    <row r="571" spans="1:58" ht="18.75" customHeight="1" x14ac:dyDescent="0.25">
      <c r="A571" s="30" t="inlineStr">
        <is>
          <t xml:space="preserve">CANON-202604-007357</t>
        </is>
      </c>
      <c r="B571" s="30" t="inlineStr">
        <is>
          <t xml:space="preserve">Noor Castellanos</t>
        </is>
      </c>
      <c r="C571" s="31">
        <v>46134</v>
      </c>
      <c r="D571" s="32" t="inlineStr">
        <is>
          <t xml:space="preserve">Bound - within authority</t>
        </is>
      </c>
      <c r="E571" s="32" t="inlineStr">
        <is>
          <t xml:space="preserve">New business</t>
        </is>
      </c>
      <c r="F571" s="30" t="inlineStr">
        <is>
          <t xml:space="preserve">B1234EXOTIC26</t>
        </is>
      </c>
      <c r="G571" s="33">
        <f>IF($A571="","",IF($C571="","",YEAR($C571)))</f>
      </c>
      <c r="H571" s="34">
        <v>1974</v>
      </c>
      <c r="I571" s="30" t="inlineStr">
        <is>
          <t xml:space="preserve">Aston Martin</t>
        </is>
      </c>
      <c r="J571" s="30" t="inlineStr">
        <is>
          <t xml:space="preserve">DB12</t>
        </is>
      </c>
      <c r="K571" s="30" t="inlineStr">
        <is>
          <t xml:space="preserve">1J0FY3NJVW1WYCB8W</t>
        </is>
      </c>
      <c r="L571" s="32" t="inlineStr">
        <is>
          <t xml:space="preserve">02 - Sports / GT</t>
        </is>
      </c>
      <c r="M571" s="35">
        <v>410000</v>
      </c>
      <c r="N571" s="32" t="inlineStr">
        <is>
          <t xml:space="preserve">Personal</t>
        </is>
      </c>
      <c r="O571" s="30" t="inlineStr">
        <is>
          <t xml:space="preserve">Personal - regular use</t>
        </is>
      </c>
      <c r="P571" s="30" t="inlineStr">
        <is>
          <t xml:space="preserve">2,500 - 5,000</t>
        </is>
      </c>
      <c r="Q571" s="30" t="inlineStr">
        <is>
          <t xml:space="preserve">New York</t>
        </is>
      </c>
      <c r="R571" s="30" t="inlineStr">
        <is>
          <t xml:space="preserve">10022</t>
        </is>
      </c>
      <c r="S571" s="32" t="inlineStr">
        <is>
          <t xml:space="preserve">Tier 3 - Coastal wind (25-100 miles)</t>
        </is>
      </c>
      <c r="T571" s="36">
        <f>IF($A571="","",IF($S571="","",IFERROR(INDEX('[1]natural catastrophe'!$D$6:$D$17,MATCH($S571,'[1]natural catastrophe'!$B$6:$B$17,0)),"?")))</f>
      </c>
      <c r="U571" s="30" t="inlineStr">
        <is>
          <t xml:space="preserve">2% of agreed value, minimum $10,000</t>
        </is>
      </c>
      <c r="V571" s="32" t="inlineStr">
        <is>
          <t xml:space="preserve">Agreed Value</t>
        </is>
      </c>
      <c r="W571" s="30" t="inlineStr">
        <is>
          <t xml:space="preserve">$1,000</t>
        </is>
      </c>
      <c r="X571" s="32" t="inlineStr">
        <is>
          <t xml:space="preserve">$1,000,000 CSL</t>
        </is>
      </c>
      <c r="Y571" s="30"/>
      <c r="Z571" s="30"/>
      <c r="AA571" s="32" t="inlineStr">
        <is>
          <t xml:space="preserve">Surplus Lines</t>
        </is>
      </c>
      <c r="AB571" s="35">
        <v>6167.64</v>
      </c>
      <c r="AC571" s="37">
        <v>0</v>
      </c>
      <c r="AD571" s="38">
        <f>IF(ISNUMBER($AB571),$AB571*(1+N($AC571)),"")</f>
      </c>
      <c r="AE571" s="35">
        <v>350</v>
      </c>
      <c r="AF571" s="35">
        <v>0</v>
      </c>
      <c r="AG571" s="37"/>
      <c r="AH571" s="39">
        <f>IF(ISNUMBER($AD571),($AD571+$AE571+$AF571)*$AG571,"")</f>
      </c>
      <c r="AI571" s="35"/>
      <c r="AJ571" s="38">
        <f>IF(ISNUMBER($AD571),SUM($AD571:$AH571),"")</f>
      </c>
      <c r="AK571" s="40">
        <f>IF(AND(ISNUMBER($AB571),ISNUMBER($AD571)),IF($AB571&gt;0,$AD571/$AB571,""),"")</f>
      </c>
      <c r="AL571" s="32" t="inlineStr">
        <is>
          <t xml:space="preserve">At technical</t>
        </is>
      </c>
      <c r="AM571" s="41">
        <f>IF(ISNUMBER($AD571),Header!$I$3,"")</f>
      </c>
      <c r="AN571" s="39">
        <f>IF(ISNUMBER($AD571),$AO571+$AP571,"")</f>
      </c>
      <c r="AO571" s="39">
        <f>IF(ISNUMBER($AD571),ROUND($AD571*Header!$K$3,2),"")</f>
      </c>
      <c r="AP571" s="39">
        <f>IF(ISNUMBER($AD571),ROUND($AD571*Header!$M$3,2),"")</f>
      </c>
      <c r="AQ571" s="38">
        <f>IF(ISNUMBER($AD571),ROUND($AD571,2)-$AO571-$AP571,"")</f>
      </c>
      <c r="AR571" s="39">
        <f>IF(ISNUMBER($AD571),IF(Header!$D$34="","?",$AD571*Header!$D$34),"")</f>
      </c>
      <c r="AS571" s="39">
        <f>IF(ISNUMBER($AB571),IF(Header!$D$34="","?",$AB571*Header!$D$34),"")</f>
      </c>
      <c r="AT571" s="42">
        <f>IF(AND(ISNUMBER($AB571),$M571&gt;0),$AB571/$M571*100,"")</f>
      </c>
      <c r="AU571" s="42">
        <f>IF(AND(ISNUMBER($AD571),$M571&gt;0),$AD571/$M571*100,"")</f>
      </c>
      <c r="AV571" s="40">
        <f>IF(AND(ISNUMBER($AB571),ISNUMBER($AD571),ABS($AB571)&gt;0),$AD571/$AB571,"")</f>
      </c>
      <c r="AW571" s="39">
        <f>IF(ISNUMBER($AD571),MAX(0,(1-0.55-Header!$O$3)*Header!$Q$3*$AQ571),"")</f>
      </c>
      <c r="AX571" s="43">
        <f>IF($A571="","",IF(TRIM(IF($A571="","Missing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",""))="","PASS","FAIL: "&amp;TRIM(IF($A571="","Missing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f>
      </c>
      <c r="AY571" s="44">
        <f>IF($M571="","",IF(ISNUMBER($M571),IF($M571&gt;=Header!$C$18,"YES — refer","No"),""))</f>
      </c>
      <c r="AZ571" s="44">
        <f>IF($AD571="","",IF(ISNUMBER($AD571),IF($AD571&lt;Header!$C$20,"BELOW MIN PREMIUM","OK"),""))</f>
      </c>
      <c r="BA571" s="32" t="inlineStr">
        <is>
          <t xml:space="preserve">Yes</t>
        </is>
      </c>
      <c r="BB571" s="32" t="inlineStr">
        <is>
          <t xml:space="preserve">Yes</t>
        </is>
      </c>
      <c r="BC571" s="30" t="inlineStr">
        <is>
          <t xml:space="preserve">Synthetic demo data</t>
        </is>
      </c>
      <c r="BE571" s="45">
        <f>IF(OR($A571="",$L571="",$H571=""),"",IF(AND(LEFT($L571,2)="06",$H571&gt;1945),"FAIL - pre-war class, year "&amp;$H571,IF(AND(LEFT($L571,2)="07",OR($H571&lt;1946,$H571&gt;1972)),"FAIL - 1946-72 class, year "&amp;$H571,IF(AND(LEFT($L571,2)="08",OR($H571&lt;1973,$H571&gt;1999)),"FAIL - 1973-99 class, year "&amp;$H571,IF(AND(LEFT($L571,2)="09",OR($H571&lt;2000,$H571&gt;2010)),"FAIL - 2000-10 class, year "&amp;$H571,"OK")))))</f>
      </c>
      <c r="BF571" s="45">
        <f>IF($AD571="","",IF(ROUND($AO571+$AP571+$AQ571-$AD571,2)=0,"OK","FAIL - out by "&amp;TEXT($AO571+$AP571+$AQ571-$AD571,"$0.00")))</f>
      </c>
    </row>
    <row r="572" spans="1:58" ht="18.75" customHeight="1" x14ac:dyDescent="0.25">
      <c r="A572" s="46" t="inlineStr">
        <is>
          <t xml:space="preserve">CANON-202604-007359</t>
        </is>
      </c>
      <c r="B572" s="46" t="inlineStr">
        <is>
          <t xml:space="preserve">Horace Delacroix</t>
        </is>
      </c>
      <c r="C572" s="47">
        <v>46124</v>
      </c>
      <c r="D572" s="48" t="inlineStr">
        <is>
          <t xml:space="preserve">Bound - within authority</t>
        </is>
      </c>
      <c r="E572" s="48" t="inlineStr">
        <is>
          <t xml:space="preserve">New business</t>
        </is>
      </c>
      <c r="F572" s="46" t="inlineStr">
        <is>
          <t xml:space="preserve">B1234EXOTIC26</t>
        </is>
      </c>
      <c r="G572" s="33">
        <f>IF($A572="","",IF($C572="","",YEAR($C572)))</f>
      </c>
      <c r="H572" s="49">
        <v>1974</v>
      </c>
      <c r="I572" s="46" t="inlineStr">
        <is>
          <t xml:space="preserve">McLaren</t>
        </is>
      </c>
      <c r="J572" s="46" t="inlineStr">
        <is>
          <t xml:space="preserve">750S</t>
        </is>
      </c>
      <c r="K572" s="46" t="inlineStr">
        <is>
          <t xml:space="preserve">BK85CZFDHX6CD3Z3V</t>
        </is>
      </c>
      <c r="L572" s="48" t="inlineStr">
        <is>
          <t xml:space="preserve">03 - Supercar</t>
        </is>
      </c>
      <c r="M572" s="50">
        <v>535000</v>
      </c>
      <c r="N572" s="48" t="inlineStr">
        <is>
          <t xml:space="preserve">Personal</t>
        </is>
      </c>
      <c r="O572" s="46" t="inlineStr">
        <is>
          <t xml:space="preserve">Personal - regular use</t>
        </is>
      </c>
      <c r="P572" s="46" t="inlineStr">
        <is>
          <t xml:space="preserve">1,000 - 2,500</t>
        </is>
      </c>
      <c r="Q572" s="46" t="inlineStr">
        <is>
          <t xml:space="preserve">Texas</t>
        </is>
      </c>
      <c r="R572" s="46" t="inlineStr">
        <is>
          <t xml:space="preserve">75201</t>
        </is>
      </c>
      <c r="S572" s="48" t="inlineStr">
        <is>
          <t xml:space="preserve">Tier 2 - Coastal wind (1-25 miles)</t>
        </is>
      </c>
      <c r="T572" s="36">
        <f>IF($A572="","",IF($S572="","",IFERROR(INDEX('[1]natural catastrophe'!$D$6:$D$17,MATCH($S572,'[1]natural catastrophe'!$B$6:$B$17,0)),"?")))</f>
      </c>
      <c r="U572" s="46" t="inlineStr">
        <is>
          <t xml:space="preserve">2% of agreed value, minimum $10,000</t>
        </is>
      </c>
      <c r="V572" s="48" t="inlineStr">
        <is>
          <t xml:space="preserve">Agreed Value</t>
        </is>
      </c>
      <c r="W572" s="46" t="inlineStr">
        <is>
          <t xml:space="preserve">$1,000</t>
        </is>
      </c>
      <c r="X572" s="48" t="inlineStr">
        <is>
          <t xml:space="preserve">$1,000,000 CSL</t>
        </is>
      </c>
      <c r="Y572" s="46"/>
      <c r="Z572" s="46"/>
      <c r="AA572" s="48" t="inlineStr">
        <is>
          <t xml:space="preserve">Surplus Lines</t>
        </is>
      </c>
      <c r="AB572" s="50">
        <v>9158.81</v>
      </c>
      <c r="AC572" s="51">
        <v>0</v>
      </c>
      <c r="AD572" s="38">
        <f>IF(ISNUMBER($AB572),$AB572*(1+N($AC572)),"")</f>
      </c>
      <c r="AE572" s="50">
        <v>350</v>
      </c>
      <c r="AF572" s="50">
        <v>0</v>
      </c>
      <c r="AG572" s="51"/>
      <c r="AH572" s="39">
        <f>IF(ISNUMBER($AD572),($AD572+$AE572+$AF572)*$AG572,"")</f>
      </c>
      <c r="AI572" s="50"/>
      <c r="AJ572" s="38">
        <f>IF(ISNUMBER($AD572),SUM($AD572:$AH572),"")</f>
      </c>
      <c r="AK572" s="40">
        <f>IF(AND(ISNUMBER($AB572),ISNUMBER($AD572)),IF($AB572&gt;0,$AD572/$AB572,""),"")</f>
      </c>
      <c r="AL572" s="48" t="inlineStr">
        <is>
          <t xml:space="preserve">At technical</t>
        </is>
      </c>
      <c r="AM572" s="41">
        <f>IF(ISNUMBER($AD572),Header!$I$3,"")</f>
      </c>
      <c r="AN572" s="39">
        <f>IF(ISNUMBER($AD572),$AO572+$AP572,"")</f>
      </c>
      <c r="AO572" s="39">
        <f>IF(ISNUMBER($AD572),ROUND($AD572*Header!$K$3,2),"")</f>
      </c>
      <c r="AP572" s="39">
        <f>IF(ISNUMBER($AD572),ROUND($AD572*Header!$M$3,2),"")</f>
      </c>
      <c r="AQ572" s="38">
        <f>IF(ISNUMBER($AD572),ROUND($AD572,2)-$AO572-$AP572,"")</f>
      </c>
      <c r="AR572" s="39">
        <f>IF(ISNUMBER($AD572),IF(Header!$D$34="","?",$AD572*Header!$D$34),"")</f>
      </c>
      <c r="AS572" s="39">
        <f>IF(ISNUMBER($AB572),IF(Header!$D$34="","?",$AB572*Header!$D$34),"")</f>
      </c>
      <c r="AT572" s="42">
        <f>IF(AND(ISNUMBER($AB572),$M572&gt;0),$AB572/$M572*100,"")</f>
      </c>
      <c r="AU572" s="42">
        <f>IF(AND(ISNUMBER($AD572),$M572&gt;0),$AD572/$M572*100,"")</f>
      </c>
      <c r="AV572" s="40">
        <f>IF(AND(ISNUMBER($AB572),ISNUMBER($AD572),ABS($AB572)&gt;0),$AD572/$AB572,"")</f>
      </c>
      <c r="AW572" s="39">
        <f>IF(ISNUMBER($AD572),MAX(0,(1-0.55-Header!$O$3)*Header!$Q$3*$AQ572),"")</f>
      </c>
      <c r="AX572" s="43">
        <f>IF($A572="","",IF(TRIM(IF($A572="","Missing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",""))="","PASS","FAIL: "&amp;TRIM(IF($A572="","Missing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f>
      </c>
      <c r="AY572" s="44">
        <f>IF($M572="","",IF(ISNUMBER($M572),IF($M572&gt;=Header!$C$18,"YES — refer","No"),""))</f>
      </c>
      <c r="AZ572" s="44">
        <f>IF($AD572="","",IF(ISNUMBER($AD572),IF($AD572&lt;Header!$C$20,"BELOW MIN PREMIUM","OK"),""))</f>
      </c>
      <c r="BA572" s="48" t="inlineStr">
        <is>
          <t xml:space="preserve">Yes</t>
        </is>
      </c>
      <c r="BB572" s="48" t="inlineStr">
        <is>
          <t xml:space="preserve">Yes</t>
        </is>
      </c>
      <c r="BC572" s="46" t="inlineStr">
        <is>
          <t xml:space="preserve">Synthetic demo data</t>
        </is>
      </c>
      <c r="BE572" s="45">
        <f>IF(OR($A572="",$L572="",$H572=""),"",IF(AND(LEFT($L572,2)="06",$H572&gt;1945),"FAIL - pre-war class, year "&amp;$H572,IF(AND(LEFT($L572,2)="07",OR($H572&lt;1946,$H572&gt;1972)),"FAIL - 1946-72 class, year "&amp;$H572,IF(AND(LEFT($L572,2)="08",OR($H572&lt;1973,$H572&gt;1999)),"FAIL - 1973-99 class, year "&amp;$H572,IF(AND(LEFT($L572,2)="09",OR($H572&lt;2000,$H572&gt;2010)),"FAIL - 2000-10 class, year "&amp;$H572,"OK")))))</f>
      </c>
      <c r="BF572" s="45">
        <f>IF($AD572="","",IF(ROUND($AO572+$AP572+$AQ572-$AD572,2)=0,"OK","FAIL - out by "&amp;TEXT($AO572+$AP572+$AQ572-$AD572,"$0.00")))</f>
      </c>
    </row>
    <row r="573" spans="1:58" ht="18.75" customHeight="1" x14ac:dyDescent="0.25">
      <c r="A573" s="30" t="inlineStr">
        <is>
          <t xml:space="preserve">CANON-202604-007360</t>
        </is>
      </c>
      <c r="B573" s="30" t="inlineStr">
        <is>
          <t xml:space="preserve">Sunniva Vasquez</t>
        </is>
      </c>
      <c r="C573" s="31">
        <v>46127</v>
      </c>
      <c r="D573" s="32" t="inlineStr">
        <is>
          <t xml:space="preserve">Bound - within authority</t>
        </is>
      </c>
      <c r="E573" s="32" t="inlineStr">
        <is>
          <t xml:space="preserve">New business</t>
        </is>
      </c>
      <c r="F573" s="30" t="inlineStr">
        <is>
          <t xml:space="preserve">B1234EXOTIC26</t>
        </is>
      </c>
      <c r="G573" s="33">
        <f>IF($A573="","",IF($C573="","",YEAR($C573)))</f>
      </c>
      <c r="H573" s="34">
        <v>2004</v>
      </c>
      <c r="I573" s="30" t="inlineStr">
        <is>
          <t xml:space="preserve">Bentley</t>
        </is>
      </c>
      <c r="J573" s="30" t="inlineStr">
        <is>
          <t xml:space="preserve">Continental GT</t>
        </is>
      </c>
      <c r="K573" s="30" t="inlineStr">
        <is>
          <t xml:space="preserve">U5HB0V9AN3F14880P</t>
        </is>
      </c>
      <c r="L573" s="32" t="inlineStr">
        <is>
          <t xml:space="preserve">02 - Sports / GT</t>
        </is>
      </c>
      <c r="M573" s="35">
        <v>590000</v>
      </c>
      <c r="N573" s="32" t="inlineStr">
        <is>
          <t xml:space="preserve">Personal</t>
        </is>
      </c>
      <c r="O573" s="30" t="inlineStr">
        <is>
          <t xml:space="preserve">Personal - regular use</t>
        </is>
      </c>
      <c r="P573" s="30" t="inlineStr">
        <is>
          <t xml:space="preserve">2,500 - 5,000</t>
        </is>
      </c>
      <c r="Q573" s="30" t="inlineStr">
        <is>
          <t xml:space="preserve">Massachusetts</t>
        </is>
      </c>
      <c r="R573" s="30" t="inlineStr">
        <is>
          <t xml:space="preserve">02108</t>
        </is>
      </c>
      <c r="S573" s="32" t="inlineStr">
        <is>
          <t xml:space="preserve">Tier 3 - Coastal wind (25-100 miles)</t>
        </is>
      </c>
      <c r="T573" s="36">
        <f>IF($A573="","",IF($S573="","",IFERROR(INDEX('[1]natural catastrophe'!$D$6:$D$17,MATCH($S573,'[1]natural catastrophe'!$B$6:$B$17,0)),"?")))</f>
      </c>
      <c r="U573" s="30" t="inlineStr">
        <is>
          <t xml:space="preserve">2% of agreed value, minimum $10,000</t>
        </is>
      </c>
      <c r="V573" s="32" t="inlineStr">
        <is>
          <t xml:space="preserve">Agreed Value</t>
        </is>
      </c>
      <c r="W573" s="30" t="inlineStr">
        <is>
          <t xml:space="preserve">$1,000</t>
        </is>
      </c>
      <c r="X573" s="32" t="inlineStr">
        <is>
          <t xml:space="preserve">$1,000,000 CSL</t>
        </is>
      </c>
      <c r="Y573" s="30"/>
      <c r="Z573" s="30"/>
      <c r="AA573" s="32" t="inlineStr">
        <is>
          <t xml:space="preserve">Surplus Lines</t>
        </is>
      </c>
      <c r="AB573" s="35">
        <v>7511.71</v>
      </c>
      <c r="AC573" s="37">
        <v>0</v>
      </c>
      <c r="AD573" s="38">
        <f>IF(ISNUMBER($AB573),$AB573*(1+N($AC573)),"")</f>
      </c>
      <c r="AE573" s="35">
        <v>350</v>
      </c>
      <c r="AF573" s="35">
        <v>0</v>
      </c>
      <c r="AG573" s="37"/>
      <c r="AH573" s="39">
        <f>IF(ISNUMBER($AD573),($AD573+$AE573+$AF573)*$AG573,"")</f>
      </c>
      <c r="AI573" s="35"/>
      <c r="AJ573" s="38">
        <f>IF(ISNUMBER($AD573),SUM($AD573:$AH573),"")</f>
      </c>
      <c r="AK573" s="40">
        <f>IF(AND(ISNUMBER($AB573),ISNUMBER($AD573)),IF($AB573&gt;0,$AD573/$AB573,""),"")</f>
      </c>
      <c r="AL573" s="32" t="inlineStr">
        <is>
          <t xml:space="preserve">At technical</t>
        </is>
      </c>
      <c r="AM573" s="41">
        <f>IF(ISNUMBER($AD573),Header!$I$3,"")</f>
      </c>
      <c r="AN573" s="39">
        <f>IF(ISNUMBER($AD573),$AO573+$AP573,"")</f>
      </c>
      <c r="AO573" s="39">
        <f>IF(ISNUMBER($AD573),ROUND($AD573*Header!$K$3,2),"")</f>
      </c>
      <c r="AP573" s="39">
        <f>IF(ISNUMBER($AD573),ROUND($AD573*Header!$M$3,2),"")</f>
      </c>
      <c r="AQ573" s="38">
        <f>IF(ISNUMBER($AD573),ROUND($AD573,2)-$AO573-$AP573,"")</f>
      </c>
      <c r="AR573" s="39">
        <f>IF(ISNUMBER($AD573),IF(Header!$D$34="","?",$AD573*Header!$D$34),"")</f>
      </c>
      <c r="AS573" s="39">
        <f>IF(ISNUMBER($AB573),IF(Header!$D$34="","?",$AB573*Header!$D$34),"")</f>
      </c>
      <c r="AT573" s="42">
        <f>IF(AND(ISNUMBER($AB573),$M573&gt;0),$AB573/$M573*100,"")</f>
      </c>
      <c r="AU573" s="42">
        <f>IF(AND(ISNUMBER($AD573),$M573&gt;0),$AD573/$M573*100,"")</f>
      </c>
      <c r="AV573" s="40">
        <f>IF(AND(ISNUMBER($AB573),ISNUMBER($AD573),ABS($AB573)&gt;0),$AD573/$AB573,"")</f>
      </c>
      <c r="AW573" s="39">
        <f>IF(ISNUMBER($AD573),MAX(0,(1-0.55-Header!$O$3)*Header!$Q$3*$AQ573),"")</f>
      </c>
      <c r="AX573" s="43">
        <f>IF($A573="","",IF(TRIM(IF($A573="","Missing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",""))="","PASS","FAIL: "&amp;TRIM(IF($A573="","Missing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f>
      </c>
      <c r="AY573" s="44">
        <f>IF($M573="","",IF(ISNUMBER($M573),IF($M573&gt;=Header!$C$18,"YES — refer","No"),""))</f>
      </c>
      <c r="AZ573" s="44">
        <f>IF($AD573="","",IF(ISNUMBER($AD573),IF($AD573&lt;Header!$C$20,"BELOW MIN PREMIUM","OK"),""))</f>
      </c>
      <c r="BA573" s="32" t="inlineStr">
        <is>
          <t xml:space="preserve">Yes</t>
        </is>
      </c>
      <c r="BB573" s="32" t="inlineStr">
        <is>
          <t xml:space="preserve">Yes</t>
        </is>
      </c>
      <c r="BC573" s="30" t="inlineStr">
        <is>
          <t xml:space="preserve">Synthetic demo data</t>
        </is>
      </c>
      <c r="BE573" s="45">
        <f>IF(OR($A573="",$L573="",$H573=""),"",IF(AND(LEFT($L573,2)="06",$H573&gt;1945),"FAIL - pre-war class, year "&amp;$H573,IF(AND(LEFT($L573,2)="07",OR($H573&lt;1946,$H573&gt;1972)),"FAIL - 1946-72 class, year "&amp;$H573,IF(AND(LEFT($L573,2)="08",OR($H573&lt;1973,$H573&gt;1999)),"FAIL - 1973-99 class, year "&amp;$H573,IF(AND(LEFT($L573,2)="09",OR($H573&lt;2000,$H573&gt;2010)),"FAIL - 2000-10 class, year "&amp;$H573,"OK")))))</f>
      </c>
      <c r="BF573" s="45">
        <f>IF($AD573="","",IF(ROUND($AO573+$AP573+$AQ573-$AD573,2)=0,"OK","FAIL - out by "&amp;TEXT($AO573+$AP573+$AQ573-$AD573,"$0.00")))</f>
      </c>
    </row>
    <row r="574" spans="1:58" ht="18.75" customHeight="1" x14ac:dyDescent="0.25">
      <c r="A574" s="46" t="inlineStr">
        <is>
          <t xml:space="preserve">CANON-202604-007361</t>
        </is>
      </c>
      <c r="B574" s="46" t="inlineStr">
        <is>
          <t xml:space="preserve">Cassius Pennington</t>
        </is>
      </c>
      <c r="C574" s="47">
        <v>46114</v>
      </c>
      <c r="D574" s="48" t="inlineStr">
        <is>
          <t xml:space="preserve">Bound - within authority</t>
        </is>
      </c>
      <c r="E574" s="48" t="inlineStr">
        <is>
          <t xml:space="preserve">New business</t>
        </is>
      </c>
      <c r="F574" s="46" t="inlineStr">
        <is>
          <t xml:space="preserve">B1234EXOTIC26</t>
        </is>
      </c>
      <c r="G574" s="33">
        <f>IF($A574="","",IF($C574="","",YEAR($C574)))</f>
      </c>
      <c r="H574" s="49">
        <v>2003</v>
      </c>
      <c r="I574" s="46" t="inlineStr">
        <is>
          <t xml:space="preserve">Ferrari</t>
        </is>
      </c>
      <c r="J574" s="46" t="inlineStr">
        <is>
          <t xml:space="preserve">SF90 Stradale</t>
        </is>
      </c>
      <c r="K574" s="46" t="inlineStr">
        <is>
          <t xml:space="preserve">1WA8LCXHV9A8SPA0B</t>
        </is>
      </c>
      <c r="L574" s="48" t="inlineStr">
        <is>
          <t xml:space="preserve">03 - Supercar</t>
        </is>
      </c>
      <c r="M574" s="50">
        <v>460000</v>
      </c>
      <c r="N574" s="48" t="inlineStr">
        <is>
          <t xml:space="preserve">Personal</t>
        </is>
      </c>
      <c r="O574" s="46" t="inlineStr">
        <is>
          <t xml:space="preserve">Personal - regular use</t>
        </is>
      </c>
      <c r="P574" s="46" t="inlineStr">
        <is>
          <t xml:space="preserve">Under 1,000</t>
        </is>
      </c>
      <c r="Q574" s="46" t="inlineStr">
        <is>
          <t xml:space="preserve">Montana</t>
        </is>
      </c>
      <c r="R574" s="46" t="inlineStr">
        <is>
          <t xml:space="preserve">59601</t>
        </is>
      </c>
      <c r="S574" s="48" t="inlineStr">
        <is>
          <t xml:space="preserve">Wildfire - WUI high hazard</t>
        </is>
      </c>
      <c r="T574" s="36">
        <f>IF($A574="","",IF($S574="","",IFERROR(INDEX('[1]natural catastrophe'!$D$6:$D$17,MATCH($S574,'[1]natural catastrophe'!$B$6:$B$17,0)),"?")))</f>
      </c>
      <c r="U574" s="46" t="inlineStr">
        <is>
          <t xml:space="preserve">$5,000</t>
        </is>
      </c>
      <c r="V574" s="48" t="inlineStr">
        <is>
          <t xml:space="preserve">Agreed Value</t>
        </is>
      </c>
      <c r="W574" s="46" t="inlineStr">
        <is>
          <t xml:space="preserve">$1,000</t>
        </is>
      </c>
      <c r="X574" s="48" t="inlineStr">
        <is>
          <t xml:space="preserve">$1,000,000 CSL</t>
        </is>
      </c>
      <c r="Y574" s="46"/>
      <c r="Z574" s="46"/>
      <c r="AA574" s="48" t="inlineStr">
        <is>
          <t xml:space="preserve">Surplus Lines</t>
        </is>
      </c>
      <c r="AB574" s="50">
        <v>7709.07</v>
      </c>
      <c r="AC574" s="51">
        <v>0</v>
      </c>
      <c r="AD574" s="38">
        <f>IF(ISNUMBER($AB574),$AB574*(1+N($AC574)),"")</f>
      </c>
      <c r="AE574" s="50">
        <v>350</v>
      </c>
      <c r="AF574" s="50">
        <v>0</v>
      </c>
      <c r="AG574" s="51"/>
      <c r="AH574" s="39">
        <f>IF(ISNUMBER($AD574),($AD574+$AE574+$AF574)*$AG574,"")</f>
      </c>
      <c r="AI574" s="50"/>
      <c r="AJ574" s="38">
        <f>IF(ISNUMBER($AD574),SUM($AD574:$AH574),"")</f>
      </c>
      <c r="AK574" s="40">
        <f>IF(AND(ISNUMBER($AB574),ISNUMBER($AD574)),IF($AB574&gt;0,$AD574/$AB574,""),"")</f>
      </c>
      <c r="AL574" s="48" t="inlineStr">
        <is>
          <t xml:space="preserve">At technical</t>
        </is>
      </c>
      <c r="AM574" s="41">
        <f>IF(ISNUMBER($AD574),Header!$I$3,"")</f>
      </c>
      <c r="AN574" s="39">
        <f>IF(ISNUMBER($AD574),$AO574+$AP574,"")</f>
      </c>
      <c r="AO574" s="39">
        <f>IF(ISNUMBER($AD574),ROUND($AD574*Header!$K$3,2),"")</f>
      </c>
      <c r="AP574" s="39">
        <f>IF(ISNUMBER($AD574),ROUND($AD574*Header!$M$3,2),"")</f>
      </c>
      <c r="AQ574" s="38">
        <f>IF(ISNUMBER($AD574),ROUND($AD574,2)-$AO574-$AP574,"")</f>
      </c>
      <c r="AR574" s="39">
        <f>IF(ISNUMBER($AD574),IF(Header!$D$34="","?",$AD574*Header!$D$34),"")</f>
      </c>
      <c r="AS574" s="39">
        <f>IF(ISNUMBER($AB574),IF(Header!$D$34="","?",$AB574*Header!$D$34),"")</f>
      </c>
      <c r="AT574" s="42">
        <f>IF(AND(ISNUMBER($AB574),$M574&gt;0),$AB574/$M574*100,"")</f>
      </c>
      <c r="AU574" s="42">
        <f>IF(AND(ISNUMBER($AD574),$M574&gt;0),$AD574/$M574*100,"")</f>
      </c>
      <c r="AV574" s="40">
        <f>IF(AND(ISNUMBER($AB574),ISNUMBER($AD574),ABS($AB574)&gt;0),$AD574/$AB574,"")</f>
      </c>
      <c r="AW574" s="39">
        <f>IF(ISNUMBER($AD574),MAX(0,(1-0.55-Header!$O$3)*Header!$Q$3*$AQ574),"")</f>
      </c>
      <c r="AX574" s="43">
        <f>IF($A574="","",IF(TRIM(IF($A574="","Missing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",""))="","PASS","FAIL: "&amp;TRIM(IF($A574="","Missing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f>
      </c>
      <c r="AY574" s="44">
        <f>IF($M574="","",IF(ISNUMBER($M574),IF($M574&gt;=Header!$C$18,"YES — refer","No"),""))</f>
      </c>
      <c r="AZ574" s="44">
        <f>IF($AD574="","",IF(ISNUMBER($AD574),IF($AD574&lt;Header!$C$20,"BELOW MIN PREMIUM","OK"),""))</f>
      </c>
      <c r="BA574" s="48" t="inlineStr">
        <is>
          <t xml:space="preserve">Yes</t>
        </is>
      </c>
      <c r="BB574" s="48" t="inlineStr">
        <is>
          <t xml:space="preserve">Yes</t>
        </is>
      </c>
      <c r="BC574" s="46" t="inlineStr">
        <is>
          <t xml:space="preserve">Synthetic demo data</t>
        </is>
      </c>
      <c r="BE574" s="45">
        <f>IF(OR($A574="",$L574="",$H574=""),"",IF(AND(LEFT($L574,2)="06",$H574&gt;1945),"FAIL - pre-war class, year "&amp;$H574,IF(AND(LEFT($L574,2)="07",OR($H574&lt;1946,$H574&gt;1972)),"FAIL - 1946-72 class, year "&amp;$H574,IF(AND(LEFT($L574,2)="08",OR($H574&lt;1973,$H574&gt;1999)),"FAIL - 1973-99 class, year "&amp;$H574,IF(AND(LEFT($L574,2)="09",OR($H574&lt;2000,$H574&gt;2010)),"FAIL - 2000-10 class, year "&amp;$H574,"OK")))))</f>
      </c>
      <c r="BF574" s="45">
        <f>IF($AD574="","",IF(ROUND($AO574+$AP574+$AQ574-$AD574,2)=0,"OK","FAIL - out by "&amp;TEXT($AO574+$AP574+$AQ574-$AD574,"$0.00")))</f>
      </c>
    </row>
    <row r="575" spans="1:58" ht="18.75" customHeight="1" x14ac:dyDescent="0.25">
      <c r="A575" s="30" t="inlineStr">
        <is>
          <t xml:space="preserve">CANON-202604-007362</t>
        </is>
      </c>
      <c r="B575" s="30" t="inlineStr">
        <is>
          <t xml:space="preserve">Wilhelmina Vasquez</t>
        </is>
      </c>
      <c r="C575" s="31">
        <v>46135</v>
      </c>
      <c r="D575" s="32" t="inlineStr">
        <is>
          <t xml:space="preserve">Bound - within authority</t>
        </is>
      </c>
      <c r="E575" s="32" t="inlineStr">
        <is>
          <t xml:space="preserve">New business</t>
        </is>
      </c>
      <c r="F575" s="30" t="inlineStr">
        <is>
          <t xml:space="preserve">B1234EXOTIC26</t>
        </is>
      </c>
      <c r="G575" s="33">
        <f>IF($A575="","",IF($C575="","",YEAR($C575)))</f>
      </c>
      <c r="H575" s="34">
        <v>1976</v>
      </c>
      <c r="I575" s="30" t="inlineStr">
        <is>
          <t xml:space="preserve">Maserati</t>
        </is>
      </c>
      <c r="J575" s="30" t="inlineStr">
        <is>
          <t xml:space="preserve">GranTurismo</t>
        </is>
      </c>
      <c r="K575" s="30" t="inlineStr">
        <is>
          <t xml:space="preserve">4VCPE2ZHBAEDFT41K</t>
        </is>
      </c>
      <c r="L575" s="32" t="inlineStr">
        <is>
          <t xml:space="preserve">02 - Sports / GT</t>
        </is>
      </c>
      <c r="M575" s="35">
        <v>415000</v>
      </c>
      <c r="N575" s="32" t="inlineStr">
        <is>
          <t xml:space="preserve">Personal</t>
        </is>
      </c>
      <c r="O575" s="30" t="inlineStr">
        <is>
          <t xml:space="preserve">Personal - regular use</t>
        </is>
      </c>
      <c r="P575" s="30" t="inlineStr">
        <is>
          <t xml:space="preserve">1,000 - 2,500</t>
        </is>
      </c>
      <c r="Q575" s="30" t="inlineStr">
        <is>
          <t xml:space="preserve">Mississippi</t>
        </is>
      </c>
      <c r="R575" s="30" t="inlineStr">
        <is>
          <t xml:space="preserve">39201</t>
        </is>
      </c>
      <c r="S575" s="32" t="inlineStr">
        <is>
          <t xml:space="preserve">Tier 2 - Coastal wind (1-25 miles)</t>
        </is>
      </c>
      <c r="T575" s="36">
        <f>IF($A575="","",IF($S575="","",IFERROR(INDEX('[1]natural catastrophe'!$D$6:$D$17,MATCH($S575,'[1]natural catastrophe'!$B$6:$B$17,0)),"?")))</f>
      </c>
      <c r="U575" s="30" t="inlineStr">
        <is>
          <t xml:space="preserve">2% of agreed value, minimum $10,000</t>
        </is>
      </c>
      <c r="V575" s="32" t="inlineStr">
        <is>
          <t xml:space="preserve">Agreed Value</t>
        </is>
      </c>
      <c r="W575" s="30" t="inlineStr">
        <is>
          <t xml:space="preserve">$1,000</t>
        </is>
      </c>
      <c r="X575" s="32" t="inlineStr">
        <is>
          <t xml:space="preserve">$1,000,000 CSL</t>
        </is>
      </c>
      <c r="Y575" s="30"/>
      <c r="Z575" s="30"/>
      <c r="AA575" s="32" t="inlineStr">
        <is>
          <t xml:space="preserve">Surplus Lines</t>
        </is>
      </c>
      <c r="AB575" s="35">
        <v>5803.9</v>
      </c>
      <c r="AC575" s="37">
        <v>0</v>
      </c>
      <c r="AD575" s="38">
        <f>IF(ISNUMBER($AB575),$AB575*(1+N($AC575)),"")</f>
      </c>
      <c r="AE575" s="35">
        <v>350</v>
      </c>
      <c r="AF575" s="35">
        <v>0</v>
      </c>
      <c r="AG575" s="37"/>
      <c r="AH575" s="39">
        <f>IF(ISNUMBER($AD575),($AD575+$AE575+$AF575)*$AG575,"")</f>
      </c>
      <c r="AI575" s="35"/>
      <c r="AJ575" s="38">
        <f>IF(ISNUMBER($AD575),SUM($AD575:$AH575),"")</f>
      </c>
      <c r="AK575" s="40">
        <f>IF(AND(ISNUMBER($AB575),ISNUMBER($AD575)),IF($AB575&gt;0,$AD575/$AB575,""),"")</f>
      </c>
      <c r="AL575" s="32" t="inlineStr">
        <is>
          <t xml:space="preserve">At technical</t>
        </is>
      </c>
      <c r="AM575" s="41">
        <f>IF(ISNUMBER($AD575),Header!$I$3,"")</f>
      </c>
      <c r="AN575" s="39">
        <f>IF(ISNUMBER($AD575),$AO575+$AP575,"")</f>
      </c>
      <c r="AO575" s="39">
        <f>IF(ISNUMBER($AD575),ROUND($AD575*Header!$K$3,2),"")</f>
      </c>
      <c r="AP575" s="39">
        <f>IF(ISNUMBER($AD575),ROUND($AD575*Header!$M$3,2),"")</f>
      </c>
      <c r="AQ575" s="38">
        <f>IF(ISNUMBER($AD575),ROUND($AD575,2)-$AO575-$AP575,"")</f>
      </c>
      <c r="AR575" s="39">
        <f>IF(ISNUMBER($AD575),IF(Header!$D$34="","?",$AD575*Header!$D$34),"")</f>
      </c>
      <c r="AS575" s="39">
        <f>IF(ISNUMBER($AB575),IF(Header!$D$34="","?",$AB575*Header!$D$34),"")</f>
      </c>
      <c r="AT575" s="42">
        <f>IF(AND(ISNUMBER($AB575),$M575&gt;0),$AB575/$M575*100,"")</f>
      </c>
      <c r="AU575" s="42">
        <f>IF(AND(ISNUMBER($AD575),$M575&gt;0),$AD575/$M575*100,"")</f>
      </c>
      <c r="AV575" s="40">
        <f>IF(AND(ISNUMBER($AB575),ISNUMBER($AD575),ABS($AB575)&gt;0),$AD575/$AB575,"")</f>
      </c>
      <c r="AW575" s="39">
        <f>IF(ISNUMBER($AD575),MAX(0,(1-0.55-Header!$O$3)*Header!$Q$3*$AQ575),"")</f>
      </c>
      <c r="AX575" s="43">
        <f>IF($A575="","",IF(TRIM(IF($A575="","Missing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",""))="","PASS","FAIL: "&amp;TRIM(IF($A575="","Missing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f>
      </c>
      <c r="AY575" s="44">
        <f>IF($M575="","",IF(ISNUMBER($M575),IF($M575&gt;=Header!$C$18,"YES — refer","No"),""))</f>
      </c>
      <c r="AZ575" s="44">
        <f>IF($AD575="","",IF(ISNUMBER($AD575),IF($AD575&lt;Header!$C$20,"BELOW MIN PREMIUM","OK"),""))</f>
      </c>
      <c r="BA575" s="32" t="inlineStr">
        <is>
          <t xml:space="preserve">Yes</t>
        </is>
      </c>
      <c r="BB575" s="32" t="inlineStr">
        <is>
          <t xml:space="preserve">Yes</t>
        </is>
      </c>
      <c r="BC575" s="30" t="inlineStr">
        <is>
          <t xml:space="preserve">Synthetic demo data</t>
        </is>
      </c>
      <c r="BE575" s="45">
        <f>IF(OR($A575="",$L575="",$H575=""),"",IF(AND(LEFT($L575,2)="06",$H575&gt;1945),"FAIL - pre-war class, year "&amp;$H575,IF(AND(LEFT($L575,2)="07",OR($H575&lt;1946,$H575&gt;1972)),"FAIL - 1946-72 class, year "&amp;$H575,IF(AND(LEFT($L575,2)="08",OR($H575&lt;1973,$H575&gt;1999)),"FAIL - 1973-99 class, year "&amp;$H575,IF(AND(LEFT($L575,2)="09",OR($H575&lt;2000,$H575&gt;2010)),"FAIL - 2000-10 class, year "&amp;$H575,"OK")))))</f>
      </c>
      <c r="BF575" s="45">
        <f>IF($AD575="","",IF(ROUND($AO575+$AP575+$AQ575-$AD575,2)=0,"OK","FAIL - out by "&amp;TEXT($AO575+$AP575+$AQ575-$AD575,"$0.00")))</f>
      </c>
    </row>
    <row r="576" spans="1:58" ht="18.75" customHeight="1" x14ac:dyDescent="0.25">
      <c r="A576" s="46" t="inlineStr">
        <is>
          <t xml:space="preserve">CANON-202604-007363</t>
        </is>
      </c>
      <c r="B576" s="46" t="inlineStr">
        <is>
          <t xml:space="preserve">Aurelio Vandermeer</t>
        </is>
      </c>
      <c r="C576" s="47">
        <v>46119</v>
      </c>
      <c r="D576" s="48" t="inlineStr">
        <is>
          <t xml:space="preserve">Bound - within authority</t>
        </is>
      </c>
      <c r="E576" s="48" t="inlineStr">
        <is>
          <t xml:space="preserve">New business</t>
        </is>
      </c>
      <c r="F576" s="46" t="inlineStr">
        <is>
          <t xml:space="preserve">B1234EXOTIC26</t>
        </is>
      </c>
      <c r="G576" s="33">
        <f>IF($A576="","",IF($C576="","",YEAR($C576)))</f>
      </c>
      <c r="H576" s="49">
        <v>1981</v>
      </c>
      <c r="I576" s="46" t="inlineStr">
        <is>
          <t xml:space="preserve">Ferrari</t>
        </is>
      </c>
      <c r="J576" s="46" t="inlineStr">
        <is>
          <t xml:space="preserve">296 GTB</t>
        </is>
      </c>
      <c r="K576" s="46" t="inlineStr">
        <is>
          <t xml:space="preserve">GYVLBEMEMMSB7CAC1</t>
        </is>
      </c>
      <c r="L576" s="48" t="inlineStr">
        <is>
          <t xml:space="preserve">03 - Supercar</t>
        </is>
      </c>
      <c r="M576" s="50">
        <v>550000</v>
      </c>
      <c r="N576" s="48" t="inlineStr">
        <is>
          <t xml:space="preserve">Personal</t>
        </is>
      </c>
      <c r="O576" s="46" t="inlineStr">
        <is>
          <t xml:space="preserve">Personal - regular use</t>
        </is>
      </c>
      <c r="P576" s="46" t="inlineStr">
        <is>
          <t xml:space="preserve">Under 1,000</t>
        </is>
      </c>
      <c r="Q576" s="46" t="inlineStr">
        <is>
          <t xml:space="preserve">Massachusetts</t>
        </is>
      </c>
      <c r="R576" s="46" t="inlineStr">
        <is>
          <t xml:space="preserve">02108</t>
        </is>
      </c>
      <c r="S576" s="48" t="inlineStr">
        <is>
          <t xml:space="preserve">Tier 3 - Coastal wind (25-100 miles)</t>
        </is>
      </c>
      <c r="T576" s="36">
        <f>IF($A576="","",IF($S576="","",IFERROR(INDEX('[1]natural catastrophe'!$D$6:$D$17,MATCH($S576,'[1]natural catastrophe'!$B$6:$B$17,0)),"?")))</f>
      </c>
      <c r="U576" s="46" t="inlineStr">
        <is>
          <t xml:space="preserve">2% of agreed value, minimum $10,000</t>
        </is>
      </c>
      <c r="V576" s="48" t="inlineStr">
        <is>
          <t xml:space="preserve">Agreed Value</t>
        </is>
      </c>
      <c r="W576" s="46" t="inlineStr">
        <is>
          <t xml:space="preserve">$1,000</t>
        </is>
      </c>
      <c r="X576" s="48" t="inlineStr">
        <is>
          <t xml:space="preserve">$1,000,000 CSL</t>
        </is>
      </c>
      <c r="Y576" s="46"/>
      <c r="Z576" s="46"/>
      <c r="AA576" s="48" t="inlineStr">
        <is>
          <t xml:space="preserve">Surplus Lines</t>
        </is>
      </c>
      <c r="AB576" s="50">
        <v>10234.34</v>
      </c>
      <c r="AC576" s="51">
        <v>0</v>
      </c>
      <c r="AD576" s="38">
        <f>IF(ISNUMBER($AB576),$AB576*(1+N($AC576)),"")</f>
      </c>
      <c r="AE576" s="50">
        <v>350</v>
      </c>
      <c r="AF576" s="50">
        <v>0</v>
      </c>
      <c r="AG576" s="51"/>
      <c r="AH576" s="39">
        <f>IF(ISNUMBER($AD576),($AD576+$AE576+$AF576)*$AG576,"")</f>
      </c>
      <c r="AI576" s="50"/>
      <c r="AJ576" s="38">
        <f>IF(ISNUMBER($AD576),SUM($AD576:$AH576),"")</f>
      </c>
      <c r="AK576" s="40">
        <f>IF(AND(ISNUMBER($AB576),ISNUMBER($AD576)),IF($AB576&gt;0,$AD576/$AB576,""),"")</f>
      </c>
      <c r="AL576" s="48" t="inlineStr">
        <is>
          <t xml:space="preserve">At technical</t>
        </is>
      </c>
      <c r="AM576" s="41">
        <f>IF(ISNUMBER($AD576),Header!$I$3,"")</f>
      </c>
      <c r="AN576" s="39">
        <f>IF(ISNUMBER($AD576),$AO576+$AP576,"")</f>
      </c>
      <c r="AO576" s="39">
        <f>IF(ISNUMBER($AD576),ROUND($AD576*Header!$K$3,2),"")</f>
      </c>
      <c r="AP576" s="39">
        <f>IF(ISNUMBER($AD576),ROUND($AD576*Header!$M$3,2),"")</f>
      </c>
      <c r="AQ576" s="38">
        <f>IF(ISNUMBER($AD576),ROUND($AD576,2)-$AO576-$AP576,"")</f>
      </c>
      <c r="AR576" s="39">
        <f>IF(ISNUMBER($AD576),IF(Header!$D$34="","?",$AD576*Header!$D$34),"")</f>
      </c>
      <c r="AS576" s="39">
        <f>IF(ISNUMBER($AB576),IF(Header!$D$34="","?",$AB576*Header!$D$34),"")</f>
      </c>
      <c r="AT576" s="42">
        <f>IF(AND(ISNUMBER($AB576),$M576&gt;0),$AB576/$M576*100,"")</f>
      </c>
      <c r="AU576" s="42">
        <f>IF(AND(ISNUMBER($AD576),$M576&gt;0),$AD576/$M576*100,"")</f>
      </c>
      <c r="AV576" s="40">
        <f>IF(AND(ISNUMBER($AB576),ISNUMBER($AD576),ABS($AB576)&gt;0),$AD576/$AB576,"")</f>
      </c>
      <c r="AW576" s="39">
        <f>IF(ISNUMBER($AD576),MAX(0,(1-0.55-Header!$O$3)*Header!$Q$3*$AQ576),"")</f>
      </c>
      <c r="AX576" s="43">
        <f>IF($A576="","",IF(TRIM(IF($A576="","Missing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",""))="","PASS","FAIL: "&amp;TRIM(IF($A576="","Missing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f>
      </c>
      <c r="AY576" s="44">
        <f>IF($M576="","",IF(ISNUMBER($M576),IF($M576&gt;=Header!$C$18,"YES — refer","No"),""))</f>
      </c>
      <c r="AZ576" s="44">
        <f>IF($AD576="","",IF(ISNUMBER($AD576),IF($AD576&lt;Header!$C$20,"BELOW MIN PREMIUM","OK"),""))</f>
      </c>
      <c r="BA576" s="48" t="inlineStr">
        <is>
          <t xml:space="preserve">Yes</t>
        </is>
      </c>
      <c r="BB576" s="48" t="inlineStr">
        <is>
          <t xml:space="preserve">Yes</t>
        </is>
      </c>
      <c r="BC576" s="46" t="inlineStr">
        <is>
          <t xml:space="preserve">Synthetic demo data</t>
        </is>
      </c>
      <c r="BE576" s="45">
        <f>IF(OR($A576="",$L576="",$H576=""),"",IF(AND(LEFT($L576,2)="06",$H576&gt;1945),"FAIL - pre-war class, year "&amp;$H576,IF(AND(LEFT($L576,2)="07",OR($H576&lt;1946,$H576&gt;1972)),"FAIL - 1946-72 class, year "&amp;$H576,IF(AND(LEFT($L576,2)="08",OR($H576&lt;1973,$H576&gt;1999)),"FAIL - 1973-99 class, year "&amp;$H576,IF(AND(LEFT($L576,2)="09",OR($H576&lt;2000,$H576&gt;2010)),"FAIL - 2000-10 class, year "&amp;$H576,"OK")))))</f>
      </c>
      <c r="BF576" s="45">
        <f>IF($AD576="","",IF(ROUND($AO576+$AP576+$AQ576-$AD576,2)=0,"OK","FAIL - out by "&amp;TEXT($AO576+$AP576+$AQ576-$AD576,"$0.00")))</f>
      </c>
    </row>
    <row r="577" spans="1:58" ht="18.75" customHeight="1" x14ac:dyDescent="0.25">
      <c r="A577" s="30" t="inlineStr">
        <is>
          <t xml:space="preserve">CANON-202604-007364</t>
        </is>
      </c>
      <c r="B577" s="30" t="inlineStr">
        <is>
          <t xml:space="preserve">Thaddeus Rourke</t>
        </is>
      </c>
      <c r="C577" s="31">
        <v>46135</v>
      </c>
      <c r="D577" s="32" t="inlineStr">
        <is>
          <t xml:space="preserve">Bound - within authority</t>
        </is>
      </c>
      <c r="E577" s="32" t="inlineStr">
        <is>
          <t xml:space="preserve">New business</t>
        </is>
      </c>
      <c r="F577" s="30" t="inlineStr">
        <is>
          <t xml:space="preserve">B1234EXOTIC26</t>
        </is>
      </c>
      <c r="G577" s="33">
        <f>IF($A577="","",IF($C577="","",YEAR($C577)))</f>
      </c>
      <c r="H577" s="34">
        <v>1985</v>
      </c>
      <c r="I577" s="30" t="inlineStr">
        <is>
          <t xml:space="preserve">Maserati</t>
        </is>
      </c>
      <c r="J577" s="30" t="inlineStr">
        <is>
          <t xml:space="preserve">GranTurismo</t>
        </is>
      </c>
      <c r="K577" s="30" t="inlineStr">
        <is>
          <t xml:space="preserve">0ZPY43F4JN3C80AB8</t>
        </is>
      </c>
      <c r="L577" s="32" t="inlineStr">
        <is>
          <t xml:space="preserve">02 - Sports / GT</t>
        </is>
      </c>
      <c r="M577" s="35">
        <v>730000</v>
      </c>
      <c r="N577" s="32" t="inlineStr">
        <is>
          <t xml:space="preserve">Personal</t>
        </is>
      </c>
      <c r="O577" s="30" t="inlineStr">
        <is>
          <t xml:space="preserve">Personal - regular use</t>
        </is>
      </c>
      <c r="P577" s="30" t="inlineStr">
        <is>
          <t xml:space="preserve">2,500 - 5,000</t>
        </is>
      </c>
      <c r="Q577" s="30" t="inlineStr">
        <is>
          <t xml:space="preserve">Kansas</t>
        </is>
      </c>
      <c r="R577" s="30" t="inlineStr">
        <is>
          <t xml:space="preserve">66603</t>
        </is>
      </c>
      <c r="S577" s="32" t="inlineStr">
        <is>
          <t xml:space="preserve">Severe convective - hail alley (high)</t>
        </is>
      </c>
      <c r="T577" s="36">
        <f>IF($A577="","",IF($S577="","",IFERROR(INDEX('[1]natural catastrophe'!$D$6:$D$17,MATCH($S577,'[1]natural catastrophe'!$B$6:$B$17,0)),"?")))</f>
      </c>
      <c r="U577" s="30" t="inlineStr">
        <is>
          <t xml:space="preserve">$5,000</t>
        </is>
      </c>
      <c r="V577" s="32" t="inlineStr">
        <is>
          <t xml:space="preserve">Agreed Value</t>
        </is>
      </c>
      <c r="W577" s="30" t="inlineStr">
        <is>
          <t xml:space="preserve">$1,000</t>
        </is>
      </c>
      <c r="X577" s="32" t="inlineStr">
        <is>
          <t xml:space="preserve">$1,000,000 CSL</t>
        </is>
      </c>
      <c r="Y577" s="30"/>
      <c r="Z577" s="30"/>
      <c r="AA577" s="32" t="inlineStr">
        <is>
          <t xml:space="preserve">Surplus Lines</t>
        </is>
      </c>
      <c r="AB577" s="35">
        <v>7212.27</v>
      </c>
      <c r="AC577" s="37">
        <v>0</v>
      </c>
      <c r="AD577" s="38">
        <f>IF(ISNUMBER($AB577),$AB577*(1+N($AC577)),"")</f>
      </c>
      <c r="AE577" s="35">
        <v>350</v>
      </c>
      <c r="AF577" s="35">
        <v>0</v>
      </c>
      <c r="AG577" s="37"/>
      <c r="AH577" s="39">
        <f>IF(ISNUMBER($AD577),($AD577+$AE577+$AF577)*$AG577,"")</f>
      </c>
      <c r="AI577" s="35"/>
      <c r="AJ577" s="38">
        <f>IF(ISNUMBER($AD577),SUM($AD577:$AH577),"")</f>
      </c>
      <c r="AK577" s="40">
        <f>IF(AND(ISNUMBER($AB577),ISNUMBER($AD577)),IF($AB577&gt;0,$AD577/$AB577,""),"")</f>
      </c>
      <c r="AL577" s="32" t="inlineStr">
        <is>
          <t xml:space="preserve">At technical</t>
        </is>
      </c>
      <c r="AM577" s="41">
        <f>IF(ISNUMBER($AD577),Header!$I$3,"")</f>
      </c>
      <c r="AN577" s="39">
        <f>IF(ISNUMBER($AD577),$AO577+$AP577,"")</f>
      </c>
      <c r="AO577" s="39">
        <f>IF(ISNUMBER($AD577),ROUND($AD577*Header!$K$3,2),"")</f>
      </c>
      <c r="AP577" s="39">
        <f>IF(ISNUMBER($AD577),ROUND($AD577*Header!$M$3,2),"")</f>
      </c>
      <c r="AQ577" s="38">
        <f>IF(ISNUMBER($AD577),ROUND($AD577,2)-$AO577-$AP577,"")</f>
      </c>
      <c r="AR577" s="39">
        <f>IF(ISNUMBER($AD577),IF(Header!$D$34="","?",$AD577*Header!$D$34),"")</f>
      </c>
      <c r="AS577" s="39">
        <f>IF(ISNUMBER($AB577),IF(Header!$D$34="","?",$AB577*Header!$D$34),"")</f>
      </c>
      <c r="AT577" s="42">
        <f>IF(AND(ISNUMBER($AB577),$M577&gt;0),$AB577/$M577*100,"")</f>
      </c>
      <c r="AU577" s="42">
        <f>IF(AND(ISNUMBER($AD577),$M577&gt;0),$AD577/$M577*100,"")</f>
      </c>
      <c r="AV577" s="40">
        <f>IF(AND(ISNUMBER($AB577),ISNUMBER($AD577),ABS($AB577)&gt;0),$AD577/$AB577,"")</f>
      </c>
      <c r="AW577" s="39">
        <f>IF(ISNUMBER($AD577),MAX(0,(1-0.55-Header!$O$3)*Header!$Q$3*$AQ577),"")</f>
      </c>
      <c r="AX577" s="43">
        <f>IF($A577="","",IF(TRIM(IF($A577="","Missing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",""))="","PASS","FAIL: "&amp;TRIM(IF($A577="","Missing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f>
      </c>
      <c r="AY577" s="44">
        <f>IF($M577="","",IF(ISNUMBER($M577),IF($M577&gt;=Header!$C$18,"YES — refer","No"),""))</f>
      </c>
      <c r="AZ577" s="44">
        <f>IF($AD577="","",IF(ISNUMBER($AD577),IF($AD577&lt;Header!$C$20,"BELOW MIN PREMIUM","OK"),""))</f>
      </c>
      <c r="BA577" s="32" t="inlineStr">
        <is>
          <t xml:space="preserve">Yes</t>
        </is>
      </c>
      <c r="BB577" s="32" t="inlineStr">
        <is>
          <t xml:space="preserve">Yes</t>
        </is>
      </c>
      <c r="BC577" s="30" t="inlineStr">
        <is>
          <t xml:space="preserve">Synthetic demo data</t>
        </is>
      </c>
      <c r="BE577" s="45">
        <f>IF(OR($A577="",$L577="",$H577=""),"",IF(AND(LEFT($L577,2)="06",$H577&gt;1945),"FAIL - pre-war class, year "&amp;$H577,IF(AND(LEFT($L577,2)="07",OR($H577&lt;1946,$H577&gt;1972)),"FAIL - 1946-72 class, year "&amp;$H577,IF(AND(LEFT($L577,2)="08",OR($H577&lt;1973,$H577&gt;1999)),"FAIL - 1973-99 class, year "&amp;$H577,IF(AND(LEFT($L577,2)="09",OR($H577&lt;2000,$H577&gt;2010)),"FAIL - 2000-10 class, year "&amp;$H577,"OK")))))</f>
      </c>
      <c r="BF577" s="45">
        <f>IF($AD577="","",IF(ROUND($AO577+$AP577+$AQ577-$AD577,2)=0,"OK","FAIL - out by "&amp;TEXT($AO577+$AP577+$AQ577-$AD577,"$0.00")))</f>
      </c>
    </row>
    <row r="578" spans="1:58" ht="18.75" customHeight="1" x14ac:dyDescent="0.25">
      <c r="A578" s="46" t="inlineStr">
        <is>
          <t xml:space="preserve">CANON-202604-007365</t>
        </is>
      </c>
      <c r="B578" s="46" t="inlineStr">
        <is>
          <t xml:space="preserve">Wilhelmina Farkas</t>
        </is>
      </c>
      <c r="C578" s="47">
        <v>46115</v>
      </c>
      <c r="D578" s="48" t="inlineStr">
        <is>
          <t xml:space="preserve">Bound - within authority</t>
        </is>
      </c>
      <c r="E578" s="48" t="inlineStr">
        <is>
          <t xml:space="preserve">New business</t>
        </is>
      </c>
      <c r="F578" s="46" t="inlineStr">
        <is>
          <t xml:space="preserve">B1234EXOTIC26</t>
        </is>
      </c>
      <c r="G578" s="33">
        <f>IF($A578="","",IF($C578="","",YEAR($C578)))</f>
      </c>
      <c r="H578" s="49">
        <v>2024</v>
      </c>
      <c r="I578" s="46" t="inlineStr">
        <is>
          <t xml:space="preserve">BMW</t>
        </is>
      </c>
      <c r="J578" s="46" t="inlineStr">
        <is>
          <t xml:space="preserve">M8 Competition</t>
        </is>
      </c>
      <c r="K578" s="46" t="inlineStr">
        <is>
          <t xml:space="preserve">JJ917S21TH6H85DME</t>
        </is>
      </c>
      <c r="L578" s="48" t="inlineStr">
        <is>
          <t xml:space="preserve">02 - Sports / GT</t>
        </is>
      </c>
      <c r="M578" s="50">
        <v>1190000</v>
      </c>
      <c r="N578" s="48" t="inlineStr">
        <is>
          <t xml:space="preserve">Personal</t>
        </is>
      </c>
      <c r="O578" s="46" t="inlineStr">
        <is>
          <t xml:space="preserve">Personal - regular use</t>
        </is>
      </c>
      <c r="P578" s="46" t="inlineStr">
        <is>
          <t xml:space="preserve">1,000 - 2,500</t>
        </is>
      </c>
      <c r="Q578" s="46" t="inlineStr">
        <is>
          <t xml:space="preserve">Delaware</t>
        </is>
      </c>
      <c r="R578" s="46" t="inlineStr">
        <is>
          <t xml:space="preserve">19801</t>
        </is>
      </c>
      <c r="S578" s="48" t="inlineStr">
        <is>
          <t xml:space="preserve">Tier 3 - Coastal wind (25-100 miles)</t>
        </is>
      </c>
      <c r="T578" s="36">
        <f>IF($A578="","",IF($S578="","",IFERROR(INDEX('[1]natural catastrophe'!$D$6:$D$17,MATCH($S578,'[1]natural catastrophe'!$B$6:$B$17,0)),"?")))</f>
      </c>
      <c r="U578" s="46" t="inlineStr">
        <is>
          <t xml:space="preserve">2% of agreed value, minimum $10,000</t>
        </is>
      </c>
      <c r="V578" s="48" t="inlineStr">
        <is>
          <t xml:space="preserve">Agreed Value</t>
        </is>
      </c>
      <c r="W578" s="46" t="inlineStr">
        <is>
          <t xml:space="preserve">$1,000</t>
        </is>
      </c>
      <c r="X578" s="48" t="inlineStr">
        <is>
          <t xml:space="preserve">$1,000,000 CSL</t>
        </is>
      </c>
      <c r="Y578" s="46"/>
      <c r="Z578" s="46"/>
      <c r="AA578" s="48" t="inlineStr">
        <is>
          <t xml:space="preserve">Surplus Lines</t>
        </is>
      </c>
      <c r="AB578" s="50">
        <v>12819.86</v>
      </c>
      <c r="AC578" s="51">
        <v>0</v>
      </c>
      <c r="AD578" s="38">
        <f>IF(ISNUMBER($AB578),$AB578*(1+N($AC578)),"")</f>
      </c>
      <c r="AE578" s="50">
        <v>350</v>
      </c>
      <c r="AF578" s="50">
        <v>250</v>
      </c>
      <c r="AG578" s="51"/>
      <c r="AH578" s="39">
        <f>IF(ISNUMBER($AD578),($AD578+$AE578+$AF578)*$AG578,"")</f>
      </c>
      <c r="AI578" s="50"/>
      <c r="AJ578" s="38">
        <f>IF(ISNUMBER($AD578),SUM($AD578:$AH578),"")</f>
      </c>
      <c r="AK578" s="40">
        <f>IF(AND(ISNUMBER($AB578),ISNUMBER($AD578)),IF($AB578&gt;0,$AD578/$AB578,""),"")</f>
      </c>
      <c r="AL578" s="48" t="inlineStr">
        <is>
          <t xml:space="preserve">At technical</t>
        </is>
      </c>
      <c r="AM578" s="41">
        <f>IF(ISNUMBER($AD578),Header!$I$3,"")</f>
      </c>
      <c r="AN578" s="39">
        <f>IF(ISNUMBER($AD578),$AO578+$AP578,"")</f>
      </c>
      <c r="AO578" s="39">
        <f>IF(ISNUMBER($AD578),ROUND($AD578*Header!$K$3,2),"")</f>
      </c>
      <c r="AP578" s="39">
        <f>IF(ISNUMBER($AD578),ROUND($AD578*Header!$M$3,2),"")</f>
      </c>
      <c r="AQ578" s="38">
        <f>IF(ISNUMBER($AD578),ROUND($AD578,2)-$AO578-$AP578,"")</f>
      </c>
      <c r="AR578" s="39">
        <f>IF(ISNUMBER($AD578),IF(Header!$D$34="","?",$AD578*Header!$D$34),"")</f>
      </c>
      <c r="AS578" s="39">
        <f>IF(ISNUMBER($AB578),IF(Header!$D$34="","?",$AB578*Header!$D$34),"")</f>
      </c>
      <c r="AT578" s="42">
        <f>IF(AND(ISNUMBER($AB578),$M578&gt;0),$AB578/$M578*100,"")</f>
      </c>
      <c r="AU578" s="42">
        <f>IF(AND(ISNUMBER($AD578),$M578&gt;0),$AD578/$M578*100,"")</f>
      </c>
      <c r="AV578" s="40">
        <f>IF(AND(ISNUMBER($AB578),ISNUMBER($AD578),ABS($AB578)&gt;0),$AD578/$AB578,"")</f>
      </c>
      <c r="AW578" s="39">
        <f>IF(ISNUMBER($AD578),MAX(0,(1-0.55-Header!$O$3)*Header!$Q$3*$AQ578),"")</f>
      </c>
      <c r="AX578" s="43">
        <f>IF($A578="","",IF(TRIM(IF($A578="","Missing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",""))="","PASS","FAIL: "&amp;TRIM(IF($A578="","Missing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f>
      </c>
      <c r="AY578" s="44">
        <f>IF($M578="","",IF(ISNUMBER($M578),IF($M578&gt;=Header!$C$18,"YES — refer","No"),""))</f>
      </c>
      <c r="AZ578" s="44">
        <f>IF($AD578="","",IF(ISNUMBER($AD578),IF($AD578&lt;Header!$C$20,"BELOW MIN PREMIUM","OK"),""))</f>
      </c>
      <c r="BA578" s="48" t="inlineStr">
        <is>
          <t xml:space="preserve">Yes</t>
        </is>
      </c>
      <c r="BB578" s="48" t="inlineStr">
        <is>
          <t xml:space="preserve">Yes</t>
        </is>
      </c>
      <c r="BC578" s="46" t="inlineStr">
        <is>
          <t xml:space="preserve">Synthetic demo data</t>
        </is>
      </c>
      <c r="BE578" s="45">
        <f>IF(OR($A578="",$L578="",$H578=""),"",IF(AND(LEFT($L578,2)="06",$H578&gt;1945),"FAIL - pre-war class, year "&amp;$H578,IF(AND(LEFT($L578,2)="07",OR($H578&lt;1946,$H578&gt;1972)),"FAIL - 1946-72 class, year "&amp;$H578,IF(AND(LEFT($L578,2)="08",OR($H578&lt;1973,$H578&gt;1999)),"FAIL - 1973-99 class, year "&amp;$H578,IF(AND(LEFT($L578,2)="09",OR($H578&lt;2000,$H578&gt;2010)),"FAIL - 2000-10 class, year "&amp;$H578,"OK")))))</f>
      </c>
      <c r="BF578" s="45">
        <f>IF($AD578="","",IF(ROUND($AO578+$AP578+$AQ578-$AD578,2)=0,"OK","FAIL - out by "&amp;TEXT($AO578+$AP578+$AQ578-$AD578,"$0.00")))</f>
      </c>
    </row>
    <row r="579" spans="1:58" ht="18.75" customHeight="1" x14ac:dyDescent="0.25">
      <c r="A579" s="30" t="inlineStr">
        <is>
          <t xml:space="preserve">CANON-202604-007366</t>
        </is>
      </c>
      <c r="B579" s="30" t="inlineStr">
        <is>
          <t xml:space="preserve">Lorenzo Chattopadhyay</t>
        </is>
      </c>
      <c r="C579" s="31">
        <v>46140</v>
      </c>
      <c r="D579" s="32" t="inlineStr">
        <is>
          <t xml:space="preserve">Bound - within authority</t>
        </is>
      </c>
      <c r="E579" s="32" t="inlineStr">
        <is>
          <t xml:space="preserve">New business</t>
        </is>
      </c>
      <c r="F579" s="30" t="inlineStr">
        <is>
          <t xml:space="preserve">B1234EXOTIC26</t>
        </is>
      </c>
      <c r="G579" s="33">
        <f>IF($A579="","",IF($C579="","",YEAR($C579)))</f>
      </c>
      <c r="H579" s="34">
        <v>2019</v>
      </c>
      <c r="I579" s="30" t="inlineStr">
        <is>
          <t xml:space="preserve">Ferrari</t>
        </is>
      </c>
      <c r="J579" s="30" t="inlineStr">
        <is>
          <t xml:space="preserve">275 GTB/4</t>
        </is>
      </c>
      <c r="K579" s="30" t="inlineStr">
        <is>
          <t xml:space="preserve">H3D85HY4R5FKLGTCN</t>
        </is>
      </c>
      <c r="L579" s="32" t="inlineStr">
        <is>
          <t xml:space="preserve">02 - Sports / GT</t>
        </is>
      </c>
      <c r="M579" s="35">
        <v>1550000</v>
      </c>
      <c r="N579" s="32" t="inlineStr">
        <is>
          <t xml:space="preserve">Personal</t>
        </is>
      </c>
      <c r="O579" s="30" t="inlineStr">
        <is>
          <t xml:space="preserve">Personal - regular use</t>
        </is>
      </c>
      <c r="P579" s="30" t="inlineStr">
        <is>
          <t xml:space="preserve">2,500 - 5,000</t>
        </is>
      </c>
      <c r="Q579" s="30" t="inlineStr">
        <is>
          <t xml:space="preserve">Florida</t>
        </is>
      </c>
      <c r="R579" s="30" t="inlineStr">
        <is>
          <t xml:space="preserve">33139</t>
        </is>
      </c>
      <c r="S579" s="32" t="inlineStr">
        <is>
          <t xml:space="preserve">Tier 2 - Coastal wind (1-25 miles)</t>
        </is>
      </c>
      <c r="T579" s="36">
        <f>IF($A579="","",IF($S579="","",IFERROR(INDEX('[1]natural catastrophe'!$D$6:$D$17,MATCH($S579,'[1]natural catastrophe'!$B$6:$B$17,0)),"?")))</f>
      </c>
      <c r="U579" s="30" t="inlineStr">
        <is>
          <t xml:space="preserve">2% of agreed value, minimum $10,000</t>
        </is>
      </c>
      <c r="V579" s="32" t="inlineStr">
        <is>
          <t xml:space="preserve">Agreed Value</t>
        </is>
      </c>
      <c r="W579" s="30" t="inlineStr">
        <is>
          <t xml:space="preserve">$1,000</t>
        </is>
      </c>
      <c r="X579" s="32" t="inlineStr">
        <is>
          <t xml:space="preserve">$1,000,000 CSL</t>
        </is>
      </c>
      <c r="Y579" s="30"/>
      <c r="Z579" s="30"/>
      <c r="AA579" s="32" t="inlineStr">
        <is>
          <t xml:space="preserve">Surplus Lines</t>
        </is>
      </c>
      <c r="AB579" s="35">
        <v>13105.91</v>
      </c>
      <c r="AC579" s="37">
        <v>0</v>
      </c>
      <c r="AD579" s="38">
        <f>IF(ISNUMBER($AB579),$AB579*(1+N($AC579)),"")</f>
      </c>
      <c r="AE579" s="35">
        <v>350</v>
      </c>
      <c r="AF579" s="35">
        <v>250</v>
      </c>
      <c r="AG579" s="37"/>
      <c r="AH579" s="39">
        <f>IF(ISNUMBER($AD579),($AD579+$AE579+$AF579)*$AG579,"")</f>
      </c>
      <c r="AI579" s="35"/>
      <c r="AJ579" s="38">
        <f>IF(ISNUMBER($AD579),SUM($AD579:$AH579),"")</f>
      </c>
      <c r="AK579" s="40">
        <f>IF(AND(ISNUMBER($AB579),ISNUMBER($AD579)),IF($AB579&gt;0,$AD579/$AB579,""),"")</f>
      </c>
      <c r="AL579" s="32" t="inlineStr">
        <is>
          <t xml:space="preserve">At technical</t>
        </is>
      </c>
      <c r="AM579" s="41">
        <f>IF(ISNUMBER($AD579),Header!$I$3,"")</f>
      </c>
      <c r="AN579" s="39">
        <f>IF(ISNUMBER($AD579),$AO579+$AP579,"")</f>
      </c>
      <c r="AO579" s="39">
        <f>IF(ISNUMBER($AD579),ROUND($AD579*Header!$K$3,2),"")</f>
      </c>
      <c r="AP579" s="39">
        <f>IF(ISNUMBER($AD579),ROUND($AD579*Header!$M$3,2),"")</f>
      </c>
      <c r="AQ579" s="38">
        <f>IF(ISNUMBER($AD579),ROUND($AD579,2)-$AO579-$AP579,"")</f>
      </c>
      <c r="AR579" s="39">
        <f>IF(ISNUMBER($AD579),IF(Header!$D$34="","?",$AD579*Header!$D$34),"")</f>
      </c>
      <c r="AS579" s="39">
        <f>IF(ISNUMBER($AB579),IF(Header!$D$34="","?",$AB579*Header!$D$34),"")</f>
      </c>
      <c r="AT579" s="42">
        <f>IF(AND(ISNUMBER($AB579),$M579&gt;0),$AB579/$M579*100,"")</f>
      </c>
      <c r="AU579" s="42">
        <f>IF(AND(ISNUMBER($AD579),$M579&gt;0),$AD579/$M579*100,"")</f>
      </c>
      <c r="AV579" s="40">
        <f>IF(AND(ISNUMBER($AB579),ISNUMBER($AD579),ABS($AB579)&gt;0),$AD579/$AB579,"")</f>
      </c>
      <c r="AW579" s="39">
        <f>IF(ISNUMBER($AD579),MAX(0,(1-0.55-Header!$O$3)*Header!$Q$3*$AQ579),"")</f>
      </c>
      <c r="AX579" s="43">
        <f>IF($A579="","",IF(TRIM(IF($A579="","Missing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",""))="","PASS","FAIL: "&amp;TRIM(IF($A579="","Missing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f>
      </c>
      <c r="AY579" s="44">
        <f>IF($M579="","",IF(ISNUMBER($M579),IF($M579&gt;=Header!$C$18,"YES — refer","No"),""))</f>
      </c>
      <c r="AZ579" s="44">
        <f>IF($AD579="","",IF(ISNUMBER($AD579),IF($AD579&lt;Header!$C$20,"BELOW MIN PREMIUM","OK"),""))</f>
      </c>
      <c r="BA579" s="32" t="inlineStr">
        <is>
          <t xml:space="preserve">Yes</t>
        </is>
      </c>
      <c r="BB579" s="32" t="inlineStr">
        <is>
          <t xml:space="preserve">Yes</t>
        </is>
      </c>
      <c r="BC579" s="30" t="inlineStr">
        <is>
          <t xml:space="preserve">Synthetic demo data</t>
        </is>
      </c>
      <c r="BE579" s="45">
        <f>IF(OR($A579="",$L579="",$H579=""),"",IF(AND(LEFT($L579,2)="06",$H579&gt;1945),"FAIL - pre-war class, year "&amp;$H579,IF(AND(LEFT($L579,2)="07",OR($H579&lt;1946,$H579&gt;1972)),"FAIL - 1946-72 class, year "&amp;$H579,IF(AND(LEFT($L579,2)="08",OR($H579&lt;1973,$H579&gt;1999)),"FAIL - 1973-99 class, year "&amp;$H579,IF(AND(LEFT($L579,2)="09",OR($H579&lt;2000,$H579&gt;2010)),"FAIL - 2000-10 class, year "&amp;$H579,"OK")))))</f>
      </c>
      <c r="BF579" s="45">
        <f>IF($AD579="","",IF(ROUND($AO579+$AP579+$AQ579-$AD579,2)=0,"OK","FAIL - out by "&amp;TEXT($AO579+$AP579+$AQ579-$AD579,"$0.00")))</f>
      </c>
    </row>
    <row r="580" spans="1:58" ht="18.75" customHeight="1" x14ac:dyDescent="0.25">
      <c r="A580" s="46" t="inlineStr">
        <is>
          <t xml:space="preserve">CANON-202604-007367</t>
        </is>
      </c>
      <c r="B580" s="46" t="inlineStr">
        <is>
          <t xml:space="preserve">Anouk Montoya</t>
        </is>
      </c>
      <c r="C580" s="47">
        <v>46141</v>
      </c>
      <c r="D580" s="48" t="inlineStr">
        <is>
          <t xml:space="preserve">Bound - within authority</t>
        </is>
      </c>
      <c r="E580" s="48" t="inlineStr">
        <is>
          <t xml:space="preserve">New business</t>
        </is>
      </c>
      <c r="F580" s="46" t="inlineStr">
        <is>
          <t xml:space="preserve">B1234EXOTIC26</t>
        </is>
      </c>
      <c r="G580" s="33">
        <f>IF($A580="","",IF($C580="","",YEAR($C580)))</f>
      </c>
      <c r="H580" s="49">
        <v>1966</v>
      </c>
      <c r="I580" s="46" t="inlineStr">
        <is>
          <t xml:space="preserve">Porsche</t>
        </is>
      </c>
      <c r="J580" s="46" t="inlineStr">
        <is>
          <t xml:space="preserve">911 Turbo S</t>
        </is>
      </c>
      <c r="K580" s="46" t="inlineStr">
        <is>
          <t xml:space="preserve">JGRZJKPV4DLJF3649</t>
        </is>
      </c>
      <c r="L580" s="48" t="inlineStr">
        <is>
          <t xml:space="preserve">02 - Sports / GT</t>
        </is>
      </c>
      <c r="M580" s="50">
        <v>525000</v>
      </c>
      <c r="N580" s="48" t="inlineStr">
        <is>
          <t xml:space="preserve">Personal</t>
        </is>
      </c>
      <c r="O580" s="46" t="inlineStr">
        <is>
          <t xml:space="preserve">Personal - regular use</t>
        </is>
      </c>
      <c r="P580" s="46" t="inlineStr">
        <is>
          <t xml:space="preserve">Under 1,000</t>
        </is>
      </c>
      <c r="Q580" s="46" t="inlineStr">
        <is>
          <t xml:space="preserve">West Virginia</t>
        </is>
      </c>
      <c r="R580" s="46" t="inlineStr">
        <is>
          <t xml:space="preserve">25301</t>
        </is>
      </c>
      <c r="S580" s="48" t="inlineStr">
        <is>
          <t xml:space="preserve">Low hazard - inland benign</t>
        </is>
      </c>
      <c r="T580" s="36">
        <f>IF($A580="","",IF($S580="","",IFERROR(INDEX('[1]natural catastrophe'!$D$6:$D$17,MATCH($S580,'[1]natural catastrophe'!$B$6:$B$17,0)),"?")))</f>
      </c>
      <c r="U580" s="46" t="inlineStr">
        <is>
          <t xml:space="preserve">$5,000</t>
        </is>
      </c>
      <c r="V580" s="48" t="inlineStr">
        <is>
          <t xml:space="preserve">Agreed Value</t>
        </is>
      </c>
      <c r="W580" s="46" t="inlineStr">
        <is>
          <t xml:space="preserve">$1,000</t>
        </is>
      </c>
      <c r="X580" s="48" t="inlineStr">
        <is>
          <t xml:space="preserve">$1,000,000 CSL</t>
        </is>
      </c>
      <c r="Y580" s="46"/>
      <c r="Z580" s="46"/>
      <c r="AA580" s="48" t="inlineStr">
        <is>
          <t xml:space="preserve">Surplus Lines</t>
        </is>
      </c>
      <c r="AB580" s="50">
        <v>7111.94</v>
      </c>
      <c r="AC580" s="51">
        <v>0</v>
      </c>
      <c r="AD580" s="38">
        <f>IF(ISNUMBER($AB580),$AB580*(1+N($AC580)),"")</f>
      </c>
      <c r="AE580" s="50">
        <v>350</v>
      </c>
      <c r="AF580" s="50">
        <v>0</v>
      </c>
      <c r="AG580" s="51"/>
      <c r="AH580" s="39">
        <f>IF(ISNUMBER($AD580),($AD580+$AE580+$AF580)*$AG580,"")</f>
      </c>
      <c r="AI580" s="50"/>
      <c r="AJ580" s="38">
        <f>IF(ISNUMBER($AD580),SUM($AD580:$AH580),"")</f>
      </c>
      <c r="AK580" s="40">
        <f>IF(AND(ISNUMBER($AB580),ISNUMBER($AD580)),IF($AB580&gt;0,$AD580/$AB580,""),"")</f>
      </c>
      <c r="AL580" s="48" t="inlineStr">
        <is>
          <t xml:space="preserve">At technical</t>
        </is>
      </c>
      <c r="AM580" s="41">
        <f>IF(ISNUMBER($AD580),Header!$I$3,"")</f>
      </c>
      <c r="AN580" s="39">
        <f>IF(ISNUMBER($AD580),$AO580+$AP580,"")</f>
      </c>
      <c r="AO580" s="39">
        <f>IF(ISNUMBER($AD580),ROUND($AD580*Header!$K$3,2),"")</f>
      </c>
      <c r="AP580" s="39">
        <f>IF(ISNUMBER($AD580),ROUND($AD580*Header!$M$3,2),"")</f>
      </c>
      <c r="AQ580" s="38">
        <f>IF(ISNUMBER($AD580),ROUND($AD580,2)-$AO580-$AP580,"")</f>
      </c>
      <c r="AR580" s="39">
        <f>IF(ISNUMBER($AD580),IF(Header!$D$34="","?",$AD580*Header!$D$34),"")</f>
      </c>
      <c r="AS580" s="39">
        <f>IF(ISNUMBER($AB580),IF(Header!$D$34="","?",$AB580*Header!$D$34),"")</f>
      </c>
      <c r="AT580" s="42">
        <f>IF(AND(ISNUMBER($AB580),$M580&gt;0),$AB580/$M580*100,"")</f>
      </c>
      <c r="AU580" s="42">
        <f>IF(AND(ISNUMBER($AD580),$M580&gt;0),$AD580/$M580*100,"")</f>
      </c>
      <c r="AV580" s="40">
        <f>IF(AND(ISNUMBER($AB580),ISNUMBER($AD580),ABS($AB580)&gt;0),$AD580/$AB580,"")</f>
      </c>
      <c r="AW580" s="39">
        <f>IF(ISNUMBER($AD580),MAX(0,(1-0.55-Header!$O$3)*Header!$Q$3*$AQ580),"")</f>
      </c>
      <c r="AX580" s="43">
        <f>IF($A580="","",IF(TRIM(IF($A580="","Missing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",""))="","PASS","FAIL: "&amp;TRIM(IF($A580="","Missing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f>
      </c>
      <c r="AY580" s="44">
        <f>IF($M580="","",IF(ISNUMBER($M580),IF($M580&gt;=Header!$C$18,"YES — refer","No"),""))</f>
      </c>
      <c r="AZ580" s="44">
        <f>IF($AD580="","",IF(ISNUMBER($AD580),IF($AD580&lt;Header!$C$20,"BELOW MIN PREMIUM","OK"),""))</f>
      </c>
      <c r="BA580" s="48" t="inlineStr">
        <is>
          <t xml:space="preserve">Yes</t>
        </is>
      </c>
      <c r="BB580" s="48" t="inlineStr">
        <is>
          <t xml:space="preserve">Yes</t>
        </is>
      </c>
      <c r="BC580" s="46" t="inlineStr">
        <is>
          <t xml:space="preserve">Synthetic demo data</t>
        </is>
      </c>
      <c r="BE580" s="45">
        <f>IF(OR($A580="",$L580="",$H580=""),"",IF(AND(LEFT($L580,2)="06",$H580&gt;1945),"FAIL - pre-war class, year "&amp;$H580,IF(AND(LEFT($L580,2)="07",OR($H580&lt;1946,$H580&gt;1972)),"FAIL - 1946-72 class, year "&amp;$H580,IF(AND(LEFT($L580,2)="08",OR($H580&lt;1973,$H580&gt;1999)),"FAIL - 1973-99 class, year "&amp;$H580,IF(AND(LEFT($L580,2)="09",OR($H580&lt;2000,$H580&gt;2010)),"FAIL - 2000-10 class, year "&amp;$H580,"OK")))))</f>
      </c>
      <c r="BF580" s="45">
        <f>IF($AD580="","",IF(ROUND($AO580+$AP580+$AQ580-$AD580,2)=0,"OK","FAIL - out by "&amp;TEXT($AO580+$AP580+$AQ580-$AD580,"$0.00")))</f>
      </c>
    </row>
    <row r="581" spans="1:58" ht="18.75" customHeight="1" x14ac:dyDescent="0.25">
      <c r="A581" s="30" t="inlineStr">
        <is>
          <t xml:space="preserve">CANON-202604-007368</t>
        </is>
      </c>
      <c r="B581" s="30" t="inlineStr">
        <is>
          <t xml:space="preserve">Desmond Farkas</t>
        </is>
      </c>
      <c r="C581" s="31">
        <v>46130</v>
      </c>
      <c r="D581" s="32" t="inlineStr">
        <is>
          <t xml:space="preserve">Bound - within authority</t>
        </is>
      </c>
      <c r="E581" s="32" t="inlineStr">
        <is>
          <t xml:space="preserve">New business</t>
        </is>
      </c>
      <c r="F581" s="30" t="inlineStr">
        <is>
          <t xml:space="preserve">B1234EXOTIC26</t>
        </is>
      </c>
      <c r="G581" s="33">
        <f>IF($A581="","",IF($C581="","",YEAR($C581)))</f>
      </c>
      <c r="H581" s="34">
        <v>2011</v>
      </c>
      <c r="I581" s="30" t="inlineStr">
        <is>
          <t xml:space="preserve">Mercedes-Benz</t>
        </is>
      </c>
      <c r="J581" s="30" t="inlineStr">
        <is>
          <t xml:space="preserve">280SL Pagoda</t>
        </is>
      </c>
      <c r="K581" s="30" t="inlineStr">
        <is>
          <t xml:space="preserve">4P7AYXB9DLN9BGBXV</t>
        </is>
      </c>
      <c r="L581" s="32" t="inlineStr">
        <is>
          <t xml:space="preserve">02 - Sports / GT</t>
        </is>
      </c>
      <c r="M581" s="35">
        <v>920000</v>
      </c>
      <c r="N581" s="32" t="inlineStr">
        <is>
          <t xml:space="preserve">Personal</t>
        </is>
      </c>
      <c r="O581" s="30" t="inlineStr">
        <is>
          <t xml:space="preserve">Personal - regular use</t>
        </is>
      </c>
      <c r="P581" s="30" t="inlineStr">
        <is>
          <t xml:space="preserve">2,500 - 5,000</t>
        </is>
      </c>
      <c r="Q581" s="30" t="inlineStr">
        <is>
          <t xml:space="preserve">Arkansas</t>
        </is>
      </c>
      <c r="R581" s="30" t="inlineStr">
        <is>
          <t xml:space="preserve">72201</t>
        </is>
      </c>
      <c r="S581" s="32" t="inlineStr">
        <is>
          <t xml:space="preserve">Severe convective - hail / tornado (moderate)</t>
        </is>
      </c>
      <c r="T581" s="36">
        <f>IF($A581="","",IF($S581="","",IFERROR(INDEX('[1]natural catastrophe'!$D$6:$D$17,MATCH($S581,'[1]natural catastrophe'!$B$6:$B$17,0)),"?")))</f>
      </c>
      <c r="U581" s="30" t="inlineStr">
        <is>
          <t xml:space="preserve">$5,000</t>
        </is>
      </c>
      <c r="V581" s="32" t="inlineStr">
        <is>
          <t xml:space="preserve">Agreed Value</t>
        </is>
      </c>
      <c r="W581" s="30" t="inlineStr">
        <is>
          <t xml:space="preserve">$1,000</t>
        </is>
      </c>
      <c r="X581" s="32" t="inlineStr">
        <is>
          <t xml:space="preserve">$1,000,000 CSL</t>
        </is>
      </c>
      <c r="Y581" s="30"/>
      <c r="Z581" s="30"/>
      <c r="AA581" s="32" t="inlineStr">
        <is>
          <t xml:space="preserve">Surplus Lines</t>
        </is>
      </c>
      <c r="AB581" s="35">
        <v>8554.59</v>
      </c>
      <c r="AC581" s="37">
        <v>0</v>
      </c>
      <c r="AD581" s="38">
        <f>IF(ISNUMBER($AB581),$AB581*(1+N($AC581)),"")</f>
      </c>
      <c r="AE581" s="35">
        <v>350</v>
      </c>
      <c r="AF581" s="35">
        <v>0</v>
      </c>
      <c r="AG581" s="37"/>
      <c r="AH581" s="39">
        <f>IF(ISNUMBER($AD581),($AD581+$AE581+$AF581)*$AG581,"")</f>
      </c>
      <c r="AI581" s="35"/>
      <c r="AJ581" s="38">
        <f>IF(ISNUMBER($AD581),SUM($AD581:$AH581),"")</f>
      </c>
      <c r="AK581" s="40">
        <f>IF(AND(ISNUMBER($AB581),ISNUMBER($AD581)),IF($AB581&gt;0,$AD581/$AB581,""),"")</f>
      </c>
      <c r="AL581" s="32" t="inlineStr">
        <is>
          <t xml:space="preserve">At technical</t>
        </is>
      </c>
      <c r="AM581" s="41">
        <f>IF(ISNUMBER($AD581),Header!$I$3,"")</f>
      </c>
      <c r="AN581" s="39">
        <f>IF(ISNUMBER($AD581),$AO581+$AP581,"")</f>
      </c>
      <c r="AO581" s="39">
        <f>IF(ISNUMBER($AD581),ROUND($AD581*Header!$K$3,2),"")</f>
      </c>
      <c r="AP581" s="39">
        <f>IF(ISNUMBER($AD581),ROUND($AD581*Header!$M$3,2),"")</f>
      </c>
      <c r="AQ581" s="38">
        <f>IF(ISNUMBER($AD581),ROUND($AD581,2)-$AO581-$AP581,"")</f>
      </c>
      <c r="AR581" s="39">
        <f>IF(ISNUMBER($AD581),IF(Header!$D$34="","?",$AD581*Header!$D$34),"")</f>
      </c>
      <c r="AS581" s="39">
        <f>IF(ISNUMBER($AB581),IF(Header!$D$34="","?",$AB581*Header!$D$34),"")</f>
      </c>
      <c r="AT581" s="42">
        <f>IF(AND(ISNUMBER($AB581),$M581&gt;0),$AB581/$M581*100,"")</f>
      </c>
      <c r="AU581" s="42">
        <f>IF(AND(ISNUMBER($AD581),$M581&gt;0),$AD581/$M581*100,"")</f>
      </c>
      <c r="AV581" s="40">
        <f>IF(AND(ISNUMBER($AB581),ISNUMBER($AD581),ABS($AB581)&gt;0),$AD581/$AB581,"")</f>
      </c>
      <c r="AW581" s="39">
        <f>IF(ISNUMBER($AD581),MAX(0,(1-0.55-Header!$O$3)*Header!$Q$3*$AQ581),"")</f>
      </c>
      <c r="AX581" s="43">
        <f>IF($A581="","",IF(TRIM(IF($A581="","Missing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",""))="","PASS","FAIL: "&amp;TRIM(IF($A581="","Missing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f>
      </c>
      <c r="AY581" s="44">
        <f>IF($M581="","",IF(ISNUMBER($M581),IF($M581&gt;=Header!$C$18,"YES — refer","No"),""))</f>
      </c>
      <c r="AZ581" s="44">
        <f>IF($AD581="","",IF(ISNUMBER($AD581),IF($AD581&lt;Header!$C$20,"BELOW MIN PREMIUM","OK"),""))</f>
      </c>
      <c r="BA581" s="32" t="inlineStr">
        <is>
          <t xml:space="preserve">Yes</t>
        </is>
      </c>
      <c r="BB581" s="32" t="inlineStr">
        <is>
          <t xml:space="preserve">Yes</t>
        </is>
      </c>
      <c r="BC581" s="30" t="inlineStr">
        <is>
          <t xml:space="preserve">Synthetic demo data</t>
        </is>
      </c>
      <c r="BE581" s="45">
        <f>IF(OR($A581="",$L581="",$H581=""),"",IF(AND(LEFT($L581,2)="06",$H581&gt;1945),"FAIL - pre-war class, year "&amp;$H581,IF(AND(LEFT($L581,2)="07",OR($H581&lt;1946,$H581&gt;1972)),"FAIL - 1946-72 class, year "&amp;$H581,IF(AND(LEFT($L581,2)="08",OR($H581&lt;1973,$H581&gt;1999)),"FAIL - 1973-99 class, year "&amp;$H581,IF(AND(LEFT($L581,2)="09",OR($H581&lt;2000,$H581&gt;2010)),"FAIL - 2000-10 class, year "&amp;$H581,"OK")))))</f>
      </c>
      <c r="BF581" s="45">
        <f>IF($AD581="","",IF(ROUND($AO581+$AP581+$AQ581-$AD581,2)=0,"OK","FAIL - out by "&amp;TEXT($AO581+$AP581+$AQ581-$AD581,"$0.00")))</f>
      </c>
    </row>
    <row r="582" spans="1:58" ht="18.75" customHeight="1" x14ac:dyDescent="0.25">
      <c r="A582" s="46" t="inlineStr">
        <is>
          <t xml:space="preserve">CANON-202604-007370</t>
        </is>
      </c>
      <c r="B582" s="46" t="inlineStr">
        <is>
          <t xml:space="preserve">Mireille Ashcombe</t>
        </is>
      </c>
      <c r="C582" s="47">
        <v>46129</v>
      </c>
      <c r="D582" s="48" t="inlineStr">
        <is>
          <t xml:space="preserve">Bound - within authority</t>
        </is>
      </c>
      <c r="E582" s="48" t="inlineStr">
        <is>
          <t xml:space="preserve">New business</t>
        </is>
      </c>
      <c r="F582" s="46" t="inlineStr">
        <is>
          <t xml:space="preserve">B1234EXOTIC26</t>
        </is>
      </c>
      <c r="G582" s="33">
        <f>IF($A582="","",IF($C582="","",YEAR($C582)))</f>
      </c>
      <c r="H582" s="49">
        <v>1987</v>
      </c>
      <c r="I582" s="46" t="inlineStr">
        <is>
          <t xml:space="preserve">Mercedes-Benz</t>
        </is>
      </c>
      <c r="J582" s="46" t="inlineStr">
        <is>
          <t xml:space="preserve">AMG GT</t>
        </is>
      </c>
      <c r="K582" s="46" t="inlineStr">
        <is>
          <t xml:space="preserve">XHPG975AX3BJZJPLS</t>
        </is>
      </c>
      <c r="L582" s="48" t="inlineStr">
        <is>
          <t xml:space="preserve">02 - Sports / GT</t>
        </is>
      </c>
      <c r="M582" s="50">
        <v>275000</v>
      </c>
      <c r="N582" s="48" t="inlineStr">
        <is>
          <t xml:space="preserve">Personal</t>
        </is>
      </c>
      <c r="O582" s="46" t="inlineStr">
        <is>
          <t xml:space="preserve">Personal - regular use</t>
        </is>
      </c>
      <c r="P582" s="46" t="inlineStr">
        <is>
          <t xml:space="preserve">2,500 - 5,000</t>
        </is>
      </c>
      <c r="Q582" s="46" t="inlineStr">
        <is>
          <t xml:space="preserve">Ohio</t>
        </is>
      </c>
      <c r="R582" s="46" t="inlineStr">
        <is>
          <t xml:space="preserve">43215</t>
        </is>
      </c>
      <c r="S582" s="48" t="inlineStr">
        <is>
          <t xml:space="preserve">Severe convective - hail / tornado (moderate)</t>
        </is>
      </c>
      <c r="T582" s="36">
        <f>IF($A582="","",IF($S582="","",IFERROR(INDEX('[1]natural catastrophe'!$D$6:$D$17,MATCH($S582,'[1]natural catastrophe'!$B$6:$B$17,0)),"?")))</f>
      </c>
      <c r="U582" s="46" t="inlineStr">
        <is>
          <t xml:space="preserve">$5,000</t>
        </is>
      </c>
      <c r="V582" s="48" t="inlineStr">
        <is>
          <t xml:space="preserve">Agreed Value</t>
        </is>
      </c>
      <c r="W582" s="46" t="inlineStr">
        <is>
          <t xml:space="preserve">$1,000</t>
        </is>
      </c>
      <c r="X582" s="48" t="inlineStr">
        <is>
          <t xml:space="preserve">$1,000,000 CSL</t>
        </is>
      </c>
      <c r="Y582" s="46"/>
      <c r="Z582" s="46"/>
      <c r="AA582" s="48" t="inlineStr">
        <is>
          <t xml:space="preserve">Surplus Lines</t>
        </is>
      </c>
      <c r="AB582" s="50">
        <v>4492.34</v>
      </c>
      <c r="AC582" s="51">
        <v>0</v>
      </c>
      <c r="AD582" s="38">
        <f>IF(ISNUMBER($AB582),$AB582*(1+N($AC582)),"")</f>
      </c>
      <c r="AE582" s="50">
        <v>350</v>
      </c>
      <c r="AF582" s="50">
        <v>0</v>
      </c>
      <c r="AG582" s="51"/>
      <c r="AH582" s="39">
        <f>IF(ISNUMBER($AD582),($AD582+$AE582+$AF582)*$AG582,"")</f>
      </c>
      <c r="AI582" s="50"/>
      <c r="AJ582" s="38">
        <f>IF(ISNUMBER($AD582),SUM($AD582:$AH582),"")</f>
      </c>
      <c r="AK582" s="40">
        <f>IF(AND(ISNUMBER($AB582),ISNUMBER($AD582)),IF($AB582&gt;0,$AD582/$AB582,""),"")</f>
      </c>
      <c r="AL582" s="48" t="inlineStr">
        <is>
          <t xml:space="preserve">At technical</t>
        </is>
      </c>
      <c r="AM582" s="41">
        <f>IF(ISNUMBER($AD582),Header!$I$3,"")</f>
      </c>
      <c r="AN582" s="39">
        <f>IF(ISNUMBER($AD582),$AO582+$AP582,"")</f>
      </c>
      <c r="AO582" s="39">
        <f>IF(ISNUMBER($AD582),ROUND($AD582*Header!$K$3,2),"")</f>
      </c>
      <c r="AP582" s="39">
        <f>IF(ISNUMBER($AD582),ROUND($AD582*Header!$M$3,2),"")</f>
      </c>
      <c r="AQ582" s="38">
        <f>IF(ISNUMBER($AD582),ROUND($AD582,2)-$AO582-$AP582,"")</f>
      </c>
      <c r="AR582" s="39">
        <f>IF(ISNUMBER($AD582),IF(Header!$D$34="","?",$AD582*Header!$D$34),"")</f>
      </c>
      <c r="AS582" s="39">
        <f>IF(ISNUMBER($AB582),IF(Header!$D$34="","?",$AB582*Header!$D$34),"")</f>
      </c>
      <c r="AT582" s="42">
        <f>IF(AND(ISNUMBER($AB582),$M582&gt;0),$AB582/$M582*100,"")</f>
      </c>
      <c r="AU582" s="42">
        <f>IF(AND(ISNUMBER($AD582),$M582&gt;0),$AD582/$M582*100,"")</f>
      </c>
      <c r="AV582" s="40">
        <f>IF(AND(ISNUMBER($AB582),ISNUMBER($AD582),ABS($AB582)&gt;0),$AD582/$AB582,"")</f>
      </c>
      <c r="AW582" s="39">
        <f>IF(ISNUMBER($AD582),MAX(0,(1-0.55-Header!$O$3)*Header!$Q$3*$AQ582),"")</f>
      </c>
      <c r="AX582" s="43">
        <f>IF($A582="","",IF(TRIM(IF($A582="","Missing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",""))="","PASS","FAIL: "&amp;TRIM(IF($A582="","Missing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f>
      </c>
      <c r="AY582" s="44">
        <f>IF($M582="","",IF(ISNUMBER($M582),IF($M582&gt;=Header!$C$18,"YES — refer","No"),""))</f>
      </c>
      <c r="AZ582" s="44">
        <f>IF($AD582="","",IF(ISNUMBER($AD582),IF($AD582&lt;Header!$C$20,"BELOW MIN PREMIUM","OK"),""))</f>
      </c>
      <c r="BA582" s="48" t="inlineStr">
        <is>
          <t xml:space="preserve">Yes</t>
        </is>
      </c>
      <c r="BB582" s="48" t="inlineStr">
        <is>
          <t xml:space="preserve">Yes</t>
        </is>
      </c>
      <c r="BC582" s="46" t="inlineStr">
        <is>
          <t xml:space="preserve">Synthetic demo data</t>
        </is>
      </c>
      <c r="BE582" s="45">
        <f>IF(OR($A582="",$L582="",$H582=""),"",IF(AND(LEFT($L582,2)="06",$H582&gt;1945),"FAIL - pre-war class, year "&amp;$H582,IF(AND(LEFT($L582,2)="07",OR($H582&lt;1946,$H582&gt;1972)),"FAIL - 1946-72 class, year "&amp;$H582,IF(AND(LEFT($L582,2)="08",OR($H582&lt;1973,$H582&gt;1999)),"FAIL - 1973-99 class, year "&amp;$H582,IF(AND(LEFT($L582,2)="09",OR($H582&lt;2000,$H582&gt;2010)),"FAIL - 2000-10 class, year "&amp;$H582,"OK")))))</f>
      </c>
      <c r="BF582" s="45">
        <f>IF($AD582="","",IF(ROUND($AO582+$AP582+$AQ582-$AD582,2)=0,"OK","FAIL - out by "&amp;TEXT($AO582+$AP582+$AQ582-$AD582,"$0.00")))</f>
      </c>
    </row>
    <row r="583" spans="1:58" ht="18.75" customHeight="1" x14ac:dyDescent="0.25">
      <c r="A583" s="30" t="inlineStr">
        <is>
          <t xml:space="preserve">CANON-202604-007372</t>
        </is>
      </c>
      <c r="B583" s="30" t="inlineStr">
        <is>
          <t xml:space="preserve">Ramona Vandermeer</t>
        </is>
      </c>
      <c r="C583" s="31">
        <v>46114</v>
      </c>
      <c r="D583" s="32" t="inlineStr">
        <is>
          <t xml:space="preserve">Bound - within authority</t>
        </is>
      </c>
      <c r="E583" s="32" t="inlineStr">
        <is>
          <t xml:space="preserve">New business</t>
        </is>
      </c>
      <c r="F583" s="30" t="inlineStr">
        <is>
          <t xml:space="preserve">B1234EXOTIC26</t>
        </is>
      </c>
      <c r="G583" s="33">
        <f>IF($A583="","",IF($C583="","",YEAR($C583)))</f>
      </c>
      <c r="H583" s="34">
        <v>1975</v>
      </c>
      <c r="I583" s="30" t="inlineStr">
        <is>
          <t xml:space="preserve">Ferrari</t>
        </is>
      </c>
      <c r="J583" s="30" t="inlineStr">
        <is>
          <t xml:space="preserve">SF90 Stradale</t>
        </is>
      </c>
      <c r="K583" s="30" t="inlineStr">
        <is>
          <t xml:space="preserve">KYTLB3TAGVD7ZHX74</t>
        </is>
      </c>
      <c r="L583" s="32" t="inlineStr">
        <is>
          <t xml:space="preserve">03 - Supercar</t>
        </is>
      </c>
      <c r="M583" s="35">
        <v>1475000</v>
      </c>
      <c r="N583" s="32" t="inlineStr">
        <is>
          <t xml:space="preserve">Personal</t>
        </is>
      </c>
      <c r="O583" s="30" t="inlineStr">
        <is>
          <t xml:space="preserve">Personal - regular use</t>
        </is>
      </c>
      <c r="P583" s="30" t="inlineStr">
        <is>
          <t xml:space="preserve">Under 1,000</t>
        </is>
      </c>
      <c r="Q583" s="30" t="inlineStr">
        <is>
          <t xml:space="preserve">Florida</t>
        </is>
      </c>
      <c r="R583" s="30" t="inlineStr">
        <is>
          <t xml:space="preserve">33139</t>
        </is>
      </c>
      <c r="S583" s="32" t="inlineStr">
        <is>
          <t xml:space="preserve">Tier 2 - Coastal wind (1-25 miles)</t>
        </is>
      </c>
      <c r="T583" s="36">
        <f>IF($A583="","",IF($S583="","",IFERROR(INDEX('[1]natural catastrophe'!$D$6:$D$17,MATCH($S583,'[1]natural catastrophe'!$B$6:$B$17,0)),"?")))</f>
      </c>
      <c r="U583" s="30" t="inlineStr">
        <is>
          <t xml:space="preserve">2% of agreed value, minimum $10,000</t>
        </is>
      </c>
      <c r="V583" s="32" t="inlineStr">
        <is>
          <t xml:space="preserve">Agreed Value</t>
        </is>
      </c>
      <c r="W583" s="30" t="inlineStr">
        <is>
          <t xml:space="preserve">$1,000</t>
        </is>
      </c>
      <c r="X583" s="32" t="inlineStr">
        <is>
          <t xml:space="preserve">$1,000,000 CSL</t>
        </is>
      </c>
      <c r="Y583" s="30"/>
      <c r="Z583" s="30"/>
      <c r="AA583" s="32" t="inlineStr">
        <is>
          <t xml:space="preserve">Surplus Lines</t>
        </is>
      </c>
      <c r="AB583" s="35">
        <v>26256.33</v>
      </c>
      <c r="AC583" s="37">
        <v>0</v>
      </c>
      <c r="AD583" s="38">
        <f>IF(ISNUMBER($AB583),$AB583*(1+N($AC583)),"")</f>
      </c>
      <c r="AE583" s="35">
        <v>350</v>
      </c>
      <c r="AF583" s="35">
        <v>250</v>
      </c>
      <c r="AG583" s="37"/>
      <c r="AH583" s="39">
        <f>IF(ISNUMBER($AD583),($AD583+$AE583+$AF583)*$AG583,"")</f>
      </c>
      <c r="AI583" s="35"/>
      <c r="AJ583" s="38">
        <f>IF(ISNUMBER($AD583),SUM($AD583:$AH583),"")</f>
      </c>
      <c r="AK583" s="40">
        <f>IF(AND(ISNUMBER($AB583),ISNUMBER($AD583)),IF($AB583&gt;0,$AD583/$AB583,""),"")</f>
      </c>
      <c r="AL583" s="32" t="inlineStr">
        <is>
          <t xml:space="preserve">At technical</t>
        </is>
      </c>
      <c r="AM583" s="41">
        <f>IF(ISNUMBER($AD583),Header!$I$3,"")</f>
      </c>
      <c r="AN583" s="39">
        <f>IF(ISNUMBER($AD583),$AO583+$AP583,"")</f>
      </c>
      <c r="AO583" s="39">
        <f>IF(ISNUMBER($AD583),ROUND($AD583*Header!$K$3,2),"")</f>
      </c>
      <c r="AP583" s="39">
        <f>IF(ISNUMBER($AD583),ROUND($AD583*Header!$M$3,2),"")</f>
      </c>
      <c r="AQ583" s="38">
        <f>IF(ISNUMBER($AD583),ROUND($AD583,2)-$AO583-$AP583,"")</f>
      </c>
      <c r="AR583" s="39">
        <f>IF(ISNUMBER($AD583),IF(Header!$D$34="","?",$AD583*Header!$D$34),"")</f>
      </c>
      <c r="AS583" s="39">
        <f>IF(ISNUMBER($AB583),IF(Header!$D$34="","?",$AB583*Header!$D$34),"")</f>
      </c>
      <c r="AT583" s="42">
        <f>IF(AND(ISNUMBER($AB583),$M583&gt;0),$AB583/$M583*100,"")</f>
      </c>
      <c r="AU583" s="42">
        <f>IF(AND(ISNUMBER($AD583),$M583&gt;0),$AD583/$M583*100,"")</f>
      </c>
      <c r="AV583" s="40">
        <f>IF(AND(ISNUMBER($AB583),ISNUMBER($AD583),ABS($AB583)&gt;0),$AD583/$AB583,"")</f>
      </c>
      <c r="AW583" s="39">
        <f>IF(ISNUMBER($AD583),MAX(0,(1-0.55-Header!$O$3)*Header!$Q$3*$AQ583),"")</f>
      </c>
      <c r="AX583" s="43">
        <f>IF($A583="","",IF(TRIM(IF($A583="","Missing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",""))="","PASS","FAIL: "&amp;TRIM(IF($A583="","Missing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f>
      </c>
      <c r="AY583" s="44">
        <f>IF($M583="","",IF(ISNUMBER($M583),IF($M583&gt;=Header!$C$18,"YES — refer","No"),""))</f>
      </c>
      <c r="AZ583" s="44">
        <f>IF($AD583="","",IF(ISNUMBER($AD583),IF($AD583&lt;Header!$C$20,"BELOW MIN PREMIUM","OK"),""))</f>
      </c>
      <c r="BA583" s="32" t="inlineStr">
        <is>
          <t xml:space="preserve">Yes</t>
        </is>
      </c>
      <c r="BB583" s="32" t="inlineStr">
        <is>
          <t xml:space="preserve">Yes</t>
        </is>
      </c>
      <c r="BC583" s="30" t="inlineStr">
        <is>
          <t xml:space="preserve">Synthetic demo data</t>
        </is>
      </c>
      <c r="BE583" s="45">
        <f>IF(OR($A583="",$L583="",$H583=""),"",IF(AND(LEFT($L583,2)="06",$H583&gt;1945),"FAIL - pre-war class, year "&amp;$H583,IF(AND(LEFT($L583,2)="07",OR($H583&lt;1946,$H583&gt;1972)),"FAIL - 1946-72 class, year "&amp;$H583,IF(AND(LEFT($L583,2)="08",OR($H583&lt;1973,$H583&gt;1999)),"FAIL - 1973-99 class, year "&amp;$H583,IF(AND(LEFT($L583,2)="09",OR($H583&lt;2000,$H583&gt;2010)),"FAIL - 2000-10 class, year "&amp;$H583,"OK")))))</f>
      </c>
      <c r="BF583" s="45">
        <f>IF($AD583="","",IF(ROUND($AO583+$AP583+$AQ583-$AD583,2)=0,"OK","FAIL - out by "&amp;TEXT($AO583+$AP583+$AQ583-$AD583,"$0.00")))</f>
      </c>
    </row>
    <row r="584" spans="1:58" ht="18.75" customHeight="1" x14ac:dyDescent="0.25">
      <c r="A584" s="46" t="inlineStr">
        <is>
          <t xml:space="preserve">CANON-202604-007373</t>
        </is>
      </c>
      <c r="B584" s="46" t="inlineStr">
        <is>
          <t xml:space="preserve">Beatrix Farkas</t>
        </is>
      </c>
      <c r="C584" s="47">
        <v>46119</v>
      </c>
      <c r="D584" s="48" t="inlineStr">
        <is>
          <t xml:space="preserve">Bound - within authority</t>
        </is>
      </c>
      <c r="E584" s="48" t="inlineStr">
        <is>
          <t xml:space="preserve">New business</t>
        </is>
      </c>
      <c r="F584" s="46" t="inlineStr">
        <is>
          <t xml:space="preserve">B1234EXOTIC26</t>
        </is>
      </c>
      <c r="G584" s="33">
        <f>IF($A584="","",IF($C584="","",YEAR($C584)))</f>
      </c>
      <c r="H584" s="49">
        <v>2022</v>
      </c>
      <c r="I584" s="46" t="inlineStr">
        <is>
          <t xml:space="preserve">Porsche</t>
        </is>
      </c>
      <c r="J584" s="46" t="inlineStr">
        <is>
          <t xml:space="preserve">911 Turbo S</t>
        </is>
      </c>
      <c r="K584" s="46" t="inlineStr">
        <is>
          <t xml:space="preserve">DWTE4LCS4NV62ZH4S</t>
        </is>
      </c>
      <c r="L584" s="48" t="inlineStr">
        <is>
          <t xml:space="preserve">02 - Sports / GT</t>
        </is>
      </c>
      <c r="M584" s="50">
        <v>705000</v>
      </c>
      <c r="N584" s="48" t="inlineStr">
        <is>
          <t xml:space="preserve">Personal</t>
        </is>
      </c>
      <c r="O584" s="46" t="inlineStr">
        <is>
          <t xml:space="preserve">Personal - regular use</t>
        </is>
      </c>
      <c r="P584" s="46" t="inlineStr">
        <is>
          <t xml:space="preserve">2,500 - 5,000</t>
        </is>
      </c>
      <c r="Q584" s="46" t="inlineStr">
        <is>
          <t xml:space="preserve">Montana</t>
        </is>
      </c>
      <c r="R584" s="46" t="inlineStr">
        <is>
          <t xml:space="preserve">59601</t>
        </is>
      </c>
      <c r="S584" s="48" t="inlineStr">
        <is>
          <t xml:space="preserve">Wildfire - WUI high hazard</t>
        </is>
      </c>
      <c r="T584" s="36">
        <f>IF($A584="","",IF($S584="","",IFERROR(INDEX('[1]natural catastrophe'!$D$6:$D$17,MATCH($S584,'[1]natural catastrophe'!$B$6:$B$17,0)),"?")))</f>
      </c>
      <c r="U584" s="46" t="inlineStr">
        <is>
          <t xml:space="preserve">$5,000</t>
        </is>
      </c>
      <c r="V584" s="48" t="inlineStr">
        <is>
          <t xml:space="preserve">Agreed Value</t>
        </is>
      </c>
      <c r="W584" s="46" t="inlineStr">
        <is>
          <t xml:space="preserve">$1,000</t>
        </is>
      </c>
      <c r="X584" s="48" t="inlineStr">
        <is>
          <t xml:space="preserve">$1,000,000 CSL</t>
        </is>
      </c>
      <c r="Y584" s="46"/>
      <c r="Z584" s="46"/>
      <c r="AA584" s="48" t="inlineStr">
        <is>
          <t xml:space="preserve">Surplus Lines</t>
        </is>
      </c>
      <c r="AB584" s="50">
        <v>6678.04</v>
      </c>
      <c r="AC584" s="51">
        <v>0</v>
      </c>
      <c r="AD584" s="38">
        <f>IF(ISNUMBER($AB584),$AB584*(1+N($AC584)),"")</f>
      </c>
      <c r="AE584" s="50">
        <v>350</v>
      </c>
      <c r="AF584" s="50">
        <v>0</v>
      </c>
      <c r="AG584" s="51"/>
      <c r="AH584" s="39">
        <f>IF(ISNUMBER($AD584),($AD584+$AE584+$AF584)*$AG584,"")</f>
      </c>
      <c r="AI584" s="50"/>
      <c r="AJ584" s="38">
        <f>IF(ISNUMBER($AD584),SUM($AD584:$AH584),"")</f>
      </c>
      <c r="AK584" s="40">
        <f>IF(AND(ISNUMBER($AB584),ISNUMBER($AD584)),IF($AB584&gt;0,$AD584/$AB584,""),"")</f>
      </c>
      <c r="AL584" s="48" t="inlineStr">
        <is>
          <t xml:space="preserve">At technical</t>
        </is>
      </c>
      <c r="AM584" s="41">
        <f>IF(ISNUMBER($AD584),Header!$I$3,"")</f>
      </c>
      <c r="AN584" s="39">
        <f>IF(ISNUMBER($AD584),$AO584+$AP584,"")</f>
      </c>
      <c r="AO584" s="39">
        <f>IF(ISNUMBER($AD584),ROUND($AD584*Header!$K$3,2),"")</f>
      </c>
      <c r="AP584" s="39">
        <f>IF(ISNUMBER($AD584),ROUND($AD584*Header!$M$3,2),"")</f>
      </c>
      <c r="AQ584" s="38">
        <f>IF(ISNUMBER($AD584),ROUND($AD584,2)-$AO584-$AP584,"")</f>
      </c>
      <c r="AR584" s="39">
        <f>IF(ISNUMBER($AD584),IF(Header!$D$34="","?",$AD584*Header!$D$34),"")</f>
      </c>
      <c r="AS584" s="39">
        <f>IF(ISNUMBER($AB584),IF(Header!$D$34="","?",$AB584*Header!$D$34),"")</f>
      </c>
      <c r="AT584" s="42">
        <f>IF(AND(ISNUMBER($AB584),$M584&gt;0),$AB584/$M584*100,"")</f>
      </c>
      <c r="AU584" s="42">
        <f>IF(AND(ISNUMBER($AD584),$M584&gt;0),$AD584/$M584*100,"")</f>
      </c>
      <c r="AV584" s="40">
        <f>IF(AND(ISNUMBER($AB584),ISNUMBER($AD584),ABS($AB584)&gt;0),$AD584/$AB584,"")</f>
      </c>
      <c r="AW584" s="39">
        <f>IF(ISNUMBER($AD584),MAX(0,(1-0.55-Header!$O$3)*Header!$Q$3*$AQ584),"")</f>
      </c>
      <c r="AX584" s="43">
        <f>IF($A584="","",IF(TRIM(IF($A584="","Missing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",""))="","PASS","FAIL: "&amp;TRIM(IF($A584="","Missing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f>
      </c>
      <c r="AY584" s="44">
        <f>IF($M584="","",IF(ISNUMBER($M584),IF($M584&gt;=Header!$C$18,"YES — refer","No"),""))</f>
      </c>
      <c r="AZ584" s="44">
        <f>IF($AD584="","",IF(ISNUMBER($AD584),IF($AD584&lt;Header!$C$20,"BELOW MIN PREMIUM","OK"),""))</f>
      </c>
      <c r="BA584" s="48" t="inlineStr">
        <is>
          <t xml:space="preserve">Yes</t>
        </is>
      </c>
      <c r="BB584" s="48" t="inlineStr">
        <is>
          <t xml:space="preserve">Yes</t>
        </is>
      </c>
      <c r="BC584" s="46" t="inlineStr">
        <is>
          <t xml:space="preserve">Synthetic demo data</t>
        </is>
      </c>
      <c r="BE584" s="45">
        <f>IF(OR($A584="",$L584="",$H584=""),"",IF(AND(LEFT($L584,2)="06",$H584&gt;1945),"FAIL - pre-war class, year "&amp;$H584,IF(AND(LEFT($L584,2)="07",OR($H584&lt;1946,$H584&gt;1972)),"FAIL - 1946-72 class, year "&amp;$H584,IF(AND(LEFT($L584,2)="08",OR($H584&lt;1973,$H584&gt;1999)),"FAIL - 1973-99 class, year "&amp;$H584,IF(AND(LEFT($L584,2)="09",OR($H584&lt;2000,$H584&gt;2010)),"FAIL - 2000-10 class, year "&amp;$H584,"OK")))))</f>
      </c>
      <c r="BF584" s="45">
        <f>IF($AD584="","",IF(ROUND($AO584+$AP584+$AQ584-$AD584,2)=0,"OK","FAIL - out by "&amp;TEXT($AO584+$AP584+$AQ584-$AD584,"$0.00")))</f>
      </c>
    </row>
    <row r="585" spans="1:58" ht="18.75" customHeight="1" x14ac:dyDescent="0.25">
      <c r="A585" s="30" t="inlineStr">
        <is>
          <t xml:space="preserve">CANON-202604-007374</t>
        </is>
      </c>
      <c r="B585" s="30" t="inlineStr">
        <is>
          <t xml:space="preserve">Anouk Okonkwo</t>
        </is>
      </c>
      <c r="C585" s="31">
        <v>46139</v>
      </c>
      <c r="D585" s="32" t="inlineStr">
        <is>
          <t xml:space="preserve">Bound - within authority</t>
        </is>
      </c>
      <c r="E585" s="32" t="inlineStr">
        <is>
          <t xml:space="preserve">New business</t>
        </is>
      </c>
      <c r="F585" s="30" t="inlineStr">
        <is>
          <t xml:space="preserve">B1234EXOTIC26</t>
        </is>
      </c>
      <c r="G585" s="33">
        <f>IF($A585="","",IF($C585="","",YEAR($C585)))</f>
      </c>
      <c r="H585" s="34">
        <v>1971</v>
      </c>
      <c r="I585" s="30" t="inlineStr">
        <is>
          <t xml:space="preserve">BMW</t>
        </is>
      </c>
      <c r="J585" s="30" t="inlineStr">
        <is>
          <t xml:space="preserve">M8 Competition</t>
        </is>
      </c>
      <c r="K585" s="30" t="inlineStr">
        <is>
          <t xml:space="preserve">8UAA8ZE435RHC72A2</t>
        </is>
      </c>
      <c r="L585" s="32" t="inlineStr">
        <is>
          <t xml:space="preserve">02 - Sports / GT</t>
        </is>
      </c>
      <c r="M585" s="35">
        <v>345000</v>
      </c>
      <c r="N585" s="32" t="inlineStr">
        <is>
          <t xml:space="preserve">Personal</t>
        </is>
      </c>
      <c r="O585" s="30" t="inlineStr">
        <is>
          <t xml:space="preserve">Personal - regular use</t>
        </is>
      </c>
      <c r="P585" s="30" t="inlineStr">
        <is>
          <t xml:space="preserve">Under 1,000</t>
        </is>
      </c>
      <c r="Q585" s="30" t="inlineStr">
        <is>
          <t xml:space="preserve">California</t>
        </is>
      </c>
      <c r="R585" s="30" t="inlineStr">
        <is>
          <t xml:space="preserve">90012</t>
        </is>
      </c>
      <c r="S585" s="32" t="inlineStr">
        <is>
          <t xml:space="preserve">Earthquake - high (CA, Cascadia, New Madrid)</t>
        </is>
      </c>
      <c r="T585" s="36">
        <f>IF($A585="","",IF($S585="","",IFERROR(INDEX('[1]natural catastrophe'!$D$6:$D$17,MATCH($S585,'[1]natural catastrophe'!$B$6:$B$17,0)),"?")))</f>
      </c>
      <c r="U585" s="30" t="inlineStr">
        <is>
          <t xml:space="preserve">$5,000</t>
        </is>
      </c>
      <c r="V585" s="32" t="inlineStr">
        <is>
          <t xml:space="preserve">Agreed Value</t>
        </is>
      </c>
      <c r="W585" s="30" t="inlineStr">
        <is>
          <t xml:space="preserve">$1,000</t>
        </is>
      </c>
      <c r="X585" s="32" t="inlineStr">
        <is>
          <t xml:space="preserve">$1,000,000 CSL</t>
        </is>
      </c>
      <c r="Y585" s="30"/>
      <c r="Z585" s="30"/>
      <c r="AA585" s="32" t="inlineStr">
        <is>
          <t xml:space="preserve">Surplus Lines</t>
        </is>
      </c>
      <c r="AB585" s="35">
        <v>5473.66</v>
      </c>
      <c r="AC585" s="37">
        <v>0</v>
      </c>
      <c r="AD585" s="38">
        <f>IF(ISNUMBER($AB585),$AB585*(1+N($AC585)),"")</f>
      </c>
      <c r="AE585" s="35">
        <v>350</v>
      </c>
      <c r="AF585" s="35">
        <v>0</v>
      </c>
      <c r="AG585" s="37"/>
      <c r="AH585" s="39">
        <f>IF(ISNUMBER($AD585),($AD585+$AE585+$AF585)*$AG585,"")</f>
      </c>
      <c r="AI585" s="35"/>
      <c r="AJ585" s="38">
        <f>IF(ISNUMBER($AD585),SUM($AD585:$AH585),"")</f>
      </c>
      <c r="AK585" s="40">
        <f>IF(AND(ISNUMBER($AB585),ISNUMBER($AD585)),IF($AB585&gt;0,$AD585/$AB585,""),"")</f>
      </c>
      <c r="AL585" s="32" t="inlineStr">
        <is>
          <t xml:space="preserve">At technical</t>
        </is>
      </c>
      <c r="AM585" s="41">
        <f>IF(ISNUMBER($AD585),Header!$I$3,"")</f>
      </c>
      <c r="AN585" s="39">
        <f>IF(ISNUMBER($AD585),$AO585+$AP585,"")</f>
      </c>
      <c r="AO585" s="39">
        <f>IF(ISNUMBER($AD585),ROUND($AD585*Header!$K$3,2),"")</f>
      </c>
      <c r="AP585" s="39">
        <f>IF(ISNUMBER($AD585),ROUND($AD585*Header!$M$3,2),"")</f>
      </c>
      <c r="AQ585" s="38">
        <f>IF(ISNUMBER($AD585),ROUND($AD585,2)-$AO585-$AP585,"")</f>
      </c>
      <c r="AR585" s="39">
        <f>IF(ISNUMBER($AD585),IF(Header!$D$34="","?",$AD585*Header!$D$34),"")</f>
      </c>
      <c r="AS585" s="39">
        <f>IF(ISNUMBER($AB585),IF(Header!$D$34="","?",$AB585*Header!$D$34),"")</f>
      </c>
      <c r="AT585" s="42">
        <f>IF(AND(ISNUMBER($AB585),$M585&gt;0),$AB585/$M585*100,"")</f>
      </c>
      <c r="AU585" s="42">
        <f>IF(AND(ISNUMBER($AD585),$M585&gt;0),$AD585/$M585*100,"")</f>
      </c>
      <c r="AV585" s="40">
        <f>IF(AND(ISNUMBER($AB585),ISNUMBER($AD585),ABS($AB585)&gt;0),$AD585/$AB585,"")</f>
      </c>
      <c r="AW585" s="39">
        <f>IF(ISNUMBER($AD585),MAX(0,(1-0.55-Header!$O$3)*Header!$Q$3*$AQ585),"")</f>
      </c>
      <c r="AX585" s="43">
        <f>IF($A585="","",IF(TRIM(IF($A585="","Missing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",""))="","PASS","FAIL: "&amp;TRIM(IF($A585="","Missing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f>
      </c>
      <c r="AY585" s="44">
        <f>IF($M585="","",IF(ISNUMBER($M585),IF($M585&gt;=Header!$C$18,"YES — refer","No"),""))</f>
      </c>
      <c r="AZ585" s="44">
        <f>IF($AD585="","",IF(ISNUMBER($AD585),IF($AD585&lt;Header!$C$20,"BELOW MIN PREMIUM","OK"),""))</f>
      </c>
      <c r="BA585" s="32" t="inlineStr">
        <is>
          <t xml:space="preserve">Yes</t>
        </is>
      </c>
      <c r="BB585" s="32" t="inlineStr">
        <is>
          <t xml:space="preserve">Yes</t>
        </is>
      </c>
      <c r="BC585" s="30" t="inlineStr">
        <is>
          <t xml:space="preserve">Synthetic demo data</t>
        </is>
      </c>
      <c r="BE585" s="45">
        <f>IF(OR($A585="",$L585="",$H585=""),"",IF(AND(LEFT($L585,2)="06",$H585&gt;1945),"FAIL - pre-war class, year "&amp;$H585,IF(AND(LEFT($L585,2)="07",OR($H585&lt;1946,$H585&gt;1972)),"FAIL - 1946-72 class, year "&amp;$H585,IF(AND(LEFT($L585,2)="08",OR($H585&lt;1973,$H585&gt;1999)),"FAIL - 1973-99 class, year "&amp;$H585,IF(AND(LEFT($L585,2)="09",OR($H585&lt;2000,$H585&gt;2010)),"FAIL - 2000-10 class, year "&amp;$H585,"OK")))))</f>
      </c>
      <c r="BF585" s="45">
        <f>IF($AD585="","",IF(ROUND($AO585+$AP585+$AQ585-$AD585,2)=0,"OK","FAIL - out by "&amp;TEXT($AO585+$AP585+$AQ585-$AD585,"$0.00")))</f>
      </c>
    </row>
    <row r="586" spans="1:58" ht="18.75" customHeight="1" x14ac:dyDescent="0.25">
      <c r="A586" s="46" t="inlineStr">
        <is>
          <t xml:space="preserve">CANON-202604-007377</t>
        </is>
      </c>
      <c r="B586" s="46" t="inlineStr">
        <is>
          <t xml:space="preserve">Noor Vandermeer</t>
        </is>
      </c>
      <c r="C586" s="47">
        <v>46132</v>
      </c>
      <c r="D586" s="48" t="inlineStr">
        <is>
          <t xml:space="preserve">Bound - within authority</t>
        </is>
      </c>
      <c r="E586" s="48" t="inlineStr">
        <is>
          <t xml:space="preserve">New business</t>
        </is>
      </c>
      <c r="F586" s="46" t="inlineStr">
        <is>
          <t xml:space="preserve">B1234EXOTIC26</t>
        </is>
      </c>
      <c r="G586" s="33">
        <f>IF($A586="","",IF($C586="","",YEAR($C586)))</f>
      </c>
      <c r="H586" s="49">
        <v>1984</v>
      </c>
      <c r="I586" s="46" t="inlineStr">
        <is>
          <t xml:space="preserve">Jaguar</t>
        </is>
      </c>
      <c r="J586" s="46" t="inlineStr">
        <is>
          <t xml:space="preserve">E-Type Series 1</t>
        </is>
      </c>
      <c r="K586" s="46" t="inlineStr">
        <is>
          <t xml:space="preserve">H77812U6ZBFGY7NHH</t>
        </is>
      </c>
      <c r="L586" s="48" t="inlineStr">
        <is>
          <t xml:space="preserve">08 - Modern Classic (1973-1999)</t>
        </is>
      </c>
      <c r="M586" s="50">
        <v>1260000</v>
      </c>
      <c r="N586" s="48" t="inlineStr">
        <is>
          <t xml:space="preserve">Personal</t>
        </is>
      </c>
      <c r="O586" s="46" t="inlineStr">
        <is>
          <t xml:space="preserve">Personal - regular use</t>
        </is>
      </c>
      <c r="P586" s="46" t="inlineStr">
        <is>
          <t xml:space="preserve">2,500 - 5,000</t>
        </is>
      </c>
      <c r="Q586" s="46" t="inlineStr">
        <is>
          <t xml:space="preserve">Wisconsin</t>
        </is>
      </c>
      <c r="R586" s="46" t="inlineStr">
        <is>
          <t xml:space="preserve">53202</t>
        </is>
      </c>
      <c r="S586" s="48" t="inlineStr">
        <is>
          <t xml:space="preserve">Severe convective - hail / tornado (moderate)</t>
        </is>
      </c>
      <c r="T586" s="36">
        <f>IF($A586="","",IF($S586="","",IFERROR(INDEX('[1]natural catastrophe'!$D$6:$D$17,MATCH($S586,'[1]natural catastrophe'!$B$6:$B$17,0)),"?")))</f>
      </c>
      <c r="U586" s="46" t="inlineStr">
        <is>
          <t xml:space="preserve">$5,000</t>
        </is>
      </c>
      <c r="V586" s="48" t="inlineStr">
        <is>
          <t xml:space="preserve">Agreed Value</t>
        </is>
      </c>
      <c r="W586" s="46" t="inlineStr">
        <is>
          <t xml:space="preserve">$1,000</t>
        </is>
      </c>
      <c r="X586" s="48" t="inlineStr">
        <is>
          <t xml:space="preserve">$1,000,000 CSL</t>
        </is>
      </c>
      <c r="Y586" s="46"/>
      <c r="Z586" s="46"/>
      <c r="AA586" s="48" t="inlineStr">
        <is>
          <t xml:space="preserve">Surplus Lines</t>
        </is>
      </c>
      <c r="AB586" s="50">
        <v>9003.24</v>
      </c>
      <c r="AC586" s="51">
        <v>0</v>
      </c>
      <c r="AD586" s="38">
        <f>IF(ISNUMBER($AB586),$AB586*(1+N($AC586)),"")</f>
      </c>
      <c r="AE586" s="50">
        <v>350</v>
      </c>
      <c r="AF586" s="50">
        <v>250</v>
      </c>
      <c r="AG586" s="51"/>
      <c r="AH586" s="39">
        <f>IF(ISNUMBER($AD586),($AD586+$AE586+$AF586)*$AG586,"")</f>
      </c>
      <c r="AI586" s="50"/>
      <c r="AJ586" s="38">
        <f>IF(ISNUMBER($AD586),SUM($AD586:$AH586),"")</f>
      </c>
      <c r="AK586" s="40">
        <f>IF(AND(ISNUMBER($AB586),ISNUMBER($AD586)),IF($AB586&gt;0,$AD586/$AB586,""),"")</f>
      </c>
      <c r="AL586" s="48" t="inlineStr">
        <is>
          <t xml:space="preserve">At technical</t>
        </is>
      </c>
      <c r="AM586" s="41">
        <f>IF(ISNUMBER($AD586),Header!$I$3,"")</f>
      </c>
      <c r="AN586" s="39">
        <f>IF(ISNUMBER($AD586),$AO586+$AP586,"")</f>
      </c>
      <c r="AO586" s="39">
        <f>IF(ISNUMBER($AD586),ROUND($AD586*Header!$K$3,2),"")</f>
      </c>
      <c r="AP586" s="39">
        <f>IF(ISNUMBER($AD586),ROUND($AD586*Header!$M$3,2),"")</f>
      </c>
      <c r="AQ586" s="38">
        <f>IF(ISNUMBER($AD586),ROUND($AD586,2)-$AO586-$AP586,"")</f>
      </c>
      <c r="AR586" s="39">
        <f>IF(ISNUMBER($AD586),IF(Header!$D$34="","?",$AD586*Header!$D$34),"")</f>
      </c>
      <c r="AS586" s="39">
        <f>IF(ISNUMBER($AB586),IF(Header!$D$34="","?",$AB586*Header!$D$34),"")</f>
      </c>
      <c r="AT586" s="42">
        <f>IF(AND(ISNUMBER($AB586),$M586&gt;0),$AB586/$M586*100,"")</f>
      </c>
      <c r="AU586" s="42">
        <f>IF(AND(ISNUMBER($AD586),$M586&gt;0),$AD586/$M586*100,"")</f>
      </c>
      <c r="AV586" s="40">
        <f>IF(AND(ISNUMBER($AB586),ISNUMBER($AD586),ABS($AB586)&gt;0),$AD586/$AB586,"")</f>
      </c>
      <c r="AW586" s="39">
        <f>IF(ISNUMBER($AD586),MAX(0,(1-0.55-Header!$O$3)*Header!$Q$3*$AQ586),"")</f>
      </c>
      <c r="AX586" s="43">
        <f>IF($A586="","",IF(TRIM(IF($A586="","Missing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",""))="","PASS","FAIL: "&amp;TRIM(IF($A586="","Missing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f>
      </c>
      <c r="AY586" s="44">
        <f>IF($M586="","",IF(ISNUMBER($M586),IF($M586&gt;=Header!$C$18,"YES — refer","No"),""))</f>
      </c>
      <c r="AZ586" s="44">
        <f>IF($AD586="","",IF(ISNUMBER($AD586),IF($AD586&lt;Header!$C$20,"BELOW MIN PREMIUM","OK"),""))</f>
      </c>
      <c r="BA586" s="48" t="inlineStr">
        <is>
          <t xml:space="preserve">Yes</t>
        </is>
      </c>
      <c r="BB586" s="48" t="inlineStr">
        <is>
          <t xml:space="preserve">Yes</t>
        </is>
      </c>
      <c r="BC586" s="46" t="inlineStr">
        <is>
          <t xml:space="preserve">Synthetic demo data</t>
        </is>
      </c>
      <c r="BE586" s="45">
        <f>IF(OR($A586="",$L586="",$H586=""),"",IF(AND(LEFT($L586,2)="06",$H586&gt;1945),"FAIL - pre-war class, year "&amp;$H586,IF(AND(LEFT($L586,2)="07",OR($H586&lt;1946,$H586&gt;1972)),"FAIL - 1946-72 class, year "&amp;$H586,IF(AND(LEFT($L586,2)="08",OR($H586&lt;1973,$H586&gt;1999)),"FAIL - 1973-99 class, year "&amp;$H586,IF(AND(LEFT($L586,2)="09",OR($H586&lt;2000,$H586&gt;2010)),"FAIL - 2000-10 class, year "&amp;$H586,"OK")))))</f>
      </c>
      <c r="BF586" s="45">
        <f>IF($AD586="","",IF(ROUND($AO586+$AP586+$AQ586-$AD586,2)=0,"OK","FAIL - out by "&amp;TEXT($AO586+$AP586+$AQ586-$AD586,"$0.00")))</f>
      </c>
    </row>
    <row r="587" spans="1:58" ht="18.75" customHeight="1" x14ac:dyDescent="0.25">
      <c r="A587" s="30" t="inlineStr">
        <is>
          <t xml:space="preserve">CANON-202604-007381</t>
        </is>
      </c>
      <c r="B587" s="30" t="inlineStr">
        <is>
          <t xml:space="preserve">Anouk Montoya</t>
        </is>
      </c>
      <c r="C587" s="31">
        <v>46129</v>
      </c>
      <c r="D587" s="32" t="inlineStr">
        <is>
          <t xml:space="preserve">Bound - within authority</t>
        </is>
      </c>
      <c r="E587" s="32" t="inlineStr">
        <is>
          <t xml:space="preserve">New business</t>
        </is>
      </c>
      <c r="F587" s="30" t="inlineStr">
        <is>
          <t xml:space="preserve">B1234EXOTIC26</t>
        </is>
      </c>
      <c r="G587" s="33">
        <f>IF($A587="","",IF($C587="","",YEAR($C587)))</f>
      </c>
      <c r="H587" s="34">
        <v>1982</v>
      </c>
      <c r="I587" s="30" t="inlineStr">
        <is>
          <t xml:space="preserve">Mercedes-Benz</t>
        </is>
      </c>
      <c r="J587" s="30" t="inlineStr">
        <is>
          <t xml:space="preserve">280SL Pagoda</t>
        </is>
      </c>
      <c r="K587" s="30" t="inlineStr">
        <is>
          <t xml:space="preserve">K53Y4ABLA89BJK1H7</t>
        </is>
      </c>
      <c r="L587" s="32" t="inlineStr">
        <is>
          <t xml:space="preserve">08 - Modern Classic (1973-1999)</t>
        </is>
      </c>
      <c r="M587" s="35">
        <v>825000</v>
      </c>
      <c r="N587" s="32" t="inlineStr">
        <is>
          <t xml:space="preserve">Personal</t>
        </is>
      </c>
      <c r="O587" s="30" t="inlineStr">
        <is>
          <t xml:space="preserve">Personal - regular use</t>
        </is>
      </c>
      <c r="P587" s="30" t="inlineStr">
        <is>
          <t xml:space="preserve">2,500 - 5,000</t>
        </is>
      </c>
      <c r="Q587" s="30" t="inlineStr">
        <is>
          <t xml:space="preserve">California</t>
        </is>
      </c>
      <c r="R587" s="30" t="inlineStr">
        <is>
          <t xml:space="preserve">90012</t>
        </is>
      </c>
      <c r="S587" s="32" t="inlineStr">
        <is>
          <t xml:space="preserve">Earthquake - high (CA, Cascadia, New Madrid)</t>
        </is>
      </c>
      <c r="T587" s="36">
        <f>IF($A587="","",IF($S587="","",IFERROR(INDEX('[1]natural catastrophe'!$D$6:$D$17,MATCH($S587,'[1]natural catastrophe'!$B$6:$B$17,0)),"?")))</f>
      </c>
      <c r="U587" s="30" t="inlineStr">
        <is>
          <t xml:space="preserve">$5,000</t>
        </is>
      </c>
      <c r="V587" s="32" t="inlineStr">
        <is>
          <t xml:space="preserve">Agreed Value</t>
        </is>
      </c>
      <c r="W587" s="30" t="inlineStr">
        <is>
          <t xml:space="preserve">$1,000</t>
        </is>
      </c>
      <c r="X587" s="32" t="inlineStr">
        <is>
          <t xml:space="preserve">$1,000,000 CSL</t>
        </is>
      </c>
      <c r="Y587" s="30"/>
      <c r="Z587" s="30"/>
      <c r="AA587" s="32" t="inlineStr">
        <is>
          <t xml:space="preserve">Surplus Lines</t>
        </is>
      </c>
      <c r="AB587" s="35">
        <v>7504.46</v>
      </c>
      <c r="AC587" s="37">
        <v>0</v>
      </c>
      <c r="AD587" s="38">
        <f>IF(ISNUMBER($AB587),$AB587*(1+N($AC587)),"")</f>
      </c>
      <c r="AE587" s="35">
        <v>350</v>
      </c>
      <c r="AF587" s="35">
        <v>0</v>
      </c>
      <c r="AG587" s="37"/>
      <c r="AH587" s="39">
        <f>IF(ISNUMBER($AD587),($AD587+$AE587+$AF587)*$AG587,"")</f>
      </c>
      <c r="AI587" s="35"/>
      <c r="AJ587" s="38">
        <f>IF(ISNUMBER($AD587),SUM($AD587:$AH587),"")</f>
      </c>
      <c r="AK587" s="40">
        <f>IF(AND(ISNUMBER($AB587),ISNUMBER($AD587)),IF($AB587&gt;0,$AD587/$AB587,""),"")</f>
      </c>
      <c r="AL587" s="32" t="inlineStr">
        <is>
          <t xml:space="preserve">At technical</t>
        </is>
      </c>
      <c r="AM587" s="41">
        <f>IF(ISNUMBER($AD587),Header!$I$3,"")</f>
      </c>
      <c r="AN587" s="39">
        <f>IF(ISNUMBER($AD587),$AO587+$AP587,"")</f>
      </c>
      <c r="AO587" s="39">
        <f>IF(ISNUMBER($AD587),ROUND($AD587*Header!$K$3,2),"")</f>
      </c>
      <c r="AP587" s="39">
        <f>IF(ISNUMBER($AD587),ROUND($AD587*Header!$M$3,2),"")</f>
      </c>
      <c r="AQ587" s="38">
        <f>IF(ISNUMBER($AD587),ROUND($AD587,2)-$AO587-$AP587,"")</f>
      </c>
      <c r="AR587" s="39">
        <f>IF(ISNUMBER($AD587),IF(Header!$D$34="","?",$AD587*Header!$D$34),"")</f>
      </c>
      <c r="AS587" s="39">
        <f>IF(ISNUMBER($AB587),IF(Header!$D$34="","?",$AB587*Header!$D$34),"")</f>
      </c>
      <c r="AT587" s="42">
        <f>IF(AND(ISNUMBER($AB587),$M587&gt;0),$AB587/$M587*100,"")</f>
      </c>
      <c r="AU587" s="42">
        <f>IF(AND(ISNUMBER($AD587),$M587&gt;0),$AD587/$M587*100,"")</f>
      </c>
      <c r="AV587" s="40">
        <f>IF(AND(ISNUMBER($AB587),ISNUMBER($AD587),ABS($AB587)&gt;0),$AD587/$AB587,"")</f>
      </c>
      <c r="AW587" s="39">
        <f>IF(ISNUMBER($AD587),MAX(0,(1-0.55-Header!$O$3)*Header!$Q$3*$AQ587),"")</f>
      </c>
      <c r="AX587" s="43">
        <f>IF($A587="","",IF(TRIM(IF($A587="","Missing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",""))="","PASS","FAIL: "&amp;TRIM(IF($A587="","Missing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f>
      </c>
      <c r="AY587" s="44">
        <f>IF($M587="","",IF(ISNUMBER($M587),IF($M587&gt;=Header!$C$18,"YES — refer","No"),""))</f>
      </c>
      <c r="AZ587" s="44">
        <f>IF($AD587="","",IF(ISNUMBER($AD587),IF($AD587&lt;Header!$C$20,"BELOW MIN PREMIUM","OK"),""))</f>
      </c>
      <c r="BA587" s="32" t="inlineStr">
        <is>
          <t xml:space="preserve">Yes</t>
        </is>
      </c>
      <c r="BB587" s="32" t="inlineStr">
        <is>
          <t xml:space="preserve">Yes</t>
        </is>
      </c>
      <c r="BC587" s="30" t="inlineStr">
        <is>
          <t xml:space="preserve">Synthetic demo data</t>
        </is>
      </c>
      <c r="BE587" s="45">
        <f>IF(OR($A587="",$L587="",$H587=""),"",IF(AND(LEFT($L587,2)="06",$H587&gt;1945),"FAIL - pre-war class, year "&amp;$H587,IF(AND(LEFT($L587,2)="07",OR($H587&lt;1946,$H587&gt;1972)),"FAIL - 1946-72 class, year "&amp;$H587,IF(AND(LEFT($L587,2)="08",OR($H587&lt;1973,$H587&gt;1999)),"FAIL - 1973-99 class, year "&amp;$H587,IF(AND(LEFT($L587,2)="09",OR($H587&lt;2000,$H587&gt;2010)),"FAIL - 2000-10 class, year "&amp;$H587,"OK")))))</f>
      </c>
      <c r="BF587" s="45">
        <f>IF($AD587="","",IF(ROUND($AO587+$AP587+$AQ587-$AD587,2)=0,"OK","FAIL - out by "&amp;TEXT($AO587+$AP587+$AQ587-$AD587,"$0.00")))</f>
      </c>
    </row>
    <row r="588" spans="1:58" ht="18.75" customHeight="1" x14ac:dyDescent="0.25">
      <c r="A588" s="46" t="inlineStr">
        <is>
          <t xml:space="preserve">CANON-202604-007382</t>
        </is>
      </c>
      <c r="B588" s="46" t="inlineStr">
        <is>
          <t xml:space="preserve">Cassius Kingsford</t>
        </is>
      </c>
      <c r="C588" s="47">
        <v>46123</v>
      </c>
      <c r="D588" s="48" t="inlineStr">
        <is>
          <t xml:space="preserve">Bound - within authority</t>
        </is>
      </c>
      <c r="E588" s="48" t="inlineStr">
        <is>
          <t xml:space="preserve">New business</t>
        </is>
      </c>
      <c r="F588" s="46" t="inlineStr">
        <is>
          <t xml:space="preserve">B1234EXOTIC26</t>
        </is>
      </c>
      <c r="G588" s="33">
        <f>IF($A588="","",IF($C588="","",YEAR($C588)))</f>
      </c>
      <c r="H588" s="49">
        <v>1969</v>
      </c>
      <c r="I588" s="46" t="inlineStr">
        <is>
          <t xml:space="preserve">Ferrari</t>
        </is>
      </c>
      <c r="J588" s="46" t="inlineStr">
        <is>
          <t xml:space="preserve">SF90 Stradale</t>
        </is>
      </c>
      <c r="K588" s="46" t="inlineStr">
        <is>
          <t xml:space="preserve">JC46FSBDFPMZXM1AZ</t>
        </is>
      </c>
      <c r="L588" s="48" t="inlineStr">
        <is>
          <t xml:space="preserve">03 - Supercar</t>
        </is>
      </c>
      <c r="M588" s="50">
        <v>370000</v>
      </c>
      <c r="N588" s="48" t="inlineStr">
        <is>
          <t xml:space="preserve">Personal</t>
        </is>
      </c>
      <c r="O588" s="46" t="inlineStr">
        <is>
          <t xml:space="preserve">Personal - regular use</t>
        </is>
      </c>
      <c r="P588" s="46" t="inlineStr">
        <is>
          <t xml:space="preserve">1,000 - 2,500</t>
        </is>
      </c>
      <c r="Q588" s="46" t="inlineStr">
        <is>
          <t xml:space="preserve">New Jersey</t>
        </is>
      </c>
      <c r="R588" s="46" t="inlineStr">
        <is>
          <t xml:space="preserve">07102</t>
        </is>
      </c>
      <c r="S588" s="48" t="inlineStr">
        <is>
          <t xml:space="preserve">Tier 3 - Coastal wind (25-100 miles)</t>
        </is>
      </c>
      <c r="T588" s="36">
        <f>IF($A588="","",IF($S588="","",IFERROR(INDEX('[1]natural catastrophe'!$D$6:$D$17,MATCH($S588,'[1]natural catastrophe'!$B$6:$B$17,0)),"?")))</f>
      </c>
      <c r="U588" s="46" t="inlineStr">
        <is>
          <t xml:space="preserve">2% of agreed value, minimum $10,000</t>
        </is>
      </c>
      <c r="V588" s="48" t="inlineStr">
        <is>
          <t xml:space="preserve">Agreed Value</t>
        </is>
      </c>
      <c r="W588" s="46" t="inlineStr">
        <is>
          <t xml:space="preserve">$1,000</t>
        </is>
      </c>
      <c r="X588" s="48" t="inlineStr">
        <is>
          <t xml:space="preserve">$1,000,000 CSL</t>
        </is>
      </c>
      <c r="Y588" s="46"/>
      <c r="Z588" s="46"/>
      <c r="AA588" s="48" t="inlineStr">
        <is>
          <t xml:space="preserve">Surplus Lines</t>
        </is>
      </c>
      <c r="AB588" s="50">
        <v>6067.43</v>
      </c>
      <c r="AC588" s="51">
        <v>0</v>
      </c>
      <c r="AD588" s="38">
        <f>IF(ISNUMBER($AB588),$AB588*(1+N($AC588)),"")</f>
      </c>
      <c r="AE588" s="50">
        <v>350</v>
      </c>
      <c r="AF588" s="50">
        <v>0</v>
      </c>
      <c r="AG588" s="51"/>
      <c r="AH588" s="39">
        <f>IF(ISNUMBER($AD588),($AD588+$AE588+$AF588)*$AG588,"")</f>
      </c>
      <c r="AI588" s="50"/>
      <c r="AJ588" s="38">
        <f>IF(ISNUMBER($AD588),SUM($AD588:$AH588),"")</f>
      </c>
      <c r="AK588" s="40">
        <f>IF(AND(ISNUMBER($AB588),ISNUMBER($AD588)),IF($AB588&gt;0,$AD588/$AB588,""),"")</f>
      </c>
      <c r="AL588" s="48" t="inlineStr">
        <is>
          <t xml:space="preserve">At technical</t>
        </is>
      </c>
      <c r="AM588" s="41">
        <f>IF(ISNUMBER($AD588),Header!$I$3,"")</f>
      </c>
      <c r="AN588" s="39">
        <f>IF(ISNUMBER($AD588),$AO588+$AP588,"")</f>
      </c>
      <c r="AO588" s="39">
        <f>IF(ISNUMBER($AD588),ROUND($AD588*Header!$K$3,2),"")</f>
      </c>
      <c r="AP588" s="39">
        <f>IF(ISNUMBER($AD588),ROUND($AD588*Header!$M$3,2),"")</f>
      </c>
      <c r="AQ588" s="38">
        <f>IF(ISNUMBER($AD588),ROUND($AD588,2)-$AO588-$AP588,"")</f>
      </c>
      <c r="AR588" s="39">
        <f>IF(ISNUMBER($AD588),IF(Header!$D$34="","?",$AD588*Header!$D$34),"")</f>
      </c>
      <c r="AS588" s="39">
        <f>IF(ISNUMBER($AB588),IF(Header!$D$34="","?",$AB588*Header!$D$34),"")</f>
      </c>
      <c r="AT588" s="42">
        <f>IF(AND(ISNUMBER($AB588),$M588&gt;0),$AB588/$M588*100,"")</f>
      </c>
      <c r="AU588" s="42">
        <f>IF(AND(ISNUMBER($AD588),$M588&gt;0),$AD588/$M588*100,"")</f>
      </c>
      <c r="AV588" s="40">
        <f>IF(AND(ISNUMBER($AB588),ISNUMBER($AD588),ABS($AB588)&gt;0),$AD588/$AB588,"")</f>
      </c>
      <c r="AW588" s="39">
        <f>IF(ISNUMBER($AD588),MAX(0,(1-0.55-Header!$O$3)*Header!$Q$3*$AQ588),"")</f>
      </c>
      <c r="AX588" s="43">
        <f>IF($A588="","",IF(TRIM(IF($A588="","Missing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",""))="","PASS","FAIL: "&amp;TRIM(IF($A588="","Missing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f>
      </c>
      <c r="AY588" s="44">
        <f>IF($M588="","",IF(ISNUMBER($M588),IF($M588&gt;=Header!$C$18,"YES — refer","No"),""))</f>
      </c>
      <c r="AZ588" s="44">
        <f>IF($AD588="","",IF(ISNUMBER($AD588),IF($AD588&lt;Header!$C$20,"BELOW MIN PREMIUM","OK"),""))</f>
      </c>
      <c r="BA588" s="48" t="inlineStr">
        <is>
          <t xml:space="preserve">Yes</t>
        </is>
      </c>
      <c r="BB588" s="48" t="inlineStr">
        <is>
          <t xml:space="preserve">Yes</t>
        </is>
      </c>
      <c r="BC588" s="46" t="inlineStr">
        <is>
          <t xml:space="preserve">Synthetic demo data</t>
        </is>
      </c>
      <c r="BE588" s="45">
        <f>IF(OR($A588="",$L588="",$H588=""),"",IF(AND(LEFT($L588,2)="06",$H588&gt;1945),"FAIL - pre-war class, year "&amp;$H588,IF(AND(LEFT($L588,2)="07",OR($H588&lt;1946,$H588&gt;1972)),"FAIL - 1946-72 class, year "&amp;$H588,IF(AND(LEFT($L588,2)="08",OR($H588&lt;1973,$H588&gt;1999)),"FAIL - 1973-99 class, year "&amp;$H588,IF(AND(LEFT($L588,2)="09",OR($H588&lt;2000,$H588&gt;2010)),"FAIL - 2000-10 class, year "&amp;$H588,"OK")))))</f>
      </c>
      <c r="BF588" s="45">
        <f>IF($AD588="","",IF(ROUND($AO588+$AP588+$AQ588-$AD588,2)=0,"OK","FAIL - out by "&amp;TEXT($AO588+$AP588+$AQ588-$AD588,"$0.00")))</f>
      </c>
    </row>
    <row r="589" spans="1:58" ht="18.75" customHeight="1" x14ac:dyDescent="0.25">
      <c r="A589" s="30" t="inlineStr">
        <is>
          <t xml:space="preserve">CANON-202604-007383</t>
        </is>
      </c>
      <c r="B589" s="30" t="inlineStr">
        <is>
          <t xml:space="preserve">Fitzgerald Ashcombe</t>
        </is>
      </c>
      <c r="C589" s="31">
        <v>46131</v>
      </c>
      <c r="D589" s="32" t="inlineStr">
        <is>
          <t xml:space="preserve">Bound - within authority</t>
        </is>
      </c>
      <c r="E589" s="32" t="inlineStr">
        <is>
          <t xml:space="preserve">New business</t>
        </is>
      </c>
      <c r="F589" s="30" t="inlineStr">
        <is>
          <t xml:space="preserve">B1234EXOTIC26</t>
        </is>
      </c>
      <c r="G589" s="33">
        <f>IF($A589="","",IF($C589="","",YEAR($C589)))</f>
      </c>
      <c r="H589" s="34">
        <v>1999</v>
      </c>
      <c r="I589" s="30" t="inlineStr">
        <is>
          <t xml:space="preserve">BMW</t>
        </is>
      </c>
      <c r="J589" s="30" t="inlineStr">
        <is>
          <t xml:space="preserve">M8 Competition</t>
        </is>
      </c>
      <c r="K589" s="30" t="inlineStr">
        <is>
          <t xml:space="preserve">ULXWV95LPJK0G5YGR</t>
        </is>
      </c>
      <c r="L589" s="32" t="inlineStr">
        <is>
          <t xml:space="preserve">02 - Sports / GT</t>
        </is>
      </c>
      <c r="M589" s="35">
        <v>785000</v>
      </c>
      <c r="N589" s="32" t="inlineStr">
        <is>
          <t xml:space="preserve">Personal</t>
        </is>
      </c>
      <c r="O589" s="30" t="inlineStr">
        <is>
          <t xml:space="preserve">Personal - regular use</t>
        </is>
      </c>
      <c r="P589" s="30" t="inlineStr">
        <is>
          <t xml:space="preserve">Under 1,000</t>
        </is>
      </c>
      <c r="Q589" s="30" t="inlineStr">
        <is>
          <t xml:space="preserve">New Jersey</t>
        </is>
      </c>
      <c r="R589" s="30" t="inlineStr">
        <is>
          <t xml:space="preserve">07102</t>
        </is>
      </c>
      <c r="S589" s="32" t="inlineStr">
        <is>
          <t xml:space="preserve">Tier 3 - Coastal wind (25-100 miles)</t>
        </is>
      </c>
      <c r="T589" s="36">
        <f>IF($A589="","",IF($S589="","",IFERROR(INDEX('[1]natural catastrophe'!$D$6:$D$17,MATCH($S589,'[1]natural catastrophe'!$B$6:$B$17,0)),"?")))</f>
      </c>
      <c r="U589" s="30" t="inlineStr">
        <is>
          <t xml:space="preserve">2% of agreed value, minimum $10,000</t>
        </is>
      </c>
      <c r="V589" s="32" t="inlineStr">
        <is>
          <t xml:space="preserve">Agreed Value</t>
        </is>
      </c>
      <c r="W589" s="30" t="inlineStr">
        <is>
          <t xml:space="preserve">$1,000</t>
        </is>
      </c>
      <c r="X589" s="32" t="inlineStr">
        <is>
          <t xml:space="preserve">$1,000,000 CSL</t>
        </is>
      </c>
      <c r="Y589" s="30"/>
      <c r="Z589" s="30"/>
      <c r="AA589" s="32" t="inlineStr">
        <is>
          <t xml:space="preserve">Surplus Lines</t>
        </is>
      </c>
      <c r="AB589" s="35">
        <v>7275.93</v>
      </c>
      <c r="AC589" s="37">
        <v>0</v>
      </c>
      <c r="AD589" s="38">
        <f>IF(ISNUMBER($AB589),$AB589*(1+N($AC589)),"")</f>
      </c>
      <c r="AE589" s="35">
        <v>350</v>
      </c>
      <c r="AF589" s="35">
        <v>0</v>
      </c>
      <c r="AG589" s="37"/>
      <c r="AH589" s="39">
        <f>IF(ISNUMBER($AD589),($AD589+$AE589+$AF589)*$AG589,"")</f>
      </c>
      <c r="AI589" s="35"/>
      <c r="AJ589" s="38">
        <f>IF(ISNUMBER($AD589),SUM($AD589:$AH589),"")</f>
      </c>
      <c r="AK589" s="40">
        <f>IF(AND(ISNUMBER($AB589),ISNUMBER($AD589)),IF($AB589&gt;0,$AD589/$AB589,""),"")</f>
      </c>
      <c r="AL589" s="32" t="inlineStr">
        <is>
          <t xml:space="preserve">At technical</t>
        </is>
      </c>
      <c r="AM589" s="41">
        <f>IF(ISNUMBER($AD589),Header!$I$3,"")</f>
      </c>
      <c r="AN589" s="39">
        <f>IF(ISNUMBER($AD589),$AO589+$AP589,"")</f>
      </c>
      <c r="AO589" s="39">
        <f>IF(ISNUMBER($AD589),ROUND($AD589*Header!$K$3,2),"")</f>
      </c>
      <c r="AP589" s="39">
        <f>IF(ISNUMBER($AD589),ROUND($AD589*Header!$M$3,2),"")</f>
      </c>
      <c r="AQ589" s="38">
        <f>IF(ISNUMBER($AD589),ROUND($AD589,2)-$AO589-$AP589,"")</f>
      </c>
      <c r="AR589" s="39">
        <f>IF(ISNUMBER($AD589),IF(Header!$D$34="","?",$AD589*Header!$D$34),"")</f>
      </c>
      <c r="AS589" s="39">
        <f>IF(ISNUMBER($AB589),IF(Header!$D$34="","?",$AB589*Header!$D$34),"")</f>
      </c>
      <c r="AT589" s="42">
        <f>IF(AND(ISNUMBER($AB589),$M589&gt;0),$AB589/$M589*100,"")</f>
      </c>
      <c r="AU589" s="42">
        <f>IF(AND(ISNUMBER($AD589),$M589&gt;0),$AD589/$M589*100,"")</f>
      </c>
      <c r="AV589" s="40">
        <f>IF(AND(ISNUMBER($AB589),ISNUMBER($AD589),ABS($AB589)&gt;0),$AD589/$AB589,"")</f>
      </c>
      <c r="AW589" s="39">
        <f>IF(ISNUMBER($AD589),MAX(0,(1-0.55-Header!$O$3)*Header!$Q$3*$AQ589),"")</f>
      </c>
      <c r="AX589" s="43">
        <f>IF($A589="","",IF(TRIM(IF($A589="","Missing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",""))="","PASS","FAIL: "&amp;TRIM(IF($A589="","Missing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f>
      </c>
      <c r="AY589" s="44">
        <f>IF($M589="","",IF(ISNUMBER($M589),IF($M589&gt;=Header!$C$18,"YES — refer","No"),""))</f>
      </c>
      <c r="AZ589" s="44">
        <f>IF($AD589="","",IF(ISNUMBER($AD589),IF($AD589&lt;Header!$C$20,"BELOW MIN PREMIUM","OK"),""))</f>
      </c>
      <c r="BA589" s="32" t="inlineStr">
        <is>
          <t xml:space="preserve">Yes</t>
        </is>
      </c>
      <c r="BB589" s="32" t="inlineStr">
        <is>
          <t xml:space="preserve">Yes</t>
        </is>
      </c>
      <c r="BC589" s="30" t="inlineStr">
        <is>
          <t xml:space="preserve">Synthetic demo data</t>
        </is>
      </c>
      <c r="BE589" s="45">
        <f>IF(OR($A589="",$L589="",$H589=""),"",IF(AND(LEFT($L589,2)="06",$H589&gt;1945),"FAIL - pre-war class, year "&amp;$H589,IF(AND(LEFT($L589,2)="07",OR($H589&lt;1946,$H589&gt;1972)),"FAIL - 1946-72 class, year "&amp;$H589,IF(AND(LEFT($L589,2)="08",OR($H589&lt;1973,$H589&gt;1999)),"FAIL - 1973-99 class, year "&amp;$H589,IF(AND(LEFT($L589,2)="09",OR($H589&lt;2000,$H589&gt;2010)),"FAIL - 2000-10 class, year "&amp;$H589,"OK")))))</f>
      </c>
      <c r="BF589" s="45">
        <f>IF($AD589="","",IF(ROUND($AO589+$AP589+$AQ589-$AD589,2)=0,"OK","FAIL - out by "&amp;TEXT($AO589+$AP589+$AQ589-$AD589,"$0.00")))</f>
      </c>
    </row>
    <row r="590" spans="1:58" ht="18.75" customHeight="1" x14ac:dyDescent="0.25">
      <c r="A590" s="46" t="inlineStr">
        <is>
          <t xml:space="preserve">CANON-202604-007384</t>
        </is>
      </c>
      <c r="B590" s="46" t="inlineStr">
        <is>
          <t xml:space="preserve">Beatrix Underwood</t>
        </is>
      </c>
      <c r="C590" s="47">
        <v>46120</v>
      </c>
      <c r="D590" s="48" t="inlineStr">
        <is>
          <t xml:space="preserve">Bound - within authority</t>
        </is>
      </c>
      <c r="E590" s="48" t="inlineStr">
        <is>
          <t xml:space="preserve">New business</t>
        </is>
      </c>
      <c r="F590" s="46" t="inlineStr">
        <is>
          <t xml:space="preserve">B1234EXOTIC26</t>
        </is>
      </c>
      <c r="G590" s="33">
        <f>IF($A590="","",IF($C590="","",YEAR($C590)))</f>
      </c>
      <c r="H590" s="49">
        <v>2014</v>
      </c>
      <c r="I590" s="46" t="inlineStr">
        <is>
          <t xml:space="preserve">Maserati</t>
        </is>
      </c>
      <c r="J590" s="46" t="inlineStr">
        <is>
          <t xml:space="preserve">GranTurismo</t>
        </is>
      </c>
      <c r="K590" s="46" t="inlineStr">
        <is>
          <t xml:space="preserve">30CY1TYW49DH1Z20A</t>
        </is>
      </c>
      <c r="L590" s="48" t="inlineStr">
        <is>
          <t xml:space="preserve">02 - Sports / GT</t>
        </is>
      </c>
      <c r="M590" s="50">
        <v>900000</v>
      </c>
      <c r="N590" s="48" t="inlineStr">
        <is>
          <t xml:space="preserve">Personal</t>
        </is>
      </c>
      <c r="O590" s="46" t="inlineStr">
        <is>
          <t xml:space="preserve">Personal - regular use</t>
        </is>
      </c>
      <c r="P590" s="46" t="inlineStr">
        <is>
          <t xml:space="preserve">Under 1,000</t>
        </is>
      </c>
      <c r="Q590" s="46" t="inlineStr">
        <is>
          <t xml:space="preserve">Illinois</t>
        </is>
      </c>
      <c r="R590" s="46" t="inlineStr">
        <is>
          <t xml:space="preserve">60601</t>
        </is>
      </c>
      <c r="S590" s="48" t="inlineStr">
        <is>
          <t xml:space="preserve">Severe convective - hail / tornado (moderate)</t>
        </is>
      </c>
      <c r="T590" s="36">
        <f>IF($A590="","",IF($S590="","",IFERROR(INDEX('[1]natural catastrophe'!$D$6:$D$17,MATCH($S590,'[1]natural catastrophe'!$B$6:$B$17,0)),"?")))</f>
      </c>
      <c r="U590" s="46" t="inlineStr">
        <is>
          <t xml:space="preserve">$5,000</t>
        </is>
      </c>
      <c r="V590" s="48" t="inlineStr">
        <is>
          <t xml:space="preserve">Agreed Value</t>
        </is>
      </c>
      <c r="W590" s="46" t="inlineStr">
        <is>
          <t xml:space="preserve">$1,000</t>
        </is>
      </c>
      <c r="X590" s="48" t="inlineStr">
        <is>
          <t xml:space="preserve">$1,000,000 CSL</t>
        </is>
      </c>
      <c r="Y590" s="46"/>
      <c r="Z590" s="46"/>
      <c r="AA590" s="48" t="inlineStr">
        <is>
          <t xml:space="preserve">Surplus Lines</t>
        </is>
      </c>
      <c r="AB590" s="50">
        <v>12466.9</v>
      </c>
      <c r="AC590" s="51">
        <v>0</v>
      </c>
      <c r="AD590" s="38">
        <f>IF(ISNUMBER($AB590),$AB590*(1+N($AC590)),"")</f>
      </c>
      <c r="AE590" s="50">
        <v>350</v>
      </c>
      <c r="AF590" s="50">
        <v>0</v>
      </c>
      <c r="AG590" s="51"/>
      <c r="AH590" s="39">
        <f>IF(ISNUMBER($AD590),($AD590+$AE590+$AF590)*$AG590,"")</f>
      </c>
      <c r="AI590" s="50"/>
      <c r="AJ590" s="38">
        <f>IF(ISNUMBER($AD590),SUM($AD590:$AH590),"")</f>
      </c>
      <c r="AK590" s="40">
        <f>IF(AND(ISNUMBER($AB590),ISNUMBER($AD590)),IF($AB590&gt;0,$AD590/$AB590,""),"")</f>
      </c>
      <c r="AL590" s="48" t="inlineStr">
        <is>
          <t xml:space="preserve">At technical</t>
        </is>
      </c>
      <c r="AM590" s="41">
        <f>IF(ISNUMBER($AD590),Header!$I$3,"")</f>
      </c>
      <c r="AN590" s="39">
        <f>IF(ISNUMBER($AD590),$AO590+$AP590,"")</f>
      </c>
      <c r="AO590" s="39">
        <f>IF(ISNUMBER($AD590),ROUND($AD590*Header!$K$3,2),"")</f>
      </c>
      <c r="AP590" s="39">
        <f>IF(ISNUMBER($AD590),ROUND($AD590*Header!$M$3,2),"")</f>
      </c>
      <c r="AQ590" s="38">
        <f>IF(ISNUMBER($AD590),ROUND($AD590,2)-$AO590-$AP590,"")</f>
      </c>
      <c r="AR590" s="39">
        <f>IF(ISNUMBER($AD590),IF(Header!$D$34="","?",$AD590*Header!$D$34),"")</f>
      </c>
      <c r="AS590" s="39">
        <f>IF(ISNUMBER($AB590),IF(Header!$D$34="","?",$AB590*Header!$D$34),"")</f>
      </c>
      <c r="AT590" s="42">
        <f>IF(AND(ISNUMBER($AB590),$M590&gt;0),$AB590/$M590*100,"")</f>
      </c>
      <c r="AU590" s="42">
        <f>IF(AND(ISNUMBER($AD590),$M590&gt;0),$AD590/$M590*100,"")</f>
      </c>
      <c r="AV590" s="40">
        <f>IF(AND(ISNUMBER($AB590),ISNUMBER($AD590),ABS($AB590)&gt;0),$AD590/$AB590,"")</f>
      </c>
      <c r="AW590" s="39">
        <f>IF(ISNUMBER($AD590),MAX(0,(1-0.55-Header!$O$3)*Header!$Q$3*$AQ590),"")</f>
      </c>
      <c r="AX590" s="43">
        <f>IF($A590="","",IF(TRIM(IF($A590="","Missing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",""))="","PASS","FAIL: "&amp;TRIM(IF($A590="","Missing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f>
      </c>
      <c r="AY590" s="44">
        <f>IF($M590="","",IF(ISNUMBER($M590),IF($M590&gt;=Header!$C$18,"YES — refer","No"),""))</f>
      </c>
      <c r="AZ590" s="44">
        <f>IF($AD590="","",IF(ISNUMBER($AD590),IF($AD590&lt;Header!$C$20,"BELOW MIN PREMIUM","OK"),""))</f>
      </c>
      <c r="BA590" s="48" t="inlineStr">
        <is>
          <t xml:space="preserve">Yes</t>
        </is>
      </c>
      <c r="BB590" s="48" t="inlineStr">
        <is>
          <t xml:space="preserve">Yes</t>
        </is>
      </c>
      <c r="BC590" s="46" t="inlineStr">
        <is>
          <t xml:space="preserve">Synthetic demo data</t>
        </is>
      </c>
      <c r="BE590" s="45">
        <f>IF(OR($A590="",$L590="",$H590=""),"",IF(AND(LEFT($L590,2)="06",$H590&gt;1945),"FAIL - pre-war class, year "&amp;$H590,IF(AND(LEFT($L590,2)="07",OR($H590&lt;1946,$H590&gt;1972)),"FAIL - 1946-72 class, year "&amp;$H590,IF(AND(LEFT($L590,2)="08",OR($H590&lt;1973,$H590&gt;1999)),"FAIL - 1973-99 class, year "&amp;$H590,IF(AND(LEFT($L590,2)="09",OR($H590&lt;2000,$H590&gt;2010)),"FAIL - 2000-10 class, year "&amp;$H590,"OK")))))</f>
      </c>
      <c r="BF590" s="45">
        <f>IF($AD590="","",IF(ROUND($AO590+$AP590+$AQ590-$AD590,2)=0,"OK","FAIL - out by "&amp;TEXT($AO590+$AP590+$AQ590-$AD590,"$0.00")))</f>
      </c>
    </row>
    <row r="591" spans="1:58" ht="18.75" customHeight="1" x14ac:dyDescent="0.25">
      <c r="A591" s="30" t="inlineStr">
        <is>
          <t xml:space="preserve">CANON-202604-007387</t>
        </is>
      </c>
      <c r="B591" s="30" t="inlineStr">
        <is>
          <t xml:space="preserve">Ramona Castellanos</t>
        </is>
      </c>
      <c r="C591" s="31">
        <v>46129</v>
      </c>
      <c r="D591" s="32" t="inlineStr">
        <is>
          <t xml:space="preserve">Bound - within authority</t>
        </is>
      </c>
      <c r="E591" s="32" t="inlineStr">
        <is>
          <t xml:space="preserve">New business</t>
        </is>
      </c>
      <c r="F591" s="30" t="inlineStr">
        <is>
          <t xml:space="preserve">B1234EXOTIC26</t>
        </is>
      </c>
      <c r="G591" s="33">
        <f>IF($A591="","",IF($C591="","",YEAR($C591)))</f>
      </c>
      <c r="H591" s="34">
        <v>1960</v>
      </c>
      <c r="I591" s="30" t="inlineStr">
        <is>
          <t xml:space="preserve">Lamborghini</t>
        </is>
      </c>
      <c r="J591" s="30" t="inlineStr">
        <is>
          <t xml:space="preserve">Huracan EVO</t>
        </is>
      </c>
      <c r="K591" s="30" t="inlineStr">
        <is>
          <t xml:space="preserve">PKF37RPKXY73UMBC8</t>
        </is>
      </c>
      <c r="L591" s="32" t="inlineStr">
        <is>
          <t xml:space="preserve">03 - Supercar</t>
        </is>
      </c>
      <c r="M591" s="35">
        <v>820000</v>
      </c>
      <c r="N591" s="32" t="inlineStr">
        <is>
          <t xml:space="preserve">Personal</t>
        </is>
      </c>
      <c r="O591" s="30" t="inlineStr">
        <is>
          <t xml:space="preserve">Personal - regular use</t>
        </is>
      </c>
      <c r="P591" s="30" t="inlineStr">
        <is>
          <t xml:space="preserve">2,500 - 5,000</t>
        </is>
      </c>
      <c r="Q591" s="30" t="inlineStr">
        <is>
          <t xml:space="preserve">Vermont</t>
        </is>
      </c>
      <c r="R591" s="30" t="inlineStr">
        <is>
          <t xml:space="preserve">05601</t>
        </is>
      </c>
      <c r="S591" s="32" t="inlineStr">
        <is>
          <t xml:space="preserve">Low hazard - inland benign</t>
        </is>
      </c>
      <c r="T591" s="36">
        <f>IF($A591="","",IF($S591="","",IFERROR(INDEX('[1]natural catastrophe'!$D$6:$D$17,MATCH($S591,'[1]natural catastrophe'!$B$6:$B$17,0)),"?")))</f>
      </c>
      <c r="U591" s="30" t="inlineStr">
        <is>
          <t xml:space="preserve">$5,000</t>
        </is>
      </c>
      <c r="V591" s="32" t="inlineStr">
        <is>
          <t xml:space="preserve">Agreed Value</t>
        </is>
      </c>
      <c r="W591" s="30" t="inlineStr">
        <is>
          <t xml:space="preserve">$1,000</t>
        </is>
      </c>
      <c r="X591" s="32" t="inlineStr">
        <is>
          <t xml:space="preserve">$1,000,000 CSL</t>
        </is>
      </c>
      <c r="Y591" s="30"/>
      <c r="Z591" s="30"/>
      <c r="AA591" s="32" t="inlineStr">
        <is>
          <t xml:space="preserve">Surplus Lines</t>
        </is>
      </c>
      <c r="AB591" s="35">
        <v>14892.28</v>
      </c>
      <c r="AC591" s="37">
        <v>0</v>
      </c>
      <c r="AD591" s="38">
        <f>IF(ISNUMBER($AB591),$AB591*(1+N($AC591)),"")</f>
      </c>
      <c r="AE591" s="35">
        <v>350</v>
      </c>
      <c r="AF591" s="35">
        <v>0</v>
      </c>
      <c r="AG591" s="37"/>
      <c r="AH591" s="39">
        <f>IF(ISNUMBER($AD591),($AD591+$AE591+$AF591)*$AG591,"")</f>
      </c>
      <c r="AI591" s="35"/>
      <c r="AJ591" s="38">
        <f>IF(ISNUMBER($AD591),SUM($AD591:$AH591),"")</f>
      </c>
      <c r="AK591" s="40">
        <f>IF(AND(ISNUMBER($AB591),ISNUMBER($AD591)),IF($AB591&gt;0,$AD591/$AB591,""),"")</f>
      </c>
      <c r="AL591" s="32" t="inlineStr">
        <is>
          <t xml:space="preserve">At technical</t>
        </is>
      </c>
      <c r="AM591" s="41">
        <f>IF(ISNUMBER($AD591),Header!$I$3,"")</f>
      </c>
      <c r="AN591" s="39">
        <f>IF(ISNUMBER($AD591),$AO591+$AP591,"")</f>
      </c>
      <c r="AO591" s="39">
        <f>IF(ISNUMBER($AD591),ROUND($AD591*Header!$K$3,2),"")</f>
      </c>
      <c r="AP591" s="39">
        <f>IF(ISNUMBER($AD591),ROUND($AD591*Header!$M$3,2),"")</f>
      </c>
      <c r="AQ591" s="38">
        <f>IF(ISNUMBER($AD591),ROUND($AD591,2)-$AO591-$AP591,"")</f>
      </c>
      <c r="AR591" s="39">
        <f>IF(ISNUMBER($AD591),IF(Header!$D$34="","?",$AD591*Header!$D$34),"")</f>
      </c>
      <c r="AS591" s="39">
        <f>IF(ISNUMBER($AB591),IF(Header!$D$34="","?",$AB591*Header!$D$34),"")</f>
      </c>
      <c r="AT591" s="42">
        <f>IF(AND(ISNUMBER($AB591),$M591&gt;0),$AB591/$M591*100,"")</f>
      </c>
      <c r="AU591" s="42">
        <f>IF(AND(ISNUMBER($AD591),$M591&gt;0),$AD591/$M591*100,"")</f>
      </c>
      <c r="AV591" s="40">
        <f>IF(AND(ISNUMBER($AB591),ISNUMBER($AD591),ABS($AB591)&gt;0),$AD591/$AB591,"")</f>
      </c>
      <c r="AW591" s="39">
        <f>IF(ISNUMBER($AD591),MAX(0,(1-0.55-Header!$O$3)*Header!$Q$3*$AQ591),"")</f>
      </c>
      <c r="AX591" s="43">
        <f>IF($A591="","",IF(TRIM(IF($A591="","Missing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",""))="","PASS","FAIL: "&amp;TRIM(IF($A591="","Missing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f>
      </c>
      <c r="AY591" s="44">
        <f>IF($M591="","",IF(ISNUMBER($M591),IF($M591&gt;=Header!$C$18,"YES — refer","No"),""))</f>
      </c>
      <c r="AZ591" s="44">
        <f>IF($AD591="","",IF(ISNUMBER($AD591),IF($AD591&lt;Header!$C$20,"BELOW MIN PREMIUM","OK"),""))</f>
      </c>
      <c r="BA591" s="32" t="inlineStr">
        <is>
          <t xml:space="preserve">Yes</t>
        </is>
      </c>
      <c r="BB591" s="32" t="inlineStr">
        <is>
          <t xml:space="preserve">Yes</t>
        </is>
      </c>
      <c r="BC591" s="30" t="inlineStr">
        <is>
          <t xml:space="preserve">Synthetic demo data</t>
        </is>
      </c>
      <c r="BE591" s="45">
        <f>IF(OR($A591="",$L591="",$H591=""),"",IF(AND(LEFT($L591,2)="06",$H591&gt;1945),"FAIL - pre-war class, year "&amp;$H591,IF(AND(LEFT($L591,2)="07",OR($H591&lt;1946,$H591&gt;1972)),"FAIL - 1946-72 class, year "&amp;$H591,IF(AND(LEFT($L591,2)="08",OR($H591&lt;1973,$H591&gt;1999)),"FAIL - 1973-99 class, year "&amp;$H591,IF(AND(LEFT($L591,2)="09",OR($H591&lt;2000,$H591&gt;2010)),"FAIL - 2000-10 class, year "&amp;$H591,"OK")))))</f>
      </c>
      <c r="BF591" s="45">
        <f>IF($AD591="","",IF(ROUND($AO591+$AP591+$AQ591-$AD591,2)=0,"OK","FAIL - out by "&amp;TEXT($AO591+$AP591+$AQ591-$AD591,"$0.00")))</f>
      </c>
    </row>
    <row r="592" spans="1:58" ht="18.75" customHeight="1" x14ac:dyDescent="0.25">
      <c r="A592" s="46" t="inlineStr">
        <is>
          <t xml:space="preserve">CANON-202604-007389</t>
        </is>
      </c>
      <c r="B592" s="46" t="inlineStr">
        <is>
          <t xml:space="preserve">Beatrix Castellanos</t>
        </is>
      </c>
      <c r="C592" s="47">
        <v>46128</v>
      </c>
      <c r="D592" s="48" t="inlineStr">
        <is>
          <t xml:space="preserve">Bound - within authority</t>
        </is>
      </c>
      <c r="E592" s="48" t="inlineStr">
        <is>
          <t xml:space="preserve">New business</t>
        </is>
      </c>
      <c r="F592" s="46" t="inlineStr">
        <is>
          <t xml:space="preserve">B1234EXOTIC26</t>
        </is>
      </c>
      <c r="G592" s="33">
        <f>IF($A592="","",IF($C592="","",YEAR($C592)))</f>
      </c>
      <c r="H592" s="49">
        <v>1996</v>
      </c>
      <c r="I592" s="46" t="inlineStr">
        <is>
          <t xml:space="preserve">Porsche</t>
        </is>
      </c>
      <c r="J592" s="46" t="inlineStr">
        <is>
          <t xml:space="preserve">911 Turbo S</t>
        </is>
      </c>
      <c r="K592" s="46" t="inlineStr">
        <is>
          <t xml:space="preserve">TYULGJJMKBHSD224J</t>
        </is>
      </c>
      <c r="L592" s="48" t="inlineStr">
        <is>
          <t xml:space="preserve">02 - Sports / GT</t>
        </is>
      </c>
      <c r="M592" s="50">
        <v>520000</v>
      </c>
      <c r="N592" s="48" t="inlineStr">
        <is>
          <t xml:space="preserve">Personal</t>
        </is>
      </c>
      <c r="O592" s="46" t="inlineStr">
        <is>
          <t xml:space="preserve">Personal - regular use</t>
        </is>
      </c>
      <c r="P592" s="46" t="inlineStr">
        <is>
          <t xml:space="preserve">2,500 - 5,000</t>
        </is>
      </c>
      <c r="Q592" s="46" t="inlineStr">
        <is>
          <t xml:space="preserve">Oklahoma</t>
        </is>
      </c>
      <c r="R592" s="46" t="inlineStr">
        <is>
          <t xml:space="preserve">73102</t>
        </is>
      </c>
      <c r="S592" s="48" t="inlineStr">
        <is>
          <t xml:space="preserve">Severe convective - hail alley (high)</t>
        </is>
      </c>
      <c r="T592" s="36">
        <f>IF($A592="","",IF($S592="","",IFERROR(INDEX('[1]natural catastrophe'!$D$6:$D$17,MATCH($S592,'[1]natural catastrophe'!$B$6:$B$17,0)),"?")))</f>
      </c>
      <c r="U592" s="46" t="inlineStr">
        <is>
          <t xml:space="preserve">$5,000</t>
        </is>
      </c>
      <c r="V592" s="48" t="inlineStr">
        <is>
          <t xml:space="preserve">Agreed Value</t>
        </is>
      </c>
      <c r="W592" s="46" t="inlineStr">
        <is>
          <t xml:space="preserve">$1,000</t>
        </is>
      </c>
      <c r="X592" s="48" t="inlineStr">
        <is>
          <t xml:space="preserve">$1,000,000 CSL</t>
        </is>
      </c>
      <c r="Y592" s="46"/>
      <c r="Z592" s="46"/>
      <c r="AA592" s="48" t="inlineStr">
        <is>
          <t xml:space="preserve">Surplus Lines</t>
        </is>
      </c>
      <c r="AB592" s="50">
        <v>6673.46</v>
      </c>
      <c r="AC592" s="51">
        <v>0</v>
      </c>
      <c r="AD592" s="38">
        <f>IF(ISNUMBER($AB592),$AB592*(1+N($AC592)),"")</f>
      </c>
      <c r="AE592" s="50">
        <v>350</v>
      </c>
      <c r="AF592" s="50">
        <v>0</v>
      </c>
      <c r="AG592" s="51"/>
      <c r="AH592" s="39">
        <f>IF(ISNUMBER($AD592),($AD592+$AE592+$AF592)*$AG592,"")</f>
      </c>
      <c r="AI592" s="50"/>
      <c r="AJ592" s="38">
        <f>IF(ISNUMBER($AD592),SUM($AD592:$AH592),"")</f>
      </c>
      <c r="AK592" s="40">
        <f>IF(AND(ISNUMBER($AB592),ISNUMBER($AD592)),IF($AB592&gt;0,$AD592/$AB592,""),"")</f>
      </c>
      <c r="AL592" s="48" t="inlineStr">
        <is>
          <t xml:space="preserve">At technical</t>
        </is>
      </c>
      <c r="AM592" s="41">
        <f>IF(ISNUMBER($AD592),Header!$I$3,"")</f>
      </c>
      <c r="AN592" s="39">
        <f>IF(ISNUMBER($AD592),$AO592+$AP592,"")</f>
      </c>
      <c r="AO592" s="39">
        <f>IF(ISNUMBER($AD592),ROUND($AD592*Header!$K$3,2),"")</f>
      </c>
      <c r="AP592" s="39">
        <f>IF(ISNUMBER($AD592),ROUND($AD592*Header!$M$3,2),"")</f>
      </c>
      <c r="AQ592" s="38">
        <f>IF(ISNUMBER($AD592),ROUND($AD592,2)-$AO592-$AP592,"")</f>
      </c>
      <c r="AR592" s="39">
        <f>IF(ISNUMBER($AD592),IF(Header!$D$34="","?",$AD592*Header!$D$34),"")</f>
      </c>
      <c r="AS592" s="39">
        <f>IF(ISNUMBER($AB592),IF(Header!$D$34="","?",$AB592*Header!$D$34),"")</f>
      </c>
      <c r="AT592" s="42">
        <f>IF(AND(ISNUMBER($AB592),$M592&gt;0),$AB592/$M592*100,"")</f>
      </c>
      <c r="AU592" s="42">
        <f>IF(AND(ISNUMBER($AD592),$M592&gt;0),$AD592/$M592*100,"")</f>
      </c>
      <c r="AV592" s="40">
        <f>IF(AND(ISNUMBER($AB592),ISNUMBER($AD592),ABS($AB592)&gt;0),$AD592/$AB592,"")</f>
      </c>
      <c r="AW592" s="39">
        <f>IF(ISNUMBER($AD592),MAX(0,(1-0.55-Header!$O$3)*Header!$Q$3*$AQ592),"")</f>
      </c>
      <c r="AX592" s="43">
        <f>IF($A592="","",IF(TRIM(IF($A592="","Missing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",""))="","PASS","FAIL: "&amp;TRIM(IF($A592="","Missing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f>
      </c>
      <c r="AY592" s="44">
        <f>IF($M592="","",IF(ISNUMBER($M592),IF($M592&gt;=Header!$C$18,"YES — refer","No"),""))</f>
      </c>
      <c r="AZ592" s="44">
        <f>IF($AD592="","",IF(ISNUMBER($AD592),IF($AD592&lt;Header!$C$20,"BELOW MIN PREMIUM","OK"),""))</f>
      </c>
      <c r="BA592" s="48" t="inlineStr">
        <is>
          <t xml:space="preserve">Yes</t>
        </is>
      </c>
      <c r="BB592" s="48" t="inlineStr">
        <is>
          <t xml:space="preserve">Yes</t>
        </is>
      </c>
      <c r="BC592" s="46" t="inlineStr">
        <is>
          <t xml:space="preserve">Synthetic demo data</t>
        </is>
      </c>
      <c r="BE592" s="45">
        <f>IF(OR($A592="",$L592="",$H592=""),"",IF(AND(LEFT($L592,2)="06",$H592&gt;1945),"FAIL - pre-war class, year "&amp;$H592,IF(AND(LEFT($L592,2)="07",OR($H592&lt;1946,$H592&gt;1972)),"FAIL - 1946-72 class, year "&amp;$H592,IF(AND(LEFT($L592,2)="08",OR($H592&lt;1973,$H592&gt;1999)),"FAIL - 1973-99 class, year "&amp;$H592,IF(AND(LEFT($L592,2)="09",OR($H592&lt;2000,$H592&gt;2010)),"FAIL - 2000-10 class, year "&amp;$H592,"OK")))))</f>
      </c>
      <c r="BF592" s="45">
        <f>IF($AD592="","",IF(ROUND($AO592+$AP592+$AQ592-$AD592,2)=0,"OK","FAIL - out by "&amp;TEXT($AO592+$AP592+$AQ592-$AD592,"$0.00")))</f>
      </c>
    </row>
    <row r="593" spans="1:58" ht="18.75" customHeight="1" x14ac:dyDescent="0.25">
      <c r="A593" s="30" t="inlineStr">
        <is>
          <t xml:space="preserve">CANON-202604-007390</t>
        </is>
      </c>
      <c r="B593" s="30" t="inlineStr">
        <is>
          <t xml:space="preserve">Ottilie Thistlewood</t>
        </is>
      </c>
      <c r="C593" s="31">
        <v>46123</v>
      </c>
      <c r="D593" s="32" t="inlineStr">
        <is>
          <t xml:space="preserve">Bound - within authority</t>
        </is>
      </c>
      <c r="E593" s="32" t="inlineStr">
        <is>
          <t xml:space="preserve">New business</t>
        </is>
      </c>
      <c r="F593" s="30" t="inlineStr">
        <is>
          <t xml:space="preserve">B1234EXOTIC26</t>
        </is>
      </c>
      <c r="G593" s="33">
        <f>IF($A593="","",IF($C593="","",YEAR($C593)))</f>
      </c>
      <c r="H593" s="34">
        <v>1981</v>
      </c>
      <c r="I593" s="30" t="inlineStr">
        <is>
          <t xml:space="preserve">Mercedes-Benz</t>
        </is>
      </c>
      <c r="J593" s="30" t="inlineStr">
        <is>
          <t xml:space="preserve">AMG GT</t>
        </is>
      </c>
      <c r="K593" s="30" t="inlineStr">
        <is>
          <t xml:space="preserve">GDSDFYCJGJGWN4L8F</t>
        </is>
      </c>
      <c r="L593" s="32" t="inlineStr">
        <is>
          <t xml:space="preserve">02 - Sports / GT</t>
        </is>
      </c>
      <c r="M593" s="35">
        <v>325000</v>
      </c>
      <c r="N593" s="32" t="inlineStr">
        <is>
          <t xml:space="preserve">Personal</t>
        </is>
      </c>
      <c r="O593" s="30" t="inlineStr">
        <is>
          <t xml:space="preserve">Personal - regular use</t>
        </is>
      </c>
      <c r="P593" s="30" t="inlineStr">
        <is>
          <t xml:space="preserve">1,000 - 2,500</t>
        </is>
      </c>
      <c r="Q593" s="30" t="inlineStr">
        <is>
          <t xml:space="preserve">Colorado</t>
        </is>
      </c>
      <c r="R593" s="30" t="inlineStr">
        <is>
          <t xml:space="preserve">80202</t>
        </is>
      </c>
      <c r="S593" s="32" t="inlineStr">
        <is>
          <t xml:space="preserve">Severe convective - hail alley (high)</t>
        </is>
      </c>
      <c r="T593" s="36">
        <f>IF($A593="","",IF($S593="","",IFERROR(INDEX('[1]natural catastrophe'!$D$6:$D$17,MATCH($S593,'[1]natural catastrophe'!$B$6:$B$17,0)),"?")))</f>
      </c>
      <c r="U593" s="30" t="inlineStr">
        <is>
          <t xml:space="preserve">$5,000</t>
        </is>
      </c>
      <c r="V593" s="32" t="inlineStr">
        <is>
          <t xml:space="preserve">Agreed Value</t>
        </is>
      </c>
      <c r="W593" s="30" t="inlineStr">
        <is>
          <t xml:space="preserve">$1,000</t>
        </is>
      </c>
      <c r="X593" s="32" t="inlineStr">
        <is>
          <t xml:space="preserve">$1,000,000 CSL</t>
        </is>
      </c>
      <c r="Y593" s="30"/>
      <c r="Z593" s="30"/>
      <c r="AA593" s="32" t="inlineStr">
        <is>
          <t xml:space="preserve">Surplus Lines</t>
        </is>
      </c>
      <c r="AB593" s="35">
        <v>4201.47</v>
      </c>
      <c r="AC593" s="37">
        <v>0</v>
      </c>
      <c r="AD593" s="38">
        <f>IF(ISNUMBER($AB593),$AB593*(1+N($AC593)),"")</f>
      </c>
      <c r="AE593" s="35">
        <v>350</v>
      </c>
      <c r="AF593" s="35">
        <v>0</v>
      </c>
      <c r="AG593" s="37"/>
      <c r="AH593" s="39">
        <f>IF(ISNUMBER($AD593),($AD593+$AE593+$AF593)*$AG593,"")</f>
      </c>
      <c r="AI593" s="35"/>
      <c r="AJ593" s="38">
        <f>IF(ISNUMBER($AD593),SUM($AD593:$AH593),"")</f>
      </c>
      <c r="AK593" s="40">
        <f>IF(AND(ISNUMBER($AB593),ISNUMBER($AD593)),IF($AB593&gt;0,$AD593/$AB593,""),"")</f>
      </c>
      <c r="AL593" s="32" t="inlineStr">
        <is>
          <t xml:space="preserve">At technical</t>
        </is>
      </c>
      <c r="AM593" s="41">
        <f>IF(ISNUMBER($AD593),Header!$I$3,"")</f>
      </c>
      <c r="AN593" s="39">
        <f>IF(ISNUMBER($AD593),$AO593+$AP593,"")</f>
      </c>
      <c r="AO593" s="39">
        <f>IF(ISNUMBER($AD593),ROUND($AD593*Header!$K$3,2),"")</f>
      </c>
      <c r="AP593" s="39">
        <f>IF(ISNUMBER($AD593),ROUND($AD593*Header!$M$3,2),"")</f>
      </c>
      <c r="AQ593" s="38">
        <f>IF(ISNUMBER($AD593),ROUND($AD593,2)-$AO593-$AP593,"")</f>
      </c>
      <c r="AR593" s="39">
        <f>IF(ISNUMBER($AD593),IF(Header!$D$34="","?",$AD593*Header!$D$34),"")</f>
      </c>
      <c r="AS593" s="39">
        <f>IF(ISNUMBER($AB593),IF(Header!$D$34="","?",$AB593*Header!$D$34),"")</f>
      </c>
      <c r="AT593" s="42">
        <f>IF(AND(ISNUMBER($AB593),$M593&gt;0),$AB593/$M593*100,"")</f>
      </c>
      <c r="AU593" s="42">
        <f>IF(AND(ISNUMBER($AD593),$M593&gt;0),$AD593/$M593*100,"")</f>
      </c>
      <c r="AV593" s="40">
        <f>IF(AND(ISNUMBER($AB593),ISNUMBER($AD593),ABS($AB593)&gt;0),$AD593/$AB593,"")</f>
      </c>
      <c r="AW593" s="39">
        <f>IF(ISNUMBER($AD593),MAX(0,(1-0.55-Header!$O$3)*Header!$Q$3*$AQ593),"")</f>
      </c>
      <c r="AX593" s="43">
        <f>IF($A593="","",IF(TRIM(IF($A593="","Missing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",""))="","PASS","FAIL: "&amp;TRIM(IF($A593="","Missing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f>
      </c>
      <c r="AY593" s="44">
        <f>IF($M593="","",IF(ISNUMBER($M593),IF($M593&gt;=Header!$C$18,"YES — refer","No"),""))</f>
      </c>
      <c r="AZ593" s="44">
        <f>IF($AD593="","",IF(ISNUMBER($AD593),IF($AD593&lt;Header!$C$20,"BELOW MIN PREMIUM","OK"),""))</f>
      </c>
      <c r="BA593" s="32" t="inlineStr">
        <is>
          <t xml:space="preserve">Yes</t>
        </is>
      </c>
      <c r="BB593" s="32" t="inlineStr">
        <is>
          <t xml:space="preserve">Yes</t>
        </is>
      </c>
      <c r="BC593" s="30" t="inlineStr">
        <is>
          <t xml:space="preserve">Synthetic demo data</t>
        </is>
      </c>
      <c r="BE593" s="45">
        <f>IF(OR($A593="",$L593="",$H593=""),"",IF(AND(LEFT($L593,2)="06",$H593&gt;1945),"FAIL - pre-war class, year "&amp;$H593,IF(AND(LEFT($L593,2)="07",OR($H593&lt;1946,$H593&gt;1972)),"FAIL - 1946-72 class, year "&amp;$H593,IF(AND(LEFT($L593,2)="08",OR($H593&lt;1973,$H593&gt;1999)),"FAIL - 1973-99 class, year "&amp;$H593,IF(AND(LEFT($L593,2)="09",OR($H593&lt;2000,$H593&gt;2010)),"FAIL - 2000-10 class, year "&amp;$H593,"OK")))))</f>
      </c>
      <c r="BF593" s="45">
        <f>IF($AD593="","",IF(ROUND($AO593+$AP593+$AQ593-$AD593,2)=0,"OK","FAIL - out by "&amp;TEXT($AO593+$AP593+$AQ593-$AD593,"$0.00")))</f>
      </c>
    </row>
    <row r="594" spans="1:58" ht="18.75" customHeight="1" x14ac:dyDescent="0.25">
      <c r="A594" s="46" t="inlineStr">
        <is>
          <t xml:space="preserve">CANON-202604-007393</t>
        </is>
      </c>
      <c r="B594" s="46" t="inlineStr">
        <is>
          <t xml:space="preserve">Ramona Vandermeer</t>
        </is>
      </c>
      <c r="C594" s="47">
        <v>46123</v>
      </c>
      <c r="D594" s="48" t="inlineStr">
        <is>
          <t xml:space="preserve">Bound - within authority</t>
        </is>
      </c>
      <c r="E594" s="48" t="inlineStr">
        <is>
          <t xml:space="preserve">New business</t>
        </is>
      </c>
      <c r="F594" s="46" t="inlineStr">
        <is>
          <t xml:space="preserve">B1234EXOTIC26</t>
        </is>
      </c>
      <c r="G594" s="33">
        <f>IF($A594="","",IF($C594="","",YEAR($C594)))</f>
      </c>
      <c r="H594" s="49">
        <v>1972</v>
      </c>
      <c r="I594" s="46" t="inlineStr">
        <is>
          <t xml:space="preserve">Ferrari</t>
        </is>
      </c>
      <c r="J594" s="46" t="inlineStr">
        <is>
          <t xml:space="preserve">SF90 Stradale</t>
        </is>
      </c>
      <c r="K594" s="46" t="inlineStr">
        <is>
          <t xml:space="preserve">K9Z6A85KL407VUB9E</t>
        </is>
      </c>
      <c r="L594" s="48" t="inlineStr">
        <is>
          <t xml:space="preserve">03 - Supercar</t>
        </is>
      </c>
      <c r="M594" s="50">
        <v>655000</v>
      </c>
      <c r="N594" s="48" t="inlineStr">
        <is>
          <t xml:space="preserve">Personal</t>
        </is>
      </c>
      <c r="O594" s="46" t="inlineStr">
        <is>
          <t xml:space="preserve">Personal - regular use</t>
        </is>
      </c>
      <c r="P594" s="46" t="inlineStr">
        <is>
          <t xml:space="preserve">Under 1,000</t>
        </is>
      </c>
      <c r="Q594" s="46" t="inlineStr">
        <is>
          <t xml:space="preserve">Louisiana</t>
        </is>
      </c>
      <c r="R594" s="46" t="inlineStr">
        <is>
          <t xml:space="preserve">70112</t>
        </is>
      </c>
      <c r="S594" s="48" t="inlineStr">
        <is>
          <t xml:space="preserve">Tier 2 - Coastal wind (1-25 miles)</t>
        </is>
      </c>
      <c r="T594" s="36">
        <f>IF($A594="","",IF($S594="","",IFERROR(INDEX('[1]natural catastrophe'!$D$6:$D$17,MATCH($S594,'[1]natural catastrophe'!$B$6:$B$17,0)),"?")))</f>
      </c>
      <c r="U594" s="46" t="inlineStr">
        <is>
          <t xml:space="preserve">2% of agreed value, minimum $10,000</t>
        </is>
      </c>
      <c r="V594" s="48" t="inlineStr">
        <is>
          <t xml:space="preserve">Agreed Value</t>
        </is>
      </c>
      <c r="W594" s="46" t="inlineStr">
        <is>
          <t xml:space="preserve">$1,000</t>
        </is>
      </c>
      <c r="X594" s="48" t="inlineStr">
        <is>
          <t xml:space="preserve">$1,000,000 CSL</t>
        </is>
      </c>
      <c r="Y594" s="46"/>
      <c r="Z594" s="46"/>
      <c r="AA594" s="48" t="inlineStr">
        <is>
          <t xml:space="preserve">Surplus Lines</t>
        </is>
      </c>
      <c r="AB594" s="50">
        <v>11798.15</v>
      </c>
      <c r="AC594" s="51">
        <v>0</v>
      </c>
      <c r="AD594" s="38">
        <f>IF(ISNUMBER($AB594),$AB594*(1+N($AC594)),"")</f>
      </c>
      <c r="AE594" s="50">
        <v>350</v>
      </c>
      <c r="AF594" s="50">
        <v>0</v>
      </c>
      <c r="AG594" s="51"/>
      <c r="AH594" s="39">
        <f>IF(ISNUMBER($AD594),($AD594+$AE594+$AF594)*$AG594,"")</f>
      </c>
      <c r="AI594" s="50"/>
      <c r="AJ594" s="38">
        <f>IF(ISNUMBER($AD594),SUM($AD594:$AH594),"")</f>
      </c>
      <c r="AK594" s="40">
        <f>IF(AND(ISNUMBER($AB594),ISNUMBER($AD594)),IF($AB594&gt;0,$AD594/$AB594,""),"")</f>
      </c>
      <c r="AL594" s="48" t="inlineStr">
        <is>
          <t xml:space="preserve">At technical</t>
        </is>
      </c>
      <c r="AM594" s="41">
        <f>IF(ISNUMBER($AD594),Header!$I$3,"")</f>
      </c>
      <c r="AN594" s="39">
        <f>IF(ISNUMBER($AD594),$AO594+$AP594,"")</f>
      </c>
      <c r="AO594" s="39">
        <f>IF(ISNUMBER($AD594),ROUND($AD594*Header!$K$3,2),"")</f>
      </c>
      <c r="AP594" s="39">
        <f>IF(ISNUMBER($AD594),ROUND($AD594*Header!$M$3,2),"")</f>
      </c>
      <c r="AQ594" s="38">
        <f>IF(ISNUMBER($AD594),ROUND($AD594,2)-$AO594-$AP594,"")</f>
      </c>
      <c r="AR594" s="39">
        <f>IF(ISNUMBER($AD594),IF(Header!$D$34="","?",$AD594*Header!$D$34),"")</f>
      </c>
      <c r="AS594" s="39">
        <f>IF(ISNUMBER($AB594),IF(Header!$D$34="","?",$AB594*Header!$D$34),"")</f>
      </c>
      <c r="AT594" s="42">
        <f>IF(AND(ISNUMBER($AB594),$M594&gt;0),$AB594/$M594*100,"")</f>
      </c>
      <c r="AU594" s="42">
        <f>IF(AND(ISNUMBER($AD594),$M594&gt;0),$AD594/$M594*100,"")</f>
      </c>
      <c r="AV594" s="40">
        <f>IF(AND(ISNUMBER($AB594),ISNUMBER($AD594),ABS($AB594)&gt;0),$AD594/$AB594,"")</f>
      </c>
      <c r="AW594" s="39">
        <f>IF(ISNUMBER($AD594),MAX(0,(1-0.55-Header!$O$3)*Header!$Q$3*$AQ594),"")</f>
      </c>
      <c r="AX594" s="43">
        <f>IF($A594="","",IF(TRIM(IF($A594="","Missing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",""))="","PASS","FAIL: "&amp;TRIM(IF($A594="","Missing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f>
      </c>
      <c r="AY594" s="44">
        <f>IF($M594="","",IF(ISNUMBER($M594),IF($M594&gt;=Header!$C$18,"YES — refer","No"),""))</f>
      </c>
      <c r="AZ594" s="44">
        <f>IF($AD594="","",IF(ISNUMBER($AD594),IF($AD594&lt;Header!$C$20,"BELOW MIN PREMIUM","OK"),""))</f>
      </c>
      <c r="BA594" s="48" t="inlineStr">
        <is>
          <t xml:space="preserve">Yes</t>
        </is>
      </c>
      <c r="BB594" s="48" t="inlineStr">
        <is>
          <t xml:space="preserve">Yes</t>
        </is>
      </c>
      <c r="BC594" s="46" t="inlineStr">
        <is>
          <t xml:space="preserve">Synthetic demo data</t>
        </is>
      </c>
      <c r="BE594" s="45">
        <f>IF(OR($A594="",$L594="",$H594=""),"",IF(AND(LEFT($L594,2)="06",$H594&gt;1945),"FAIL - pre-war class, year "&amp;$H594,IF(AND(LEFT($L594,2)="07",OR($H594&lt;1946,$H594&gt;1972)),"FAIL - 1946-72 class, year "&amp;$H594,IF(AND(LEFT($L594,2)="08",OR($H594&lt;1973,$H594&gt;1999)),"FAIL - 1973-99 class, year "&amp;$H594,IF(AND(LEFT($L594,2)="09",OR($H594&lt;2000,$H594&gt;2010)),"FAIL - 2000-10 class, year "&amp;$H594,"OK")))))</f>
      </c>
      <c r="BF594" s="45">
        <f>IF($AD594="","",IF(ROUND($AO594+$AP594+$AQ594-$AD594,2)=0,"OK","FAIL - out by "&amp;TEXT($AO594+$AP594+$AQ594-$AD594,"$0.00")))</f>
      </c>
    </row>
    <row r="595" spans="1:58" ht="18.75" customHeight="1" x14ac:dyDescent="0.25">
      <c r="A595" s="30" t="inlineStr">
        <is>
          <t xml:space="preserve">CANON-202604-007394</t>
        </is>
      </c>
      <c r="B595" s="30" t="inlineStr">
        <is>
          <t xml:space="preserve">Ramona Harrington</t>
        </is>
      </c>
      <c r="C595" s="31">
        <v>46128</v>
      </c>
      <c r="D595" s="32" t="inlineStr">
        <is>
          <t xml:space="preserve">Bound - within authority</t>
        </is>
      </c>
      <c r="E595" s="32" t="inlineStr">
        <is>
          <t xml:space="preserve">New business</t>
        </is>
      </c>
      <c r="F595" s="30" t="inlineStr">
        <is>
          <t xml:space="preserve">B1234EXOTIC26</t>
        </is>
      </c>
      <c r="G595" s="33">
        <f>IF($A595="","",IF($C595="","",YEAR($C595)))</f>
      </c>
      <c r="H595" s="34">
        <v>2003</v>
      </c>
      <c r="I595" s="30" t="inlineStr">
        <is>
          <t xml:space="preserve">Ferrari</t>
        </is>
      </c>
      <c r="J595" s="30" t="inlineStr">
        <is>
          <t xml:space="preserve">296 GTB</t>
        </is>
      </c>
      <c r="K595" s="30" t="inlineStr">
        <is>
          <t xml:space="preserve">L7KVJ2C9JSYVLFNZR</t>
        </is>
      </c>
      <c r="L595" s="32" t="inlineStr">
        <is>
          <t xml:space="preserve">03 - Supercar</t>
        </is>
      </c>
      <c r="M595" s="35">
        <v>765000</v>
      </c>
      <c r="N595" s="32" t="inlineStr">
        <is>
          <t xml:space="preserve">Personal</t>
        </is>
      </c>
      <c r="O595" s="30" t="inlineStr">
        <is>
          <t xml:space="preserve">Personal - regular use</t>
        </is>
      </c>
      <c r="P595" s="30" t="inlineStr">
        <is>
          <t xml:space="preserve">1,000 - 2,500</t>
        </is>
      </c>
      <c r="Q595" s="30" t="inlineStr">
        <is>
          <t xml:space="preserve">Arkansas</t>
        </is>
      </c>
      <c r="R595" s="30" t="inlineStr">
        <is>
          <t xml:space="preserve">72201</t>
        </is>
      </c>
      <c r="S595" s="32" t="inlineStr">
        <is>
          <t xml:space="preserve">Severe convective - hail / tornado (moderate)</t>
        </is>
      </c>
      <c r="T595" s="36">
        <f>IF($A595="","",IF($S595="","",IFERROR(INDEX('[1]natural catastrophe'!$D$6:$D$17,MATCH($S595,'[1]natural catastrophe'!$B$6:$B$17,0)),"?")))</f>
      </c>
      <c r="U595" s="30" t="inlineStr">
        <is>
          <t xml:space="preserve">$5,000</t>
        </is>
      </c>
      <c r="V595" s="32" t="inlineStr">
        <is>
          <t xml:space="preserve">Agreed Value</t>
        </is>
      </c>
      <c r="W595" s="30" t="inlineStr">
        <is>
          <t xml:space="preserve">$1,000</t>
        </is>
      </c>
      <c r="X595" s="32" t="inlineStr">
        <is>
          <t xml:space="preserve">$1,000,000 CSL</t>
        </is>
      </c>
      <c r="Y595" s="30"/>
      <c r="Z595" s="30"/>
      <c r="AA595" s="32" t="inlineStr">
        <is>
          <t xml:space="preserve">Surplus Lines</t>
        </is>
      </c>
      <c r="AB595" s="35">
        <v>15715.49</v>
      </c>
      <c r="AC595" s="37">
        <v>0</v>
      </c>
      <c r="AD595" s="38">
        <f>IF(ISNUMBER($AB595),$AB595*(1+N($AC595)),"")</f>
      </c>
      <c r="AE595" s="35">
        <v>350</v>
      </c>
      <c r="AF595" s="35">
        <v>0</v>
      </c>
      <c r="AG595" s="37"/>
      <c r="AH595" s="39">
        <f>IF(ISNUMBER($AD595),($AD595+$AE595+$AF595)*$AG595,"")</f>
      </c>
      <c r="AI595" s="35"/>
      <c r="AJ595" s="38">
        <f>IF(ISNUMBER($AD595),SUM($AD595:$AH595),"")</f>
      </c>
      <c r="AK595" s="40">
        <f>IF(AND(ISNUMBER($AB595),ISNUMBER($AD595)),IF($AB595&gt;0,$AD595/$AB595,""),"")</f>
      </c>
      <c r="AL595" s="32" t="inlineStr">
        <is>
          <t xml:space="preserve">At technical</t>
        </is>
      </c>
      <c r="AM595" s="41">
        <f>IF(ISNUMBER($AD595),Header!$I$3,"")</f>
      </c>
      <c r="AN595" s="39">
        <f>IF(ISNUMBER($AD595),$AO595+$AP595,"")</f>
      </c>
      <c r="AO595" s="39">
        <f>IF(ISNUMBER($AD595),ROUND($AD595*Header!$K$3,2),"")</f>
      </c>
      <c r="AP595" s="39">
        <f>IF(ISNUMBER($AD595),ROUND($AD595*Header!$M$3,2),"")</f>
      </c>
      <c r="AQ595" s="38">
        <f>IF(ISNUMBER($AD595),ROUND($AD595,2)-$AO595-$AP595,"")</f>
      </c>
      <c r="AR595" s="39">
        <f>IF(ISNUMBER($AD595),IF(Header!$D$34="","?",$AD595*Header!$D$34),"")</f>
      </c>
      <c r="AS595" s="39">
        <f>IF(ISNUMBER($AB595),IF(Header!$D$34="","?",$AB595*Header!$D$34),"")</f>
      </c>
      <c r="AT595" s="42">
        <f>IF(AND(ISNUMBER($AB595),$M595&gt;0),$AB595/$M595*100,"")</f>
      </c>
      <c r="AU595" s="42">
        <f>IF(AND(ISNUMBER($AD595),$M595&gt;0),$AD595/$M595*100,"")</f>
      </c>
      <c r="AV595" s="40">
        <f>IF(AND(ISNUMBER($AB595),ISNUMBER($AD595),ABS($AB595)&gt;0),$AD595/$AB595,"")</f>
      </c>
      <c r="AW595" s="39">
        <f>IF(ISNUMBER($AD595),MAX(0,(1-0.55-Header!$O$3)*Header!$Q$3*$AQ595),"")</f>
      </c>
      <c r="AX595" s="43">
        <f>IF($A595="","",IF(TRIM(IF($A595="","Missing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",""))="","PASS","FAIL: "&amp;TRIM(IF($A595="","Missing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f>
      </c>
      <c r="AY595" s="44">
        <f>IF($M595="","",IF(ISNUMBER($M595),IF($M595&gt;=Header!$C$18,"YES — refer","No"),""))</f>
      </c>
      <c r="AZ595" s="44">
        <f>IF($AD595="","",IF(ISNUMBER($AD595),IF($AD595&lt;Header!$C$20,"BELOW MIN PREMIUM","OK"),""))</f>
      </c>
      <c r="BA595" s="32" t="inlineStr">
        <is>
          <t xml:space="preserve">Yes</t>
        </is>
      </c>
      <c r="BB595" s="32" t="inlineStr">
        <is>
          <t xml:space="preserve">Yes</t>
        </is>
      </c>
      <c r="BC595" s="30" t="inlineStr">
        <is>
          <t xml:space="preserve">Synthetic demo data</t>
        </is>
      </c>
      <c r="BE595" s="45">
        <f>IF(OR($A595="",$L595="",$H595=""),"",IF(AND(LEFT($L595,2)="06",$H595&gt;1945),"FAIL - pre-war class, year "&amp;$H595,IF(AND(LEFT($L595,2)="07",OR($H595&lt;1946,$H595&gt;1972)),"FAIL - 1946-72 class, year "&amp;$H595,IF(AND(LEFT($L595,2)="08",OR($H595&lt;1973,$H595&gt;1999)),"FAIL - 1973-99 class, year "&amp;$H595,IF(AND(LEFT($L595,2)="09",OR($H595&lt;2000,$H595&gt;2010)),"FAIL - 2000-10 class, year "&amp;$H595,"OK")))))</f>
      </c>
      <c r="BF595" s="45">
        <f>IF($AD595="","",IF(ROUND($AO595+$AP595+$AQ595-$AD595,2)=0,"OK","FAIL - out by "&amp;TEXT($AO595+$AP595+$AQ595-$AD595,"$0.00")))</f>
      </c>
    </row>
    <row r="596" spans="1:58" ht="18.75" customHeight="1" x14ac:dyDescent="0.25">
      <c r="A596" s="46" t="inlineStr">
        <is>
          <t xml:space="preserve">CANON-202604-007395</t>
        </is>
      </c>
      <c r="B596" s="46" t="inlineStr">
        <is>
          <t xml:space="preserve">Wilhelmina Delacroix</t>
        </is>
      </c>
      <c r="C596" s="47">
        <v>46116</v>
      </c>
      <c r="D596" s="48" t="inlineStr">
        <is>
          <t xml:space="preserve">Bound - within authority</t>
        </is>
      </c>
      <c r="E596" s="48" t="inlineStr">
        <is>
          <t xml:space="preserve">New business</t>
        </is>
      </c>
      <c r="F596" s="46" t="inlineStr">
        <is>
          <t xml:space="preserve">B1234EXOTIC26</t>
        </is>
      </c>
      <c r="G596" s="33">
        <f>IF($A596="","",IF($C596="","",YEAR($C596)))</f>
      </c>
      <c r="H596" s="49">
        <v>2022</v>
      </c>
      <c r="I596" s="46" t="inlineStr">
        <is>
          <t xml:space="preserve">Mercedes-Benz</t>
        </is>
      </c>
      <c r="J596" s="46" t="inlineStr">
        <is>
          <t xml:space="preserve">AMG GT</t>
        </is>
      </c>
      <c r="K596" s="46" t="inlineStr">
        <is>
          <t xml:space="preserve">V45X399KER5DV2X8F</t>
        </is>
      </c>
      <c r="L596" s="48" t="inlineStr">
        <is>
          <t xml:space="preserve">02 - Sports / GT</t>
        </is>
      </c>
      <c r="M596" s="50">
        <v>700000</v>
      </c>
      <c r="N596" s="48" t="inlineStr">
        <is>
          <t xml:space="preserve">Personal</t>
        </is>
      </c>
      <c r="O596" s="46" t="inlineStr">
        <is>
          <t xml:space="preserve">Personal - regular use</t>
        </is>
      </c>
      <c r="P596" s="46" t="inlineStr">
        <is>
          <t xml:space="preserve">Under 1,000</t>
        </is>
      </c>
      <c r="Q596" s="46" t="inlineStr">
        <is>
          <t xml:space="preserve">California</t>
        </is>
      </c>
      <c r="R596" s="46" t="inlineStr">
        <is>
          <t xml:space="preserve">90012</t>
        </is>
      </c>
      <c r="S596" s="48" t="inlineStr">
        <is>
          <t xml:space="preserve">Earthquake - high (CA, Cascadia, New Madrid)</t>
        </is>
      </c>
      <c r="T596" s="36">
        <f>IF($A596="","",IF($S596="","",IFERROR(INDEX('[1]natural catastrophe'!$D$6:$D$17,MATCH($S596,'[1]natural catastrophe'!$B$6:$B$17,0)),"?")))</f>
      </c>
      <c r="U596" s="46" t="inlineStr">
        <is>
          <t xml:space="preserve">$5,000</t>
        </is>
      </c>
      <c r="V596" s="48" t="inlineStr">
        <is>
          <t xml:space="preserve">Agreed Value</t>
        </is>
      </c>
      <c r="W596" s="46" t="inlineStr">
        <is>
          <t xml:space="preserve">$1,000</t>
        </is>
      </c>
      <c r="X596" s="48" t="inlineStr">
        <is>
          <t xml:space="preserve">$1,000,000 CSL</t>
        </is>
      </c>
      <c r="Y596" s="46"/>
      <c r="Z596" s="46"/>
      <c r="AA596" s="48" t="inlineStr">
        <is>
          <t xml:space="preserve">Surplus Lines</t>
        </is>
      </c>
      <c r="AB596" s="50">
        <v>9625.18</v>
      </c>
      <c r="AC596" s="51">
        <v>0</v>
      </c>
      <c r="AD596" s="38">
        <f>IF(ISNUMBER($AB596),$AB596*(1+N($AC596)),"")</f>
      </c>
      <c r="AE596" s="50">
        <v>350</v>
      </c>
      <c r="AF596" s="50">
        <v>0</v>
      </c>
      <c r="AG596" s="51"/>
      <c r="AH596" s="39">
        <f>IF(ISNUMBER($AD596),($AD596+$AE596+$AF596)*$AG596,"")</f>
      </c>
      <c r="AI596" s="50"/>
      <c r="AJ596" s="38">
        <f>IF(ISNUMBER($AD596),SUM($AD596:$AH596),"")</f>
      </c>
      <c r="AK596" s="40">
        <f>IF(AND(ISNUMBER($AB596),ISNUMBER($AD596)),IF($AB596&gt;0,$AD596/$AB596,""),"")</f>
      </c>
      <c r="AL596" s="48" t="inlineStr">
        <is>
          <t xml:space="preserve">At technical</t>
        </is>
      </c>
      <c r="AM596" s="41">
        <f>IF(ISNUMBER($AD596),Header!$I$3,"")</f>
      </c>
      <c r="AN596" s="39">
        <f>IF(ISNUMBER($AD596),$AO596+$AP596,"")</f>
      </c>
      <c r="AO596" s="39">
        <f>IF(ISNUMBER($AD596),ROUND($AD596*Header!$K$3,2),"")</f>
      </c>
      <c r="AP596" s="39">
        <f>IF(ISNUMBER($AD596),ROUND($AD596*Header!$M$3,2),"")</f>
      </c>
      <c r="AQ596" s="38">
        <f>IF(ISNUMBER($AD596),ROUND($AD596,2)-$AO596-$AP596,"")</f>
      </c>
      <c r="AR596" s="39">
        <f>IF(ISNUMBER($AD596),IF(Header!$D$34="","?",$AD596*Header!$D$34),"")</f>
      </c>
      <c r="AS596" s="39">
        <f>IF(ISNUMBER($AB596),IF(Header!$D$34="","?",$AB596*Header!$D$34),"")</f>
      </c>
      <c r="AT596" s="42">
        <f>IF(AND(ISNUMBER($AB596),$M596&gt;0),$AB596/$M596*100,"")</f>
      </c>
      <c r="AU596" s="42">
        <f>IF(AND(ISNUMBER($AD596),$M596&gt;0),$AD596/$M596*100,"")</f>
      </c>
      <c r="AV596" s="40">
        <f>IF(AND(ISNUMBER($AB596),ISNUMBER($AD596),ABS($AB596)&gt;0),$AD596/$AB596,"")</f>
      </c>
      <c r="AW596" s="39">
        <f>IF(ISNUMBER($AD596),MAX(0,(1-0.55-Header!$O$3)*Header!$Q$3*$AQ596),"")</f>
      </c>
      <c r="AX596" s="43">
        <f>IF($A596="","",IF(TRIM(IF($A596="","Missing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",""))="","PASS","FAIL: "&amp;TRIM(IF($A596="","Missing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f>
      </c>
      <c r="AY596" s="44">
        <f>IF($M596="","",IF(ISNUMBER($M596),IF($M596&gt;=Header!$C$18,"YES — refer","No"),""))</f>
      </c>
      <c r="AZ596" s="44">
        <f>IF($AD596="","",IF(ISNUMBER($AD596),IF($AD596&lt;Header!$C$20,"BELOW MIN PREMIUM","OK"),""))</f>
      </c>
      <c r="BA596" s="48" t="inlineStr">
        <is>
          <t xml:space="preserve">Yes</t>
        </is>
      </c>
      <c r="BB596" s="48" t="inlineStr">
        <is>
          <t xml:space="preserve">Yes</t>
        </is>
      </c>
      <c r="BC596" s="46" t="inlineStr">
        <is>
          <t xml:space="preserve">Synthetic demo data</t>
        </is>
      </c>
      <c r="BE596" s="45">
        <f>IF(OR($A596="",$L596="",$H596=""),"",IF(AND(LEFT($L596,2)="06",$H596&gt;1945),"FAIL - pre-war class, year "&amp;$H596,IF(AND(LEFT($L596,2)="07",OR($H596&lt;1946,$H596&gt;1972)),"FAIL - 1946-72 class, year "&amp;$H596,IF(AND(LEFT($L596,2)="08",OR($H596&lt;1973,$H596&gt;1999)),"FAIL - 1973-99 class, year "&amp;$H596,IF(AND(LEFT($L596,2)="09",OR($H596&lt;2000,$H596&gt;2010)),"FAIL - 2000-10 class, year "&amp;$H596,"OK")))))</f>
      </c>
      <c r="BF596" s="45">
        <f>IF($AD596="","",IF(ROUND($AO596+$AP596+$AQ596-$AD596,2)=0,"OK","FAIL - out by "&amp;TEXT($AO596+$AP596+$AQ596-$AD596,"$0.00")))</f>
      </c>
    </row>
    <row r="597" spans="1:58" ht="18.75" customHeight="1" x14ac:dyDescent="0.25">
      <c r="A597" s="30" t="inlineStr">
        <is>
          <t xml:space="preserve">CANON-202604-007396</t>
        </is>
      </c>
      <c r="B597" s="30" t="inlineStr">
        <is>
          <t xml:space="preserve">Priya Delacroix</t>
        </is>
      </c>
      <c r="C597" s="31">
        <v>46117</v>
      </c>
      <c r="D597" s="32" t="inlineStr">
        <is>
          <t xml:space="preserve">Bound - within authority</t>
        </is>
      </c>
      <c r="E597" s="32" t="inlineStr">
        <is>
          <t xml:space="preserve">New business</t>
        </is>
      </c>
      <c r="F597" s="30" t="inlineStr">
        <is>
          <t xml:space="preserve">B1234EXOTIC26</t>
        </is>
      </c>
      <c r="G597" s="33">
        <f>IF($A597="","",IF($C597="","",YEAR($C597)))</f>
      </c>
      <c r="H597" s="34">
        <v>1979</v>
      </c>
      <c r="I597" s="30" t="inlineStr">
        <is>
          <t xml:space="preserve">Bentley</t>
        </is>
      </c>
      <c r="J597" s="30" t="inlineStr">
        <is>
          <t xml:space="preserve">Continental GT</t>
        </is>
      </c>
      <c r="K597" s="30" t="inlineStr">
        <is>
          <t xml:space="preserve">JNPMVDKY7PE4ES296</t>
        </is>
      </c>
      <c r="L597" s="32" t="inlineStr">
        <is>
          <t xml:space="preserve">02 - Sports / GT</t>
        </is>
      </c>
      <c r="M597" s="35">
        <v>1310000</v>
      </c>
      <c r="N597" s="32" t="inlineStr">
        <is>
          <t xml:space="preserve">Personal</t>
        </is>
      </c>
      <c r="O597" s="30" t="inlineStr">
        <is>
          <t xml:space="preserve">Personal - regular use</t>
        </is>
      </c>
      <c r="P597" s="30" t="inlineStr">
        <is>
          <t xml:space="preserve">1,000 - 2,500</t>
        </is>
      </c>
      <c r="Q597" s="30" t="inlineStr">
        <is>
          <t xml:space="preserve">Maine</t>
        </is>
      </c>
      <c r="R597" s="30" t="inlineStr">
        <is>
          <t xml:space="preserve">04101</t>
        </is>
      </c>
      <c r="S597" s="32" t="inlineStr">
        <is>
          <t xml:space="preserve">Tier 3 - Coastal wind (25-100 miles)</t>
        </is>
      </c>
      <c r="T597" s="36">
        <f>IF($A597="","",IF($S597="","",IFERROR(INDEX('[1]natural catastrophe'!$D$6:$D$17,MATCH($S597,'[1]natural catastrophe'!$B$6:$B$17,0)),"?")))</f>
      </c>
      <c r="U597" s="30" t="inlineStr">
        <is>
          <t xml:space="preserve">2% of agreed value, minimum $10,000</t>
        </is>
      </c>
      <c r="V597" s="32" t="inlineStr">
        <is>
          <t xml:space="preserve">Agreed Value</t>
        </is>
      </c>
      <c r="W597" s="30" t="inlineStr">
        <is>
          <t xml:space="preserve">$1,000</t>
        </is>
      </c>
      <c r="X597" s="32" t="inlineStr">
        <is>
          <t xml:space="preserve">$1,000,000 CSL</t>
        </is>
      </c>
      <c r="Y597" s="30"/>
      <c r="Z597" s="30"/>
      <c r="AA597" s="32" t="inlineStr">
        <is>
          <t xml:space="preserve">Surplus Lines</t>
        </is>
      </c>
      <c r="AB597" s="35">
        <v>12193.31</v>
      </c>
      <c r="AC597" s="37">
        <v>0</v>
      </c>
      <c r="AD597" s="38">
        <f>IF(ISNUMBER($AB597),$AB597*(1+N($AC597)),"")</f>
      </c>
      <c r="AE597" s="35">
        <v>350</v>
      </c>
      <c r="AF597" s="35">
        <v>250</v>
      </c>
      <c r="AG597" s="37"/>
      <c r="AH597" s="39">
        <f>IF(ISNUMBER($AD597),($AD597+$AE597+$AF597)*$AG597,"")</f>
      </c>
      <c r="AI597" s="35"/>
      <c r="AJ597" s="38">
        <f>IF(ISNUMBER($AD597),SUM($AD597:$AH597),"")</f>
      </c>
      <c r="AK597" s="40">
        <f>IF(AND(ISNUMBER($AB597),ISNUMBER($AD597)),IF($AB597&gt;0,$AD597/$AB597,""),"")</f>
      </c>
      <c r="AL597" s="32" t="inlineStr">
        <is>
          <t xml:space="preserve">At technical</t>
        </is>
      </c>
      <c r="AM597" s="41">
        <f>IF(ISNUMBER($AD597),Header!$I$3,"")</f>
      </c>
      <c r="AN597" s="39">
        <f>IF(ISNUMBER($AD597),$AO597+$AP597,"")</f>
      </c>
      <c r="AO597" s="39">
        <f>IF(ISNUMBER($AD597),ROUND($AD597*Header!$K$3,2),"")</f>
      </c>
      <c r="AP597" s="39">
        <f>IF(ISNUMBER($AD597),ROUND($AD597*Header!$M$3,2),"")</f>
      </c>
      <c r="AQ597" s="38">
        <f>IF(ISNUMBER($AD597),ROUND($AD597,2)-$AO597-$AP597,"")</f>
      </c>
      <c r="AR597" s="39">
        <f>IF(ISNUMBER($AD597),IF(Header!$D$34="","?",$AD597*Header!$D$34),"")</f>
      </c>
      <c r="AS597" s="39">
        <f>IF(ISNUMBER($AB597),IF(Header!$D$34="","?",$AB597*Header!$D$34),"")</f>
      </c>
      <c r="AT597" s="42">
        <f>IF(AND(ISNUMBER($AB597),$M597&gt;0),$AB597/$M597*100,"")</f>
      </c>
      <c r="AU597" s="42">
        <f>IF(AND(ISNUMBER($AD597),$M597&gt;0),$AD597/$M597*100,"")</f>
      </c>
      <c r="AV597" s="40">
        <f>IF(AND(ISNUMBER($AB597),ISNUMBER($AD597),ABS($AB597)&gt;0),$AD597/$AB597,"")</f>
      </c>
      <c r="AW597" s="39">
        <f>IF(ISNUMBER($AD597),MAX(0,(1-0.55-Header!$O$3)*Header!$Q$3*$AQ597),"")</f>
      </c>
      <c r="AX597" s="43">
        <f>IF($A597="","",IF(TRIM(IF($A597="","Missing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",""))="","PASS","FAIL: "&amp;TRIM(IF($A597="","Missing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f>
      </c>
      <c r="AY597" s="44">
        <f>IF($M597="","",IF(ISNUMBER($M597),IF($M597&gt;=Header!$C$18,"YES — refer","No"),""))</f>
      </c>
      <c r="AZ597" s="44">
        <f>IF($AD597="","",IF(ISNUMBER($AD597),IF($AD597&lt;Header!$C$20,"BELOW MIN PREMIUM","OK"),""))</f>
      </c>
      <c r="BA597" s="32" t="inlineStr">
        <is>
          <t xml:space="preserve">Yes</t>
        </is>
      </c>
      <c r="BB597" s="32" t="inlineStr">
        <is>
          <t xml:space="preserve">Yes</t>
        </is>
      </c>
      <c r="BC597" s="30" t="inlineStr">
        <is>
          <t xml:space="preserve">Synthetic demo data</t>
        </is>
      </c>
      <c r="BE597" s="45">
        <f>IF(OR($A597="",$L597="",$H597=""),"",IF(AND(LEFT($L597,2)="06",$H597&gt;1945),"FAIL - pre-war class, year "&amp;$H597,IF(AND(LEFT($L597,2)="07",OR($H597&lt;1946,$H597&gt;1972)),"FAIL - 1946-72 class, year "&amp;$H597,IF(AND(LEFT($L597,2)="08",OR($H597&lt;1973,$H597&gt;1999)),"FAIL - 1973-99 class, year "&amp;$H597,IF(AND(LEFT($L597,2)="09",OR($H597&lt;2000,$H597&gt;2010)),"FAIL - 2000-10 class, year "&amp;$H597,"OK")))))</f>
      </c>
      <c r="BF597" s="45">
        <f>IF($AD597="","",IF(ROUND($AO597+$AP597+$AQ597-$AD597,2)=0,"OK","FAIL - out by "&amp;TEXT($AO597+$AP597+$AQ597-$AD597,"$0.00")))</f>
      </c>
    </row>
    <row r="598" spans="1:58" ht="18.75" customHeight="1" x14ac:dyDescent="0.25">
      <c r="A598" s="46" t="inlineStr">
        <is>
          <t xml:space="preserve">CANON-202604-007397</t>
        </is>
      </c>
      <c r="B598" s="46" t="inlineStr">
        <is>
          <t xml:space="preserve">Marisol Okonkwo</t>
        </is>
      </c>
      <c r="C598" s="47">
        <v>46116</v>
      </c>
      <c r="D598" s="48" t="inlineStr">
        <is>
          <t xml:space="preserve">Bound - within authority</t>
        </is>
      </c>
      <c r="E598" s="48" t="inlineStr">
        <is>
          <t xml:space="preserve">New business</t>
        </is>
      </c>
      <c r="F598" s="46" t="inlineStr">
        <is>
          <t xml:space="preserve">B1234EXOTIC26</t>
        </is>
      </c>
      <c r="G598" s="33">
        <f>IF($A598="","",IF($C598="","",YEAR($C598)))</f>
      </c>
      <c r="H598" s="49">
        <v>1972</v>
      </c>
      <c r="I598" s="46" t="inlineStr">
        <is>
          <t xml:space="preserve">BMW</t>
        </is>
      </c>
      <c r="J598" s="46" t="inlineStr">
        <is>
          <t xml:space="preserve">M8 Competition</t>
        </is>
      </c>
      <c r="K598" s="46" t="inlineStr">
        <is>
          <t xml:space="preserve">UC1UHNX7C4BZE9J7R</t>
        </is>
      </c>
      <c r="L598" s="48" t="inlineStr">
        <is>
          <t xml:space="preserve">02 - Sports / GT</t>
        </is>
      </c>
      <c r="M598" s="50">
        <v>805000</v>
      </c>
      <c r="N598" s="48" t="inlineStr">
        <is>
          <t xml:space="preserve">Personal</t>
        </is>
      </c>
      <c r="O598" s="46" t="inlineStr">
        <is>
          <t xml:space="preserve">Personal - regular use</t>
        </is>
      </c>
      <c r="P598" s="46" t="inlineStr">
        <is>
          <t xml:space="preserve">Under 1,000</t>
        </is>
      </c>
      <c r="Q598" s="46" t="inlineStr">
        <is>
          <t xml:space="preserve">Texas</t>
        </is>
      </c>
      <c r="R598" s="46" t="inlineStr">
        <is>
          <t xml:space="preserve">75201</t>
        </is>
      </c>
      <c r="S598" s="48" t="inlineStr">
        <is>
          <t xml:space="preserve">Tier 2 - Coastal wind (1-25 miles)</t>
        </is>
      </c>
      <c r="T598" s="36">
        <f>IF($A598="","",IF($S598="","",IFERROR(INDEX('[1]natural catastrophe'!$D$6:$D$17,MATCH($S598,'[1]natural catastrophe'!$B$6:$B$17,0)),"?")))</f>
      </c>
      <c r="U598" s="46" t="inlineStr">
        <is>
          <t xml:space="preserve">2% of agreed value, minimum $10,000</t>
        </is>
      </c>
      <c r="V598" s="48" t="inlineStr">
        <is>
          <t xml:space="preserve">Agreed Value</t>
        </is>
      </c>
      <c r="W598" s="46" t="inlineStr">
        <is>
          <t xml:space="preserve">$1,000</t>
        </is>
      </c>
      <c r="X598" s="48" t="inlineStr">
        <is>
          <t xml:space="preserve">$1,000,000 CSL</t>
        </is>
      </c>
      <c r="Y598" s="46"/>
      <c r="Z598" s="46"/>
      <c r="AA598" s="48" t="inlineStr">
        <is>
          <t xml:space="preserve">Surplus Lines</t>
        </is>
      </c>
      <c r="AB598" s="50">
        <v>9429.11</v>
      </c>
      <c r="AC598" s="51">
        <v>0</v>
      </c>
      <c r="AD598" s="38">
        <f>IF(ISNUMBER($AB598),$AB598*(1+N($AC598)),"")</f>
      </c>
      <c r="AE598" s="50">
        <v>350</v>
      </c>
      <c r="AF598" s="50">
        <v>0</v>
      </c>
      <c r="AG598" s="51"/>
      <c r="AH598" s="39">
        <f>IF(ISNUMBER($AD598),($AD598+$AE598+$AF598)*$AG598,"")</f>
      </c>
      <c r="AI598" s="50"/>
      <c r="AJ598" s="38">
        <f>IF(ISNUMBER($AD598),SUM($AD598:$AH598),"")</f>
      </c>
      <c r="AK598" s="40">
        <f>IF(AND(ISNUMBER($AB598),ISNUMBER($AD598)),IF($AB598&gt;0,$AD598/$AB598,""),"")</f>
      </c>
      <c r="AL598" s="48" t="inlineStr">
        <is>
          <t xml:space="preserve">At technical</t>
        </is>
      </c>
      <c r="AM598" s="41">
        <f>IF(ISNUMBER($AD598),Header!$I$3,"")</f>
      </c>
      <c r="AN598" s="39">
        <f>IF(ISNUMBER($AD598),$AO598+$AP598,"")</f>
      </c>
      <c r="AO598" s="39">
        <f>IF(ISNUMBER($AD598),ROUND($AD598*Header!$K$3,2),"")</f>
      </c>
      <c r="AP598" s="39">
        <f>IF(ISNUMBER($AD598),ROUND($AD598*Header!$M$3,2),"")</f>
      </c>
      <c r="AQ598" s="38">
        <f>IF(ISNUMBER($AD598),ROUND($AD598,2)-$AO598-$AP598,"")</f>
      </c>
      <c r="AR598" s="39">
        <f>IF(ISNUMBER($AD598),IF(Header!$D$34="","?",$AD598*Header!$D$34),"")</f>
      </c>
      <c r="AS598" s="39">
        <f>IF(ISNUMBER($AB598),IF(Header!$D$34="","?",$AB598*Header!$D$34),"")</f>
      </c>
      <c r="AT598" s="42">
        <f>IF(AND(ISNUMBER($AB598),$M598&gt;0),$AB598/$M598*100,"")</f>
      </c>
      <c r="AU598" s="42">
        <f>IF(AND(ISNUMBER($AD598),$M598&gt;0),$AD598/$M598*100,"")</f>
      </c>
      <c r="AV598" s="40">
        <f>IF(AND(ISNUMBER($AB598),ISNUMBER($AD598),ABS($AB598)&gt;0),$AD598/$AB598,"")</f>
      </c>
      <c r="AW598" s="39">
        <f>IF(ISNUMBER($AD598),MAX(0,(1-0.55-Header!$O$3)*Header!$Q$3*$AQ598),"")</f>
      </c>
      <c r="AX598" s="43">
        <f>IF($A598="","",IF(TRIM(IF($A598="","Missing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",""))="","PASS","FAIL: "&amp;TRIM(IF($A598="","Missing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f>
      </c>
      <c r="AY598" s="44">
        <f>IF($M598="","",IF(ISNUMBER($M598),IF($M598&gt;=Header!$C$18,"YES — refer","No"),""))</f>
      </c>
      <c r="AZ598" s="44">
        <f>IF($AD598="","",IF(ISNUMBER($AD598),IF($AD598&lt;Header!$C$20,"BELOW MIN PREMIUM","OK"),""))</f>
      </c>
      <c r="BA598" s="48" t="inlineStr">
        <is>
          <t xml:space="preserve">Yes</t>
        </is>
      </c>
      <c r="BB598" s="48" t="inlineStr">
        <is>
          <t xml:space="preserve">Yes</t>
        </is>
      </c>
      <c r="BC598" s="46" t="inlineStr">
        <is>
          <t xml:space="preserve">Synthetic demo data</t>
        </is>
      </c>
      <c r="BE598" s="45">
        <f>IF(OR($A598="",$L598="",$H598=""),"",IF(AND(LEFT($L598,2)="06",$H598&gt;1945),"FAIL - pre-war class, year "&amp;$H598,IF(AND(LEFT($L598,2)="07",OR($H598&lt;1946,$H598&gt;1972)),"FAIL - 1946-72 class, year "&amp;$H598,IF(AND(LEFT($L598,2)="08",OR($H598&lt;1973,$H598&gt;1999)),"FAIL - 1973-99 class, year "&amp;$H598,IF(AND(LEFT($L598,2)="09",OR($H598&lt;2000,$H598&gt;2010)),"FAIL - 2000-10 class, year "&amp;$H598,"OK")))))</f>
      </c>
      <c r="BF598" s="45">
        <f>IF($AD598="","",IF(ROUND($AO598+$AP598+$AQ598-$AD598,2)=0,"OK","FAIL - out by "&amp;TEXT($AO598+$AP598+$AQ598-$AD598,"$0.00")))</f>
      </c>
    </row>
    <row r="599" spans="1:58" ht="18.75" customHeight="1" x14ac:dyDescent="0.25">
      <c r="A599" s="30" t="inlineStr">
        <is>
          <t xml:space="preserve">CANON-202604-007400</t>
        </is>
      </c>
      <c r="B599" s="30" t="inlineStr">
        <is>
          <t xml:space="preserve">Ingrid Kingsford</t>
        </is>
      </c>
      <c r="C599" s="31">
        <v>46121</v>
      </c>
      <c r="D599" s="32" t="inlineStr">
        <is>
          <t xml:space="preserve">Bound - within authority</t>
        </is>
      </c>
      <c r="E599" s="32" t="inlineStr">
        <is>
          <t xml:space="preserve">New business</t>
        </is>
      </c>
      <c r="F599" s="30" t="inlineStr">
        <is>
          <t xml:space="preserve">B1234EXOTIC26</t>
        </is>
      </c>
      <c r="G599" s="33">
        <f>IF($A599="","",IF($C599="","",YEAR($C599)))</f>
      </c>
      <c r="H599" s="34">
        <v>1977</v>
      </c>
      <c r="I599" s="30" t="inlineStr">
        <is>
          <t xml:space="preserve">Lamborghini</t>
        </is>
      </c>
      <c r="J599" s="30" t="inlineStr">
        <is>
          <t xml:space="preserve">Huracan EVO</t>
        </is>
      </c>
      <c r="K599" s="30" t="inlineStr">
        <is>
          <t xml:space="preserve">MSD4T80UFYKUGE3HS</t>
        </is>
      </c>
      <c r="L599" s="32" t="inlineStr">
        <is>
          <t xml:space="preserve">03 - Supercar</t>
        </is>
      </c>
      <c r="M599" s="35">
        <v>1225000</v>
      </c>
      <c r="N599" s="32" t="inlineStr">
        <is>
          <t xml:space="preserve">Personal</t>
        </is>
      </c>
      <c r="O599" s="30" t="inlineStr">
        <is>
          <t xml:space="preserve">Personal - regular use</t>
        </is>
      </c>
      <c r="P599" s="30" t="inlineStr">
        <is>
          <t xml:space="preserve">Under 1,000</t>
        </is>
      </c>
      <c r="Q599" s="30" t="inlineStr">
        <is>
          <t xml:space="preserve">North Carolina</t>
        </is>
      </c>
      <c r="R599" s="30" t="inlineStr">
        <is>
          <t xml:space="preserve">28202</t>
        </is>
      </c>
      <c r="S599" s="32" t="inlineStr">
        <is>
          <t xml:space="preserve">Tier 2 - Coastal wind (1-25 miles)</t>
        </is>
      </c>
      <c r="T599" s="36">
        <f>IF($A599="","",IF($S599="","",IFERROR(INDEX('[1]natural catastrophe'!$D$6:$D$17,MATCH($S599,'[1]natural catastrophe'!$B$6:$B$17,0)),"?")))</f>
      </c>
      <c r="U599" s="30" t="inlineStr">
        <is>
          <t xml:space="preserve">2% of agreed value, minimum $10,000</t>
        </is>
      </c>
      <c r="V599" s="32" t="inlineStr">
        <is>
          <t xml:space="preserve">Agreed Value</t>
        </is>
      </c>
      <c r="W599" s="30" t="inlineStr">
        <is>
          <t xml:space="preserve">$1,000</t>
        </is>
      </c>
      <c r="X599" s="32" t="inlineStr">
        <is>
          <t xml:space="preserve">$1,000,000 CSL</t>
        </is>
      </c>
      <c r="Y599" s="30"/>
      <c r="Z599" s="30"/>
      <c r="AA599" s="32" t="inlineStr">
        <is>
          <t xml:space="preserve">Surplus Lines</t>
        </is>
      </c>
      <c r="AB599" s="35">
        <v>17659.88</v>
      </c>
      <c r="AC599" s="37">
        <v>0</v>
      </c>
      <c r="AD599" s="38">
        <f>IF(ISNUMBER($AB599),$AB599*(1+N($AC599)),"")</f>
      </c>
      <c r="AE599" s="35">
        <v>350</v>
      </c>
      <c r="AF599" s="35">
        <v>250</v>
      </c>
      <c r="AG599" s="37"/>
      <c r="AH599" s="39">
        <f>IF(ISNUMBER($AD599),($AD599+$AE599+$AF599)*$AG599,"")</f>
      </c>
      <c r="AI599" s="35"/>
      <c r="AJ599" s="38">
        <f>IF(ISNUMBER($AD599),SUM($AD599:$AH599),"")</f>
      </c>
      <c r="AK599" s="40">
        <f>IF(AND(ISNUMBER($AB599),ISNUMBER($AD599)),IF($AB599&gt;0,$AD599/$AB599,""),"")</f>
      </c>
      <c r="AL599" s="32" t="inlineStr">
        <is>
          <t xml:space="preserve">At technical</t>
        </is>
      </c>
      <c r="AM599" s="41">
        <f>IF(ISNUMBER($AD599),Header!$I$3,"")</f>
      </c>
      <c r="AN599" s="39">
        <f>IF(ISNUMBER($AD599),$AO599+$AP599,"")</f>
      </c>
      <c r="AO599" s="39">
        <f>IF(ISNUMBER($AD599),ROUND($AD599*Header!$K$3,2),"")</f>
      </c>
      <c r="AP599" s="39">
        <f>IF(ISNUMBER($AD599),ROUND($AD599*Header!$M$3,2),"")</f>
      </c>
      <c r="AQ599" s="38">
        <f>IF(ISNUMBER($AD599),ROUND($AD599,2)-$AO599-$AP599,"")</f>
      </c>
      <c r="AR599" s="39">
        <f>IF(ISNUMBER($AD599),IF(Header!$D$34="","?",$AD599*Header!$D$34),"")</f>
      </c>
      <c r="AS599" s="39">
        <f>IF(ISNUMBER($AB599),IF(Header!$D$34="","?",$AB599*Header!$D$34),"")</f>
      </c>
      <c r="AT599" s="42">
        <f>IF(AND(ISNUMBER($AB599),$M599&gt;0),$AB599/$M599*100,"")</f>
      </c>
      <c r="AU599" s="42">
        <f>IF(AND(ISNUMBER($AD599),$M599&gt;0),$AD599/$M599*100,"")</f>
      </c>
      <c r="AV599" s="40">
        <f>IF(AND(ISNUMBER($AB599),ISNUMBER($AD599),ABS($AB599)&gt;0),$AD599/$AB599,"")</f>
      </c>
      <c r="AW599" s="39">
        <f>IF(ISNUMBER($AD599),MAX(0,(1-0.55-Header!$O$3)*Header!$Q$3*$AQ599),"")</f>
      </c>
      <c r="AX599" s="43">
        <f>IF($A599="","",IF(TRIM(IF($A599="","Missing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",""))="","PASS","FAIL: "&amp;TRIM(IF($A599="","Missing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f>
      </c>
      <c r="AY599" s="44">
        <f>IF($M599="","",IF(ISNUMBER($M599),IF($M599&gt;=Header!$C$18,"YES — refer","No"),""))</f>
      </c>
      <c r="AZ599" s="44">
        <f>IF($AD599="","",IF(ISNUMBER($AD599),IF($AD599&lt;Header!$C$20,"BELOW MIN PREMIUM","OK"),""))</f>
      </c>
      <c r="BA599" s="32" t="inlineStr">
        <is>
          <t xml:space="preserve">Yes</t>
        </is>
      </c>
      <c r="BB599" s="32" t="inlineStr">
        <is>
          <t xml:space="preserve">Yes</t>
        </is>
      </c>
      <c r="BC599" s="30" t="inlineStr">
        <is>
          <t xml:space="preserve">Synthetic demo data</t>
        </is>
      </c>
      <c r="BE599" s="45">
        <f>IF(OR($A599="",$L599="",$H599=""),"",IF(AND(LEFT($L599,2)="06",$H599&gt;1945),"FAIL - pre-war class, year "&amp;$H599,IF(AND(LEFT($L599,2)="07",OR($H599&lt;1946,$H599&gt;1972)),"FAIL - 1946-72 class, year "&amp;$H599,IF(AND(LEFT($L599,2)="08",OR($H599&lt;1973,$H599&gt;1999)),"FAIL - 1973-99 class, year "&amp;$H599,IF(AND(LEFT($L599,2)="09",OR($H599&lt;2000,$H599&gt;2010)),"FAIL - 2000-10 class, year "&amp;$H599,"OK")))))</f>
      </c>
      <c r="BF599" s="45">
        <f>IF($AD599="","",IF(ROUND($AO599+$AP599+$AQ599-$AD599,2)=0,"OK","FAIL - out by "&amp;TEXT($AO599+$AP599+$AQ599-$AD599,"$0.00")))</f>
      </c>
    </row>
    <row r="600" spans="1:58" ht="18.75" customHeight="1" x14ac:dyDescent="0.25">
      <c r="A600" s="46" t="inlineStr">
        <is>
          <t xml:space="preserve">CANON-202604-007401</t>
        </is>
      </c>
      <c r="B600" s="46" t="inlineStr">
        <is>
          <t xml:space="preserve">Beatrix Chattopadhyay</t>
        </is>
      </c>
      <c r="C600" s="47">
        <v>46129</v>
      </c>
      <c r="D600" s="48" t="inlineStr">
        <is>
          <t xml:space="preserve">Bound - within authority</t>
        </is>
      </c>
      <c r="E600" s="48" t="inlineStr">
        <is>
          <t xml:space="preserve">New business</t>
        </is>
      </c>
      <c r="F600" s="46" t="inlineStr">
        <is>
          <t xml:space="preserve">B1234EXOTIC26</t>
        </is>
      </c>
      <c r="G600" s="33">
        <f>IF($A600="","",IF($C600="","",YEAR($C600)))</f>
      </c>
      <c r="H600" s="49">
        <v>1965</v>
      </c>
      <c r="I600" s="46" t="inlineStr">
        <is>
          <t xml:space="preserve">Porsche</t>
        </is>
      </c>
      <c r="J600" s="46" t="inlineStr">
        <is>
          <t xml:space="preserve">911 Turbo S</t>
        </is>
      </c>
      <c r="K600" s="46" t="inlineStr">
        <is>
          <t xml:space="preserve">1PX80GMFS542FMZ0B</t>
        </is>
      </c>
      <c r="L600" s="48" t="inlineStr">
        <is>
          <t xml:space="preserve">02 - Sports / GT</t>
        </is>
      </c>
      <c r="M600" s="50">
        <v>450000</v>
      </c>
      <c r="N600" s="48" t="inlineStr">
        <is>
          <t xml:space="preserve">Personal</t>
        </is>
      </c>
      <c r="O600" s="46" t="inlineStr">
        <is>
          <t xml:space="preserve">Personal - regular use</t>
        </is>
      </c>
      <c r="P600" s="46" t="inlineStr">
        <is>
          <t xml:space="preserve">1,000 - 2,500</t>
        </is>
      </c>
      <c r="Q600" s="46" t="inlineStr">
        <is>
          <t xml:space="preserve">New Hampshire</t>
        </is>
      </c>
      <c r="R600" s="46" t="inlineStr">
        <is>
          <t xml:space="preserve">03301</t>
        </is>
      </c>
      <c r="S600" s="48" t="inlineStr">
        <is>
          <t xml:space="preserve">Tier 3 - Coastal wind (25-100 miles)</t>
        </is>
      </c>
      <c r="T600" s="36">
        <f>IF($A600="","",IF($S600="","",IFERROR(INDEX('[1]natural catastrophe'!$D$6:$D$17,MATCH($S600,'[1]natural catastrophe'!$B$6:$B$17,0)),"?")))</f>
      </c>
      <c r="U600" s="46" t="inlineStr">
        <is>
          <t xml:space="preserve">2% of agreed value, minimum $10,000</t>
        </is>
      </c>
      <c r="V600" s="48" t="inlineStr">
        <is>
          <t xml:space="preserve">Agreed Value</t>
        </is>
      </c>
      <c r="W600" s="46" t="inlineStr">
        <is>
          <t xml:space="preserve">$1,000</t>
        </is>
      </c>
      <c r="X600" s="48" t="inlineStr">
        <is>
          <t xml:space="preserve">$1,000,000 CSL</t>
        </is>
      </c>
      <c r="Y600" s="46"/>
      <c r="Z600" s="46"/>
      <c r="AA600" s="48" t="inlineStr">
        <is>
          <t xml:space="preserve">Surplus Lines</t>
        </is>
      </c>
      <c r="AB600" s="50">
        <v>5500.1</v>
      </c>
      <c r="AC600" s="51">
        <v>0</v>
      </c>
      <c r="AD600" s="38">
        <f>IF(ISNUMBER($AB600),$AB600*(1+N($AC600)),"")</f>
      </c>
      <c r="AE600" s="50">
        <v>350</v>
      </c>
      <c r="AF600" s="50">
        <v>0</v>
      </c>
      <c r="AG600" s="51"/>
      <c r="AH600" s="39">
        <f>IF(ISNUMBER($AD600),($AD600+$AE600+$AF600)*$AG600,"")</f>
      </c>
      <c r="AI600" s="50"/>
      <c r="AJ600" s="38">
        <f>IF(ISNUMBER($AD600),SUM($AD600:$AH600),"")</f>
      </c>
      <c r="AK600" s="40">
        <f>IF(AND(ISNUMBER($AB600),ISNUMBER($AD600)),IF($AB600&gt;0,$AD600/$AB600,""),"")</f>
      </c>
      <c r="AL600" s="48" t="inlineStr">
        <is>
          <t xml:space="preserve">At technical</t>
        </is>
      </c>
      <c r="AM600" s="41">
        <f>IF(ISNUMBER($AD600),Header!$I$3,"")</f>
      </c>
      <c r="AN600" s="39">
        <f>IF(ISNUMBER($AD600),$AO600+$AP600,"")</f>
      </c>
      <c r="AO600" s="39">
        <f>IF(ISNUMBER($AD600),ROUND($AD600*Header!$K$3,2),"")</f>
      </c>
      <c r="AP600" s="39">
        <f>IF(ISNUMBER($AD600),ROUND($AD600*Header!$M$3,2),"")</f>
      </c>
      <c r="AQ600" s="38">
        <f>IF(ISNUMBER($AD600),ROUND($AD600,2)-$AO600-$AP600,"")</f>
      </c>
      <c r="AR600" s="39">
        <f>IF(ISNUMBER($AD600),IF(Header!$D$34="","?",$AD600*Header!$D$34),"")</f>
      </c>
      <c r="AS600" s="39">
        <f>IF(ISNUMBER($AB600),IF(Header!$D$34="","?",$AB600*Header!$D$34),"")</f>
      </c>
      <c r="AT600" s="42">
        <f>IF(AND(ISNUMBER($AB600),$M600&gt;0),$AB600/$M600*100,"")</f>
      </c>
      <c r="AU600" s="42">
        <f>IF(AND(ISNUMBER($AD600),$M600&gt;0),$AD600/$M600*100,"")</f>
      </c>
      <c r="AV600" s="40">
        <f>IF(AND(ISNUMBER($AB600),ISNUMBER($AD600),ABS($AB600)&gt;0),$AD600/$AB600,"")</f>
      </c>
      <c r="AW600" s="39">
        <f>IF(ISNUMBER($AD600),MAX(0,(1-0.55-Header!$O$3)*Header!$Q$3*$AQ600),"")</f>
      </c>
      <c r="AX600" s="43">
        <f>IF($A600="","",IF(TRIM(IF($A600="","Missing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",""))="","PASS","FAIL: "&amp;TRIM(IF($A600="","Missing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f>
      </c>
      <c r="AY600" s="44">
        <f>IF($M600="","",IF(ISNUMBER($M600),IF($M600&gt;=Header!$C$18,"YES — refer","No"),""))</f>
      </c>
      <c r="AZ600" s="44">
        <f>IF($AD600="","",IF(ISNUMBER($AD600),IF($AD600&lt;Header!$C$20,"BELOW MIN PREMIUM","OK"),""))</f>
      </c>
      <c r="BA600" s="48" t="inlineStr">
        <is>
          <t xml:space="preserve">Yes</t>
        </is>
      </c>
      <c r="BB600" s="48" t="inlineStr">
        <is>
          <t xml:space="preserve">Yes</t>
        </is>
      </c>
      <c r="BC600" s="46" t="inlineStr">
        <is>
          <t xml:space="preserve">Synthetic demo data</t>
        </is>
      </c>
      <c r="BE600" s="45">
        <f>IF(OR($A600="",$L600="",$H600=""),"",IF(AND(LEFT($L600,2)="06",$H600&gt;1945),"FAIL - pre-war class, year "&amp;$H600,IF(AND(LEFT($L600,2)="07",OR($H600&lt;1946,$H600&gt;1972)),"FAIL - 1946-72 class, year "&amp;$H600,IF(AND(LEFT($L600,2)="08",OR($H600&lt;1973,$H600&gt;1999)),"FAIL - 1973-99 class, year "&amp;$H600,IF(AND(LEFT($L600,2)="09",OR($H600&lt;2000,$H600&gt;2010)),"FAIL - 2000-10 class, year "&amp;$H600,"OK")))))</f>
      </c>
      <c r="BF600" s="45">
        <f>IF($AD600="","",IF(ROUND($AO600+$AP600+$AQ600-$AD600,2)=0,"OK","FAIL - out by "&amp;TEXT($AO600+$AP600+$AQ600-$AD600,"$0.00")))</f>
      </c>
    </row>
    <row r="601" spans="1:58" ht="18.75" customHeight="1" x14ac:dyDescent="0.25">
      <c r="A601" s="30" t="inlineStr">
        <is>
          <t xml:space="preserve">CANON-202604-007402</t>
        </is>
      </c>
      <c r="B601" s="30" t="inlineStr">
        <is>
          <t xml:space="preserve">Cassius Delacroix</t>
        </is>
      </c>
      <c r="C601" s="31">
        <v>46138</v>
      </c>
      <c r="D601" s="32" t="inlineStr">
        <is>
          <t xml:space="preserve">Bound - within authority</t>
        </is>
      </c>
      <c r="E601" s="32" t="inlineStr">
        <is>
          <t xml:space="preserve">New business</t>
        </is>
      </c>
      <c r="F601" s="30" t="inlineStr">
        <is>
          <t xml:space="preserve">B1234EXOTIC26</t>
        </is>
      </c>
      <c r="G601" s="33">
        <f>IF($A601="","",IF($C601="","",YEAR($C601)))</f>
      </c>
      <c r="H601" s="34">
        <v>1974</v>
      </c>
      <c r="I601" s="30" t="inlineStr">
        <is>
          <t xml:space="preserve">Jaguar</t>
        </is>
      </c>
      <c r="J601" s="30" t="inlineStr">
        <is>
          <t xml:space="preserve">E-Type Series 1</t>
        </is>
      </c>
      <c r="K601" s="30" t="inlineStr">
        <is>
          <t xml:space="preserve">RR00GCW8YJ7KGL9MN</t>
        </is>
      </c>
      <c r="L601" s="32" t="inlineStr">
        <is>
          <t xml:space="preserve">08 - Modern Classic (1973-1999)</t>
        </is>
      </c>
      <c r="M601" s="35">
        <v>1645000</v>
      </c>
      <c r="N601" s="32" t="inlineStr">
        <is>
          <t xml:space="preserve">Personal</t>
        </is>
      </c>
      <c r="O601" s="30" t="inlineStr">
        <is>
          <t xml:space="preserve">Personal - regular use</t>
        </is>
      </c>
      <c r="P601" s="30" t="inlineStr">
        <is>
          <t xml:space="preserve">Under 1,000</t>
        </is>
      </c>
      <c r="Q601" s="30" t="inlineStr">
        <is>
          <t xml:space="preserve">Mississippi</t>
        </is>
      </c>
      <c r="R601" s="30" t="inlineStr">
        <is>
          <t xml:space="preserve">39201</t>
        </is>
      </c>
      <c r="S601" s="32" t="inlineStr">
        <is>
          <t xml:space="preserve">Tier 2 - Coastal wind (1-25 miles)</t>
        </is>
      </c>
      <c r="T601" s="36">
        <f>IF($A601="","",IF($S601="","",IFERROR(INDEX('[1]natural catastrophe'!$D$6:$D$17,MATCH($S601,'[1]natural catastrophe'!$B$6:$B$17,0)),"?")))</f>
      </c>
      <c r="U601" s="30" t="inlineStr">
        <is>
          <t xml:space="preserve">2% of agreed value, minimum $10,000</t>
        </is>
      </c>
      <c r="V601" s="32" t="inlineStr">
        <is>
          <t xml:space="preserve">Agreed Value</t>
        </is>
      </c>
      <c r="W601" s="30" t="inlineStr">
        <is>
          <t xml:space="preserve">$1,000</t>
        </is>
      </c>
      <c r="X601" s="32" t="inlineStr">
        <is>
          <t xml:space="preserve">$1,000,000 CSL</t>
        </is>
      </c>
      <c r="Y601" s="30"/>
      <c r="Z601" s="30"/>
      <c r="AA601" s="32" t="inlineStr">
        <is>
          <t xml:space="preserve">Surplus Lines</t>
        </is>
      </c>
      <c r="AB601" s="35">
        <v>11656.28</v>
      </c>
      <c r="AC601" s="37">
        <v>0</v>
      </c>
      <c r="AD601" s="38">
        <f>IF(ISNUMBER($AB601),$AB601*(1+N($AC601)),"")</f>
      </c>
      <c r="AE601" s="35">
        <v>350</v>
      </c>
      <c r="AF601" s="35">
        <v>250</v>
      </c>
      <c r="AG601" s="37"/>
      <c r="AH601" s="39">
        <f>IF(ISNUMBER($AD601),($AD601+$AE601+$AF601)*$AG601,"")</f>
      </c>
      <c r="AI601" s="35"/>
      <c r="AJ601" s="38">
        <f>IF(ISNUMBER($AD601),SUM($AD601:$AH601),"")</f>
      </c>
      <c r="AK601" s="40">
        <f>IF(AND(ISNUMBER($AB601),ISNUMBER($AD601)),IF($AB601&gt;0,$AD601/$AB601,""),"")</f>
      </c>
      <c r="AL601" s="32" t="inlineStr">
        <is>
          <t xml:space="preserve">At technical</t>
        </is>
      </c>
      <c r="AM601" s="41">
        <f>IF(ISNUMBER($AD601),Header!$I$3,"")</f>
      </c>
      <c r="AN601" s="39">
        <f>IF(ISNUMBER($AD601),$AO601+$AP601,"")</f>
      </c>
      <c r="AO601" s="39">
        <f>IF(ISNUMBER($AD601),ROUND($AD601*Header!$K$3,2),"")</f>
      </c>
      <c r="AP601" s="39">
        <f>IF(ISNUMBER($AD601),ROUND($AD601*Header!$M$3,2),"")</f>
      </c>
      <c r="AQ601" s="38">
        <f>IF(ISNUMBER($AD601),ROUND($AD601,2)-$AO601-$AP601,"")</f>
      </c>
      <c r="AR601" s="39">
        <f>IF(ISNUMBER($AD601),IF(Header!$D$34="","?",$AD601*Header!$D$34),"")</f>
      </c>
      <c r="AS601" s="39">
        <f>IF(ISNUMBER($AB601),IF(Header!$D$34="","?",$AB601*Header!$D$34),"")</f>
      </c>
      <c r="AT601" s="42">
        <f>IF(AND(ISNUMBER($AB601),$M601&gt;0),$AB601/$M601*100,"")</f>
      </c>
      <c r="AU601" s="42">
        <f>IF(AND(ISNUMBER($AD601),$M601&gt;0),$AD601/$M601*100,"")</f>
      </c>
      <c r="AV601" s="40">
        <f>IF(AND(ISNUMBER($AB601),ISNUMBER($AD601),ABS($AB601)&gt;0),$AD601/$AB601,"")</f>
      </c>
      <c r="AW601" s="39">
        <f>IF(ISNUMBER($AD601),MAX(0,(1-0.55-Header!$O$3)*Header!$Q$3*$AQ601),"")</f>
      </c>
      <c r="AX601" s="43">
        <f>IF($A601="","",IF(TRIM(IF($A601="","Missing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",""))="","PASS","FAIL: "&amp;TRIM(IF($A601="","Missing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f>
      </c>
      <c r="AY601" s="44">
        <f>IF($M601="","",IF(ISNUMBER($M601),IF($M601&gt;=Header!$C$18,"YES — refer","No"),""))</f>
      </c>
      <c r="AZ601" s="44">
        <f>IF($AD601="","",IF(ISNUMBER($AD601),IF($AD601&lt;Header!$C$20,"BELOW MIN PREMIUM","OK"),""))</f>
      </c>
      <c r="BA601" s="32" t="inlineStr">
        <is>
          <t xml:space="preserve">Yes</t>
        </is>
      </c>
      <c r="BB601" s="32" t="inlineStr">
        <is>
          <t xml:space="preserve">Yes</t>
        </is>
      </c>
      <c r="BC601" s="30" t="inlineStr">
        <is>
          <t xml:space="preserve">Synthetic demo data</t>
        </is>
      </c>
      <c r="BE601" s="45">
        <f>IF(OR($A601="",$L601="",$H601=""),"",IF(AND(LEFT($L601,2)="06",$H601&gt;1945),"FAIL - pre-war class, year "&amp;$H601,IF(AND(LEFT($L601,2)="07",OR($H601&lt;1946,$H601&gt;1972)),"FAIL - 1946-72 class, year "&amp;$H601,IF(AND(LEFT($L601,2)="08",OR($H601&lt;1973,$H601&gt;1999)),"FAIL - 1973-99 class, year "&amp;$H601,IF(AND(LEFT($L601,2)="09",OR($H601&lt;2000,$H601&gt;2010)),"FAIL - 2000-10 class, year "&amp;$H601,"OK")))))</f>
      </c>
      <c r="BF601" s="45">
        <f>IF($AD601="","",IF(ROUND($AO601+$AP601+$AQ601-$AD601,2)=0,"OK","FAIL - out by "&amp;TEXT($AO601+$AP601+$AQ601-$AD601,"$0.00")))</f>
      </c>
    </row>
    <row r="602" spans="1:58" ht="18.75" customHeight="1" x14ac:dyDescent="0.25">
      <c r="A602" s="46" t="inlineStr">
        <is>
          <t xml:space="preserve">CANON-202604-007403</t>
        </is>
      </c>
      <c r="B602" s="46" t="inlineStr">
        <is>
          <t xml:space="preserve">Fenwick Castellanos</t>
        </is>
      </c>
      <c r="C602" s="47">
        <v>46119</v>
      </c>
      <c r="D602" s="48" t="inlineStr">
        <is>
          <t xml:space="preserve">Bound - within authority</t>
        </is>
      </c>
      <c r="E602" s="48" t="inlineStr">
        <is>
          <t xml:space="preserve">New business</t>
        </is>
      </c>
      <c r="F602" s="46" t="inlineStr">
        <is>
          <t xml:space="preserve">B1234EXOTIC26</t>
        </is>
      </c>
      <c r="G602" s="33">
        <f>IF($A602="","",IF($C602="","",YEAR($C602)))</f>
      </c>
      <c r="H602" s="49">
        <v>1990</v>
      </c>
      <c r="I602" s="46" t="inlineStr">
        <is>
          <t xml:space="preserve">Mercedes-Benz</t>
        </is>
      </c>
      <c r="J602" s="46" t="inlineStr">
        <is>
          <t xml:space="preserve">AMG GT</t>
        </is>
      </c>
      <c r="K602" s="46" t="inlineStr">
        <is>
          <t xml:space="preserve">DP9CN65BHJ0C0S8M7</t>
        </is>
      </c>
      <c r="L602" s="48" t="inlineStr">
        <is>
          <t xml:space="preserve">02 - Sports / GT</t>
        </is>
      </c>
      <c r="M602" s="50">
        <v>1675000</v>
      </c>
      <c r="N602" s="48" t="inlineStr">
        <is>
          <t xml:space="preserve">Personal</t>
        </is>
      </c>
      <c r="O602" s="46" t="inlineStr">
        <is>
          <t xml:space="preserve">Personal - regular use</t>
        </is>
      </c>
      <c r="P602" s="46" t="inlineStr">
        <is>
          <t xml:space="preserve">Under 1,000</t>
        </is>
      </c>
      <c r="Q602" s="46" t="inlineStr">
        <is>
          <t xml:space="preserve">Minnesota</t>
        </is>
      </c>
      <c r="R602" s="46" t="inlineStr">
        <is>
          <t xml:space="preserve">55401</t>
        </is>
      </c>
      <c r="S602" s="48" t="inlineStr">
        <is>
          <t xml:space="preserve">Severe convective - hail / tornado (moderate)</t>
        </is>
      </c>
      <c r="T602" s="36">
        <f>IF($A602="","",IF($S602="","",IFERROR(INDEX('[1]natural catastrophe'!$D$6:$D$17,MATCH($S602,'[1]natural catastrophe'!$B$6:$B$17,0)),"?")))</f>
      </c>
      <c r="U602" s="46" t="inlineStr">
        <is>
          <t xml:space="preserve">$5,000</t>
        </is>
      </c>
      <c r="V602" s="48" t="inlineStr">
        <is>
          <t xml:space="preserve">Agreed Value</t>
        </is>
      </c>
      <c r="W602" s="46" t="inlineStr">
        <is>
          <t xml:space="preserve">$1,000</t>
        </is>
      </c>
      <c r="X602" s="48" t="inlineStr">
        <is>
          <t xml:space="preserve">$1,000,000 CSL</t>
        </is>
      </c>
      <c r="Y602" s="46"/>
      <c r="Z602" s="46"/>
      <c r="AA602" s="48" t="inlineStr">
        <is>
          <t xml:space="preserve">Surplus Lines</t>
        </is>
      </c>
      <c r="AB602" s="50">
        <v>19055.27</v>
      </c>
      <c r="AC602" s="51">
        <v>0</v>
      </c>
      <c r="AD602" s="38">
        <f>IF(ISNUMBER($AB602),$AB602*(1+N($AC602)),"")</f>
      </c>
      <c r="AE602" s="50">
        <v>350</v>
      </c>
      <c r="AF602" s="50">
        <v>250</v>
      </c>
      <c r="AG602" s="51"/>
      <c r="AH602" s="39">
        <f>IF(ISNUMBER($AD602),($AD602+$AE602+$AF602)*$AG602,"")</f>
      </c>
      <c r="AI602" s="50"/>
      <c r="AJ602" s="38">
        <f>IF(ISNUMBER($AD602),SUM($AD602:$AH602),"")</f>
      </c>
      <c r="AK602" s="40">
        <f>IF(AND(ISNUMBER($AB602),ISNUMBER($AD602)),IF($AB602&gt;0,$AD602/$AB602,""),"")</f>
      </c>
      <c r="AL602" s="48" t="inlineStr">
        <is>
          <t xml:space="preserve">At technical</t>
        </is>
      </c>
      <c r="AM602" s="41">
        <f>IF(ISNUMBER($AD602),Header!$I$3,"")</f>
      </c>
      <c r="AN602" s="39">
        <f>IF(ISNUMBER($AD602),$AO602+$AP602,"")</f>
      </c>
      <c r="AO602" s="39">
        <f>IF(ISNUMBER($AD602),ROUND($AD602*Header!$K$3,2),"")</f>
      </c>
      <c r="AP602" s="39">
        <f>IF(ISNUMBER($AD602),ROUND($AD602*Header!$M$3,2),"")</f>
      </c>
      <c r="AQ602" s="38">
        <f>IF(ISNUMBER($AD602),ROUND($AD602,2)-$AO602-$AP602,"")</f>
      </c>
      <c r="AR602" s="39">
        <f>IF(ISNUMBER($AD602),IF(Header!$D$34="","?",$AD602*Header!$D$34),"")</f>
      </c>
      <c r="AS602" s="39">
        <f>IF(ISNUMBER($AB602),IF(Header!$D$34="","?",$AB602*Header!$D$34),"")</f>
      </c>
      <c r="AT602" s="42">
        <f>IF(AND(ISNUMBER($AB602),$M602&gt;0),$AB602/$M602*100,"")</f>
      </c>
      <c r="AU602" s="42">
        <f>IF(AND(ISNUMBER($AD602),$M602&gt;0),$AD602/$M602*100,"")</f>
      </c>
      <c r="AV602" s="40">
        <f>IF(AND(ISNUMBER($AB602),ISNUMBER($AD602),ABS($AB602)&gt;0),$AD602/$AB602,"")</f>
      </c>
      <c r="AW602" s="39">
        <f>IF(ISNUMBER($AD602),MAX(0,(1-0.55-Header!$O$3)*Header!$Q$3*$AQ602),"")</f>
      </c>
      <c r="AX602" s="43">
        <f>IF($A602="","",IF(TRIM(IF($A602="","Missing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",""))="","PASS","FAIL: "&amp;TRIM(IF($A602="","Missing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f>
      </c>
      <c r="AY602" s="44">
        <f>IF($M602="","",IF(ISNUMBER($M602),IF($M602&gt;=Header!$C$18,"YES — refer","No"),""))</f>
      </c>
      <c r="AZ602" s="44">
        <f>IF($AD602="","",IF(ISNUMBER($AD602),IF($AD602&lt;Header!$C$20,"BELOW MIN PREMIUM","OK"),""))</f>
      </c>
      <c r="BA602" s="48" t="inlineStr">
        <is>
          <t xml:space="preserve">Yes</t>
        </is>
      </c>
      <c r="BB602" s="48" t="inlineStr">
        <is>
          <t xml:space="preserve">Yes</t>
        </is>
      </c>
      <c r="BC602" s="46" t="inlineStr">
        <is>
          <t xml:space="preserve">Synthetic demo data</t>
        </is>
      </c>
      <c r="BE602" s="45">
        <f>IF(OR($A602="",$L602="",$H602=""),"",IF(AND(LEFT($L602,2)="06",$H602&gt;1945),"FAIL - pre-war class, year "&amp;$H602,IF(AND(LEFT($L602,2)="07",OR($H602&lt;1946,$H602&gt;1972)),"FAIL - 1946-72 class, year "&amp;$H602,IF(AND(LEFT($L602,2)="08",OR($H602&lt;1973,$H602&gt;1999)),"FAIL - 1973-99 class, year "&amp;$H602,IF(AND(LEFT($L602,2)="09",OR($H602&lt;2000,$H602&gt;2010)),"FAIL - 2000-10 class, year "&amp;$H602,"OK")))))</f>
      </c>
      <c r="BF602" s="45">
        <f>IF($AD602="","",IF(ROUND($AO602+$AP602+$AQ602-$AD602,2)=0,"OK","FAIL - out by "&amp;TEXT($AO602+$AP602+$AQ602-$AD602,"$0.00")))</f>
      </c>
    </row>
    <row r="603" spans="1:58" ht="18.75" customHeight="1" x14ac:dyDescent="0.25">
      <c r="A603" s="30" t="inlineStr">
        <is>
          <t xml:space="preserve">CANON-202604-007404</t>
        </is>
      </c>
      <c r="B603" s="30" t="inlineStr">
        <is>
          <t xml:space="preserve">Callum Thistlewood</t>
        </is>
      </c>
      <c r="C603" s="31">
        <v>46116</v>
      </c>
      <c r="D603" s="32" t="inlineStr">
        <is>
          <t xml:space="preserve">Bound - within authority</t>
        </is>
      </c>
      <c r="E603" s="32" t="inlineStr">
        <is>
          <t xml:space="preserve">New business</t>
        </is>
      </c>
      <c r="F603" s="30" t="inlineStr">
        <is>
          <t xml:space="preserve">B1234EXOTIC26</t>
        </is>
      </c>
      <c r="G603" s="33">
        <f>IF($A603="","",IF($C603="","",YEAR($C603)))</f>
      </c>
      <c r="H603" s="34">
        <v>1996</v>
      </c>
      <c r="I603" s="30" t="inlineStr">
        <is>
          <t xml:space="preserve">BMW</t>
        </is>
      </c>
      <c r="J603" s="30" t="inlineStr">
        <is>
          <t xml:space="preserve">M8 Competition</t>
        </is>
      </c>
      <c r="K603" s="30" t="inlineStr">
        <is>
          <t xml:space="preserve">KP2K8PNGSA0CLZ99B</t>
        </is>
      </c>
      <c r="L603" s="32" t="inlineStr">
        <is>
          <t xml:space="preserve">02 - Sports / GT</t>
        </is>
      </c>
      <c r="M603" s="35">
        <v>1330000</v>
      </c>
      <c r="N603" s="32" t="inlineStr">
        <is>
          <t xml:space="preserve">Personal</t>
        </is>
      </c>
      <c r="O603" s="30" t="inlineStr">
        <is>
          <t xml:space="preserve">Personal - regular use</t>
        </is>
      </c>
      <c r="P603" s="30" t="inlineStr">
        <is>
          <t xml:space="preserve">Under 1,000</t>
        </is>
      </c>
      <c r="Q603" s="30" t="inlineStr">
        <is>
          <t xml:space="preserve">Iowa</t>
        </is>
      </c>
      <c r="R603" s="30" t="inlineStr">
        <is>
          <t xml:space="preserve">50309</t>
        </is>
      </c>
      <c r="S603" s="32" t="inlineStr">
        <is>
          <t xml:space="preserve">Severe convective - hail alley (high)</t>
        </is>
      </c>
      <c r="T603" s="36">
        <f>IF($A603="","",IF($S603="","",IFERROR(INDEX('[1]natural catastrophe'!$D$6:$D$17,MATCH($S603,'[1]natural catastrophe'!$B$6:$B$17,0)),"?")))</f>
      </c>
      <c r="U603" s="30" t="inlineStr">
        <is>
          <t xml:space="preserve">$5,000</t>
        </is>
      </c>
      <c r="V603" s="32" t="inlineStr">
        <is>
          <t xml:space="preserve">Agreed Value</t>
        </is>
      </c>
      <c r="W603" s="30" t="inlineStr">
        <is>
          <t xml:space="preserve">$1,000</t>
        </is>
      </c>
      <c r="X603" s="32" t="inlineStr">
        <is>
          <t xml:space="preserve">$1,000,000 CSL</t>
        </is>
      </c>
      <c r="Y603" s="30"/>
      <c r="Z603" s="30"/>
      <c r="AA603" s="32" t="inlineStr">
        <is>
          <t xml:space="preserve">Surplus Lines</t>
        </is>
      </c>
      <c r="AB603" s="35">
        <v>12608.72</v>
      </c>
      <c r="AC603" s="37">
        <v>0</v>
      </c>
      <c r="AD603" s="38">
        <f>IF(ISNUMBER($AB603),$AB603*(1+N($AC603)),"")</f>
      </c>
      <c r="AE603" s="35">
        <v>350</v>
      </c>
      <c r="AF603" s="35">
        <v>250</v>
      </c>
      <c r="AG603" s="37"/>
      <c r="AH603" s="39">
        <f>IF(ISNUMBER($AD603),($AD603+$AE603+$AF603)*$AG603,"")</f>
      </c>
      <c r="AI603" s="35"/>
      <c r="AJ603" s="38">
        <f>IF(ISNUMBER($AD603),SUM($AD603:$AH603),"")</f>
      </c>
      <c r="AK603" s="40">
        <f>IF(AND(ISNUMBER($AB603),ISNUMBER($AD603)),IF($AB603&gt;0,$AD603/$AB603,""),"")</f>
      </c>
      <c r="AL603" s="32" t="inlineStr">
        <is>
          <t xml:space="preserve">At technical</t>
        </is>
      </c>
      <c r="AM603" s="41">
        <f>IF(ISNUMBER($AD603),Header!$I$3,"")</f>
      </c>
      <c r="AN603" s="39">
        <f>IF(ISNUMBER($AD603),$AO603+$AP603,"")</f>
      </c>
      <c r="AO603" s="39">
        <f>IF(ISNUMBER($AD603),ROUND($AD603*Header!$K$3,2),"")</f>
      </c>
      <c r="AP603" s="39">
        <f>IF(ISNUMBER($AD603),ROUND($AD603*Header!$M$3,2),"")</f>
      </c>
      <c r="AQ603" s="38">
        <f>IF(ISNUMBER($AD603),ROUND($AD603,2)-$AO603-$AP603,"")</f>
      </c>
      <c r="AR603" s="39">
        <f>IF(ISNUMBER($AD603),IF(Header!$D$34="","?",$AD603*Header!$D$34),"")</f>
      </c>
      <c r="AS603" s="39">
        <f>IF(ISNUMBER($AB603),IF(Header!$D$34="","?",$AB603*Header!$D$34),"")</f>
      </c>
      <c r="AT603" s="42">
        <f>IF(AND(ISNUMBER($AB603),$M603&gt;0),$AB603/$M603*100,"")</f>
      </c>
      <c r="AU603" s="42">
        <f>IF(AND(ISNUMBER($AD603),$M603&gt;0),$AD603/$M603*100,"")</f>
      </c>
      <c r="AV603" s="40">
        <f>IF(AND(ISNUMBER($AB603),ISNUMBER($AD603),ABS($AB603)&gt;0),$AD603/$AB603,"")</f>
      </c>
      <c r="AW603" s="39">
        <f>IF(ISNUMBER($AD603),MAX(0,(1-0.55-Header!$O$3)*Header!$Q$3*$AQ603),"")</f>
      </c>
      <c r="AX603" s="43">
        <f>IF($A603="","",IF(TRIM(IF($A603="","Missing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",""))="","PASS","FAIL: "&amp;TRIM(IF($A603="","Missing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f>
      </c>
      <c r="AY603" s="44">
        <f>IF($M603="","",IF(ISNUMBER($M603),IF($M603&gt;=Header!$C$18,"YES — refer","No"),""))</f>
      </c>
      <c r="AZ603" s="44">
        <f>IF($AD603="","",IF(ISNUMBER($AD603),IF($AD603&lt;Header!$C$20,"BELOW MIN PREMIUM","OK"),""))</f>
      </c>
      <c r="BA603" s="32" t="inlineStr">
        <is>
          <t xml:space="preserve">Yes</t>
        </is>
      </c>
      <c r="BB603" s="32" t="inlineStr">
        <is>
          <t xml:space="preserve">Yes</t>
        </is>
      </c>
      <c r="BC603" s="30" t="inlineStr">
        <is>
          <t xml:space="preserve">Synthetic demo data</t>
        </is>
      </c>
      <c r="BE603" s="45">
        <f>IF(OR($A603="",$L603="",$H603=""),"",IF(AND(LEFT($L603,2)="06",$H603&gt;1945),"FAIL - pre-war class, year "&amp;$H603,IF(AND(LEFT($L603,2)="07",OR($H603&lt;1946,$H603&gt;1972)),"FAIL - 1946-72 class, year "&amp;$H603,IF(AND(LEFT($L603,2)="08",OR($H603&lt;1973,$H603&gt;1999)),"FAIL - 1973-99 class, year "&amp;$H603,IF(AND(LEFT($L603,2)="09",OR($H603&lt;2000,$H603&gt;2010)),"FAIL - 2000-10 class, year "&amp;$H603,"OK")))))</f>
      </c>
      <c r="BF603" s="45">
        <f>IF($AD603="","",IF(ROUND($AO603+$AP603+$AQ603-$AD603,2)=0,"OK","FAIL - out by "&amp;TEXT($AO603+$AP603+$AQ603-$AD603,"$0.00")))</f>
      </c>
    </row>
    <row r="604" spans="1:58" ht="18.75" customHeight="1" x14ac:dyDescent="0.25">
      <c r="A604" s="46" t="inlineStr">
        <is>
          <t xml:space="preserve">CANON-202604-007405</t>
        </is>
      </c>
      <c r="B604" s="46" t="inlineStr">
        <is>
          <t xml:space="preserve">Cassius Pennington</t>
        </is>
      </c>
      <c r="C604" s="47">
        <v>46134</v>
      </c>
      <c r="D604" s="48" t="inlineStr">
        <is>
          <t xml:space="preserve">Bound - within authority</t>
        </is>
      </c>
      <c r="E604" s="48" t="inlineStr">
        <is>
          <t xml:space="preserve">New business</t>
        </is>
      </c>
      <c r="F604" s="46" t="inlineStr">
        <is>
          <t xml:space="preserve">B1234EXOTIC26</t>
        </is>
      </c>
      <c r="G604" s="33">
        <f>IF($A604="","",IF($C604="","",YEAR($C604)))</f>
      </c>
      <c r="H604" s="49">
        <v>2006</v>
      </c>
      <c r="I604" s="46" t="inlineStr">
        <is>
          <t xml:space="preserve">Ferrari</t>
        </is>
      </c>
      <c r="J604" s="46" t="inlineStr">
        <is>
          <t xml:space="preserve">275 GTB/4</t>
        </is>
      </c>
      <c r="K604" s="46" t="inlineStr">
        <is>
          <t xml:space="preserve">3BZU9A30PMLGS59NU</t>
        </is>
      </c>
      <c r="L604" s="48" t="inlineStr">
        <is>
          <t xml:space="preserve">09 - Youngtimer / Collectible (2000-2010)</t>
        </is>
      </c>
      <c r="M604" s="50">
        <v>1435000</v>
      </c>
      <c r="N604" s="48" t="inlineStr">
        <is>
          <t xml:space="preserve">Personal</t>
        </is>
      </c>
      <c r="O604" s="46" t="inlineStr">
        <is>
          <t xml:space="preserve">Personal - regular use</t>
        </is>
      </c>
      <c r="P604" s="46" t="inlineStr">
        <is>
          <t xml:space="preserve">Under 1,000</t>
        </is>
      </c>
      <c r="Q604" s="46" t="inlineStr">
        <is>
          <t xml:space="preserve">Iowa</t>
        </is>
      </c>
      <c r="R604" s="46" t="inlineStr">
        <is>
          <t xml:space="preserve">50309</t>
        </is>
      </c>
      <c r="S604" s="48" t="inlineStr">
        <is>
          <t xml:space="preserve">Severe convective - hail alley (high)</t>
        </is>
      </c>
      <c r="T604" s="36">
        <f>IF($A604="","",IF($S604="","",IFERROR(INDEX('[1]natural catastrophe'!$D$6:$D$17,MATCH($S604,'[1]natural catastrophe'!$B$6:$B$17,0)),"?")))</f>
      </c>
      <c r="U604" s="46" t="inlineStr">
        <is>
          <t xml:space="preserve">$5,000</t>
        </is>
      </c>
      <c r="V604" s="48" t="inlineStr">
        <is>
          <t xml:space="preserve">Agreed Value</t>
        </is>
      </c>
      <c r="W604" s="46" t="inlineStr">
        <is>
          <t xml:space="preserve">$1,000</t>
        </is>
      </c>
      <c r="X604" s="48" t="inlineStr">
        <is>
          <t xml:space="preserve">$1,000,000 CSL</t>
        </is>
      </c>
      <c r="Y604" s="46"/>
      <c r="Z604" s="46"/>
      <c r="AA604" s="48" t="inlineStr">
        <is>
          <t xml:space="preserve">Surplus Lines</t>
        </is>
      </c>
      <c r="AB604" s="50">
        <v>9399.23</v>
      </c>
      <c r="AC604" s="51">
        <v>0</v>
      </c>
      <c r="AD604" s="38">
        <f>IF(ISNUMBER($AB604),$AB604*(1+N($AC604)),"")</f>
      </c>
      <c r="AE604" s="50">
        <v>350</v>
      </c>
      <c r="AF604" s="50">
        <v>250</v>
      </c>
      <c r="AG604" s="51"/>
      <c r="AH604" s="39">
        <f>IF(ISNUMBER($AD604),($AD604+$AE604+$AF604)*$AG604,"")</f>
      </c>
      <c r="AI604" s="50"/>
      <c r="AJ604" s="38">
        <f>IF(ISNUMBER($AD604),SUM($AD604:$AH604),"")</f>
      </c>
      <c r="AK604" s="40">
        <f>IF(AND(ISNUMBER($AB604),ISNUMBER($AD604)),IF($AB604&gt;0,$AD604/$AB604,""),"")</f>
      </c>
      <c r="AL604" s="48" t="inlineStr">
        <is>
          <t xml:space="preserve">At technical</t>
        </is>
      </c>
      <c r="AM604" s="41">
        <f>IF(ISNUMBER($AD604),Header!$I$3,"")</f>
      </c>
      <c r="AN604" s="39">
        <f>IF(ISNUMBER($AD604),$AO604+$AP604,"")</f>
      </c>
      <c r="AO604" s="39">
        <f>IF(ISNUMBER($AD604),ROUND($AD604*Header!$K$3,2),"")</f>
      </c>
      <c r="AP604" s="39">
        <f>IF(ISNUMBER($AD604),ROUND($AD604*Header!$M$3,2),"")</f>
      </c>
      <c r="AQ604" s="38">
        <f>IF(ISNUMBER($AD604),ROUND($AD604,2)-$AO604-$AP604,"")</f>
      </c>
      <c r="AR604" s="39">
        <f>IF(ISNUMBER($AD604),IF(Header!$D$34="","?",$AD604*Header!$D$34),"")</f>
      </c>
      <c r="AS604" s="39">
        <f>IF(ISNUMBER($AB604),IF(Header!$D$34="","?",$AB604*Header!$D$34),"")</f>
      </c>
      <c r="AT604" s="42">
        <f>IF(AND(ISNUMBER($AB604),$M604&gt;0),$AB604/$M604*100,"")</f>
      </c>
      <c r="AU604" s="42">
        <f>IF(AND(ISNUMBER($AD604),$M604&gt;0),$AD604/$M604*100,"")</f>
      </c>
      <c r="AV604" s="40">
        <f>IF(AND(ISNUMBER($AB604),ISNUMBER($AD604),ABS($AB604)&gt;0),$AD604/$AB604,"")</f>
      </c>
      <c r="AW604" s="39">
        <f>IF(ISNUMBER($AD604),MAX(0,(1-0.55-Header!$O$3)*Header!$Q$3*$AQ604),"")</f>
      </c>
      <c r="AX604" s="43">
        <f>IF($A604="","",IF(TRIM(IF($A604="","Missing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",""))="","PASS","FAIL: "&amp;TRIM(IF($A604="","Missing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f>
      </c>
      <c r="AY604" s="44">
        <f>IF($M604="","",IF(ISNUMBER($M604),IF($M604&gt;=Header!$C$18,"YES — refer","No"),""))</f>
      </c>
      <c r="AZ604" s="44">
        <f>IF($AD604="","",IF(ISNUMBER($AD604),IF($AD604&lt;Header!$C$20,"BELOW MIN PREMIUM","OK"),""))</f>
      </c>
      <c r="BA604" s="48" t="inlineStr">
        <is>
          <t xml:space="preserve">Yes</t>
        </is>
      </c>
      <c r="BB604" s="48" t="inlineStr">
        <is>
          <t xml:space="preserve">Yes</t>
        </is>
      </c>
      <c r="BC604" s="46" t="inlineStr">
        <is>
          <t xml:space="preserve">Synthetic demo data</t>
        </is>
      </c>
      <c r="BE604" s="45">
        <f>IF(OR($A604="",$L604="",$H604=""),"",IF(AND(LEFT($L604,2)="06",$H604&gt;1945),"FAIL - pre-war class, year "&amp;$H604,IF(AND(LEFT($L604,2)="07",OR($H604&lt;1946,$H604&gt;1972)),"FAIL - 1946-72 class, year "&amp;$H604,IF(AND(LEFT($L604,2)="08",OR($H604&lt;1973,$H604&gt;1999)),"FAIL - 1973-99 class, year "&amp;$H604,IF(AND(LEFT($L604,2)="09",OR($H604&lt;2000,$H604&gt;2010)),"FAIL - 2000-10 class, year "&amp;$H604,"OK")))))</f>
      </c>
      <c r="BF604" s="45">
        <f>IF($AD604="","",IF(ROUND($AO604+$AP604+$AQ604-$AD604,2)=0,"OK","FAIL - out by "&amp;TEXT($AO604+$AP604+$AQ604-$AD604,"$0.00")))</f>
      </c>
    </row>
    <row r="605" spans="1:58" ht="18.75" customHeight="1" x14ac:dyDescent="0.25">
      <c r="A605" s="30" t="inlineStr">
        <is>
          <t xml:space="preserve">CANON-202604-007406</t>
        </is>
      </c>
      <c r="B605" s="30" t="inlineStr">
        <is>
          <t xml:space="preserve">Fitzgerald Vasquez</t>
        </is>
      </c>
      <c r="C605" s="31">
        <v>46139</v>
      </c>
      <c r="D605" s="32" t="inlineStr">
        <is>
          <t xml:space="preserve">Bound - within authority</t>
        </is>
      </c>
      <c r="E605" s="32" t="inlineStr">
        <is>
          <t xml:space="preserve">New business</t>
        </is>
      </c>
      <c r="F605" s="30" t="inlineStr">
        <is>
          <t xml:space="preserve">B1234EXOTIC26</t>
        </is>
      </c>
      <c r="G605" s="33">
        <f>IF($A605="","",IF($C605="","",YEAR($C605)))</f>
      </c>
      <c r="H605" s="34">
        <v>1960</v>
      </c>
      <c r="I605" s="30" t="inlineStr">
        <is>
          <t xml:space="preserve">Ferrari</t>
        </is>
      </c>
      <c r="J605" s="30" t="inlineStr">
        <is>
          <t xml:space="preserve">SF90 Stradale</t>
        </is>
      </c>
      <c r="K605" s="30" t="inlineStr">
        <is>
          <t xml:space="preserve">L9V8HUTA9VHEMEAG6</t>
        </is>
      </c>
      <c r="L605" s="32" t="inlineStr">
        <is>
          <t xml:space="preserve">03 - Supercar</t>
        </is>
      </c>
      <c r="M605" s="35">
        <v>355000</v>
      </c>
      <c r="N605" s="32" t="inlineStr">
        <is>
          <t xml:space="preserve">Personal</t>
        </is>
      </c>
      <c r="O605" s="30" t="inlineStr">
        <is>
          <t xml:space="preserve">Personal - regular use</t>
        </is>
      </c>
      <c r="P605" s="30" t="inlineStr">
        <is>
          <t xml:space="preserve">2,500 - 5,000</t>
        </is>
      </c>
      <c r="Q605" s="30" t="inlineStr">
        <is>
          <t xml:space="preserve">California</t>
        </is>
      </c>
      <c r="R605" s="30" t="inlineStr">
        <is>
          <t xml:space="preserve">90012</t>
        </is>
      </c>
      <c r="S605" s="32" t="inlineStr">
        <is>
          <t xml:space="preserve">Earthquake - high (CA, Cascadia, New Madrid)</t>
        </is>
      </c>
      <c r="T605" s="36">
        <f>IF($A605="","",IF($S605="","",IFERROR(INDEX('[1]natural catastrophe'!$D$6:$D$17,MATCH($S605,'[1]natural catastrophe'!$B$6:$B$17,0)),"?")))</f>
      </c>
      <c r="U605" s="30" t="inlineStr">
        <is>
          <t xml:space="preserve">$5,000</t>
        </is>
      </c>
      <c r="V605" s="32" t="inlineStr">
        <is>
          <t xml:space="preserve">Agreed Value</t>
        </is>
      </c>
      <c r="W605" s="30" t="inlineStr">
        <is>
          <t xml:space="preserve">$1,000</t>
        </is>
      </c>
      <c r="X605" s="32" t="inlineStr">
        <is>
          <t xml:space="preserve">$1,000,000 CSL</t>
        </is>
      </c>
      <c r="Y605" s="30"/>
      <c r="Z605" s="30"/>
      <c r="AA605" s="32" t="inlineStr">
        <is>
          <t xml:space="preserve">Surplus Lines</t>
        </is>
      </c>
      <c r="AB605" s="35">
        <v>8636.22</v>
      </c>
      <c r="AC605" s="37">
        <v>0</v>
      </c>
      <c r="AD605" s="38">
        <f>IF(ISNUMBER($AB605),$AB605*(1+N($AC605)),"")</f>
      </c>
      <c r="AE605" s="35">
        <v>350</v>
      </c>
      <c r="AF605" s="35">
        <v>0</v>
      </c>
      <c r="AG605" s="37"/>
      <c r="AH605" s="39">
        <f>IF(ISNUMBER($AD605),($AD605+$AE605+$AF605)*$AG605,"")</f>
      </c>
      <c r="AI605" s="35"/>
      <c r="AJ605" s="38">
        <f>IF(ISNUMBER($AD605),SUM($AD605:$AH605),"")</f>
      </c>
      <c r="AK605" s="40">
        <f>IF(AND(ISNUMBER($AB605),ISNUMBER($AD605)),IF($AB605&gt;0,$AD605/$AB605,""),"")</f>
      </c>
      <c r="AL605" s="32" t="inlineStr">
        <is>
          <t xml:space="preserve">At technical</t>
        </is>
      </c>
      <c r="AM605" s="41">
        <f>IF(ISNUMBER($AD605),Header!$I$3,"")</f>
      </c>
      <c r="AN605" s="39">
        <f>IF(ISNUMBER($AD605),$AO605+$AP605,"")</f>
      </c>
      <c r="AO605" s="39">
        <f>IF(ISNUMBER($AD605),ROUND($AD605*Header!$K$3,2),"")</f>
      </c>
      <c r="AP605" s="39">
        <f>IF(ISNUMBER($AD605),ROUND($AD605*Header!$M$3,2),"")</f>
      </c>
      <c r="AQ605" s="38">
        <f>IF(ISNUMBER($AD605),ROUND($AD605,2)-$AO605-$AP605,"")</f>
      </c>
      <c r="AR605" s="39">
        <f>IF(ISNUMBER($AD605),IF(Header!$D$34="","?",$AD605*Header!$D$34),"")</f>
      </c>
      <c r="AS605" s="39">
        <f>IF(ISNUMBER($AB605),IF(Header!$D$34="","?",$AB605*Header!$D$34),"")</f>
      </c>
      <c r="AT605" s="42">
        <f>IF(AND(ISNUMBER($AB605),$M605&gt;0),$AB605/$M605*100,"")</f>
      </c>
      <c r="AU605" s="42">
        <f>IF(AND(ISNUMBER($AD605),$M605&gt;0),$AD605/$M605*100,"")</f>
      </c>
      <c r="AV605" s="40">
        <f>IF(AND(ISNUMBER($AB605),ISNUMBER($AD605),ABS($AB605)&gt;0),$AD605/$AB605,"")</f>
      </c>
      <c r="AW605" s="39">
        <f>IF(ISNUMBER($AD605),MAX(0,(1-0.55-Header!$O$3)*Header!$Q$3*$AQ605),"")</f>
      </c>
      <c r="AX605" s="43">
        <f>IF($A605="","",IF(TRIM(IF($A605="","Missing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",""))="","PASS","FAIL: "&amp;TRIM(IF($A605="","Missing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f>
      </c>
      <c r="AY605" s="44">
        <f>IF($M605="","",IF(ISNUMBER($M605),IF($M605&gt;=Header!$C$18,"YES — refer","No"),""))</f>
      </c>
      <c r="AZ605" s="44">
        <f>IF($AD605="","",IF(ISNUMBER($AD605),IF($AD605&lt;Header!$C$20,"BELOW MIN PREMIUM","OK"),""))</f>
      </c>
      <c r="BA605" s="32" t="inlineStr">
        <is>
          <t xml:space="preserve">Yes</t>
        </is>
      </c>
      <c r="BB605" s="32" t="inlineStr">
        <is>
          <t xml:space="preserve">Yes</t>
        </is>
      </c>
      <c r="BC605" s="30" t="inlineStr">
        <is>
          <t xml:space="preserve">Synthetic demo data</t>
        </is>
      </c>
      <c r="BE605" s="45">
        <f>IF(OR($A605="",$L605="",$H605=""),"",IF(AND(LEFT($L605,2)="06",$H605&gt;1945),"FAIL - pre-war class, year "&amp;$H605,IF(AND(LEFT($L605,2)="07",OR($H605&lt;1946,$H605&gt;1972)),"FAIL - 1946-72 class, year "&amp;$H605,IF(AND(LEFT($L605,2)="08",OR($H605&lt;1973,$H605&gt;1999)),"FAIL - 1973-99 class, year "&amp;$H605,IF(AND(LEFT($L605,2)="09",OR($H605&lt;2000,$H605&gt;2010)),"FAIL - 2000-10 class, year "&amp;$H605,"OK")))))</f>
      </c>
      <c r="BF605" s="45">
        <f>IF($AD605="","",IF(ROUND($AO605+$AP605+$AQ605-$AD605,2)=0,"OK","FAIL - out by "&amp;TEXT($AO605+$AP605+$AQ605-$AD605,"$0.00")))</f>
      </c>
    </row>
    <row r="606" spans="1:58" ht="18.75" customHeight="1" x14ac:dyDescent="0.25">
      <c r="A606" s="46" t="inlineStr">
        <is>
          <t xml:space="preserve">CANON-202604-007407</t>
        </is>
      </c>
      <c r="B606" s="46" t="inlineStr">
        <is>
          <t xml:space="preserve">Emiliano Blackwood</t>
        </is>
      </c>
      <c r="C606" s="47">
        <v>46117</v>
      </c>
      <c r="D606" s="48" t="inlineStr">
        <is>
          <t xml:space="preserve">Bound - within authority</t>
        </is>
      </c>
      <c r="E606" s="48" t="inlineStr">
        <is>
          <t xml:space="preserve">New business</t>
        </is>
      </c>
      <c r="F606" s="46" t="inlineStr">
        <is>
          <t xml:space="preserve">B1234EXOTIC26</t>
        </is>
      </c>
      <c r="G606" s="33">
        <f>IF($A606="","",IF($C606="","",YEAR($C606)))</f>
      </c>
      <c r="H606" s="49">
        <v>1991</v>
      </c>
      <c r="I606" s="46" t="inlineStr">
        <is>
          <t xml:space="preserve">BMW</t>
        </is>
      </c>
      <c r="J606" s="46" t="inlineStr">
        <is>
          <t xml:space="preserve">M8 Competition</t>
        </is>
      </c>
      <c r="K606" s="46" t="inlineStr">
        <is>
          <t xml:space="preserve">A5VSAULU5L5B3CT32</t>
        </is>
      </c>
      <c r="L606" s="48" t="inlineStr">
        <is>
          <t xml:space="preserve">02 - Sports / GT</t>
        </is>
      </c>
      <c r="M606" s="50">
        <v>980000</v>
      </c>
      <c r="N606" s="48" t="inlineStr">
        <is>
          <t xml:space="preserve">Personal</t>
        </is>
      </c>
      <c r="O606" s="46" t="inlineStr">
        <is>
          <t xml:space="preserve">Personal - regular use</t>
        </is>
      </c>
      <c r="P606" s="46" t="inlineStr">
        <is>
          <t xml:space="preserve">2,500 - 5,000</t>
        </is>
      </c>
      <c r="Q606" s="46" t="inlineStr">
        <is>
          <t xml:space="preserve">Maine</t>
        </is>
      </c>
      <c r="R606" s="46" t="inlineStr">
        <is>
          <t xml:space="preserve">04101</t>
        </is>
      </c>
      <c r="S606" s="48" t="inlineStr">
        <is>
          <t xml:space="preserve">Tier 3 - Coastal wind (25-100 miles)</t>
        </is>
      </c>
      <c r="T606" s="36">
        <f>IF($A606="","",IF($S606="","",IFERROR(INDEX('[1]natural catastrophe'!$D$6:$D$17,MATCH($S606,'[1]natural catastrophe'!$B$6:$B$17,0)),"?")))</f>
      </c>
      <c r="U606" s="46" t="inlineStr">
        <is>
          <t xml:space="preserve">2% of agreed value, minimum $10,000</t>
        </is>
      </c>
      <c r="V606" s="48" t="inlineStr">
        <is>
          <t xml:space="preserve">Agreed Value</t>
        </is>
      </c>
      <c r="W606" s="46" t="inlineStr">
        <is>
          <t xml:space="preserve">$1,000</t>
        </is>
      </c>
      <c r="X606" s="48" t="inlineStr">
        <is>
          <t xml:space="preserve">$1,000,000 CSL</t>
        </is>
      </c>
      <c r="Y606" s="46"/>
      <c r="Z606" s="46"/>
      <c r="AA606" s="48" t="inlineStr">
        <is>
          <t xml:space="preserve">Surplus Lines</t>
        </is>
      </c>
      <c r="AB606" s="50">
        <v>10780.21</v>
      </c>
      <c r="AC606" s="51">
        <v>0</v>
      </c>
      <c r="AD606" s="38">
        <f>IF(ISNUMBER($AB606),$AB606*(1+N($AC606)),"")</f>
      </c>
      <c r="AE606" s="50">
        <v>350</v>
      </c>
      <c r="AF606" s="50">
        <v>0</v>
      </c>
      <c r="AG606" s="51"/>
      <c r="AH606" s="39">
        <f>IF(ISNUMBER($AD606),($AD606+$AE606+$AF606)*$AG606,"")</f>
      </c>
      <c r="AI606" s="50"/>
      <c r="AJ606" s="38">
        <f>IF(ISNUMBER($AD606),SUM($AD606:$AH606),"")</f>
      </c>
      <c r="AK606" s="40">
        <f>IF(AND(ISNUMBER($AB606),ISNUMBER($AD606)),IF($AB606&gt;0,$AD606/$AB606,""),"")</f>
      </c>
      <c r="AL606" s="48" t="inlineStr">
        <is>
          <t xml:space="preserve">At technical</t>
        </is>
      </c>
      <c r="AM606" s="41">
        <f>IF(ISNUMBER($AD606),Header!$I$3,"")</f>
      </c>
      <c r="AN606" s="39">
        <f>IF(ISNUMBER($AD606),$AO606+$AP606,"")</f>
      </c>
      <c r="AO606" s="39">
        <f>IF(ISNUMBER($AD606),ROUND($AD606*Header!$K$3,2),"")</f>
      </c>
      <c r="AP606" s="39">
        <f>IF(ISNUMBER($AD606),ROUND($AD606*Header!$M$3,2),"")</f>
      </c>
      <c r="AQ606" s="38">
        <f>IF(ISNUMBER($AD606),ROUND($AD606,2)-$AO606-$AP606,"")</f>
      </c>
      <c r="AR606" s="39">
        <f>IF(ISNUMBER($AD606),IF(Header!$D$34="","?",$AD606*Header!$D$34),"")</f>
      </c>
      <c r="AS606" s="39">
        <f>IF(ISNUMBER($AB606),IF(Header!$D$34="","?",$AB606*Header!$D$34),"")</f>
      </c>
      <c r="AT606" s="42">
        <f>IF(AND(ISNUMBER($AB606),$M606&gt;0),$AB606/$M606*100,"")</f>
      </c>
      <c r="AU606" s="42">
        <f>IF(AND(ISNUMBER($AD606),$M606&gt;0),$AD606/$M606*100,"")</f>
      </c>
      <c r="AV606" s="40">
        <f>IF(AND(ISNUMBER($AB606),ISNUMBER($AD606),ABS($AB606)&gt;0),$AD606/$AB606,"")</f>
      </c>
      <c r="AW606" s="39">
        <f>IF(ISNUMBER($AD606),MAX(0,(1-0.55-Header!$O$3)*Header!$Q$3*$AQ606),"")</f>
      </c>
      <c r="AX606" s="43">
        <f>IF($A606="","",IF(TRIM(IF($A606="","Missing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",""))="","PASS","FAIL: "&amp;TRIM(IF($A606="","Missing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f>
      </c>
      <c r="AY606" s="44">
        <f>IF($M606="","",IF(ISNUMBER($M606),IF($M606&gt;=Header!$C$18,"YES — refer","No"),""))</f>
      </c>
      <c r="AZ606" s="44">
        <f>IF($AD606="","",IF(ISNUMBER($AD606),IF($AD606&lt;Header!$C$20,"BELOW MIN PREMIUM","OK"),""))</f>
      </c>
      <c r="BA606" s="48" t="inlineStr">
        <is>
          <t xml:space="preserve">Yes</t>
        </is>
      </c>
      <c r="BB606" s="48" t="inlineStr">
        <is>
          <t xml:space="preserve">Yes</t>
        </is>
      </c>
      <c r="BC606" s="46" t="inlineStr">
        <is>
          <t xml:space="preserve">Synthetic demo data</t>
        </is>
      </c>
      <c r="BE606" s="45">
        <f>IF(OR($A606="",$L606="",$H606=""),"",IF(AND(LEFT($L606,2)="06",$H606&gt;1945),"FAIL - pre-war class, year "&amp;$H606,IF(AND(LEFT($L606,2)="07",OR($H606&lt;1946,$H606&gt;1972)),"FAIL - 1946-72 class, year "&amp;$H606,IF(AND(LEFT($L606,2)="08",OR($H606&lt;1973,$H606&gt;1999)),"FAIL - 1973-99 class, year "&amp;$H606,IF(AND(LEFT($L606,2)="09",OR($H606&lt;2000,$H606&gt;2010)),"FAIL - 2000-10 class, year "&amp;$H606,"OK")))))</f>
      </c>
      <c r="BF606" s="45">
        <f>IF($AD606="","",IF(ROUND($AO606+$AP606+$AQ606-$AD606,2)=0,"OK","FAIL - out by "&amp;TEXT($AO606+$AP606+$AQ606-$AD606,"$0.00")))</f>
      </c>
    </row>
    <row r="607" spans="1:58" ht="18.75" customHeight="1" x14ac:dyDescent="0.25">
      <c r="A607" s="30" t="inlineStr">
        <is>
          <t xml:space="preserve">CANON-202604-007408</t>
        </is>
      </c>
      <c r="B607" s="30" t="inlineStr">
        <is>
          <t xml:space="preserve">Ingrid Farkas</t>
        </is>
      </c>
      <c r="C607" s="31">
        <v>46140</v>
      </c>
      <c r="D607" s="32" t="inlineStr">
        <is>
          <t xml:space="preserve">Bound - within authority</t>
        </is>
      </c>
      <c r="E607" s="32" t="inlineStr">
        <is>
          <t xml:space="preserve">New business</t>
        </is>
      </c>
      <c r="F607" s="30" t="inlineStr">
        <is>
          <t xml:space="preserve">B1234EXOTIC26</t>
        </is>
      </c>
      <c r="G607" s="33">
        <f>IF($A607="","",IF($C607="","",YEAR($C607)))</f>
      </c>
      <c r="H607" s="34">
        <v>1989</v>
      </c>
      <c r="I607" s="30" t="inlineStr">
        <is>
          <t xml:space="preserve">Alfa Romeo</t>
        </is>
      </c>
      <c r="J607" s="30" t="inlineStr">
        <is>
          <t xml:space="preserve">8C 2900</t>
        </is>
      </c>
      <c r="K607" s="30" t="inlineStr">
        <is>
          <t xml:space="preserve">02TFUJPDHJMCLY5TF</t>
        </is>
      </c>
      <c r="L607" s="32" t="inlineStr">
        <is>
          <t xml:space="preserve">08 - Modern Classic (1973-1999)</t>
        </is>
      </c>
      <c r="M607" s="35">
        <v>1110000</v>
      </c>
      <c r="N607" s="32" t="inlineStr">
        <is>
          <t xml:space="preserve">Personal</t>
        </is>
      </c>
      <c r="O607" s="30" t="inlineStr">
        <is>
          <t xml:space="preserve">Personal - regular use</t>
        </is>
      </c>
      <c r="P607" s="30" t="inlineStr">
        <is>
          <t xml:space="preserve">2,500 - 5,000</t>
        </is>
      </c>
      <c r="Q607" s="30" t="inlineStr">
        <is>
          <t xml:space="preserve">California</t>
        </is>
      </c>
      <c r="R607" s="30" t="inlineStr">
        <is>
          <t xml:space="preserve">90012</t>
        </is>
      </c>
      <c r="S607" s="32" t="inlineStr">
        <is>
          <t xml:space="preserve">Earthquake - high (CA, Cascadia, New Madrid)</t>
        </is>
      </c>
      <c r="T607" s="36">
        <f>IF($A607="","",IF($S607="","",IFERROR(INDEX('[1]natural catastrophe'!$D$6:$D$17,MATCH($S607,'[1]natural catastrophe'!$B$6:$B$17,0)),"?")))</f>
      </c>
      <c r="U607" s="30" t="inlineStr">
        <is>
          <t xml:space="preserve">$5,000</t>
        </is>
      </c>
      <c r="V607" s="32" t="inlineStr">
        <is>
          <t xml:space="preserve">Agreed Value</t>
        </is>
      </c>
      <c r="W607" s="30" t="inlineStr">
        <is>
          <t xml:space="preserve">$1,000</t>
        </is>
      </c>
      <c r="X607" s="32" t="inlineStr">
        <is>
          <t xml:space="preserve">$1,000,000 CSL</t>
        </is>
      </c>
      <c r="Y607" s="30"/>
      <c r="Z607" s="30"/>
      <c r="AA607" s="32" t="inlineStr">
        <is>
          <t xml:space="preserve">Surplus Lines</t>
        </is>
      </c>
      <c r="AB607" s="35">
        <v>7983.61</v>
      </c>
      <c r="AC607" s="37">
        <v>0</v>
      </c>
      <c r="AD607" s="38">
        <f>IF(ISNUMBER($AB607),$AB607*(1+N($AC607)),"")</f>
      </c>
      <c r="AE607" s="35">
        <v>350</v>
      </c>
      <c r="AF607" s="35">
        <v>250</v>
      </c>
      <c r="AG607" s="37"/>
      <c r="AH607" s="39">
        <f>IF(ISNUMBER($AD607),($AD607+$AE607+$AF607)*$AG607,"")</f>
      </c>
      <c r="AI607" s="35"/>
      <c r="AJ607" s="38">
        <f>IF(ISNUMBER($AD607),SUM($AD607:$AH607),"")</f>
      </c>
      <c r="AK607" s="40">
        <f>IF(AND(ISNUMBER($AB607),ISNUMBER($AD607)),IF($AB607&gt;0,$AD607/$AB607,""),"")</f>
      </c>
      <c r="AL607" s="32" t="inlineStr">
        <is>
          <t xml:space="preserve">At technical</t>
        </is>
      </c>
      <c r="AM607" s="41">
        <f>IF(ISNUMBER($AD607),Header!$I$3,"")</f>
      </c>
      <c r="AN607" s="39">
        <f>IF(ISNUMBER($AD607),$AO607+$AP607,"")</f>
      </c>
      <c r="AO607" s="39">
        <f>IF(ISNUMBER($AD607),ROUND($AD607*Header!$K$3,2),"")</f>
      </c>
      <c r="AP607" s="39">
        <f>IF(ISNUMBER($AD607),ROUND($AD607*Header!$M$3,2),"")</f>
      </c>
      <c r="AQ607" s="38">
        <f>IF(ISNUMBER($AD607),ROUND($AD607,2)-$AO607-$AP607,"")</f>
      </c>
      <c r="AR607" s="39">
        <f>IF(ISNUMBER($AD607),IF(Header!$D$34="","?",$AD607*Header!$D$34),"")</f>
      </c>
      <c r="AS607" s="39">
        <f>IF(ISNUMBER($AB607),IF(Header!$D$34="","?",$AB607*Header!$D$34),"")</f>
      </c>
      <c r="AT607" s="42">
        <f>IF(AND(ISNUMBER($AB607),$M607&gt;0),$AB607/$M607*100,"")</f>
      </c>
      <c r="AU607" s="42">
        <f>IF(AND(ISNUMBER($AD607),$M607&gt;0),$AD607/$M607*100,"")</f>
      </c>
      <c r="AV607" s="40">
        <f>IF(AND(ISNUMBER($AB607),ISNUMBER($AD607),ABS($AB607)&gt;0),$AD607/$AB607,"")</f>
      </c>
      <c r="AW607" s="39">
        <f>IF(ISNUMBER($AD607),MAX(0,(1-0.55-Header!$O$3)*Header!$Q$3*$AQ607),"")</f>
      </c>
      <c r="AX607" s="43">
        <f>IF($A607="","",IF(TRIM(IF($A607="","Missing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",""))="","PASS","FAIL: "&amp;TRIM(IF($A607="","Missing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f>
      </c>
      <c r="AY607" s="44">
        <f>IF($M607="","",IF(ISNUMBER($M607),IF($M607&gt;=Header!$C$18,"YES — refer","No"),""))</f>
      </c>
      <c r="AZ607" s="44">
        <f>IF($AD607="","",IF(ISNUMBER($AD607),IF($AD607&lt;Header!$C$20,"BELOW MIN PREMIUM","OK"),""))</f>
      </c>
      <c r="BA607" s="32" t="inlineStr">
        <is>
          <t xml:space="preserve">Yes</t>
        </is>
      </c>
      <c r="BB607" s="32" t="inlineStr">
        <is>
          <t xml:space="preserve">Yes</t>
        </is>
      </c>
      <c r="BC607" s="30" t="inlineStr">
        <is>
          <t xml:space="preserve">Synthetic demo data</t>
        </is>
      </c>
      <c r="BE607" s="45">
        <f>IF(OR($A607="",$L607="",$H607=""),"",IF(AND(LEFT($L607,2)="06",$H607&gt;1945),"FAIL - pre-war class, year "&amp;$H607,IF(AND(LEFT($L607,2)="07",OR($H607&lt;1946,$H607&gt;1972)),"FAIL - 1946-72 class, year "&amp;$H607,IF(AND(LEFT($L607,2)="08",OR($H607&lt;1973,$H607&gt;1999)),"FAIL - 1973-99 class, year "&amp;$H607,IF(AND(LEFT($L607,2)="09",OR($H607&lt;2000,$H607&gt;2010)),"FAIL - 2000-10 class, year "&amp;$H607,"OK")))))</f>
      </c>
      <c r="BF607" s="45">
        <f>IF($AD607="","",IF(ROUND($AO607+$AP607+$AQ607-$AD607,2)=0,"OK","FAIL - out by "&amp;TEXT($AO607+$AP607+$AQ607-$AD607,"$0.00")))</f>
      </c>
    </row>
    <row r="608" spans="1:58" ht="18.75" customHeight="1" x14ac:dyDescent="0.25">
      <c r="A608" s="46" t="inlineStr">
        <is>
          <t xml:space="preserve">CANON-202604-007409</t>
        </is>
      </c>
      <c r="B608" s="46" t="inlineStr">
        <is>
          <t xml:space="preserve">Cassius Okonkwo</t>
        </is>
      </c>
      <c r="C608" s="47">
        <v>46142</v>
      </c>
      <c r="D608" s="48" t="inlineStr">
        <is>
          <t xml:space="preserve">Bound - within authority</t>
        </is>
      </c>
      <c r="E608" s="48" t="inlineStr">
        <is>
          <t xml:space="preserve">New business</t>
        </is>
      </c>
      <c r="F608" s="46" t="inlineStr">
        <is>
          <t xml:space="preserve">B1234EXOTIC26</t>
        </is>
      </c>
      <c r="G608" s="33">
        <f>IF($A608="","",IF($C608="","",YEAR($C608)))</f>
      </c>
      <c r="H608" s="49">
        <v>2006</v>
      </c>
      <c r="I608" s="46" t="inlineStr">
        <is>
          <t xml:space="preserve">BMW</t>
        </is>
      </c>
      <c r="J608" s="46" t="inlineStr">
        <is>
          <t xml:space="preserve">M8 Competition</t>
        </is>
      </c>
      <c r="K608" s="46" t="inlineStr">
        <is>
          <t xml:space="preserve">UDTF65RNXAPGNCFTY</t>
        </is>
      </c>
      <c r="L608" s="48" t="inlineStr">
        <is>
          <t xml:space="preserve">02 - Sports / GT</t>
        </is>
      </c>
      <c r="M608" s="50">
        <v>210000</v>
      </c>
      <c r="N608" s="48" t="inlineStr">
        <is>
          <t xml:space="preserve">Personal</t>
        </is>
      </c>
      <c r="O608" s="46" t="inlineStr">
        <is>
          <t xml:space="preserve">Personal - regular use</t>
        </is>
      </c>
      <c r="P608" s="46" t="inlineStr">
        <is>
          <t xml:space="preserve">Under 1,000</t>
        </is>
      </c>
      <c r="Q608" s="46" t="inlineStr">
        <is>
          <t xml:space="preserve">Hawaii</t>
        </is>
      </c>
      <c r="R608" s="46" t="inlineStr">
        <is>
          <t xml:space="preserve">96813</t>
        </is>
      </c>
      <c r="S608" s="48" t="inlineStr">
        <is>
          <t xml:space="preserve">Earthquake - high (CA, Cascadia, New Madrid)</t>
        </is>
      </c>
      <c r="T608" s="36">
        <f>IF($A608="","",IF($S608="","",IFERROR(INDEX('[1]natural catastrophe'!$D$6:$D$17,MATCH($S608,'[1]natural catastrophe'!$B$6:$B$17,0)),"?")))</f>
      </c>
      <c r="U608" s="46" t="inlineStr">
        <is>
          <t xml:space="preserve">$5,000</t>
        </is>
      </c>
      <c r="V608" s="48" t="inlineStr">
        <is>
          <t xml:space="preserve">Agreed Value</t>
        </is>
      </c>
      <c r="W608" s="46" t="inlineStr">
        <is>
          <t xml:space="preserve">$1,000</t>
        </is>
      </c>
      <c r="X608" s="48" t="inlineStr">
        <is>
          <t xml:space="preserve">$1,000,000 CSL</t>
        </is>
      </c>
      <c r="Y608" s="46"/>
      <c r="Z608" s="46"/>
      <c r="AA608" s="48" t="inlineStr">
        <is>
          <t xml:space="preserve">Surplus Lines</t>
        </is>
      </c>
      <c r="AB608" s="50">
        <v>3935.63</v>
      </c>
      <c r="AC608" s="51">
        <v>0</v>
      </c>
      <c r="AD608" s="38">
        <f>IF(ISNUMBER($AB608),$AB608*(1+N($AC608)),"")</f>
      </c>
      <c r="AE608" s="50">
        <v>350</v>
      </c>
      <c r="AF608" s="50">
        <v>0</v>
      </c>
      <c r="AG608" s="51"/>
      <c r="AH608" s="39">
        <f>IF(ISNUMBER($AD608),($AD608+$AE608+$AF608)*$AG608,"")</f>
      </c>
      <c r="AI608" s="50"/>
      <c r="AJ608" s="38">
        <f>IF(ISNUMBER($AD608),SUM($AD608:$AH608),"")</f>
      </c>
      <c r="AK608" s="40">
        <f>IF(AND(ISNUMBER($AB608),ISNUMBER($AD608)),IF($AB608&gt;0,$AD608/$AB608,""),"")</f>
      </c>
      <c r="AL608" s="48" t="inlineStr">
        <is>
          <t xml:space="preserve">At technical</t>
        </is>
      </c>
      <c r="AM608" s="41">
        <f>IF(ISNUMBER($AD608),Header!$I$3,"")</f>
      </c>
      <c r="AN608" s="39">
        <f>IF(ISNUMBER($AD608),$AO608+$AP608,"")</f>
      </c>
      <c r="AO608" s="39">
        <f>IF(ISNUMBER($AD608),ROUND($AD608*Header!$K$3,2),"")</f>
      </c>
      <c r="AP608" s="39">
        <f>IF(ISNUMBER($AD608),ROUND($AD608*Header!$M$3,2),"")</f>
      </c>
      <c r="AQ608" s="38">
        <f>IF(ISNUMBER($AD608),ROUND($AD608,2)-$AO608-$AP608,"")</f>
      </c>
      <c r="AR608" s="39">
        <f>IF(ISNUMBER($AD608),IF(Header!$D$34="","?",$AD608*Header!$D$34),"")</f>
      </c>
      <c r="AS608" s="39">
        <f>IF(ISNUMBER($AB608),IF(Header!$D$34="","?",$AB608*Header!$D$34),"")</f>
      </c>
      <c r="AT608" s="42">
        <f>IF(AND(ISNUMBER($AB608),$M608&gt;0),$AB608/$M608*100,"")</f>
      </c>
      <c r="AU608" s="42">
        <f>IF(AND(ISNUMBER($AD608),$M608&gt;0),$AD608/$M608*100,"")</f>
      </c>
      <c r="AV608" s="40">
        <f>IF(AND(ISNUMBER($AB608),ISNUMBER($AD608),ABS($AB608)&gt;0),$AD608/$AB608,"")</f>
      </c>
      <c r="AW608" s="39">
        <f>IF(ISNUMBER($AD608),MAX(0,(1-0.55-Header!$O$3)*Header!$Q$3*$AQ608),"")</f>
      </c>
      <c r="AX608" s="43">
        <f>IF($A608="","",IF(TRIM(IF($A608="","Missing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",""))="","PASS","FAIL: "&amp;TRIM(IF($A608="","Missing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f>
      </c>
      <c r="AY608" s="44">
        <f>IF($M608="","",IF(ISNUMBER($M608),IF($M608&gt;=Header!$C$18,"YES — refer","No"),""))</f>
      </c>
      <c r="AZ608" s="44">
        <f>IF($AD608="","",IF(ISNUMBER($AD608),IF($AD608&lt;Header!$C$20,"BELOW MIN PREMIUM","OK"),""))</f>
      </c>
      <c r="BA608" s="48" t="inlineStr">
        <is>
          <t xml:space="preserve">Yes</t>
        </is>
      </c>
      <c r="BB608" s="48" t="inlineStr">
        <is>
          <t xml:space="preserve">Yes</t>
        </is>
      </c>
      <c r="BC608" s="46" t="inlineStr">
        <is>
          <t xml:space="preserve">Synthetic demo data</t>
        </is>
      </c>
      <c r="BE608" s="45">
        <f>IF(OR($A608="",$L608="",$H608=""),"",IF(AND(LEFT($L608,2)="06",$H608&gt;1945),"FAIL - pre-war class, year "&amp;$H608,IF(AND(LEFT($L608,2)="07",OR($H608&lt;1946,$H608&gt;1972)),"FAIL - 1946-72 class, year "&amp;$H608,IF(AND(LEFT($L608,2)="08",OR($H608&lt;1973,$H608&gt;1999)),"FAIL - 1973-99 class, year "&amp;$H608,IF(AND(LEFT($L608,2)="09",OR($H608&lt;2000,$H608&gt;2010)),"FAIL - 2000-10 class, year "&amp;$H608,"OK")))))</f>
      </c>
      <c r="BF608" s="45">
        <f>IF($AD608="","",IF(ROUND($AO608+$AP608+$AQ608-$AD608,2)=0,"OK","FAIL - out by "&amp;TEXT($AO608+$AP608+$AQ608-$AD608,"$0.00")))</f>
      </c>
    </row>
    <row r="609" spans="1:58" ht="18.75" customHeight="1" x14ac:dyDescent="0.25">
      <c r="A609" s="30" t="inlineStr">
        <is>
          <t xml:space="preserve">CANON-202604-007412</t>
        </is>
      </c>
      <c r="B609" s="30" t="inlineStr">
        <is>
          <t xml:space="preserve">Aurelio Kingsford</t>
        </is>
      </c>
      <c r="C609" s="31">
        <v>46128</v>
      </c>
      <c r="D609" s="32" t="inlineStr">
        <is>
          <t xml:space="preserve">Bound - within authority</t>
        </is>
      </c>
      <c r="E609" s="32" t="inlineStr">
        <is>
          <t xml:space="preserve">New business</t>
        </is>
      </c>
      <c r="F609" s="30" t="inlineStr">
        <is>
          <t xml:space="preserve">B1234EXOTIC26</t>
        </is>
      </c>
      <c r="G609" s="33">
        <f>IF($A609="","",IF($C609="","",YEAR($C609)))</f>
      </c>
      <c r="H609" s="34">
        <v>1973</v>
      </c>
      <c r="I609" s="30" t="inlineStr">
        <is>
          <t xml:space="preserve">Maserati</t>
        </is>
      </c>
      <c r="J609" s="30" t="inlineStr">
        <is>
          <t xml:space="preserve">GranTurismo</t>
        </is>
      </c>
      <c r="K609" s="30" t="inlineStr">
        <is>
          <t xml:space="preserve">PPNU5S2E0U1WY5MB1</t>
        </is>
      </c>
      <c r="L609" s="32" t="inlineStr">
        <is>
          <t xml:space="preserve">02 - Sports / GT</t>
        </is>
      </c>
      <c r="M609" s="35">
        <v>570000</v>
      </c>
      <c r="N609" s="32" t="inlineStr">
        <is>
          <t xml:space="preserve">Personal</t>
        </is>
      </c>
      <c r="O609" s="30" t="inlineStr">
        <is>
          <t xml:space="preserve">Personal - regular use</t>
        </is>
      </c>
      <c r="P609" s="30" t="inlineStr">
        <is>
          <t xml:space="preserve">1,000 - 2,500</t>
        </is>
      </c>
      <c r="Q609" s="30" t="inlineStr">
        <is>
          <t xml:space="preserve">Arkansas</t>
        </is>
      </c>
      <c r="R609" s="30" t="inlineStr">
        <is>
          <t xml:space="preserve">72201</t>
        </is>
      </c>
      <c r="S609" s="32" t="inlineStr">
        <is>
          <t xml:space="preserve">Severe convective - hail / tornado (moderate)</t>
        </is>
      </c>
      <c r="T609" s="36">
        <f>IF($A609="","",IF($S609="","",IFERROR(INDEX('[1]natural catastrophe'!$D$6:$D$17,MATCH($S609,'[1]natural catastrophe'!$B$6:$B$17,0)),"?")))</f>
      </c>
      <c r="U609" s="30" t="inlineStr">
        <is>
          <t xml:space="preserve">$5,000</t>
        </is>
      </c>
      <c r="V609" s="32" t="inlineStr">
        <is>
          <t xml:space="preserve">Agreed Value</t>
        </is>
      </c>
      <c r="W609" s="30" t="inlineStr">
        <is>
          <t xml:space="preserve">$1,000</t>
        </is>
      </c>
      <c r="X609" s="32" t="inlineStr">
        <is>
          <t xml:space="preserve">$1,000,000 CSL</t>
        </is>
      </c>
      <c r="Y609" s="30"/>
      <c r="Z609" s="30"/>
      <c r="AA609" s="32" t="inlineStr">
        <is>
          <t xml:space="preserve">Surplus Lines</t>
        </is>
      </c>
      <c r="AB609" s="35">
        <v>8011.82</v>
      </c>
      <c r="AC609" s="37">
        <v>0</v>
      </c>
      <c r="AD609" s="38">
        <f>IF(ISNUMBER($AB609),$AB609*(1+N($AC609)),"")</f>
      </c>
      <c r="AE609" s="35">
        <v>350</v>
      </c>
      <c r="AF609" s="35">
        <v>0</v>
      </c>
      <c r="AG609" s="37"/>
      <c r="AH609" s="39">
        <f>IF(ISNUMBER($AD609),($AD609+$AE609+$AF609)*$AG609,"")</f>
      </c>
      <c r="AI609" s="35"/>
      <c r="AJ609" s="38">
        <f>IF(ISNUMBER($AD609),SUM($AD609:$AH609),"")</f>
      </c>
      <c r="AK609" s="40">
        <f>IF(AND(ISNUMBER($AB609),ISNUMBER($AD609)),IF($AB609&gt;0,$AD609/$AB609,""),"")</f>
      </c>
      <c r="AL609" s="32" t="inlineStr">
        <is>
          <t xml:space="preserve">At technical</t>
        </is>
      </c>
      <c r="AM609" s="41">
        <f>IF(ISNUMBER($AD609),Header!$I$3,"")</f>
      </c>
      <c r="AN609" s="39">
        <f>IF(ISNUMBER($AD609),$AO609+$AP609,"")</f>
      </c>
      <c r="AO609" s="39">
        <f>IF(ISNUMBER($AD609),ROUND($AD609*Header!$K$3,2),"")</f>
      </c>
      <c r="AP609" s="39">
        <f>IF(ISNUMBER($AD609),ROUND($AD609*Header!$M$3,2),"")</f>
      </c>
      <c r="AQ609" s="38">
        <f>IF(ISNUMBER($AD609),ROUND($AD609,2)-$AO609-$AP609,"")</f>
      </c>
      <c r="AR609" s="39">
        <f>IF(ISNUMBER($AD609),IF(Header!$D$34="","?",$AD609*Header!$D$34),"")</f>
      </c>
      <c r="AS609" s="39">
        <f>IF(ISNUMBER($AB609),IF(Header!$D$34="","?",$AB609*Header!$D$34),"")</f>
      </c>
      <c r="AT609" s="42">
        <f>IF(AND(ISNUMBER($AB609),$M609&gt;0),$AB609/$M609*100,"")</f>
      </c>
      <c r="AU609" s="42">
        <f>IF(AND(ISNUMBER($AD609),$M609&gt;0),$AD609/$M609*100,"")</f>
      </c>
      <c r="AV609" s="40">
        <f>IF(AND(ISNUMBER($AB609),ISNUMBER($AD609),ABS($AB609)&gt;0),$AD609/$AB609,"")</f>
      </c>
      <c r="AW609" s="39">
        <f>IF(ISNUMBER($AD609),MAX(0,(1-0.55-Header!$O$3)*Header!$Q$3*$AQ609),"")</f>
      </c>
      <c r="AX609" s="43">
        <f>IF($A609="","",IF(TRIM(IF($A609="","Missing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",""))="","PASS","FAIL: "&amp;TRIM(IF($A609="","Missing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f>
      </c>
      <c r="AY609" s="44">
        <f>IF($M609="","",IF(ISNUMBER($M609),IF($M609&gt;=Header!$C$18,"YES — refer","No"),""))</f>
      </c>
      <c r="AZ609" s="44">
        <f>IF($AD609="","",IF(ISNUMBER($AD609),IF($AD609&lt;Header!$C$20,"BELOW MIN PREMIUM","OK"),""))</f>
      </c>
      <c r="BA609" s="32" t="inlineStr">
        <is>
          <t xml:space="preserve">Yes</t>
        </is>
      </c>
      <c r="BB609" s="32" t="inlineStr">
        <is>
          <t xml:space="preserve">Yes</t>
        </is>
      </c>
      <c r="BC609" s="30" t="inlineStr">
        <is>
          <t xml:space="preserve">Synthetic demo data</t>
        </is>
      </c>
      <c r="BE609" s="45">
        <f>IF(OR($A609="",$L609="",$H609=""),"",IF(AND(LEFT($L609,2)="06",$H609&gt;1945),"FAIL - pre-war class, year "&amp;$H609,IF(AND(LEFT($L609,2)="07",OR($H609&lt;1946,$H609&gt;1972)),"FAIL - 1946-72 class, year "&amp;$H609,IF(AND(LEFT($L609,2)="08",OR($H609&lt;1973,$H609&gt;1999)),"FAIL - 1973-99 class, year "&amp;$H609,IF(AND(LEFT($L609,2)="09",OR($H609&lt;2000,$H609&gt;2010)),"FAIL - 2000-10 class, year "&amp;$H609,"OK")))))</f>
      </c>
      <c r="BF609" s="45">
        <f>IF($AD609="","",IF(ROUND($AO609+$AP609+$AQ609-$AD609,2)=0,"OK","FAIL - out by "&amp;TEXT($AO609+$AP609+$AQ609-$AD609,"$0.00")))</f>
      </c>
    </row>
    <row r="610" spans="1:58" ht="18.75" customHeight="1" x14ac:dyDescent="0.25">
      <c r="A610" s="46" t="inlineStr">
        <is>
          <t xml:space="preserve">CANON-202604-007413</t>
        </is>
      </c>
      <c r="B610" s="46" t="inlineStr">
        <is>
          <t xml:space="preserve">Cassius Montoya</t>
        </is>
      </c>
      <c r="C610" s="47">
        <v>46122</v>
      </c>
      <c r="D610" s="48" t="inlineStr">
        <is>
          <t xml:space="preserve">Bound - within authority</t>
        </is>
      </c>
      <c r="E610" s="48" t="inlineStr">
        <is>
          <t xml:space="preserve">New business</t>
        </is>
      </c>
      <c r="F610" s="46" t="inlineStr">
        <is>
          <t xml:space="preserve">B1234EXOTIC26</t>
        </is>
      </c>
      <c r="G610" s="33">
        <f>IF($A610="","",IF($C610="","",YEAR($C610)))</f>
      </c>
      <c r="H610" s="49">
        <v>1982</v>
      </c>
      <c r="I610" s="46" t="inlineStr">
        <is>
          <t xml:space="preserve">Aston Martin</t>
        </is>
      </c>
      <c r="J610" s="46" t="inlineStr">
        <is>
          <t xml:space="preserve">DB12</t>
        </is>
      </c>
      <c r="K610" s="46" t="inlineStr">
        <is>
          <t xml:space="preserve">H2PBFGTT51THAL48D</t>
        </is>
      </c>
      <c r="L610" s="48" t="inlineStr">
        <is>
          <t xml:space="preserve">02 - Sports / GT</t>
        </is>
      </c>
      <c r="M610" s="50">
        <v>840000</v>
      </c>
      <c r="N610" s="48" t="inlineStr">
        <is>
          <t xml:space="preserve">Personal</t>
        </is>
      </c>
      <c r="O610" s="46" t="inlineStr">
        <is>
          <t xml:space="preserve">Personal - regular use</t>
        </is>
      </c>
      <c r="P610" s="46" t="inlineStr">
        <is>
          <t xml:space="preserve">Under 1,000</t>
        </is>
      </c>
      <c r="Q610" s="46" t="inlineStr">
        <is>
          <t xml:space="preserve">Illinois</t>
        </is>
      </c>
      <c r="R610" s="46" t="inlineStr">
        <is>
          <t xml:space="preserve">60601</t>
        </is>
      </c>
      <c r="S610" s="48" t="inlineStr">
        <is>
          <t xml:space="preserve">Severe convective - hail / tornado (moderate)</t>
        </is>
      </c>
      <c r="T610" s="36">
        <f>IF($A610="","",IF($S610="","",IFERROR(INDEX('[1]natural catastrophe'!$D$6:$D$17,MATCH($S610,'[1]natural catastrophe'!$B$6:$B$17,0)),"?")))</f>
      </c>
      <c r="U610" s="46" t="inlineStr">
        <is>
          <t xml:space="preserve">$5,000</t>
        </is>
      </c>
      <c r="V610" s="48" t="inlineStr">
        <is>
          <t xml:space="preserve">Agreed Value</t>
        </is>
      </c>
      <c r="W610" s="46" t="inlineStr">
        <is>
          <t xml:space="preserve">$1,000</t>
        </is>
      </c>
      <c r="X610" s="48" t="inlineStr">
        <is>
          <t xml:space="preserve">$1,000,000 CSL</t>
        </is>
      </c>
      <c r="Y610" s="46"/>
      <c r="Z610" s="46"/>
      <c r="AA610" s="48" t="inlineStr">
        <is>
          <t xml:space="preserve">Surplus Lines</t>
        </is>
      </c>
      <c r="AB610" s="50">
        <v>11635.78</v>
      </c>
      <c r="AC610" s="51">
        <v>0</v>
      </c>
      <c r="AD610" s="38">
        <f>IF(ISNUMBER($AB610),$AB610*(1+N($AC610)),"")</f>
      </c>
      <c r="AE610" s="50">
        <v>350</v>
      </c>
      <c r="AF610" s="50">
        <v>0</v>
      </c>
      <c r="AG610" s="51"/>
      <c r="AH610" s="39">
        <f>IF(ISNUMBER($AD610),($AD610+$AE610+$AF610)*$AG610,"")</f>
      </c>
      <c r="AI610" s="50"/>
      <c r="AJ610" s="38">
        <f>IF(ISNUMBER($AD610),SUM($AD610:$AH610),"")</f>
      </c>
      <c r="AK610" s="40">
        <f>IF(AND(ISNUMBER($AB610),ISNUMBER($AD610)),IF($AB610&gt;0,$AD610/$AB610,""),"")</f>
      </c>
      <c r="AL610" s="48" t="inlineStr">
        <is>
          <t xml:space="preserve">At technical</t>
        </is>
      </c>
      <c r="AM610" s="41">
        <f>IF(ISNUMBER($AD610),Header!$I$3,"")</f>
      </c>
      <c r="AN610" s="39">
        <f>IF(ISNUMBER($AD610),$AO610+$AP610,"")</f>
      </c>
      <c r="AO610" s="39">
        <f>IF(ISNUMBER($AD610),ROUND($AD610*Header!$K$3,2),"")</f>
      </c>
      <c r="AP610" s="39">
        <f>IF(ISNUMBER($AD610),ROUND($AD610*Header!$M$3,2),"")</f>
      </c>
      <c r="AQ610" s="38">
        <f>IF(ISNUMBER($AD610),ROUND($AD610,2)-$AO610-$AP610,"")</f>
      </c>
      <c r="AR610" s="39">
        <f>IF(ISNUMBER($AD610),IF(Header!$D$34="","?",$AD610*Header!$D$34),"")</f>
      </c>
      <c r="AS610" s="39">
        <f>IF(ISNUMBER($AB610),IF(Header!$D$34="","?",$AB610*Header!$D$34),"")</f>
      </c>
      <c r="AT610" s="42">
        <f>IF(AND(ISNUMBER($AB610),$M610&gt;0),$AB610/$M610*100,"")</f>
      </c>
      <c r="AU610" s="42">
        <f>IF(AND(ISNUMBER($AD610),$M610&gt;0),$AD610/$M610*100,"")</f>
      </c>
      <c r="AV610" s="40">
        <f>IF(AND(ISNUMBER($AB610),ISNUMBER($AD610),ABS($AB610)&gt;0),$AD610/$AB610,"")</f>
      </c>
      <c r="AW610" s="39">
        <f>IF(ISNUMBER($AD610),MAX(0,(1-0.55-Header!$O$3)*Header!$Q$3*$AQ610),"")</f>
      </c>
      <c r="AX610" s="43">
        <f>IF($A610="","",IF(TRIM(IF($A610="","Missing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",""))="","PASS","FAIL: "&amp;TRIM(IF($A610="","Missing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f>
      </c>
      <c r="AY610" s="44">
        <f>IF($M610="","",IF(ISNUMBER($M610),IF($M610&gt;=Header!$C$18,"YES — refer","No"),""))</f>
      </c>
      <c r="AZ610" s="44">
        <f>IF($AD610="","",IF(ISNUMBER($AD610),IF($AD610&lt;Header!$C$20,"BELOW MIN PREMIUM","OK"),""))</f>
      </c>
      <c r="BA610" s="48" t="inlineStr">
        <is>
          <t xml:space="preserve">Yes</t>
        </is>
      </c>
      <c r="BB610" s="48" t="inlineStr">
        <is>
          <t xml:space="preserve">Yes</t>
        </is>
      </c>
      <c r="BC610" s="46" t="inlineStr">
        <is>
          <t xml:space="preserve">Synthetic demo data</t>
        </is>
      </c>
      <c r="BE610" s="45">
        <f>IF(OR($A610="",$L610="",$H610=""),"",IF(AND(LEFT($L610,2)="06",$H610&gt;1945),"FAIL - pre-war class, year "&amp;$H610,IF(AND(LEFT($L610,2)="07",OR($H610&lt;1946,$H610&gt;1972)),"FAIL - 1946-72 class, year "&amp;$H610,IF(AND(LEFT($L610,2)="08",OR($H610&lt;1973,$H610&gt;1999)),"FAIL - 1973-99 class, year "&amp;$H610,IF(AND(LEFT($L610,2)="09",OR($H610&lt;2000,$H610&gt;2010)),"FAIL - 2000-10 class, year "&amp;$H610,"OK")))))</f>
      </c>
      <c r="BF610" s="45">
        <f>IF($AD610="","",IF(ROUND($AO610+$AP610+$AQ610-$AD610,2)=0,"OK","FAIL - out by "&amp;TEXT($AO610+$AP610+$AQ610-$AD610,"$0.00")))</f>
      </c>
    </row>
    <row r="611" spans="1:58" ht="18.75" customHeight="1" x14ac:dyDescent="0.25">
      <c r="A611" s="30" t="inlineStr">
        <is>
          <t xml:space="preserve">CANON-202604-007416</t>
        </is>
      </c>
      <c r="B611" s="30" t="inlineStr">
        <is>
          <t xml:space="preserve">Ingrid Blackwood</t>
        </is>
      </c>
      <c r="C611" s="31">
        <v>46131</v>
      </c>
      <c r="D611" s="32" t="inlineStr">
        <is>
          <t xml:space="preserve">Bound - within authority</t>
        </is>
      </c>
      <c r="E611" s="32" t="inlineStr">
        <is>
          <t xml:space="preserve">New business</t>
        </is>
      </c>
      <c r="F611" s="30" t="inlineStr">
        <is>
          <t xml:space="preserve">B1234EXOTIC26</t>
        </is>
      </c>
      <c r="G611" s="33">
        <f>IF($A611="","",IF($C611="","",YEAR($C611)))</f>
      </c>
      <c r="H611" s="34">
        <v>2002</v>
      </c>
      <c r="I611" s="30" t="inlineStr">
        <is>
          <t xml:space="preserve">McLaren</t>
        </is>
      </c>
      <c r="J611" s="30" t="inlineStr">
        <is>
          <t xml:space="preserve">750S</t>
        </is>
      </c>
      <c r="K611" s="30" t="inlineStr">
        <is>
          <t xml:space="preserve">WRYG8V00X38PE5LBN</t>
        </is>
      </c>
      <c r="L611" s="32" t="inlineStr">
        <is>
          <t xml:space="preserve">03 - Supercar</t>
        </is>
      </c>
      <c r="M611" s="35">
        <v>660000</v>
      </c>
      <c r="N611" s="32" t="inlineStr">
        <is>
          <t xml:space="preserve">Personal</t>
        </is>
      </c>
      <c r="O611" s="30" t="inlineStr">
        <is>
          <t xml:space="preserve">Personal - regular use</t>
        </is>
      </c>
      <c r="P611" s="30" t="inlineStr">
        <is>
          <t xml:space="preserve">1,000 - 2,500</t>
        </is>
      </c>
      <c r="Q611" s="30" t="inlineStr">
        <is>
          <t xml:space="preserve">California</t>
        </is>
      </c>
      <c r="R611" s="30" t="inlineStr">
        <is>
          <t xml:space="preserve">90012</t>
        </is>
      </c>
      <c r="S611" s="32" t="inlineStr">
        <is>
          <t xml:space="preserve">Earthquake - high (CA, Cascadia, New Madrid)</t>
        </is>
      </c>
      <c r="T611" s="36">
        <f>IF($A611="","",IF($S611="","",IFERROR(INDEX('[1]natural catastrophe'!$D$6:$D$17,MATCH($S611,'[1]natural catastrophe'!$B$6:$B$17,0)),"?")))</f>
      </c>
      <c r="U611" s="30" t="inlineStr">
        <is>
          <t xml:space="preserve">$5,000</t>
        </is>
      </c>
      <c r="V611" s="32" t="inlineStr">
        <is>
          <t xml:space="preserve">Agreed Value</t>
        </is>
      </c>
      <c r="W611" s="30" t="inlineStr">
        <is>
          <t xml:space="preserve">$1,000</t>
        </is>
      </c>
      <c r="X611" s="32" t="inlineStr">
        <is>
          <t xml:space="preserve">$1,000,000 CSL</t>
        </is>
      </c>
      <c r="Y611" s="30"/>
      <c r="Z611" s="30"/>
      <c r="AA611" s="32" t="inlineStr">
        <is>
          <t xml:space="preserve">Surplus Lines</t>
        </is>
      </c>
      <c r="AB611" s="35">
        <v>13263.71</v>
      </c>
      <c r="AC611" s="37">
        <v>0</v>
      </c>
      <c r="AD611" s="38">
        <f>IF(ISNUMBER($AB611),$AB611*(1+N($AC611)),"")</f>
      </c>
      <c r="AE611" s="35">
        <v>350</v>
      </c>
      <c r="AF611" s="35">
        <v>0</v>
      </c>
      <c r="AG611" s="37"/>
      <c r="AH611" s="39">
        <f>IF(ISNUMBER($AD611),($AD611+$AE611+$AF611)*$AG611,"")</f>
      </c>
      <c r="AI611" s="35"/>
      <c r="AJ611" s="38">
        <f>IF(ISNUMBER($AD611),SUM($AD611:$AH611),"")</f>
      </c>
      <c r="AK611" s="40">
        <f>IF(AND(ISNUMBER($AB611),ISNUMBER($AD611)),IF($AB611&gt;0,$AD611/$AB611,""),"")</f>
      </c>
      <c r="AL611" s="32" t="inlineStr">
        <is>
          <t xml:space="preserve">At technical</t>
        </is>
      </c>
      <c r="AM611" s="41">
        <f>IF(ISNUMBER($AD611),Header!$I$3,"")</f>
      </c>
      <c r="AN611" s="39">
        <f>IF(ISNUMBER($AD611),$AO611+$AP611,"")</f>
      </c>
      <c r="AO611" s="39">
        <f>IF(ISNUMBER($AD611),ROUND($AD611*Header!$K$3,2),"")</f>
      </c>
      <c r="AP611" s="39">
        <f>IF(ISNUMBER($AD611),ROUND($AD611*Header!$M$3,2),"")</f>
      </c>
      <c r="AQ611" s="38">
        <f>IF(ISNUMBER($AD611),ROUND($AD611,2)-$AO611-$AP611,"")</f>
      </c>
      <c r="AR611" s="39">
        <f>IF(ISNUMBER($AD611),IF(Header!$D$34="","?",$AD611*Header!$D$34),"")</f>
      </c>
      <c r="AS611" s="39">
        <f>IF(ISNUMBER($AB611),IF(Header!$D$34="","?",$AB611*Header!$D$34),"")</f>
      </c>
      <c r="AT611" s="42">
        <f>IF(AND(ISNUMBER($AB611),$M611&gt;0),$AB611/$M611*100,"")</f>
      </c>
      <c r="AU611" s="42">
        <f>IF(AND(ISNUMBER($AD611),$M611&gt;0),$AD611/$M611*100,"")</f>
      </c>
      <c r="AV611" s="40">
        <f>IF(AND(ISNUMBER($AB611),ISNUMBER($AD611),ABS($AB611)&gt;0),$AD611/$AB611,"")</f>
      </c>
      <c r="AW611" s="39">
        <f>IF(ISNUMBER($AD611),MAX(0,(1-0.55-Header!$O$3)*Header!$Q$3*$AQ611),"")</f>
      </c>
      <c r="AX611" s="43">
        <f>IF($A611="","",IF(TRIM(IF($A611="","Missing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",""))="","PASS","FAIL: "&amp;TRIM(IF($A611="","Missing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f>
      </c>
      <c r="AY611" s="44">
        <f>IF($M611="","",IF(ISNUMBER($M611),IF($M611&gt;=Header!$C$18,"YES — refer","No"),""))</f>
      </c>
      <c r="AZ611" s="44">
        <f>IF($AD611="","",IF(ISNUMBER($AD611),IF($AD611&lt;Header!$C$20,"BELOW MIN PREMIUM","OK"),""))</f>
      </c>
      <c r="BA611" s="32" t="inlineStr">
        <is>
          <t xml:space="preserve">Yes</t>
        </is>
      </c>
      <c r="BB611" s="32" t="inlineStr">
        <is>
          <t xml:space="preserve">Yes</t>
        </is>
      </c>
      <c r="BC611" s="30" t="inlineStr">
        <is>
          <t xml:space="preserve">Synthetic demo data</t>
        </is>
      </c>
      <c r="BE611" s="45">
        <f>IF(OR($A611="",$L611="",$H611=""),"",IF(AND(LEFT($L611,2)="06",$H611&gt;1945),"FAIL - pre-war class, year "&amp;$H611,IF(AND(LEFT($L611,2)="07",OR($H611&lt;1946,$H611&gt;1972)),"FAIL - 1946-72 class, year "&amp;$H611,IF(AND(LEFT($L611,2)="08",OR($H611&lt;1973,$H611&gt;1999)),"FAIL - 1973-99 class, year "&amp;$H611,IF(AND(LEFT($L611,2)="09",OR($H611&lt;2000,$H611&gt;2010)),"FAIL - 2000-10 class, year "&amp;$H611,"OK")))))</f>
      </c>
      <c r="BF611" s="45">
        <f>IF($AD611="","",IF(ROUND($AO611+$AP611+$AQ611-$AD611,2)=0,"OK","FAIL - out by "&amp;TEXT($AO611+$AP611+$AQ611-$AD611,"$0.00")))</f>
      </c>
    </row>
    <row r="612" spans="1:58" ht="18.75" customHeight="1" x14ac:dyDescent="0.25">
      <c r="A612" s="46" t="inlineStr">
        <is>
          <t xml:space="preserve">CANON-202604-007417</t>
        </is>
      </c>
      <c r="B612" s="46" t="inlineStr">
        <is>
          <t xml:space="preserve">Horace Rourke</t>
        </is>
      </c>
      <c r="C612" s="47">
        <v>46127</v>
      </c>
      <c r="D612" s="48" t="inlineStr">
        <is>
          <t xml:space="preserve">Bound - within authority</t>
        </is>
      </c>
      <c r="E612" s="48" t="inlineStr">
        <is>
          <t xml:space="preserve">New business</t>
        </is>
      </c>
      <c r="F612" s="46" t="inlineStr">
        <is>
          <t xml:space="preserve">B1234EXOTIC26</t>
        </is>
      </c>
      <c r="G612" s="33">
        <f>IF($A612="","",IF($C612="","",YEAR($C612)))</f>
      </c>
      <c r="H612" s="49">
        <v>1982</v>
      </c>
      <c r="I612" s="46" t="inlineStr">
        <is>
          <t xml:space="preserve">Porsche</t>
        </is>
      </c>
      <c r="J612" s="46" t="inlineStr">
        <is>
          <t xml:space="preserve">911 Turbo S</t>
        </is>
      </c>
      <c r="K612" s="46" t="inlineStr">
        <is>
          <t xml:space="preserve">AAV4MMYK3CT7ESZ2H</t>
        </is>
      </c>
      <c r="L612" s="48" t="inlineStr">
        <is>
          <t xml:space="preserve">02 - Sports / GT</t>
        </is>
      </c>
      <c r="M612" s="50">
        <v>605000</v>
      </c>
      <c r="N612" s="48" t="inlineStr">
        <is>
          <t xml:space="preserve">Personal</t>
        </is>
      </c>
      <c r="O612" s="46" t="inlineStr">
        <is>
          <t xml:space="preserve">Personal - regular use</t>
        </is>
      </c>
      <c r="P612" s="46" t="inlineStr">
        <is>
          <t xml:space="preserve">2,500 - 5,000</t>
        </is>
      </c>
      <c r="Q612" s="46" t="inlineStr">
        <is>
          <t xml:space="preserve">Idaho</t>
        </is>
      </c>
      <c r="R612" s="46" t="inlineStr">
        <is>
          <t xml:space="preserve">83702</t>
        </is>
      </c>
      <c r="S612" s="48" t="inlineStr">
        <is>
          <t xml:space="preserve">Wildfire - WUI high hazard</t>
        </is>
      </c>
      <c r="T612" s="36">
        <f>IF($A612="","",IF($S612="","",IFERROR(INDEX('[1]natural catastrophe'!$D$6:$D$17,MATCH($S612,'[1]natural catastrophe'!$B$6:$B$17,0)),"?")))</f>
      </c>
      <c r="U612" s="46" t="inlineStr">
        <is>
          <t xml:space="preserve">$5,000</t>
        </is>
      </c>
      <c r="V612" s="48" t="inlineStr">
        <is>
          <t xml:space="preserve">Agreed Value</t>
        </is>
      </c>
      <c r="W612" s="46" t="inlineStr">
        <is>
          <t xml:space="preserve">$1,000</t>
        </is>
      </c>
      <c r="X612" s="48" t="inlineStr">
        <is>
          <t xml:space="preserve">$1,000,000 CSL</t>
        </is>
      </c>
      <c r="Y612" s="46"/>
      <c r="Z612" s="46"/>
      <c r="AA612" s="48" t="inlineStr">
        <is>
          <t xml:space="preserve">Surplus Lines</t>
        </is>
      </c>
      <c r="AB612" s="50">
        <v>6100.53</v>
      </c>
      <c r="AC612" s="51">
        <v>0</v>
      </c>
      <c r="AD612" s="38">
        <f>IF(ISNUMBER($AB612),$AB612*(1+N($AC612)),"")</f>
      </c>
      <c r="AE612" s="50">
        <v>350</v>
      </c>
      <c r="AF612" s="50">
        <v>0</v>
      </c>
      <c r="AG612" s="51"/>
      <c r="AH612" s="39">
        <f>IF(ISNUMBER($AD612),($AD612+$AE612+$AF612)*$AG612,"")</f>
      </c>
      <c r="AI612" s="50"/>
      <c r="AJ612" s="38">
        <f>IF(ISNUMBER($AD612),SUM($AD612:$AH612),"")</f>
      </c>
      <c r="AK612" s="40">
        <f>IF(AND(ISNUMBER($AB612),ISNUMBER($AD612)),IF($AB612&gt;0,$AD612/$AB612,""),"")</f>
      </c>
      <c r="AL612" s="48" t="inlineStr">
        <is>
          <t xml:space="preserve">At technical</t>
        </is>
      </c>
      <c r="AM612" s="41">
        <f>IF(ISNUMBER($AD612),Header!$I$3,"")</f>
      </c>
      <c r="AN612" s="39">
        <f>IF(ISNUMBER($AD612),$AO612+$AP612,"")</f>
      </c>
      <c r="AO612" s="39">
        <f>IF(ISNUMBER($AD612),ROUND($AD612*Header!$K$3,2),"")</f>
      </c>
      <c r="AP612" s="39">
        <f>IF(ISNUMBER($AD612),ROUND($AD612*Header!$M$3,2),"")</f>
      </c>
      <c r="AQ612" s="38">
        <f>IF(ISNUMBER($AD612),ROUND($AD612,2)-$AO612-$AP612,"")</f>
      </c>
      <c r="AR612" s="39">
        <f>IF(ISNUMBER($AD612),IF(Header!$D$34="","?",$AD612*Header!$D$34),"")</f>
      </c>
      <c r="AS612" s="39">
        <f>IF(ISNUMBER($AB612),IF(Header!$D$34="","?",$AB612*Header!$D$34),"")</f>
      </c>
      <c r="AT612" s="42">
        <f>IF(AND(ISNUMBER($AB612),$M612&gt;0),$AB612/$M612*100,"")</f>
      </c>
      <c r="AU612" s="42">
        <f>IF(AND(ISNUMBER($AD612),$M612&gt;0),$AD612/$M612*100,"")</f>
      </c>
      <c r="AV612" s="40">
        <f>IF(AND(ISNUMBER($AB612),ISNUMBER($AD612),ABS($AB612)&gt;0),$AD612/$AB612,"")</f>
      </c>
      <c r="AW612" s="39">
        <f>IF(ISNUMBER($AD612),MAX(0,(1-0.55-Header!$O$3)*Header!$Q$3*$AQ612),"")</f>
      </c>
      <c r="AX612" s="43">
        <f>IF($A612="","",IF(TRIM(IF($A612="","Missing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",""))="","PASS","FAIL: "&amp;TRIM(IF($A612="","Missing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f>
      </c>
      <c r="AY612" s="44">
        <f>IF($M612="","",IF(ISNUMBER($M612),IF($M612&gt;=Header!$C$18,"YES — refer","No"),""))</f>
      </c>
      <c r="AZ612" s="44">
        <f>IF($AD612="","",IF(ISNUMBER($AD612),IF($AD612&lt;Header!$C$20,"BELOW MIN PREMIUM","OK"),""))</f>
      </c>
      <c r="BA612" s="48" t="inlineStr">
        <is>
          <t xml:space="preserve">Yes</t>
        </is>
      </c>
      <c r="BB612" s="48" t="inlineStr">
        <is>
          <t xml:space="preserve">Yes</t>
        </is>
      </c>
      <c r="BC612" s="46" t="inlineStr">
        <is>
          <t xml:space="preserve">Synthetic demo data</t>
        </is>
      </c>
      <c r="BE612" s="45">
        <f>IF(OR($A612="",$L612="",$H612=""),"",IF(AND(LEFT($L612,2)="06",$H612&gt;1945),"FAIL - pre-war class, year "&amp;$H612,IF(AND(LEFT($L612,2)="07",OR($H612&lt;1946,$H612&gt;1972)),"FAIL - 1946-72 class, year "&amp;$H612,IF(AND(LEFT($L612,2)="08",OR($H612&lt;1973,$H612&gt;1999)),"FAIL - 1973-99 class, year "&amp;$H612,IF(AND(LEFT($L612,2)="09",OR($H612&lt;2000,$H612&gt;2010)),"FAIL - 2000-10 class, year "&amp;$H612,"OK")))))</f>
      </c>
      <c r="BF612" s="45">
        <f>IF($AD612="","",IF(ROUND($AO612+$AP612+$AQ612-$AD612,2)=0,"OK","FAIL - out by "&amp;TEXT($AO612+$AP612+$AQ612-$AD612,"$0.00")))</f>
      </c>
    </row>
    <row r="613" spans="1:58" ht="18.75" customHeight="1" x14ac:dyDescent="0.25">
      <c r="A613" s="30" t="inlineStr">
        <is>
          <t xml:space="preserve">CANON-202604-007418</t>
        </is>
      </c>
      <c r="B613" s="30" t="inlineStr">
        <is>
          <t xml:space="preserve">Anouk Ashcombe</t>
        </is>
      </c>
      <c r="C613" s="31">
        <v>46117</v>
      </c>
      <c r="D613" s="32" t="inlineStr">
        <is>
          <t xml:space="preserve">Bound - within authority</t>
        </is>
      </c>
      <c r="E613" s="32" t="inlineStr">
        <is>
          <t xml:space="preserve">New business</t>
        </is>
      </c>
      <c r="F613" s="30" t="inlineStr">
        <is>
          <t xml:space="preserve">B1234EXOTIC26</t>
        </is>
      </c>
      <c r="G613" s="33">
        <f>IF($A613="","",IF($C613="","",YEAR($C613)))</f>
      </c>
      <c r="H613" s="34">
        <v>2003</v>
      </c>
      <c r="I613" s="30" t="inlineStr">
        <is>
          <t xml:space="preserve">Mercedes-Benz</t>
        </is>
      </c>
      <c r="J613" s="30" t="inlineStr">
        <is>
          <t xml:space="preserve">AMG GT</t>
        </is>
      </c>
      <c r="K613" s="30" t="inlineStr">
        <is>
          <t xml:space="preserve">T157W63CE02J2RCEU</t>
        </is>
      </c>
      <c r="L613" s="32" t="inlineStr">
        <is>
          <t xml:space="preserve">02 - Sports / GT</t>
        </is>
      </c>
      <c r="M613" s="35">
        <v>505000</v>
      </c>
      <c r="N613" s="32" t="inlineStr">
        <is>
          <t xml:space="preserve">Personal</t>
        </is>
      </c>
      <c r="O613" s="30" t="inlineStr">
        <is>
          <t xml:space="preserve">Personal - regular use</t>
        </is>
      </c>
      <c r="P613" s="30" t="inlineStr">
        <is>
          <t xml:space="preserve">1,000 - 2,500</t>
        </is>
      </c>
      <c r="Q613" s="30" t="inlineStr">
        <is>
          <t xml:space="preserve">Arkansas</t>
        </is>
      </c>
      <c r="R613" s="30" t="inlineStr">
        <is>
          <t xml:space="preserve">72201</t>
        </is>
      </c>
      <c r="S613" s="32" t="inlineStr">
        <is>
          <t xml:space="preserve">Severe convective - hail / tornado (moderate)</t>
        </is>
      </c>
      <c r="T613" s="36">
        <f>IF($A613="","",IF($S613="","",IFERROR(INDEX('[1]natural catastrophe'!$D$6:$D$17,MATCH($S613,'[1]natural catastrophe'!$B$6:$B$17,0)),"?")))</f>
      </c>
      <c r="U613" s="30" t="inlineStr">
        <is>
          <t xml:space="preserve">$5,000</t>
        </is>
      </c>
      <c r="V613" s="32" t="inlineStr">
        <is>
          <t xml:space="preserve">Agreed Value</t>
        </is>
      </c>
      <c r="W613" s="30" t="inlineStr">
        <is>
          <t xml:space="preserve">$1,000</t>
        </is>
      </c>
      <c r="X613" s="32" t="inlineStr">
        <is>
          <t xml:space="preserve">$1,000,000 CSL</t>
        </is>
      </c>
      <c r="Y613" s="30"/>
      <c r="Z613" s="30"/>
      <c r="AA613" s="32" t="inlineStr">
        <is>
          <t xml:space="preserve">Surplus Lines</t>
        </is>
      </c>
      <c r="AB613" s="35">
        <v>7098.19</v>
      </c>
      <c r="AC613" s="37">
        <v>0</v>
      </c>
      <c r="AD613" s="38">
        <f>IF(ISNUMBER($AB613),$AB613*(1+N($AC613)),"")</f>
      </c>
      <c r="AE613" s="35">
        <v>350</v>
      </c>
      <c r="AF613" s="35">
        <v>0</v>
      </c>
      <c r="AG613" s="37"/>
      <c r="AH613" s="39">
        <f>IF(ISNUMBER($AD613),($AD613+$AE613+$AF613)*$AG613,"")</f>
      </c>
      <c r="AI613" s="35"/>
      <c r="AJ613" s="38">
        <f>IF(ISNUMBER($AD613),SUM($AD613:$AH613),"")</f>
      </c>
      <c r="AK613" s="40">
        <f>IF(AND(ISNUMBER($AB613),ISNUMBER($AD613)),IF($AB613&gt;0,$AD613/$AB613,""),"")</f>
      </c>
      <c r="AL613" s="32" t="inlineStr">
        <is>
          <t xml:space="preserve">At technical</t>
        </is>
      </c>
      <c r="AM613" s="41">
        <f>IF(ISNUMBER($AD613),Header!$I$3,"")</f>
      </c>
      <c r="AN613" s="39">
        <f>IF(ISNUMBER($AD613),$AO613+$AP613,"")</f>
      </c>
      <c r="AO613" s="39">
        <f>IF(ISNUMBER($AD613),ROUND($AD613*Header!$K$3,2),"")</f>
      </c>
      <c r="AP613" s="39">
        <f>IF(ISNUMBER($AD613),ROUND($AD613*Header!$M$3,2),"")</f>
      </c>
      <c r="AQ613" s="38">
        <f>IF(ISNUMBER($AD613),ROUND($AD613,2)-$AO613-$AP613,"")</f>
      </c>
      <c r="AR613" s="39">
        <f>IF(ISNUMBER($AD613),IF(Header!$D$34="","?",$AD613*Header!$D$34),"")</f>
      </c>
      <c r="AS613" s="39">
        <f>IF(ISNUMBER($AB613),IF(Header!$D$34="","?",$AB613*Header!$D$34),"")</f>
      </c>
      <c r="AT613" s="42">
        <f>IF(AND(ISNUMBER($AB613),$M613&gt;0),$AB613/$M613*100,"")</f>
      </c>
      <c r="AU613" s="42">
        <f>IF(AND(ISNUMBER($AD613),$M613&gt;0),$AD613/$M613*100,"")</f>
      </c>
      <c r="AV613" s="40">
        <f>IF(AND(ISNUMBER($AB613),ISNUMBER($AD613),ABS($AB613)&gt;0),$AD613/$AB613,"")</f>
      </c>
      <c r="AW613" s="39">
        <f>IF(ISNUMBER($AD613),MAX(0,(1-0.55-Header!$O$3)*Header!$Q$3*$AQ613),"")</f>
      </c>
      <c r="AX613" s="43">
        <f>IF($A613="","",IF(TRIM(IF($A613="","Missing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",""))="","PASS","FAIL: "&amp;TRIM(IF($A613="","Missing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f>
      </c>
      <c r="AY613" s="44">
        <f>IF($M613="","",IF(ISNUMBER($M613),IF($M613&gt;=Header!$C$18,"YES — refer","No"),""))</f>
      </c>
      <c r="AZ613" s="44">
        <f>IF($AD613="","",IF(ISNUMBER($AD613),IF($AD613&lt;Header!$C$20,"BELOW MIN PREMIUM","OK"),""))</f>
      </c>
      <c r="BA613" s="32" t="inlineStr">
        <is>
          <t xml:space="preserve">Yes</t>
        </is>
      </c>
      <c r="BB613" s="32" t="inlineStr">
        <is>
          <t xml:space="preserve">Yes</t>
        </is>
      </c>
      <c r="BC613" s="30" t="inlineStr">
        <is>
          <t xml:space="preserve">Synthetic demo data</t>
        </is>
      </c>
      <c r="BE613" s="45">
        <f>IF(OR($A613="",$L613="",$H613=""),"",IF(AND(LEFT($L613,2)="06",$H613&gt;1945),"FAIL - pre-war class, year "&amp;$H613,IF(AND(LEFT($L613,2)="07",OR($H613&lt;1946,$H613&gt;1972)),"FAIL - 1946-72 class, year "&amp;$H613,IF(AND(LEFT($L613,2)="08",OR($H613&lt;1973,$H613&gt;1999)),"FAIL - 1973-99 class, year "&amp;$H613,IF(AND(LEFT($L613,2)="09",OR($H613&lt;2000,$H613&gt;2010)),"FAIL - 2000-10 class, year "&amp;$H613,"OK")))))</f>
      </c>
      <c r="BF613" s="45">
        <f>IF($AD613="","",IF(ROUND($AO613+$AP613+$AQ613-$AD613,2)=0,"OK","FAIL - out by "&amp;TEXT($AO613+$AP613+$AQ613-$AD613,"$0.00")))</f>
      </c>
    </row>
    <row r="614" spans="1:58" ht="18.75" customHeight="1" x14ac:dyDescent="0.25">
      <c r="A614" s="46" t="inlineStr">
        <is>
          <t xml:space="preserve">CANON-202604-007419</t>
        </is>
      </c>
      <c r="B614" s="46" t="inlineStr">
        <is>
          <t xml:space="preserve">Ottilie Harrington</t>
        </is>
      </c>
      <c r="C614" s="47">
        <v>46138</v>
      </c>
      <c r="D614" s="48" t="inlineStr">
        <is>
          <t xml:space="preserve">Bound - within authority</t>
        </is>
      </c>
      <c r="E614" s="48" t="inlineStr">
        <is>
          <t xml:space="preserve">New business</t>
        </is>
      </c>
      <c r="F614" s="46" t="inlineStr">
        <is>
          <t xml:space="preserve">B1234EXOTIC26</t>
        </is>
      </c>
      <c r="G614" s="33">
        <f>IF($A614="","",IF($C614="","",YEAR($C614)))</f>
      </c>
      <c r="H614" s="49">
        <v>2022</v>
      </c>
      <c r="I614" s="46" t="inlineStr">
        <is>
          <t xml:space="preserve">Porsche</t>
        </is>
      </c>
      <c r="J614" s="46" t="inlineStr">
        <is>
          <t xml:space="preserve">911 Turbo S</t>
        </is>
      </c>
      <c r="K614" s="46" t="inlineStr">
        <is>
          <t xml:space="preserve">2W26F438HUHSP6KF5</t>
        </is>
      </c>
      <c r="L614" s="48" t="inlineStr">
        <is>
          <t xml:space="preserve">02 - Sports / GT</t>
        </is>
      </c>
      <c r="M614" s="50">
        <v>405000</v>
      </c>
      <c r="N614" s="48" t="inlineStr">
        <is>
          <t xml:space="preserve">Personal</t>
        </is>
      </c>
      <c r="O614" s="46" t="inlineStr">
        <is>
          <t xml:space="preserve">Personal - regular use</t>
        </is>
      </c>
      <c r="P614" s="46" t="inlineStr">
        <is>
          <t xml:space="preserve">2,500 - 5,000</t>
        </is>
      </c>
      <c r="Q614" s="46" t="inlineStr">
        <is>
          <t xml:space="preserve">Massachusetts</t>
        </is>
      </c>
      <c r="R614" s="46" t="inlineStr">
        <is>
          <t xml:space="preserve">02108</t>
        </is>
      </c>
      <c r="S614" s="48" t="inlineStr">
        <is>
          <t xml:space="preserve">Tier 3 - Coastal wind (25-100 miles)</t>
        </is>
      </c>
      <c r="T614" s="36">
        <f>IF($A614="","",IF($S614="","",IFERROR(INDEX('[1]natural catastrophe'!$D$6:$D$17,MATCH($S614,'[1]natural catastrophe'!$B$6:$B$17,0)),"?")))</f>
      </c>
      <c r="U614" s="46" t="inlineStr">
        <is>
          <t xml:space="preserve">2% of agreed value, minimum $10,000</t>
        </is>
      </c>
      <c r="V614" s="48" t="inlineStr">
        <is>
          <t xml:space="preserve">Agreed Value</t>
        </is>
      </c>
      <c r="W614" s="46" t="inlineStr">
        <is>
          <t xml:space="preserve">$1,000</t>
        </is>
      </c>
      <c r="X614" s="48" t="inlineStr">
        <is>
          <t xml:space="preserve">$1,000,000 CSL</t>
        </is>
      </c>
      <c r="Y614" s="46"/>
      <c r="Z614" s="46"/>
      <c r="AA614" s="48" t="inlineStr">
        <is>
          <t xml:space="preserve">Surplus Lines</t>
        </is>
      </c>
      <c r="AB614" s="50">
        <v>5949.64</v>
      </c>
      <c r="AC614" s="51">
        <v>0</v>
      </c>
      <c r="AD614" s="38">
        <f>IF(ISNUMBER($AB614),$AB614*(1+N($AC614)),"")</f>
      </c>
      <c r="AE614" s="50">
        <v>350</v>
      </c>
      <c r="AF614" s="50">
        <v>0</v>
      </c>
      <c r="AG614" s="51"/>
      <c r="AH614" s="39">
        <f>IF(ISNUMBER($AD614),($AD614+$AE614+$AF614)*$AG614,"")</f>
      </c>
      <c r="AI614" s="50"/>
      <c r="AJ614" s="38">
        <f>IF(ISNUMBER($AD614),SUM($AD614:$AH614),"")</f>
      </c>
      <c r="AK614" s="40">
        <f>IF(AND(ISNUMBER($AB614),ISNUMBER($AD614)),IF($AB614&gt;0,$AD614/$AB614,""),"")</f>
      </c>
      <c r="AL614" s="48" t="inlineStr">
        <is>
          <t xml:space="preserve">At technical</t>
        </is>
      </c>
      <c r="AM614" s="41">
        <f>IF(ISNUMBER($AD614),Header!$I$3,"")</f>
      </c>
      <c r="AN614" s="39">
        <f>IF(ISNUMBER($AD614),$AO614+$AP614,"")</f>
      </c>
      <c r="AO614" s="39">
        <f>IF(ISNUMBER($AD614),ROUND($AD614*Header!$K$3,2),"")</f>
      </c>
      <c r="AP614" s="39">
        <f>IF(ISNUMBER($AD614),ROUND($AD614*Header!$M$3,2),"")</f>
      </c>
      <c r="AQ614" s="38">
        <f>IF(ISNUMBER($AD614),ROUND($AD614,2)-$AO614-$AP614,"")</f>
      </c>
      <c r="AR614" s="39">
        <f>IF(ISNUMBER($AD614),IF(Header!$D$34="","?",$AD614*Header!$D$34),"")</f>
      </c>
      <c r="AS614" s="39">
        <f>IF(ISNUMBER($AB614),IF(Header!$D$34="","?",$AB614*Header!$D$34),"")</f>
      </c>
      <c r="AT614" s="42">
        <f>IF(AND(ISNUMBER($AB614),$M614&gt;0),$AB614/$M614*100,"")</f>
      </c>
      <c r="AU614" s="42">
        <f>IF(AND(ISNUMBER($AD614),$M614&gt;0),$AD614/$M614*100,"")</f>
      </c>
      <c r="AV614" s="40">
        <f>IF(AND(ISNUMBER($AB614),ISNUMBER($AD614),ABS($AB614)&gt;0),$AD614/$AB614,"")</f>
      </c>
      <c r="AW614" s="39">
        <f>IF(ISNUMBER($AD614),MAX(0,(1-0.55-Header!$O$3)*Header!$Q$3*$AQ614),"")</f>
      </c>
      <c r="AX614" s="43">
        <f>IF($A614="","",IF(TRIM(IF($A614="","Missing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",""))="","PASS","FAIL: "&amp;TRIM(IF($A614="","Missing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f>
      </c>
      <c r="AY614" s="44">
        <f>IF($M614="","",IF(ISNUMBER($M614),IF($M614&gt;=Header!$C$18,"YES — refer","No"),""))</f>
      </c>
      <c r="AZ614" s="44">
        <f>IF($AD614="","",IF(ISNUMBER($AD614),IF($AD614&lt;Header!$C$20,"BELOW MIN PREMIUM","OK"),""))</f>
      </c>
      <c r="BA614" s="48" t="inlineStr">
        <is>
          <t xml:space="preserve">Yes</t>
        </is>
      </c>
      <c r="BB614" s="48" t="inlineStr">
        <is>
          <t xml:space="preserve">Yes</t>
        </is>
      </c>
      <c r="BC614" s="46" t="inlineStr">
        <is>
          <t xml:space="preserve">Synthetic demo data</t>
        </is>
      </c>
      <c r="BE614" s="45">
        <f>IF(OR($A614="",$L614="",$H614=""),"",IF(AND(LEFT($L614,2)="06",$H614&gt;1945),"FAIL - pre-war class, year "&amp;$H614,IF(AND(LEFT($L614,2)="07",OR($H614&lt;1946,$H614&gt;1972)),"FAIL - 1946-72 class, year "&amp;$H614,IF(AND(LEFT($L614,2)="08",OR($H614&lt;1973,$H614&gt;1999)),"FAIL - 1973-99 class, year "&amp;$H614,IF(AND(LEFT($L614,2)="09",OR($H614&lt;2000,$H614&gt;2010)),"FAIL - 2000-10 class, year "&amp;$H614,"OK")))))</f>
      </c>
      <c r="BF614" s="45">
        <f>IF($AD614="","",IF(ROUND($AO614+$AP614+$AQ614-$AD614,2)=0,"OK","FAIL - out by "&amp;TEXT($AO614+$AP614+$AQ614-$AD614,"$0.00")))</f>
      </c>
    </row>
    <row r="615" spans="1:58" ht="18.75" customHeight="1" x14ac:dyDescent="0.25">
      <c r="A615" s="30" t="inlineStr">
        <is>
          <t xml:space="preserve">CANON-202604-007420</t>
        </is>
      </c>
      <c r="B615" s="30" t="inlineStr">
        <is>
          <t xml:space="preserve">Everett Delacroix</t>
        </is>
      </c>
      <c r="C615" s="31">
        <v>46121</v>
      </c>
      <c r="D615" s="32" t="inlineStr">
        <is>
          <t xml:space="preserve">Bound - within authority</t>
        </is>
      </c>
      <c r="E615" s="32" t="inlineStr">
        <is>
          <t xml:space="preserve">New business</t>
        </is>
      </c>
      <c r="F615" s="30" t="inlineStr">
        <is>
          <t xml:space="preserve">B1234EXOTIC26</t>
        </is>
      </c>
      <c r="G615" s="33">
        <f>IF($A615="","",IF($C615="","",YEAR($C615)))</f>
      </c>
      <c r="H615" s="34">
        <v>2010</v>
      </c>
      <c r="I615" s="30" t="inlineStr">
        <is>
          <t xml:space="preserve">Ferrari</t>
        </is>
      </c>
      <c r="J615" s="30" t="inlineStr">
        <is>
          <t xml:space="preserve">275 GTB/4</t>
        </is>
      </c>
      <c r="K615" s="30" t="inlineStr">
        <is>
          <t xml:space="preserve">3ML5F3FB5FNV59N7M</t>
        </is>
      </c>
      <c r="L615" s="32" t="inlineStr">
        <is>
          <t xml:space="preserve">09 - Youngtimer / Collectible (2000-2010)</t>
        </is>
      </c>
      <c r="M615" s="35">
        <v>230000</v>
      </c>
      <c r="N615" s="32" t="inlineStr">
        <is>
          <t xml:space="preserve">Personal</t>
        </is>
      </c>
      <c r="O615" s="30" t="inlineStr">
        <is>
          <t xml:space="preserve">Personal - regular use</t>
        </is>
      </c>
      <c r="P615" s="30" t="inlineStr">
        <is>
          <t xml:space="preserve">2,500 - 5,000</t>
        </is>
      </c>
      <c r="Q615" s="30" t="inlineStr">
        <is>
          <t xml:space="preserve">South Carolina</t>
        </is>
      </c>
      <c r="R615" s="30" t="inlineStr">
        <is>
          <t xml:space="preserve">29401</t>
        </is>
      </c>
      <c r="S615" s="32" t="inlineStr">
        <is>
          <t xml:space="preserve">Tier 2 - Coastal wind (1-25 miles)</t>
        </is>
      </c>
      <c r="T615" s="36">
        <f>IF($A615="","",IF($S615="","",IFERROR(INDEX('[1]natural catastrophe'!$D$6:$D$17,MATCH($S615,'[1]natural catastrophe'!$B$6:$B$17,0)),"?")))</f>
      </c>
      <c r="U615" s="30" t="inlineStr">
        <is>
          <t xml:space="preserve">2% of agreed value, minimum $10,000</t>
        </is>
      </c>
      <c r="V615" s="32" t="inlineStr">
        <is>
          <t xml:space="preserve">Agreed Value</t>
        </is>
      </c>
      <c r="W615" s="30" t="inlineStr">
        <is>
          <t xml:space="preserve">$1,000</t>
        </is>
      </c>
      <c r="X615" s="32" t="inlineStr">
        <is>
          <t xml:space="preserve">$1,000,000 CSL</t>
        </is>
      </c>
      <c r="Y615" s="30"/>
      <c r="Z615" s="30"/>
      <c r="AA615" s="32" t="inlineStr">
        <is>
          <t xml:space="preserve">Surplus Lines</t>
        </is>
      </c>
      <c r="AB615" s="35">
        <v>2547.35</v>
      </c>
      <c r="AC615" s="37">
        <v>0</v>
      </c>
      <c r="AD615" s="38">
        <f>IF(ISNUMBER($AB615),$AB615*(1+N($AC615)),"")</f>
      </c>
      <c r="AE615" s="35">
        <v>350</v>
      </c>
      <c r="AF615" s="35">
        <v>0</v>
      </c>
      <c r="AG615" s="37"/>
      <c r="AH615" s="39">
        <f>IF(ISNUMBER($AD615),($AD615+$AE615+$AF615)*$AG615,"")</f>
      </c>
      <c r="AI615" s="35"/>
      <c r="AJ615" s="38">
        <f>IF(ISNUMBER($AD615),SUM($AD615:$AH615),"")</f>
      </c>
      <c r="AK615" s="40">
        <f>IF(AND(ISNUMBER($AB615),ISNUMBER($AD615)),IF($AB615&gt;0,$AD615/$AB615,""),"")</f>
      </c>
      <c r="AL615" s="32" t="inlineStr">
        <is>
          <t xml:space="preserve">At technical</t>
        </is>
      </c>
      <c r="AM615" s="41">
        <f>IF(ISNUMBER($AD615),Header!$I$3,"")</f>
      </c>
      <c r="AN615" s="39">
        <f>IF(ISNUMBER($AD615),$AO615+$AP615,"")</f>
      </c>
      <c r="AO615" s="39">
        <f>IF(ISNUMBER($AD615),ROUND($AD615*Header!$K$3,2),"")</f>
      </c>
      <c r="AP615" s="39">
        <f>IF(ISNUMBER($AD615),ROUND($AD615*Header!$M$3,2),"")</f>
      </c>
      <c r="AQ615" s="38">
        <f>IF(ISNUMBER($AD615),ROUND($AD615,2)-$AO615-$AP615,"")</f>
      </c>
      <c r="AR615" s="39">
        <f>IF(ISNUMBER($AD615),IF(Header!$D$34="","?",$AD615*Header!$D$34),"")</f>
      </c>
      <c r="AS615" s="39">
        <f>IF(ISNUMBER($AB615),IF(Header!$D$34="","?",$AB615*Header!$D$34),"")</f>
      </c>
      <c r="AT615" s="42">
        <f>IF(AND(ISNUMBER($AB615),$M615&gt;0),$AB615/$M615*100,"")</f>
      </c>
      <c r="AU615" s="42">
        <f>IF(AND(ISNUMBER($AD615),$M615&gt;0),$AD615/$M615*100,"")</f>
      </c>
      <c r="AV615" s="40">
        <f>IF(AND(ISNUMBER($AB615),ISNUMBER($AD615),ABS($AB615)&gt;0),$AD615/$AB615,"")</f>
      </c>
      <c r="AW615" s="39">
        <f>IF(ISNUMBER($AD615),MAX(0,(1-0.55-Header!$O$3)*Header!$Q$3*$AQ615),"")</f>
      </c>
      <c r="AX615" s="43">
        <f>IF($A615="","",IF(TRIM(IF($A615="","Missing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",""))="","PASS","FAIL: "&amp;TRIM(IF($A615="","Missing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f>
      </c>
      <c r="AY615" s="44">
        <f>IF($M615="","",IF(ISNUMBER($M615),IF($M615&gt;=Header!$C$18,"YES — refer","No"),""))</f>
      </c>
      <c r="AZ615" s="44">
        <f>IF($AD615="","",IF(ISNUMBER($AD615),IF($AD615&lt;Header!$C$20,"BELOW MIN PREMIUM","OK"),""))</f>
      </c>
      <c r="BA615" s="32" t="inlineStr">
        <is>
          <t xml:space="preserve">Yes</t>
        </is>
      </c>
      <c r="BB615" s="32" t="inlineStr">
        <is>
          <t xml:space="preserve">Yes</t>
        </is>
      </c>
      <c r="BC615" s="30" t="inlineStr">
        <is>
          <t xml:space="preserve">Synthetic demo data</t>
        </is>
      </c>
      <c r="BE615" s="45">
        <f>IF(OR($A615="",$L615="",$H615=""),"",IF(AND(LEFT($L615,2)="06",$H615&gt;1945),"FAIL - pre-war class, year "&amp;$H615,IF(AND(LEFT($L615,2)="07",OR($H615&lt;1946,$H615&gt;1972)),"FAIL - 1946-72 class, year "&amp;$H615,IF(AND(LEFT($L615,2)="08",OR($H615&lt;1973,$H615&gt;1999)),"FAIL - 1973-99 class, year "&amp;$H615,IF(AND(LEFT($L615,2)="09",OR($H615&lt;2000,$H615&gt;2010)),"FAIL - 2000-10 class, year "&amp;$H615,"OK")))))</f>
      </c>
      <c r="BF615" s="45">
        <f>IF($AD615="","",IF(ROUND($AO615+$AP615+$AQ615-$AD615,2)=0,"OK","FAIL - out by "&amp;TEXT($AO615+$AP615+$AQ615-$AD615,"$0.00")))</f>
      </c>
    </row>
    <row r="616" spans="1:58" ht="18.75" customHeight="1" x14ac:dyDescent="0.25">
      <c r="A616" s="46" t="inlineStr">
        <is>
          <t xml:space="preserve">CANON-202604-007422</t>
        </is>
      </c>
      <c r="B616" s="46" t="inlineStr">
        <is>
          <t xml:space="preserve">Beatrix Blackwood</t>
        </is>
      </c>
      <c r="C616" s="47">
        <v>46120</v>
      </c>
      <c r="D616" s="48" t="inlineStr">
        <is>
          <t xml:space="preserve">Bound - within authority</t>
        </is>
      </c>
      <c r="E616" s="48" t="inlineStr">
        <is>
          <t xml:space="preserve">New business</t>
        </is>
      </c>
      <c r="F616" s="46" t="inlineStr">
        <is>
          <t xml:space="preserve">B1234EXOTIC26</t>
        </is>
      </c>
      <c r="G616" s="33">
        <f>IF($A616="","",IF($C616="","",YEAR($C616)))</f>
      </c>
      <c r="H616" s="49">
        <v>1965</v>
      </c>
      <c r="I616" s="46" t="inlineStr">
        <is>
          <t xml:space="preserve">Maserati</t>
        </is>
      </c>
      <c r="J616" s="46" t="inlineStr">
        <is>
          <t xml:space="preserve">GranTurismo</t>
        </is>
      </c>
      <c r="K616" s="46" t="inlineStr">
        <is>
          <t xml:space="preserve">YBZAWJ660JNVHJ9YH</t>
        </is>
      </c>
      <c r="L616" s="48" t="inlineStr">
        <is>
          <t xml:space="preserve">02 - Sports / GT</t>
        </is>
      </c>
      <c r="M616" s="50">
        <v>520000</v>
      </c>
      <c r="N616" s="48" t="inlineStr">
        <is>
          <t xml:space="preserve">Personal</t>
        </is>
      </c>
      <c r="O616" s="46" t="inlineStr">
        <is>
          <t xml:space="preserve">Personal - regular use</t>
        </is>
      </c>
      <c r="P616" s="46" t="inlineStr">
        <is>
          <t xml:space="preserve">1,000 - 2,500</t>
        </is>
      </c>
      <c r="Q616" s="46" t="inlineStr">
        <is>
          <t xml:space="preserve">Virginia</t>
        </is>
      </c>
      <c r="R616" s="46" t="inlineStr">
        <is>
          <t xml:space="preserve">23219</t>
        </is>
      </c>
      <c r="S616" s="48" t="inlineStr">
        <is>
          <t xml:space="preserve">Tier 3 - Coastal wind (25-100 miles)</t>
        </is>
      </c>
      <c r="T616" s="36">
        <f>IF($A616="","",IF($S616="","",IFERROR(INDEX('[1]natural catastrophe'!$D$6:$D$17,MATCH($S616,'[1]natural catastrophe'!$B$6:$B$17,0)),"?")))</f>
      </c>
      <c r="U616" s="46" t="inlineStr">
        <is>
          <t xml:space="preserve">2% of agreed value, minimum $10,000</t>
        </is>
      </c>
      <c r="V616" s="48" t="inlineStr">
        <is>
          <t xml:space="preserve">Agreed Value</t>
        </is>
      </c>
      <c r="W616" s="46" t="inlineStr">
        <is>
          <t xml:space="preserve">$1,000</t>
        </is>
      </c>
      <c r="X616" s="48" t="inlineStr">
        <is>
          <t xml:space="preserve">$1,000,000 CSL</t>
        </is>
      </c>
      <c r="Y616" s="46"/>
      <c r="Z616" s="46"/>
      <c r="AA616" s="48" t="inlineStr">
        <is>
          <t xml:space="preserve">Surplus Lines</t>
        </is>
      </c>
      <c r="AB616" s="50">
        <v>5773.07</v>
      </c>
      <c r="AC616" s="51">
        <v>0</v>
      </c>
      <c r="AD616" s="38">
        <f>IF(ISNUMBER($AB616),$AB616*(1+N($AC616)),"")</f>
      </c>
      <c r="AE616" s="50">
        <v>350</v>
      </c>
      <c r="AF616" s="50">
        <v>0</v>
      </c>
      <c r="AG616" s="51"/>
      <c r="AH616" s="39">
        <f>IF(ISNUMBER($AD616),($AD616+$AE616+$AF616)*$AG616,"")</f>
      </c>
      <c r="AI616" s="50"/>
      <c r="AJ616" s="38">
        <f>IF(ISNUMBER($AD616),SUM($AD616:$AH616),"")</f>
      </c>
      <c r="AK616" s="40">
        <f>IF(AND(ISNUMBER($AB616),ISNUMBER($AD616)),IF($AB616&gt;0,$AD616/$AB616,""),"")</f>
      </c>
      <c r="AL616" s="48" t="inlineStr">
        <is>
          <t xml:space="preserve">At technical</t>
        </is>
      </c>
      <c r="AM616" s="41">
        <f>IF(ISNUMBER($AD616),Header!$I$3,"")</f>
      </c>
      <c r="AN616" s="39">
        <f>IF(ISNUMBER($AD616),$AO616+$AP616,"")</f>
      </c>
      <c r="AO616" s="39">
        <f>IF(ISNUMBER($AD616),ROUND($AD616*Header!$K$3,2),"")</f>
      </c>
      <c r="AP616" s="39">
        <f>IF(ISNUMBER($AD616),ROUND($AD616*Header!$M$3,2),"")</f>
      </c>
      <c r="AQ616" s="38">
        <f>IF(ISNUMBER($AD616),ROUND($AD616,2)-$AO616-$AP616,"")</f>
      </c>
      <c r="AR616" s="39">
        <f>IF(ISNUMBER($AD616),IF(Header!$D$34="","?",$AD616*Header!$D$34),"")</f>
      </c>
      <c r="AS616" s="39">
        <f>IF(ISNUMBER($AB616),IF(Header!$D$34="","?",$AB616*Header!$D$34),"")</f>
      </c>
      <c r="AT616" s="42">
        <f>IF(AND(ISNUMBER($AB616),$M616&gt;0),$AB616/$M616*100,"")</f>
      </c>
      <c r="AU616" s="42">
        <f>IF(AND(ISNUMBER($AD616),$M616&gt;0),$AD616/$M616*100,"")</f>
      </c>
      <c r="AV616" s="40">
        <f>IF(AND(ISNUMBER($AB616),ISNUMBER($AD616),ABS($AB616)&gt;0),$AD616/$AB616,"")</f>
      </c>
      <c r="AW616" s="39">
        <f>IF(ISNUMBER($AD616),MAX(0,(1-0.55-Header!$O$3)*Header!$Q$3*$AQ616),"")</f>
      </c>
      <c r="AX616" s="43">
        <f>IF($A616="","",IF(TRIM(IF($A616="","Missing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",""))="","PASS","FAIL: "&amp;TRIM(IF($A616="","Missing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f>
      </c>
      <c r="AY616" s="44">
        <f>IF($M616="","",IF(ISNUMBER($M616),IF($M616&gt;=Header!$C$18,"YES — refer","No"),""))</f>
      </c>
      <c r="AZ616" s="44">
        <f>IF($AD616="","",IF(ISNUMBER($AD616),IF($AD616&lt;Header!$C$20,"BELOW MIN PREMIUM","OK"),""))</f>
      </c>
      <c r="BA616" s="48" t="inlineStr">
        <is>
          <t xml:space="preserve">Yes</t>
        </is>
      </c>
      <c r="BB616" s="48" t="inlineStr">
        <is>
          <t xml:space="preserve">Yes</t>
        </is>
      </c>
      <c r="BC616" s="46" t="inlineStr">
        <is>
          <t xml:space="preserve">Synthetic demo data</t>
        </is>
      </c>
      <c r="BE616" s="45">
        <f>IF(OR($A616="",$L616="",$H616=""),"",IF(AND(LEFT($L616,2)="06",$H616&gt;1945),"FAIL - pre-war class, year "&amp;$H616,IF(AND(LEFT($L616,2)="07",OR($H616&lt;1946,$H616&gt;1972)),"FAIL - 1946-72 class, year "&amp;$H616,IF(AND(LEFT($L616,2)="08",OR($H616&lt;1973,$H616&gt;1999)),"FAIL - 1973-99 class, year "&amp;$H616,IF(AND(LEFT($L616,2)="09",OR($H616&lt;2000,$H616&gt;2010)),"FAIL - 2000-10 class, year "&amp;$H616,"OK")))))</f>
      </c>
      <c r="BF616" s="45">
        <f>IF($AD616="","",IF(ROUND($AO616+$AP616+$AQ616-$AD616,2)=0,"OK","FAIL - out by "&amp;TEXT($AO616+$AP616+$AQ616-$AD616,"$0.00")))</f>
      </c>
    </row>
    <row r="617" spans="1:58" ht="18.75" customHeight="1" x14ac:dyDescent="0.25">
      <c r="A617" s="30" t="inlineStr">
        <is>
          <t xml:space="preserve">CANON-202604-007423</t>
        </is>
      </c>
      <c r="B617" s="30" t="inlineStr">
        <is>
          <t xml:space="preserve">Callum Merriweather</t>
        </is>
      </c>
      <c r="C617" s="31">
        <v>46142</v>
      </c>
      <c r="D617" s="32" t="inlineStr">
        <is>
          <t xml:space="preserve">Bound - within authority</t>
        </is>
      </c>
      <c r="E617" s="32" t="inlineStr">
        <is>
          <t xml:space="preserve">New business</t>
        </is>
      </c>
      <c r="F617" s="30" t="inlineStr">
        <is>
          <t xml:space="preserve">B1234EXOTIC26</t>
        </is>
      </c>
      <c r="G617" s="33">
        <f>IF($A617="","",IF($C617="","",YEAR($C617)))</f>
      </c>
      <c r="H617" s="34">
        <v>2004</v>
      </c>
      <c r="I617" s="30" t="inlineStr">
        <is>
          <t xml:space="preserve">Bentley</t>
        </is>
      </c>
      <c r="J617" s="30" t="inlineStr">
        <is>
          <t xml:space="preserve">Continental GT</t>
        </is>
      </c>
      <c r="K617" s="30" t="inlineStr">
        <is>
          <t xml:space="preserve">UWTE2S4U1JAN9VE2G</t>
        </is>
      </c>
      <c r="L617" s="32" t="inlineStr">
        <is>
          <t xml:space="preserve">02 - Sports / GT</t>
        </is>
      </c>
      <c r="M617" s="35">
        <v>900000</v>
      </c>
      <c r="N617" s="32" t="inlineStr">
        <is>
          <t xml:space="preserve">Personal</t>
        </is>
      </c>
      <c r="O617" s="30" t="inlineStr">
        <is>
          <t xml:space="preserve">Personal - regular use</t>
        </is>
      </c>
      <c r="P617" s="30" t="inlineStr">
        <is>
          <t xml:space="preserve">1,000 - 2,500</t>
        </is>
      </c>
      <c r="Q617" s="30" t="inlineStr">
        <is>
          <t xml:space="preserve">South Dakota</t>
        </is>
      </c>
      <c r="R617" s="30" t="inlineStr">
        <is>
          <t xml:space="preserve">57501</t>
        </is>
      </c>
      <c r="S617" s="32" t="inlineStr">
        <is>
          <t xml:space="preserve">Severe convective - hail alley (high)</t>
        </is>
      </c>
      <c r="T617" s="36">
        <f>IF($A617="","",IF($S617="","",IFERROR(INDEX('[1]natural catastrophe'!$D$6:$D$17,MATCH($S617,'[1]natural catastrophe'!$B$6:$B$17,0)),"?")))</f>
      </c>
      <c r="U617" s="30" t="inlineStr">
        <is>
          <t xml:space="preserve">$5,000</t>
        </is>
      </c>
      <c r="V617" s="32" t="inlineStr">
        <is>
          <t xml:space="preserve">Agreed Value</t>
        </is>
      </c>
      <c r="W617" s="30" t="inlineStr">
        <is>
          <t xml:space="preserve">$1,000</t>
        </is>
      </c>
      <c r="X617" s="32" t="inlineStr">
        <is>
          <t xml:space="preserve">$1,000,000 CSL</t>
        </is>
      </c>
      <c r="Y617" s="30"/>
      <c r="Z617" s="30"/>
      <c r="AA617" s="32" t="inlineStr">
        <is>
          <t xml:space="preserve">Surplus Lines</t>
        </is>
      </c>
      <c r="AB617" s="35">
        <v>10175.19</v>
      </c>
      <c r="AC617" s="37">
        <v>0</v>
      </c>
      <c r="AD617" s="38">
        <f>IF(ISNUMBER($AB617),$AB617*(1+N($AC617)),"")</f>
      </c>
      <c r="AE617" s="35">
        <v>350</v>
      </c>
      <c r="AF617" s="35">
        <v>0</v>
      </c>
      <c r="AG617" s="37"/>
      <c r="AH617" s="39">
        <f>IF(ISNUMBER($AD617),($AD617+$AE617+$AF617)*$AG617,"")</f>
      </c>
      <c r="AI617" s="35"/>
      <c r="AJ617" s="38">
        <f>IF(ISNUMBER($AD617),SUM($AD617:$AH617),"")</f>
      </c>
      <c r="AK617" s="40">
        <f>IF(AND(ISNUMBER($AB617),ISNUMBER($AD617)),IF($AB617&gt;0,$AD617/$AB617,""),"")</f>
      </c>
      <c r="AL617" s="32" t="inlineStr">
        <is>
          <t xml:space="preserve">At technical</t>
        </is>
      </c>
      <c r="AM617" s="41">
        <f>IF(ISNUMBER($AD617),Header!$I$3,"")</f>
      </c>
      <c r="AN617" s="39">
        <f>IF(ISNUMBER($AD617),$AO617+$AP617,"")</f>
      </c>
      <c r="AO617" s="39">
        <f>IF(ISNUMBER($AD617),ROUND($AD617*Header!$K$3,2),"")</f>
      </c>
      <c r="AP617" s="39">
        <f>IF(ISNUMBER($AD617),ROUND($AD617*Header!$M$3,2),"")</f>
      </c>
      <c r="AQ617" s="38">
        <f>IF(ISNUMBER($AD617),ROUND($AD617,2)-$AO617-$AP617,"")</f>
      </c>
      <c r="AR617" s="39">
        <f>IF(ISNUMBER($AD617),IF(Header!$D$34="","?",$AD617*Header!$D$34),"")</f>
      </c>
      <c r="AS617" s="39">
        <f>IF(ISNUMBER($AB617),IF(Header!$D$34="","?",$AB617*Header!$D$34),"")</f>
      </c>
      <c r="AT617" s="42">
        <f>IF(AND(ISNUMBER($AB617),$M617&gt;0),$AB617/$M617*100,"")</f>
      </c>
      <c r="AU617" s="42">
        <f>IF(AND(ISNUMBER($AD617),$M617&gt;0),$AD617/$M617*100,"")</f>
      </c>
      <c r="AV617" s="40">
        <f>IF(AND(ISNUMBER($AB617),ISNUMBER($AD617),ABS($AB617)&gt;0),$AD617/$AB617,"")</f>
      </c>
      <c r="AW617" s="39">
        <f>IF(ISNUMBER($AD617),MAX(0,(1-0.55-Header!$O$3)*Header!$Q$3*$AQ617),"")</f>
      </c>
      <c r="AX617" s="43">
        <f>IF($A617="","",IF(TRIM(IF($A617="","Missing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",""))="","PASS","FAIL: "&amp;TRIM(IF($A617="","Missing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f>
      </c>
      <c r="AY617" s="44">
        <f>IF($M617="","",IF(ISNUMBER($M617),IF($M617&gt;=Header!$C$18,"YES — refer","No"),""))</f>
      </c>
      <c r="AZ617" s="44">
        <f>IF($AD617="","",IF(ISNUMBER($AD617),IF($AD617&lt;Header!$C$20,"BELOW MIN PREMIUM","OK"),""))</f>
      </c>
      <c r="BA617" s="32" t="inlineStr">
        <is>
          <t xml:space="preserve">Yes</t>
        </is>
      </c>
      <c r="BB617" s="32" t="inlineStr">
        <is>
          <t xml:space="preserve">Yes</t>
        </is>
      </c>
      <c r="BC617" s="30" t="inlineStr">
        <is>
          <t xml:space="preserve">Synthetic demo data</t>
        </is>
      </c>
      <c r="BE617" s="45">
        <f>IF(OR($A617="",$L617="",$H617=""),"",IF(AND(LEFT($L617,2)="06",$H617&gt;1945),"FAIL - pre-war class, year "&amp;$H617,IF(AND(LEFT($L617,2)="07",OR($H617&lt;1946,$H617&gt;1972)),"FAIL - 1946-72 class, year "&amp;$H617,IF(AND(LEFT($L617,2)="08",OR($H617&lt;1973,$H617&gt;1999)),"FAIL - 1973-99 class, year "&amp;$H617,IF(AND(LEFT($L617,2)="09",OR($H617&lt;2000,$H617&gt;2010)),"FAIL - 2000-10 class, year "&amp;$H617,"OK")))))</f>
      </c>
      <c r="BF617" s="45">
        <f>IF($AD617="","",IF(ROUND($AO617+$AP617+$AQ617-$AD617,2)=0,"OK","FAIL - out by "&amp;TEXT($AO617+$AP617+$AQ617-$AD617,"$0.00")))</f>
      </c>
    </row>
    <row r="618" spans="1:58" ht="18.75" customHeight="1" x14ac:dyDescent="0.25">
      <c r="A618" s="46" t="inlineStr">
        <is>
          <t xml:space="preserve">CANON-202604-007425</t>
        </is>
      </c>
      <c r="B618" s="46" t="inlineStr">
        <is>
          <t xml:space="preserve">Leopold Fairweather</t>
        </is>
      </c>
      <c r="C618" s="47">
        <v>46139</v>
      </c>
      <c r="D618" s="48" t="inlineStr">
        <is>
          <t xml:space="preserve">Bound - within authority</t>
        </is>
      </c>
      <c r="E618" s="48" t="inlineStr">
        <is>
          <t xml:space="preserve">New business</t>
        </is>
      </c>
      <c r="F618" s="46" t="inlineStr">
        <is>
          <t xml:space="preserve">B1234EXOTIC26</t>
        </is>
      </c>
      <c r="G618" s="33">
        <f>IF($A618="","",IF($C618="","",YEAR($C618)))</f>
      </c>
      <c r="H618" s="49">
        <v>1969</v>
      </c>
      <c r="I618" s="46" t="inlineStr">
        <is>
          <t xml:space="preserve">Maserati</t>
        </is>
      </c>
      <c r="J618" s="46" t="inlineStr">
        <is>
          <t xml:space="preserve">GranTurismo</t>
        </is>
      </c>
      <c r="K618" s="46" t="inlineStr">
        <is>
          <t xml:space="preserve">2Y0S3520HNLJU3U4N</t>
        </is>
      </c>
      <c r="L618" s="48" t="inlineStr">
        <is>
          <t xml:space="preserve">02 - Sports / GT</t>
        </is>
      </c>
      <c r="M618" s="50">
        <v>410000</v>
      </c>
      <c r="N618" s="48" t="inlineStr">
        <is>
          <t xml:space="preserve">Personal</t>
        </is>
      </c>
      <c r="O618" s="46" t="inlineStr">
        <is>
          <t xml:space="preserve">Personal - regular use</t>
        </is>
      </c>
      <c r="P618" s="46" t="inlineStr">
        <is>
          <t xml:space="preserve">Under 1,000</t>
        </is>
      </c>
      <c r="Q618" s="46" t="inlineStr">
        <is>
          <t xml:space="preserve">Arkansas</t>
        </is>
      </c>
      <c r="R618" s="46" t="inlineStr">
        <is>
          <t xml:space="preserve">72201</t>
        </is>
      </c>
      <c r="S618" s="48" t="inlineStr">
        <is>
          <t xml:space="preserve">Severe convective - hail / tornado (moderate)</t>
        </is>
      </c>
      <c r="T618" s="36">
        <f>IF($A618="","",IF($S618="","",IFERROR(INDEX('[1]natural catastrophe'!$D$6:$D$17,MATCH($S618,'[1]natural catastrophe'!$B$6:$B$17,0)),"?")))</f>
      </c>
      <c r="U618" s="46" t="inlineStr">
        <is>
          <t xml:space="preserve">$5,000</t>
        </is>
      </c>
      <c r="V618" s="48" t="inlineStr">
        <is>
          <t xml:space="preserve">Agreed Value</t>
        </is>
      </c>
      <c r="W618" s="46" t="inlineStr">
        <is>
          <t xml:space="preserve">$1,000</t>
        </is>
      </c>
      <c r="X618" s="48" t="inlineStr">
        <is>
          <t xml:space="preserve">$1,000,000 CSL</t>
        </is>
      </c>
      <c r="Y618" s="46"/>
      <c r="Z618" s="46"/>
      <c r="AA618" s="48" t="inlineStr">
        <is>
          <t xml:space="preserve">Surplus Lines</t>
        </is>
      </c>
      <c r="AB618" s="50">
        <v>6649.48</v>
      </c>
      <c r="AC618" s="51">
        <v>0</v>
      </c>
      <c r="AD618" s="38">
        <f>IF(ISNUMBER($AB618),$AB618*(1+N($AC618)),"")</f>
      </c>
      <c r="AE618" s="50">
        <v>350</v>
      </c>
      <c r="AF618" s="50">
        <v>0</v>
      </c>
      <c r="AG618" s="51"/>
      <c r="AH618" s="39">
        <f>IF(ISNUMBER($AD618),($AD618+$AE618+$AF618)*$AG618,"")</f>
      </c>
      <c r="AI618" s="50"/>
      <c r="AJ618" s="38">
        <f>IF(ISNUMBER($AD618),SUM($AD618:$AH618),"")</f>
      </c>
      <c r="AK618" s="40">
        <f>IF(AND(ISNUMBER($AB618),ISNUMBER($AD618)),IF($AB618&gt;0,$AD618/$AB618,""),"")</f>
      </c>
      <c r="AL618" s="48" t="inlineStr">
        <is>
          <t xml:space="preserve">At technical</t>
        </is>
      </c>
      <c r="AM618" s="41">
        <f>IF(ISNUMBER($AD618),Header!$I$3,"")</f>
      </c>
      <c r="AN618" s="39">
        <f>IF(ISNUMBER($AD618),$AO618+$AP618,"")</f>
      </c>
      <c r="AO618" s="39">
        <f>IF(ISNUMBER($AD618),ROUND($AD618*Header!$K$3,2),"")</f>
      </c>
      <c r="AP618" s="39">
        <f>IF(ISNUMBER($AD618),ROUND($AD618*Header!$M$3,2),"")</f>
      </c>
      <c r="AQ618" s="38">
        <f>IF(ISNUMBER($AD618),ROUND($AD618,2)-$AO618-$AP618,"")</f>
      </c>
      <c r="AR618" s="39">
        <f>IF(ISNUMBER($AD618),IF(Header!$D$34="","?",$AD618*Header!$D$34),"")</f>
      </c>
      <c r="AS618" s="39">
        <f>IF(ISNUMBER($AB618),IF(Header!$D$34="","?",$AB618*Header!$D$34),"")</f>
      </c>
      <c r="AT618" s="42">
        <f>IF(AND(ISNUMBER($AB618),$M618&gt;0),$AB618/$M618*100,"")</f>
      </c>
      <c r="AU618" s="42">
        <f>IF(AND(ISNUMBER($AD618),$M618&gt;0),$AD618/$M618*100,"")</f>
      </c>
      <c r="AV618" s="40">
        <f>IF(AND(ISNUMBER($AB618),ISNUMBER($AD618),ABS($AB618)&gt;0),$AD618/$AB618,"")</f>
      </c>
      <c r="AW618" s="39">
        <f>IF(ISNUMBER($AD618),MAX(0,(1-0.55-Header!$O$3)*Header!$Q$3*$AQ618),"")</f>
      </c>
      <c r="AX618" s="43">
        <f>IF($A618="","",IF(TRIM(IF($A618="","Missing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",""))="","PASS","FAIL: "&amp;TRIM(IF($A618="","Missing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f>
      </c>
      <c r="AY618" s="44">
        <f>IF($M618="","",IF(ISNUMBER($M618),IF($M618&gt;=Header!$C$18,"YES — refer","No"),""))</f>
      </c>
      <c r="AZ618" s="44">
        <f>IF($AD618="","",IF(ISNUMBER($AD618),IF($AD618&lt;Header!$C$20,"BELOW MIN PREMIUM","OK"),""))</f>
      </c>
      <c r="BA618" s="48" t="inlineStr">
        <is>
          <t xml:space="preserve">Yes</t>
        </is>
      </c>
      <c r="BB618" s="48" t="inlineStr">
        <is>
          <t xml:space="preserve">Yes</t>
        </is>
      </c>
      <c r="BC618" s="46" t="inlineStr">
        <is>
          <t xml:space="preserve">Synthetic demo data</t>
        </is>
      </c>
      <c r="BE618" s="45">
        <f>IF(OR($A618="",$L618="",$H618=""),"",IF(AND(LEFT($L618,2)="06",$H618&gt;1945),"FAIL - pre-war class, year "&amp;$H618,IF(AND(LEFT($L618,2)="07",OR($H618&lt;1946,$H618&gt;1972)),"FAIL - 1946-72 class, year "&amp;$H618,IF(AND(LEFT($L618,2)="08",OR($H618&lt;1973,$H618&gt;1999)),"FAIL - 1973-99 class, year "&amp;$H618,IF(AND(LEFT($L618,2)="09",OR($H618&lt;2000,$H618&gt;2010)),"FAIL - 2000-10 class, year "&amp;$H618,"OK")))))</f>
      </c>
      <c r="BF618" s="45">
        <f>IF($AD618="","",IF(ROUND($AO618+$AP618+$AQ618-$AD618,2)=0,"OK","FAIL - out by "&amp;TEXT($AO618+$AP618+$AQ618-$AD618,"$0.00")))</f>
      </c>
    </row>
    <row r="619" spans="1:58" ht="18.75" customHeight="1" x14ac:dyDescent="0.25">
      <c r="A619" s="30" t="inlineStr">
        <is>
          <t xml:space="preserve">CANON-202604-007426</t>
        </is>
      </c>
      <c r="B619" s="30" t="inlineStr">
        <is>
          <t xml:space="preserve">Everett Rourke</t>
        </is>
      </c>
      <c r="C619" s="31">
        <v>46141</v>
      </c>
      <c r="D619" s="32" t="inlineStr">
        <is>
          <t xml:space="preserve">Bound - within authority</t>
        </is>
      </c>
      <c r="E619" s="32" t="inlineStr">
        <is>
          <t xml:space="preserve">New business</t>
        </is>
      </c>
      <c r="F619" s="30" t="inlineStr">
        <is>
          <t xml:space="preserve">B1234EXOTIC26</t>
        </is>
      </c>
      <c r="G619" s="33">
        <f>IF($A619="","",IF($C619="","",YEAR($C619)))</f>
      </c>
      <c r="H619" s="34">
        <v>1998</v>
      </c>
      <c r="I619" s="30" t="inlineStr">
        <is>
          <t xml:space="preserve">Mercedes-Benz</t>
        </is>
      </c>
      <c r="J619" s="30" t="inlineStr">
        <is>
          <t xml:space="preserve">AMG GT</t>
        </is>
      </c>
      <c r="K619" s="30" t="inlineStr">
        <is>
          <t xml:space="preserve">4YH9RNLD6N17BKRK2</t>
        </is>
      </c>
      <c r="L619" s="32" t="inlineStr">
        <is>
          <t xml:space="preserve">02 - Sports / GT</t>
        </is>
      </c>
      <c r="M619" s="35">
        <v>325000</v>
      </c>
      <c r="N619" s="32" t="inlineStr">
        <is>
          <t xml:space="preserve">Personal</t>
        </is>
      </c>
      <c r="O619" s="30" t="inlineStr">
        <is>
          <t xml:space="preserve">Personal - regular use</t>
        </is>
      </c>
      <c r="P619" s="30" t="inlineStr">
        <is>
          <t xml:space="preserve">2,500 - 5,000</t>
        </is>
      </c>
      <c r="Q619" s="30" t="inlineStr">
        <is>
          <t xml:space="preserve">Kentucky</t>
        </is>
      </c>
      <c r="R619" s="30" t="inlineStr">
        <is>
          <t xml:space="preserve">40202</t>
        </is>
      </c>
      <c r="S619" s="32" t="inlineStr">
        <is>
          <t xml:space="preserve">Severe convective - hail / tornado (moderate)</t>
        </is>
      </c>
      <c r="T619" s="36">
        <f>IF($A619="","",IF($S619="","",IFERROR(INDEX('[1]natural catastrophe'!$D$6:$D$17,MATCH($S619,'[1]natural catastrophe'!$B$6:$B$17,0)),"?")))</f>
      </c>
      <c r="U619" s="30" t="inlineStr">
        <is>
          <t xml:space="preserve">$5,000</t>
        </is>
      </c>
      <c r="V619" s="32" t="inlineStr">
        <is>
          <t xml:space="preserve">Agreed Value</t>
        </is>
      </c>
      <c r="W619" s="30" t="inlineStr">
        <is>
          <t xml:space="preserve">$1,000</t>
        </is>
      </c>
      <c r="X619" s="32" t="inlineStr">
        <is>
          <t xml:space="preserve">$1,000,000 CSL</t>
        </is>
      </c>
      <c r="Y619" s="30"/>
      <c r="Z619" s="30"/>
      <c r="AA619" s="32" t="inlineStr">
        <is>
          <t xml:space="preserve">Surplus Lines</t>
        </is>
      </c>
      <c r="AB619" s="35">
        <v>5118.16</v>
      </c>
      <c r="AC619" s="37">
        <v>0</v>
      </c>
      <c r="AD619" s="38">
        <f>IF(ISNUMBER($AB619),$AB619*(1+N($AC619)),"")</f>
      </c>
      <c r="AE619" s="35">
        <v>350</v>
      </c>
      <c r="AF619" s="35">
        <v>0</v>
      </c>
      <c r="AG619" s="37"/>
      <c r="AH619" s="39">
        <f>IF(ISNUMBER($AD619),($AD619+$AE619+$AF619)*$AG619,"")</f>
      </c>
      <c r="AI619" s="35"/>
      <c r="AJ619" s="38">
        <f>IF(ISNUMBER($AD619),SUM($AD619:$AH619),"")</f>
      </c>
      <c r="AK619" s="40">
        <f>IF(AND(ISNUMBER($AB619),ISNUMBER($AD619)),IF($AB619&gt;0,$AD619/$AB619,""),"")</f>
      </c>
      <c r="AL619" s="32" t="inlineStr">
        <is>
          <t xml:space="preserve">At technical</t>
        </is>
      </c>
      <c r="AM619" s="41">
        <f>IF(ISNUMBER($AD619),Header!$I$3,"")</f>
      </c>
      <c r="AN619" s="39">
        <f>IF(ISNUMBER($AD619),$AO619+$AP619,"")</f>
      </c>
      <c r="AO619" s="39">
        <f>IF(ISNUMBER($AD619),ROUND($AD619*Header!$K$3,2),"")</f>
      </c>
      <c r="AP619" s="39">
        <f>IF(ISNUMBER($AD619),ROUND($AD619*Header!$M$3,2),"")</f>
      </c>
      <c r="AQ619" s="38">
        <f>IF(ISNUMBER($AD619),ROUND($AD619,2)-$AO619-$AP619,"")</f>
      </c>
      <c r="AR619" s="39">
        <f>IF(ISNUMBER($AD619),IF(Header!$D$34="","?",$AD619*Header!$D$34),"")</f>
      </c>
      <c r="AS619" s="39">
        <f>IF(ISNUMBER($AB619),IF(Header!$D$34="","?",$AB619*Header!$D$34),"")</f>
      </c>
      <c r="AT619" s="42">
        <f>IF(AND(ISNUMBER($AB619),$M619&gt;0),$AB619/$M619*100,"")</f>
      </c>
      <c r="AU619" s="42">
        <f>IF(AND(ISNUMBER($AD619),$M619&gt;0),$AD619/$M619*100,"")</f>
      </c>
      <c r="AV619" s="40">
        <f>IF(AND(ISNUMBER($AB619),ISNUMBER($AD619),ABS($AB619)&gt;0),$AD619/$AB619,"")</f>
      </c>
      <c r="AW619" s="39">
        <f>IF(ISNUMBER($AD619),MAX(0,(1-0.55-Header!$O$3)*Header!$Q$3*$AQ619),"")</f>
      </c>
      <c r="AX619" s="43">
        <f>IF($A619="","",IF(TRIM(IF($A619="","Missing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",""))="","PASS","FAIL: "&amp;TRIM(IF($A619="","Missing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f>
      </c>
      <c r="AY619" s="44">
        <f>IF($M619="","",IF(ISNUMBER($M619),IF($M619&gt;=Header!$C$18,"YES — refer","No"),""))</f>
      </c>
      <c r="AZ619" s="44">
        <f>IF($AD619="","",IF(ISNUMBER($AD619),IF($AD619&lt;Header!$C$20,"BELOW MIN PREMIUM","OK"),""))</f>
      </c>
      <c r="BA619" s="32" t="inlineStr">
        <is>
          <t xml:space="preserve">Yes</t>
        </is>
      </c>
      <c r="BB619" s="32" t="inlineStr">
        <is>
          <t xml:space="preserve">Yes</t>
        </is>
      </c>
      <c r="BC619" s="30" t="inlineStr">
        <is>
          <t xml:space="preserve">Synthetic demo data</t>
        </is>
      </c>
      <c r="BE619" s="45">
        <f>IF(OR($A619="",$L619="",$H619=""),"",IF(AND(LEFT($L619,2)="06",$H619&gt;1945),"FAIL - pre-war class, year "&amp;$H619,IF(AND(LEFT($L619,2)="07",OR($H619&lt;1946,$H619&gt;1972)),"FAIL - 1946-72 class, year "&amp;$H619,IF(AND(LEFT($L619,2)="08",OR($H619&lt;1973,$H619&gt;1999)),"FAIL - 1973-99 class, year "&amp;$H619,IF(AND(LEFT($L619,2)="09",OR($H619&lt;2000,$H619&gt;2010)),"FAIL - 2000-10 class, year "&amp;$H619,"OK")))))</f>
      </c>
      <c r="BF619" s="45">
        <f>IF($AD619="","",IF(ROUND($AO619+$AP619+$AQ619-$AD619,2)=0,"OK","FAIL - out by "&amp;TEXT($AO619+$AP619+$AQ619-$AD619,"$0.00")))</f>
      </c>
    </row>
    <row r="620" spans="1:58" ht="18.75" customHeight="1" x14ac:dyDescent="0.25">
      <c r="A620" s="46" t="inlineStr">
        <is>
          <t xml:space="preserve">CANON-202604-007427</t>
        </is>
      </c>
      <c r="B620" s="46" t="inlineStr">
        <is>
          <t xml:space="preserve">Ottilie Vasquez</t>
        </is>
      </c>
      <c r="C620" s="47">
        <v>46131</v>
      </c>
      <c r="D620" s="48" t="inlineStr">
        <is>
          <t xml:space="preserve">Bound - within authority</t>
        </is>
      </c>
      <c r="E620" s="48" t="inlineStr">
        <is>
          <t xml:space="preserve">New business</t>
        </is>
      </c>
      <c r="F620" s="46" t="inlineStr">
        <is>
          <t xml:space="preserve">B1234EXOTIC26</t>
        </is>
      </c>
      <c r="G620" s="33">
        <f>IF($A620="","",IF($C620="","",YEAR($C620)))</f>
      </c>
      <c r="H620" s="49">
        <v>2011</v>
      </c>
      <c r="I620" s="46" t="inlineStr">
        <is>
          <t xml:space="preserve">Mercedes-Benz</t>
        </is>
      </c>
      <c r="J620" s="46" t="inlineStr">
        <is>
          <t xml:space="preserve">AMG GT</t>
        </is>
      </c>
      <c r="K620" s="46" t="inlineStr">
        <is>
          <t xml:space="preserve">Z18TZTCH6JVPBF98R</t>
        </is>
      </c>
      <c r="L620" s="48" t="inlineStr">
        <is>
          <t xml:space="preserve">02 - Sports / GT</t>
        </is>
      </c>
      <c r="M620" s="50">
        <v>465000</v>
      </c>
      <c r="N620" s="48" t="inlineStr">
        <is>
          <t xml:space="preserve">Personal</t>
        </is>
      </c>
      <c r="O620" s="46" t="inlineStr">
        <is>
          <t xml:space="preserve">Personal - regular use</t>
        </is>
      </c>
      <c r="P620" s="46" t="inlineStr">
        <is>
          <t xml:space="preserve">1,000 - 2,500</t>
        </is>
      </c>
      <c r="Q620" s="46" t="inlineStr">
        <is>
          <t xml:space="preserve">Indiana</t>
        </is>
      </c>
      <c r="R620" s="46" t="inlineStr">
        <is>
          <t xml:space="preserve">46204</t>
        </is>
      </c>
      <c r="S620" s="48" t="inlineStr">
        <is>
          <t xml:space="preserve">Severe convective - hail / tornado (moderate)</t>
        </is>
      </c>
      <c r="T620" s="36">
        <f>IF($A620="","",IF($S620="","",IFERROR(INDEX('[1]natural catastrophe'!$D$6:$D$17,MATCH($S620,'[1]natural catastrophe'!$B$6:$B$17,0)),"?")))</f>
      </c>
      <c r="U620" s="46" t="inlineStr">
        <is>
          <t xml:space="preserve">$5,000</t>
        </is>
      </c>
      <c r="V620" s="48" t="inlineStr">
        <is>
          <t xml:space="preserve">Agreed Value</t>
        </is>
      </c>
      <c r="W620" s="46" t="inlineStr">
        <is>
          <t xml:space="preserve">$1,000</t>
        </is>
      </c>
      <c r="X620" s="48" t="inlineStr">
        <is>
          <t xml:space="preserve">$1,000,000 CSL</t>
        </is>
      </c>
      <c r="Y620" s="46"/>
      <c r="Z620" s="46"/>
      <c r="AA620" s="48" t="inlineStr">
        <is>
          <t xml:space="preserve">Surplus Lines</t>
        </is>
      </c>
      <c r="AB620" s="50">
        <v>6721.76</v>
      </c>
      <c r="AC620" s="51">
        <v>0</v>
      </c>
      <c r="AD620" s="38">
        <f>IF(ISNUMBER($AB620),$AB620*(1+N($AC620)),"")</f>
      </c>
      <c r="AE620" s="50">
        <v>350</v>
      </c>
      <c r="AF620" s="50">
        <v>0</v>
      </c>
      <c r="AG620" s="51"/>
      <c r="AH620" s="39">
        <f>IF(ISNUMBER($AD620),($AD620+$AE620+$AF620)*$AG620,"")</f>
      </c>
      <c r="AI620" s="50"/>
      <c r="AJ620" s="38">
        <f>IF(ISNUMBER($AD620),SUM($AD620:$AH620),"")</f>
      </c>
      <c r="AK620" s="40">
        <f>IF(AND(ISNUMBER($AB620),ISNUMBER($AD620)),IF($AB620&gt;0,$AD620/$AB620,""),"")</f>
      </c>
      <c r="AL620" s="48" t="inlineStr">
        <is>
          <t xml:space="preserve">At technical</t>
        </is>
      </c>
      <c r="AM620" s="41">
        <f>IF(ISNUMBER($AD620),Header!$I$3,"")</f>
      </c>
      <c r="AN620" s="39">
        <f>IF(ISNUMBER($AD620),$AO620+$AP620,"")</f>
      </c>
      <c r="AO620" s="39">
        <f>IF(ISNUMBER($AD620),ROUND($AD620*Header!$K$3,2),"")</f>
      </c>
      <c r="AP620" s="39">
        <f>IF(ISNUMBER($AD620),ROUND($AD620*Header!$M$3,2),"")</f>
      </c>
      <c r="AQ620" s="38">
        <f>IF(ISNUMBER($AD620),ROUND($AD620,2)-$AO620-$AP620,"")</f>
      </c>
      <c r="AR620" s="39">
        <f>IF(ISNUMBER($AD620),IF(Header!$D$34="","?",$AD620*Header!$D$34),"")</f>
      </c>
      <c r="AS620" s="39">
        <f>IF(ISNUMBER($AB620),IF(Header!$D$34="","?",$AB620*Header!$D$34),"")</f>
      </c>
      <c r="AT620" s="42">
        <f>IF(AND(ISNUMBER($AB620),$M620&gt;0),$AB620/$M620*100,"")</f>
      </c>
      <c r="AU620" s="42">
        <f>IF(AND(ISNUMBER($AD620),$M620&gt;0),$AD620/$M620*100,"")</f>
      </c>
      <c r="AV620" s="40">
        <f>IF(AND(ISNUMBER($AB620),ISNUMBER($AD620),ABS($AB620)&gt;0),$AD620/$AB620,"")</f>
      </c>
      <c r="AW620" s="39">
        <f>IF(ISNUMBER($AD620),MAX(0,(1-0.55-Header!$O$3)*Header!$Q$3*$AQ620),"")</f>
      </c>
      <c r="AX620" s="43">
        <f>IF($A620="","",IF(TRIM(IF($A620="","Missing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",""))="","PASS","FAIL: "&amp;TRIM(IF($A620="","Missing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f>
      </c>
      <c r="AY620" s="44">
        <f>IF($M620="","",IF(ISNUMBER($M620),IF($M620&gt;=Header!$C$18,"YES — refer","No"),""))</f>
      </c>
      <c r="AZ620" s="44">
        <f>IF($AD620="","",IF(ISNUMBER($AD620),IF($AD620&lt;Header!$C$20,"BELOW MIN PREMIUM","OK"),""))</f>
      </c>
      <c r="BA620" s="48" t="inlineStr">
        <is>
          <t xml:space="preserve">Yes</t>
        </is>
      </c>
      <c r="BB620" s="48" t="inlineStr">
        <is>
          <t xml:space="preserve">Yes</t>
        </is>
      </c>
      <c r="BC620" s="46" t="inlineStr">
        <is>
          <t xml:space="preserve">Synthetic demo data</t>
        </is>
      </c>
      <c r="BE620" s="45">
        <f>IF(OR($A620="",$L620="",$H620=""),"",IF(AND(LEFT($L620,2)="06",$H620&gt;1945),"FAIL - pre-war class, year "&amp;$H620,IF(AND(LEFT($L620,2)="07",OR($H620&lt;1946,$H620&gt;1972)),"FAIL - 1946-72 class, year "&amp;$H620,IF(AND(LEFT($L620,2)="08",OR($H620&lt;1973,$H620&gt;1999)),"FAIL - 1973-99 class, year "&amp;$H620,IF(AND(LEFT($L620,2)="09",OR($H620&lt;2000,$H620&gt;2010)),"FAIL - 2000-10 class, year "&amp;$H620,"OK")))))</f>
      </c>
      <c r="BF620" s="45">
        <f>IF($AD620="","",IF(ROUND($AO620+$AP620+$AQ620-$AD620,2)=0,"OK","FAIL - out by "&amp;TEXT($AO620+$AP620+$AQ620-$AD620,"$0.00")))</f>
      </c>
    </row>
    <row r="621" spans="1:58" ht="18.75" customHeight="1" x14ac:dyDescent="0.25">
      <c r="A621" s="30" t="inlineStr">
        <is>
          <t xml:space="preserve">CANON-202604-007428</t>
        </is>
      </c>
      <c r="B621" s="30" t="inlineStr">
        <is>
          <t xml:space="preserve">Beatrix Kingsford</t>
        </is>
      </c>
      <c r="C621" s="31">
        <v>46134</v>
      </c>
      <c r="D621" s="32" t="inlineStr">
        <is>
          <t xml:space="preserve">Bound - within authority</t>
        </is>
      </c>
      <c r="E621" s="32" t="inlineStr">
        <is>
          <t xml:space="preserve">New business</t>
        </is>
      </c>
      <c r="F621" s="30" t="inlineStr">
        <is>
          <t xml:space="preserve">B1234EXOTIC26</t>
        </is>
      </c>
      <c r="G621" s="33">
        <f>IF($A621="","",IF($C621="","",YEAR($C621)))</f>
      </c>
      <c r="H621" s="34">
        <v>2011</v>
      </c>
      <c r="I621" s="30" t="inlineStr">
        <is>
          <t xml:space="preserve">Lamborghini</t>
        </is>
      </c>
      <c r="J621" s="30" t="inlineStr">
        <is>
          <t xml:space="preserve">Huracan EVO</t>
        </is>
      </c>
      <c r="K621" s="30" t="inlineStr">
        <is>
          <t xml:space="preserve">048EEJ53BH0MSBFLM</t>
        </is>
      </c>
      <c r="L621" s="32" t="inlineStr">
        <is>
          <t xml:space="preserve">03 - Supercar</t>
        </is>
      </c>
      <c r="M621" s="35">
        <v>845000</v>
      </c>
      <c r="N621" s="32" t="inlineStr">
        <is>
          <t xml:space="preserve">Personal</t>
        </is>
      </c>
      <c r="O621" s="30" t="inlineStr">
        <is>
          <t xml:space="preserve">Personal - regular use</t>
        </is>
      </c>
      <c r="P621" s="30" t="inlineStr">
        <is>
          <t xml:space="preserve">Under 1,000</t>
        </is>
      </c>
      <c r="Q621" s="30" t="inlineStr">
        <is>
          <t xml:space="preserve">Minnesota</t>
        </is>
      </c>
      <c r="R621" s="30" t="inlineStr">
        <is>
          <t xml:space="preserve">55401</t>
        </is>
      </c>
      <c r="S621" s="32" t="inlineStr">
        <is>
          <t xml:space="preserve">Severe convective - hail / tornado (moderate)</t>
        </is>
      </c>
      <c r="T621" s="36">
        <f>IF($A621="","",IF($S621="","",IFERROR(INDEX('[1]natural catastrophe'!$D$6:$D$17,MATCH($S621,'[1]natural catastrophe'!$B$6:$B$17,0)),"?")))</f>
      </c>
      <c r="U621" s="30" t="inlineStr">
        <is>
          <t xml:space="preserve">$5,000</t>
        </is>
      </c>
      <c r="V621" s="32" t="inlineStr">
        <is>
          <t xml:space="preserve">Agreed Value</t>
        </is>
      </c>
      <c r="W621" s="30" t="inlineStr">
        <is>
          <t xml:space="preserve">$1,000</t>
        </is>
      </c>
      <c r="X621" s="32" t="inlineStr">
        <is>
          <t xml:space="preserve">$1,000,000 CSL</t>
        </is>
      </c>
      <c r="Y621" s="30"/>
      <c r="Z621" s="30"/>
      <c r="AA621" s="32" t="inlineStr">
        <is>
          <t xml:space="preserve">Surplus Lines</t>
        </is>
      </c>
      <c r="AB621" s="35">
        <v>16604.2</v>
      </c>
      <c r="AC621" s="37">
        <v>0</v>
      </c>
      <c r="AD621" s="38">
        <f>IF(ISNUMBER($AB621),$AB621*(1+N($AC621)),"")</f>
      </c>
      <c r="AE621" s="35">
        <v>350</v>
      </c>
      <c r="AF621" s="35">
        <v>0</v>
      </c>
      <c r="AG621" s="37"/>
      <c r="AH621" s="39">
        <f>IF(ISNUMBER($AD621),($AD621+$AE621+$AF621)*$AG621,"")</f>
      </c>
      <c r="AI621" s="35"/>
      <c r="AJ621" s="38">
        <f>IF(ISNUMBER($AD621),SUM($AD621:$AH621),"")</f>
      </c>
      <c r="AK621" s="40">
        <f>IF(AND(ISNUMBER($AB621),ISNUMBER($AD621)),IF($AB621&gt;0,$AD621/$AB621,""),"")</f>
      </c>
      <c r="AL621" s="32" t="inlineStr">
        <is>
          <t xml:space="preserve">At technical</t>
        </is>
      </c>
      <c r="AM621" s="41">
        <f>IF(ISNUMBER($AD621),Header!$I$3,"")</f>
      </c>
      <c r="AN621" s="39">
        <f>IF(ISNUMBER($AD621),$AO621+$AP621,"")</f>
      </c>
      <c r="AO621" s="39">
        <f>IF(ISNUMBER($AD621),ROUND($AD621*Header!$K$3,2),"")</f>
      </c>
      <c r="AP621" s="39">
        <f>IF(ISNUMBER($AD621),ROUND($AD621*Header!$M$3,2),"")</f>
      </c>
      <c r="AQ621" s="38">
        <f>IF(ISNUMBER($AD621),ROUND($AD621,2)-$AO621-$AP621,"")</f>
      </c>
      <c r="AR621" s="39">
        <f>IF(ISNUMBER($AD621),IF(Header!$D$34="","?",$AD621*Header!$D$34),"")</f>
      </c>
      <c r="AS621" s="39">
        <f>IF(ISNUMBER($AB621),IF(Header!$D$34="","?",$AB621*Header!$D$34),"")</f>
      </c>
      <c r="AT621" s="42">
        <f>IF(AND(ISNUMBER($AB621),$M621&gt;0),$AB621/$M621*100,"")</f>
      </c>
      <c r="AU621" s="42">
        <f>IF(AND(ISNUMBER($AD621),$M621&gt;0),$AD621/$M621*100,"")</f>
      </c>
      <c r="AV621" s="40">
        <f>IF(AND(ISNUMBER($AB621),ISNUMBER($AD621),ABS($AB621)&gt;0),$AD621/$AB621,"")</f>
      </c>
      <c r="AW621" s="39">
        <f>IF(ISNUMBER($AD621),MAX(0,(1-0.55-Header!$O$3)*Header!$Q$3*$AQ621),"")</f>
      </c>
      <c r="AX621" s="43">
        <f>IF($A621="","",IF(TRIM(IF($A621="","Missing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",""))="","PASS","FAIL: "&amp;TRIM(IF($A621="","Missing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f>
      </c>
      <c r="AY621" s="44">
        <f>IF($M621="","",IF(ISNUMBER($M621),IF($M621&gt;=Header!$C$18,"YES — refer","No"),""))</f>
      </c>
      <c r="AZ621" s="44">
        <f>IF($AD621="","",IF(ISNUMBER($AD621),IF($AD621&lt;Header!$C$20,"BELOW MIN PREMIUM","OK"),""))</f>
      </c>
      <c r="BA621" s="32" t="inlineStr">
        <is>
          <t xml:space="preserve">Yes</t>
        </is>
      </c>
      <c r="BB621" s="32" t="inlineStr">
        <is>
          <t xml:space="preserve">Yes</t>
        </is>
      </c>
      <c r="BC621" s="30" t="inlineStr">
        <is>
          <t xml:space="preserve">Synthetic demo data</t>
        </is>
      </c>
      <c r="BE621" s="45">
        <f>IF(OR($A621="",$L621="",$H621=""),"",IF(AND(LEFT($L621,2)="06",$H621&gt;1945),"FAIL - pre-war class, year "&amp;$H621,IF(AND(LEFT($L621,2)="07",OR($H621&lt;1946,$H621&gt;1972)),"FAIL - 1946-72 class, year "&amp;$H621,IF(AND(LEFT($L621,2)="08",OR($H621&lt;1973,$H621&gt;1999)),"FAIL - 1973-99 class, year "&amp;$H621,IF(AND(LEFT($L621,2)="09",OR($H621&lt;2000,$H621&gt;2010)),"FAIL - 2000-10 class, year "&amp;$H621,"OK")))))</f>
      </c>
      <c r="BF621" s="45">
        <f>IF($AD621="","",IF(ROUND($AO621+$AP621+$AQ621-$AD621,2)=0,"OK","FAIL - out by "&amp;TEXT($AO621+$AP621+$AQ621-$AD621,"$0.00")))</f>
      </c>
    </row>
    <row r="622" spans="1:58" ht="18.75" customHeight="1" x14ac:dyDescent="0.25">
      <c r="A622" s="46" t="inlineStr">
        <is>
          <t xml:space="preserve">CANON-202604-007430</t>
        </is>
      </c>
      <c r="B622" s="46" t="inlineStr">
        <is>
          <t xml:space="preserve">Ingrid Okonkwo</t>
        </is>
      </c>
      <c r="C622" s="47">
        <v>46139</v>
      </c>
      <c r="D622" s="48" t="inlineStr">
        <is>
          <t xml:space="preserve">Bound - within authority</t>
        </is>
      </c>
      <c r="E622" s="48" t="inlineStr">
        <is>
          <t xml:space="preserve">New business</t>
        </is>
      </c>
      <c r="F622" s="46" t="inlineStr">
        <is>
          <t xml:space="preserve">B1234EXOTIC26</t>
        </is>
      </c>
      <c r="G622" s="33">
        <f>IF($A622="","",IF($C622="","",YEAR($C622)))</f>
      </c>
      <c r="H622" s="49">
        <v>1984</v>
      </c>
      <c r="I622" s="46" t="inlineStr">
        <is>
          <t xml:space="preserve">Mercedes-Benz</t>
        </is>
      </c>
      <c r="J622" s="46" t="inlineStr">
        <is>
          <t xml:space="preserve">280SL Pagoda</t>
        </is>
      </c>
      <c r="K622" s="46" t="inlineStr">
        <is>
          <t xml:space="preserve">JX9A8UEEJ0DM8A2ZN</t>
        </is>
      </c>
      <c r="L622" s="48" t="inlineStr">
        <is>
          <t xml:space="preserve">08 - Modern Classic (1973-1999)</t>
        </is>
      </c>
      <c r="M622" s="50">
        <v>860000</v>
      </c>
      <c r="N622" s="48" t="inlineStr">
        <is>
          <t xml:space="preserve">Personal</t>
        </is>
      </c>
      <c r="O622" s="46" t="inlineStr">
        <is>
          <t xml:space="preserve">Personal - regular use</t>
        </is>
      </c>
      <c r="P622" s="46" t="inlineStr">
        <is>
          <t xml:space="preserve">Under 1,000</t>
        </is>
      </c>
      <c r="Q622" s="46" t="inlineStr">
        <is>
          <t xml:space="preserve">California</t>
        </is>
      </c>
      <c r="R622" s="46" t="inlineStr">
        <is>
          <t xml:space="preserve">90012</t>
        </is>
      </c>
      <c r="S622" s="48" t="inlineStr">
        <is>
          <t xml:space="preserve">Earthquake - high (CA, Cascadia, New Madrid)</t>
        </is>
      </c>
      <c r="T622" s="36">
        <f>IF($A622="","",IF($S622="","",IFERROR(INDEX('[1]natural catastrophe'!$D$6:$D$17,MATCH($S622,'[1]natural catastrophe'!$B$6:$B$17,0)),"?")))</f>
      </c>
      <c r="U622" s="46" t="inlineStr">
        <is>
          <t xml:space="preserve">$5,000</t>
        </is>
      </c>
      <c r="V622" s="48" t="inlineStr">
        <is>
          <t xml:space="preserve">Agreed Value</t>
        </is>
      </c>
      <c r="W622" s="46" t="inlineStr">
        <is>
          <t xml:space="preserve">$1,000</t>
        </is>
      </c>
      <c r="X622" s="48" t="inlineStr">
        <is>
          <t xml:space="preserve">$1,000,000 CSL</t>
        </is>
      </c>
      <c r="Y622" s="46"/>
      <c r="Z622" s="46"/>
      <c r="AA622" s="48" t="inlineStr">
        <is>
          <t xml:space="preserve">Surplus Lines</t>
        </is>
      </c>
      <c r="AB622" s="50">
        <v>7822.84</v>
      </c>
      <c r="AC622" s="51">
        <v>0</v>
      </c>
      <c r="AD622" s="38">
        <f>IF(ISNUMBER($AB622),$AB622*(1+N($AC622)),"")</f>
      </c>
      <c r="AE622" s="50">
        <v>350</v>
      </c>
      <c r="AF622" s="50">
        <v>0</v>
      </c>
      <c r="AG622" s="51"/>
      <c r="AH622" s="39">
        <f>IF(ISNUMBER($AD622),($AD622+$AE622+$AF622)*$AG622,"")</f>
      </c>
      <c r="AI622" s="50"/>
      <c r="AJ622" s="38">
        <f>IF(ISNUMBER($AD622),SUM($AD622:$AH622),"")</f>
      </c>
      <c r="AK622" s="40">
        <f>IF(AND(ISNUMBER($AB622),ISNUMBER($AD622)),IF($AB622&gt;0,$AD622/$AB622,""),"")</f>
      </c>
      <c r="AL622" s="48" t="inlineStr">
        <is>
          <t xml:space="preserve">At technical</t>
        </is>
      </c>
      <c r="AM622" s="41">
        <f>IF(ISNUMBER($AD622),Header!$I$3,"")</f>
      </c>
      <c r="AN622" s="39">
        <f>IF(ISNUMBER($AD622),$AO622+$AP622,"")</f>
      </c>
      <c r="AO622" s="39">
        <f>IF(ISNUMBER($AD622),ROUND($AD622*Header!$K$3,2),"")</f>
      </c>
      <c r="AP622" s="39">
        <f>IF(ISNUMBER($AD622),ROUND($AD622*Header!$M$3,2),"")</f>
      </c>
      <c r="AQ622" s="38">
        <f>IF(ISNUMBER($AD622),ROUND($AD622,2)-$AO622-$AP622,"")</f>
      </c>
      <c r="AR622" s="39">
        <f>IF(ISNUMBER($AD622),IF(Header!$D$34="","?",$AD622*Header!$D$34),"")</f>
      </c>
      <c r="AS622" s="39">
        <f>IF(ISNUMBER($AB622),IF(Header!$D$34="","?",$AB622*Header!$D$34),"")</f>
      </c>
      <c r="AT622" s="42">
        <f>IF(AND(ISNUMBER($AB622),$M622&gt;0),$AB622/$M622*100,"")</f>
      </c>
      <c r="AU622" s="42">
        <f>IF(AND(ISNUMBER($AD622),$M622&gt;0),$AD622/$M622*100,"")</f>
      </c>
      <c r="AV622" s="40">
        <f>IF(AND(ISNUMBER($AB622),ISNUMBER($AD622),ABS($AB622)&gt;0),$AD622/$AB622,"")</f>
      </c>
      <c r="AW622" s="39">
        <f>IF(ISNUMBER($AD622),MAX(0,(1-0.55-Header!$O$3)*Header!$Q$3*$AQ622),"")</f>
      </c>
      <c r="AX622" s="43">
        <f>IF($A622="","",IF(TRIM(IF($A622="","Missing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",""))="","PASS","FAIL: "&amp;TRIM(IF($A622="","Missing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f>
      </c>
      <c r="AY622" s="44">
        <f>IF($M622="","",IF(ISNUMBER($M622),IF($M622&gt;=Header!$C$18,"YES — refer","No"),""))</f>
      </c>
      <c r="AZ622" s="44">
        <f>IF($AD622="","",IF(ISNUMBER($AD622),IF($AD622&lt;Header!$C$20,"BELOW MIN PREMIUM","OK"),""))</f>
      </c>
      <c r="BA622" s="48" t="inlineStr">
        <is>
          <t xml:space="preserve">Yes</t>
        </is>
      </c>
      <c r="BB622" s="48" t="inlineStr">
        <is>
          <t xml:space="preserve">Yes</t>
        </is>
      </c>
      <c r="BC622" s="46" t="inlineStr">
        <is>
          <t xml:space="preserve">Synthetic demo data</t>
        </is>
      </c>
      <c r="BE622" s="45">
        <f>IF(OR($A622="",$L622="",$H622=""),"",IF(AND(LEFT($L622,2)="06",$H622&gt;1945),"FAIL - pre-war class, year "&amp;$H622,IF(AND(LEFT($L622,2)="07",OR($H622&lt;1946,$H622&gt;1972)),"FAIL - 1946-72 class, year "&amp;$H622,IF(AND(LEFT($L622,2)="08",OR($H622&lt;1973,$H622&gt;1999)),"FAIL - 1973-99 class, year "&amp;$H622,IF(AND(LEFT($L622,2)="09",OR($H622&lt;2000,$H622&gt;2010)),"FAIL - 2000-10 class, year "&amp;$H622,"OK")))))</f>
      </c>
      <c r="BF622" s="45">
        <f>IF($AD622="","",IF(ROUND($AO622+$AP622+$AQ622-$AD622,2)=0,"OK","FAIL - out by "&amp;TEXT($AO622+$AP622+$AQ622-$AD622,"$0.00")))</f>
      </c>
    </row>
    <row r="623" spans="1:58" ht="18.75" customHeight="1" x14ac:dyDescent="0.25">
      <c r="A623" s="30" t="inlineStr">
        <is>
          <t xml:space="preserve">CANON-202604-007431</t>
        </is>
      </c>
      <c r="B623" s="30" t="inlineStr">
        <is>
          <t xml:space="preserve">Ingrid Larsson</t>
        </is>
      </c>
      <c r="C623" s="31">
        <v>46130</v>
      </c>
      <c r="D623" s="32" t="inlineStr">
        <is>
          <t xml:space="preserve">Bound - within authority</t>
        </is>
      </c>
      <c r="E623" s="32" t="inlineStr">
        <is>
          <t xml:space="preserve">New business</t>
        </is>
      </c>
      <c r="F623" s="30" t="inlineStr">
        <is>
          <t xml:space="preserve">B1234EXOTIC26</t>
        </is>
      </c>
      <c r="G623" s="33">
        <f>IF($A623="","",IF($C623="","",YEAR($C623)))</f>
      </c>
      <c r="H623" s="34">
        <v>1972</v>
      </c>
      <c r="I623" s="30" t="inlineStr">
        <is>
          <t xml:space="preserve">Mercedes-Benz</t>
        </is>
      </c>
      <c r="J623" s="30" t="inlineStr">
        <is>
          <t xml:space="preserve">AMG GT</t>
        </is>
      </c>
      <c r="K623" s="30" t="inlineStr">
        <is>
          <t xml:space="preserve">5GF9ULXDBM2J007M4</t>
        </is>
      </c>
      <c r="L623" s="32" t="inlineStr">
        <is>
          <t xml:space="preserve">02 - Sports / GT</t>
        </is>
      </c>
      <c r="M623" s="35">
        <v>600000</v>
      </c>
      <c r="N623" s="32" t="inlineStr">
        <is>
          <t xml:space="preserve">Personal</t>
        </is>
      </c>
      <c r="O623" s="30" t="inlineStr">
        <is>
          <t xml:space="preserve">Personal - regular use</t>
        </is>
      </c>
      <c r="P623" s="30" t="inlineStr">
        <is>
          <t xml:space="preserve">1,000 - 2,500</t>
        </is>
      </c>
      <c r="Q623" s="30" t="inlineStr">
        <is>
          <t xml:space="preserve">Delaware</t>
        </is>
      </c>
      <c r="R623" s="30" t="inlineStr">
        <is>
          <t xml:space="preserve">19801</t>
        </is>
      </c>
      <c r="S623" s="32" t="inlineStr">
        <is>
          <t xml:space="preserve">Tier 3 - Coastal wind (25-100 miles)</t>
        </is>
      </c>
      <c r="T623" s="36">
        <f>IF($A623="","",IF($S623="","",IFERROR(INDEX('[1]natural catastrophe'!$D$6:$D$17,MATCH($S623,'[1]natural catastrophe'!$B$6:$B$17,0)),"?")))</f>
      </c>
      <c r="U623" s="30" t="inlineStr">
        <is>
          <t xml:space="preserve">2% of agreed value, minimum $10,000</t>
        </is>
      </c>
      <c r="V623" s="32" t="inlineStr">
        <is>
          <t xml:space="preserve">Agreed Value</t>
        </is>
      </c>
      <c r="W623" s="30" t="inlineStr">
        <is>
          <t xml:space="preserve">$1,000</t>
        </is>
      </c>
      <c r="X623" s="32" t="inlineStr">
        <is>
          <t xml:space="preserve">$1,000,000 CSL</t>
        </is>
      </c>
      <c r="Y623" s="30"/>
      <c r="Z623" s="30"/>
      <c r="AA623" s="32" t="inlineStr">
        <is>
          <t xml:space="preserve">Surplus Lines</t>
        </is>
      </c>
      <c r="AB623" s="35">
        <v>7639.03</v>
      </c>
      <c r="AC623" s="37">
        <v>0</v>
      </c>
      <c r="AD623" s="38">
        <f>IF(ISNUMBER($AB623),$AB623*(1+N($AC623)),"")</f>
      </c>
      <c r="AE623" s="35">
        <v>350</v>
      </c>
      <c r="AF623" s="35">
        <v>0</v>
      </c>
      <c r="AG623" s="37"/>
      <c r="AH623" s="39">
        <f>IF(ISNUMBER($AD623),($AD623+$AE623+$AF623)*$AG623,"")</f>
      </c>
      <c r="AI623" s="35"/>
      <c r="AJ623" s="38">
        <f>IF(ISNUMBER($AD623),SUM($AD623:$AH623),"")</f>
      </c>
      <c r="AK623" s="40">
        <f>IF(AND(ISNUMBER($AB623),ISNUMBER($AD623)),IF($AB623&gt;0,$AD623/$AB623,""),"")</f>
      </c>
      <c r="AL623" s="32" t="inlineStr">
        <is>
          <t xml:space="preserve">At technical</t>
        </is>
      </c>
      <c r="AM623" s="41">
        <f>IF(ISNUMBER($AD623),Header!$I$3,"")</f>
      </c>
      <c r="AN623" s="39">
        <f>IF(ISNUMBER($AD623),$AO623+$AP623,"")</f>
      </c>
      <c r="AO623" s="39">
        <f>IF(ISNUMBER($AD623),ROUND($AD623*Header!$K$3,2),"")</f>
      </c>
      <c r="AP623" s="39">
        <f>IF(ISNUMBER($AD623),ROUND($AD623*Header!$M$3,2),"")</f>
      </c>
      <c r="AQ623" s="38">
        <f>IF(ISNUMBER($AD623),ROUND($AD623,2)-$AO623-$AP623,"")</f>
      </c>
      <c r="AR623" s="39">
        <f>IF(ISNUMBER($AD623),IF(Header!$D$34="","?",$AD623*Header!$D$34),"")</f>
      </c>
      <c r="AS623" s="39">
        <f>IF(ISNUMBER($AB623),IF(Header!$D$34="","?",$AB623*Header!$D$34),"")</f>
      </c>
      <c r="AT623" s="42">
        <f>IF(AND(ISNUMBER($AB623),$M623&gt;0),$AB623/$M623*100,"")</f>
      </c>
      <c r="AU623" s="42">
        <f>IF(AND(ISNUMBER($AD623),$M623&gt;0),$AD623/$M623*100,"")</f>
      </c>
      <c r="AV623" s="40">
        <f>IF(AND(ISNUMBER($AB623),ISNUMBER($AD623),ABS($AB623)&gt;0),$AD623/$AB623,"")</f>
      </c>
      <c r="AW623" s="39">
        <f>IF(ISNUMBER($AD623),MAX(0,(1-0.55-Header!$O$3)*Header!$Q$3*$AQ623),"")</f>
      </c>
      <c r="AX623" s="43">
        <f>IF($A623="","",IF(TRIM(IF($A623="","Missing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",""))="","PASS","FAIL: "&amp;TRIM(IF($A623="","Missing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f>
      </c>
      <c r="AY623" s="44">
        <f>IF($M623="","",IF(ISNUMBER($M623),IF($M623&gt;=Header!$C$18,"YES — refer","No"),""))</f>
      </c>
      <c r="AZ623" s="44">
        <f>IF($AD623="","",IF(ISNUMBER($AD623),IF($AD623&lt;Header!$C$20,"BELOW MIN PREMIUM","OK"),""))</f>
      </c>
      <c r="BA623" s="32" t="inlineStr">
        <is>
          <t xml:space="preserve">Yes</t>
        </is>
      </c>
      <c r="BB623" s="32" t="inlineStr">
        <is>
          <t xml:space="preserve">Yes</t>
        </is>
      </c>
      <c r="BC623" s="30" t="inlineStr">
        <is>
          <t xml:space="preserve">Synthetic demo data</t>
        </is>
      </c>
      <c r="BE623" s="45">
        <f>IF(OR($A623="",$L623="",$H623=""),"",IF(AND(LEFT($L623,2)="06",$H623&gt;1945),"FAIL - pre-war class, year "&amp;$H623,IF(AND(LEFT($L623,2)="07",OR($H623&lt;1946,$H623&gt;1972)),"FAIL - 1946-72 class, year "&amp;$H623,IF(AND(LEFT($L623,2)="08",OR($H623&lt;1973,$H623&gt;1999)),"FAIL - 1973-99 class, year "&amp;$H623,IF(AND(LEFT($L623,2)="09",OR($H623&lt;2000,$H623&gt;2010)),"FAIL - 2000-10 class, year "&amp;$H623,"OK")))))</f>
      </c>
      <c r="BF623" s="45">
        <f>IF($AD623="","",IF(ROUND($AO623+$AP623+$AQ623-$AD623,2)=0,"OK","FAIL - out by "&amp;TEXT($AO623+$AP623+$AQ623-$AD623,"$0.00")))</f>
      </c>
    </row>
    <row r="624" spans="1:58" ht="18.75" customHeight="1" x14ac:dyDescent="0.25">
      <c r="A624" s="46" t="inlineStr">
        <is>
          <t xml:space="preserve">CANON-202604-007432</t>
        </is>
      </c>
      <c r="B624" s="46" t="inlineStr">
        <is>
          <t xml:space="preserve">Wilhelmina Thistlewood</t>
        </is>
      </c>
      <c r="C624" s="47">
        <v>46114</v>
      </c>
      <c r="D624" s="48" t="inlineStr">
        <is>
          <t xml:space="preserve">Bound - within authority</t>
        </is>
      </c>
      <c r="E624" s="48" t="inlineStr">
        <is>
          <t xml:space="preserve">New business</t>
        </is>
      </c>
      <c r="F624" s="46" t="inlineStr">
        <is>
          <t xml:space="preserve">B1234EXOTIC26</t>
        </is>
      </c>
      <c r="G624" s="33">
        <f>IF($A624="","",IF($C624="","",YEAR($C624)))</f>
      </c>
      <c r="H624" s="49">
        <v>1997</v>
      </c>
      <c r="I624" s="46" t="inlineStr">
        <is>
          <t xml:space="preserve">Bentley</t>
        </is>
      </c>
      <c r="J624" s="46" t="inlineStr">
        <is>
          <t xml:space="preserve">Continental GT</t>
        </is>
      </c>
      <c r="K624" s="46" t="inlineStr">
        <is>
          <t xml:space="preserve">V6ZN3Z4VVNUMXAN80</t>
        </is>
      </c>
      <c r="L624" s="48" t="inlineStr">
        <is>
          <t xml:space="preserve">02 - Sports / GT</t>
        </is>
      </c>
      <c r="M624" s="50">
        <v>335000</v>
      </c>
      <c r="N624" s="48" t="inlineStr">
        <is>
          <t xml:space="preserve">Personal</t>
        </is>
      </c>
      <c r="O624" s="46" t="inlineStr">
        <is>
          <t xml:space="preserve">Personal - regular use</t>
        </is>
      </c>
      <c r="P624" s="46" t="inlineStr">
        <is>
          <t xml:space="preserve">1,000 - 2,500</t>
        </is>
      </c>
      <c r="Q624" s="46" t="inlineStr">
        <is>
          <t xml:space="preserve">Texas</t>
        </is>
      </c>
      <c r="R624" s="46" t="inlineStr">
        <is>
          <t xml:space="preserve">75201</t>
        </is>
      </c>
      <c r="S624" s="48" t="inlineStr">
        <is>
          <t xml:space="preserve">Tier 2 - Coastal wind (1-25 miles)</t>
        </is>
      </c>
      <c r="T624" s="36">
        <f>IF($A624="","",IF($S624="","",IFERROR(INDEX('[1]natural catastrophe'!$D$6:$D$17,MATCH($S624,'[1]natural catastrophe'!$B$6:$B$17,0)),"?")))</f>
      </c>
      <c r="U624" s="46" t="inlineStr">
        <is>
          <t xml:space="preserve">2% of agreed value, minimum $10,000</t>
        </is>
      </c>
      <c r="V624" s="48" t="inlineStr">
        <is>
          <t xml:space="preserve">Agreed Value</t>
        </is>
      </c>
      <c r="W624" s="46" t="inlineStr">
        <is>
          <t xml:space="preserve">$1,000</t>
        </is>
      </c>
      <c r="X624" s="48" t="inlineStr">
        <is>
          <t xml:space="preserve">$1,000,000 CSL</t>
        </is>
      </c>
      <c r="Y624" s="46"/>
      <c r="Z624" s="46"/>
      <c r="AA624" s="48" t="inlineStr">
        <is>
          <t xml:space="preserve">Surplus Lines</t>
        </is>
      </c>
      <c r="AB624" s="50">
        <v>4527.6</v>
      </c>
      <c r="AC624" s="51">
        <v>0</v>
      </c>
      <c r="AD624" s="38">
        <f>IF(ISNUMBER($AB624),$AB624*(1+N($AC624)),"")</f>
      </c>
      <c r="AE624" s="50">
        <v>350</v>
      </c>
      <c r="AF624" s="50">
        <v>0</v>
      </c>
      <c r="AG624" s="51"/>
      <c r="AH624" s="39">
        <f>IF(ISNUMBER($AD624),($AD624+$AE624+$AF624)*$AG624,"")</f>
      </c>
      <c r="AI624" s="50"/>
      <c r="AJ624" s="38">
        <f>IF(ISNUMBER($AD624),SUM($AD624:$AH624),"")</f>
      </c>
      <c r="AK624" s="40">
        <f>IF(AND(ISNUMBER($AB624),ISNUMBER($AD624)),IF($AB624&gt;0,$AD624/$AB624,""),"")</f>
      </c>
      <c r="AL624" s="48" t="inlineStr">
        <is>
          <t xml:space="preserve">At technical</t>
        </is>
      </c>
      <c r="AM624" s="41">
        <f>IF(ISNUMBER($AD624),Header!$I$3,"")</f>
      </c>
      <c r="AN624" s="39">
        <f>IF(ISNUMBER($AD624),$AO624+$AP624,"")</f>
      </c>
      <c r="AO624" s="39">
        <f>IF(ISNUMBER($AD624),ROUND($AD624*Header!$K$3,2),"")</f>
      </c>
      <c r="AP624" s="39">
        <f>IF(ISNUMBER($AD624),ROUND($AD624*Header!$M$3,2),"")</f>
      </c>
      <c r="AQ624" s="38">
        <f>IF(ISNUMBER($AD624),ROUND($AD624,2)-$AO624-$AP624,"")</f>
      </c>
      <c r="AR624" s="39">
        <f>IF(ISNUMBER($AD624),IF(Header!$D$34="","?",$AD624*Header!$D$34),"")</f>
      </c>
      <c r="AS624" s="39">
        <f>IF(ISNUMBER($AB624),IF(Header!$D$34="","?",$AB624*Header!$D$34),"")</f>
      </c>
      <c r="AT624" s="42">
        <f>IF(AND(ISNUMBER($AB624),$M624&gt;0),$AB624/$M624*100,"")</f>
      </c>
      <c r="AU624" s="42">
        <f>IF(AND(ISNUMBER($AD624),$M624&gt;0),$AD624/$M624*100,"")</f>
      </c>
      <c r="AV624" s="40">
        <f>IF(AND(ISNUMBER($AB624),ISNUMBER($AD624),ABS($AB624)&gt;0),$AD624/$AB624,"")</f>
      </c>
      <c r="AW624" s="39">
        <f>IF(ISNUMBER($AD624),MAX(0,(1-0.55-Header!$O$3)*Header!$Q$3*$AQ624),"")</f>
      </c>
      <c r="AX624" s="43">
        <f>IF($A624="","",IF(TRIM(IF($A624="","Missing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",""))="","PASS","FAIL: "&amp;TRIM(IF($A624="","Missing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f>
      </c>
      <c r="AY624" s="44">
        <f>IF($M624="","",IF(ISNUMBER($M624),IF($M624&gt;=Header!$C$18,"YES — refer","No"),""))</f>
      </c>
      <c r="AZ624" s="44">
        <f>IF($AD624="","",IF(ISNUMBER($AD624),IF($AD624&lt;Header!$C$20,"BELOW MIN PREMIUM","OK"),""))</f>
      </c>
      <c r="BA624" s="48" t="inlineStr">
        <is>
          <t xml:space="preserve">Yes</t>
        </is>
      </c>
      <c r="BB624" s="48" t="inlineStr">
        <is>
          <t xml:space="preserve">Yes</t>
        </is>
      </c>
      <c r="BC624" s="46" t="inlineStr">
        <is>
          <t xml:space="preserve">Synthetic demo data</t>
        </is>
      </c>
      <c r="BE624" s="45">
        <f>IF(OR($A624="",$L624="",$H624=""),"",IF(AND(LEFT($L624,2)="06",$H624&gt;1945),"FAIL - pre-war class, year "&amp;$H624,IF(AND(LEFT($L624,2)="07",OR($H624&lt;1946,$H624&gt;1972)),"FAIL - 1946-72 class, year "&amp;$H624,IF(AND(LEFT($L624,2)="08",OR($H624&lt;1973,$H624&gt;1999)),"FAIL - 1973-99 class, year "&amp;$H624,IF(AND(LEFT($L624,2)="09",OR($H624&lt;2000,$H624&gt;2010)),"FAIL - 2000-10 class, year "&amp;$H624,"OK")))))</f>
      </c>
      <c r="BF624" s="45">
        <f>IF($AD624="","",IF(ROUND($AO624+$AP624+$AQ624-$AD624,2)=0,"OK","FAIL - out by "&amp;TEXT($AO624+$AP624+$AQ624-$AD624,"$0.00")))</f>
      </c>
    </row>
    <row r="625" spans="1:58" ht="18.75" customHeight="1" x14ac:dyDescent="0.25">
      <c r="A625" s="30" t="inlineStr">
        <is>
          <t xml:space="preserve">CANON-202604-007433</t>
        </is>
      </c>
      <c r="B625" s="30" t="inlineStr">
        <is>
          <t xml:space="preserve">Fitzgerald Whitlock</t>
        </is>
      </c>
      <c r="C625" s="31">
        <v>46123</v>
      </c>
      <c r="D625" s="32" t="inlineStr">
        <is>
          <t xml:space="preserve">Bound - within authority</t>
        </is>
      </c>
      <c r="E625" s="32" t="inlineStr">
        <is>
          <t xml:space="preserve">New business</t>
        </is>
      </c>
      <c r="F625" s="30" t="inlineStr">
        <is>
          <t xml:space="preserve">B1234EXOTIC26</t>
        </is>
      </c>
      <c r="G625" s="33">
        <f>IF($A625="","",IF($C625="","",YEAR($C625)))</f>
      </c>
      <c r="H625" s="34">
        <v>2006</v>
      </c>
      <c r="I625" s="30" t="inlineStr">
        <is>
          <t xml:space="preserve">McLaren</t>
        </is>
      </c>
      <c r="J625" s="30" t="inlineStr">
        <is>
          <t xml:space="preserve">750S</t>
        </is>
      </c>
      <c r="K625" s="30" t="inlineStr">
        <is>
          <t xml:space="preserve">9LMNYKY25ANT3HN3H</t>
        </is>
      </c>
      <c r="L625" s="32" t="inlineStr">
        <is>
          <t xml:space="preserve">03 - Supercar</t>
        </is>
      </c>
      <c r="M625" s="35">
        <v>600000</v>
      </c>
      <c r="N625" s="32" t="inlineStr">
        <is>
          <t xml:space="preserve">Personal</t>
        </is>
      </c>
      <c r="O625" s="30" t="inlineStr">
        <is>
          <t xml:space="preserve">Personal - regular use</t>
        </is>
      </c>
      <c r="P625" s="30" t="inlineStr">
        <is>
          <t xml:space="preserve">2,500 - 5,000</t>
        </is>
      </c>
      <c r="Q625" s="30" t="inlineStr">
        <is>
          <t xml:space="preserve">Massachusetts</t>
        </is>
      </c>
      <c r="R625" s="30" t="inlineStr">
        <is>
          <t xml:space="preserve">02108</t>
        </is>
      </c>
      <c r="S625" s="32" t="inlineStr">
        <is>
          <t xml:space="preserve">Tier 3 - Coastal wind (25-100 miles)</t>
        </is>
      </c>
      <c r="T625" s="36">
        <f>IF($A625="","",IF($S625="","",IFERROR(INDEX('[1]natural catastrophe'!$D$6:$D$17,MATCH($S625,'[1]natural catastrophe'!$B$6:$B$17,0)),"?")))</f>
      </c>
      <c r="U625" s="30" t="inlineStr">
        <is>
          <t xml:space="preserve">2% of agreed value, minimum $10,000</t>
        </is>
      </c>
      <c r="V625" s="32" t="inlineStr">
        <is>
          <t xml:space="preserve">Agreed Value</t>
        </is>
      </c>
      <c r="W625" s="30" t="inlineStr">
        <is>
          <t xml:space="preserve">$1,000</t>
        </is>
      </c>
      <c r="X625" s="32" t="inlineStr">
        <is>
          <t xml:space="preserve">$1,000,000 CSL</t>
        </is>
      </c>
      <c r="Y625" s="30"/>
      <c r="Z625" s="30"/>
      <c r="AA625" s="32" t="inlineStr">
        <is>
          <t xml:space="preserve">Surplus Lines</t>
        </is>
      </c>
      <c r="AB625" s="35">
        <v>11164.74</v>
      </c>
      <c r="AC625" s="37">
        <v>0</v>
      </c>
      <c r="AD625" s="38">
        <f>IF(ISNUMBER($AB625),$AB625*(1+N($AC625)),"")</f>
      </c>
      <c r="AE625" s="35">
        <v>350</v>
      </c>
      <c r="AF625" s="35">
        <v>0</v>
      </c>
      <c r="AG625" s="37"/>
      <c r="AH625" s="39">
        <f>IF(ISNUMBER($AD625),($AD625+$AE625+$AF625)*$AG625,"")</f>
      </c>
      <c r="AI625" s="35"/>
      <c r="AJ625" s="38">
        <f>IF(ISNUMBER($AD625),SUM($AD625:$AH625),"")</f>
      </c>
      <c r="AK625" s="40">
        <f>IF(AND(ISNUMBER($AB625),ISNUMBER($AD625)),IF($AB625&gt;0,$AD625/$AB625,""),"")</f>
      </c>
      <c r="AL625" s="32" t="inlineStr">
        <is>
          <t xml:space="preserve">At technical</t>
        </is>
      </c>
      <c r="AM625" s="41">
        <f>IF(ISNUMBER($AD625),Header!$I$3,"")</f>
      </c>
      <c r="AN625" s="39">
        <f>IF(ISNUMBER($AD625),$AO625+$AP625,"")</f>
      </c>
      <c r="AO625" s="39">
        <f>IF(ISNUMBER($AD625),ROUND($AD625*Header!$K$3,2),"")</f>
      </c>
      <c r="AP625" s="39">
        <f>IF(ISNUMBER($AD625),ROUND($AD625*Header!$M$3,2),"")</f>
      </c>
      <c r="AQ625" s="38">
        <f>IF(ISNUMBER($AD625),ROUND($AD625,2)-$AO625-$AP625,"")</f>
      </c>
      <c r="AR625" s="39">
        <f>IF(ISNUMBER($AD625),IF(Header!$D$34="","?",$AD625*Header!$D$34),"")</f>
      </c>
      <c r="AS625" s="39">
        <f>IF(ISNUMBER($AB625),IF(Header!$D$34="","?",$AB625*Header!$D$34),"")</f>
      </c>
      <c r="AT625" s="42">
        <f>IF(AND(ISNUMBER($AB625),$M625&gt;0),$AB625/$M625*100,"")</f>
      </c>
      <c r="AU625" s="42">
        <f>IF(AND(ISNUMBER($AD625),$M625&gt;0),$AD625/$M625*100,"")</f>
      </c>
      <c r="AV625" s="40">
        <f>IF(AND(ISNUMBER($AB625),ISNUMBER($AD625),ABS($AB625)&gt;0),$AD625/$AB625,"")</f>
      </c>
      <c r="AW625" s="39">
        <f>IF(ISNUMBER($AD625),MAX(0,(1-0.55-Header!$O$3)*Header!$Q$3*$AQ625),"")</f>
      </c>
      <c r="AX625" s="43">
        <f>IF($A625="","",IF(TRIM(IF($A625="","Missing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",""))="","PASS","FAIL: "&amp;TRIM(IF($A625="","Missing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f>
      </c>
      <c r="AY625" s="44">
        <f>IF($M625="","",IF(ISNUMBER($M625),IF($M625&gt;=Header!$C$18,"YES — refer","No"),""))</f>
      </c>
      <c r="AZ625" s="44">
        <f>IF($AD625="","",IF(ISNUMBER($AD625),IF($AD625&lt;Header!$C$20,"BELOW MIN PREMIUM","OK"),""))</f>
      </c>
      <c r="BA625" s="32" t="inlineStr">
        <is>
          <t xml:space="preserve">Yes</t>
        </is>
      </c>
      <c r="BB625" s="32" t="inlineStr">
        <is>
          <t xml:space="preserve">Yes</t>
        </is>
      </c>
      <c r="BC625" s="30" t="inlineStr">
        <is>
          <t xml:space="preserve">Synthetic demo data</t>
        </is>
      </c>
      <c r="BE625" s="45">
        <f>IF(OR($A625="",$L625="",$H625=""),"",IF(AND(LEFT($L625,2)="06",$H625&gt;1945),"FAIL - pre-war class, year "&amp;$H625,IF(AND(LEFT($L625,2)="07",OR($H625&lt;1946,$H625&gt;1972)),"FAIL - 1946-72 class, year "&amp;$H625,IF(AND(LEFT($L625,2)="08",OR($H625&lt;1973,$H625&gt;1999)),"FAIL - 1973-99 class, year "&amp;$H625,IF(AND(LEFT($L625,2)="09",OR($H625&lt;2000,$H625&gt;2010)),"FAIL - 2000-10 class, year "&amp;$H625,"OK")))))</f>
      </c>
      <c r="BF625" s="45">
        <f>IF($AD625="","",IF(ROUND($AO625+$AP625+$AQ625-$AD625,2)=0,"OK","FAIL - out by "&amp;TEXT($AO625+$AP625+$AQ625-$AD625,"$0.00")))</f>
      </c>
    </row>
    <row r="626" spans="1:58" ht="18.75" customHeight="1" x14ac:dyDescent="0.25">
      <c r="A626" s="46" t="inlineStr">
        <is>
          <t xml:space="preserve">CANON-202604-007434</t>
        </is>
      </c>
      <c r="B626" s="46" t="inlineStr">
        <is>
          <t xml:space="preserve">Ramona Chattopadhyay</t>
        </is>
      </c>
      <c r="C626" s="47">
        <v>46122</v>
      </c>
      <c r="D626" s="48" t="inlineStr">
        <is>
          <t xml:space="preserve">Bound - within authority</t>
        </is>
      </c>
      <c r="E626" s="48" t="inlineStr">
        <is>
          <t xml:space="preserve">New business</t>
        </is>
      </c>
      <c r="F626" s="46" t="inlineStr">
        <is>
          <t xml:space="preserve">B1234EXOTIC26</t>
        </is>
      </c>
      <c r="G626" s="33">
        <f>IF($A626="","",IF($C626="","",YEAR($C626)))</f>
      </c>
      <c r="H626" s="49">
        <v>1982</v>
      </c>
      <c r="I626" s="46" t="inlineStr">
        <is>
          <t xml:space="preserve">Maserati</t>
        </is>
      </c>
      <c r="J626" s="46" t="inlineStr">
        <is>
          <t xml:space="preserve">GranTurismo</t>
        </is>
      </c>
      <c r="K626" s="46" t="inlineStr">
        <is>
          <t xml:space="preserve">1K0KU9GC1914VKH76</t>
        </is>
      </c>
      <c r="L626" s="48" t="inlineStr">
        <is>
          <t xml:space="preserve">02 - Sports / GT</t>
        </is>
      </c>
      <c r="M626" s="50">
        <v>890000</v>
      </c>
      <c r="N626" s="48" t="inlineStr">
        <is>
          <t xml:space="preserve">Personal</t>
        </is>
      </c>
      <c r="O626" s="46" t="inlineStr">
        <is>
          <t xml:space="preserve">Personal - regular use</t>
        </is>
      </c>
      <c r="P626" s="46" t="inlineStr">
        <is>
          <t xml:space="preserve">2,500 - 5,000</t>
        </is>
      </c>
      <c r="Q626" s="46" t="inlineStr">
        <is>
          <t xml:space="preserve">Massachusetts</t>
        </is>
      </c>
      <c r="R626" s="46" t="inlineStr">
        <is>
          <t xml:space="preserve">02108</t>
        </is>
      </c>
      <c r="S626" s="48" t="inlineStr">
        <is>
          <t xml:space="preserve">Tier 3 - Coastal wind (25-100 miles)</t>
        </is>
      </c>
      <c r="T626" s="36">
        <f>IF($A626="","",IF($S626="","",IFERROR(INDEX('[1]natural catastrophe'!$D$6:$D$17,MATCH($S626,'[1]natural catastrophe'!$B$6:$B$17,0)),"?")))</f>
      </c>
      <c r="U626" s="46" t="inlineStr">
        <is>
          <t xml:space="preserve">2% of agreed value, minimum $10,000</t>
        </is>
      </c>
      <c r="V626" s="48" t="inlineStr">
        <is>
          <t xml:space="preserve">Agreed Value</t>
        </is>
      </c>
      <c r="W626" s="46" t="inlineStr">
        <is>
          <t xml:space="preserve">$1,000</t>
        </is>
      </c>
      <c r="X626" s="48" t="inlineStr">
        <is>
          <t xml:space="preserve">$1,000,000 CSL</t>
        </is>
      </c>
      <c r="Y626" s="46"/>
      <c r="Z626" s="46"/>
      <c r="AA626" s="48" t="inlineStr">
        <is>
          <t xml:space="preserve">Surplus Lines</t>
        </is>
      </c>
      <c r="AB626" s="50">
        <v>11331.23</v>
      </c>
      <c r="AC626" s="51">
        <v>0</v>
      </c>
      <c r="AD626" s="38">
        <f>IF(ISNUMBER($AB626),$AB626*(1+N($AC626)),"")</f>
      </c>
      <c r="AE626" s="50">
        <v>350</v>
      </c>
      <c r="AF626" s="50">
        <v>0</v>
      </c>
      <c r="AG626" s="51"/>
      <c r="AH626" s="39">
        <f>IF(ISNUMBER($AD626),($AD626+$AE626+$AF626)*$AG626,"")</f>
      </c>
      <c r="AI626" s="50"/>
      <c r="AJ626" s="38">
        <f>IF(ISNUMBER($AD626),SUM($AD626:$AH626),"")</f>
      </c>
      <c r="AK626" s="40">
        <f>IF(AND(ISNUMBER($AB626),ISNUMBER($AD626)),IF($AB626&gt;0,$AD626/$AB626,""),"")</f>
      </c>
      <c r="AL626" s="48" t="inlineStr">
        <is>
          <t xml:space="preserve">At technical</t>
        </is>
      </c>
      <c r="AM626" s="41">
        <f>IF(ISNUMBER($AD626),Header!$I$3,"")</f>
      </c>
      <c r="AN626" s="39">
        <f>IF(ISNUMBER($AD626),$AO626+$AP626,"")</f>
      </c>
      <c r="AO626" s="39">
        <f>IF(ISNUMBER($AD626),ROUND($AD626*Header!$K$3,2),"")</f>
      </c>
      <c r="AP626" s="39">
        <f>IF(ISNUMBER($AD626),ROUND($AD626*Header!$M$3,2),"")</f>
      </c>
      <c r="AQ626" s="38">
        <f>IF(ISNUMBER($AD626),ROUND($AD626,2)-$AO626-$AP626,"")</f>
      </c>
      <c r="AR626" s="39">
        <f>IF(ISNUMBER($AD626),IF(Header!$D$34="","?",$AD626*Header!$D$34),"")</f>
      </c>
      <c r="AS626" s="39">
        <f>IF(ISNUMBER($AB626),IF(Header!$D$34="","?",$AB626*Header!$D$34),"")</f>
      </c>
      <c r="AT626" s="42">
        <f>IF(AND(ISNUMBER($AB626),$M626&gt;0),$AB626/$M626*100,"")</f>
      </c>
      <c r="AU626" s="42">
        <f>IF(AND(ISNUMBER($AD626),$M626&gt;0),$AD626/$M626*100,"")</f>
      </c>
      <c r="AV626" s="40">
        <f>IF(AND(ISNUMBER($AB626),ISNUMBER($AD626),ABS($AB626)&gt;0),$AD626/$AB626,"")</f>
      </c>
      <c r="AW626" s="39">
        <f>IF(ISNUMBER($AD626),MAX(0,(1-0.55-Header!$O$3)*Header!$Q$3*$AQ626),"")</f>
      </c>
      <c r="AX626" s="43">
        <f>IF($A626="","",IF(TRIM(IF($A626="","Missing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",""))="","PASS","FAIL: "&amp;TRIM(IF($A626="","Missing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f>
      </c>
      <c r="AY626" s="44">
        <f>IF($M626="","",IF(ISNUMBER($M626),IF($M626&gt;=Header!$C$18,"YES — refer","No"),""))</f>
      </c>
      <c r="AZ626" s="44">
        <f>IF($AD626="","",IF(ISNUMBER($AD626),IF($AD626&lt;Header!$C$20,"BELOW MIN PREMIUM","OK"),""))</f>
      </c>
      <c r="BA626" s="48" t="inlineStr">
        <is>
          <t xml:space="preserve">Yes</t>
        </is>
      </c>
      <c r="BB626" s="48" t="inlineStr">
        <is>
          <t xml:space="preserve">Yes</t>
        </is>
      </c>
      <c r="BC626" s="46" t="inlineStr">
        <is>
          <t xml:space="preserve">Synthetic demo data</t>
        </is>
      </c>
      <c r="BE626" s="45">
        <f>IF(OR($A626="",$L626="",$H626=""),"",IF(AND(LEFT($L626,2)="06",$H626&gt;1945),"FAIL - pre-war class, year "&amp;$H626,IF(AND(LEFT($L626,2)="07",OR($H626&lt;1946,$H626&gt;1972)),"FAIL - 1946-72 class, year "&amp;$H626,IF(AND(LEFT($L626,2)="08",OR($H626&lt;1973,$H626&gt;1999)),"FAIL - 1973-99 class, year "&amp;$H626,IF(AND(LEFT($L626,2)="09",OR($H626&lt;2000,$H626&gt;2010)),"FAIL - 2000-10 class, year "&amp;$H626,"OK")))))</f>
      </c>
      <c r="BF626" s="45">
        <f>IF($AD626="","",IF(ROUND($AO626+$AP626+$AQ626-$AD626,2)=0,"OK","FAIL - out by "&amp;TEXT($AO626+$AP626+$AQ626-$AD626,"$0.00")))</f>
      </c>
    </row>
    <row r="627" spans="1:58" ht="18.75" customHeight="1" x14ac:dyDescent="0.25">
      <c r="A627" s="30" t="inlineStr">
        <is>
          <t xml:space="preserve">CANON-202604-007435</t>
        </is>
      </c>
      <c r="B627" s="30" t="inlineStr">
        <is>
          <t xml:space="preserve">Everett Montoya</t>
        </is>
      </c>
      <c r="C627" s="31">
        <v>46122</v>
      </c>
      <c r="D627" s="32" t="inlineStr">
        <is>
          <t xml:space="preserve">Bound - within authority</t>
        </is>
      </c>
      <c r="E627" s="32" t="inlineStr">
        <is>
          <t xml:space="preserve">New business</t>
        </is>
      </c>
      <c r="F627" s="30" t="inlineStr">
        <is>
          <t xml:space="preserve">B1234EXOTIC26</t>
        </is>
      </c>
      <c r="G627" s="33">
        <f>IF($A627="","",IF($C627="","",YEAR($C627)))</f>
      </c>
      <c r="H627" s="34">
        <v>2012</v>
      </c>
      <c r="I627" s="30" t="inlineStr">
        <is>
          <t xml:space="preserve">Icon</t>
        </is>
      </c>
      <c r="J627" s="30" t="inlineStr">
        <is>
          <t xml:space="preserve">Derelict</t>
        </is>
      </c>
      <c r="K627" s="30" t="inlineStr">
        <is>
          <t xml:space="preserve">GWM73DGMR1NGUTWPZ</t>
        </is>
      </c>
      <c r="L627" s="32" t="inlineStr">
        <is>
          <t xml:space="preserve">11 - Restomod / Coachbuilt / Bespoke</t>
        </is>
      </c>
      <c r="M627" s="35">
        <v>700000</v>
      </c>
      <c r="N627" s="32" t="inlineStr">
        <is>
          <t xml:space="preserve">Personal</t>
        </is>
      </c>
      <c r="O627" s="30" t="inlineStr">
        <is>
          <t xml:space="preserve">Personal - regular use</t>
        </is>
      </c>
      <c r="P627" s="30" t="inlineStr">
        <is>
          <t xml:space="preserve">2,500 - 5,000</t>
        </is>
      </c>
      <c r="Q627" s="30" t="inlineStr">
        <is>
          <t xml:space="preserve">Oklahoma</t>
        </is>
      </c>
      <c r="R627" s="30" t="inlineStr">
        <is>
          <t xml:space="preserve">73102</t>
        </is>
      </c>
      <c r="S627" s="32" t="inlineStr">
        <is>
          <t xml:space="preserve">Severe convective - hail alley (high)</t>
        </is>
      </c>
      <c r="T627" s="36">
        <f>IF($A627="","",IF($S627="","",IFERROR(INDEX('[1]natural catastrophe'!$D$6:$D$17,MATCH($S627,'[1]natural catastrophe'!$B$6:$B$17,0)),"?")))</f>
      </c>
      <c r="U627" s="30" t="inlineStr">
        <is>
          <t xml:space="preserve">$5,000</t>
        </is>
      </c>
      <c r="V627" s="32" t="inlineStr">
        <is>
          <t xml:space="preserve">Agreed Value</t>
        </is>
      </c>
      <c r="W627" s="30" t="inlineStr">
        <is>
          <t xml:space="preserve">$1,000</t>
        </is>
      </c>
      <c r="X627" s="32" t="inlineStr">
        <is>
          <t xml:space="preserve">$1,000,000 CSL</t>
        </is>
      </c>
      <c r="Y627" s="30"/>
      <c r="Z627" s="30"/>
      <c r="AA627" s="32" t="inlineStr">
        <is>
          <t xml:space="preserve">Surplus Lines</t>
        </is>
      </c>
      <c r="AB627" s="35">
        <v>10780.21</v>
      </c>
      <c r="AC627" s="37">
        <v>0</v>
      </c>
      <c r="AD627" s="38">
        <f>IF(ISNUMBER($AB627),$AB627*(1+N($AC627)),"")</f>
      </c>
      <c r="AE627" s="35">
        <v>350</v>
      </c>
      <c r="AF627" s="35">
        <v>0</v>
      </c>
      <c r="AG627" s="37"/>
      <c r="AH627" s="39">
        <f>IF(ISNUMBER($AD627),($AD627+$AE627+$AF627)*$AG627,"")</f>
      </c>
      <c r="AI627" s="35"/>
      <c r="AJ627" s="38">
        <f>IF(ISNUMBER($AD627),SUM($AD627:$AH627),"")</f>
      </c>
      <c r="AK627" s="40">
        <f>IF(AND(ISNUMBER($AB627),ISNUMBER($AD627)),IF($AB627&gt;0,$AD627/$AB627,""),"")</f>
      </c>
      <c r="AL627" s="32" t="inlineStr">
        <is>
          <t xml:space="preserve">At technical</t>
        </is>
      </c>
      <c r="AM627" s="41">
        <f>IF(ISNUMBER($AD627),Header!$I$3,"")</f>
      </c>
      <c r="AN627" s="39">
        <f>IF(ISNUMBER($AD627),$AO627+$AP627,"")</f>
      </c>
      <c r="AO627" s="39">
        <f>IF(ISNUMBER($AD627),ROUND($AD627*Header!$K$3,2),"")</f>
      </c>
      <c r="AP627" s="39">
        <f>IF(ISNUMBER($AD627),ROUND($AD627*Header!$M$3,2),"")</f>
      </c>
      <c r="AQ627" s="38">
        <f>IF(ISNUMBER($AD627),ROUND($AD627,2)-$AO627-$AP627,"")</f>
      </c>
      <c r="AR627" s="39">
        <f>IF(ISNUMBER($AD627),IF(Header!$D$34="","?",$AD627*Header!$D$34),"")</f>
      </c>
      <c r="AS627" s="39">
        <f>IF(ISNUMBER($AB627),IF(Header!$D$34="","?",$AB627*Header!$D$34),"")</f>
      </c>
      <c r="AT627" s="42">
        <f>IF(AND(ISNUMBER($AB627),$M627&gt;0),$AB627/$M627*100,"")</f>
      </c>
      <c r="AU627" s="42">
        <f>IF(AND(ISNUMBER($AD627),$M627&gt;0),$AD627/$M627*100,"")</f>
      </c>
      <c r="AV627" s="40">
        <f>IF(AND(ISNUMBER($AB627),ISNUMBER($AD627),ABS($AB627)&gt;0),$AD627/$AB627,"")</f>
      </c>
      <c r="AW627" s="39">
        <f>IF(ISNUMBER($AD627),MAX(0,(1-0.55-Header!$O$3)*Header!$Q$3*$AQ627),"")</f>
      </c>
      <c r="AX627" s="43">
        <f>IF($A627="","",IF(TRIM(IF($A627="","Missing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",""))="","PASS","FAIL: "&amp;TRIM(IF($A627="","Missing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f>
      </c>
      <c r="AY627" s="44">
        <f>IF($M627="","",IF(ISNUMBER($M627),IF($M627&gt;=Header!$C$18,"YES — refer","No"),""))</f>
      </c>
      <c r="AZ627" s="44">
        <f>IF($AD627="","",IF(ISNUMBER($AD627),IF($AD627&lt;Header!$C$20,"BELOW MIN PREMIUM","OK"),""))</f>
      </c>
      <c r="BA627" s="32" t="inlineStr">
        <is>
          <t xml:space="preserve">Yes</t>
        </is>
      </c>
      <c r="BB627" s="32" t="inlineStr">
        <is>
          <t xml:space="preserve">Yes</t>
        </is>
      </c>
      <c r="BC627" s="30" t="inlineStr">
        <is>
          <t xml:space="preserve">Synthetic demo data</t>
        </is>
      </c>
      <c r="BE627" s="45">
        <f>IF(OR($A627="",$L627="",$H627=""),"",IF(AND(LEFT($L627,2)="06",$H627&gt;1945),"FAIL - pre-war class, year "&amp;$H627,IF(AND(LEFT($L627,2)="07",OR($H627&lt;1946,$H627&gt;1972)),"FAIL - 1946-72 class, year "&amp;$H627,IF(AND(LEFT($L627,2)="08",OR($H627&lt;1973,$H627&gt;1999)),"FAIL - 1973-99 class, year "&amp;$H627,IF(AND(LEFT($L627,2)="09",OR($H627&lt;2000,$H627&gt;2010)),"FAIL - 2000-10 class, year "&amp;$H627,"OK")))))</f>
      </c>
      <c r="BF627" s="45">
        <f>IF($AD627="","",IF(ROUND($AO627+$AP627+$AQ627-$AD627,2)=0,"OK","FAIL - out by "&amp;TEXT($AO627+$AP627+$AQ627-$AD627,"$0.00")))</f>
      </c>
    </row>
    <row r="628" spans="1:58" ht="18.75" customHeight="1" x14ac:dyDescent="0.25">
      <c r="A628" s="46" t="inlineStr">
        <is>
          <t xml:space="preserve">CANON-202604-007436</t>
        </is>
      </c>
      <c r="B628" s="46" t="inlineStr">
        <is>
          <t xml:space="preserve">Delphine Kingsford</t>
        </is>
      </c>
      <c r="C628" s="47">
        <v>46128</v>
      </c>
      <c r="D628" s="48" t="inlineStr">
        <is>
          <t xml:space="preserve">Bound - within authority</t>
        </is>
      </c>
      <c r="E628" s="48" t="inlineStr">
        <is>
          <t xml:space="preserve">New business</t>
        </is>
      </c>
      <c r="F628" s="46" t="inlineStr">
        <is>
          <t xml:space="preserve">B1234EXOTIC26</t>
        </is>
      </c>
      <c r="G628" s="33">
        <f>IF($A628="","",IF($C628="","",YEAR($C628)))</f>
      </c>
      <c r="H628" s="49">
        <v>2009</v>
      </c>
      <c r="I628" s="46" t="inlineStr">
        <is>
          <t xml:space="preserve">Aston Martin</t>
        </is>
      </c>
      <c r="J628" s="46" t="inlineStr">
        <is>
          <t xml:space="preserve">DB12</t>
        </is>
      </c>
      <c r="K628" s="46" t="inlineStr">
        <is>
          <t xml:space="preserve">9LLK3HB1KCLU2GHW4</t>
        </is>
      </c>
      <c r="L628" s="48" t="inlineStr">
        <is>
          <t xml:space="preserve">02 - Sports / GT</t>
        </is>
      </c>
      <c r="M628" s="50">
        <v>485000</v>
      </c>
      <c r="N628" s="48" t="inlineStr">
        <is>
          <t xml:space="preserve">Personal</t>
        </is>
      </c>
      <c r="O628" s="46" t="inlineStr">
        <is>
          <t xml:space="preserve">Personal - regular use</t>
        </is>
      </c>
      <c r="P628" s="46" t="inlineStr">
        <is>
          <t xml:space="preserve">1,000 - 2,500</t>
        </is>
      </c>
      <c r="Q628" s="46" t="inlineStr">
        <is>
          <t xml:space="preserve">North Dakota</t>
        </is>
      </c>
      <c r="R628" s="46" t="inlineStr">
        <is>
          <t xml:space="preserve">58501</t>
        </is>
      </c>
      <c r="S628" s="48" t="inlineStr">
        <is>
          <t xml:space="preserve">Severe convective - hail alley (high)</t>
        </is>
      </c>
      <c r="T628" s="36">
        <f>IF($A628="","",IF($S628="","",IFERROR(INDEX('[1]natural catastrophe'!$D$6:$D$17,MATCH($S628,'[1]natural catastrophe'!$B$6:$B$17,0)),"?")))</f>
      </c>
      <c r="U628" s="46" t="inlineStr">
        <is>
          <t xml:space="preserve">$5,000</t>
        </is>
      </c>
      <c r="V628" s="48" t="inlineStr">
        <is>
          <t xml:space="preserve">Agreed Value</t>
        </is>
      </c>
      <c r="W628" s="46" t="inlineStr">
        <is>
          <t xml:space="preserve">$1,000</t>
        </is>
      </c>
      <c r="X628" s="48" t="inlineStr">
        <is>
          <t xml:space="preserve">$1,000,000 CSL</t>
        </is>
      </c>
      <c r="Y628" s="46"/>
      <c r="Z628" s="46"/>
      <c r="AA628" s="48" t="inlineStr">
        <is>
          <t xml:space="preserve">Surplus Lines</t>
        </is>
      </c>
      <c r="AB628" s="50">
        <v>5813.89</v>
      </c>
      <c r="AC628" s="51">
        <v>0</v>
      </c>
      <c r="AD628" s="38">
        <f>IF(ISNUMBER($AB628),$AB628*(1+N($AC628)),"")</f>
      </c>
      <c r="AE628" s="50">
        <v>350</v>
      </c>
      <c r="AF628" s="50">
        <v>0</v>
      </c>
      <c r="AG628" s="51"/>
      <c r="AH628" s="39">
        <f>IF(ISNUMBER($AD628),($AD628+$AE628+$AF628)*$AG628,"")</f>
      </c>
      <c r="AI628" s="50"/>
      <c r="AJ628" s="38">
        <f>IF(ISNUMBER($AD628),SUM($AD628:$AH628),"")</f>
      </c>
      <c r="AK628" s="40">
        <f>IF(AND(ISNUMBER($AB628),ISNUMBER($AD628)),IF($AB628&gt;0,$AD628/$AB628,""),"")</f>
      </c>
      <c r="AL628" s="48" t="inlineStr">
        <is>
          <t xml:space="preserve">At technical</t>
        </is>
      </c>
      <c r="AM628" s="41">
        <f>IF(ISNUMBER($AD628),Header!$I$3,"")</f>
      </c>
      <c r="AN628" s="39">
        <f>IF(ISNUMBER($AD628),$AO628+$AP628,"")</f>
      </c>
      <c r="AO628" s="39">
        <f>IF(ISNUMBER($AD628),ROUND($AD628*Header!$K$3,2),"")</f>
      </c>
      <c r="AP628" s="39">
        <f>IF(ISNUMBER($AD628),ROUND($AD628*Header!$M$3,2),"")</f>
      </c>
      <c r="AQ628" s="38">
        <f>IF(ISNUMBER($AD628),ROUND($AD628,2)-$AO628-$AP628,"")</f>
      </c>
      <c r="AR628" s="39">
        <f>IF(ISNUMBER($AD628),IF(Header!$D$34="","?",$AD628*Header!$D$34),"")</f>
      </c>
      <c r="AS628" s="39">
        <f>IF(ISNUMBER($AB628),IF(Header!$D$34="","?",$AB628*Header!$D$34),"")</f>
      </c>
      <c r="AT628" s="42">
        <f>IF(AND(ISNUMBER($AB628),$M628&gt;0),$AB628/$M628*100,"")</f>
      </c>
      <c r="AU628" s="42">
        <f>IF(AND(ISNUMBER($AD628),$M628&gt;0),$AD628/$M628*100,"")</f>
      </c>
      <c r="AV628" s="40">
        <f>IF(AND(ISNUMBER($AB628),ISNUMBER($AD628),ABS($AB628)&gt;0),$AD628/$AB628,"")</f>
      </c>
      <c r="AW628" s="39">
        <f>IF(ISNUMBER($AD628),MAX(0,(1-0.55-Header!$O$3)*Header!$Q$3*$AQ628),"")</f>
      </c>
      <c r="AX628" s="43">
        <f>IF($A628="","",IF(TRIM(IF($A628="","Missing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",""))="","PASS","FAIL: "&amp;TRIM(IF($A628="","Missing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f>
      </c>
      <c r="AY628" s="44">
        <f>IF($M628="","",IF(ISNUMBER($M628),IF($M628&gt;=Header!$C$18,"YES — refer","No"),""))</f>
      </c>
      <c r="AZ628" s="44">
        <f>IF($AD628="","",IF(ISNUMBER($AD628),IF($AD628&lt;Header!$C$20,"BELOW MIN PREMIUM","OK"),""))</f>
      </c>
      <c r="BA628" s="48" t="inlineStr">
        <is>
          <t xml:space="preserve">Yes</t>
        </is>
      </c>
      <c r="BB628" s="48" t="inlineStr">
        <is>
          <t xml:space="preserve">Yes</t>
        </is>
      </c>
      <c r="BC628" s="46" t="inlineStr">
        <is>
          <t xml:space="preserve">Synthetic demo data</t>
        </is>
      </c>
      <c r="BE628" s="45">
        <f>IF(OR($A628="",$L628="",$H628=""),"",IF(AND(LEFT($L628,2)="06",$H628&gt;1945),"FAIL - pre-war class, year "&amp;$H628,IF(AND(LEFT($L628,2)="07",OR($H628&lt;1946,$H628&gt;1972)),"FAIL - 1946-72 class, year "&amp;$H628,IF(AND(LEFT($L628,2)="08",OR($H628&lt;1973,$H628&gt;1999)),"FAIL - 1973-99 class, year "&amp;$H628,IF(AND(LEFT($L628,2)="09",OR($H628&lt;2000,$H628&gt;2010)),"FAIL - 2000-10 class, year "&amp;$H628,"OK")))))</f>
      </c>
      <c r="BF628" s="45">
        <f>IF($AD628="","",IF(ROUND($AO628+$AP628+$AQ628-$AD628,2)=0,"OK","FAIL - out by "&amp;TEXT($AO628+$AP628+$AQ628-$AD628,"$0.00")))</f>
      </c>
    </row>
    <row r="629" spans="1:58" ht="18.75" customHeight="1" x14ac:dyDescent="0.25">
      <c r="A629" s="30" t="inlineStr">
        <is>
          <t xml:space="preserve">CANON-202604-007437</t>
        </is>
      </c>
      <c r="B629" s="30" t="inlineStr">
        <is>
          <t xml:space="preserve">Mireille Farkas</t>
        </is>
      </c>
      <c r="C629" s="31">
        <v>46132</v>
      </c>
      <c r="D629" s="32" t="inlineStr">
        <is>
          <t xml:space="preserve">Bound - within authority</t>
        </is>
      </c>
      <c r="E629" s="32" t="inlineStr">
        <is>
          <t xml:space="preserve">New business</t>
        </is>
      </c>
      <c r="F629" s="30" t="inlineStr">
        <is>
          <t xml:space="preserve">B1234EXOTIC26</t>
        </is>
      </c>
      <c r="G629" s="33">
        <f>IF($A629="","",IF($C629="","",YEAR($C629)))</f>
      </c>
      <c r="H629" s="34">
        <v>1970</v>
      </c>
      <c r="I629" s="30" t="inlineStr">
        <is>
          <t xml:space="preserve">Aston Martin</t>
        </is>
      </c>
      <c r="J629" s="30" t="inlineStr">
        <is>
          <t xml:space="preserve">DB5</t>
        </is>
      </c>
      <c r="K629" s="30" t="inlineStr">
        <is>
          <t xml:space="preserve">CCEZJ6AGBPLH0BY1W</t>
        </is>
      </c>
      <c r="L629" s="32" t="inlineStr">
        <is>
          <t xml:space="preserve">07 - Post-War Classic (1946-1972)</t>
        </is>
      </c>
      <c r="M629" s="35">
        <v>355000</v>
      </c>
      <c r="N629" s="32" t="inlineStr">
        <is>
          <t xml:space="preserve">Personal</t>
        </is>
      </c>
      <c r="O629" s="30" t="inlineStr">
        <is>
          <t xml:space="preserve">Personal - regular use</t>
        </is>
      </c>
      <c r="P629" s="30" t="inlineStr">
        <is>
          <t xml:space="preserve">2,500 - 5,000</t>
        </is>
      </c>
      <c r="Q629" s="30" t="inlineStr">
        <is>
          <t xml:space="preserve">Michigan</t>
        </is>
      </c>
      <c r="R629" s="30" t="inlineStr">
        <is>
          <t xml:space="preserve">48226</t>
        </is>
      </c>
      <c r="S629" s="32" t="inlineStr">
        <is>
          <t xml:space="preserve">Severe convective - hail / tornado (moderate)</t>
        </is>
      </c>
      <c r="T629" s="36">
        <f>IF($A629="","",IF($S629="","",IFERROR(INDEX('[1]natural catastrophe'!$D$6:$D$17,MATCH($S629,'[1]natural catastrophe'!$B$6:$B$17,0)),"?")))</f>
      </c>
      <c r="U629" s="30" t="inlineStr">
        <is>
          <t xml:space="preserve">$5,000</t>
        </is>
      </c>
      <c r="V629" s="32" t="inlineStr">
        <is>
          <t xml:space="preserve">Agreed Value</t>
        </is>
      </c>
      <c r="W629" s="30" t="inlineStr">
        <is>
          <t xml:space="preserve">$1,000</t>
        </is>
      </c>
      <c r="X629" s="32" t="inlineStr">
        <is>
          <t xml:space="preserve">$1,000,000 CSL</t>
        </is>
      </c>
      <c r="Y629" s="30"/>
      <c r="Z629" s="30"/>
      <c r="AA629" s="32" t="inlineStr">
        <is>
          <t xml:space="preserve">Surplus Lines</t>
        </is>
      </c>
      <c r="AB629" s="35">
        <v>4138.71</v>
      </c>
      <c r="AC629" s="37">
        <v>0</v>
      </c>
      <c r="AD629" s="38">
        <f>IF(ISNUMBER($AB629),$AB629*(1+N($AC629)),"")</f>
      </c>
      <c r="AE629" s="35">
        <v>350</v>
      </c>
      <c r="AF629" s="35">
        <v>0</v>
      </c>
      <c r="AG629" s="37"/>
      <c r="AH629" s="39">
        <f>IF(ISNUMBER($AD629),($AD629+$AE629+$AF629)*$AG629,"")</f>
      </c>
      <c r="AI629" s="35"/>
      <c r="AJ629" s="38">
        <f>IF(ISNUMBER($AD629),SUM($AD629:$AH629),"")</f>
      </c>
      <c r="AK629" s="40">
        <f>IF(AND(ISNUMBER($AB629),ISNUMBER($AD629)),IF($AB629&gt;0,$AD629/$AB629,""),"")</f>
      </c>
      <c r="AL629" s="32" t="inlineStr">
        <is>
          <t xml:space="preserve">At technical</t>
        </is>
      </c>
      <c r="AM629" s="41">
        <f>IF(ISNUMBER($AD629),Header!$I$3,"")</f>
      </c>
      <c r="AN629" s="39">
        <f>IF(ISNUMBER($AD629),$AO629+$AP629,"")</f>
      </c>
      <c r="AO629" s="39">
        <f>IF(ISNUMBER($AD629),ROUND($AD629*Header!$K$3,2),"")</f>
      </c>
      <c r="AP629" s="39">
        <f>IF(ISNUMBER($AD629),ROUND($AD629*Header!$M$3,2),"")</f>
      </c>
      <c r="AQ629" s="38">
        <f>IF(ISNUMBER($AD629),ROUND($AD629,2)-$AO629-$AP629,"")</f>
      </c>
      <c r="AR629" s="39">
        <f>IF(ISNUMBER($AD629),IF(Header!$D$34="","?",$AD629*Header!$D$34),"")</f>
      </c>
      <c r="AS629" s="39">
        <f>IF(ISNUMBER($AB629),IF(Header!$D$34="","?",$AB629*Header!$D$34),"")</f>
      </c>
      <c r="AT629" s="42">
        <f>IF(AND(ISNUMBER($AB629),$M629&gt;0),$AB629/$M629*100,"")</f>
      </c>
      <c r="AU629" s="42">
        <f>IF(AND(ISNUMBER($AD629),$M629&gt;0),$AD629/$M629*100,"")</f>
      </c>
      <c r="AV629" s="40">
        <f>IF(AND(ISNUMBER($AB629),ISNUMBER($AD629),ABS($AB629)&gt;0),$AD629/$AB629,"")</f>
      </c>
      <c r="AW629" s="39">
        <f>IF(ISNUMBER($AD629),MAX(0,(1-0.55-Header!$O$3)*Header!$Q$3*$AQ629),"")</f>
      </c>
      <c r="AX629" s="43">
        <f>IF($A629="","",IF(TRIM(IF($A629="","Missing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",""))="","PASS","FAIL: "&amp;TRIM(IF($A629="","Missing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f>
      </c>
      <c r="AY629" s="44">
        <f>IF($M629="","",IF(ISNUMBER($M629),IF($M629&gt;=Header!$C$18,"YES — refer","No"),""))</f>
      </c>
      <c r="AZ629" s="44">
        <f>IF($AD629="","",IF(ISNUMBER($AD629),IF($AD629&lt;Header!$C$20,"BELOW MIN PREMIUM","OK"),""))</f>
      </c>
      <c r="BA629" s="32" t="inlineStr">
        <is>
          <t xml:space="preserve">Yes</t>
        </is>
      </c>
      <c r="BB629" s="32" t="inlineStr">
        <is>
          <t xml:space="preserve">Yes</t>
        </is>
      </c>
      <c r="BC629" s="30" t="inlineStr">
        <is>
          <t xml:space="preserve">Synthetic demo data</t>
        </is>
      </c>
      <c r="BE629" s="45">
        <f>IF(OR($A629="",$L629="",$H629=""),"",IF(AND(LEFT($L629,2)="06",$H629&gt;1945),"FAIL - pre-war class, year "&amp;$H629,IF(AND(LEFT($L629,2)="07",OR($H629&lt;1946,$H629&gt;1972)),"FAIL - 1946-72 class, year "&amp;$H629,IF(AND(LEFT($L629,2)="08",OR($H629&lt;1973,$H629&gt;1999)),"FAIL - 1973-99 class, year "&amp;$H629,IF(AND(LEFT($L629,2)="09",OR($H629&lt;2000,$H629&gt;2010)),"FAIL - 2000-10 class, year "&amp;$H629,"OK")))))</f>
      </c>
      <c r="BF629" s="45">
        <f>IF($AD629="","",IF(ROUND($AO629+$AP629+$AQ629-$AD629,2)=0,"OK","FAIL - out by "&amp;TEXT($AO629+$AP629+$AQ629-$AD629,"$0.00")))</f>
      </c>
    </row>
    <row r="630" spans="1:58" ht="18.75" customHeight="1" x14ac:dyDescent="0.25">
      <c r="A630" s="46" t="inlineStr">
        <is>
          <t xml:space="preserve">CANON-202604-007439</t>
        </is>
      </c>
      <c r="B630" s="46" t="inlineStr">
        <is>
          <t xml:space="preserve">Ramona Rourke</t>
        </is>
      </c>
      <c r="C630" s="47">
        <v>46126</v>
      </c>
      <c r="D630" s="48" t="inlineStr">
        <is>
          <t xml:space="preserve">Bound - within authority</t>
        </is>
      </c>
      <c r="E630" s="48" t="inlineStr">
        <is>
          <t xml:space="preserve">New business</t>
        </is>
      </c>
      <c r="F630" s="46" t="inlineStr">
        <is>
          <t xml:space="preserve">B1234EXOTIC26</t>
        </is>
      </c>
      <c r="G630" s="33">
        <f>IF($A630="","",IF($C630="","",YEAR($C630)))</f>
      </c>
      <c r="H630" s="49">
        <v>2008</v>
      </c>
      <c r="I630" s="46" t="inlineStr">
        <is>
          <t xml:space="preserve">Aston Martin</t>
        </is>
      </c>
      <c r="J630" s="46" t="inlineStr">
        <is>
          <t xml:space="preserve">DB5</t>
        </is>
      </c>
      <c r="K630" s="46" t="inlineStr">
        <is>
          <t xml:space="preserve">LJZJVYUJYTMW9UDU6</t>
        </is>
      </c>
      <c r="L630" s="48" t="inlineStr">
        <is>
          <t xml:space="preserve">09 - Youngtimer / Collectible (2000-2010)</t>
        </is>
      </c>
      <c r="M630" s="50">
        <v>345000</v>
      </c>
      <c r="N630" s="48" t="inlineStr">
        <is>
          <t xml:space="preserve">Personal</t>
        </is>
      </c>
      <c r="O630" s="46" t="inlineStr">
        <is>
          <t xml:space="preserve">Personal - regular use</t>
        </is>
      </c>
      <c r="P630" s="46" t="inlineStr">
        <is>
          <t xml:space="preserve">Under 1,000</t>
        </is>
      </c>
      <c r="Q630" s="46" t="inlineStr">
        <is>
          <t xml:space="preserve">Maryland</t>
        </is>
      </c>
      <c r="R630" s="46" t="inlineStr">
        <is>
          <t xml:space="preserve">21201</t>
        </is>
      </c>
      <c r="S630" s="48" t="inlineStr">
        <is>
          <t xml:space="preserve">Tier 3 - Coastal wind (25-100 miles)</t>
        </is>
      </c>
      <c r="T630" s="36">
        <f>IF($A630="","",IF($S630="","",IFERROR(INDEX('[1]natural catastrophe'!$D$6:$D$17,MATCH($S630,'[1]natural catastrophe'!$B$6:$B$17,0)),"?")))</f>
      </c>
      <c r="U630" s="46" t="inlineStr">
        <is>
          <t xml:space="preserve">2% of agreed value, minimum $10,000</t>
        </is>
      </c>
      <c r="V630" s="48" t="inlineStr">
        <is>
          <t xml:space="preserve">Agreed Value</t>
        </is>
      </c>
      <c r="W630" s="46" t="inlineStr">
        <is>
          <t xml:space="preserve">$1,000</t>
        </is>
      </c>
      <c r="X630" s="48" t="inlineStr">
        <is>
          <t xml:space="preserve">$1,000,000 CSL</t>
        </is>
      </c>
      <c r="Y630" s="46"/>
      <c r="Z630" s="46"/>
      <c r="AA630" s="48" t="inlineStr">
        <is>
          <t xml:space="preserve">Surplus Lines</t>
        </is>
      </c>
      <c r="AB630" s="50">
        <v>2465.17</v>
      </c>
      <c r="AC630" s="51">
        <v>0</v>
      </c>
      <c r="AD630" s="38">
        <f>IF(ISNUMBER($AB630),$AB630*(1+N($AC630)),"")</f>
      </c>
      <c r="AE630" s="50">
        <v>350</v>
      </c>
      <c r="AF630" s="50">
        <v>0</v>
      </c>
      <c r="AG630" s="51"/>
      <c r="AH630" s="39">
        <f>IF(ISNUMBER($AD630),($AD630+$AE630+$AF630)*$AG630,"")</f>
      </c>
      <c r="AI630" s="50"/>
      <c r="AJ630" s="38">
        <f>IF(ISNUMBER($AD630),SUM($AD630:$AH630),"")</f>
      </c>
      <c r="AK630" s="40">
        <f>IF(AND(ISNUMBER($AB630),ISNUMBER($AD630)),IF($AB630&gt;0,$AD630/$AB630,""),"")</f>
      </c>
      <c r="AL630" s="48" t="inlineStr">
        <is>
          <t xml:space="preserve">At technical</t>
        </is>
      </c>
      <c r="AM630" s="41">
        <f>IF(ISNUMBER($AD630),Header!$I$3,"")</f>
      </c>
      <c r="AN630" s="39">
        <f>IF(ISNUMBER($AD630),$AO630+$AP630,"")</f>
      </c>
      <c r="AO630" s="39">
        <f>IF(ISNUMBER($AD630),ROUND($AD630*Header!$K$3,2),"")</f>
      </c>
      <c r="AP630" s="39">
        <f>IF(ISNUMBER($AD630),ROUND($AD630*Header!$M$3,2),"")</f>
      </c>
      <c r="AQ630" s="38">
        <f>IF(ISNUMBER($AD630),ROUND($AD630,2)-$AO630-$AP630,"")</f>
      </c>
      <c r="AR630" s="39">
        <f>IF(ISNUMBER($AD630),IF(Header!$D$34="","?",$AD630*Header!$D$34),"")</f>
      </c>
      <c r="AS630" s="39">
        <f>IF(ISNUMBER($AB630),IF(Header!$D$34="","?",$AB630*Header!$D$34),"")</f>
      </c>
      <c r="AT630" s="42">
        <f>IF(AND(ISNUMBER($AB630),$M630&gt;0),$AB630/$M630*100,"")</f>
      </c>
      <c r="AU630" s="42">
        <f>IF(AND(ISNUMBER($AD630),$M630&gt;0),$AD630/$M630*100,"")</f>
      </c>
      <c r="AV630" s="40">
        <f>IF(AND(ISNUMBER($AB630),ISNUMBER($AD630),ABS($AB630)&gt;0),$AD630/$AB630,"")</f>
      </c>
      <c r="AW630" s="39">
        <f>IF(ISNUMBER($AD630),MAX(0,(1-0.55-Header!$O$3)*Header!$Q$3*$AQ630),"")</f>
      </c>
      <c r="AX630" s="43">
        <f>IF($A630="","",IF(TRIM(IF($A630="","Missing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",""))="","PASS","FAIL: "&amp;TRIM(IF($A630="","Missing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f>
      </c>
      <c r="AY630" s="44">
        <f>IF($M630="","",IF(ISNUMBER($M630),IF($M630&gt;=Header!$C$18,"YES — refer","No"),""))</f>
      </c>
      <c r="AZ630" s="44">
        <f>IF($AD630="","",IF(ISNUMBER($AD630),IF($AD630&lt;Header!$C$20,"BELOW MIN PREMIUM","OK"),""))</f>
      </c>
      <c r="BA630" s="48" t="inlineStr">
        <is>
          <t xml:space="preserve">Yes</t>
        </is>
      </c>
      <c r="BB630" s="48" t="inlineStr">
        <is>
          <t xml:space="preserve">Yes</t>
        </is>
      </c>
      <c r="BC630" s="46" t="inlineStr">
        <is>
          <t xml:space="preserve">Synthetic demo data</t>
        </is>
      </c>
      <c r="BE630" s="45">
        <f>IF(OR($A630="",$L630="",$H630=""),"",IF(AND(LEFT($L630,2)="06",$H630&gt;1945),"FAIL - pre-war class, year "&amp;$H630,IF(AND(LEFT($L630,2)="07",OR($H630&lt;1946,$H630&gt;1972)),"FAIL - 1946-72 class, year "&amp;$H630,IF(AND(LEFT($L630,2)="08",OR($H630&lt;1973,$H630&gt;1999)),"FAIL - 1973-99 class, year "&amp;$H630,IF(AND(LEFT($L630,2)="09",OR($H630&lt;2000,$H630&gt;2010)),"FAIL - 2000-10 class, year "&amp;$H630,"OK")))))</f>
      </c>
      <c r="BF630" s="45">
        <f>IF($AD630="","",IF(ROUND($AO630+$AP630+$AQ630-$AD630,2)=0,"OK","FAIL - out by "&amp;TEXT($AO630+$AP630+$AQ630-$AD630,"$0.00")))</f>
      </c>
    </row>
    <row r="631" spans="1:58" ht="18.75" customHeight="1" x14ac:dyDescent="0.25">
      <c r="A631" s="30" t="inlineStr">
        <is>
          <t xml:space="preserve">CANON-202604-007442</t>
        </is>
      </c>
      <c r="B631" s="30" t="inlineStr">
        <is>
          <t xml:space="preserve">Fenwick Larsson</t>
        </is>
      </c>
      <c r="C631" s="31">
        <v>46142</v>
      </c>
      <c r="D631" s="32" t="inlineStr">
        <is>
          <t xml:space="preserve">Bound - within authority</t>
        </is>
      </c>
      <c r="E631" s="32" t="inlineStr">
        <is>
          <t xml:space="preserve">New business</t>
        </is>
      </c>
      <c r="F631" s="30" t="inlineStr">
        <is>
          <t xml:space="preserve">B1234EXOTIC26</t>
        </is>
      </c>
      <c r="G631" s="33">
        <f>IF($A631="","",IF($C631="","",YEAR($C631)))</f>
      </c>
      <c r="H631" s="34">
        <v>2008</v>
      </c>
      <c r="I631" s="30" t="inlineStr">
        <is>
          <t xml:space="preserve">Ferrari</t>
        </is>
      </c>
      <c r="J631" s="30" t="inlineStr">
        <is>
          <t xml:space="preserve">296 GTB</t>
        </is>
      </c>
      <c r="K631" s="30" t="inlineStr">
        <is>
          <t xml:space="preserve">9JFCCSVKW5VCB92EF</t>
        </is>
      </c>
      <c r="L631" s="32" t="inlineStr">
        <is>
          <t xml:space="preserve">03 - Supercar</t>
        </is>
      </c>
      <c r="M631" s="35">
        <v>375000</v>
      </c>
      <c r="N631" s="32" t="inlineStr">
        <is>
          <t xml:space="preserve">Personal</t>
        </is>
      </c>
      <c r="O631" s="30" t="inlineStr">
        <is>
          <t xml:space="preserve">Personal - regular use</t>
        </is>
      </c>
      <c r="P631" s="30" t="inlineStr">
        <is>
          <t xml:space="preserve">Under 1,000</t>
        </is>
      </c>
      <c r="Q631" s="30" t="inlineStr">
        <is>
          <t xml:space="preserve">Rhode Island</t>
        </is>
      </c>
      <c r="R631" s="30" t="inlineStr">
        <is>
          <t xml:space="preserve">02903</t>
        </is>
      </c>
      <c r="S631" s="32" t="inlineStr">
        <is>
          <t xml:space="preserve">Tier 3 - Coastal wind (25-100 miles)</t>
        </is>
      </c>
      <c r="T631" s="36">
        <f>IF($A631="","",IF($S631="","",IFERROR(INDEX('[1]natural catastrophe'!$D$6:$D$17,MATCH($S631,'[1]natural catastrophe'!$B$6:$B$17,0)),"?")))</f>
      </c>
      <c r="U631" s="30" t="inlineStr">
        <is>
          <t xml:space="preserve">2% of agreed value, minimum $10,000</t>
        </is>
      </c>
      <c r="V631" s="32" t="inlineStr">
        <is>
          <t xml:space="preserve">Agreed Value</t>
        </is>
      </c>
      <c r="W631" s="30" t="inlineStr">
        <is>
          <t xml:space="preserve">$1,000</t>
        </is>
      </c>
      <c r="X631" s="32" t="inlineStr">
        <is>
          <t xml:space="preserve">$1,000,000 CSL</t>
        </is>
      </c>
      <c r="Y631" s="30"/>
      <c r="Z631" s="30"/>
      <c r="AA631" s="32" t="inlineStr">
        <is>
          <t xml:space="preserve">Surplus Lines</t>
        </is>
      </c>
      <c r="AB631" s="35">
        <v>9257.92</v>
      </c>
      <c r="AC631" s="37">
        <v>0</v>
      </c>
      <c r="AD631" s="38">
        <f>IF(ISNUMBER($AB631),$AB631*(1+N($AC631)),"")</f>
      </c>
      <c r="AE631" s="35">
        <v>350</v>
      </c>
      <c r="AF631" s="35">
        <v>0</v>
      </c>
      <c r="AG631" s="37"/>
      <c r="AH631" s="39">
        <f>IF(ISNUMBER($AD631),($AD631+$AE631+$AF631)*$AG631,"")</f>
      </c>
      <c r="AI631" s="35"/>
      <c r="AJ631" s="38">
        <f>IF(ISNUMBER($AD631),SUM($AD631:$AH631),"")</f>
      </c>
      <c r="AK631" s="40">
        <f>IF(AND(ISNUMBER($AB631),ISNUMBER($AD631)),IF($AB631&gt;0,$AD631/$AB631,""),"")</f>
      </c>
      <c r="AL631" s="32" t="inlineStr">
        <is>
          <t xml:space="preserve">At technical</t>
        </is>
      </c>
      <c r="AM631" s="41">
        <f>IF(ISNUMBER($AD631),Header!$I$3,"")</f>
      </c>
      <c r="AN631" s="39">
        <f>IF(ISNUMBER($AD631),$AO631+$AP631,"")</f>
      </c>
      <c r="AO631" s="39">
        <f>IF(ISNUMBER($AD631),ROUND($AD631*Header!$K$3,2),"")</f>
      </c>
      <c r="AP631" s="39">
        <f>IF(ISNUMBER($AD631),ROUND($AD631*Header!$M$3,2),"")</f>
      </c>
      <c r="AQ631" s="38">
        <f>IF(ISNUMBER($AD631),ROUND($AD631,2)-$AO631-$AP631,"")</f>
      </c>
      <c r="AR631" s="39">
        <f>IF(ISNUMBER($AD631),IF(Header!$D$34="","?",$AD631*Header!$D$34),"")</f>
      </c>
      <c r="AS631" s="39">
        <f>IF(ISNUMBER($AB631),IF(Header!$D$34="","?",$AB631*Header!$D$34),"")</f>
      </c>
      <c r="AT631" s="42">
        <f>IF(AND(ISNUMBER($AB631),$M631&gt;0),$AB631/$M631*100,"")</f>
      </c>
      <c r="AU631" s="42">
        <f>IF(AND(ISNUMBER($AD631),$M631&gt;0),$AD631/$M631*100,"")</f>
      </c>
      <c r="AV631" s="40">
        <f>IF(AND(ISNUMBER($AB631),ISNUMBER($AD631),ABS($AB631)&gt;0),$AD631/$AB631,"")</f>
      </c>
      <c r="AW631" s="39">
        <f>IF(ISNUMBER($AD631),MAX(0,(1-0.55-Header!$O$3)*Header!$Q$3*$AQ631),"")</f>
      </c>
      <c r="AX631" s="43">
        <f>IF($A631="","",IF(TRIM(IF($A631="","Missing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",""))="","PASS","FAIL: "&amp;TRIM(IF($A631="","Missing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f>
      </c>
      <c r="AY631" s="44">
        <f>IF($M631="","",IF(ISNUMBER($M631),IF($M631&gt;=Header!$C$18,"YES — refer","No"),""))</f>
      </c>
      <c r="AZ631" s="44">
        <f>IF($AD631="","",IF(ISNUMBER($AD631),IF($AD631&lt;Header!$C$20,"BELOW MIN PREMIUM","OK"),""))</f>
      </c>
      <c r="BA631" s="32" t="inlineStr">
        <is>
          <t xml:space="preserve">Yes</t>
        </is>
      </c>
      <c r="BB631" s="32" t="inlineStr">
        <is>
          <t xml:space="preserve">Yes</t>
        </is>
      </c>
      <c r="BC631" s="30" t="inlineStr">
        <is>
          <t xml:space="preserve">Synthetic demo data</t>
        </is>
      </c>
      <c r="BE631" s="45">
        <f>IF(OR($A631="",$L631="",$H631=""),"",IF(AND(LEFT($L631,2)="06",$H631&gt;1945),"FAIL - pre-war class, year "&amp;$H631,IF(AND(LEFT($L631,2)="07",OR($H631&lt;1946,$H631&gt;1972)),"FAIL - 1946-72 class, year "&amp;$H631,IF(AND(LEFT($L631,2)="08",OR($H631&lt;1973,$H631&gt;1999)),"FAIL - 1973-99 class, year "&amp;$H631,IF(AND(LEFT($L631,2)="09",OR($H631&lt;2000,$H631&gt;2010)),"FAIL - 2000-10 class, year "&amp;$H631,"OK")))))</f>
      </c>
      <c r="BF631" s="45">
        <f>IF($AD631="","",IF(ROUND($AO631+$AP631+$AQ631-$AD631,2)=0,"OK","FAIL - out by "&amp;TEXT($AO631+$AP631+$AQ631-$AD631,"$0.00")))</f>
      </c>
    </row>
    <row r="632" spans="1:58" ht="18.75" customHeight="1" x14ac:dyDescent="0.25">
      <c r="A632" s="46" t="inlineStr">
        <is>
          <t xml:space="preserve">CANON-202604-007443</t>
        </is>
      </c>
      <c r="B632" s="46" t="inlineStr">
        <is>
          <t xml:space="preserve">Callum Nakashima</t>
        </is>
      </c>
      <c r="C632" s="47">
        <v>46133</v>
      </c>
      <c r="D632" s="48" t="inlineStr">
        <is>
          <t xml:space="preserve">Bound - within authority</t>
        </is>
      </c>
      <c r="E632" s="48" t="inlineStr">
        <is>
          <t xml:space="preserve">New business</t>
        </is>
      </c>
      <c r="F632" s="46" t="inlineStr">
        <is>
          <t xml:space="preserve">B1234EXOTIC26</t>
        </is>
      </c>
      <c r="G632" s="33">
        <f>IF($A632="","",IF($C632="","",YEAR($C632)))</f>
      </c>
      <c r="H632" s="49">
        <v>2015</v>
      </c>
      <c r="I632" s="46" t="inlineStr">
        <is>
          <t xml:space="preserve">Porsche</t>
        </is>
      </c>
      <c r="J632" s="46" t="inlineStr">
        <is>
          <t xml:space="preserve">911 Turbo S</t>
        </is>
      </c>
      <c r="K632" s="46" t="inlineStr">
        <is>
          <t xml:space="preserve">WSB4JEDDJBNXZKTGA</t>
        </is>
      </c>
      <c r="L632" s="48" t="inlineStr">
        <is>
          <t xml:space="preserve">02 - Sports / GT</t>
        </is>
      </c>
      <c r="M632" s="50">
        <v>1205000</v>
      </c>
      <c r="N632" s="48" t="inlineStr">
        <is>
          <t xml:space="preserve">Personal</t>
        </is>
      </c>
      <c r="O632" s="46" t="inlineStr">
        <is>
          <t xml:space="preserve">Personal - regular use</t>
        </is>
      </c>
      <c r="P632" s="46" t="inlineStr">
        <is>
          <t xml:space="preserve">Under 1,000</t>
        </is>
      </c>
      <c r="Q632" s="46" t="inlineStr">
        <is>
          <t xml:space="preserve">Rhode Island</t>
        </is>
      </c>
      <c r="R632" s="46" t="inlineStr">
        <is>
          <t xml:space="preserve">02903</t>
        </is>
      </c>
      <c r="S632" s="48" t="inlineStr">
        <is>
          <t xml:space="preserve">Tier 3 - Coastal wind (25-100 miles)</t>
        </is>
      </c>
      <c r="T632" s="36">
        <f>IF($A632="","",IF($S632="","",IFERROR(INDEX('[1]natural catastrophe'!$D$6:$D$17,MATCH($S632,'[1]natural catastrophe'!$B$6:$B$17,0)),"?")))</f>
      </c>
      <c r="U632" s="46" t="inlineStr">
        <is>
          <t xml:space="preserve">2% of agreed value, minimum $10,000</t>
        </is>
      </c>
      <c r="V632" s="48" t="inlineStr">
        <is>
          <t xml:space="preserve">Agreed Value</t>
        </is>
      </c>
      <c r="W632" s="46" t="inlineStr">
        <is>
          <t xml:space="preserve">$1,000</t>
        </is>
      </c>
      <c r="X632" s="48" t="inlineStr">
        <is>
          <t xml:space="preserve">$1,000,000 CSL</t>
        </is>
      </c>
      <c r="Y632" s="46"/>
      <c r="Z632" s="46"/>
      <c r="AA632" s="48" t="inlineStr">
        <is>
          <t xml:space="preserve">Surplus Lines</t>
        </is>
      </c>
      <c r="AB632" s="50">
        <v>14227.68</v>
      </c>
      <c r="AC632" s="51">
        <v>0</v>
      </c>
      <c r="AD632" s="38">
        <f>IF(ISNUMBER($AB632),$AB632*(1+N($AC632)),"")</f>
      </c>
      <c r="AE632" s="50">
        <v>350</v>
      </c>
      <c r="AF632" s="50">
        <v>250</v>
      </c>
      <c r="AG632" s="51"/>
      <c r="AH632" s="39">
        <f>IF(ISNUMBER($AD632),($AD632+$AE632+$AF632)*$AG632,"")</f>
      </c>
      <c r="AI632" s="50"/>
      <c r="AJ632" s="38">
        <f>IF(ISNUMBER($AD632),SUM($AD632:$AH632),"")</f>
      </c>
      <c r="AK632" s="40">
        <f>IF(AND(ISNUMBER($AB632),ISNUMBER($AD632)),IF($AB632&gt;0,$AD632/$AB632,""),"")</f>
      </c>
      <c r="AL632" s="48" t="inlineStr">
        <is>
          <t xml:space="preserve">At technical</t>
        </is>
      </c>
      <c r="AM632" s="41">
        <f>IF(ISNUMBER($AD632),Header!$I$3,"")</f>
      </c>
      <c r="AN632" s="39">
        <f>IF(ISNUMBER($AD632),$AO632+$AP632,"")</f>
      </c>
      <c r="AO632" s="39">
        <f>IF(ISNUMBER($AD632),ROUND($AD632*Header!$K$3,2),"")</f>
      </c>
      <c r="AP632" s="39">
        <f>IF(ISNUMBER($AD632),ROUND($AD632*Header!$M$3,2),"")</f>
      </c>
      <c r="AQ632" s="38">
        <f>IF(ISNUMBER($AD632),ROUND($AD632,2)-$AO632-$AP632,"")</f>
      </c>
      <c r="AR632" s="39">
        <f>IF(ISNUMBER($AD632),IF(Header!$D$34="","?",$AD632*Header!$D$34),"")</f>
      </c>
      <c r="AS632" s="39">
        <f>IF(ISNUMBER($AB632),IF(Header!$D$34="","?",$AB632*Header!$D$34),"")</f>
      </c>
      <c r="AT632" s="42">
        <f>IF(AND(ISNUMBER($AB632),$M632&gt;0),$AB632/$M632*100,"")</f>
      </c>
      <c r="AU632" s="42">
        <f>IF(AND(ISNUMBER($AD632),$M632&gt;0),$AD632/$M632*100,"")</f>
      </c>
      <c r="AV632" s="40">
        <f>IF(AND(ISNUMBER($AB632),ISNUMBER($AD632),ABS($AB632)&gt;0),$AD632/$AB632,"")</f>
      </c>
      <c r="AW632" s="39">
        <f>IF(ISNUMBER($AD632),MAX(0,(1-0.55-Header!$O$3)*Header!$Q$3*$AQ632),"")</f>
      </c>
      <c r="AX632" s="43">
        <f>IF($A632="","",IF(TRIM(IF($A632="","Missing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",""))="","PASS","FAIL: "&amp;TRIM(IF($A632="","Missing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f>
      </c>
      <c r="AY632" s="44">
        <f>IF($M632="","",IF(ISNUMBER($M632),IF($M632&gt;=Header!$C$18,"YES — refer","No"),""))</f>
      </c>
      <c r="AZ632" s="44">
        <f>IF($AD632="","",IF(ISNUMBER($AD632),IF($AD632&lt;Header!$C$20,"BELOW MIN PREMIUM","OK"),""))</f>
      </c>
      <c r="BA632" s="48" t="inlineStr">
        <is>
          <t xml:space="preserve">Yes</t>
        </is>
      </c>
      <c r="BB632" s="48" t="inlineStr">
        <is>
          <t xml:space="preserve">Yes</t>
        </is>
      </c>
      <c r="BC632" s="46" t="inlineStr">
        <is>
          <t xml:space="preserve">Synthetic demo data</t>
        </is>
      </c>
      <c r="BE632" s="45">
        <f>IF(OR($A632="",$L632="",$H632=""),"",IF(AND(LEFT($L632,2)="06",$H632&gt;1945),"FAIL - pre-war class, year "&amp;$H632,IF(AND(LEFT($L632,2)="07",OR($H632&lt;1946,$H632&gt;1972)),"FAIL - 1946-72 class, year "&amp;$H632,IF(AND(LEFT($L632,2)="08",OR($H632&lt;1973,$H632&gt;1999)),"FAIL - 1973-99 class, year "&amp;$H632,IF(AND(LEFT($L632,2)="09",OR($H632&lt;2000,$H632&gt;2010)),"FAIL - 2000-10 class, year "&amp;$H632,"OK")))))</f>
      </c>
      <c r="BF632" s="45">
        <f>IF($AD632="","",IF(ROUND($AO632+$AP632+$AQ632-$AD632,2)=0,"OK","FAIL - out by "&amp;TEXT($AO632+$AP632+$AQ632-$AD632,"$0.00")))</f>
      </c>
    </row>
    <row r="633" spans="1:58" ht="18.75" customHeight="1" x14ac:dyDescent="0.25">
      <c r="A633" s="30" t="inlineStr">
        <is>
          <t xml:space="preserve">CANON-202604-007444</t>
        </is>
      </c>
      <c r="B633" s="30" t="inlineStr">
        <is>
          <t xml:space="preserve">Marisol Whitlock</t>
        </is>
      </c>
      <c r="C633" s="31">
        <v>46120</v>
      </c>
      <c r="D633" s="32" t="inlineStr">
        <is>
          <t xml:space="preserve">Bound - within authority</t>
        </is>
      </c>
      <c r="E633" s="32" t="inlineStr">
        <is>
          <t xml:space="preserve">New business</t>
        </is>
      </c>
      <c r="F633" s="30" t="inlineStr">
        <is>
          <t xml:space="preserve">B1234EXOTIC26</t>
        </is>
      </c>
      <c r="G633" s="33">
        <f>IF($A633="","",IF($C633="","",YEAR($C633)))</f>
      </c>
      <c r="H633" s="34">
        <v>2000</v>
      </c>
      <c r="I633" s="30" t="inlineStr">
        <is>
          <t xml:space="preserve">Bentley</t>
        </is>
      </c>
      <c r="J633" s="30" t="inlineStr">
        <is>
          <t xml:space="preserve">Continental GT</t>
        </is>
      </c>
      <c r="K633" s="30" t="inlineStr">
        <is>
          <t xml:space="preserve">XPSEVW47WWJ9JUKKP</t>
        </is>
      </c>
      <c r="L633" s="32" t="inlineStr">
        <is>
          <t xml:space="preserve">02 - Sports / GT</t>
        </is>
      </c>
      <c r="M633" s="35">
        <v>300000</v>
      </c>
      <c r="N633" s="32" t="inlineStr">
        <is>
          <t xml:space="preserve">Personal</t>
        </is>
      </c>
      <c r="O633" s="30" t="inlineStr">
        <is>
          <t xml:space="preserve">Personal - regular use</t>
        </is>
      </c>
      <c r="P633" s="30" t="inlineStr">
        <is>
          <t xml:space="preserve">Under 1,000</t>
        </is>
      </c>
      <c r="Q633" s="30" t="inlineStr">
        <is>
          <t xml:space="preserve">Connecticut</t>
        </is>
      </c>
      <c r="R633" s="30" t="inlineStr">
        <is>
          <t xml:space="preserve">06103</t>
        </is>
      </c>
      <c r="S633" s="32" t="inlineStr">
        <is>
          <t xml:space="preserve">Tier 3 - Coastal wind (25-100 miles)</t>
        </is>
      </c>
      <c r="T633" s="36">
        <f>IF($A633="","",IF($S633="","",IFERROR(INDEX('[1]natural catastrophe'!$D$6:$D$17,MATCH($S633,'[1]natural catastrophe'!$B$6:$B$17,0)),"?")))</f>
      </c>
      <c r="U633" s="30" t="inlineStr">
        <is>
          <t xml:space="preserve">2% of agreed value, minimum $10,000</t>
        </is>
      </c>
      <c r="V633" s="32" t="inlineStr">
        <is>
          <t xml:space="preserve">Agreed Value</t>
        </is>
      </c>
      <c r="W633" s="30" t="inlineStr">
        <is>
          <t xml:space="preserve">$1,000</t>
        </is>
      </c>
      <c r="X633" s="32" t="inlineStr">
        <is>
          <t xml:space="preserve">$1,000,000 CSL</t>
        </is>
      </c>
      <c r="Y633" s="30"/>
      <c r="Z633" s="30"/>
      <c r="AA633" s="32" t="inlineStr">
        <is>
          <t xml:space="preserve">Surplus Lines</t>
        </is>
      </c>
      <c r="AB633" s="35">
        <v>3948.79</v>
      </c>
      <c r="AC633" s="37">
        <v>0</v>
      </c>
      <c r="AD633" s="38">
        <f>IF(ISNUMBER($AB633),$AB633*(1+N($AC633)),"")</f>
      </c>
      <c r="AE633" s="35">
        <v>350</v>
      </c>
      <c r="AF633" s="35">
        <v>0</v>
      </c>
      <c r="AG633" s="37"/>
      <c r="AH633" s="39">
        <f>IF(ISNUMBER($AD633),($AD633+$AE633+$AF633)*$AG633,"")</f>
      </c>
      <c r="AI633" s="35"/>
      <c r="AJ633" s="38">
        <f>IF(ISNUMBER($AD633),SUM($AD633:$AH633),"")</f>
      </c>
      <c r="AK633" s="40">
        <f>IF(AND(ISNUMBER($AB633),ISNUMBER($AD633)),IF($AB633&gt;0,$AD633/$AB633,""),"")</f>
      </c>
      <c r="AL633" s="32" t="inlineStr">
        <is>
          <t xml:space="preserve">At technical</t>
        </is>
      </c>
      <c r="AM633" s="41">
        <f>IF(ISNUMBER($AD633),Header!$I$3,"")</f>
      </c>
      <c r="AN633" s="39">
        <f>IF(ISNUMBER($AD633),$AO633+$AP633,"")</f>
      </c>
      <c r="AO633" s="39">
        <f>IF(ISNUMBER($AD633),ROUND($AD633*Header!$K$3,2),"")</f>
      </c>
      <c r="AP633" s="39">
        <f>IF(ISNUMBER($AD633),ROUND($AD633*Header!$M$3,2),"")</f>
      </c>
      <c r="AQ633" s="38">
        <f>IF(ISNUMBER($AD633),ROUND($AD633,2)-$AO633-$AP633,"")</f>
      </c>
      <c r="AR633" s="39">
        <f>IF(ISNUMBER($AD633),IF(Header!$D$34="","?",$AD633*Header!$D$34),"")</f>
      </c>
      <c r="AS633" s="39">
        <f>IF(ISNUMBER($AB633),IF(Header!$D$34="","?",$AB633*Header!$D$34),"")</f>
      </c>
      <c r="AT633" s="42">
        <f>IF(AND(ISNUMBER($AB633),$M633&gt;0),$AB633/$M633*100,"")</f>
      </c>
      <c r="AU633" s="42">
        <f>IF(AND(ISNUMBER($AD633),$M633&gt;0),$AD633/$M633*100,"")</f>
      </c>
      <c r="AV633" s="40">
        <f>IF(AND(ISNUMBER($AB633),ISNUMBER($AD633),ABS($AB633)&gt;0),$AD633/$AB633,"")</f>
      </c>
      <c r="AW633" s="39">
        <f>IF(ISNUMBER($AD633),MAX(0,(1-0.55-Header!$O$3)*Header!$Q$3*$AQ633),"")</f>
      </c>
      <c r="AX633" s="43">
        <f>IF($A633="","",IF(TRIM(IF($A633="","Missing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",""))="","PASS","FAIL: "&amp;TRIM(IF($A633="","Missing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f>
      </c>
      <c r="AY633" s="44">
        <f>IF($M633="","",IF(ISNUMBER($M633),IF($M633&gt;=Header!$C$18,"YES — refer","No"),""))</f>
      </c>
      <c r="AZ633" s="44">
        <f>IF($AD633="","",IF(ISNUMBER($AD633),IF($AD633&lt;Header!$C$20,"BELOW MIN PREMIUM","OK"),""))</f>
      </c>
      <c r="BA633" s="32" t="inlineStr">
        <is>
          <t xml:space="preserve">Yes</t>
        </is>
      </c>
      <c r="BB633" s="32" t="inlineStr">
        <is>
          <t xml:space="preserve">Yes</t>
        </is>
      </c>
      <c r="BC633" s="30" t="inlineStr">
        <is>
          <t xml:space="preserve">Synthetic demo data</t>
        </is>
      </c>
      <c r="BE633" s="45">
        <f>IF(OR($A633="",$L633="",$H633=""),"",IF(AND(LEFT($L633,2)="06",$H633&gt;1945),"FAIL - pre-war class, year "&amp;$H633,IF(AND(LEFT($L633,2)="07",OR($H633&lt;1946,$H633&gt;1972)),"FAIL - 1946-72 class, year "&amp;$H633,IF(AND(LEFT($L633,2)="08",OR($H633&lt;1973,$H633&gt;1999)),"FAIL - 1973-99 class, year "&amp;$H633,IF(AND(LEFT($L633,2)="09",OR($H633&lt;2000,$H633&gt;2010)),"FAIL - 2000-10 class, year "&amp;$H633,"OK")))))</f>
      </c>
      <c r="BF633" s="45">
        <f>IF($AD633="","",IF(ROUND($AO633+$AP633+$AQ633-$AD633,2)=0,"OK","FAIL - out by "&amp;TEXT($AO633+$AP633+$AQ633-$AD633,"$0.00")))</f>
      </c>
    </row>
    <row r="634" spans="1:58" ht="18.75" customHeight="1" x14ac:dyDescent="0.25">
      <c r="A634" s="46" t="inlineStr">
        <is>
          <t xml:space="preserve">CANON-202604-007445</t>
        </is>
      </c>
      <c r="B634" s="46" t="inlineStr">
        <is>
          <t xml:space="preserve">Sunniva Farkas</t>
        </is>
      </c>
      <c r="C634" s="47">
        <v>46130</v>
      </c>
      <c r="D634" s="48" t="inlineStr">
        <is>
          <t xml:space="preserve">Bound - within authority</t>
        </is>
      </c>
      <c r="E634" s="48" t="inlineStr">
        <is>
          <t xml:space="preserve">New business</t>
        </is>
      </c>
      <c r="F634" s="46" t="inlineStr">
        <is>
          <t xml:space="preserve">B1234EXOTIC26</t>
        </is>
      </c>
      <c r="G634" s="33">
        <f>IF($A634="","",IF($C634="","",YEAR($C634)))</f>
      </c>
      <c r="H634" s="49">
        <v>1987</v>
      </c>
      <c r="I634" s="46" t="inlineStr">
        <is>
          <t xml:space="preserve">Maserati</t>
        </is>
      </c>
      <c r="J634" s="46" t="inlineStr">
        <is>
          <t xml:space="preserve">GranTurismo</t>
        </is>
      </c>
      <c r="K634" s="46" t="inlineStr">
        <is>
          <t xml:space="preserve">B4C3CLSNDK90NMGVB</t>
        </is>
      </c>
      <c r="L634" s="48" t="inlineStr">
        <is>
          <t xml:space="preserve">02 - Sports / GT</t>
        </is>
      </c>
      <c r="M634" s="50">
        <v>330000</v>
      </c>
      <c r="N634" s="48" t="inlineStr">
        <is>
          <t xml:space="preserve">Personal</t>
        </is>
      </c>
      <c r="O634" s="46" t="inlineStr">
        <is>
          <t xml:space="preserve">Personal - regular use</t>
        </is>
      </c>
      <c r="P634" s="46" t="inlineStr">
        <is>
          <t xml:space="preserve">2,500 - 5,000</t>
        </is>
      </c>
      <c r="Q634" s="46" t="inlineStr">
        <is>
          <t xml:space="preserve">Washington</t>
        </is>
      </c>
      <c r="R634" s="46" t="inlineStr">
        <is>
          <t xml:space="preserve">98101</t>
        </is>
      </c>
      <c r="S634" s="48" t="inlineStr">
        <is>
          <t xml:space="preserve">Earthquake - high (CA, Cascadia, New Madrid)</t>
        </is>
      </c>
      <c r="T634" s="36">
        <f>IF($A634="","",IF($S634="","",IFERROR(INDEX('[1]natural catastrophe'!$D$6:$D$17,MATCH($S634,'[1]natural catastrophe'!$B$6:$B$17,0)),"?")))</f>
      </c>
      <c r="U634" s="46" t="inlineStr">
        <is>
          <t xml:space="preserve">$5,000</t>
        </is>
      </c>
      <c r="V634" s="48" t="inlineStr">
        <is>
          <t xml:space="preserve">Agreed Value</t>
        </is>
      </c>
      <c r="W634" s="46" t="inlineStr">
        <is>
          <t xml:space="preserve">$1,000</t>
        </is>
      </c>
      <c r="X634" s="48" t="inlineStr">
        <is>
          <t xml:space="preserve">$1,000,000 CSL</t>
        </is>
      </c>
      <c r="Y634" s="46"/>
      <c r="Z634" s="46"/>
      <c r="AA634" s="48" t="inlineStr">
        <is>
          <t xml:space="preserve">Surplus Lines</t>
        </is>
      </c>
      <c r="AB634" s="50">
        <v>3723.15</v>
      </c>
      <c r="AC634" s="51">
        <v>0</v>
      </c>
      <c r="AD634" s="38">
        <f>IF(ISNUMBER($AB634),$AB634*(1+N($AC634)),"")</f>
      </c>
      <c r="AE634" s="50">
        <v>350</v>
      </c>
      <c r="AF634" s="50">
        <v>0</v>
      </c>
      <c r="AG634" s="51"/>
      <c r="AH634" s="39">
        <f>IF(ISNUMBER($AD634),($AD634+$AE634+$AF634)*$AG634,"")</f>
      </c>
      <c r="AI634" s="50"/>
      <c r="AJ634" s="38">
        <f>IF(ISNUMBER($AD634),SUM($AD634:$AH634),"")</f>
      </c>
      <c r="AK634" s="40">
        <f>IF(AND(ISNUMBER($AB634),ISNUMBER($AD634)),IF($AB634&gt;0,$AD634/$AB634,""),"")</f>
      </c>
      <c r="AL634" s="48" t="inlineStr">
        <is>
          <t xml:space="preserve">At technical</t>
        </is>
      </c>
      <c r="AM634" s="41">
        <f>IF(ISNUMBER($AD634),Header!$I$3,"")</f>
      </c>
      <c r="AN634" s="39">
        <f>IF(ISNUMBER($AD634),$AO634+$AP634,"")</f>
      </c>
      <c r="AO634" s="39">
        <f>IF(ISNUMBER($AD634),ROUND($AD634*Header!$K$3,2),"")</f>
      </c>
      <c r="AP634" s="39">
        <f>IF(ISNUMBER($AD634),ROUND($AD634*Header!$M$3,2),"")</f>
      </c>
      <c r="AQ634" s="38">
        <f>IF(ISNUMBER($AD634),ROUND($AD634,2)-$AO634-$AP634,"")</f>
      </c>
      <c r="AR634" s="39">
        <f>IF(ISNUMBER($AD634),IF(Header!$D$34="","?",$AD634*Header!$D$34),"")</f>
      </c>
      <c r="AS634" s="39">
        <f>IF(ISNUMBER($AB634),IF(Header!$D$34="","?",$AB634*Header!$D$34),"")</f>
      </c>
      <c r="AT634" s="42">
        <f>IF(AND(ISNUMBER($AB634),$M634&gt;0),$AB634/$M634*100,"")</f>
      </c>
      <c r="AU634" s="42">
        <f>IF(AND(ISNUMBER($AD634),$M634&gt;0),$AD634/$M634*100,"")</f>
      </c>
      <c r="AV634" s="40">
        <f>IF(AND(ISNUMBER($AB634),ISNUMBER($AD634),ABS($AB634)&gt;0),$AD634/$AB634,"")</f>
      </c>
      <c r="AW634" s="39">
        <f>IF(ISNUMBER($AD634),MAX(0,(1-0.55-Header!$O$3)*Header!$Q$3*$AQ634),"")</f>
      </c>
      <c r="AX634" s="43">
        <f>IF($A634="","",IF(TRIM(IF($A634="","Missing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",""))="","PASS","FAIL: "&amp;TRIM(IF($A634="","Missing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f>
      </c>
      <c r="AY634" s="44">
        <f>IF($M634="","",IF(ISNUMBER($M634),IF($M634&gt;=Header!$C$18,"YES — refer","No"),""))</f>
      </c>
      <c r="AZ634" s="44">
        <f>IF($AD634="","",IF(ISNUMBER($AD634),IF($AD634&lt;Header!$C$20,"BELOW MIN PREMIUM","OK"),""))</f>
      </c>
      <c r="BA634" s="48" t="inlineStr">
        <is>
          <t xml:space="preserve">Yes</t>
        </is>
      </c>
      <c r="BB634" s="48" t="inlineStr">
        <is>
          <t xml:space="preserve">Yes</t>
        </is>
      </c>
      <c r="BC634" s="46" t="inlineStr">
        <is>
          <t xml:space="preserve">Synthetic demo data</t>
        </is>
      </c>
      <c r="BE634" s="45">
        <f>IF(OR($A634="",$L634="",$H634=""),"",IF(AND(LEFT($L634,2)="06",$H634&gt;1945),"FAIL - pre-war class, year "&amp;$H634,IF(AND(LEFT($L634,2)="07",OR($H634&lt;1946,$H634&gt;1972)),"FAIL - 1946-72 class, year "&amp;$H634,IF(AND(LEFT($L634,2)="08",OR($H634&lt;1973,$H634&gt;1999)),"FAIL - 1973-99 class, year "&amp;$H634,IF(AND(LEFT($L634,2)="09",OR($H634&lt;2000,$H634&gt;2010)),"FAIL - 2000-10 class, year "&amp;$H634,"OK")))))</f>
      </c>
      <c r="BF634" s="45">
        <f>IF($AD634="","",IF(ROUND($AO634+$AP634+$AQ634-$AD634,2)=0,"OK","FAIL - out by "&amp;TEXT($AO634+$AP634+$AQ634-$AD634,"$0.00")))</f>
      </c>
    </row>
    <row r="635" spans="1:58" ht="18.75" customHeight="1" x14ac:dyDescent="0.25">
      <c r="A635" s="30" t="inlineStr">
        <is>
          <t xml:space="preserve">CANON-202604-007446</t>
        </is>
      </c>
      <c r="B635" s="30" t="inlineStr">
        <is>
          <t xml:space="preserve">Leopold Okonkwo</t>
        </is>
      </c>
      <c r="C635" s="31">
        <v>46140</v>
      </c>
      <c r="D635" s="32" t="inlineStr">
        <is>
          <t xml:space="preserve">Bound - within authority</t>
        </is>
      </c>
      <c r="E635" s="32" t="inlineStr">
        <is>
          <t xml:space="preserve">New business</t>
        </is>
      </c>
      <c r="F635" s="30" t="inlineStr">
        <is>
          <t xml:space="preserve">B1234EXOTIC26</t>
        </is>
      </c>
      <c r="G635" s="33">
        <f>IF($A635="","",IF($C635="","",YEAR($C635)))</f>
      </c>
      <c r="H635" s="34">
        <v>1968</v>
      </c>
      <c r="I635" s="30" t="inlineStr">
        <is>
          <t xml:space="preserve">Ferrari</t>
        </is>
      </c>
      <c r="J635" s="30" t="inlineStr">
        <is>
          <t xml:space="preserve">275 GTB/4</t>
        </is>
      </c>
      <c r="K635" s="30" t="inlineStr">
        <is>
          <t xml:space="preserve">1Z6SSVAZZA5DSWGVW</t>
        </is>
      </c>
      <c r="L635" s="32" t="inlineStr">
        <is>
          <t xml:space="preserve">07 - Post-War Classic (1946-1972)</t>
        </is>
      </c>
      <c r="M635" s="35">
        <v>160000</v>
      </c>
      <c r="N635" s="32" t="inlineStr">
        <is>
          <t xml:space="preserve">Personal</t>
        </is>
      </c>
      <c r="O635" s="30" t="inlineStr">
        <is>
          <t xml:space="preserve">Personal - regular use</t>
        </is>
      </c>
      <c r="P635" s="30" t="inlineStr">
        <is>
          <t xml:space="preserve">2,500 - 5,000</t>
        </is>
      </c>
      <c r="Q635" s="30" t="inlineStr">
        <is>
          <t xml:space="preserve">New Mexico</t>
        </is>
      </c>
      <c r="R635" s="30" t="inlineStr">
        <is>
          <t xml:space="preserve">87501</t>
        </is>
      </c>
      <c r="S635" s="32" t="inlineStr">
        <is>
          <t xml:space="preserve">Wildfire - WUI high hazard</t>
        </is>
      </c>
      <c r="T635" s="36">
        <f>IF($A635="","",IF($S635="","",IFERROR(INDEX('[1]natural catastrophe'!$D$6:$D$17,MATCH($S635,'[1]natural catastrophe'!$B$6:$B$17,0)),"?")))</f>
      </c>
      <c r="U635" s="30" t="inlineStr">
        <is>
          <t xml:space="preserve">$5,000</t>
        </is>
      </c>
      <c r="V635" s="32" t="inlineStr">
        <is>
          <t xml:space="preserve">Agreed Value</t>
        </is>
      </c>
      <c r="W635" s="30" t="inlineStr">
        <is>
          <t xml:space="preserve">$1,000</t>
        </is>
      </c>
      <c r="X635" s="32" t="inlineStr">
        <is>
          <t xml:space="preserve">$1,000,000 CSL</t>
        </is>
      </c>
      <c r="Y635" s="30"/>
      <c r="Z635" s="30"/>
      <c r="AA635" s="32" t="inlineStr">
        <is>
          <t xml:space="preserve">Surplus Lines</t>
        </is>
      </c>
      <c r="AB635" s="35">
        <v>1829.23</v>
      </c>
      <c r="AC635" s="37">
        <v>0</v>
      </c>
      <c r="AD635" s="38">
        <f>IF(ISNUMBER($AB635),$AB635*(1+N($AC635)),"")</f>
      </c>
      <c r="AE635" s="35">
        <v>350</v>
      </c>
      <c r="AF635" s="35">
        <v>0</v>
      </c>
      <c r="AG635" s="37"/>
      <c r="AH635" s="39">
        <f>IF(ISNUMBER($AD635),($AD635+$AE635+$AF635)*$AG635,"")</f>
      </c>
      <c r="AI635" s="35"/>
      <c r="AJ635" s="38">
        <f>IF(ISNUMBER($AD635),SUM($AD635:$AH635),"")</f>
      </c>
      <c r="AK635" s="40">
        <f>IF(AND(ISNUMBER($AB635),ISNUMBER($AD635)),IF($AB635&gt;0,$AD635/$AB635,""),"")</f>
      </c>
      <c r="AL635" s="32" t="inlineStr">
        <is>
          <t xml:space="preserve">At technical</t>
        </is>
      </c>
      <c r="AM635" s="41">
        <f>IF(ISNUMBER($AD635),Header!$I$3,"")</f>
      </c>
      <c r="AN635" s="39">
        <f>IF(ISNUMBER($AD635),$AO635+$AP635,"")</f>
      </c>
      <c r="AO635" s="39">
        <f>IF(ISNUMBER($AD635),ROUND($AD635*Header!$K$3,2),"")</f>
      </c>
      <c r="AP635" s="39">
        <f>IF(ISNUMBER($AD635),ROUND($AD635*Header!$M$3,2),"")</f>
      </c>
      <c r="AQ635" s="38">
        <f>IF(ISNUMBER($AD635),ROUND($AD635,2)-$AO635-$AP635,"")</f>
      </c>
      <c r="AR635" s="39">
        <f>IF(ISNUMBER($AD635),IF(Header!$D$34="","?",$AD635*Header!$D$34),"")</f>
      </c>
      <c r="AS635" s="39">
        <f>IF(ISNUMBER($AB635),IF(Header!$D$34="","?",$AB635*Header!$D$34),"")</f>
      </c>
      <c r="AT635" s="42">
        <f>IF(AND(ISNUMBER($AB635),$M635&gt;0),$AB635/$M635*100,"")</f>
      </c>
      <c r="AU635" s="42">
        <f>IF(AND(ISNUMBER($AD635),$M635&gt;0),$AD635/$M635*100,"")</f>
      </c>
      <c r="AV635" s="40">
        <f>IF(AND(ISNUMBER($AB635),ISNUMBER($AD635),ABS($AB635)&gt;0),$AD635/$AB635,"")</f>
      </c>
      <c r="AW635" s="39">
        <f>IF(ISNUMBER($AD635),MAX(0,(1-0.55-Header!$O$3)*Header!$Q$3*$AQ635),"")</f>
      </c>
      <c r="AX635" s="43">
        <f>IF($A635="","",IF(TRIM(IF($A635="","Missing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",""))="","PASS","FAIL: "&amp;TRIM(IF($A635="","Missing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f>
      </c>
      <c r="AY635" s="44">
        <f>IF($M635="","",IF(ISNUMBER($M635),IF($M635&gt;=Header!$C$18,"YES — refer","No"),""))</f>
      </c>
      <c r="AZ635" s="44">
        <f>IF($AD635="","",IF(ISNUMBER($AD635),IF($AD635&lt;Header!$C$20,"BELOW MIN PREMIUM","OK"),""))</f>
      </c>
      <c r="BA635" s="32" t="inlineStr">
        <is>
          <t xml:space="preserve">Yes</t>
        </is>
      </c>
      <c r="BB635" s="32" t="inlineStr">
        <is>
          <t xml:space="preserve">Yes</t>
        </is>
      </c>
      <c r="BC635" s="30" t="inlineStr">
        <is>
          <t xml:space="preserve">Synthetic demo data</t>
        </is>
      </c>
      <c r="BE635" s="45">
        <f>IF(OR($A635="",$L635="",$H635=""),"",IF(AND(LEFT($L635,2)="06",$H635&gt;1945),"FAIL - pre-war class, year "&amp;$H635,IF(AND(LEFT($L635,2)="07",OR($H635&lt;1946,$H635&gt;1972)),"FAIL - 1946-72 class, year "&amp;$H635,IF(AND(LEFT($L635,2)="08",OR($H635&lt;1973,$H635&gt;1999)),"FAIL - 1973-99 class, year "&amp;$H635,IF(AND(LEFT($L635,2)="09",OR($H635&lt;2000,$H635&gt;2010)),"FAIL - 2000-10 class, year "&amp;$H635,"OK")))))</f>
      </c>
      <c r="BF635" s="45">
        <f>IF($AD635="","",IF(ROUND($AO635+$AP635+$AQ635-$AD635,2)=0,"OK","FAIL - out by "&amp;TEXT($AO635+$AP635+$AQ635-$AD635,"$0.00")))</f>
      </c>
    </row>
    <row r="636" spans="1:58" ht="18.75" customHeight="1" x14ac:dyDescent="0.25">
      <c r="A636" s="46" t="inlineStr">
        <is>
          <t xml:space="preserve">CANON-202604-007447</t>
        </is>
      </c>
      <c r="B636" s="46" t="inlineStr">
        <is>
          <t xml:space="preserve">Ingrid Thistlewood</t>
        </is>
      </c>
      <c r="C636" s="47">
        <v>46134</v>
      </c>
      <c r="D636" s="48" t="inlineStr">
        <is>
          <t xml:space="preserve">Bound - within authority</t>
        </is>
      </c>
      <c r="E636" s="48" t="inlineStr">
        <is>
          <t xml:space="preserve">New business</t>
        </is>
      </c>
      <c r="F636" s="46" t="inlineStr">
        <is>
          <t xml:space="preserve">B1234EXOTIC26</t>
        </is>
      </c>
      <c r="G636" s="33">
        <f>IF($A636="","",IF($C636="","",YEAR($C636)))</f>
      </c>
      <c r="H636" s="49">
        <v>1974</v>
      </c>
      <c r="I636" s="46" t="inlineStr">
        <is>
          <t xml:space="preserve">Porsche</t>
        </is>
      </c>
      <c r="J636" s="46" t="inlineStr">
        <is>
          <t xml:space="preserve">911 Turbo S</t>
        </is>
      </c>
      <c r="K636" s="46" t="inlineStr">
        <is>
          <t xml:space="preserve">LS0Z75N8YC6DHMC32</t>
        </is>
      </c>
      <c r="L636" s="48" t="inlineStr">
        <is>
          <t xml:space="preserve">02 - Sports / GT</t>
        </is>
      </c>
      <c r="M636" s="50">
        <v>905000</v>
      </c>
      <c r="N636" s="48" t="inlineStr">
        <is>
          <t xml:space="preserve">Personal</t>
        </is>
      </c>
      <c r="O636" s="46" t="inlineStr">
        <is>
          <t xml:space="preserve">Personal - regular use</t>
        </is>
      </c>
      <c r="P636" s="46" t="inlineStr">
        <is>
          <t xml:space="preserve">1,000 - 2,500</t>
        </is>
      </c>
      <c r="Q636" s="46" t="inlineStr">
        <is>
          <t xml:space="preserve">Indiana</t>
        </is>
      </c>
      <c r="R636" s="46" t="inlineStr">
        <is>
          <t xml:space="preserve">46204</t>
        </is>
      </c>
      <c r="S636" s="48" t="inlineStr">
        <is>
          <t xml:space="preserve">Severe convective - hail / tornado (moderate)</t>
        </is>
      </c>
      <c r="T636" s="36">
        <f>IF($A636="","",IF($S636="","",IFERROR(INDEX('[1]natural catastrophe'!$D$6:$D$17,MATCH($S636,'[1]natural catastrophe'!$B$6:$B$17,0)),"?")))</f>
      </c>
      <c r="U636" s="46" t="inlineStr">
        <is>
          <t xml:space="preserve">$5,000</t>
        </is>
      </c>
      <c r="V636" s="48" t="inlineStr">
        <is>
          <t xml:space="preserve">Agreed Value</t>
        </is>
      </c>
      <c r="W636" s="46" t="inlineStr">
        <is>
          <t xml:space="preserve">$1,000</t>
        </is>
      </c>
      <c r="X636" s="48" t="inlineStr">
        <is>
          <t xml:space="preserve">$1,000,000 CSL</t>
        </is>
      </c>
      <c r="Y636" s="46"/>
      <c r="Z636" s="46"/>
      <c r="AA636" s="48" t="inlineStr">
        <is>
          <t xml:space="preserve">Surplus Lines</t>
        </is>
      </c>
      <c r="AB636" s="50">
        <v>11337.85</v>
      </c>
      <c r="AC636" s="51">
        <v>0</v>
      </c>
      <c r="AD636" s="38">
        <f>IF(ISNUMBER($AB636),$AB636*(1+N($AC636)),"")</f>
      </c>
      <c r="AE636" s="50">
        <v>350</v>
      </c>
      <c r="AF636" s="50">
        <v>0</v>
      </c>
      <c r="AG636" s="51"/>
      <c r="AH636" s="39">
        <f>IF(ISNUMBER($AD636),($AD636+$AE636+$AF636)*$AG636,"")</f>
      </c>
      <c r="AI636" s="50"/>
      <c r="AJ636" s="38">
        <f>IF(ISNUMBER($AD636),SUM($AD636:$AH636),"")</f>
      </c>
      <c r="AK636" s="40">
        <f>IF(AND(ISNUMBER($AB636),ISNUMBER($AD636)),IF($AB636&gt;0,$AD636/$AB636,""),"")</f>
      </c>
      <c r="AL636" s="48" t="inlineStr">
        <is>
          <t xml:space="preserve">At technical</t>
        </is>
      </c>
      <c r="AM636" s="41">
        <f>IF(ISNUMBER($AD636),Header!$I$3,"")</f>
      </c>
      <c r="AN636" s="39">
        <f>IF(ISNUMBER($AD636),$AO636+$AP636,"")</f>
      </c>
      <c r="AO636" s="39">
        <f>IF(ISNUMBER($AD636),ROUND($AD636*Header!$K$3,2),"")</f>
      </c>
      <c r="AP636" s="39">
        <f>IF(ISNUMBER($AD636),ROUND($AD636*Header!$M$3,2),"")</f>
      </c>
      <c r="AQ636" s="38">
        <f>IF(ISNUMBER($AD636),ROUND($AD636,2)-$AO636-$AP636,"")</f>
      </c>
      <c r="AR636" s="39">
        <f>IF(ISNUMBER($AD636),IF(Header!$D$34="","?",$AD636*Header!$D$34),"")</f>
      </c>
      <c r="AS636" s="39">
        <f>IF(ISNUMBER($AB636),IF(Header!$D$34="","?",$AB636*Header!$D$34),"")</f>
      </c>
      <c r="AT636" s="42">
        <f>IF(AND(ISNUMBER($AB636),$M636&gt;0),$AB636/$M636*100,"")</f>
      </c>
      <c r="AU636" s="42">
        <f>IF(AND(ISNUMBER($AD636),$M636&gt;0),$AD636/$M636*100,"")</f>
      </c>
      <c r="AV636" s="40">
        <f>IF(AND(ISNUMBER($AB636),ISNUMBER($AD636),ABS($AB636)&gt;0),$AD636/$AB636,"")</f>
      </c>
      <c r="AW636" s="39">
        <f>IF(ISNUMBER($AD636),MAX(0,(1-0.55-Header!$O$3)*Header!$Q$3*$AQ636),"")</f>
      </c>
      <c r="AX636" s="43">
        <f>IF($A636="","",IF(TRIM(IF($A636="","Missing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",""))="","PASS","FAIL: "&amp;TRIM(IF($A636="","Missing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f>
      </c>
      <c r="AY636" s="44">
        <f>IF($M636="","",IF(ISNUMBER($M636),IF($M636&gt;=Header!$C$18,"YES — refer","No"),""))</f>
      </c>
      <c r="AZ636" s="44">
        <f>IF($AD636="","",IF(ISNUMBER($AD636),IF($AD636&lt;Header!$C$20,"BELOW MIN PREMIUM","OK"),""))</f>
      </c>
      <c r="BA636" s="48" t="inlineStr">
        <is>
          <t xml:space="preserve">Yes</t>
        </is>
      </c>
      <c r="BB636" s="48" t="inlineStr">
        <is>
          <t xml:space="preserve">Yes</t>
        </is>
      </c>
      <c r="BC636" s="46" t="inlineStr">
        <is>
          <t xml:space="preserve">Synthetic demo data</t>
        </is>
      </c>
      <c r="BE636" s="45">
        <f>IF(OR($A636="",$L636="",$H636=""),"",IF(AND(LEFT($L636,2)="06",$H636&gt;1945),"FAIL - pre-war class, year "&amp;$H636,IF(AND(LEFT($L636,2)="07",OR($H636&lt;1946,$H636&gt;1972)),"FAIL - 1946-72 class, year "&amp;$H636,IF(AND(LEFT($L636,2)="08",OR($H636&lt;1973,$H636&gt;1999)),"FAIL - 1973-99 class, year "&amp;$H636,IF(AND(LEFT($L636,2)="09",OR($H636&lt;2000,$H636&gt;2010)),"FAIL - 2000-10 class, year "&amp;$H636,"OK")))))</f>
      </c>
      <c r="BF636" s="45">
        <f>IF($AD636="","",IF(ROUND($AO636+$AP636+$AQ636-$AD636,2)=0,"OK","FAIL - out by "&amp;TEXT($AO636+$AP636+$AQ636-$AD636,"$0.00")))</f>
      </c>
    </row>
    <row r="637" spans="1:58" ht="18.75" customHeight="1" x14ac:dyDescent="0.25">
      <c r="A637" s="30" t="inlineStr">
        <is>
          <t xml:space="preserve">CANON-202604-007448</t>
        </is>
      </c>
      <c r="B637" s="30" t="inlineStr">
        <is>
          <t xml:space="preserve">Saoirse Okonkwo</t>
        </is>
      </c>
      <c r="C637" s="31">
        <v>46122</v>
      </c>
      <c r="D637" s="32" t="inlineStr">
        <is>
          <t xml:space="preserve">Bound - within authority</t>
        </is>
      </c>
      <c r="E637" s="32" t="inlineStr">
        <is>
          <t xml:space="preserve">New business</t>
        </is>
      </c>
      <c r="F637" s="30" t="inlineStr">
        <is>
          <t xml:space="preserve">B1234EXOTIC26</t>
        </is>
      </c>
      <c r="G637" s="33">
        <f>IF($A637="","",IF($C637="","",YEAR($C637)))</f>
      </c>
      <c r="H637" s="34">
        <v>1963</v>
      </c>
      <c r="I637" s="30" t="inlineStr">
        <is>
          <t xml:space="preserve">Ferrari</t>
        </is>
      </c>
      <c r="J637" s="30" t="inlineStr">
        <is>
          <t xml:space="preserve">SF90 Stradale</t>
        </is>
      </c>
      <c r="K637" s="30" t="inlineStr">
        <is>
          <t xml:space="preserve">PLNV4R2H56C9MAYE1</t>
        </is>
      </c>
      <c r="L637" s="32" t="inlineStr">
        <is>
          <t xml:space="preserve">03 - Supercar</t>
        </is>
      </c>
      <c r="M637" s="35">
        <v>1140000</v>
      </c>
      <c r="N637" s="32" t="inlineStr">
        <is>
          <t xml:space="preserve">Personal</t>
        </is>
      </c>
      <c r="O637" s="30" t="inlineStr">
        <is>
          <t xml:space="preserve">Personal - regular use</t>
        </is>
      </c>
      <c r="P637" s="30" t="inlineStr">
        <is>
          <t xml:space="preserve">2,500 - 5,000</t>
        </is>
      </c>
      <c r="Q637" s="30" t="inlineStr">
        <is>
          <t xml:space="preserve">West Virginia</t>
        </is>
      </c>
      <c r="R637" s="30" t="inlineStr">
        <is>
          <t xml:space="preserve">25301</t>
        </is>
      </c>
      <c r="S637" s="32" t="inlineStr">
        <is>
          <t xml:space="preserve">Low hazard - inland benign</t>
        </is>
      </c>
      <c r="T637" s="36">
        <f>IF($A637="","",IF($S637="","",IFERROR(INDEX('[1]natural catastrophe'!$D$6:$D$17,MATCH($S637,'[1]natural catastrophe'!$B$6:$B$17,0)),"?")))</f>
      </c>
      <c r="U637" s="30" t="inlineStr">
        <is>
          <t xml:space="preserve">$5,000</t>
        </is>
      </c>
      <c r="V637" s="32" t="inlineStr">
        <is>
          <t xml:space="preserve">Agreed Value</t>
        </is>
      </c>
      <c r="W637" s="30" t="inlineStr">
        <is>
          <t xml:space="preserve">$1,000</t>
        </is>
      </c>
      <c r="X637" s="32" t="inlineStr">
        <is>
          <t xml:space="preserve">$1,000,000 CSL</t>
        </is>
      </c>
      <c r="Y637" s="30"/>
      <c r="Z637" s="30"/>
      <c r="AA637" s="32" t="inlineStr">
        <is>
          <t xml:space="preserve">Surplus Lines</t>
        </is>
      </c>
      <c r="AB637" s="35">
        <v>19006.86</v>
      </c>
      <c r="AC637" s="37">
        <v>0</v>
      </c>
      <c r="AD637" s="38">
        <f>IF(ISNUMBER($AB637),$AB637*(1+N($AC637)),"")</f>
      </c>
      <c r="AE637" s="35">
        <v>350</v>
      </c>
      <c r="AF637" s="35">
        <v>250</v>
      </c>
      <c r="AG637" s="37"/>
      <c r="AH637" s="39">
        <f>IF(ISNUMBER($AD637),($AD637+$AE637+$AF637)*$AG637,"")</f>
      </c>
      <c r="AI637" s="35"/>
      <c r="AJ637" s="38">
        <f>IF(ISNUMBER($AD637),SUM($AD637:$AH637),"")</f>
      </c>
      <c r="AK637" s="40">
        <f>IF(AND(ISNUMBER($AB637),ISNUMBER($AD637)),IF($AB637&gt;0,$AD637/$AB637,""),"")</f>
      </c>
      <c r="AL637" s="32" t="inlineStr">
        <is>
          <t xml:space="preserve">At technical</t>
        </is>
      </c>
      <c r="AM637" s="41">
        <f>IF(ISNUMBER($AD637),Header!$I$3,"")</f>
      </c>
      <c r="AN637" s="39">
        <f>IF(ISNUMBER($AD637),$AO637+$AP637,"")</f>
      </c>
      <c r="AO637" s="39">
        <f>IF(ISNUMBER($AD637),ROUND($AD637*Header!$K$3,2),"")</f>
      </c>
      <c r="AP637" s="39">
        <f>IF(ISNUMBER($AD637),ROUND($AD637*Header!$M$3,2),"")</f>
      </c>
      <c r="AQ637" s="38">
        <f>IF(ISNUMBER($AD637),ROUND($AD637,2)-$AO637-$AP637,"")</f>
      </c>
      <c r="AR637" s="39">
        <f>IF(ISNUMBER($AD637),IF(Header!$D$34="","?",$AD637*Header!$D$34),"")</f>
      </c>
      <c r="AS637" s="39">
        <f>IF(ISNUMBER($AB637),IF(Header!$D$34="","?",$AB637*Header!$D$34),"")</f>
      </c>
      <c r="AT637" s="42">
        <f>IF(AND(ISNUMBER($AB637),$M637&gt;0),$AB637/$M637*100,"")</f>
      </c>
      <c r="AU637" s="42">
        <f>IF(AND(ISNUMBER($AD637),$M637&gt;0),$AD637/$M637*100,"")</f>
      </c>
      <c r="AV637" s="40">
        <f>IF(AND(ISNUMBER($AB637),ISNUMBER($AD637),ABS($AB637)&gt;0),$AD637/$AB637,"")</f>
      </c>
      <c r="AW637" s="39">
        <f>IF(ISNUMBER($AD637),MAX(0,(1-0.55-Header!$O$3)*Header!$Q$3*$AQ637),"")</f>
      </c>
      <c r="AX637" s="43">
        <f>IF($A637="","",IF(TRIM(IF($A637="","Missing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",""))="","PASS","FAIL: "&amp;TRIM(IF($A637="","Missing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f>
      </c>
      <c r="AY637" s="44">
        <f>IF($M637="","",IF(ISNUMBER($M637),IF($M637&gt;=Header!$C$18,"YES — refer","No"),""))</f>
      </c>
      <c r="AZ637" s="44">
        <f>IF($AD637="","",IF(ISNUMBER($AD637),IF($AD637&lt;Header!$C$20,"BELOW MIN PREMIUM","OK"),""))</f>
      </c>
      <c r="BA637" s="32" t="inlineStr">
        <is>
          <t xml:space="preserve">Yes</t>
        </is>
      </c>
      <c r="BB637" s="32" t="inlineStr">
        <is>
          <t xml:space="preserve">Yes</t>
        </is>
      </c>
      <c r="BC637" s="30" t="inlineStr">
        <is>
          <t xml:space="preserve">Synthetic demo data</t>
        </is>
      </c>
      <c r="BE637" s="45">
        <f>IF(OR($A637="",$L637="",$H637=""),"",IF(AND(LEFT($L637,2)="06",$H637&gt;1945),"FAIL - pre-war class, year "&amp;$H637,IF(AND(LEFT($L637,2)="07",OR($H637&lt;1946,$H637&gt;1972)),"FAIL - 1946-72 class, year "&amp;$H637,IF(AND(LEFT($L637,2)="08",OR($H637&lt;1973,$H637&gt;1999)),"FAIL - 1973-99 class, year "&amp;$H637,IF(AND(LEFT($L637,2)="09",OR($H637&lt;2000,$H637&gt;2010)),"FAIL - 2000-10 class, year "&amp;$H637,"OK")))))</f>
      </c>
      <c r="BF637" s="45">
        <f>IF($AD637="","",IF(ROUND($AO637+$AP637+$AQ637-$AD637,2)=0,"OK","FAIL - out by "&amp;TEXT($AO637+$AP637+$AQ637-$AD637,"$0.00")))</f>
      </c>
    </row>
    <row r="638" spans="1:58" ht="18.75" customHeight="1" x14ac:dyDescent="0.25">
      <c r="A638" s="46" t="inlineStr">
        <is>
          <t xml:space="preserve">CANON-202604-007449</t>
        </is>
      </c>
      <c r="B638" s="46" t="inlineStr">
        <is>
          <t xml:space="preserve">Callum Thistlewood</t>
        </is>
      </c>
      <c r="C638" s="47">
        <v>46132</v>
      </c>
      <c r="D638" s="48" t="inlineStr">
        <is>
          <t xml:space="preserve">Bound - within authority</t>
        </is>
      </c>
      <c r="E638" s="48" t="inlineStr">
        <is>
          <t xml:space="preserve">New business</t>
        </is>
      </c>
      <c r="F638" s="46" t="inlineStr">
        <is>
          <t xml:space="preserve">B1234EXOTIC26</t>
        </is>
      </c>
      <c r="G638" s="33">
        <f>IF($A638="","",IF($C638="","",YEAR($C638)))</f>
      </c>
      <c r="H638" s="49">
        <v>2019</v>
      </c>
      <c r="I638" s="46" t="inlineStr">
        <is>
          <t xml:space="preserve">Mercedes-Benz</t>
        </is>
      </c>
      <c r="J638" s="46" t="inlineStr">
        <is>
          <t xml:space="preserve">AMG GT</t>
        </is>
      </c>
      <c r="K638" s="46" t="inlineStr">
        <is>
          <t xml:space="preserve">3UP4RD32YTTA9RZ20</t>
        </is>
      </c>
      <c r="L638" s="48" t="inlineStr">
        <is>
          <t xml:space="preserve">02 - Sports / GT</t>
        </is>
      </c>
      <c r="M638" s="50">
        <v>215000</v>
      </c>
      <c r="N638" s="48" t="inlineStr">
        <is>
          <t xml:space="preserve">Personal</t>
        </is>
      </c>
      <c r="O638" s="46" t="inlineStr">
        <is>
          <t xml:space="preserve">Personal - regular use</t>
        </is>
      </c>
      <c r="P638" s="46" t="inlineStr">
        <is>
          <t xml:space="preserve">1,000 - 2,500</t>
        </is>
      </c>
      <c r="Q638" s="46" t="inlineStr">
        <is>
          <t xml:space="preserve">Alaska</t>
        </is>
      </c>
      <c r="R638" s="46" t="inlineStr">
        <is>
          <t xml:space="preserve">99501</t>
        </is>
      </c>
      <c r="S638" s="48" t="inlineStr">
        <is>
          <t xml:space="preserve">Earthquake - high (CA, Cascadia, New Madrid)</t>
        </is>
      </c>
      <c r="T638" s="36">
        <f>IF($A638="","",IF($S638="","",IFERROR(INDEX('[1]natural catastrophe'!$D$6:$D$17,MATCH($S638,'[1]natural catastrophe'!$B$6:$B$17,0)),"?")))</f>
      </c>
      <c r="U638" s="46" t="inlineStr">
        <is>
          <t xml:space="preserve">$5,000</t>
        </is>
      </c>
      <c r="V638" s="48" t="inlineStr">
        <is>
          <t xml:space="preserve">Agreed Value</t>
        </is>
      </c>
      <c r="W638" s="46" t="inlineStr">
        <is>
          <t xml:space="preserve">$1,000</t>
        </is>
      </c>
      <c r="X638" s="48" t="inlineStr">
        <is>
          <t xml:space="preserve">$1,000,000 CSL</t>
        </is>
      </c>
      <c r="Y638" s="46"/>
      <c r="Z638" s="46"/>
      <c r="AA638" s="48" t="inlineStr">
        <is>
          <t xml:space="preserve">Surplus Lines</t>
        </is>
      </c>
      <c r="AB638" s="50">
        <v>3533.42</v>
      </c>
      <c r="AC638" s="51">
        <v>0</v>
      </c>
      <c r="AD638" s="38">
        <f>IF(ISNUMBER($AB638),$AB638*(1+N($AC638)),"")</f>
      </c>
      <c r="AE638" s="50">
        <v>350</v>
      </c>
      <c r="AF638" s="50">
        <v>0</v>
      </c>
      <c r="AG638" s="51"/>
      <c r="AH638" s="39">
        <f>IF(ISNUMBER($AD638),($AD638+$AE638+$AF638)*$AG638,"")</f>
      </c>
      <c r="AI638" s="50"/>
      <c r="AJ638" s="38">
        <f>IF(ISNUMBER($AD638),SUM($AD638:$AH638),"")</f>
      </c>
      <c r="AK638" s="40">
        <f>IF(AND(ISNUMBER($AB638),ISNUMBER($AD638)),IF($AB638&gt;0,$AD638/$AB638,""),"")</f>
      </c>
      <c r="AL638" s="48" t="inlineStr">
        <is>
          <t xml:space="preserve">At technical</t>
        </is>
      </c>
      <c r="AM638" s="41">
        <f>IF(ISNUMBER($AD638),Header!$I$3,"")</f>
      </c>
      <c r="AN638" s="39">
        <f>IF(ISNUMBER($AD638),$AO638+$AP638,"")</f>
      </c>
      <c r="AO638" s="39">
        <f>IF(ISNUMBER($AD638),ROUND($AD638*Header!$K$3,2),"")</f>
      </c>
      <c r="AP638" s="39">
        <f>IF(ISNUMBER($AD638),ROUND($AD638*Header!$M$3,2),"")</f>
      </c>
      <c r="AQ638" s="38">
        <f>IF(ISNUMBER($AD638),ROUND($AD638,2)-$AO638-$AP638,"")</f>
      </c>
      <c r="AR638" s="39">
        <f>IF(ISNUMBER($AD638),IF(Header!$D$34="","?",$AD638*Header!$D$34),"")</f>
      </c>
      <c r="AS638" s="39">
        <f>IF(ISNUMBER($AB638),IF(Header!$D$34="","?",$AB638*Header!$D$34),"")</f>
      </c>
      <c r="AT638" s="42">
        <f>IF(AND(ISNUMBER($AB638),$M638&gt;0),$AB638/$M638*100,"")</f>
      </c>
      <c r="AU638" s="42">
        <f>IF(AND(ISNUMBER($AD638),$M638&gt;0),$AD638/$M638*100,"")</f>
      </c>
      <c r="AV638" s="40">
        <f>IF(AND(ISNUMBER($AB638),ISNUMBER($AD638),ABS($AB638)&gt;0),$AD638/$AB638,"")</f>
      </c>
      <c r="AW638" s="39">
        <f>IF(ISNUMBER($AD638),MAX(0,(1-0.55-Header!$O$3)*Header!$Q$3*$AQ638),"")</f>
      </c>
      <c r="AX638" s="43">
        <f>IF($A638="","",IF(TRIM(IF($A638="","Missing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",""))="","PASS","FAIL: "&amp;TRIM(IF($A638="","Missing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f>
      </c>
      <c r="AY638" s="44">
        <f>IF($M638="","",IF(ISNUMBER($M638),IF($M638&gt;=Header!$C$18,"YES — refer","No"),""))</f>
      </c>
      <c r="AZ638" s="44">
        <f>IF($AD638="","",IF(ISNUMBER($AD638),IF($AD638&lt;Header!$C$20,"BELOW MIN PREMIUM","OK"),""))</f>
      </c>
      <c r="BA638" s="48" t="inlineStr">
        <is>
          <t xml:space="preserve">Yes</t>
        </is>
      </c>
      <c r="BB638" s="48" t="inlineStr">
        <is>
          <t xml:space="preserve">Yes</t>
        </is>
      </c>
      <c r="BC638" s="46" t="inlineStr">
        <is>
          <t xml:space="preserve">Synthetic demo data</t>
        </is>
      </c>
      <c r="BE638" s="45">
        <f>IF(OR($A638="",$L638="",$H638=""),"",IF(AND(LEFT($L638,2)="06",$H638&gt;1945),"FAIL - pre-war class, year "&amp;$H638,IF(AND(LEFT($L638,2)="07",OR($H638&lt;1946,$H638&gt;1972)),"FAIL - 1946-72 class, year "&amp;$H638,IF(AND(LEFT($L638,2)="08",OR($H638&lt;1973,$H638&gt;1999)),"FAIL - 1973-99 class, year "&amp;$H638,IF(AND(LEFT($L638,2)="09",OR($H638&lt;2000,$H638&gt;2010)),"FAIL - 2000-10 class, year "&amp;$H638,"OK")))))</f>
      </c>
      <c r="BF638" s="45">
        <f>IF($AD638="","",IF(ROUND($AO638+$AP638+$AQ638-$AD638,2)=0,"OK","FAIL - out by "&amp;TEXT($AO638+$AP638+$AQ638-$AD638,"$0.00")))</f>
      </c>
    </row>
    <row r="639" spans="1:58" ht="18.75" customHeight="1" x14ac:dyDescent="0.25">
      <c r="A639" s="30" t="inlineStr">
        <is>
          <t xml:space="preserve">CANON-202604-007450</t>
        </is>
      </c>
      <c r="B639" s="30" t="inlineStr">
        <is>
          <t xml:space="preserve">Thaddeus Castellanos</t>
        </is>
      </c>
      <c r="C639" s="31">
        <v>46114</v>
      </c>
      <c r="D639" s="32" t="inlineStr">
        <is>
          <t xml:space="preserve">Bound - within authority</t>
        </is>
      </c>
      <c r="E639" s="32" t="inlineStr">
        <is>
          <t xml:space="preserve">New business</t>
        </is>
      </c>
      <c r="F639" s="30" t="inlineStr">
        <is>
          <t xml:space="preserve">B1234EXOTIC26</t>
        </is>
      </c>
      <c r="G639" s="33">
        <f>IF($A639="","",IF($C639="","",YEAR($C639)))</f>
      </c>
      <c r="H639" s="34">
        <v>2011</v>
      </c>
      <c r="I639" s="30" t="inlineStr">
        <is>
          <t xml:space="preserve">Bentley</t>
        </is>
      </c>
      <c r="J639" s="30" t="inlineStr">
        <is>
          <t xml:space="preserve">Continental GT</t>
        </is>
      </c>
      <c r="K639" s="30" t="inlineStr">
        <is>
          <t xml:space="preserve">P447WZL7UMWE229H1</t>
        </is>
      </c>
      <c r="L639" s="32" t="inlineStr">
        <is>
          <t xml:space="preserve">02 - Sports / GT</t>
        </is>
      </c>
      <c r="M639" s="35">
        <v>775000</v>
      </c>
      <c r="N639" s="32" t="inlineStr">
        <is>
          <t xml:space="preserve">Personal</t>
        </is>
      </c>
      <c r="O639" s="30" t="inlineStr">
        <is>
          <t xml:space="preserve">Personal - regular use</t>
        </is>
      </c>
      <c r="P639" s="30" t="inlineStr">
        <is>
          <t xml:space="preserve">1,000 - 2,500</t>
        </is>
      </c>
      <c r="Q639" s="30" t="inlineStr">
        <is>
          <t xml:space="preserve">New Jersey</t>
        </is>
      </c>
      <c r="R639" s="30" t="inlineStr">
        <is>
          <t xml:space="preserve">07102</t>
        </is>
      </c>
      <c r="S639" s="32" t="inlineStr">
        <is>
          <t xml:space="preserve">Tier 3 - Coastal wind (25-100 miles)</t>
        </is>
      </c>
      <c r="T639" s="36">
        <f>IF($A639="","",IF($S639="","",IFERROR(INDEX('[1]natural catastrophe'!$D$6:$D$17,MATCH($S639,'[1]natural catastrophe'!$B$6:$B$17,0)),"?")))</f>
      </c>
      <c r="U639" s="30" t="inlineStr">
        <is>
          <t xml:space="preserve">2% of agreed value, minimum $10,000</t>
        </is>
      </c>
      <c r="V639" s="32" t="inlineStr">
        <is>
          <t xml:space="preserve">Agreed Value</t>
        </is>
      </c>
      <c r="W639" s="30" t="inlineStr">
        <is>
          <t xml:space="preserve">$1,000</t>
        </is>
      </c>
      <c r="X639" s="32" t="inlineStr">
        <is>
          <t xml:space="preserve">$1,000,000 CSL</t>
        </is>
      </c>
      <c r="Y639" s="30"/>
      <c r="Z639" s="30"/>
      <c r="AA639" s="32" t="inlineStr">
        <is>
          <t xml:space="preserve">Surplus Lines</t>
        </is>
      </c>
      <c r="AB639" s="35">
        <v>7183.24</v>
      </c>
      <c r="AC639" s="37">
        <v>0</v>
      </c>
      <c r="AD639" s="38">
        <f>IF(ISNUMBER($AB639),$AB639*(1+N($AC639)),"")</f>
      </c>
      <c r="AE639" s="35">
        <v>350</v>
      </c>
      <c r="AF639" s="35">
        <v>0</v>
      </c>
      <c r="AG639" s="37"/>
      <c r="AH639" s="39">
        <f>IF(ISNUMBER($AD639),($AD639+$AE639+$AF639)*$AG639,"")</f>
      </c>
      <c r="AI639" s="35"/>
      <c r="AJ639" s="38">
        <f>IF(ISNUMBER($AD639),SUM($AD639:$AH639),"")</f>
      </c>
      <c r="AK639" s="40">
        <f>IF(AND(ISNUMBER($AB639),ISNUMBER($AD639)),IF($AB639&gt;0,$AD639/$AB639,""),"")</f>
      </c>
      <c r="AL639" s="32" t="inlineStr">
        <is>
          <t xml:space="preserve">At technical</t>
        </is>
      </c>
      <c r="AM639" s="41">
        <f>IF(ISNUMBER($AD639),Header!$I$3,"")</f>
      </c>
      <c r="AN639" s="39">
        <f>IF(ISNUMBER($AD639),$AO639+$AP639,"")</f>
      </c>
      <c r="AO639" s="39">
        <f>IF(ISNUMBER($AD639),ROUND($AD639*Header!$K$3,2),"")</f>
      </c>
      <c r="AP639" s="39">
        <f>IF(ISNUMBER($AD639),ROUND($AD639*Header!$M$3,2),"")</f>
      </c>
      <c r="AQ639" s="38">
        <f>IF(ISNUMBER($AD639),ROUND($AD639,2)-$AO639-$AP639,"")</f>
      </c>
      <c r="AR639" s="39">
        <f>IF(ISNUMBER($AD639),IF(Header!$D$34="","?",$AD639*Header!$D$34),"")</f>
      </c>
      <c r="AS639" s="39">
        <f>IF(ISNUMBER($AB639),IF(Header!$D$34="","?",$AB639*Header!$D$34),"")</f>
      </c>
      <c r="AT639" s="42">
        <f>IF(AND(ISNUMBER($AB639),$M639&gt;0),$AB639/$M639*100,"")</f>
      </c>
      <c r="AU639" s="42">
        <f>IF(AND(ISNUMBER($AD639),$M639&gt;0),$AD639/$M639*100,"")</f>
      </c>
      <c r="AV639" s="40">
        <f>IF(AND(ISNUMBER($AB639),ISNUMBER($AD639),ABS($AB639)&gt;0),$AD639/$AB639,"")</f>
      </c>
      <c r="AW639" s="39">
        <f>IF(ISNUMBER($AD639),MAX(0,(1-0.55-Header!$O$3)*Header!$Q$3*$AQ639),"")</f>
      </c>
      <c r="AX639" s="43">
        <f>IF($A639="","",IF(TRIM(IF($A639="","Missing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",""))="","PASS","FAIL: "&amp;TRIM(IF($A639="","Missing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f>
      </c>
      <c r="AY639" s="44">
        <f>IF($M639="","",IF(ISNUMBER($M639),IF($M639&gt;=Header!$C$18,"YES — refer","No"),""))</f>
      </c>
      <c r="AZ639" s="44">
        <f>IF($AD639="","",IF(ISNUMBER($AD639),IF($AD639&lt;Header!$C$20,"BELOW MIN PREMIUM","OK"),""))</f>
      </c>
      <c r="BA639" s="32" t="inlineStr">
        <is>
          <t xml:space="preserve">Yes</t>
        </is>
      </c>
      <c r="BB639" s="32" t="inlineStr">
        <is>
          <t xml:space="preserve">Yes</t>
        </is>
      </c>
      <c r="BC639" s="30" t="inlineStr">
        <is>
          <t xml:space="preserve">Synthetic demo data</t>
        </is>
      </c>
      <c r="BE639" s="45">
        <f>IF(OR($A639="",$L639="",$H639=""),"",IF(AND(LEFT($L639,2)="06",$H639&gt;1945),"FAIL - pre-war class, year "&amp;$H639,IF(AND(LEFT($L639,2)="07",OR($H639&lt;1946,$H639&gt;1972)),"FAIL - 1946-72 class, year "&amp;$H639,IF(AND(LEFT($L639,2)="08",OR($H639&lt;1973,$H639&gt;1999)),"FAIL - 1973-99 class, year "&amp;$H639,IF(AND(LEFT($L639,2)="09",OR($H639&lt;2000,$H639&gt;2010)),"FAIL - 2000-10 class, year "&amp;$H639,"OK")))))</f>
      </c>
      <c r="BF639" s="45">
        <f>IF($AD639="","",IF(ROUND($AO639+$AP639+$AQ639-$AD639,2)=0,"OK","FAIL - out by "&amp;TEXT($AO639+$AP639+$AQ639-$AD639,"$0.00")))</f>
      </c>
    </row>
    <row r="640" spans="1:58" ht="18.75" customHeight="1" x14ac:dyDescent="0.25">
      <c r="A640" s="46" t="inlineStr">
        <is>
          <t xml:space="preserve">CANON-202604-007451</t>
        </is>
      </c>
      <c r="B640" s="46" t="inlineStr">
        <is>
          <t xml:space="preserve">Leopold Montoya</t>
        </is>
      </c>
      <c r="C640" s="47">
        <v>46118</v>
      </c>
      <c r="D640" s="48" t="inlineStr">
        <is>
          <t xml:space="preserve">Bound - within authority</t>
        </is>
      </c>
      <c r="E640" s="48" t="inlineStr">
        <is>
          <t xml:space="preserve">New business</t>
        </is>
      </c>
      <c r="F640" s="46" t="inlineStr">
        <is>
          <t xml:space="preserve">B1234EXOTIC26</t>
        </is>
      </c>
      <c r="G640" s="33">
        <f>IF($A640="","",IF($C640="","",YEAR($C640)))</f>
      </c>
      <c r="H640" s="49">
        <v>2024</v>
      </c>
      <c r="I640" s="46" t="inlineStr">
        <is>
          <t xml:space="preserve">Singer</t>
        </is>
      </c>
      <c r="J640" s="46" t="inlineStr">
        <is>
          <t xml:space="preserve">911 Reimagined</t>
        </is>
      </c>
      <c r="K640" s="46" t="inlineStr">
        <is>
          <t xml:space="preserve">HVKXJE34AAX9PE0XE</t>
        </is>
      </c>
      <c r="L640" s="48" t="inlineStr">
        <is>
          <t xml:space="preserve">11 - Restomod / Coachbuilt / Bespoke</t>
        </is>
      </c>
      <c r="M640" s="50">
        <v>1115000</v>
      </c>
      <c r="N640" s="48" t="inlineStr">
        <is>
          <t xml:space="preserve">Personal</t>
        </is>
      </c>
      <c r="O640" s="46" t="inlineStr">
        <is>
          <t xml:space="preserve">Personal - regular use</t>
        </is>
      </c>
      <c r="P640" s="46" t="inlineStr">
        <is>
          <t xml:space="preserve">1,000 - 2,500</t>
        </is>
      </c>
      <c r="Q640" s="46" t="inlineStr">
        <is>
          <t xml:space="preserve">Ohio</t>
        </is>
      </c>
      <c r="R640" s="46" t="inlineStr">
        <is>
          <t xml:space="preserve">43215</t>
        </is>
      </c>
      <c r="S640" s="48" t="inlineStr">
        <is>
          <t xml:space="preserve">Severe convective - hail / tornado (moderate)</t>
        </is>
      </c>
      <c r="T640" s="36">
        <f>IF($A640="","",IF($S640="","",IFERROR(INDEX('[1]natural catastrophe'!$D$6:$D$17,MATCH($S640,'[1]natural catastrophe'!$B$6:$B$17,0)),"?")))</f>
      </c>
      <c r="U640" s="46" t="inlineStr">
        <is>
          <t xml:space="preserve">$5,000</t>
        </is>
      </c>
      <c r="V640" s="48" t="inlineStr">
        <is>
          <t xml:space="preserve">Agreed Value</t>
        </is>
      </c>
      <c r="W640" s="46" t="inlineStr">
        <is>
          <t xml:space="preserve">$1,000</t>
        </is>
      </c>
      <c r="X640" s="48" t="inlineStr">
        <is>
          <t xml:space="preserve">$1,000,000 CSL</t>
        </is>
      </c>
      <c r="Y640" s="46"/>
      <c r="Z640" s="46"/>
      <c r="AA640" s="48" t="inlineStr">
        <is>
          <t xml:space="preserve">Surplus Lines</t>
        </is>
      </c>
      <c r="AB640" s="50">
        <v>16514.38</v>
      </c>
      <c r="AC640" s="51">
        <v>0</v>
      </c>
      <c r="AD640" s="38">
        <f>IF(ISNUMBER($AB640),$AB640*(1+N($AC640)),"")</f>
      </c>
      <c r="AE640" s="50">
        <v>350</v>
      </c>
      <c r="AF640" s="50">
        <v>250</v>
      </c>
      <c r="AG640" s="51"/>
      <c r="AH640" s="39">
        <f>IF(ISNUMBER($AD640),($AD640+$AE640+$AF640)*$AG640,"")</f>
      </c>
      <c r="AI640" s="50"/>
      <c r="AJ640" s="38">
        <f>IF(ISNUMBER($AD640),SUM($AD640:$AH640),"")</f>
      </c>
      <c r="AK640" s="40">
        <f>IF(AND(ISNUMBER($AB640),ISNUMBER($AD640)),IF($AB640&gt;0,$AD640/$AB640,""),"")</f>
      </c>
      <c r="AL640" s="48" t="inlineStr">
        <is>
          <t xml:space="preserve">At technical</t>
        </is>
      </c>
      <c r="AM640" s="41">
        <f>IF(ISNUMBER($AD640),Header!$I$3,"")</f>
      </c>
      <c r="AN640" s="39">
        <f>IF(ISNUMBER($AD640),$AO640+$AP640,"")</f>
      </c>
      <c r="AO640" s="39">
        <f>IF(ISNUMBER($AD640),ROUND($AD640*Header!$K$3,2),"")</f>
      </c>
      <c r="AP640" s="39">
        <f>IF(ISNUMBER($AD640),ROUND($AD640*Header!$M$3,2),"")</f>
      </c>
      <c r="AQ640" s="38">
        <f>IF(ISNUMBER($AD640),ROUND($AD640,2)-$AO640-$AP640,"")</f>
      </c>
      <c r="AR640" s="39">
        <f>IF(ISNUMBER($AD640),IF(Header!$D$34="","?",$AD640*Header!$D$34),"")</f>
      </c>
      <c r="AS640" s="39">
        <f>IF(ISNUMBER($AB640),IF(Header!$D$34="","?",$AB640*Header!$D$34),"")</f>
      </c>
      <c r="AT640" s="42">
        <f>IF(AND(ISNUMBER($AB640),$M640&gt;0),$AB640/$M640*100,"")</f>
      </c>
      <c r="AU640" s="42">
        <f>IF(AND(ISNUMBER($AD640),$M640&gt;0),$AD640/$M640*100,"")</f>
      </c>
      <c r="AV640" s="40">
        <f>IF(AND(ISNUMBER($AB640),ISNUMBER($AD640),ABS($AB640)&gt;0),$AD640/$AB640,"")</f>
      </c>
      <c r="AW640" s="39">
        <f>IF(ISNUMBER($AD640),MAX(0,(1-0.55-Header!$O$3)*Header!$Q$3*$AQ640),"")</f>
      </c>
      <c r="AX640" s="43">
        <f>IF($A640="","",IF(TRIM(IF($A640="","Missing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",""))="","PASS","FAIL: "&amp;TRIM(IF($A640="","Missing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f>
      </c>
      <c r="AY640" s="44">
        <f>IF($M640="","",IF(ISNUMBER($M640),IF($M640&gt;=Header!$C$18,"YES — refer","No"),""))</f>
      </c>
      <c r="AZ640" s="44">
        <f>IF($AD640="","",IF(ISNUMBER($AD640),IF($AD640&lt;Header!$C$20,"BELOW MIN PREMIUM","OK"),""))</f>
      </c>
      <c r="BA640" s="48" t="inlineStr">
        <is>
          <t xml:space="preserve">Yes</t>
        </is>
      </c>
      <c r="BB640" s="48" t="inlineStr">
        <is>
          <t xml:space="preserve">Yes</t>
        </is>
      </c>
      <c r="BC640" s="46" t="inlineStr">
        <is>
          <t xml:space="preserve">Synthetic demo data</t>
        </is>
      </c>
      <c r="BE640" s="45">
        <f>IF(OR($A640="",$L640="",$H640=""),"",IF(AND(LEFT($L640,2)="06",$H640&gt;1945),"FAIL - pre-war class, year "&amp;$H640,IF(AND(LEFT($L640,2)="07",OR($H640&lt;1946,$H640&gt;1972)),"FAIL - 1946-72 class, year "&amp;$H640,IF(AND(LEFT($L640,2)="08",OR($H640&lt;1973,$H640&gt;1999)),"FAIL - 1973-99 class, year "&amp;$H640,IF(AND(LEFT($L640,2)="09",OR($H640&lt;2000,$H640&gt;2010)),"FAIL - 2000-10 class, year "&amp;$H640,"OK")))))</f>
      </c>
      <c r="BF640" s="45">
        <f>IF($AD640="","",IF(ROUND($AO640+$AP640+$AQ640-$AD640,2)=0,"OK","FAIL - out by "&amp;TEXT($AO640+$AP640+$AQ640-$AD640,"$0.00")))</f>
      </c>
    </row>
    <row r="641" spans="1:58" ht="18.75" customHeight="1" x14ac:dyDescent="0.25">
      <c r="A641" s="30" t="inlineStr">
        <is>
          <t xml:space="preserve">CANON-202604-007452</t>
        </is>
      </c>
      <c r="B641" s="30" t="inlineStr">
        <is>
          <t xml:space="preserve">Emiliano Kingsford</t>
        </is>
      </c>
      <c r="C641" s="31">
        <v>46118</v>
      </c>
      <c r="D641" s="32" t="inlineStr">
        <is>
          <t xml:space="preserve">Bound - within authority</t>
        </is>
      </c>
      <c r="E641" s="32" t="inlineStr">
        <is>
          <t xml:space="preserve">New business</t>
        </is>
      </c>
      <c r="F641" s="30" t="inlineStr">
        <is>
          <t xml:space="preserve">B1234EXOTIC26</t>
        </is>
      </c>
      <c r="G641" s="33">
        <f>IF($A641="","",IF($C641="","",YEAR($C641)))</f>
      </c>
      <c r="H641" s="34">
        <v>2003</v>
      </c>
      <c r="I641" s="30" t="inlineStr">
        <is>
          <t xml:space="preserve">Aston Martin</t>
        </is>
      </c>
      <c r="J641" s="30" t="inlineStr">
        <is>
          <t xml:space="preserve">DB5</t>
        </is>
      </c>
      <c r="K641" s="30" t="inlineStr">
        <is>
          <t xml:space="preserve">B4WAL09XUAMY823PG</t>
        </is>
      </c>
      <c r="L641" s="32" t="inlineStr">
        <is>
          <t xml:space="preserve">09 - Youngtimer / Collectible (2000-2010)</t>
        </is>
      </c>
      <c r="M641" s="35">
        <v>830000</v>
      </c>
      <c r="N641" s="32" t="inlineStr">
        <is>
          <t xml:space="preserve">Personal</t>
        </is>
      </c>
      <c r="O641" s="30" t="inlineStr">
        <is>
          <t xml:space="preserve">Personal - regular use</t>
        </is>
      </c>
      <c r="P641" s="30" t="inlineStr">
        <is>
          <t xml:space="preserve">1,000 - 2,500</t>
        </is>
      </c>
      <c r="Q641" s="30" t="inlineStr">
        <is>
          <t xml:space="preserve">Ohio</t>
        </is>
      </c>
      <c r="R641" s="30" t="inlineStr">
        <is>
          <t xml:space="preserve">43215</t>
        </is>
      </c>
      <c r="S641" s="32" t="inlineStr">
        <is>
          <t xml:space="preserve">Severe convective - hail / tornado (moderate)</t>
        </is>
      </c>
      <c r="T641" s="36">
        <f>IF($A641="","",IF($S641="","",IFERROR(INDEX('[1]natural catastrophe'!$D$6:$D$17,MATCH($S641,'[1]natural catastrophe'!$B$6:$B$17,0)),"?")))</f>
      </c>
      <c r="U641" s="30" t="inlineStr">
        <is>
          <t xml:space="preserve">$5,000</t>
        </is>
      </c>
      <c r="V641" s="32" t="inlineStr">
        <is>
          <t xml:space="preserve">Agreed Value</t>
        </is>
      </c>
      <c r="W641" s="30" t="inlineStr">
        <is>
          <t xml:space="preserve">$1,000</t>
        </is>
      </c>
      <c r="X641" s="32" t="inlineStr">
        <is>
          <t xml:space="preserve">$1,000,000 CSL</t>
        </is>
      </c>
      <c r="Y641" s="30"/>
      <c r="Z641" s="30"/>
      <c r="AA641" s="32" t="inlineStr">
        <is>
          <t xml:space="preserve">Surplus Lines</t>
        </is>
      </c>
      <c r="AB641" s="35">
        <v>7773.65</v>
      </c>
      <c r="AC641" s="37">
        <v>0</v>
      </c>
      <c r="AD641" s="38">
        <f>IF(ISNUMBER($AB641),$AB641*(1+N($AC641)),"")</f>
      </c>
      <c r="AE641" s="35">
        <v>350</v>
      </c>
      <c r="AF641" s="35">
        <v>0</v>
      </c>
      <c r="AG641" s="37"/>
      <c r="AH641" s="39">
        <f>IF(ISNUMBER($AD641),($AD641+$AE641+$AF641)*$AG641,"")</f>
      </c>
      <c r="AI641" s="35"/>
      <c r="AJ641" s="38">
        <f>IF(ISNUMBER($AD641),SUM($AD641:$AH641),"")</f>
      </c>
      <c r="AK641" s="40">
        <f>IF(AND(ISNUMBER($AB641),ISNUMBER($AD641)),IF($AB641&gt;0,$AD641/$AB641,""),"")</f>
      </c>
      <c r="AL641" s="32" t="inlineStr">
        <is>
          <t xml:space="preserve">At technical</t>
        </is>
      </c>
      <c r="AM641" s="41">
        <f>IF(ISNUMBER($AD641),Header!$I$3,"")</f>
      </c>
      <c r="AN641" s="39">
        <f>IF(ISNUMBER($AD641),$AO641+$AP641,"")</f>
      </c>
      <c r="AO641" s="39">
        <f>IF(ISNUMBER($AD641),ROUND($AD641*Header!$K$3,2),"")</f>
      </c>
      <c r="AP641" s="39">
        <f>IF(ISNUMBER($AD641),ROUND($AD641*Header!$M$3,2),"")</f>
      </c>
      <c r="AQ641" s="38">
        <f>IF(ISNUMBER($AD641),ROUND($AD641,2)-$AO641-$AP641,"")</f>
      </c>
      <c r="AR641" s="39">
        <f>IF(ISNUMBER($AD641),IF(Header!$D$34="","?",$AD641*Header!$D$34),"")</f>
      </c>
      <c r="AS641" s="39">
        <f>IF(ISNUMBER($AB641),IF(Header!$D$34="","?",$AB641*Header!$D$34),"")</f>
      </c>
      <c r="AT641" s="42">
        <f>IF(AND(ISNUMBER($AB641),$M641&gt;0),$AB641/$M641*100,"")</f>
      </c>
      <c r="AU641" s="42">
        <f>IF(AND(ISNUMBER($AD641),$M641&gt;0),$AD641/$M641*100,"")</f>
      </c>
      <c r="AV641" s="40">
        <f>IF(AND(ISNUMBER($AB641),ISNUMBER($AD641),ABS($AB641)&gt;0),$AD641/$AB641,"")</f>
      </c>
      <c r="AW641" s="39">
        <f>IF(ISNUMBER($AD641),MAX(0,(1-0.55-Header!$O$3)*Header!$Q$3*$AQ641),"")</f>
      </c>
      <c r="AX641" s="43">
        <f>IF($A641="","",IF(TRIM(IF($A641="","Missing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",""))="","PASS","FAIL: "&amp;TRIM(IF($A641="","Missing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f>
      </c>
      <c r="AY641" s="44">
        <f>IF($M641="","",IF(ISNUMBER($M641),IF($M641&gt;=Header!$C$18,"YES — refer","No"),""))</f>
      </c>
      <c r="AZ641" s="44">
        <f>IF($AD641="","",IF(ISNUMBER($AD641),IF($AD641&lt;Header!$C$20,"BELOW MIN PREMIUM","OK"),""))</f>
      </c>
      <c r="BA641" s="32" t="inlineStr">
        <is>
          <t xml:space="preserve">Yes</t>
        </is>
      </c>
      <c r="BB641" s="32" t="inlineStr">
        <is>
          <t xml:space="preserve">Yes</t>
        </is>
      </c>
      <c r="BC641" s="30" t="inlineStr">
        <is>
          <t xml:space="preserve">Synthetic demo data</t>
        </is>
      </c>
      <c r="BE641" s="45">
        <f>IF(OR($A641="",$L641="",$H641=""),"",IF(AND(LEFT($L641,2)="06",$H641&gt;1945),"FAIL - pre-war class, year "&amp;$H641,IF(AND(LEFT($L641,2)="07",OR($H641&lt;1946,$H641&gt;1972)),"FAIL - 1946-72 class, year "&amp;$H641,IF(AND(LEFT($L641,2)="08",OR($H641&lt;1973,$H641&gt;1999)),"FAIL - 1973-99 class, year "&amp;$H641,IF(AND(LEFT($L641,2)="09",OR($H641&lt;2000,$H641&gt;2010)),"FAIL - 2000-10 class, year "&amp;$H641,"OK")))))</f>
      </c>
      <c r="BF641" s="45">
        <f>IF($AD641="","",IF(ROUND($AO641+$AP641+$AQ641-$AD641,2)=0,"OK","FAIL - out by "&amp;TEXT($AO641+$AP641+$AQ641-$AD641,"$0.00")))</f>
      </c>
    </row>
    <row r="642" spans="1:58" ht="18.75" customHeight="1" x14ac:dyDescent="0.25">
      <c r="A642" s="46" t="inlineStr">
        <is>
          <t xml:space="preserve">CANON-202604-007453</t>
        </is>
      </c>
      <c r="B642" s="46" t="inlineStr">
        <is>
          <t xml:space="preserve">Ingrid Montoya</t>
        </is>
      </c>
      <c r="C642" s="47">
        <v>46134</v>
      </c>
      <c r="D642" s="48" t="inlineStr">
        <is>
          <t xml:space="preserve">Bound - within authority</t>
        </is>
      </c>
      <c r="E642" s="48" t="inlineStr">
        <is>
          <t xml:space="preserve">New business</t>
        </is>
      </c>
      <c r="F642" s="46" t="inlineStr">
        <is>
          <t xml:space="preserve">B1234EXOTIC26</t>
        </is>
      </c>
      <c r="G642" s="33">
        <f>IF($A642="","",IF($C642="","",YEAR($C642)))</f>
      </c>
      <c r="H642" s="49">
        <v>1995</v>
      </c>
      <c r="I642" s="46" t="inlineStr">
        <is>
          <t xml:space="preserve">Mercedes-Benz</t>
        </is>
      </c>
      <c r="J642" s="46" t="inlineStr">
        <is>
          <t xml:space="preserve">AMG GT</t>
        </is>
      </c>
      <c r="K642" s="46" t="inlineStr">
        <is>
          <t xml:space="preserve">NSCTP0CD05W9BT391</t>
        </is>
      </c>
      <c r="L642" s="48" t="inlineStr">
        <is>
          <t xml:space="preserve">02 - Sports / GT</t>
        </is>
      </c>
      <c r="M642" s="50">
        <v>370000</v>
      </c>
      <c r="N642" s="48" t="inlineStr">
        <is>
          <t xml:space="preserve">Personal</t>
        </is>
      </c>
      <c r="O642" s="46" t="inlineStr">
        <is>
          <t xml:space="preserve">Personal - regular use</t>
        </is>
      </c>
      <c r="P642" s="46" t="inlineStr">
        <is>
          <t xml:space="preserve">1,000 - 2,500</t>
        </is>
      </c>
      <c r="Q642" s="46" t="inlineStr">
        <is>
          <t xml:space="preserve">Indiana</t>
        </is>
      </c>
      <c r="R642" s="46" t="inlineStr">
        <is>
          <t xml:space="preserve">46204</t>
        </is>
      </c>
      <c r="S642" s="48" t="inlineStr">
        <is>
          <t xml:space="preserve">Severe convective - hail / tornado (moderate)</t>
        </is>
      </c>
      <c r="T642" s="36">
        <f>IF($A642="","",IF($S642="","",IFERROR(INDEX('[1]natural catastrophe'!$D$6:$D$17,MATCH($S642,'[1]natural catastrophe'!$B$6:$B$17,0)),"?")))</f>
      </c>
      <c r="U642" s="46" t="inlineStr">
        <is>
          <t xml:space="preserve">$5,000</t>
        </is>
      </c>
      <c r="V642" s="48" t="inlineStr">
        <is>
          <t xml:space="preserve">Agreed Value</t>
        </is>
      </c>
      <c r="W642" s="46" t="inlineStr">
        <is>
          <t xml:space="preserve">$1,000</t>
        </is>
      </c>
      <c r="X642" s="48" t="inlineStr">
        <is>
          <t xml:space="preserve">$1,000,000 CSL</t>
        </is>
      </c>
      <c r="Y642" s="46"/>
      <c r="Z642" s="46"/>
      <c r="AA642" s="48" t="inlineStr">
        <is>
          <t xml:space="preserve">Surplus Lines</t>
        </is>
      </c>
      <c r="AB642" s="50">
        <v>5348.49</v>
      </c>
      <c r="AC642" s="51">
        <v>0</v>
      </c>
      <c r="AD642" s="38">
        <f>IF(ISNUMBER($AB642),$AB642*(1+N($AC642)),"")</f>
      </c>
      <c r="AE642" s="50">
        <v>350</v>
      </c>
      <c r="AF642" s="50">
        <v>0</v>
      </c>
      <c r="AG642" s="51"/>
      <c r="AH642" s="39">
        <f>IF(ISNUMBER($AD642),($AD642+$AE642+$AF642)*$AG642,"")</f>
      </c>
      <c r="AI642" s="50"/>
      <c r="AJ642" s="38">
        <f>IF(ISNUMBER($AD642),SUM($AD642:$AH642),"")</f>
      </c>
      <c r="AK642" s="40">
        <f>IF(AND(ISNUMBER($AB642),ISNUMBER($AD642)),IF($AB642&gt;0,$AD642/$AB642,""),"")</f>
      </c>
      <c r="AL642" s="48" t="inlineStr">
        <is>
          <t xml:space="preserve">At technical</t>
        </is>
      </c>
      <c r="AM642" s="41">
        <f>IF(ISNUMBER($AD642),Header!$I$3,"")</f>
      </c>
      <c r="AN642" s="39">
        <f>IF(ISNUMBER($AD642),$AO642+$AP642,"")</f>
      </c>
      <c r="AO642" s="39">
        <f>IF(ISNUMBER($AD642),ROUND($AD642*Header!$K$3,2),"")</f>
      </c>
      <c r="AP642" s="39">
        <f>IF(ISNUMBER($AD642),ROUND($AD642*Header!$M$3,2),"")</f>
      </c>
      <c r="AQ642" s="38">
        <f>IF(ISNUMBER($AD642),ROUND($AD642,2)-$AO642-$AP642,"")</f>
      </c>
      <c r="AR642" s="39">
        <f>IF(ISNUMBER($AD642),IF(Header!$D$34="","?",$AD642*Header!$D$34),"")</f>
      </c>
      <c r="AS642" s="39">
        <f>IF(ISNUMBER($AB642),IF(Header!$D$34="","?",$AB642*Header!$D$34),"")</f>
      </c>
      <c r="AT642" s="42">
        <f>IF(AND(ISNUMBER($AB642),$M642&gt;0),$AB642/$M642*100,"")</f>
      </c>
      <c r="AU642" s="42">
        <f>IF(AND(ISNUMBER($AD642),$M642&gt;0),$AD642/$M642*100,"")</f>
      </c>
      <c r="AV642" s="40">
        <f>IF(AND(ISNUMBER($AB642),ISNUMBER($AD642),ABS($AB642)&gt;0),$AD642/$AB642,"")</f>
      </c>
      <c r="AW642" s="39">
        <f>IF(ISNUMBER($AD642),MAX(0,(1-0.55-Header!$O$3)*Header!$Q$3*$AQ642),"")</f>
      </c>
      <c r="AX642" s="43">
        <f>IF($A642="","",IF(TRIM(IF($A642="","Missing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",""))="","PASS","FAIL: "&amp;TRIM(IF($A642="","Missing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f>
      </c>
      <c r="AY642" s="44">
        <f>IF($M642="","",IF(ISNUMBER($M642),IF($M642&gt;=Header!$C$18,"YES — refer","No"),""))</f>
      </c>
      <c r="AZ642" s="44">
        <f>IF($AD642="","",IF(ISNUMBER($AD642),IF($AD642&lt;Header!$C$20,"BELOW MIN PREMIUM","OK"),""))</f>
      </c>
      <c r="BA642" s="48" t="inlineStr">
        <is>
          <t xml:space="preserve">Yes</t>
        </is>
      </c>
      <c r="BB642" s="48" t="inlineStr">
        <is>
          <t xml:space="preserve">Yes</t>
        </is>
      </c>
      <c r="BC642" s="46" t="inlineStr">
        <is>
          <t xml:space="preserve">Synthetic demo data</t>
        </is>
      </c>
      <c r="BE642" s="45">
        <f>IF(OR($A642="",$L642="",$H642=""),"",IF(AND(LEFT($L642,2)="06",$H642&gt;1945),"FAIL - pre-war class, year "&amp;$H642,IF(AND(LEFT($L642,2)="07",OR($H642&lt;1946,$H642&gt;1972)),"FAIL - 1946-72 class, year "&amp;$H642,IF(AND(LEFT($L642,2)="08",OR($H642&lt;1973,$H642&gt;1999)),"FAIL - 1973-99 class, year "&amp;$H642,IF(AND(LEFT($L642,2)="09",OR($H642&lt;2000,$H642&gt;2010)),"FAIL - 2000-10 class, year "&amp;$H642,"OK")))))</f>
      </c>
      <c r="BF642" s="45">
        <f>IF($AD642="","",IF(ROUND($AO642+$AP642+$AQ642-$AD642,2)=0,"OK","FAIL - out by "&amp;TEXT($AO642+$AP642+$AQ642-$AD642,"$0.00")))</f>
      </c>
    </row>
    <row r="643" spans="1:58" ht="18.75" customHeight="1" x14ac:dyDescent="0.25">
      <c r="A643" s="30" t="inlineStr">
        <is>
          <t xml:space="preserve">CANON-202604-007454</t>
        </is>
      </c>
      <c r="B643" s="30" t="inlineStr">
        <is>
          <t xml:space="preserve">Wilhelmina Nakashima</t>
        </is>
      </c>
      <c r="C643" s="31">
        <v>46140</v>
      </c>
      <c r="D643" s="32" t="inlineStr">
        <is>
          <t xml:space="preserve">Bound - within authority</t>
        </is>
      </c>
      <c r="E643" s="32" t="inlineStr">
        <is>
          <t xml:space="preserve">New business</t>
        </is>
      </c>
      <c r="F643" s="30" t="inlineStr">
        <is>
          <t xml:space="preserve">B1234EXOTIC26</t>
        </is>
      </c>
      <c r="G643" s="33">
        <f>IF($A643="","",IF($C643="","",YEAR($C643)))</f>
      </c>
      <c r="H643" s="34">
        <v>1968</v>
      </c>
      <c r="I643" s="30" t="inlineStr">
        <is>
          <t xml:space="preserve">Porsche</t>
        </is>
      </c>
      <c r="J643" s="30" t="inlineStr">
        <is>
          <t xml:space="preserve">911 Turbo S</t>
        </is>
      </c>
      <c r="K643" s="30" t="inlineStr">
        <is>
          <t xml:space="preserve">RRAZNGA6AEAXCUCTB</t>
        </is>
      </c>
      <c r="L643" s="32" t="inlineStr">
        <is>
          <t xml:space="preserve">02 - Sports / GT</t>
        </is>
      </c>
      <c r="M643" s="35">
        <v>480000</v>
      </c>
      <c r="N643" s="32" t="inlineStr">
        <is>
          <t xml:space="preserve">Personal</t>
        </is>
      </c>
      <c r="O643" s="30" t="inlineStr">
        <is>
          <t xml:space="preserve">Personal - regular use</t>
        </is>
      </c>
      <c r="P643" s="30" t="inlineStr">
        <is>
          <t xml:space="preserve">1,000 - 2,500</t>
        </is>
      </c>
      <c r="Q643" s="30" t="inlineStr">
        <is>
          <t xml:space="preserve">Texas</t>
        </is>
      </c>
      <c r="R643" s="30" t="inlineStr">
        <is>
          <t xml:space="preserve">75201</t>
        </is>
      </c>
      <c r="S643" s="32" t="inlineStr">
        <is>
          <t xml:space="preserve">Tier 2 - Coastal wind (1-25 miles)</t>
        </is>
      </c>
      <c r="T643" s="36">
        <f>IF($A643="","",IF($S643="","",IFERROR(INDEX('[1]natural catastrophe'!$D$6:$D$17,MATCH($S643,'[1]natural catastrophe'!$B$6:$B$17,0)),"?")))</f>
      </c>
      <c r="U643" s="30" t="inlineStr">
        <is>
          <t xml:space="preserve">2% of agreed value, minimum $10,000</t>
        </is>
      </c>
      <c r="V643" s="32" t="inlineStr">
        <is>
          <t xml:space="preserve">Agreed Value</t>
        </is>
      </c>
      <c r="W643" s="30" t="inlineStr">
        <is>
          <t xml:space="preserve">$1,000</t>
        </is>
      </c>
      <c r="X643" s="32" t="inlineStr">
        <is>
          <t xml:space="preserve">$1,000,000 CSL</t>
        </is>
      </c>
      <c r="Y643" s="30"/>
      <c r="Z643" s="30"/>
      <c r="AA643" s="32" t="inlineStr">
        <is>
          <t xml:space="preserve">Surplus Lines</t>
        </is>
      </c>
      <c r="AB643" s="35">
        <v>6487.3</v>
      </c>
      <c r="AC643" s="37">
        <v>0</v>
      </c>
      <c r="AD643" s="38">
        <f>IF(ISNUMBER($AB643),$AB643*(1+N($AC643)),"")</f>
      </c>
      <c r="AE643" s="35">
        <v>350</v>
      </c>
      <c r="AF643" s="35">
        <v>0</v>
      </c>
      <c r="AG643" s="37"/>
      <c r="AH643" s="39">
        <f>IF(ISNUMBER($AD643),($AD643+$AE643+$AF643)*$AG643,"")</f>
      </c>
      <c r="AI643" s="35"/>
      <c r="AJ643" s="38">
        <f>IF(ISNUMBER($AD643),SUM($AD643:$AH643),"")</f>
      </c>
      <c r="AK643" s="40">
        <f>IF(AND(ISNUMBER($AB643),ISNUMBER($AD643)),IF($AB643&gt;0,$AD643/$AB643,""),"")</f>
      </c>
      <c r="AL643" s="32" t="inlineStr">
        <is>
          <t xml:space="preserve">At technical</t>
        </is>
      </c>
      <c r="AM643" s="41">
        <f>IF(ISNUMBER($AD643),Header!$I$3,"")</f>
      </c>
      <c r="AN643" s="39">
        <f>IF(ISNUMBER($AD643),$AO643+$AP643,"")</f>
      </c>
      <c r="AO643" s="39">
        <f>IF(ISNUMBER($AD643),ROUND($AD643*Header!$K$3,2),"")</f>
      </c>
      <c r="AP643" s="39">
        <f>IF(ISNUMBER($AD643),ROUND($AD643*Header!$M$3,2),"")</f>
      </c>
      <c r="AQ643" s="38">
        <f>IF(ISNUMBER($AD643),ROUND($AD643,2)-$AO643-$AP643,"")</f>
      </c>
      <c r="AR643" s="39">
        <f>IF(ISNUMBER($AD643),IF(Header!$D$34="","?",$AD643*Header!$D$34),"")</f>
      </c>
      <c r="AS643" s="39">
        <f>IF(ISNUMBER($AB643),IF(Header!$D$34="","?",$AB643*Header!$D$34),"")</f>
      </c>
      <c r="AT643" s="42">
        <f>IF(AND(ISNUMBER($AB643),$M643&gt;0),$AB643/$M643*100,"")</f>
      </c>
      <c r="AU643" s="42">
        <f>IF(AND(ISNUMBER($AD643),$M643&gt;0),$AD643/$M643*100,"")</f>
      </c>
      <c r="AV643" s="40">
        <f>IF(AND(ISNUMBER($AB643),ISNUMBER($AD643),ABS($AB643)&gt;0),$AD643/$AB643,"")</f>
      </c>
      <c r="AW643" s="39">
        <f>IF(ISNUMBER($AD643),MAX(0,(1-0.55-Header!$O$3)*Header!$Q$3*$AQ643),"")</f>
      </c>
      <c r="AX643" s="43">
        <f>IF($A643="","",IF(TRIM(IF($A643="","Missing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",""))="","PASS","FAIL: "&amp;TRIM(IF($A643="","Missing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f>
      </c>
      <c r="AY643" s="44">
        <f>IF($M643="","",IF(ISNUMBER($M643),IF($M643&gt;=Header!$C$18,"YES — refer","No"),""))</f>
      </c>
      <c r="AZ643" s="44">
        <f>IF($AD643="","",IF(ISNUMBER($AD643),IF($AD643&lt;Header!$C$20,"BELOW MIN PREMIUM","OK"),""))</f>
      </c>
      <c r="BA643" s="32" t="inlineStr">
        <is>
          <t xml:space="preserve">Yes</t>
        </is>
      </c>
      <c r="BB643" s="32" t="inlineStr">
        <is>
          <t xml:space="preserve">Yes</t>
        </is>
      </c>
      <c r="BC643" s="30" t="inlineStr">
        <is>
          <t xml:space="preserve">Synthetic demo data</t>
        </is>
      </c>
      <c r="BE643" s="45">
        <f>IF(OR($A643="",$L643="",$H643=""),"",IF(AND(LEFT($L643,2)="06",$H643&gt;1945),"FAIL - pre-war class, year "&amp;$H643,IF(AND(LEFT($L643,2)="07",OR($H643&lt;1946,$H643&gt;1972)),"FAIL - 1946-72 class, year "&amp;$H643,IF(AND(LEFT($L643,2)="08",OR($H643&lt;1973,$H643&gt;1999)),"FAIL - 1973-99 class, year "&amp;$H643,IF(AND(LEFT($L643,2)="09",OR($H643&lt;2000,$H643&gt;2010)),"FAIL - 2000-10 class, year "&amp;$H643,"OK")))))</f>
      </c>
      <c r="BF643" s="45">
        <f>IF($AD643="","",IF(ROUND($AO643+$AP643+$AQ643-$AD643,2)=0,"OK","FAIL - out by "&amp;TEXT($AO643+$AP643+$AQ643-$AD643,"$0.00")))</f>
      </c>
    </row>
    <row r="644" spans="1:58" ht="18.75" customHeight="1" x14ac:dyDescent="0.25">
      <c r="A644" s="46" t="inlineStr">
        <is>
          <t xml:space="preserve">CANON-202604-007456</t>
        </is>
      </c>
      <c r="B644" s="46" t="inlineStr">
        <is>
          <t xml:space="preserve">Cassius Underwood</t>
        </is>
      </c>
      <c r="C644" s="47">
        <v>46125</v>
      </c>
      <c r="D644" s="48" t="inlineStr">
        <is>
          <t xml:space="preserve">Bound - within authority</t>
        </is>
      </c>
      <c r="E644" s="48" t="inlineStr">
        <is>
          <t xml:space="preserve">New business</t>
        </is>
      </c>
      <c r="F644" s="46" t="inlineStr">
        <is>
          <t xml:space="preserve">B1234EXOTIC26</t>
        </is>
      </c>
      <c r="G644" s="33">
        <f>IF($A644="","",IF($C644="","",YEAR($C644)))</f>
      </c>
      <c r="H644" s="49">
        <v>1991</v>
      </c>
      <c r="I644" s="46" t="inlineStr">
        <is>
          <t xml:space="preserve">Lamborghini</t>
        </is>
      </c>
      <c r="J644" s="46" t="inlineStr">
        <is>
          <t xml:space="preserve">Huracan EVO</t>
        </is>
      </c>
      <c r="K644" s="46" t="inlineStr">
        <is>
          <t xml:space="preserve">M57W18AXEZU15L2TP</t>
        </is>
      </c>
      <c r="L644" s="48" t="inlineStr">
        <is>
          <t xml:space="preserve">03 - Supercar</t>
        </is>
      </c>
      <c r="M644" s="50">
        <v>1950000</v>
      </c>
      <c r="N644" s="48" t="inlineStr">
        <is>
          <t xml:space="preserve">Personal</t>
        </is>
      </c>
      <c r="O644" s="46" t="inlineStr">
        <is>
          <t xml:space="preserve">Personal - regular use</t>
        </is>
      </c>
      <c r="P644" s="46" t="inlineStr">
        <is>
          <t xml:space="preserve">1,000 - 2,500</t>
        </is>
      </c>
      <c r="Q644" s="46" t="inlineStr">
        <is>
          <t xml:space="preserve">California</t>
        </is>
      </c>
      <c r="R644" s="46" t="inlineStr">
        <is>
          <t xml:space="preserve">90012</t>
        </is>
      </c>
      <c r="S644" s="48" t="inlineStr">
        <is>
          <t xml:space="preserve">Earthquake - high (CA, Cascadia, New Madrid)</t>
        </is>
      </c>
      <c r="T644" s="36">
        <f>IF($A644="","",IF($S644="","",IFERROR(INDEX('[1]natural catastrophe'!$D$6:$D$17,MATCH($S644,'[1]natural catastrophe'!$B$6:$B$17,0)),"?")))</f>
      </c>
      <c r="U644" s="46" t="inlineStr">
        <is>
          <t xml:space="preserve">$5,000</t>
        </is>
      </c>
      <c r="V644" s="48" t="inlineStr">
        <is>
          <t xml:space="preserve">Agreed Value</t>
        </is>
      </c>
      <c r="W644" s="46" t="inlineStr">
        <is>
          <t xml:space="preserve">$1,000</t>
        </is>
      </c>
      <c r="X644" s="48" t="inlineStr">
        <is>
          <t xml:space="preserve">$1,000,000 CSL</t>
        </is>
      </c>
      <c r="Y644" s="46"/>
      <c r="Z644" s="46"/>
      <c r="AA644" s="48" t="inlineStr">
        <is>
          <t xml:space="preserve">Surplus Lines</t>
        </is>
      </c>
      <c r="AB644" s="50">
        <v>33000.62</v>
      </c>
      <c r="AC644" s="51">
        <v>0</v>
      </c>
      <c r="AD644" s="38">
        <f>IF(ISNUMBER($AB644),$AB644*(1+N($AC644)),"")</f>
      </c>
      <c r="AE644" s="50">
        <v>350</v>
      </c>
      <c r="AF644" s="50">
        <v>250</v>
      </c>
      <c r="AG644" s="51"/>
      <c r="AH644" s="39">
        <f>IF(ISNUMBER($AD644),($AD644+$AE644+$AF644)*$AG644,"")</f>
      </c>
      <c r="AI644" s="50"/>
      <c r="AJ644" s="38">
        <f>IF(ISNUMBER($AD644),SUM($AD644:$AH644),"")</f>
      </c>
      <c r="AK644" s="40">
        <f>IF(AND(ISNUMBER($AB644),ISNUMBER($AD644)),IF($AB644&gt;0,$AD644/$AB644,""),"")</f>
      </c>
      <c r="AL644" s="48" t="inlineStr">
        <is>
          <t xml:space="preserve">At technical</t>
        </is>
      </c>
      <c r="AM644" s="41">
        <f>IF(ISNUMBER($AD644),Header!$I$3,"")</f>
      </c>
      <c r="AN644" s="39">
        <f>IF(ISNUMBER($AD644),$AO644+$AP644,"")</f>
      </c>
      <c r="AO644" s="39">
        <f>IF(ISNUMBER($AD644),ROUND($AD644*Header!$K$3,2),"")</f>
      </c>
      <c r="AP644" s="39">
        <f>IF(ISNUMBER($AD644),ROUND($AD644*Header!$M$3,2),"")</f>
      </c>
      <c r="AQ644" s="38">
        <f>IF(ISNUMBER($AD644),ROUND($AD644,2)-$AO644-$AP644,"")</f>
      </c>
      <c r="AR644" s="39">
        <f>IF(ISNUMBER($AD644),IF(Header!$D$34="","?",$AD644*Header!$D$34),"")</f>
      </c>
      <c r="AS644" s="39">
        <f>IF(ISNUMBER($AB644),IF(Header!$D$34="","?",$AB644*Header!$D$34),"")</f>
      </c>
      <c r="AT644" s="42">
        <f>IF(AND(ISNUMBER($AB644),$M644&gt;0),$AB644/$M644*100,"")</f>
      </c>
      <c r="AU644" s="42">
        <f>IF(AND(ISNUMBER($AD644),$M644&gt;0),$AD644/$M644*100,"")</f>
      </c>
      <c r="AV644" s="40">
        <f>IF(AND(ISNUMBER($AB644),ISNUMBER($AD644),ABS($AB644)&gt;0),$AD644/$AB644,"")</f>
      </c>
      <c r="AW644" s="39">
        <f>IF(ISNUMBER($AD644),MAX(0,(1-0.55-Header!$O$3)*Header!$Q$3*$AQ644),"")</f>
      </c>
      <c r="AX644" s="43">
        <f>IF($A644="","",IF(TRIM(IF($A644="","Missing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",""))="","PASS","FAIL: "&amp;TRIM(IF($A644="","Missing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f>
      </c>
      <c r="AY644" s="44">
        <f>IF($M644="","",IF(ISNUMBER($M644),IF($M644&gt;=Header!$C$18,"YES — refer","No"),""))</f>
      </c>
      <c r="AZ644" s="44">
        <f>IF($AD644="","",IF(ISNUMBER($AD644),IF($AD644&lt;Header!$C$20,"BELOW MIN PREMIUM","OK"),""))</f>
      </c>
      <c r="BA644" s="48" t="inlineStr">
        <is>
          <t xml:space="preserve">Yes</t>
        </is>
      </c>
      <c r="BB644" s="48" t="inlineStr">
        <is>
          <t xml:space="preserve">Yes</t>
        </is>
      </c>
      <c r="BC644" s="46" t="inlineStr">
        <is>
          <t xml:space="preserve">Synthetic demo data</t>
        </is>
      </c>
      <c r="BE644" s="45">
        <f>IF(OR($A644="",$L644="",$H644=""),"",IF(AND(LEFT($L644,2)="06",$H644&gt;1945),"FAIL - pre-war class, year "&amp;$H644,IF(AND(LEFT($L644,2)="07",OR($H644&lt;1946,$H644&gt;1972)),"FAIL - 1946-72 class, year "&amp;$H644,IF(AND(LEFT($L644,2)="08",OR($H644&lt;1973,$H644&gt;1999)),"FAIL - 1973-99 class, year "&amp;$H644,IF(AND(LEFT($L644,2)="09",OR($H644&lt;2000,$H644&gt;2010)),"FAIL - 2000-10 class, year "&amp;$H644,"OK")))))</f>
      </c>
      <c r="BF644" s="45">
        <f>IF($AD644="","",IF(ROUND($AO644+$AP644+$AQ644-$AD644,2)=0,"OK","FAIL - out by "&amp;TEXT($AO644+$AP644+$AQ644-$AD644,"$0.00")))</f>
      </c>
    </row>
    <row r="645" spans="1:58" ht="18.75" customHeight="1" x14ac:dyDescent="0.25">
      <c r="A645" s="30" t="inlineStr">
        <is>
          <t xml:space="preserve">CANON-202604-007457</t>
        </is>
      </c>
      <c r="B645" s="30" t="inlineStr">
        <is>
          <t xml:space="preserve">Noor Montoya</t>
        </is>
      </c>
      <c r="C645" s="31">
        <v>46142</v>
      </c>
      <c r="D645" s="32" t="inlineStr">
        <is>
          <t xml:space="preserve">Bound - within authority</t>
        </is>
      </c>
      <c r="E645" s="32" t="inlineStr">
        <is>
          <t xml:space="preserve">New business</t>
        </is>
      </c>
      <c r="F645" s="30" t="inlineStr">
        <is>
          <t xml:space="preserve">B1234EXOTIC26</t>
        </is>
      </c>
      <c r="G645" s="33">
        <f>IF($A645="","",IF($C645="","",YEAR($C645)))</f>
      </c>
      <c r="H645" s="34">
        <v>2022</v>
      </c>
      <c r="I645" s="30" t="inlineStr">
        <is>
          <t xml:space="preserve">Mercedes-Benz</t>
        </is>
      </c>
      <c r="J645" s="30" t="inlineStr">
        <is>
          <t xml:space="preserve">280SL Pagoda</t>
        </is>
      </c>
      <c r="K645" s="30" t="inlineStr">
        <is>
          <t xml:space="preserve">B53KJSGCWH8L91BWR</t>
        </is>
      </c>
      <c r="L645" s="32" t="inlineStr">
        <is>
          <t xml:space="preserve">02 - Sports / GT</t>
        </is>
      </c>
      <c r="M645" s="35">
        <v>730000</v>
      </c>
      <c r="N645" s="32" t="inlineStr">
        <is>
          <t xml:space="preserve">Personal</t>
        </is>
      </c>
      <c r="O645" s="30" t="inlineStr">
        <is>
          <t xml:space="preserve">Personal - regular use</t>
        </is>
      </c>
      <c r="P645" s="30" t="inlineStr">
        <is>
          <t xml:space="preserve">2,500 - 5,000</t>
        </is>
      </c>
      <c r="Q645" s="30" t="inlineStr">
        <is>
          <t xml:space="preserve">Illinois</t>
        </is>
      </c>
      <c r="R645" s="30" t="inlineStr">
        <is>
          <t xml:space="preserve">60601</t>
        </is>
      </c>
      <c r="S645" s="32" t="inlineStr">
        <is>
          <t xml:space="preserve">Severe convective - hail / tornado (moderate)</t>
        </is>
      </c>
      <c r="T645" s="36">
        <f>IF($A645="","",IF($S645="","",IFERROR(INDEX('[1]natural catastrophe'!$D$6:$D$17,MATCH($S645,'[1]natural catastrophe'!$B$6:$B$17,0)),"?")))</f>
      </c>
      <c r="U645" s="30" t="inlineStr">
        <is>
          <t xml:space="preserve">$5,000</t>
        </is>
      </c>
      <c r="V645" s="32" t="inlineStr">
        <is>
          <t xml:space="preserve">Agreed Value</t>
        </is>
      </c>
      <c r="W645" s="30" t="inlineStr">
        <is>
          <t xml:space="preserve">$1,000</t>
        </is>
      </c>
      <c r="X645" s="32" t="inlineStr">
        <is>
          <t xml:space="preserve">$1,000,000 CSL</t>
        </is>
      </c>
      <c r="Y645" s="30"/>
      <c r="Z645" s="30"/>
      <c r="AA645" s="32" t="inlineStr">
        <is>
          <t xml:space="preserve">Surplus Lines</t>
        </is>
      </c>
      <c r="AB645" s="35">
        <v>6689.5</v>
      </c>
      <c r="AC645" s="37">
        <v>0</v>
      </c>
      <c r="AD645" s="38">
        <f>IF(ISNUMBER($AB645),$AB645*(1+N($AC645)),"")</f>
      </c>
      <c r="AE645" s="35">
        <v>350</v>
      </c>
      <c r="AF645" s="35">
        <v>0</v>
      </c>
      <c r="AG645" s="37"/>
      <c r="AH645" s="39">
        <f>IF(ISNUMBER($AD645),($AD645+$AE645+$AF645)*$AG645,"")</f>
      </c>
      <c r="AI645" s="35"/>
      <c r="AJ645" s="38">
        <f>IF(ISNUMBER($AD645),SUM($AD645:$AH645),"")</f>
      </c>
      <c r="AK645" s="40">
        <f>IF(AND(ISNUMBER($AB645),ISNUMBER($AD645)),IF($AB645&gt;0,$AD645/$AB645,""),"")</f>
      </c>
      <c r="AL645" s="32" t="inlineStr">
        <is>
          <t xml:space="preserve">At technical</t>
        </is>
      </c>
      <c r="AM645" s="41">
        <f>IF(ISNUMBER($AD645),Header!$I$3,"")</f>
      </c>
      <c r="AN645" s="39">
        <f>IF(ISNUMBER($AD645),$AO645+$AP645,"")</f>
      </c>
      <c r="AO645" s="39">
        <f>IF(ISNUMBER($AD645),ROUND($AD645*Header!$K$3,2),"")</f>
      </c>
      <c r="AP645" s="39">
        <f>IF(ISNUMBER($AD645),ROUND($AD645*Header!$M$3,2),"")</f>
      </c>
      <c r="AQ645" s="38">
        <f>IF(ISNUMBER($AD645),ROUND($AD645,2)-$AO645-$AP645,"")</f>
      </c>
      <c r="AR645" s="39">
        <f>IF(ISNUMBER($AD645),IF(Header!$D$34="","?",$AD645*Header!$D$34),"")</f>
      </c>
      <c r="AS645" s="39">
        <f>IF(ISNUMBER($AB645),IF(Header!$D$34="","?",$AB645*Header!$D$34),"")</f>
      </c>
      <c r="AT645" s="42">
        <f>IF(AND(ISNUMBER($AB645),$M645&gt;0),$AB645/$M645*100,"")</f>
      </c>
      <c r="AU645" s="42">
        <f>IF(AND(ISNUMBER($AD645),$M645&gt;0),$AD645/$M645*100,"")</f>
      </c>
      <c r="AV645" s="40">
        <f>IF(AND(ISNUMBER($AB645),ISNUMBER($AD645),ABS($AB645)&gt;0),$AD645/$AB645,"")</f>
      </c>
      <c r="AW645" s="39">
        <f>IF(ISNUMBER($AD645),MAX(0,(1-0.55-Header!$O$3)*Header!$Q$3*$AQ645),"")</f>
      </c>
      <c r="AX645" s="43">
        <f>IF($A645="","",IF(TRIM(IF($A645="","Missing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",""))="","PASS","FAIL: "&amp;TRIM(IF($A645="","Missing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f>
      </c>
      <c r="AY645" s="44">
        <f>IF($M645="","",IF(ISNUMBER($M645),IF($M645&gt;=Header!$C$18,"YES — refer","No"),""))</f>
      </c>
      <c r="AZ645" s="44">
        <f>IF($AD645="","",IF(ISNUMBER($AD645),IF($AD645&lt;Header!$C$20,"BELOW MIN PREMIUM","OK"),""))</f>
      </c>
      <c r="BA645" s="32" t="inlineStr">
        <is>
          <t xml:space="preserve">Yes</t>
        </is>
      </c>
      <c r="BB645" s="32" t="inlineStr">
        <is>
          <t xml:space="preserve">Yes</t>
        </is>
      </c>
      <c r="BC645" s="30" t="inlineStr">
        <is>
          <t xml:space="preserve">Synthetic demo data</t>
        </is>
      </c>
      <c r="BE645" s="45">
        <f>IF(OR($A645="",$L645="",$H645=""),"",IF(AND(LEFT($L645,2)="06",$H645&gt;1945),"FAIL - pre-war class, year "&amp;$H645,IF(AND(LEFT($L645,2)="07",OR($H645&lt;1946,$H645&gt;1972)),"FAIL - 1946-72 class, year "&amp;$H645,IF(AND(LEFT($L645,2)="08",OR($H645&lt;1973,$H645&gt;1999)),"FAIL - 1973-99 class, year "&amp;$H645,IF(AND(LEFT($L645,2)="09",OR($H645&lt;2000,$H645&gt;2010)),"FAIL - 2000-10 class, year "&amp;$H645,"OK")))))</f>
      </c>
      <c r="BF645" s="45">
        <f>IF($AD645="","",IF(ROUND($AO645+$AP645+$AQ645-$AD645,2)=0,"OK","FAIL - out by "&amp;TEXT($AO645+$AP645+$AQ645-$AD645,"$0.00")))</f>
      </c>
    </row>
    <row r="646" spans="1:58" ht="18.75" customHeight="1" x14ac:dyDescent="0.25">
      <c r="A646" s="46" t="inlineStr">
        <is>
          <t xml:space="preserve">CANON-202604-007458</t>
        </is>
      </c>
      <c r="B646" s="46" t="inlineStr">
        <is>
          <t xml:space="preserve">Fenwick Delacroix</t>
        </is>
      </c>
      <c r="C646" s="47">
        <v>46137</v>
      </c>
      <c r="D646" s="48" t="inlineStr">
        <is>
          <t xml:space="preserve">Bound - within authority</t>
        </is>
      </c>
      <c r="E646" s="48" t="inlineStr">
        <is>
          <t xml:space="preserve">New business</t>
        </is>
      </c>
      <c r="F646" s="46" t="inlineStr">
        <is>
          <t xml:space="preserve">B1234EXOTIC26</t>
        </is>
      </c>
      <c r="G646" s="33">
        <f>IF($A646="","",IF($C646="","",YEAR($C646)))</f>
      </c>
      <c r="H646" s="49">
        <v>2013</v>
      </c>
      <c r="I646" s="46" t="inlineStr">
        <is>
          <t xml:space="preserve">Ferrari</t>
        </is>
      </c>
      <c r="J646" s="46" t="inlineStr">
        <is>
          <t xml:space="preserve">SF90 Stradale</t>
        </is>
      </c>
      <c r="K646" s="46" t="inlineStr">
        <is>
          <t xml:space="preserve">XC8U3J7RNMJ8R93V4</t>
        </is>
      </c>
      <c r="L646" s="48" t="inlineStr">
        <is>
          <t xml:space="preserve">03 - Supercar</t>
        </is>
      </c>
      <c r="M646" s="50">
        <v>730000</v>
      </c>
      <c r="N646" s="48" t="inlineStr">
        <is>
          <t xml:space="preserve">Personal</t>
        </is>
      </c>
      <c r="O646" s="46" t="inlineStr">
        <is>
          <t xml:space="preserve">Personal - regular use</t>
        </is>
      </c>
      <c r="P646" s="46" t="inlineStr">
        <is>
          <t xml:space="preserve">1,000 - 2,500</t>
        </is>
      </c>
      <c r="Q646" s="46" t="inlineStr">
        <is>
          <t xml:space="preserve">Alaska</t>
        </is>
      </c>
      <c r="R646" s="46" t="inlineStr">
        <is>
          <t xml:space="preserve">99501</t>
        </is>
      </c>
      <c r="S646" s="48" t="inlineStr">
        <is>
          <t xml:space="preserve">Earthquake - high (CA, Cascadia, New Madrid)</t>
        </is>
      </c>
      <c r="T646" s="36">
        <f>IF($A646="","",IF($S646="","",IFERROR(INDEX('[1]natural catastrophe'!$D$6:$D$17,MATCH($S646,'[1]natural catastrophe'!$B$6:$B$17,0)),"?")))</f>
      </c>
      <c r="U646" s="46" t="inlineStr">
        <is>
          <t xml:space="preserve">$5,000</t>
        </is>
      </c>
      <c r="V646" s="48" t="inlineStr">
        <is>
          <t xml:space="preserve">Agreed Value</t>
        </is>
      </c>
      <c r="W646" s="46" t="inlineStr">
        <is>
          <t xml:space="preserve">$1,000</t>
        </is>
      </c>
      <c r="X646" s="48" t="inlineStr">
        <is>
          <t xml:space="preserve">$1,000,000 CSL</t>
        </is>
      </c>
      <c r="Y646" s="46"/>
      <c r="Z646" s="46"/>
      <c r="AA646" s="48" t="inlineStr">
        <is>
          <t xml:space="preserve">Surplus Lines</t>
        </is>
      </c>
      <c r="AB646" s="50">
        <v>12388.39</v>
      </c>
      <c r="AC646" s="51">
        <v>0</v>
      </c>
      <c r="AD646" s="38">
        <f>IF(ISNUMBER($AB646),$AB646*(1+N($AC646)),"")</f>
      </c>
      <c r="AE646" s="50">
        <v>350</v>
      </c>
      <c r="AF646" s="50">
        <v>0</v>
      </c>
      <c r="AG646" s="51"/>
      <c r="AH646" s="39">
        <f>IF(ISNUMBER($AD646),($AD646+$AE646+$AF646)*$AG646,"")</f>
      </c>
      <c r="AI646" s="50"/>
      <c r="AJ646" s="38">
        <f>IF(ISNUMBER($AD646),SUM($AD646:$AH646),"")</f>
      </c>
      <c r="AK646" s="40">
        <f>IF(AND(ISNUMBER($AB646),ISNUMBER($AD646)),IF($AB646&gt;0,$AD646/$AB646,""),"")</f>
      </c>
      <c r="AL646" s="48" t="inlineStr">
        <is>
          <t xml:space="preserve">At technical</t>
        </is>
      </c>
      <c r="AM646" s="41">
        <f>IF(ISNUMBER($AD646),Header!$I$3,"")</f>
      </c>
      <c r="AN646" s="39">
        <f>IF(ISNUMBER($AD646),$AO646+$AP646,"")</f>
      </c>
      <c r="AO646" s="39">
        <f>IF(ISNUMBER($AD646),ROUND($AD646*Header!$K$3,2),"")</f>
      </c>
      <c r="AP646" s="39">
        <f>IF(ISNUMBER($AD646),ROUND($AD646*Header!$M$3,2),"")</f>
      </c>
      <c r="AQ646" s="38">
        <f>IF(ISNUMBER($AD646),ROUND($AD646,2)-$AO646-$AP646,"")</f>
      </c>
      <c r="AR646" s="39">
        <f>IF(ISNUMBER($AD646),IF(Header!$D$34="","?",$AD646*Header!$D$34),"")</f>
      </c>
      <c r="AS646" s="39">
        <f>IF(ISNUMBER($AB646),IF(Header!$D$34="","?",$AB646*Header!$D$34),"")</f>
      </c>
      <c r="AT646" s="42">
        <f>IF(AND(ISNUMBER($AB646),$M646&gt;0),$AB646/$M646*100,"")</f>
      </c>
      <c r="AU646" s="42">
        <f>IF(AND(ISNUMBER($AD646),$M646&gt;0),$AD646/$M646*100,"")</f>
      </c>
      <c r="AV646" s="40">
        <f>IF(AND(ISNUMBER($AB646),ISNUMBER($AD646),ABS($AB646)&gt;0),$AD646/$AB646,"")</f>
      </c>
      <c r="AW646" s="39">
        <f>IF(ISNUMBER($AD646),MAX(0,(1-0.55-Header!$O$3)*Header!$Q$3*$AQ646),"")</f>
      </c>
      <c r="AX646" s="43">
        <f>IF($A646="","",IF(TRIM(IF($A646="","Missing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",""))="","PASS","FAIL: "&amp;TRIM(IF($A646="","Missing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f>
      </c>
      <c r="AY646" s="44">
        <f>IF($M646="","",IF(ISNUMBER($M646),IF($M646&gt;=Header!$C$18,"YES — refer","No"),""))</f>
      </c>
      <c r="AZ646" s="44">
        <f>IF($AD646="","",IF(ISNUMBER($AD646),IF($AD646&lt;Header!$C$20,"BELOW MIN PREMIUM","OK"),""))</f>
      </c>
      <c r="BA646" s="48" t="inlineStr">
        <is>
          <t xml:space="preserve">Yes</t>
        </is>
      </c>
      <c r="BB646" s="48" t="inlineStr">
        <is>
          <t xml:space="preserve">Yes</t>
        </is>
      </c>
      <c r="BC646" s="46" t="inlineStr">
        <is>
          <t xml:space="preserve">Synthetic demo data</t>
        </is>
      </c>
      <c r="BE646" s="45">
        <f>IF(OR($A646="",$L646="",$H646=""),"",IF(AND(LEFT($L646,2)="06",$H646&gt;1945),"FAIL - pre-war class, year "&amp;$H646,IF(AND(LEFT($L646,2)="07",OR($H646&lt;1946,$H646&gt;1972)),"FAIL - 1946-72 class, year "&amp;$H646,IF(AND(LEFT($L646,2)="08",OR($H646&lt;1973,$H646&gt;1999)),"FAIL - 1973-99 class, year "&amp;$H646,IF(AND(LEFT($L646,2)="09",OR($H646&lt;2000,$H646&gt;2010)),"FAIL - 2000-10 class, year "&amp;$H646,"OK")))))</f>
      </c>
      <c r="BF646" s="45">
        <f>IF($AD646="","",IF(ROUND($AO646+$AP646+$AQ646-$AD646,2)=0,"OK","FAIL - out by "&amp;TEXT($AO646+$AP646+$AQ646-$AD646,"$0.00")))</f>
      </c>
    </row>
    <row r="647" spans="1:58" ht="18.75" customHeight="1" x14ac:dyDescent="0.25">
      <c r="A647" s="30" t="inlineStr">
        <is>
          <t xml:space="preserve">CANON-202604-007459</t>
        </is>
      </c>
      <c r="B647" s="30" t="inlineStr">
        <is>
          <t xml:space="preserve">Sunniva Larsson</t>
        </is>
      </c>
      <c r="C647" s="31">
        <v>46130</v>
      </c>
      <c r="D647" s="32" t="inlineStr">
        <is>
          <t xml:space="preserve">Bound - within authority</t>
        </is>
      </c>
      <c r="E647" s="32" t="inlineStr">
        <is>
          <t xml:space="preserve">New business</t>
        </is>
      </c>
      <c r="F647" s="30" t="inlineStr">
        <is>
          <t xml:space="preserve">B1234EXOTIC26</t>
        </is>
      </c>
      <c r="G647" s="33">
        <f>IF($A647="","",IF($C647="","",YEAR($C647)))</f>
      </c>
      <c r="H647" s="34">
        <v>1996</v>
      </c>
      <c r="I647" s="30" t="inlineStr">
        <is>
          <t xml:space="preserve">Bentley</t>
        </is>
      </c>
      <c r="J647" s="30" t="inlineStr">
        <is>
          <t xml:space="preserve">Continental GT</t>
        </is>
      </c>
      <c r="K647" s="30" t="inlineStr">
        <is>
          <t xml:space="preserve">ZEZ9MFEZB9XYHZEWW</t>
        </is>
      </c>
      <c r="L647" s="32" t="inlineStr">
        <is>
          <t xml:space="preserve">02 - Sports / GT</t>
        </is>
      </c>
      <c r="M647" s="35">
        <v>685000</v>
      </c>
      <c r="N647" s="32" t="inlineStr">
        <is>
          <t xml:space="preserve">Personal</t>
        </is>
      </c>
      <c r="O647" s="30" t="inlineStr">
        <is>
          <t xml:space="preserve">Personal - regular use</t>
        </is>
      </c>
      <c r="P647" s="30" t="inlineStr">
        <is>
          <t xml:space="preserve">Under 1,000</t>
        </is>
      </c>
      <c r="Q647" s="30" t="inlineStr">
        <is>
          <t xml:space="preserve">California</t>
        </is>
      </c>
      <c r="R647" s="30" t="inlineStr">
        <is>
          <t xml:space="preserve">90012</t>
        </is>
      </c>
      <c r="S647" s="32" t="inlineStr">
        <is>
          <t xml:space="preserve">Earthquake - high (CA, Cascadia, New Madrid)</t>
        </is>
      </c>
      <c r="T647" s="36">
        <f>IF($A647="","",IF($S647="","",IFERROR(INDEX('[1]natural catastrophe'!$D$6:$D$17,MATCH($S647,'[1]natural catastrophe'!$B$6:$B$17,0)),"?")))</f>
      </c>
      <c r="U647" s="30" t="inlineStr">
        <is>
          <t xml:space="preserve">$5,000</t>
        </is>
      </c>
      <c r="V647" s="32" t="inlineStr">
        <is>
          <t xml:space="preserve">Agreed Value</t>
        </is>
      </c>
      <c r="W647" s="30" t="inlineStr">
        <is>
          <t xml:space="preserve">$1,000</t>
        </is>
      </c>
      <c r="X647" s="32" t="inlineStr">
        <is>
          <t xml:space="preserve">$1,000,000 CSL</t>
        </is>
      </c>
      <c r="Y647" s="30"/>
      <c r="Z647" s="30"/>
      <c r="AA647" s="32" t="inlineStr">
        <is>
          <t xml:space="preserve">Surplus Lines</t>
        </is>
      </c>
      <c r="AB647" s="35">
        <v>9418.92</v>
      </c>
      <c r="AC647" s="37">
        <v>0</v>
      </c>
      <c r="AD647" s="38">
        <f>IF(ISNUMBER($AB647),$AB647*(1+N($AC647)),"")</f>
      </c>
      <c r="AE647" s="35">
        <v>350</v>
      </c>
      <c r="AF647" s="35">
        <v>0</v>
      </c>
      <c r="AG647" s="37"/>
      <c r="AH647" s="39">
        <f>IF(ISNUMBER($AD647),($AD647+$AE647+$AF647)*$AG647,"")</f>
      </c>
      <c r="AI647" s="35"/>
      <c r="AJ647" s="38">
        <f>IF(ISNUMBER($AD647),SUM($AD647:$AH647),"")</f>
      </c>
      <c r="AK647" s="40">
        <f>IF(AND(ISNUMBER($AB647),ISNUMBER($AD647)),IF($AB647&gt;0,$AD647/$AB647,""),"")</f>
      </c>
      <c r="AL647" s="32" t="inlineStr">
        <is>
          <t xml:space="preserve">At technical</t>
        </is>
      </c>
      <c r="AM647" s="41">
        <f>IF(ISNUMBER($AD647),Header!$I$3,"")</f>
      </c>
      <c r="AN647" s="39">
        <f>IF(ISNUMBER($AD647),$AO647+$AP647,"")</f>
      </c>
      <c r="AO647" s="39">
        <f>IF(ISNUMBER($AD647),ROUND($AD647*Header!$K$3,2),"")</f>
      </c>
      <c r="AP647" s="39">
        <f>IF(ISNUMBER($AD647),ROUND($AD647*Header!$M$3,2),"")</f>
      </c>
      <c r="AQ647" s="38">
        <f>IF(ISNUMBER($AD647),ROUND($AD647,2)-$AO647-$AP647,"")</f>
      </c>
      <c r="AR647" s="39">
        <f>IF(ISNUMBER($AD647),IF(Header!$D$34="","?",$AD647*Header!$D$34),"")</f>
      </c>
      <c r="AS647" s="39">
        <f>IF(ISNUMBER($AB647),IF(Header!$D$34="","?",$AB647*Header!$D$34),"")</f>
      </c>
      <c r="AT647" s="42">
        <f>IF(AND(ISNUMBER($AB647),$M647&gt;0),$AB647/$M647*100,"")</f>
      </c>
      <c r="AU647" s="42">
        <f>IF(AND(ISNUMBER($AD647),$M647&gt;0),$AD647/$M647*100,"")</f>
      </c>
      <c r="AV647" s="40">
        <f>IF(AND(ISNUMBER($AB647),ISNUMBER($AD647),ABS($AB647)&gt;0),$AD647/$AB647,"")</f>
      </c>
      <c r="AW647" s="39">
        <f>IF(ISNUMBER($AD647),MAX(0,(1-0.55-Header!$O$3)*Header!$Q$3*$AQ647),"")</f>
      </c>
      <c r="AX647" s="43">
        <f>IF($A647="","",IF(TRIM(IF($A647="","Missing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",""))="","PASS","FAIL: "&amp;TRIM(IF($A647="","Missing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f>
      </c>
      <c r="AY647" s="44">
        <f>IF($M647="","",IF(ISNUMBER($M647),IF($M647&gt;=Header!$C$18,"YES — refer","No"),""))</f>
      </c>
      <c r="AZ647" s="44">
        <f>IF($AD647="","",IF(ISNUMBER($AD647),IF($AD647&lt;Header!$C$20,"BELOW MIN PREMIUM","OK"),""))</f>
      </c>
      <c r="BA647" s="32" t="inlineStr">
        <is>
          <t xml:space="preserve">Yes</t>
        </is>
      </c>
      <c r="BB647" s="32" t="inlineStr">
        <is>
          <t xml:space="preserve">Yes</t>
        </is>
      </c>
      <c r="BC647" s="30" t="inlineStr">
        <is>
          <t xml:space="preserve">Synthetic demo data</t>
        </is>
      </c>
      <c r="BE647" s="45">
        <f>IF(OR($A647="",$L647="",$H647=""),"",IF(AND(LEFT($L647,2)="06",$H647&gt;1945),"FAIL - pre-war class, year "&amp;$H647,IF(AND(LEFT($L647,2)="07",OR($H647&lt;1946,$H647&gt;1972)),"FAIL - 1946-72 class, year "&amp;$H647,IF(AND(LEFT($L647,2)="08",OR($H647&lt;1973,$H647&gt;1999)),"FAIL - 1973-99 class, year "&amp;$H647,IF(AND(LEFT($L647,2)="09",OR($H647&lt;2000,$H647&gt;2010)),"FAIL - 2000-10 class, year "&amp;$H647,"OK")))))</f>
      </c>
      <c r="BF647" s="45">
        <f>IF($AD647="","",IF(ROUND($AO647+$AP647+$AQ647-$AD647,2)=0,"OK","FAIL - out by "&amp;TEXT($AO647+$AP647+$AQ647-$AD647,"$0.00")))</f>
      </c>
    </row>
    <row r="648" spans="1:58" ht="18.75" customHeight="1" x14ac:dyDescent="0.25">
      <c r="A648" s="46" t="inlineStr">
        <is>
          <t xml:space="preserve">CANON-202604-007460</t>
        </is>
      </c>
      <c r="B648" s="46" t="inlineStr">
        <is>
          <t xml:space="preserve">Mireille Larsson</t>
        </is>
      </c>
      <c r="C648" s="47">
        <v>46131</v>
      </c>
      <c r="D648" s="48" t="inlineStr">
        <is>
          <t xml:space="preserve">Bound - within authority</t>
        </is>
      </c>
      <c r="E648" s="48" t="inlineStr">
        <is>
          <t xml:space="preserve">New business</t>
        </is>
      </c>
      <c r="F648" s="46" t="inlineStr">
        <is>
          <t xml:space="preserve">B1234EXOTIC26</t>
        </is>
      </c>
      <c r="G648" s="33">
        <f>IF($A648="","",IF($C648="","",YEAR($C648)))</f>
      </c>
      <c r="H648" s="49">
        <v>1993</v>
      </c>
      <c r="I648" s="46" t="inlineStr">
        <is>
          <t xml:space="preserve">Bentley</t>
        </is>
      </c>
      <c r="J648" s="46" t="inlineStr">
        <is>
          <t xml:space="preserve">Continental GT</t>
        </is>
      </c>
      <c r="K648" s="46" t="inlineStr">
        <is>
          <t xml:space="preserve">TDLY96S6J0W5WYC5X</t>
        </is>
      </c>
      <c r="L648" s="48" t="inlineStr">
        <is>
          <t xml:space="preserve">02 - Sports / GT</t>
        </is>
      </c>
      <c r="M648" s="50">
        <v>490000</v>
      </c>
      <c r="N648" s="48" t="inlineStr">
        <is>
          <t xml:space="preserve">Personal</t>
        </is>
      </c>
      <c r="O648" s="46" t="inlineStr">
        <is>
          <t xml:space="preserve">Personal - regular use</t>
        </is>
      </c>
      <c r="P648" s="46" t="inlineStr">
        <is>
          <t xml:space="preserve">1,000 - 2,500</t>
        </is>
      </c>
      <c r="Q648" s="46" t="inlineStr">
        <is>
          <t xml:space="preserve">Florida</t>
        </is>
      </c>
      <c r="R648" s="46" t="inlineStr">
        <is>
          <t xml:space="preserve">33139</t>
        </is>
      </c>
      <c r="S648" s="48" t="inlineStr">
        <is>
          <t xml:space="preserve">Tier 2 - Coastal wind (1-25 miles)</t>
        </is>
      </c>
      <c r="T648" s="36">
        <f>IF($A648="","",IF($S648="","",IFERROR(INDEX('[1]natural catastrophe'!$D$6:$D$17,MATCH($S648,'[1]natural catastrophe'!$B$6:$B$17,0)),"?")))</f>
      </c>
      <c r="U648" s="46" t="inlineStr">
        <is>
          <t xml:space="preserve">2% of agreed value, minimum $10,000</t>
        </is>
      </c>
      <c r="V648" s="48" t="inlineStr">
        <is>
          <t xml:space="preserve">Agreed Value</t>
        </is>
      </c>
      <c r="W648" s="46" t="inlineStr">
        <is>
          <t xml:space="preserve">$1,000</t>
        </is>
      </c>
      <c r="X648" s="48" t="inlineStr">
        <is>
          <t xml:space="preserve">$1,000,000 CSL</t>
        </is>
      </c>
      <c r="Y648" s="46"/>
      <c r="Z648" s="46"/>
      <c r="AA648" s="48" t="inlineStr">
        <is>
          <t xml:space="preserve">Surplus Lines</t>
        </is>
      </c>
      <c r="AB648" s="50">
        <v>8177.29</v>
      </c>
      <c r="AC648" s="51">
        <v>0</v>
      </c>
      <c r="AD648" s="38">
        <f>IF(ISNUMBER($AB648),$AB648*(1+N($AC648)),"")</f>
      </c>
      <c r="AE648" s="50">
        <v>350</v>
      </c>
      <c r="AF648" s="50">
        <v>0</v>
      </c>
      <c r="AG648" s="51"/>
      <c r="AH648" s="39">
        <f>IF(ISNUMBER($AD648),($AD648+$AE648+$AF648)*$AG648,"")</f>
      </c>
      <c r="AI648" s="50"/>
      <c r="AJ648" s="38">
        <f>IF(ISNUMBER($AD648),SUM($AD648:$AH648),"")</f>
      </c>
      <c r="AK648" s="40">
        <f>IF(AND(ISNUMBER($AB648),ISNUMBER($AD648)),IF($AB648&gt;0,$AD648/$AB648,""),"")</f>
      </c>
      <c r="AL648" s="48" t="inlineStr">
        <is>
          <t xml:space="preserve">At technical</t>
        </is>
      </c>
      <c r="AM648" s="41">
        <f>IF(ISNUMBER($AD648),Header!$I$3,"")</f>
      </c>
      <c r="AN648" s="39">
        <f>IF(ISNUMBER($AD648),$AO648+$AP648,"")</f>
      </c>
      <c r="AO648" s="39">
        <f>IF(ISNUMBER($AD648),ROUND($AD648*Header!$K$3,2),"")</f>
      </c>
      <c r="AP648" s="39">
        <f>IF(ISNUMBER($AD648),ROUND($AD648*Header!$M$3,2),"")</f>
      </c>
      <c r="AQ648" s="38">
        <f>IF(ISNUMBER($AD648),ROUND($AD648,2)-$AO648-$AP648,"")</f>
      </c>
      <c r="AR648" s="39">
        <f>IF(ISNUMBER($AD648),IF(Header!$D$34="","?",$AD648*Header!$D$34),"")</f>
      </c>
      <c r="AS648" s="39">
        <f>IF(ISNUMBER($AB648),IF(Header!$D$34="","?",$AB648*Header!$D$34),"")</f>
      </c>
      <c r="AT648" s="42">
        <f>IF(AND(ISNUMBER($AB648),$M648&gt;0),$AB648/$M648*100,"")</f>
      </c>
      <c r="AU648" s="42">
        <f>IF(AND(ISNUMBER($AD648),$M648&gt;0),$AD648/$M648*100,"")</f>
      </c>
      <c r="AV648" s="40">
        <f>IF(AND(ISNUMBER($AB648),ISNUMBER($AD648),ABS($AB648)&gt;0),$AD648/$AB648,"")</f>
      </c>
      <c r="AW648" s="39">
        <f>IF(ISNUMBER($AD648),MAX(0,(1-0.55-Header!$O$3)*Header!$Q$3*$AQ648),"")</f>
      </c>
      <c r="AX648" s="43">
        <f>IF($A648="","",IF(TRIM(IF($A648="","Missing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",""))="","PASS","FAIL: "&amp;TRIM(IF($A648="","Missing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f>
      </c>
      <c r="AY648" s="44">
        <f>IF($M648="","",IF(ISNUMBER($M648),IF($M648&gt;=Header!$C$18,"YES — refer","No"),""))</f>
      </c>
      <c r="AZ648" s="44">
        <f>IF($AD648="","",IF(ISNUMBER($AD648),IF($AD648&lt;Header!$C$20,"BELOW MIN PREMIUM","OK"),""))</f>
      </c>
      <c r="BA648" s="48" t="inlineStr">
        <is>
          <t xml:space="preserve">Yes</t>
        </is>
      </c>
      <c r="BB648" s="48" t="inlineStr">
        <is>
          <t xml:space="preserve">Yes</t>
        </is>
      </c>
      <c r="BC648" s="46" t="inlineStr">
        <is>
          <t xml:space="preserve">Synthetic demo data</t>
        </is>
      </c>
      <c r="BE648" s="45">
        <f>IF(OR($A648="",$L648="",$H648=""),"",IF(AND(LEFT($L648,2)="06",$H648&gt;1945),"FAIL - pre-war class, year "&amp;$H648,IF(AND(LEFT($L648,2)="07",OR($H648&lt;1946,$H648&gt;1972)),"FAIL - 1946-72 class, year "&amp;$H648,IF(AND(LEFT($L648,2)="08",OR($H648&lt;1973,$H648&gt;1999)),"FAIL - 1973-99 class, year "&amp;$H648,IF(AND(LEFT($L648,2)="09",OR($H648&lt;2000,$H648&gt;2010)),"FAIL - 2000-10 class, year "&amp;$H648,"OK")))))</f>
      </c>
      <c r="BF648" s="45">
        <f>IF($AD648="","",IF(ROUND($AO648+$AP648+$AQ648-$AD648,2)=0,"OK","FAIL - out by "&amp;TEXT($AO648+$AP648+$AQ648-$AD648,"$0.00")))</f>
      </c>
    </row>
    <row r="649" spans="1:58" ht="18.75" customHeight="1" x14ac:dyDescent="0.25">
      <c r="A649" s="30" t="inlineStr">
        <is>
          <t xml:space="preserve">CANON-202604-007461</t>
        </is>
      </c>
      <c r="B649" s="30" t="inlineStr">
        <is>
          <t xml:space="preserve">Saoirse Merriweather</t>
        </is>
      </c>
      <c r="C649" s="31">
        <v>46115</v>
      </c>
      <c r="D649" s="32" t="inlineStr">
        <is>
          <t xml:space="preserve">Bound - within authority</t>
        </is>
      </c>
      <c r="E649" s="32" t="inlineStr">
        <is>
          <t xml:space="preserve">New business</t>
        </is>
      </c>
      <c r="F649" s="30" t="inlineStr">
        <is>
          <t xml:space="preserve">B1234EXOTIC26</t>
        </is>
      </c>
      <c r="G649" s="33">
        <f>IF($A649="","",IF($C649="","",YEAR($C649)))</f>
      </c>
      <c r="H649" s="34">
        <v>1993</v>
      </c>
      <c r="I649" s="30" t="inlineStr">
        <is>
          <t xml:space="preserve">Maserati</t>
        </is>
      </c>
      <c r="J649" s="30" t="inlineStr">
        <is>
          <t xml:space="preserve">GranTurismo</t>
        </is>
      </c>
      <c r="K649" s="30" t="inlineStr">
        <is>
          <t xml:space="preserve">JAK9TZLWAS1B1RFEC</t>
        </is>
      </c>
      <c r="L649" s="32" t="inlineStr">
        <is>
          <t xml:space="preserve">02 - Sports / GT</t>
        </is>
      </c>
      <c r="M649" s="35">
        <v>1200000</v>
      </c>
      <c r="N649" s="32" t="inlineStr">
        <is>
          <t xml:space="preserve">Personal</t>
        </is>
      </c>
      <c r="O649" s="30" t="inlineStr">
        <is>
          <t xml:space="preserve">Personal - regular use</t>
        </is>
      </c>
      <c r="P649" s="30" t="inlineStr">
        <is>
          <t xml:space="preserve">2,500 - 5,000</t>
        </is>
      </c>
      <c r="Q649" s="30" t="inlineStr">
        <is>
          <t xml:space="preserve">Wyoming</t>
        </is>
      </c>
      <c r="R649" s="30" t="inlineStr">
        <is>
          <t xml:space="preserve">82001</t>
        </is>
      </c>
      <c r="S649" s="32" t="inlineStr">
        <is>
          <t xml:space="preserve">Severe convective - hail alley (high)</t>
        </is>
      </c>
      <c r="T649" s="36">
        <f>IF($A649="","",IF($S649="","",IFERROR(INDEX('[1]natural catastrophe'!$D$6:$D$17,MATCH($S649,'[1]natural catastrophe'!$B$6:$B$17,0)),"?")))</f>
      </c>
      <c r="U649" s="30" t="inlineStr">
        <is>
          <t xml:space="preserve">$5,000</t>
        </is>
      </c>
      <c r="V649" s="32" t="inlineStr">
        <is>
          <t xml:space="preserve">Agreed Value</t>
        </is>
      </c>
      <c r="W649" s="30" t="inlineStr">
        <is>
          <t xml:space="preserve">$1,000</t>
        </is>
      </c>
      <c r="X649" s="32" t="inlineStr">
        <is>
          <t xml:space="preserve">$1,000,000 CSL</t>
        </is>
      </c>
      <c r="Y649" s="30"/>
      <c r="Z649" s="30"/>
      <c r="AA649" s="32" t="inlineStr">
        <is>
          <t xml:space="preserve">Surplus Lines</t>
        </is>
      </c>
      <c r="AB649" s="35">
        <v>11066.02</v>
      </c>
      <c r="AC649" s="37">
        <v>0</v>
      </c>
      <c r="AD649" s="38">
        <f>IF(ISNUMBER($AB649),$AB649*(1+N($AC649)),"")</f>
      </c>
      <c r="AE649" s="35">
        <v>350</v>
      </c>
      <c r="AF649" s="35">
        <v>250</v>
      </c>
      <c r="AG649" s="37"/>
      <c r="AH649" s="39">
        <f>IF(ISNUMBER($AD649),($AD649+$AE649+$AF649)*$AG649,"")</f>
      </c>
      <c r="AI649" s="35"/>
      <c r="AJ649" s="38">
        <f>IF(ISNUMBER($AD649),SUM($AD649:$AH649),"")</f>
      </c>
      <c r="AK649" s="40">
        <f>IF(AND(ISNUMBER($AB649),ISNUMBER($AD649)),IF($AB649&gt;0,$AD649/$AB649,""),"")</f>
      </c>
      <c r="AL649" s="32" t="inlineStr">
        <is>
          <t xml:space="preserve">At technical</t>
        </is>
      </c>
      <c r="AM649" s="41">
        <f>IF(ISNUMBER($AD649),Header!$I$3,"")</f>
      </c>
      <c r="AN649" s="39">
        <f>IF(ISNUMBER($AD649),$AO649+$AP649,"")</f>
      </c>
      <c r="AO649" s="39">
        <f>IF(ISNUMBER($AD649),ROUND($AD649*Header!$K$3,2),"")</f>
      </c>
      <c r="AP649" s="39">
        <f>IF(ISNUMBER($AD649),ROUND($AD649*Header!$M$3,2),"")</f>
      </c>
      <c r="AQ649" s="38">
        <f>IF(ISNUMBER($AD649),ROUND($AD649,2)-$AO649-$AP649,"")</f>
      </c>
      <c r="AR649" s="39">
        <f>IF(ISNUMBER($AD649),IF(Header!$D$34="","?",$AD649*Header!$D$34),"")</f>
      </c>
      <c r="AS649" s="39">
        <f>IF(ISNUMBER($AB649),IF(Header!$D$34="","?",$AB649*Header!$D$34),"")</f>
      </c>
      <c r="AT649" s="42">
        <f>IF(AND(ISNUMBER($AB649),$M649&gt;0),$AB649/$M649*100,"")</f>
      </c>
      <c r="AU649" s="42">
        <f>IF(AND(ISNUMBER($AD649),$M649&gt;0),$AD649/$M649*100,"")</f>
      </c>
      <c r="AV649" s="40">
        <f>IF(AND(ISNUMBER($AB649),ISNUMBER($AD649),ABS($AB649)&gt;0),$AD649/$AB649,"")</f>
      </c>
      <c r="AW649" s="39">
        <f>IF(ISNUMBER($AD649),MAX(0,(1-0.55-Header!$O$3)*Header!$Q$3*$AQ649),"")</f>
      </c>
      <c r="AX649" s="43">
        <f>IF($A649="","",IF(TRIM(IF($A649="","Missing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",""))="","PASS","FAIL: "&amp;TRIM(IF($A649="","Missing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f>
      </c>
      <c r="AY649" s="44">
        <f>IF($M649="","",IF(ISNUMBER($M649),IF($M649&gt;=Header!$C$18,"YES — refer","No"),""))</f>
      </c>
      <c r="AZ649" s="44">
        <f>IF($AD649="","",IF(ISNUMBER($AD649),IF($AD649&lt;Header!$C$20,"BELOW MIN PREMIUM","OK"),""))</f>
      </c>
      <c r="BA649" s="32" t="inlineStr">
        <is>
          <t xml:space="preserve">Yes</t>
        </is>
      </c>
      <c r="BB649" s="32" t="inlineStr">
        <is>
          <t xml:space="preserve">Yes</t>
        </is>
      </c>
      <c r="BC649" s="30" t="inlineStr">
        <is>
          <t xml:space="preserve">Synthetic demo data</t>
        </is>
      </c>
      <c r="BE649" s="45">
        <f>IF(OR($A649="",$L649="",$H649=""),"",IF(AND(LEFT($L649,2)="06",$H649&gt;1945),"FAIL - pre-war class, year "&amp;$H649,IF(AND(LEFT($L649,2)="07",OR($H649&lt;1946,$H649&gt;1972)),"FAIL - 1946-72 class, year "&amp;$H649,IF(AND(LEFT($L649,2)="08",OR($H649&lt;1973,$H649&gt;1999)),"FAIL - 1973-99 class, year "&amp;$H649,IF(AND(LEFT($L649,2)="09",OR($H649&lt;2000,$H649&gt;2010)),"FAIL - 2000-10 class, year "&amp;$H649,"OK")))))</f>
      </c>
      <c r="BF649" s="45">
        <f>IF($AD649="","",IF(ROUND($AO649+$AP649+$AQ649-$AD649,2)=0,"OK","FAIL - out by "&amp;TEXT($AO649+$AP649+$AQ649-$AD649,"$0.00")))</f>
      </c>
    </row>
    <row r="650" spans="1:58" ht="18.75" customHeight="1" x14ac:dyDescent="0.25">
      <c r="A650" s="46" t="inlineStr">
        <is>
          <t xml:space="preserve">CANON-202604-007462</t>
        </is>
      </c>
      <c r="B650" s="46" t="inlineStr">
        <is>
          <t xml:space="preserve">Sunniva Ashcombe</t>
        </is>
      </c>
      <c r="C650" s="47">
        <v>46128</v>
      </c>
      <c r="D650" s="48" t="inlineStr">
        <is>
          <t xml:space="preserve">Bound - within authority</t>
        </is>
      </c>
      <c r="E650" s="48" t="inlineStr">
        <is>
          <t xml:space="preserve">New business</t>
        </is>
      </c>
      <c r="F650" s="46" t="inlineStr">
        <is>
          <t xml:space="preserve">B1234EXOTIC26</t>
        </is>
      </c>
      <c r="G650" s="33">
        <f>IF($A650="","",IF($C650="","",YEAR($C650)))</f>
      </c>
      <c r="H650" s="49">
        <v>1967</v>
      </c>
      <c r="I650" s="46" t="inlineStr">
        <is>
          <t xml:space="preserve">Bentley</t>
        </is>
      </c>
      <c r="J650" s="46" t="inlineStr">
        <is>
          <t xml:space="preserve">Continental GT</t>
        </is>
      </c>
      <c r="K650" s="46" t="inlineStr">
        <is>
          <t xml:space="preserve">TCW8RPT0A35KLKG35</t>
        </is>
      </c>
      <c r="L650" s="48" t="inlineStr">
        <is>
          <t xml:space="preserve">02 - Sports / GT</t>
        </is>
      </c>
      <c r="M650" s="50">
        <v>340000</v>
      </c>
      <c r="N650" s="48" t="inlineStr">
        <is>
          <t xml:space="preserve">Personal</t>
        </is>
      </c>
      <c r="O650" s="46" t="inlineStr">
        <is>
          <t xml:space="preserve">Personal - regular use</t>
        </is>
      </c>
      <c r="P650" s="46" t="inlineStr">
        <is>
          <t xml:space="preserve">1,000 - 2,500</t>
        </is>
      </c>
      <c r="Q650" s="46" t="inlineStr">
        <is>
          <t xml:space="preserve">New Mexico</t>
        </is>
      </c>
      <c r="R650" s="46" t="inlineStr">
        <is>
          <t xml:space="preserve">87501</t>
        </is>
      </c>
      <c r="S650" s="48" t="inlineStr">
        <is>
          <t xml:space="preserve">Wildfire - WUI high hazard</t>
        </is>
      </c>
      <c r="T650" s="36">
        <f>IF($A650="","",IF($S650="","",IFERROR(INDEX('[1]natural catastrophe'!$D$6:$D$17,MATCH($S650,'[1]natural catastrophe'!$B$6:$B$17,0)),"?")))</f>
      </c>
      <c r="U650" s="46" t="inlineStr">
        <is>
          <t xml:space="preserve">$5,000</t>
        </is>
      </c>
      <c r="V650" s="48" t="inlineStr">
        <is>
          <t xml:space="preserve">Agreed Value</t>
        </is>
      </c>
      <c r="W650" s="46" t="inlineStr">
        <is>
          <t xml:space="preserve">$1,000</t>
        </is>
      </c>
      <c r="X650" s="48" t="inlineStr">
        <is>
          <t xml:space="preserve">$1,000,000 CSL</t>
        </is>
      </c>
      <c r="Y650" s="46"/>
      <c r="Z650" s="46"/>
      <c r="AA650" s="48" t="inlineStr">
        <is>
          <t xml:space="preserve">Surplus Lines</t>
        </is>
      </c>
      <c r="AB650" s="50">
        <v>5114.63</v>
      </c>
      <c r="AC650" s="51">
        <v>0</v>
      </c>
      <c r="AD650" s="38">
        <f>IF(ISNUMBER($AB650),$AB650*(1+N($AC650)),"")</f>
      </c>
      <c r="AE650" s="50">
        <v>350</v>
      </c>
      <c r="AF650" s="50">
        <v>0</v>
      </c>
      <c r="AG650" s="51"/>
      <c r="AH650" s="39">
        <f>IF(ISNUMBER($AD650),($AD650+$AE650+$AF650)*$AG650,"")</f>
      </c>
      <c r="AI650" s="50"/>
      <c r="AJ650" s="38">
        <f>IF(ISNUMBER($AD650),SUM($AD650:$AH650),"")</f>
      </c>
      <c r="AK650" s="40">
        <f>IF(AND(ISNUMBER($AB650),ISNUMBER($AD650)),IF($AB650&gt;0,$AD650/$AB650,""),"")</f>
      </c>
      <c r="AL650" s="48" t="inlineStr">
        <is>
          <t xml:space="preserve">At technical</t>
        </is>
      </c>
      <c r="AM650" s="41">
        <f>IF(ISNUMBER($AD650),Header!$I$3,"")</f>
      </c>
      <c r="AN650" s="39">
        <f>IF(ISNUMBER($AD650),$AO650+$AP650,"")</f>
      </c>
      <c r="AO650" s="39">
        <f>IF(ISNUMBER($AD650),ROUND($AD650*Header!$K$3,2),"")</f>
      </c>
      <c r="AP650" s="39">
        <f>IF(ISNUMBER($AD650),ROUND($AD650*Header!$M$3,2),"")</f>
      </c>
      <c r="AQ650" s="38">
        <f>IF(ISNUMBER($AD650),ROUND($AD650,2)-$AO650-$AP650,"")</f>
      </c>
      <c r="AR650" s="39">
        <f>IF(ISNUMBER($AD650),IF(Header!$D$34="","?",$AD650*Header!$D$34),"")</f>
      </c>
      <c r="AS650" s="39">
        <f>IF(ISNUMBER($AB650),IF(Header!$D$34="","?",$AB650*Header!$D$34),"")</f>
      </c>
      <c r="AT650" s="42">
        <f>IF(AND(ISNUMBER($AB650),$M650&gt;0),$AB650/$M650*100,"")</f>
      </c>
      <c r="AU650" s="42">
        <f>IF(AND(ISNUMBER($AD650),$M650&gt;0),$AD650/$M650*100,"")</f>
      </c>
      <c r="AV650" s="40">
        <f>IF(AND(ISNUMBER($AB650),ISNUMBER($AD650),ABS($AB650)&gt;0),$AD650/$AB650,"")</f>
      </c>
      <c r="AW650" s="39">
        <f>IF(ISNUMBER($AD650),MAX(0,(1-0.55-Header!$O$3)*Header!$Q$3*$AQ650),"")</f>
      </c>
      <c r="AX650" s="43">
        <f>IF($A650="","",IF(TRIM(IF($A650="","Missing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",""))="","PASS","FAIL: "&amp;TRIM(IF($A650="","Missing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f>
      </c>
      <c r="AY650" s="44">
        <f>IF($M650="","",IF(ISNUMBER($M650),IF($M650&gt;=Header!$C$18,"YES — refer","No"),""))</f>
      </c>
      <c r="AZ650" s="44">
        <f>IF($AD650="","",IF(ISNUMBER($AD650),IF($AD650&lt;Header!$C$20,"BELOW MIN PREMIUM","OK"),""))</f>
      </c>
      <c r="BA650" s="48" t="inlineStr">
        <is>
          <t xml:space="preserve">Yes</t>
        </is>
      </c>
      <c r="BB650" s="48" t="inlineStr">
        <is>
          <t xml:space="preserve">Yes</t>
        </is>
      </c>
      <c r="BC650" s="46" t="inlineStr">
        <is>
          <t xml:space="preserve">Synthetic demo data</t>
        </is>
      </c>
      <c r="BE650" s="45">
        <f>IF(OR($A650="",$L650="",$H650=""),"",IF(AND(LEFT($L650,2)="06",$H650&gt;1945),"FAIL - pre-war class, year "&amp;$H650,IF(AND(LEFT($L650,2)="07",OR($H650&lt;1946,$H650&gt;1972)),"FAIL - 1946-72 class, year "&amp;$H650,IF(AND(LEFT($L650,2)="08",OR($H650&lt;1973,$H650&gt;1999)),"FAIL - 1973-99 class, year "&amp;$H650,IF(AND(LEFT($L650,2)="09",OR($H650&lt;2000,$H650&gt;2010)),"FAIL - 2000-10 class, year "&amp;$H650,"OK")))))</f>
      </c>
      <c r="BF650" s="45">
        <f>IF($AD650="","",IF(ROUND($AO650+$AP650+$AQ650-$AD650,2)=0,"OK","FAIL - out by "&amp;TEXT($AO650+$AP650+$AQ650-$AD650,"$0.00")))</f>
      </c>
    </row>
    <row r="651" spans="1:58" ht="18.75" customHeight="1" x14ac:dyDescent="0.25">
      <c r="A651" s="30" t="inlineStr">
        <is>
          <t xml:space="preserve">CANON-202604-007463</t>
        </is>
      </c>
      <c r="B651" s="30" t="inlineStr">
        <is>
          <t xml:space="preserve">Emiliano Kingsford</t>
        </is>
      </c>
      <c r="C651" s="31">
        <v>46128</v>
      </c>
      <c r="D651" s="32" t="inlineStr">
        <is>
          <t xml:space="preserve">Bound - within authority</t>
        </is>
      </c>
      <c r="E651" s="32" t="inlineStr">
        <is>
          <t xml:space="preserve">New business</t>
        </is>
      </c>
      <c r="F651" s="30" t="inlineStr">
        <is>
          <t xml:space="preserve">B1234EXOTIC26</t>
        </is>
      </c>
      <c r="G651" s="33">
        <f>IF($A651="","",IF($C651="","",YEAR($C651)))</f>
      </c>
      <c r="H651" s="34">
        <v>1967</v>
      </c>
      <c r="I651" s="30" t="inlineStr">
        <is>
          <t xml:space="preserve">Lamborghini</t>
        </is>
      </c>
      <c r="J651" s="30" t="inlineStr">
        <is>
          <t xml:space="preserve">Huracan EVO</t>
        </is>
      </c>
      <c r="K651" s="30" t="inlineStr">
        <is>
          <t xml:space="preserve">Y21SDHD9T53623GJT</t>
        </is>
      </c>
      <c r="L651" s="32" t="inlineStr">
        <is>
          <t xml:space="preserve">03 - Supercar</t>
        </is>
      </c>
      <c r="M651" s="35">
        <v>480000</v>
      </c>
      <c r="N651" s="32" t="inlineStr">
        <is>
          <t xml:space="preserve">Personal</t>
        </is>
      </c>
      <c r="O651" s="30" t="inlineStr">
        <is>
          <t xml:space="preserve">Personal - regular use</t>
        </is>
      </c>
      <c r="P651" s="30" t="inlineStr">
        <is>
          <t xml:space="preserve">Under 1,000</t>
        </is>
      </c>
      <c r="Q651" s="30" t="inlineStr">
        <is>
          <t xml:space="preserve">Montana</t>
        </is>
      </c>
      <c r="R651" s="30" t="inlineStr">
        <is>
          <t xml:space="preserve">59601</t>
        </is>
      </c>
      <c r="S651" s="32" t="inlineStr">
        <is>
          <t xml:space="preserve">Wildfire - WUI high hazard</t>
        </is>
      </c>
      <c r="T651" s="36">
        <f>IF($A651="","",IF($S651="","",IFERROR(INDEX('[1]natural catastrophe'!$D$6:$D$17,MATCH($S651,'[1]natural catastrophe'!$B$6:$B$17,0)),"?")))</f>
      </c>
      <c r="U651" s="30" t="inlineStr">
        <is>
          <t xml:space="preserve">$5,000</t>
        </is>
      </c>
      <c r="V651" s="32" t="inlineStr">
        <is>
          <t xml:space="preserve">Agreed Value</t>
        </is>
      </c>
      <c r="W651" s="30" t="inlineStr">
        <is>
          <t xml:space="preserve">$1,000</t>
        </is>
      </c>
      <c r="X651" s="32" t="inlineStr">
        <is>
          <t xml:space="preserve">$1,000,000 CSL</t>
        </is>
      </c>
      <c r="Y651" s="30"/>
      <c r="Z651" s="30"/>
      <c r="AA651" s="32" t="inlineStr">
        <is>
          <t xml:space="preserve">Surplus Lines</t>
        </is>
      </c>
      <c r="AB651" s="35">
        <v>8044.26</v>
      </c>
      <c r="AC651" s="37">
        <v>0</v>
      </c>
      <c r="AD651" s="38">
        <f>IF(ISNUMBER($AB651),$AB651*(1+N($AC651)),"")</f>
      </c>
      <c r="AE651" s="35">
        <v>350</v>
      </c>
      <c r="AF651" s="35">
        <v>0</v>
      </c>
      <c r="AG651" s="37"/>
      <c r="AH651" s="39">
        <f>IF(ISNUMBER($AD651),($AD651+$AE651+$AF651)*$AG651,"")</f>
      </c>
      <c r="AI651" s="35"/>
      <c r="AJ651" s="38">
        <f>IF(ISNUMBER($AD651),SUM($AD651:$AH651),"")</f>
      </c>
      <c r="AK651" s="40">
        <f>IF(AND(ISNUMBER($AB651),ISNUMBER($AD651)),IF($AB651&gt;0,$AD651/$AB651,""),"")</f>
      </c>
      <c r="AL651" s="32" t="inlineStr">
        <is>
          <t xml:space="preserve">At technical</t>
        </is>
      </c>
      <c r="AM651" s="41">
        <f>IF(ISNUMBER($AD651),Header!$I$3,"")</f>
      </c>
      <c r="AN651" s="39">
        <f>IF(ISNUMBER($AD651),$AO651+$AP651,"")</f>
      </c>
      <c r="AO651" s="39">
        <f>IF(ISNUMBER($AD651),ROUND($AD651*Header!$K$3,2),"")</f>
      </c>
      <c r="AP651" s="39">
        <f>IF(ISNUMBER($AD651),ROUND($AD651*Header!$M$3,2),"")</f>
      </c>
      <c r="AQ651" s="38">
        <f>IF(ISNUMBER($AD651),ROUND($AD651,2)-$AO651-$AP651,"")</f>
      </c>
      <c r="AR651" s="39">
        <f>IF(ISNUMBER($AD651),IF(Header!$D$34="","?",$AD651*Header!$D$34),"")</f>
      </c>
      <c r="AS651" s="39">
        <f>IF(ISNUMBER($AB651),IF(Header!$D$34="","?",$AB651*Header!$D$34),"")</f>
      </c>
      <c r="AT651" s="42">
        <f>IF(AND(ISNUMBER($AB651),$M651&gt;0),$AB651/$M651*100,"")</f>
      </c>
      <c r="AU651" s="42">
        <f>IF(AND(ISNUMBER($AD651),$M651&gt;0),$AD651/$M651*100,"")</f>
      </c>
      <c r="AV651" s="40">
        <f>IF(AND(ISNUMBER($AB651),ISNUMBER($AD651),ABS($AB651)&gt;0),$AD651/$AB651,"")</f>
      </c>
      <c r="AW651" s="39">
        <f>IF(ISNUMBER($AD651),MAX(0,(1-0.55-Header!$O$3)*Header!$Q$3*$AQ651),"")</f>
      </c>
      <c r="AX651" s="43">
        <f>IF($A651="","",IF(TRIM(IF($A651="","Missing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",""))="","PASS","FAIL: "&amp;TRIM(IF($A651="","Missing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f>
      </c>
      <c r="AY651" s="44">
        <f>IF($M651="","",IF(ISNUMBER($M651),IF($M651&gt;=Header!$C$18,"YES — refer","No"),""))</f>
      </c>
      <c r="AZ651" s="44">
        <f>IF($AD651="","",IF(ISNUMBER($AD651),IF($AD651&lt;Header!$C$20,"BELOW MIN PREMIUM","OK"),""))</f>
      </c>
      <c r="BA651" s="32" t="inlineStr">
        <is>
          <t xml:space="preserve">Yes</t>
        </is>
      </c>
      <c r="BB651" s="32" t="inlineStr">
        <is>
          <t xml:space="preserve">Yes</t>
        </is>
      </c>
      <c r="BC651" s="30" t="inlineStr">
        <is>
          <t xml:space="preserve">Synthetic demo data</t>
        </is>
      </c>
      <c r="BE651" s="45">
        <f>IF(OR($A651="",$L651="",$H651=""),"",IF(AND(LEFT($L651,2)="06",$H651&gt;1945),"FAIL - pre-war class, year "&amp;$H651,IF(AND(LEFT($L651,2)="07",OR($H651&lt;1946,$H651&gt;1972)),"FAIL - 1946-72 class, year "&amp;$H651,IF(AND(LEFT($L651,2)="08",OR($H651&lt;1973,$H651&gt;1999)),"FAIL - 1973-99 class, year "&amp;$H651,IF(AND(LEFT($L651,2)="09",OR($H651&lt;2000,$H651&gt;2010)),"FAIL - 2000-10 class, year "&amp;$H651,"OK")))))</f>
      </c>
      <c r="BF651" s="45">
        <f>IF($AD651="","",IF(ROUND($AO651+$AP651+$AQ651-$AD651,2)=0,"OK","FAIL - out by "&amp;TEXT($AO651+$AP651+$AQ651-$AD651,"$0.00")))</f>
      </c>
    </row>
    <row r="652" spans="1:58" ht="18.75" customHeight="1" x14ac:dyDescent="0.25">
      <c r="A652" s="46" t="inlineStr">
        <is>
          <t xml:space="preserve">CANON-202604-007464</t>
        </is>
      </c>
      <c r="B652" s="46" t="inlineStr">
        <is>
          <t xml:space="preserve">Callum Vasquez</t>
        </is>
      </c>
      <c r="C652" s="47">
        <v>46132</v>
      </c>
      <c r="D652" s="48" t="inlineStr">
        <is>
          <t xml:space="preserve">Bound - within authority</t>
        </is>
      </c>
      <c r="E652" s="48" t="inlineStr">
        <is>
          <t xml:space="preserve">New business</t>
        </is>
      </c>
      <c r="F652" s="46" t="inlineStr">
        <is>
          <t xml:space="preserve">B1234EXOTIC26</t>
        </is>
      </c>
      <c r="G652" s="33">
        <f>IF($A652="","",IF($C652="","",YEAR($C652)))</f>
      </c>
      <c r="H652" s="49">
        <v>2002</v>
      </c>
      <c r="I652" s="46" t="inlineStr">
        <is>
          <t xml:space="preserve">Aston Martin</t>
        </is>
      </c>
      <c r="J652" s="46" t="inlineStr">
        <is>
          <t xml:space="preserve">DB12</t>
        </is>
      </c>
      <c r="K652" s="46" t="inlineStr">
        <is>
          <t xml:space="preserve">ZKY0CJLTSUM9HMN75</t>
        </is>
      </c>
      <c r="L652" s="48" t="inlineStr">
        <is>
          <t xml:space="preserve">02 - Sports / GT</t>
        </is>
      </c>
      <c r="M652" s="50">
        <v>440000</v>
      </c>
      <c r="N652" s="48" t="inlineStr">
        <is>
          <t xml:space="preserve">Personal</t>
        </is>
      </c>
      <c r="O652" s="46" t="inlineStr">
        <is>
          <t xml:space="preserve">Personal - regular use</t>
        </is>
      </c>
      <c r="P652" s="46" t="inlineStr">
        <is>
          <t xml:space="preserve">Under 1,000</t>
        </is>
      </c>
      <c r="Q652" s="46" t="inlineStr">
        <is>
          <t xml:space="preserve">New Jersey</t>
        </is>
      </c>
      <c r="R652" s="46" t="inlineStr">
        <is>
          <t xml:space="preserve">07102</t>
        </is>
      </c>
      <c r="S652" s="48" t="inlineStr">
        <is>
          <t xml:space="preserve">Tier 3 - Coastal wind (25-100 miles)</t>
        </is>
      </c>
      <c r="T652" s="36">
        <f>IF($A652="","",IF($S652="","",IFERROR(INDEX('[1]natural catastrophe'!$D$6:$D$17,MATCH($S652,'[1]natural catastrophe'!$B$6:$B$17,0)),"?")))</f>
      </c>
      <c r="U652" s="46" t="inlineStr">
        <is>
          <t xml:space="preserve">2% of agreed value, minimum $10,000</t>
        </is>
      </c>
      <c r="V652" s="48" t="inlineStr">
        <is>
          <t xml:space="preserve">Agreed Value</t>
        </is>
      </c>
      <c r="W652" s="46" t="inlineStr">
        <is>
          <t xml:space="preserve">$1,000</t>
        </is>
      </c>
      <c r="X652" s="48" t="inlineStr">
        <is>
          <t xml:space="preserve">$1,000,000 CSL</t>
        </is>
      </c>
      <c r="Y652" s="46"/>
      <c r="Z652" s="46"/>
      <c r="AA652" s="48" t="inlineStr">
        <is>
          <t xml:space="preserve">Surplus Lines</t>
        </is>
      </c>
      <c r="AB652" s="50">
        <v>4705.65</v>
      </c>
      <c r="AC652" s="51">
        <v>0</v>
      </c>
      <c r="AD652" s="38">
        <f>IF(ISNUMBER($AB652),$AB652*(1+N($AC652)),"")</f>
      </c>
      <c r="AE652" s="50">
        <v>350</v>
      </c>
      <c r="AF652" s="50">
        <v>0</v>
      </c>
      <c r="AG652" s="51"/>
      <c r="AH652" s="39">
        <f>IF(ISNUMBER($AD652),($AD652+$AE652+$AF652)*$AG652,"")</f>
      </c>
      <c r="AI652" s="50"/>
      <c r="AJ652" s="38">
        <f>IF(ISNUMBER($AD652),SUM($AD652:$AH652),"")</f>
      </c>
      <c r="AK652" s="40">
        <f>IF(AND(ISNUMBER($AB652),ISNUMBER($AD652)),IF($AB652&gt;0,$AD652/$AB652,""),"")</f>
      </c>
      <c r="AL652" s="48" t="inlineStr">
        <is>
          <t xml:space="preserve">At technical</t>
        </is>
      </c>
      <c r="AM652" s="41">
        <f>IF(ISNUMBER($AD652),Header!$I$3,"")</f>
      </c>
      <c r="AN652" s="39">
        <f>IF(ISNUMBER($AD652),$AO652+$AP652,"")</f>
      </c>
      <c r="AO652" s="39">
        <f>IF(ISNUMBER($AD652),ROUND($AD652*Header!$K$3,2),"")</f>
      </c>
      <c r="AP652" s="39">
        <f>IF(ISNUMBER($AD652),ROUND($AD652*Header!$M$3,2),"")</f>
      </c>
      <c r="AQ652" s="38">
        <f>IF(ISNUMBER($AD652),ROUND($AD652,2)-$AO652-$AP652,"")</f>
      </c>
      <c r="AR652" s="39">
        <f>IF(ISNUMBER($AD652),IF(Header!$D$34="","?",$AD652*Header!$D$34),"")</f>
      </c>
      <c r="AS652" s="39">
        <f>IF(ISNUMBER($AB652),IF(Header!$D$34="","?",$AB652*Header!$D$34),"")</f>
      </c>
      <c r="AT652" s="42">
        <f>IF(AND(ISNUMBER($AB652),$M652&gt;0),$AB652/$M652*100,"")</f>
      </c>
      <c r="AU652" s="42">
        <f>IF(AND(ISNUMBER($AD652),$M652&gt;0),$AD652/$M652*100,"")</f>
      </c>
      <c r="AV652" s="40">
        <f>IF(AND(ISNUMBER($AB652),ISNUMBER($AD652),ABS($AB652)&gt;0),$AD652/$AB652,"")</f>
      </c>
      <c r="AW652" s="39">
        <f>IF(ISNUMBER($AD652),MAX(0,(1-0.55-Header!$O$3)*Header!$Q$3*$AQ652),"")</f>
      </c>
      <c r="AX652" s="43">
        <f>IF($A652="","",IF(TRIM(IF($A652="","Missing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",""))="","PASS","FAIL: "&amp;TRIM(IF($A652="","Missing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f>
      </c>
      <c r="AY652" s="44">
        <f>IF($M652="","",IF(ISNUMBER($M652),IF($M652&gt;=Header!$C$18,"YES — refer","No"),""))</f>
      </c>
      <c r="AZ652" s="44">
        <f>IF($AD652="","",IF(ISNUMBER($AD652),IF($AD652&lt;Header!$C$20,"BELOW MIN PREMIUM","OK"),""))</f>
      </c>
      <c r="BA652" s="48" t="inlineStr">
        <is>
          <t xml:space="preserve">Yes</t>
        </is>
      </c>
      <c r="BB652" s="48" t="inlineStr">
        <is>
          <t xml:space="preserve">Yes</t>
        </is>
      </c>
      <c r="BC652" s="46" t="inlineStr">
        <is>
          <t xml:space="preserve">Synthetic demo data</t>
        </is>
      </c>
      <c r="BE652" s="45">
        <f>IF(OR($A652="",$L652="",$H652=""),"",IF(AND(LEFT($L652,2)="06",$H652&gt;1945),"FAIL - pre-war class, year "&amp;$H652,IF(AND(LEFT($L652,2)="07",OR($H652&lt;1946,$H652&gt;1972)),"FAIL - 1946-72 class, year "&amp;$H652,IF(AND(LEFT($L652,2)="08",OR($H652&lt;1973,$H652&gt;1999)),"FAIL - 1973-99 class, year "&amp;$H652,IF(AND(LEFT($L652,2)="09",OR($H652&lt;2000,$H652&gt;2010)),"FAIL - 2000-10 class, year "&amp;$H652,"OK")))))</f>
      </c>
      <c r="BF652" s="45">
        <f>IF($AD652="","",IF(ROUND($AO652+$AP652+$AQ652-$AD652,2)=0,"OK","FAIL - out by "&amp;TEXT($AO652+$AP652+$AQ652-$AD652,"$0.00")))</f>
      </c>
    </row>
    <row r="653" spans="1:58" ht="18.75" customHeight="1" x14ac:dyDescent="0.25">
      <c r="A653" s="30" t="inlineStr">
        <is>
          <t xml:space="preserve">CANON-202604-007465</t>
        </is>
      </c>
      <c r="B653" s="30" t="inlineStr">
        <is>
          <t xml:space="preserve">Mireille Vandermeer</t>
        </is>
      </c>
      <c r="C653" s="31">
        <v>46115</v>
      </c>
      <c r="D653" s="32" t="inlineStr">
        <is>
          <t xml:space="preserve">Bound - within authority</t>
        </is>
      </c>
      <c r="E653" s="32" t="inlineStr">
        <is>
          <t xml:space="preserve">New business</t>
        </is>
      </c>
      <c r="F653" s="30" t="inlineStr">
        <is>
          <t xml:space="preserve">B1234EXOTIC26</t>
        </is>
      </c>
      <c r="G653" s="33">
        <f>IF($A653="","",IF($C653="","",YEAR($C653)))</f>
      </c>
      <c r="H653" s="34">
        <v>2016</v>
      </c>
      <c r="I653" s="30" t="inlineStr">
        <is>
          <t xml:space="preserve">Bentley</t>
        </is>
      </c>
      <c r="J653" s="30" t="inlineStr">
        <is>
          <t xml:space="preserve">Continental GT</t>
        </is>
      </c>
      <c r="K653" s="30" t="inlineStr">
        <is>
          <t xml:space="preserve">6FPB3UKPXWV0C4WY8</t>
        </is>
      </c>
      <c r="L653" s="32" t="inlineStr">
        <is>
          <t xml:space="preserve">02 - Sports / GT</t>
        </is>
      </c>
      <c r="M653" s="35">
        <v>330000</v>
      </c>
      <c r="N653" s="32" t="inlineStr">
        <is>
          <t xml:space="preserve">Personal</t>
        </is>
      </c>
      <c r="O653" s="30" t="inlineStr">
        <is>
          <t xml:space="preserve">Personal - regular use</t>
        </is>
      </c>
      <c r="P653" s="30" t="inlineStr">
        <is>
          <t xml:space="preserve">1,000 - 2,500</t>
        </is>
      </c>
      <c r="Q653" s="30" t="inlineStr">
        <is>
          <t xml:space="preserve">Texas</t>
        </is>
      </c>
      <c r="R653" s="30" t="inlineStr">
        <is>
          <t xml:space="preserve">75201</t>
        </is>
      </c>
      <c r="S653" s="32" t="inlineStr">
        <is>
          <t xml:space="preserve">Tier 2 - Coastal wind (1-25 miles)</t>
        </is>
      </c>
      <c r="T653" s="36">
        <f>IF($A653="","",IF($S653="","",IFERROR(INDEX('[1]natural catastrophe'!$D$6:$D$17,MATCH($S653,'[1]natural catastrophe'!$B$6:$B$17,0)),"?")))</f>
      </c>
      <c r="U653" s="30" t="inlineStr">
        <is>
          <t xml:space="preserve">2% of agreed value, minimum $10,000</t>
        </is>
      </c>
      <c r="V653" s="32" t="inlineStr">
        <is>
          <t xml:space="preserve">Agreed Value</t>
        </is>
      </c>
      <c r="W653" s="30" t="inlineStr">
        <is>
          <t xml:space="preserve">$1,000</t>
        </is>
      </c>
      <c r="X653" s="32" t="inlineStr">
        <is>
          <t xml:space="preserve">$1,000,000 CSL</t>
        </is>
      </c>
      <c r="Y653" s="30"/>
      <c r="Z653" s="30"/>
      <c r="AA653" s="32" t="inlineStr">
        <is>
          <t xml:space="preserve">Surplus Lines</t>
        </is>
      </c>
      <c r="AB653" s="35">
        <v>4460.02</v>
      </c>
      <c r="AC653" s="37">
        <v>0</v>
      </c>
      <c r="AD653" s="38">
        <f>IF(ISNUMBER($AB653),$AB653*(1+N($AC653)),"")</f>
      </c>
      <c r="AE653" s="35">
        <v>350</v>
      </c>
      <c r="AF653" s="35">
        <v>0</v>
      </c>
      <c r="AG653" s="37"/>
      <c r="AH653" s="39">
        <f>IF(ISNUMBER($AD653),($AD653+$AE653+$AF653)*$AG653,"")</f>
      </c>
      <c r="AI653" s="35"/>
      <c r="AJ653" s="38">
        <f>IF(ISNUMBER($AD653),SUM($AD653:$AH653),"")</f>
      </c>
      <c r="AK653" s="40">
        <f>IF(AND(ISNUMBER($AB653),ISNUMBER($AD653)),IF($AB653&gt;0,$AD653/$AB653,""),"")</f>
      </c>
      <c r="AL653" s="32" t="inlineStr">
        <is>
          <t xml:space="preserve">At technical</t>
        </is>
      </c>
      <c r="AM653" s="41">
        <f>IF(ISNUMBER($AD653),Header!$I$3,"")</f>
      </c>
      <c r="AN653" s="39">
        <f>IF(ISNUMBER($AD653),$AO653+$AP653,"")</f>
      </c>
      <c r="AO653" s="39">
        <f>IF(ISNUMBER($AD653),ROUND($AD653*Header!$K$3,2),"")</f>
      </c>
      <c r="AP653" s="39">
        <f>IF(ISNUMBER($AD653),ROUND($AD653*Header!$M$3,2),"")</f>
      </c>
      <c r="AQ653" s="38">
        <f>IF(ISNUMBER($AD653),ROUND($AD653,2)-$AO653-$AP653,"")</f>
      </c>
      <c r="AR653" s="39">
        <f>IF(ISNUMBER($AD653),IF(Header!$D$34="","?",$AD653*Header!$D$34),"")</f>
      </c>
      <c r="AS653" s="39">
        <f>IF(ISNUMBER($AB653),IF(Header!$D$34="","?",$AB653*Header!$D$34),"")</f>
      </c>
      <c r="AT653" s="42">
        <f>IF(AND(ISNUMBER($AB653),$M653&gt;0),$AB653/$M653*100,"")</f>
      </c>
      <c r="AU653" s="42">
        <f>IF(AND(ISNUMBER($AD653),$M653&gt;0),$AD653/$M653*100,"")</f>
      </c>
      <c r="AV653" s="40">
        <f>IF(AND(ISNUMBER($AB653),ISNUMBER($AD653),ABS($AB653)&gt;0),$AD653/$AB653,"")</f>
      </c>
      <c r="AW653" s="39">
        <f>IF(ISNUMBER($AD653),MAX(0,(1-0.55-Header!$O$3)*Header!$Q$3*$AQ653),"")</f>
      </c>
      <c r="AX653" s="43">
        <f>IF($A653="","",IF(TRIM(IF($A653="","Missing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",""))="","PASS","FAIL: "&amp;TRIM(IF($A653="","Missing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f>
      </c>
      <c r="AY653" s="44">
        <f>IF($M653="","",IF(ISNUMBER($M653),IF($M653&gt;=Header!$C$18,"YES — refer","No"),""))</f>
      </c>
      <c r="AZ653" s="44">
        <f>IF($AD653="","",IF(ISNUMBER($AD653),IF($AD653&lt;Header!$C$20,"BELOW MIN PREMIUM","OK"),""))</f>
      </c>
      <c r="BA653" s="32" t="inlineStr">
        <is>
          <t xml:space="preserve">Yes</t>
        </is>
      </c>
      <c r="BB653" s="32" t="inlineStr">
        <is>
          <t xml:space="preserve">Yes</t>
        </is>
      </c>
      <c r="BC653" s="30" t="inlineStr">
        <is>
          <t xml:space="preserve">Synthetic demo data</t>
        </is>
      </c>
      <c r="BE653" s="45">
        <f>IF(OR($A653="",$L653="",$H653=""),"",IF(AND(LEFT($L653,2)="06",$H653&gt;1945),"FAIL - pre-war class, year "&amp;$H653,IF(AND(LEFT($L653,2)="07",OR($H653&lt;1946,$H653&gt;1972)),"FAIL - 1946-72 class, year "&amp;$H653,IF(AND(LEFT($L653,2)="08",OR($H653&lt;1973,$H653&gt;1999)),"FAIL - 1973-99 class, year "&amp;$H653,IF(AND(LEFT($L653,2)="09",OR($H653&lt;2000,$H653&gt;2010)),"FAIL - 2000-10 class, year "&amp;$H653,"OK")))))</f>
      </c>
      <c r="BF653" s="45">
        <f>IF($AD653="","",IF(ROUND($AO653+$AP653+$AQ653-$AD653,2)=0,"OK","FAIL - out by "&amp;TEXT($AO653+$AP653+$AQ653-$AD653,"$0.00")))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D5:D653</xm:sqref>
        </x14:dataValidation>
        <x14:dataValidation type="list" allowBlank="1" xr:uid="{00000000-0002-0000-0200-000001000000}">
          <x14:formula1>
            <xm:f>Lists!$A$5:$A$11</xm:f>
          </x14:formula1>
          <x14:formula2>
            <xm:f>0</xm:f>
          </x14:formula2>
          <xm:sqref>E5:E653</xm:sqref>
        </x14:dataValidation>
        <x14:dataValidation type="list" allowBlank="1" xr:uid="{00000000-0002-0000-0200-000002000000}">
          <x14:formula1>
            <xm:f>Lists!$D$5:$D$16</xm:f>
          </x14:formula1>
          <x14:formula2>
            <xm:f>0</xm:f>
          </x14:formula2>
          <xm:sqref>L5:L653</xm:sqref>
        </x14:dataValidation>
        <x14:dataValidation type="list" allowBlank="1" xr:uid="{00000000-0002-0000-0200-000003000000}">
          <x14:formula1>
            <xm:f>Lists!$C$5:$C$6</xm:f>
          </x14:formula1>
          <x14:formula2>
            <xm:f>0</xm:f>
          </x14:formula2>
          <xm:sqref>N5:N653</xm:sqref>
        </x14:dataValidation>
        <x14:dataValidation type="list" allowBlank="1" xr:uid="{00000000-0002-0000-0200-000004000000}">
          <x14:formula1>
            <xm:f>Lists!$G$5:$G$16</xm:f>
          </x14:formula1>
          <x14:formula2>
            <xm:f>0</xm:f>
          </x14:formula2>
          <xm:sqref>S5:S653</xm:sqref>
        </x14:dataValidation>
        <x14:dataValidation type="list" allowBlank="1" xr:uid="{00000000-0002-0000-0200-000005000000}">
          <x14:formula1>
            <xm:f>Lists!$E$5:$E$8</xm:f>
          </x14:formula1>
          <x14:formula2>
            <xm:f>0</xm:f>
          </x14:formula2>
          <xm:sqref>V5:V653</xm:sqref>
        </x14:dataValidation>
        <x14:dataValidation type="list" allowBlank="1" xr:uid="{00000000-0002-0000-0200-000006000000}">
          <x14:formula1>
            <xm:f>Lists!$F$5:$F$10</xm:f>
          </x14:formula1>
          <x14:formula2>
            <xm:f>0</xm:f>
          </x14:formula2>
          <xm:sqref>X5:X653</xm:sqref>
        </x14:dataValidation>
        <x14:dataValidation type="list" allowBlank="1" xr:uid="{00000000-0002-0000-0200-000007000000}">
          <x14:formula1>
            <xm:f>Lists!$K$5:$K$7</xm:f>
          </x14:formula1>
          <x14:formula2>
            <xm:f>0</xm:f>
          </x14:formula2>
          <xm:sqref>AA5:AA653</xm:sqref>
        </x14:dataValidation>
        <x14:dataValidation type="list" allowBlank="1" xr:uid="{00000000-0002-0000-0200-000008000000}">
          <x14:formula1>
            <xm:f>Lists!$H$5:$H$8</xm:f>
          </x14:formula1>
          <x14:formula2>
            <xm:f>0</xm:f>
          </x14:formula2>
          <xm:sqref>AL5:AL653</xm:sqref>
        </x14:dataValidation>
        <x14:dataValidation type="list" allowBlank="1" xr:uid="{00000000-0002-0000-0200-000009000000}">
          <x14:formula1>
            <xm:f>Lists!$J$5:$J$6</xm:f>
          </x14:formula1>
          <x14:formula2>
            <xm:f>0</xm:f>
          </x14:formula2>
          <xm:sqref>BA5:BB653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Bordereaux'!$D$5:$D$653,"Bound*",'UW Bordereaux'!$AD$5:$AD$653)</f>
      </c>
    </row>
    <row r="6" spans="1:7" ht="15" customHeight="1" x14ac:dyDescent="0.25">
      <c r="B6" s="23" t="s">
        <v>264</v>
      </c>
      <c r="C6" s="52">
        <f>-SUMIF('UW Bordereaux'!$D$5:$D$653,"Bound*",'UW Bordereaux'!$AN$5:$AN$653)</f>
      </c>
    </row>
    <row r="7" spans="1:7" ht="15" customHeight="1" x14ac:dyDescent="0.25">
      <c r="B7" s="25" t="s">
        <v>265</v>
      </c>
      <c r="C7" s="22">
        <f>SUMIF('UW Bordereaux'!$D$5:$D$653,"Bound*",'UW Bordereaux'!$AQ$5:$AQ$653)</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Bordereaux'!$D$5:$D$653,"Bound*",'UW Bordereaux'!$AE$5:$AE$653)</f>
      </c>
    </row>
    <row r="11" spans="1:7" ht="15" customHeight="1" x14ac:dyDescent="0.25">
      <c r="B11" s="23" t="s">
        <v>105</v>
      </c>
      <c r="C11" s="52">
        <f>SUMIF('UW Bordereaux'!$D$5:$D$653,"Bound*",'UW Bordereaux'!$AH$5:$AH$653)</f>
      </c>
    </row>
    <row r="12" spans="1:7" ht="15" customHeight="1" x14ac:dyDescent="0.25">
      <c r="B12" s="25" t="s">
        <v>268</v>
      </c>
      <c r="C12" s="22">
        <f>SUMIF('UW Bordereaux'!$D$5:$D$653,"Bound*",'UW Bordereaux'!$AI$5:$AI$653)</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Bordereaux'!$D$5:$D$653,"Bound*",'UW Bordereaux'!$AD$5:$AD$653)*Header!$D$24</f>
      </c>
    </row>
    <row r="16" spans="1:7" ht="15" customHeight="1" x14ac:dyDescent="0.25">
      <c r="B16" s="23" t="s">
        <v>271</v>
      </c>
      <c r="C16" s="52">
        <f>SUMIF('UW Bordereaux'!$D$5:$D$653,"Bound*",'UW Bordereaux'!$AD$5:$AD$653)*Header!$D$34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Bordereaux'!$D$5:$D$653,"Bound*",'UW Bordereaux'!$A$5:$A$653,"")=0,"PASS","FAIL — "&amp;COUNTIFS('UW Bordereaux'!$D$5:$D$653,"Bound*",'UW Bordereaux'!$A$5:$A$653,"")&amp;" bound risks missing certificate")</f>
      </c>
      <c r="D20" s="76"/>
      <c r="E20" s="76"/>
      <c r="F20" s="78"/>
      <c r="G20" s="78"/>
    </row>
    <row r="21" spans="2:7" ht="25.5" customHeight="1" x14ac:dyDescent="0.25">
      <c r="B21" s="56" t="s">
        <v>276</v>
      </c>
      <c r="C21" s="75" t="str">
        <f>IF(SUMPRODUCT((LEN('UW Bordereaux'!$A$5:$A$653)&gt;0)*(LEN('UW Bordereaux'!$D$5:$D$653)=0))=0,"PASS","FAIL — "&amp;SUMPRODUCT((LEN('UW Bordereaux'!$A$5:$A$653)&gt;0)*(LEN('UW Bordereaux'!$D$5:$D$653)=0))&amp;" rows missing status")</f>
      </c>
      <c r="D21" s="75"/>
      <c r="E21" s="75"/>
      <c r="F21" s="79"/>
      <c r="G21" s="79"/>
    </row>
    <row r="22" spans="2:7" ht="25.5" customHeight="1" x14ac:dyDescent="0.25">
      <c r="B22" s="55" t="s">
        <v>277</v>
      </c>
      <c r="C22" s="76" t="str">
        <f>IF(COUNTIFS('UW Bordereaux'!$D$5:$D$653,"Bound*",'UW Bordereaux'!$C$5:$C$653,"")=0,"PASS","FAIL — "&amp;COUNTIFS('UW Bordereaux'!$D$5:$D$653,"Bound*",'UW Bordereaux'!$C$5:$C$653,"")&amp;" bound risks missing effective date")</f>
      </c>
      <c r="D22" s="76"/>
      <c r="E22" s="76"/>
      <c r="F22" s="78"/>
      <c r="G22" s="78"/>
    </row>
    <row r="23" spans="2:7" ht="25.5" customHeight="1" x14ac:dyDescent="0.25">
      <c r="B23" s="56" t="s">
        <v>278</v>
      </c>
      <c r="C23" s="75" t="str">
        <f>IF(COUNTIFS('UW Bordereaux'!$D$5:$D$653,"Bound*",'UW Bordereaux'!$AB$5:$AB$653,"")=0,"PASS","FAIL — "&amp;COUNTIFS('UW Bordereaux'!$D$5:$D$653,"Bound*",'UW Bordereaux'!$AB$5:$AB$653,"")&amp;" bound risks missing technical premium")</f>
      </c>
      <c r="D23" s="75"/>
      <c r="E23" s="75"/>
      <c r="F23" s="79"/>
      <c r="G23" s="79"/>
    </row>
    <row r="24" spans="2:7" ht="25.5" customHeight="1" x14ac:dyDescent="0.25">
      <c r="B24" s="55" t="s">
        <v>279</v>
      </c>
      <c r="C24" s="76" t="str">
        <f>IF(COUNTIFS('UW Bordereaux'!$D$5:$D$653,"Bound*",'UW Bordereaux'!$AF$5:$AF$653,"")=0,"PASS","FAIL — "&amp;COUNTIFS('UW Bordereaux'!$D$5:$D$653,"Bound*",'UW Bordereaux'!$AF$5:$AF$653,"")&amp;" bound risks missing SL tax rate")</f>
      </c>
      <c r="D24" s="76"/>
      <c r="E24" s="76"/>
      <c r="F24" s="78" t="s">
        <v>280</v>
      </c>
      <c r="G24" s="78"/>
    </row>
    <row r="25" spans="2:7" ht="25.5" customHeight="1" x14ac:dyDescent="0.25">
      <c r="B25" s="56" t="s">
        <v>281</v>
      </c>
      <c r="C25" s="75" t="str">
        <f>IF(SUMPRODUCT(('UW Bordereaux'!$M$5:$M$653&lt;0)*('UW Bordereaux'!$A$5:$A$653&lt;&gt;""))=0,"PASS","FAIL — negative agreed value detected")</f>
      </c>
      <c r="D25" s="75"/>
      <c r="E25" s="75"/>
      <c r="F25" s="79"/>
      <c r="G25" s="79"/>
    </row>
    <row r="26" spans="2:7" ht="25.5" customHeight="1" x14ac:dyDescent="0.25">
      <c r="B26" s="55" t="s">
        <v>282</v>
      </c>
      <c r="C26" s="76" t="str">
        <f>IF(SUMPRODUCT(('UW Bordereaux'!$M$5:$M$653&lt;100000)*('UW Bordereaux'!$M$5:$M$653&gt;0)*('UW Bordereaux'!$A$5:$A$653&lt;&gt;""))=0,"PASS","FAIL — "&amp;SUMPRODUCT(('UW Bordereaux'!$M$5:$M$653&lt;100000)*('UW Bordereaux'!$M$5:$M$653&gt;0)*('UW Bordereaux'!$A$5:$A$653&lt;&gt;""))&amp;"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Bordereaux'!$AJ$5:$AJ$653,"&lt;0.85",'UW Bordereaux'!$D$5:$D$653,"Bound*")=0,"PASS","WARN — "&amp;COUNTIFS('UW Bordereaux'!$AJ$5:$AJ$653,"&lt;0.85",'UW Bordereaux'!$D$5:$D$653,"Bound*")&amp;" risks below 85% rate adequacy")</f>
      </c>
      <c r="D28" s="76"/>
      <c r="E28" s="76"/>
      <c r="F28" s="78" t="s">
        <v>285</v>
      </c>
      <c r="G28" s="78"/>
    </row>
    <row r="29" spans="2:7" ht="25.5" customHeight="1" x14ac:dyDescent="0.25">
      <c r="B29" s="56" t="s">
        <v>286</v>
      </c>
      <c r="C29" s="75" t="str">
        <f>COUNTIFS('UW Bordereaux'!$M$5:$M$653,"&gt;="&amp;Header!$C$18,'UW Bordereaux'!$D$5:$D$653,"Bound*")&amp;" risk(s) at or above $2m AV — confirm individual referral is on file"</f>
      </c>
      <c r="D29" s="75"/>
      <c r="E29" s="75"/>
      <c r="F29" s="79"/>
      <c r="G29" s="79"/>
    </row>
    <row r="30" spans="2:7" ht="25.5" customHeight="1" x14ac:dyDescent="0.25">
      <c r="B30" s="55" t="s">
        <v>287</v>
      </c>
      <c r="C30" s="76" t="str">
        <f>COUNTIF('UW Bordereaux'!$AK$5:$AK$653,"BEYOND AUTHORITY")&amp;" risk(s) — confirm approval is on file in the Referral Log"</f>
      </c>
      <c r="D30" s="76"/>
      <c r="E30" s="76"/>
      <c r="F30" s="78"/>
      <c r="G30" s="78"/>
    </row>
    <row r="31" spans="2:7" ht="25.5" customHeight="1" x14ac:dyDescent="0.25">
      <c r="B31" s="56" t="s">
        <v>288</v>
      </c>
      <c r="C31" s="75" t="str">
        <f>IF(COUNTIF('UW Bordereaux'!$AW$5:$AW$653,"FAIL*")=0,"PASS — all mandatory fields complete","FAIL — "&amp;COUNTIF('UW Bordereaux'!$AW$5:$AW$653,"FAIL*")&amp;" rows with missing mandatory fields")</f>
      </c>
      <c r="D31" s="75"/>
      <c r="E31" s="75"/>
      <c r="F31" s="79" t="s">
        <v>289</v>
      </c>
      <c r="G31" s="79"/>
    </row>
    <row r="33" spans="2:7" ht="25.5" customHeight="1" x14ac:dyDescent="0.25">
      <c r="B33" s="57" t="s">
        <v>290</v>
      </c>
      <c r="C33" s="76" t="str">
        <f>IF(COUNTIF('UW Bordereaux'!$BE$5:$BE$653,"FAIL*")=0,"PASS","FAIL - "&amp;COUNTIF('UW Bordereaux'!$BE$5:$BE$653,"FAIL*")&amp;" rows where vehicle year falls outside its class era")</f>
      </c>
      <c r="D33" s="76"/>
      <c r="E33" s="76"/>
    </row>
    <row r="34" spans="2:7" ht="25.5" customHeight="1" x14ac:dyDescent="0.25">
      <c r="B34" s="56" t="s">
        <v>291</v>
      </c>
      <c r="C34" s="75" t="str">
        <f>IF(COUNTIF('UW Bordereaux'!$BF$5:$BF$653,"FAIL*")=0,"PASS - all rows foot to the cent","FAIL - "&amp;COUNTIF('UW Bordereaux'!$BF$5:$BF$653,"FAIL*")&amp;"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Bordereaux'!$D$5:$D$653,"Bound*",'UW Bordereaux'!$AD$5:$AD$653)</f>
      </c>
    </row>
    <row r="41" spans="2:7" x14ac:dyDescent="0.25">
      <c r="B41" s="55" t="s">
        <v>296</v>
      </c>
      <c r="C41" s="59">
        <f>SUMIF('UW Bordereaux'!$D$5:$D$653,"Bound*",'UW Bordereaux'!$AO$5:$AO$653)</f>
      </c>
    </row>
    <row r="42" spans="2:7" x14ac:dyDescent="0.25">
      <c r="B42" s="55" t="s">
        <v>297</v>
      </c>
      <c r="C42" s="59">
        <f>SUMIF('UW Bordereaux'!$D$5:$D$653,"Bound*",'UW Bordereaux'!$AP$5:$AP$653)</f>
      </c>
    </row>
    <row r="43" spans="2:7" x14ac:dyDescent="0.25">
      <c r="B43" s="55" t="s">
        <v>298</v>
      </c>
      <c r="C43" s="59">
        <f>SUMIF('UW Bordereaux'!$D$5:$D$653,"Bound*",'UW Bordereaux'!$AQ$5:$AQ$653)</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